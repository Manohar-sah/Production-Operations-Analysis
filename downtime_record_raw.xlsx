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ohar/Desktop/Projects/Operation Analysis/Raw_data/"/>
    </mc:Choice>
  </mc:AlternateContent>
  <xr:revisionPtr revIDLastSave="0" documentId="13_ncr:1_{A2481162-A718-3F43-AD91-AE080383010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Sheet1!$N$1:$N$2929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" i="1"/>
</calcChain>
</file>

<file path=xl/sharedStrings.xml><?xml version="1.0" encoding="utf-8"?>
<sst xmlns="http://schemas.openxmlformats.org/spreadsheetml/2006/main" count="20509" uniqueCount="3192">
  <si>
    <t>Downtime_ID</t>
  </si>
  <si>
    <t>Date</t>
  </si>
  <si>
    <t>Shift_ID</t>
  </si>
  <si>
    <t>Machine_ID</t>
  </si>
  <si>
    <t>Production_Order_ID</t>
  </si>
  <si>
    <t>Start_Time</t>
  </si>
  <si>
    <t>End_Time</t>
  </si>
  <si>
    <t>Duration_Min</t>
  </si>
  <si>
    <t>Downtime_Category</t>
  </si>
  <si>
    <t>Downtime_Reason</t>
  </si>
  <si>
    <t>Corrective_Action</t>
  </si>
  <si>
    <t>DT000001</t>
  </si>
  <si>
    <t>DT000002</t>
  </si>
  <si>
    <t>DT000003</t>
  </si>
  <si>
    <t>DT000004</t>
  </si>
  <si>
    <t>DT000005</t>
  </si>
  <si>
    <t>DT000006</t>
  </si>
  <si>
    <t>DT000007</t>
  </si>
  <si>
    <t>DT000008</t>
  </si>
  <si>
    <t>DT000009</t>
  </si>
  <si>
    <t>DT000010</t>
  </si>
  <si>
    <t>DT000011</t>
  </si>
  <si>
    <t>DT000012</t>
  </si>
  <si>
    <t>DT000013</t>
  </si>
  <si>
    <t>DT000014</t>
  </si>
  <si>
    <t>DT000015</t>
  </si>
  <si>
    <t>DT000016</t>
  </si>
  <si>
    <t>DT000017</t>
  </si>
  <si>
    <t>DT000018</t>
  </si>
  <si>
    <t>DT000019</t>
  </si>
  <si>
    <t>DT000020</t>
  </si>
  <si>
    <t>DT000021</t>
  </si>
  <si>
    <t>DT000022</t>
  </si>
  <si>
    <t>DT000023</t>
  </si>
  <si>
    <t>DT000024</t>
  </si>
  <si>
    <t>DT000025</t>
  </si>
  <si>
    <t>DT000026</t>
  </si>
  <si>
    <t>DT000027</t>
  </si>
  <si>
    <t>DT000028</t>
  </si>
  <si>
    <t>DT000029</t>
  </si>
  <si>
    <t>DT000030</t>
  </si>
  <si>
    <t>DT000031</t>
  </si>
  <si>
    <t>DT000032</t>
  </si>
  <si>
    <t>DT000033</t>
  </si>
  <si>
    <t>DT000034</t>
  </si>
  <si>
    <t>DT000035</t>
  </si>
  <si>
    <t>DT000036</t>
  </si>
  <si>
    <t>DT000037</t>
  </si>
  <si>
    <t>DT000038</t>
  </si>
  <si>
    <t>DT000039</t>
  </si>
  <si>
    <t>DT000040</t>
  </si>
  <si>
    <t>DT000041</t>
  </si>
  <si>
    <t>DT000042</t>
  </si>
  <si>
    <t>DT000043</t>
  </si>
  <si>
    <t>DT000044</t>
  </si>
  <si>
    <t>DT000045</t>
  </si>
  <si>
    <t>DT000046</t>
  </si>
  <si>
    <t>DT000047</t>
  </si>
  <si>
    <t>DT000048</t>
  </si>
  <si>
    <t>DT000049</t>
  </si>
  <si>
    <t>DT000050</t>
  </si>
  <si>
    <t>DT000051</t>
  </si>
  <si>
    <t>DT000052</t>
  </si>
  <si>
    <t>DT000053</t>
  </si>
  <si>
    <t>DT000054</t>
  </si>
  <si>
    <t>DT000055</t>
  </si>
  <si>
    <t>DT000056</t>
  </si>
  <si>
    <t>DT000057</t>
  </si>
  <si>
    <t>DT000058</t>
  </si>
  <si>
    <t>DT000059</t>
  </si>
  <si>
    <t>DT000060</t>
  </si>
  <si>
    <t>DT000061</t>
  </si>
  <si>
    <t>DT000062</t>
  </si>
  <si>
    <t>DT000063</t>
  </si>
  <si>
    <t>DT000064</t>
  </si>
  <si>
    <t>DT000065</t>
  </si>
  <si>
    <t>DT000066</t>
  </si>
  <si>
    <t>DT000067</t>
  </si>
  <si>
    <t>DT000068</t>
  </si>
  <si>
    <t>DT000069</t>
  </si>
  <si>
    <t>DT000070</t>
  </si>
  <si>
    <t>DT000071</t>
  </si>
  <si>
    <t>DT000072</t>
  </si>
  <si>
    <t>DT000073</t>
  </si>
  <si>
    <t>DT000074</t>
  </si>
  <si>
    <t>DT000075</t>
  </si>
  <si>
    <t>DT000076</t>
  </si>
  <si>
    <t>DT000077</t>
  </si>
  <si>
    <t>DT000078</t>
  </si>
  <si>
    <t>DT000079</t>
  </si>
  <si>
    <t>DT000080</t>
  </si>
  <si>
    <t>DT000081</t>
  </si>
  <si>
    <t>DT000082</t>
  </si>
  <si>
    <t>DT000083</t>
  </si>
  <si>
    <t>DT000084</t>
  </si>
  <si>
    <t>DT000085</t>
  </si>
  <si>
    <t>DT000086</t>
  </si>
  <si>
    <t>DT000087</t>
  </si>
  <si>
    <t>DT000088</t>
  </si>
  <si>
    <t>DT000089</t>
  </si>
  <si>
    <t>DT000090</t>
  </si>
  <si>
    <t>DT000091</t>
  </si>
  <si>
    <t>DT000092</t>
  </si>
  <si>
    <t>DT000093</t>
  </si>
  <si>
    <t>DT000094</t>
  </si>
  <si>
    <t>DT000095</t>
  </si>
  <si>
    <t>DT000096</t>
  </si>
  <si>
    <t>DT000097</t>
  </si>
  <si>
    <t>DT000098</t>
  </si>
  <si>
    <t>DT000099</t>
  </si>
  <si>
    <t>DT000100</t>
  </si>
  <si>
    <t>DT000101</t>
  </si>
  <si>
    <t>DT000102</t>
  </si>
  <si>
    <t>DT000103</t>
  </si>
  <si>
    <t>DT000104</t>
  </si>
  <si>
    <t>DT000105</t>
  </si>
  <si>
    <t>DT000106</t>
  </si>
  <si>
    <t>DT000107</t>
  </si>
  <si>
    <t>DT000108</t>
  </si>
  <si>
    <t>DT000109</t>
  </si>
  <si>
    <t>DT000110</t>
  </si>
  <si>
    <t>DT000111</t>
  </si>
  <si>
    <t>DT000112</t>
  </si>
  <si>
    <t>DT000113</t>
  </si>
  <si>
    <t>DT000114</t>
  </si>
  <si>
    <t>DT000115</t>
  </si>
  <si>
    <t>DT000116</t>
  </si>
  <si>
    <t>DT000117</t>
  </si>
  <si>
    <t>DT000118</t>
  </si>
  <si>
    <t>DT000119</t>
  </si>
  <si>
    <t>DT000120</t>
  </si>
  <si>
    <t>DT000121</t>
  </si>
  <si>
    <t>DT000122</t>
  </si>
  <si>
    <t>DT000123</t>
  </si>
  <si>
    <t>DT000124</t>
  </si>
  <si>
    <t>DT000125</t>
  </si>
  <si>
    <t>DT000126</t>
  </si>
  <si>
    <t>DT000127</t>
  </si>
  <si>
    <t>DT000128</t>
  </si>
  <si>
    <t>DT000129</t>
  </si>
  <si>
    <t>DT000130</t>
  </si>
  <si>
    <t>DT000131</t>
  </si>
  <si>
    <t>DT000132</t>
  </si>
  <si>
    <t>DT000133</t>
  </si>
  <si>
    <t>DT000134</t>
  </si>
  <si>
    <t>DT000135</t>
  </si>
  <si>
    <t>DT000136</t>
  </si>
  <si>
    <t>DT000137</t>
  </si>
  <si>
    <t>DT000138</t>
  </si>
  <si>
    <t>DT000139</t>
  </si>
  <si>
    <t>DT000140</t>
  </si>
  <si>
    <t>DT000141</t>
  </si>
  <si>
    <t>DT000142</t>
  </si>
  <si>
    <t>DT000143</t>
  </si>
  <si>
    <t>DT000144</t>
  </si>
  <si>
    <t>DT000145</t>
  </si>
  <si>
    <t>DT000146</t>
  </si>
  <si>
    <t>DT000147</t>
  </si>
  <si>
    <t>DT000148</t>
  </si>
  <si>
    <t>DT000149</t>
  </si>
  <si>
    <t>DT000150</t>
  </si>
  <si>
    <t>DT000151</t>
  </si>
  <si>
    <t>DT000152</t>
  </si>
  <si>
    <t>DT000153</t>
  </si>
  <si>
    <t>DT000154</t>
  </si>
  <si>
    <t>DT000155</t>
  </si>
  <si>
    <t>DT000156</t>
  </si>
  <si>
    <t>DT000157</t>
  </si>
  <si>
    <t>DT000158</t>
  </si>
  <si>
    <t>DT000159</t>
  </si>
  <si>
    <t>DT000160</t>
  </si>
  <si>
    <t>DT000161</t>
  </si>
  <si>
    <t>DT000162</t>
  </si>
  <si>
    <t>DT000163</t>
  </si>
  <si>
    <t>DT000164</t>
  </si>
  <si>
    <t>DT000165</t>
  </si>
  <si>
    <t>DT000166</t>
  </si>
  <si>
    <t>DT000167</t>
  </si>
  <si>
    <t>DT000168</t>
  </si>
  <si>
    <t>DT000169</t>
  </si>
  <si>
    <t>DT000170</t>
  </si>
  <si>
    <t>DT000171</t>
  </si>
  <si>
    <t>DT000172</t>
  </si>
  <si>
    <t>DT000173</t>
  </si>
  <si>
    <t>DT000174</t>
  </si>
  <si>
    <t>DT000175</t>
  </si>
  <si>
    <t>DT000176</t>
  </si>
  <si>
    <t>DT000177</t>
  </si>
  <si>
    <t>DT000178</t>
  </si>
  <si>
    <t>DT000179</t>
  </si>
  <si>
    <t>DT000180</t>
  </si>
  <si>
    <t>DT000181</t>
  </si>
  <si>
    <t>DT000182</t>
  </si>
  <si>
    <t>DT000183</t>
  </si>
  <si>
    <t>DT000184</t>
  </si>
  <si>
    <t>DT000185</t>
  </si>
  <si>
    <t>DT000186</t>
  </si>
  <si>
    <t>DT000187</t>
  </si>
  <si>
    <t>DT000188</t>
  </si>
  <si>
    <t>DT000189</t>
  </si>
  <si>
    <t>DT000190</t>
  </si>
  <si>
    <t>DT000191</t>
  </si>
  <si>
    <t>DT000192</t>
  </si>
  <si>
    <t>DT000193</t>
  </si>
  <si>
    <t>DT000194</t>
  </si>
  <si>
    <t>DT000195</t>
  </si>
  <si>
    <t>DT000196</t>
  </si>
  <si>
    <t>DT000197</t>
  </si>
  <si>
    <t>DT000198</t>
  </si>
  <si>
    <t>DT000199</t>
  </si>
  <si>
    <t>DT000200</t>
  </si>
  <si>
    <t>DT000201</t>
  </si>
  <si>
    <t>DT000202</t>
  </si>
  <si>
    <t>DT000203</t>
  </si>
  <si>
    <t>DT000204</t>
  </si>
  <si>
    <t>DT000205</t>
  </si>
  <si>
    <t>DT000206</t>
  </si>
  <si>
    <t>DT000207</t>
  </si>
  <si>
    <t>DT000208</t>
  </si>
  <si>
    <t>DT000209</t>
  </si>
  <si>
    <t>DT000210</t>
  </si>
  <si>
    <t>DT000211</t>
  </si>
  <si>
    <t>DT000212</t>
  </si>
  <si>
    <t>DT000213</t>
  </si>
  <si>
    <t>DT000214</t>
  </si>
  <si>
    <t>DT000215</t>
  </si>
  <si>
    <t>DT000216</t>
  </si>
  <si>
    <t>DT000217</t>
  </si>
  <si>
    <t>DT000218</t>
  </si>
  <si>
    <t>DT000219</t>
  </si>
  <si>
    <t>DT000220</t>
  </si>
  <si>
    <t>DT000221</t>
  </si>
  <si>
    <t>DT000222</t>
  </si>
  <si>
    <t>DT000223</t>
  </si>
  <si>
    <t>DT000224</t>
  </si>
  <si>
    <t>DT000225</t>
  </si>
  <si>
    <t>DT000226</t>
  </si>
  <si>
    <t>DT000227</t>
  </si>
  <si>
    <t>DT000228</t>
  </si>
  <si>
    <t>DT000229</t>
  </si>
  <si>
    <t>DT000230</t>
  </si>
  <si>
    <t>DT000231</t>
  </si>
  <si>
    <t>DT000232</t>
  </si>
  <si>
    <t>DT000233</t>
  </si>
  <si>
    <t>DT000234</t>
  </si>
  <si>
    <t>DT000235</t>
  </si>
  <si>
    <t>DT000236</t>
  </si>
  <si>
    <t>DT000237</t>
  </si>
  <si>
    <t>DT000238</t>
  </si>
  <si>
    <t>DT000239</t>
  </si>
  <si>
    <t>DT000240</t>
  </si>
  <si>
    <t>DT000241</t>
  </si>
  <si>
    <t>DT000242</t>
  </si>
  <si>
    <t>DT000243</t>
  </si>
  <si>
    <t>DT000244</t>
  </si>
  <si>
    <t>DT000245</t>
  </si>
  <si>
    <t>DT000246</t>
  </si>
  <si>
    <t>DT000247</t>
  </si>
  <si>
    <t>DT000248</t>
  </si>
  <si>
    <t>DT000249</t>
  </si>
  <si>
    <t>DT000250</t>
  </si>
  <si>
    <t>DT000251</t>
  </si>
  <si>
    <t>DT000252</t>
  </si>
  <si>
    <t>DT000253</t>
  </si>
  <si>
    <t>DT000254</t>
  </si>
  <si>
    <t>DT000255</t>
  </si>
  <si>
    <t>DT000256</t>
  </si>
  <si>
    <t>DT000257</t>
  </si>
  <si>
    <t>DT000258</t>
  </si>
  <si>
    <t>DT000259</t>
  </si>
  <si>
    <t>DT000260</t>
  </si>
  <si>
    <t>DT000261</t>
  </si>
  <si>
    <t>DT000262</t>
  </si>
  <si>
    <t>DT000263</t>
  </si>
  <si>
    <t>DT000264</t>
  </si>
  <si>
    <t>DT000265</t>
  </si>
  <si>
    <t>DT000266</t>
  </si>
  <si>
    <t>DT000267</t>
  </si>
  <si>
    <t>DT000268</t>
  </si>
  <si>
    <t>DT000269</t>
  </si>
  <si>
    <t>DT000270</t>
  </si>
  <si>
    <t>DT000271</t>
  </si>
  <si>
    <t>DT000272</t>
  </si>
  <si>
    <t>DT000273</t>
  </si>
  <si>
    <t>DT000274</t>
  </si>
  <si>
    <t>DT000275</t>
  </si>
  <si>
    <t>DT000276</t>
  </si>
  <si>
    <t>DT000277</t>
  </si>
  <si>
    <t>DT000278</t>
  </si>
  <si>
    <t>DT000279</t>
  </si>
  <si>
    <t>DT000280</t>
  </si>
  <si>
    <t>DT000281</t>
  </si>
  <si>
    <t>DT000282</t>
  </si>
  <si>
    <t>DT000283</t>
  </si>
  <si>
    <t>DT000284</t>
  </si>
  <si>
    <t>DT000285</t>
  </si>
  <si>
    <t>DT000286</t>
  </si>
  <si>
    <t>DT000287</t>
  </si>
  <si>
    <t>DT000288</t>
  </si>
  <si>
    <t>DT000289</t>
  </si>
  <si>
    <t>DT000290</t>
  </si>
  <si>
    <t>DT000291</t>
  </si>
  <si>
    <t>DT000292</t>
  </si>
  <si>
    <t>DT000293</t>
  </si>
  <si>
    <t>DT000294</t>
  </si>
  <si>
    <t>DT000295</t>
  </si>
  <si>
    <t>DT000296</t>
  </si>
  <si>
    <t>DT000297</t>
  </si>
  <si>
    <t>DT000298</t>
  </si>
  <si>
    <t>DT000299</t>
  </si>
  <si>
    <t>DT000300</t>
  </si>
  <si>
    <t>DT000301</t>
  </si>
  <si>
    <t>DT000302</t>
  </si>
  <si>
    <t>DT000303</t>
  </si>
  <si>
    <t>DT000304</t>
  </si>
  <si>
    <t>DT000305</t>
  </si>
  <si>
    <t>DT000306</t>
  </si>
  <si>
    <t>DT000307</t>
  </si>
  <si>
    <t>DT000308</t>
  </si>
  <si>
    <t>DT000309</t>
  </si>
  <si>
    <t>DT000310</t>
  </si>
  <si>
    <t>DT000311</t>
  </si>
  <si>
    <t>DT000312</t>
  </si>
  <si>
    <t>DT000313</t>
  </si>
  <si>
    <t>DT000314</t>
  </si>
  <si>
    <t>DT000315</t>
  </si>
  <si>
    <t>DT000316</t>
  </si>
  <si>
    <t>DT000317</t>
  </si>
  <si>
    <t>DT000318</t>
  </si>
  <si>
    <t>DT000319</t>
  </si>
  <si>
    <t>DT000320</t>
  </si>
  <si>
    <t>DT000321</t>
  </si>
  <si>
    <t>DT000322</t>
  </si>
  <si>
    <t>DT000323</t>
  </si>
  <si>
    <t>DT000324</t>
  </si>
  <si>
    <t>DT000325</t>
  </si>
  <si>
    <t>DT000326</t>
  </si>
  <si>
    <t>DT000327</t>
  </si>
  <si>
    <t>DT000328</t>
  </si>
  <si>
    <t>DT000329</t>
  </si>
  <si>
    <t>DT000330</t>
  </si>
  <si>
    <t>DT000331</t>
  </si>
  <si>
    <t>DT000332</t>
  </si>
  <si>
    <t>DT000333</t>
  </si>
  <si>
    <t>DT000334</t>
  </si>
  <si>
    <t>DT000335</t>
  </si>
  <si>
    <t>DT000336</t>
  </si>
  <si>
    <t>DT000337</t>
  </si>
  <si>
    <t>DT000338</t>
  </si>
  <si>
    <t>DT000339</t>
  </si>
  <si>
    <t>DT000340</t>
  </si>
  <si>
    <t>DT000341</t>
  </si>
  <si>
    <t>DT000342</t>
  </si>
  <si>
    <t>DT000343</t>
  </si>
  <si>
    <t>DT000344</t>
  </si>
  <si>
    <t>DT000345</t>
  </si>
  <si>
    <t>DT000346</t>
  </si>
  <si>
    <t>DT000347</t>
  </si>
  <si>
    <t>DT000348</t>
  </si>
  <si>
    <t>DT000349</t>
  </si>
  <si>
    <t>DT000350</t>
  </si>
  <si>
    <t>DT000351</t>
  </si>
  <si>
    <t>DT000352</t>
  </si>
  <si>
    <t>DT000353</t>
  </si>
  <si>
    <t>DT000354</t>
  </si>
  <si>
    <t>DT000355</t>
  </si>
  <si>
    <t>DT000356</t>
  </si>
  <si>
    <t>DT000357</t>
  </si>
  <si>
    <t>DT000358</t>
  </si>
  <si>
    <t>DT000359</t>
  </si>
  <si>
    <t>DT000360</t>
  </si>
  <si>
    <t>DT000361</t>
  </si>
  <si>
    <t>DT000362</t>
  </si>
  <si>
    <t>DT000363</t>
  </si>
  <si>
    <t>DT000364</t>
  </si>
  <si>
    <t>DT000365</t>
  </si>
  <si>
    <t>DT000366</t>
  </si>
  <si>
    <t>DT000367</t>
  </si>
  <si>
    <t>DT000368</t>
  </si>
  <si>
    <t>DT000369</t>
  </si>
  <si>
    <t>DT000370</t>
  </si>
  <si>
    <t>DT000371</t>
  </si>
  <si>
    <t>DT000372</t>
  </si>
  <si>
    <t>DT000373</t>
  </si>
  <si>
    <t>DT000374</t>
  </si>
  <si>
    <t>DT000375</t>
  </si>
  <si>
    <t>DT000376</t>
  </si>
  <si>
    <t>DT000377</t>
  </si>
  <si>
    <t>DT000378</t>
  </si>
  <si>
    <t>DT000379</t>
  </si>
  <si>
    <t>DT000380</t>
  </si>
  <si>
    <t>DT000381</t>
  </si>
  <si>
    <t>DT000382</t>
  </si>
  <si>
    <t>DT000383</t>
  </si>
  <si>
    <t>DT000384</t>
  </si>
  <si>
    <t>DT000385</t>
  </si>
  <si>
    <t>DT000386</t>
  </si>
  <si>
    <t>DT000387</t>
  </si>
  <si>
    <t>DT000388</t>
  </si>
  <si>
    <t>DT000389</t>
  </si>
  <si>
    <t>DT000390</t>
  </si>
  <si>
    <t>DT000391</t>
  </si>
  <si>
    <t>DT000392</t>
  </si>
  <si>
    <t>DT000393</t>
  </si>
  <si>
    <t>DT000394</t>
  </si>
  <si>
    <t>DT000395</t>
  </si>
  <si>
    <t>DT000396</t>
  </si>
  <si>
    <t>DT000397</t>
  </si>
  <si>
    <t>DT000398</t>
  </si>
  <si>
    <t>DT000399</t>
  </si>
  <si>
    <t>DT000400</t>
  </si>
  <si>
    <t>DT000401</t>
  </si>
  <si>
    <t>DT000402</t>
  </si>
  <si>
    <t>DT000403</t>
  </si>
  <si>
    <t>DT000404</t>
  </si>
  <si>
    <t>DT000405</t>
  </si>
  <si>
    <t>DT000406</t>
  </si>
  <si>
    <t>DT000407</t>
  </si>
  <si>
    <t>DT000408</t>
  </si>
  <si>
    <t>DT000409</t>
  </si>
  <si>
    <t>DT000410</t>
  </si>
  <si>
    <t>DT000411</t>
  </si>
  <si>
    <t>DT000412</t>
  </si>
  <si>
    <t>DT000413</t>
  </si>
  <si>
    <t>DT000414</t>
  </si>
  <si>
    <t>DT000415</t>
  </si>
  <si>
    <t>DT000416</t>
  </si>
  <si>
    <t>DT000417</t>
  </si>
  <si>
    <t>DT000418</t>
  </si>
  <si>
    <t>DT000419</t>
  </si>
  <si>
    <t>DT000420</t>
  </si>
  <si>
    <t>DT000421</t>
  </si>
  <si>
    <t>DT000422</t>
  </si>
  <si>
    <t>DT000423</t>
  </si>
  <si>
    <t>DT000424</t>
  </si>
  <si>
    <t>DT000425</t>
  </si>
  <si>
    <t>DT000426</t>
  </si>
  <si>
    <t>DT000427</t>
  </si>
  <si>
    <t>DT000428</t>
  </si>
  <si>
    <t>DT000429</t>
  </si>
  <si>
    <t>DT000430</t>
  </si>
  <si>
    <t>DT000431</t>
  </si>
  <si>
    <t>DT000432</t>
  </si>
  <si>
    <t>DT000433</t>
  </si>
  <si>
    <t>DT000434</t>
  </si>
  <si>
    <t>DT000435</t>
  </si>
  <si>
    <t>DT000436</t>
  </si>
  <si>
    <t>DT000437</t>
  </si>
  <si>
    <t>DT000438</t>
  </si>
  <si>
    <t>DT000439</t>
  </si>
  <si>
    <t>DT000440</t>
  </si>
  <si>
    <t>DT000441</t>
  </si>
  <si>
    <t>DT000442</t>
  </si>
  <si>
    <t>DT000443</t>
  </si>
  <si>
    <t>DT000444</t>
  </si>
  <si>
    <t>DT000445</t>
  </si>
  <si>
    <t>DT000446</t>
  </si>
  <si>
    <t>DT000447</t>
  </si>
  <si>
    <t>DT000448</t>
  </si>
  <si>
    <t>DT000449</t>
  </si>
  <si>
    <t>DT000450</t>
  </si>
  <si>
    <t>DT000451</t>
  </si>
  <si>
    <t>DT000452</t>
  </si>
  <si>
    <t>DT000453</t>
  </si>
  <si>
    <t>DT000454</t>
  </si>
  <si>
    <t>DT000455</t>
  </si>
  <si>
    <t>DT000456</t>
  </si>
  <si>
    <t>DT000457</t>
  </si>
  <si>
    <t>DT000458</t>
  </si>
  <si>
    <t>DT000459</t>
  </si>
  <si>
    <t>DT000460</t>
  </si>
  <si>
    <t>DT000461</t>
  </si>
  <si>
    <t>DT000462</t>
  </si>
  <si>
    <t>DT000463</t>
  </si>
  <si>
    <t>DT000464</t>
  </si>
  <si>
    <t>DT000465</t>
  </si>
  <si>
    <t>DT000466</t>
  </si>
  <si>
    <t>DT000467</t>
  </si>
  <si>
    <t>DT000468</t>
  </si>
  <si>
    <t>DT000469</t>
  </si>
  <si>
    <t>DT000470</t>
  </si>
  <si>
    <t>DT000471</t>
  </si>
  <si>
    <t>DT000472</t>
  </si>
  <si>
    <t>DT000473</t>
  </si>
  <si>
    <t>DT000474</t>
  </si>
  <si>
    <t>DT000475</t>
  </si>
  <si>
    <t>DT000476</t>
  </si>
  <si>
    <t>DT000477</t>
  </si>
  <si>
    <t>DT000478</t>
  </si>
  <si>
    <t>DT000479</t>
  </si>
  <si>
    <t>DT000480</t>
  </si>
  <si>
    <t>DT000481</t>
  </si>
  <si>
    <t>DT000482</t>
  </si>
  <si>
    <t>DT000483</t>
  </si>
  <si>
    <t>DT000484</t>
  </si>
  <si>
    <t>DT000485</t>
  </si>
  <si>
    <t>DT000486</t>
  </si>
  <si>
    <t>DT000487</t>
  </si>
  <si>
    <t>DT000488</t>
  </si>
  <si>
    <t>DT000489</t>
  </si>
  <si>
    <t>DT000490</t>
  </si>
  <si>
    <t>DT000491</t>
  </si>
  <si>
    <t>DT000492</t>
  </si>
  <si>
    <t>DT000493</t>
  </si>
  <si>
    <t>DT000494</t>
  </si>
  <si>
    <t>DT000495</t>
  </si>
  <si>
    <t>DT000496</t>
  </si>
  <si>
    <t>DT000497</t>
  </si>
  <si>
    <t>DT000498</t>
  </si>
  <si>
    <t>DT000499</t>
  </si>
  <si>
    <t>DT000500</t>
  </si>
  <si>
    <t>DT000501</t>
  </si>
  <si>
    <t>DT000502</t>
  </si>
  <si>
    <t>DT000503</t>
  </si>
  <si>
    <t>DT000504</t>
  </si>
  <si>
    <t>DT000505</t>
  </si>
  <si>
    <t>DT000506</t>
  </si>
  <si>
    <t>DT000507</t>
  </si>
  <si>
    <t>DT000508</t>
  </si>
  <si>
    <t>DT000509</t>
  </si>
  <si>
    <t>DT000510</t>
  </si>
  <si>
    <t>DT000511</t>
  </si>
  <si>
    <t>DT000512</t>
  </si>
  <si>
    <t>DT000513</t>
  </si>
  <si>
    <t>DT000514</t>
  </si>
  <si>
    <t>DT000515</t>
  </si>
  <si>
    <t>DT000516</t>
  </si>
  <si>
    <t>DT000517</t>
  </si>
  <si>
    <t>DT000518</t>
  </si>
  <si>
    <t>DT000519</t>
  </si>
  <si>
    <t>DT000520</t>
  </si>
  <si>
    <t>DT000521</t>
  </si>
  <si>
    <t>DT000522</t>
  </si>
  <si>
    <t>DT000523</t>
  </si>
  <si>
    <t>DT000524</t>
  </si>
  <si>
    <t>DT000525</t>
  </si>
  <si>
    <t>DT000526</t>
  </si>
  <si>
    <t>DT000527</t>
  </si>
  <si>
    <t>DT000528</t>
  </si>
  <si>
    <t>DT000529</t>
  </si>
  <si>
    <t>DT000530</t>
  </si>
  <si>
    <t>DT000531</t>
  </si>
  <si>
    <t>DT000532</t>
  </si>
  <si>
    <t>DT000533</t>
  </si>
  <si>
    <t>DT000534</t>
  </si>
  <si>
    <t>DT000535</t>
  </si>
  <si>
    <t>DT000536</t>
  </si>
  <si>
    <t>DT000537</t>
  </si>
  <si>
    <t>DT000538</t>
  </si>
  <si>
    <t>DT000539</t>
  </si>
  <si>
    <t>DT000540</t>
  </si>
  <si>
    <t>DT000541</t>
  </si>
  <si>
    <t>DT000542</t>
  </si>
  <si>
    <t>DT000543</t>
  </si>
  <si>
    <t>DT000544</t>
  </si>
  <si>
    <t>DT000545</t>
  </si>
  <si>
    <t>DT000546</t>
  </si>
  <si>
    <t>DT000547</t>
  </si>
  <si>
    <t>DT000548</t>
  </si>
  <si>
    <t>DT000549</t>
  </si>
  <si>
    <t>DT000550</t>
  </si>
  <si>
    <t>DT000551</t>
  </si>
  <si>
    <t>DT000552</t>
  </si>
  <si>
    <t>DT000553</t>
  </si>
  <si>
    <t>DT000554</t>
  </si>
  <si>
    <t>DT000555</t>
  </si>
  <si>
    <t>DT000556</t>
  </si>
  <si>
    <t>DT000557</t>
  </si>
  <si>
    <t>DT000558</t>
  </si>
  <si>
    <t>DT000559</t>
  </si>
  <si>
    <t>DT000560</t>
  </si>
  <si>
    <t>DT000561</t>
  </si>
  <si>
    <t>DT000562</t>
  </si>
  <si>
    <t>DT000563</t>
  </si>
  <si>
    <t>DT000564</t>
  </si>
  <si>
    <t>DT000565</t>
  </si>
  <si>
    <t>DT000566</t>
  </si>
  <si>
    <t>DT000567</t>
  </si>
  <si>
    <t>DT000568</t>
  </si>
  <si>
    <t>DT000569</t>
  </si>
  <si>
    <t>DT000570</t>
  </si>
  <si>
    <t>DT000571</t>
  </si>
  <si>
    <t>DT000572</t>
  </si>
  <si>
    <t>DT000573</t>
  </si>
  <si>
    <t>DT000574</t>
  </si>
  <si>
    <t>DT000575</t>
  </si>
  <si>
    <t>DT000576</t>
  </si>
  <si>
    <t>DT000577</t>
  </si>
  <si>
    <t>DT000578</t>
  </si>
  <si>
    <t>DT000579</t>
  </si>
  <si>
    <t>DT000580</t>
  </si>
  <si>
    <t>DT000581</t>
  </si>
  <si>
    <t>DT000582</t>
  </si>
  <si>
    <t>DT000583</t>
  </si>
  <si>
    <t>DT000584</t>
  </si>
  <si>
    <t>DT000585</t>
  </si>
  <si>
    <t>DT000586</t>
  </si>
  <si>
    <t>DT000587</t>
  </si>
  <si>
    <t>DT000588</t>
  </si>
  <si>
    <t>DT000589</t>
  </si>
  <si>
    <t>DT000590</t>
  </si>
  <si>
    <t>DT000591</t>
  </si>
  <si>
    <t>DT000592</t>
  </si>
  <si>
    <t>DT000593</t>
  </si>
  <si>
    <t>DT000594</t>
  </si>
  <si>
    <t>DT000595</t>
  </si>
  <si>
    <t>DT000596</t>
  </si>
  <si>
    <t>DT000597</t>
  </si>
  <si>
    <t>DT000598</t>
  </si>
  <si>
    <t>DT000599</t>
  </si>
  <si>
    <t>DT000600</t>
  </si>
  <si>
    <t>DT000601</t>
  </si>
  <si>
    <t>DT000602</t>
  </si>
  <si>
    <t>DT000603</t>
  </si>
  <si>
    <t>DT000604</t>
  </si>
  <si>
    <t>DT000605</t>
  </si>
  <si>
    <t>DT000606</t>
  </si>
  <si>
    <t>DT000607</t>
  </si>
  <si>
    <t>DT000608</t>
  </si>
  <si>
    <t>DT000609</t>
  </si>
  <si>
    <t>DT000610</t>
  </si>
  <si>
    <t>DT000611</t>
  </si>
  <si>
    <t>DT000612</t>
  </si>
  <si>
    <t>DT000613</t>
  </si>
  <si>
    <t>DT000614</t>
  </si>
  <si>
    <t>DT000615</t>
  </si>
  <si>
    <t>DT000616</t>
  </si>
  <si>
    <t>DT000617</t>
  </si>
  <si>
    <t>DT000618</t>
  </si>
  <si>
    <t>DT000619</t>
  </si>
  <si>
    <t>DT000620</t>
  </si>
  <si>
    <t>DT000621</t>
  </si>
  <si>
    <t>DT000622</t>
  </si>
  <si>
    <t>DT000623</t>
  </si>
  <si>
    <t>DT000624</t>
  </si>
  <si>
    <t>DT000625</t>
  </si>
  <si>
    <t>DT000626</t>
  </si>
  <si>
    <t>DT000627</t>
  </si>
  <si>
    <t>DT000628</t>
  </si>
  <si>
    <t>DT000629</t>
  </si>
  <si>
    <t>DT000630</t>
  </si>
  <si>
    <t>DT000631</t>
  </si>
  <si>
    <t>DT000632</t>
  </si>
  <si>
    <t>DT000633</t>
  </si>
  <si>
    <t>DT000634</t>
  </si>
  <si>
    <t>DT000635</t>
  </si>
  <si>
    <t>DT000636</t>
  </si>
  <si>
    <t>DT000637</t>
  </si>
  <si>
    <t>DT000638</t>
  </si>
  <si>
    <t>DT000639</t>
  </si>
  <si>
    <t>DT000640</t>
  </si>
  <si>
    <t>DT000641</t>
  </si>
  <si>
    <t>DT000642</t>
  </si>
  <si>
    <t>DT000643</t>
  </si>
  <si>
    <t>DT000644</t>
  </si>
  <si>
    <t>DT000645</t>
  </si>
  <si>
    <t>DT000646</t>
  </si>
  <si>
    <t>DT000647</t>
  </si>
  <si>
    <t>DT000648</t>
  </si>
  <si>
    <t>DT000649</t>
  </si>
  <si>
    <t>DT000650</t>
  </si>
  <si>
    <t>DT000651</t>
  </si>
  <si>
    <t>DT000652</t>
  </si>
  <si>
    <t>DT000653</t>
  </si>
  <si>
    <t>DT000654</t>
  </si>
  <si>
    <t>DT000655</t>
  </si>
  <si>
    <t>DT000656</t>
  </si>
  <si>
    <t>DT000657</t>
  </si>
  <si>
    <t>DT000658</t>
  </si>
  <si>
    <t>DT000659</t>
  </si>
  <si>
    <t>DT000660</t>
  </si>
  <si>
    <t>DT000661</t>
  </si>
  <si>
    <t>DT000662</t>
  </si>
  <si>
    <t>DT000663</t>
  </si>
  <si>
    <t>DT000664</t>
  </si>
  <si>
    <t>DT000665</t>
  </si>
  <si>
    <t>DT000666</t>
  </si>
  <si>
    <t>DT000667</t>
  </si>
  <si>
    <t>DT000668</t>
  </si>
  <si>
    <t>DT000669</t>
  </si>
  <si>
    <t>DT000670</t>
  </si>
  <si>
    <t>DT000671</t>
  </si>
  <si>
    <t>DT000672</t>
  </si>
  <si>
    <t>DT000673</t>
  </si>
  <si>
    <t>DT000674</t>
  </si>
  <si>
    <t>DT000675</t>
  </si>
  <si>
    <t>DT000676</t>
  </si>
  <si>
    <t>DT000677</t>
  </si>
  <si>
    <t>DT000678</t>
  </si>
  <si>
    <t>DT000679</t>
  </si>
  <si>
    <t>DT000680</t>
  </si>
  <si>
    <t>DT000681</t>
  </si>
  <si>
    <t>DT000682</t>
  </si>
  <si>
    <t>DT000683</t>
  </si>
  <si>
    <t>DT000684</t>
  </si>
  <si>
    <t>DT000685</t>
  </si>
  <si>
    <t>DT000686</t>
  </si>
  <si>
    <t>DT000687</t>
  </si>
  <si>
    <t>DT000688</t>
  </si>
  <si>
    <t>DT000689</t>
  </si>
  <si>
    <t>DT000690</t>
  </si>
  <si>
    <t>DT000691</t>
  </si>
  <si>
    <t>DT000692</t>
  </si>
  <si>
    <t>DT000693</t>
  </si>
  <si>
    <t>DT000694</t>
  </si>
  <si>
    <t>DT000695</t>
  </si>
  <si>
    <t>DT000696</t>
  </si>
  <si>
    <t>DT000697</t>
  </si>
  <si>
    <t>DT000698</t>
  </si>
  <si>
    <t>DT000699</t>
  </si>
  <si>
    <t>DT000700</t>
  </si>
  <si>
    <t>DT000701</t>
  </si>
  <si>
    <t>DT000702</t>
  </si>
  <si>
    <t>DT000703</t>
  </si>
  <si>
    <t>DT000704</t>
  </si>
  <si>
    <t>DT000705</t>
  </si>
  <si>
    <t>DT000706</t>
  </si>
  <si>
    <t>DT000707</t>
  </si>
  <si>
    <t>DT000708</t>
  </si>
  <si>
    <t>DT000709</t>
  </si>
  <si>
    <t>DT000710</t>
  </si>
  <si>
    <t>DT000711</t>
  </si>
  <si>
    <t>DT000712</t>
  </si>
  <si>
    <t>DT000713</t>
  </si>
  <si>
    <t>DT000714</t>
  </si>
  <si>
    <t>DT000715</t>
  </si>
  <si>
    <t>DT000716</t>
  </si>
  <si>
    <t>DT000717</t>
  </si>
  <si>
    <t>DT000718</t>
  </si>
  <si>
    <t>DT000719</t>
  </si>
  <si>
    <t>DT000720</t>
  </si>
  <si>
    <t>DT000721</t>
  </si>
  <si>
    <t>DT000722</t>
  </si>
  <si>
    <t>DT000723</t>
  </si>
  <si>
    <t>DT000724</t>
  </si>
  <si>
    <t>DT000725</t>
  </si>
  <si>
    <t>DT000726</t>
  </si>
  <si>
    <t>DT000727</t>
  </si>
  <si>
    <t>DT000728</t>
  </si>
  <si>
    <t>DT000729</t>
  </si>
  <si>
    <t>DT000730</t>
  </si>
  <si>
    <t>DT000731</t>
  </si>
  <si>
    <t>DT000732</t>
  </si>
  <si>
    <t>DT000733</t>
  </si>
  <si>
    <t>DT000734</t>
  </si>
  <si>
    <t>DT000735</t>
  </si>
  <si>
    <t>DT000736</t>
  </si>
  <si>
    <t>DT000737</t>
  </si>
  <si>
    <t>DT000738</t>
  </si>
  <si>
    <t>DT000739</t>
  </si>
  <si>
    <t>DT000740</t>
  </si>
  <si>
    <t>DT000741</t>
  </si>
  <si>
    <t>DT000742</t>
  </si>
  <si>
    <t>DT000743</t>
  </si>
  <si>
    <t>DT000744</t>
  </si>
  <si>
    <t>DT000745</t>
  </si>
  <si>
    <t>DT000746</t>
  </si>
  <si>
    <t>DT000747</t>
  </si>
  <si>
    <t>DT000748</t>
  </si>
  <si>
    <t>DT000749</t>
  </si>
  <si>
    <t>DT000750</t>
  </si>
  <si>
    <t>DT000751</t>
  </si>
  <si>
    <t>DT000752</t>
  </si>
  <si>
    <t>DT000753</t>
  </si>
  <si>
    <t>DT000754</t>
  </si>
  <si>
    <t>DT000755</t>
  </si>
  <si>
    <t>DT000756</t>
  </si>
  <si>
    <t>DT000757</t>
  </si>
  <si>
    <t>DT000758</t>
  </si>
  <si>
    <t>DT000759</t>
  </si>
  <si>
    <t>DT000760</t>
  </si>
  <si>
    <t>DT000761</t>
  </si>
  <si>
    <t>DT000762</t>
  </si>
  <si>
    <t>DT000763</t>
  </si>
  <si>
    <t>DT000764</t>
  </si>
  <si>
    <t>DT000765</t>
  </si>
  <si>
    <t>DT000766</t>
  </si>
  <si>
    <t>DT000767</t>
  </si>
  <si>
    <t>DT000768</t>
  </si>
  <si>
    <t>DT000769</t>
  </si>
  <si>
    <t>DT000770</t>
  </si>
  <si>
    <t>DT000771</t>
  </si>
  <si>
    <t>DT000772</t>
  </si>
  <si>
    <t>DT000773</t>
  </si>
  <si>
    <t>DT000774</t>
  </si>
  <si>
    <t>DT000775</t>
  </si>
  <si>
    <t>DT000776</t>
  </si>
  <si>
    <t>DT000777</t>
  </si>
  <si>
    <t>DT000778</t>
  </si>
  <si>
    <t>DT000779</t>
  </si>
  <si>
    <t>DT000780</t>
  </si>
  <si>
    <t>DT000781</t>
  </si>
  <si>
    <t>DT000782</t>
  </si>
  <si>
    <t>DT000783</t>
  </si>
  <si>
    <t>DT000784</t>
  </si>
  <si>
    <t>DT000785</t>
  </si>
  <si>
    <t>DT000786</t>
  </si>
  <si>
    <t>DT000787</t>
  </si>
  <si>
    <t>DT000788</t>
  </si>
  <si>
    <t>DT000789</t>
  </si>
  <si>
    <t>DT000790</t>
  </si>
  <si>
    <t>DT000791</t>
  </si>
  <si>
    <t>DT000792</t>
  </si>
  <si>
    <t>DT000793</t>
  </si>
  <si>
    <t>DT000794</t>
  </si>
  <si>
    <t>DT000795</t>
  </si>
  <si>
    <t>DT000796</t>
  </si>
  <si>
    <t>DT000797</t>
  </si>
  <si>
    <t>DT000798</t>
  </si>
  <si>
    <t>DT000799</t>
  </si>
  <si>
    <t>DT000800</t>
  </si>
  <si>
    <t>DT000801</t>
  </si>
  <si>
    <t>DT000802</t>
  </si>
  <si>
    <t>DT000803</t>
  </si>
  <si>
    <t>DT000804</t>
  </si>
  <si>
    <t>DT000805</t>
  </si>
  <si>
    <t>DT000806</t>
  </si>
  <si>
    <t>DT000807</t>
  </si>
  <si>
    <t>DT000808</t>
  </si>
  <si>
    <t>DT000809</t>
  </si>
  <si>
    <t>DT000810</t>
  </si>
  <si>
    <t>DT000811</t>
  </si>
  <si>
    <t>DT000812</t>
  </si>
  <si>
    <t>DT000813</t>
  </si>
  <si>
    <t>DT000814</t>
  </si>
  <si>
    <t>DT000815</t>
  </si>
  <si>
    <t>DT000816</t>
  </si>
  <si>
    <t>DT000817</t>
  </si>
  <si>
    <t>DT000818</t>
  </si>
  <si>
    <t>DT000819</t>
  </si>
  <si>
    <t>DT000820</t>
  </si>
  <si>
    <t>DT000821</t>
  </si>
  <si>
    <t>DT000822</t>
  </si>
  <si>
    <t>DT000823</t>
  </si>
  <si>
    <t>DT000824</t>
  </si>
  <si>
    <t>DT000825</t>
  </si>
  <si>
    <t>DT000826</t>
  </si>
  <si>
    <t>DT000827</t>
  </si>
  <si>
    <t>DT000828</t>
  </si>
  <si>
    <t>DT000829</t>
  </si>
  <si>
    <t>DT000830</t>
  </si>
  <si>
    <t>DT000831</t>
  </si>
  <si>
    <t>DT000832</t>
  </si>
  <si>
    <t>DT000833</t>
  </si>
  <si>
    <t>DT000834</t>
  </si>
  <si>
    <t>DT000835</t>
  </si>
  <si>
    <t>DT000836</t>
  </si>
  <si>
    <t>DT000837</t>
  </si>
  <si>
    <t>DT000838</t>
  </si>
  <si>
    <t>DT000839</t>
  </si>
  <si>
    <t>DT000840</t>
  </si>
  <si>
    <t>DT000841</t>
  </si>
  <si>
    <t>DT000842</t>
  </si>
  <si>
    <t>DT000843</t>
  </si>
  <si>
    <t>DT000844</t>
  </si>
  <si>
    <t>DT000845</t>
  </si>
  <si>
    <t>DT000846</t>
  </si>
  <si>
    <t>DT000847</t>
  </si>
  <si>
    <t>DT000848</t>
  </si>
  <si>
    <t>DT000849</t>
  </si>
  <si>
    <t>DT000850</t>
  </si>
  <si>
    <t>DT000851</t>
  </si>
  <si>
    <t>DT000852</t>
  </si>
  <si>
    <t>DT000853</t>
  </si>
  <si>
    <t>DT000854</t>
  </si>
  <si>
    <t>DT000855</t>
  </si>
  <si>
    <t>DT000856</t>
  </si>
  <si>
    <t>DT000857</t>
  </si>
  <si>
    <t>DT000858</t>
  </si>
  <si>
    <t>DT000859</t>
  </si>
  <si>
    <t>DT000860</t>
  </si>
  <si>
    <t>DT000861</t>
  </si>
  <si>
    <t>DT000862</t>
  </si>
  <si>
    <t>DT000863</t>
  </si>
  <si>
    <t>DT000864</t>
  </si>
  <si>
    <t>DT000865</t>
  </si>
  <si>
    <t>DT000866</t>
  </si>
  <si>
    <t>DT000867</t>
  </si>
  <si>
    <t>DT000868</t>
  </si>
  <si>
    <t>DT000869</t>
  </si>
  <si>
    <t>DT000870</t>
  </si>
  <si>
    <t>DT000871</t>
  </si>
  <si>
    <t>DT000872</t>
  </si>
  <si>
    <t>DT000873</t>
  </si>
  <si>
    <t>DT000874</t>
  </si>
  <si>
    <t>DT000875</t>
  </si>
  <si>
    <t>DT000876</t>
  </si>
  <si>
    <t>DT000877</t>
  </si>
  <si>
    <t>DT000878</t>
  </si>
  <si>
    <t>DT000879</t>
  </si>
  <si>
    <t>DT000880</t>
  </si>
  <si>
    <t>DT000881</t>
  </si>
  <si>
    <t>DT000882</t>
  </si>
  <si>
    <t>DT000883</t>
  </si>
  <si>
    <t>DT000884</t>
  </si>
  <si>
    <t>DT000885</t>
  </si>
  <si>
    <t>DT000886</t>
  </si>
  <si>
    <t>DT000887</t>
  </si>
  <si>
    <t>DT000888</t>
  </si>
  <si>
    <t>DT000889</t>
  </si>
  <si>
    <t>DT000890</t>
  </si>
  <si>
    <t>DT000891</t>
  </si>
  <si>
    <t>DT000892</t>
  </si>
  <si>
    <t>DT000893</t>
  </si>
  <si>
    <t>DT000894</t>
  </si>
  <si>
    <t>DT000895</t>
  </si>
  <si>
    <t>DT000896</t>
  </si>
  <si>
    <t>DT000897</t>
  </si>
  <si>
    <t>DT000898</t>
  </si>
  <si>
    <t>DT000899</t>
  </si>
  <si>
    <t>DT000900</t>
  </si>
  <si>
    <t>DT000901</t>
  </si>
  <si>
    <t>DT000902</t>
  </si>
  <si>
    <t>DT000903</t>
  </si>
  <si>
    <t>DT000904</t>
  </si>
  <si>
    <t>DT000905</t>
  </si>
  <si>
    <t>DT000906</t>
  </si>
  <si>
    <t>DT000907</t>
  </si>
  <si>
    <t>DT000908</t>
  </si>
  <si>
    <t>DT000909</t>
  </si>
  <si>
    <t>DT000910</t>
  </si>
  <si>
    <t>DT000911</t>
  </si>
  <si>
    <t>DT000912</t>
  </si>
  <si>
    <t>DT000913</t>
  </si>
  <si>
    <t>DT000914</t>
  </si>
  <si>
    <t>DT000915</t>
  </si>
  <si>
    <t>DT000916</t>
  </si>
  <si>
    <t>DT000917</t>
  </si>
  <si>
    <t>DT000918</t>
  </si>
  <si>
    <t>DT000919</t>
  </si>
  <si>
    <t>DT000920</t>
  </si>
  <si>
    <t>DT000921</t>
  </si>
  <si>
    <t>DT000922</t>
  </si>
  <si>
    <t>DT000923</t>
  </si>
  <si>
    <t>DT000924</t>
  </si>
  <si>
    <t>DT000925</t>
  </si>
  <si>
    <t>DT000926</t>
  </si>
  <si>
    <t>DT000927</t>
  </si>
  <si>
    <t>DT000928</t>
  </si>
  <si>
    <t>DT000929</t>
  </si>
  <si>
    <t>DT000930</t>
  </si>
  <si>
    <t>DT000931</t>
  </si>
  <si>
    <t>DT000932</t>
  </si>
  <si>
    <t>DT000933</t>
  </si>
  <si>
    <t>DT000934</t>
  </si>
  <si>
    <t>DT000935</t>
  </si>
  <si>
    <t>DT000936</t>
  </si>
  <si>
    <t>DT000937</t>
  </si>
  <si>
    <t>DT000938</t>
  </si>
  <si>
    <t>DT000939</t>
  </si>
  <si>
    <t>DT000940</t>
  </si>
  <si>
    <t>DT000941</t>
  </si>
  <si>
    <t>DT000942</t>
  </si>
  <si>
    <t>DT000943</t>
  </si>
  <si>
    <t>DT000944</t>
  </si>
  <si>
    <t>DT000945</t>
  </si>
  <si>
    <t>DT000946</t>
  </si>
  <si>
    <t>DT000947</t>
  </si>
  <si>
    <t>DT000948</t>
  </si>
  <si>
    <t>DT000949</t>
  </si>
  <si>
    <t>DT000950</t>
  </si>
  <si>
    <t>DT000951</t>
  </si>
  <si>
    <t>DT000952</t>
  </si>
  <si>
    <t>DT000953</t>
  </si>
  <si>
    <t>DT000954</t>
  </si>
  <si>
    <t>DT000955</t>
  </si>
  <si>
    <t>DT000956</t>
  </si>
  <si>
    <t>DT000957</t>
  </si>
  <si>
    <t>DT000958</t>
  </si>
  <si>
    <t>DT000959</t>
  </si>
  <si>
    <t>DT000960</t>
  </si>
  <si>
    <t>DT000961</t>
  </si>
  <si>
    <t>DT000962</t>
  </si>
  <si>
    <t>DT000963</t>
  </si>
  <si>
    <t>DT000964</t>
  </si>
  <si>
    <t>DT000965</t>
  </si>
  <si>
    <t>DT000966</t>
  </si>
  <si>
    <t>DT000967</t>
  </si>
  <si>
    <t>DT000968</t>
  </si>
  <si>
    <t>DT000969</t>
  </si>
  <si>
    <t>DT000970</t>
  </si>
  <si>
    <t>DT000971</t>
  </si>
  <si>
    <t>DT000972</t>
  </si>
  <si>
    <t>DT000973</t>
  </si>
  <si>
    <t>DT000974</t>
  </si>
  <si>
    <t>DT000975</t>
  </si>
  <si>
    <t>DT000976</t>
  </si>
  <si>
    <t>DT000977</t>
  </si>
  <si>
    <t>DT000978</t>
  </si>
  <si>
    <t>DT000979</t>
  </si>
  <si>
    <t>DT000980</t>
  </si>
  <si>
    <t>DT000981</t>
  </si>
  <si>
    <t>DT000982</t>
  </si>
  <si>
    <t>DT000983</t>
  </si>
  <si>
    <t>DT000984</t>
  </si>
  <si>
    <t>DT000985</t>
  </si>
  <si>
    <t>DT000986</t>
  </si>
  <si>
    <t>DT000987</t>
  </si>
  <si>
    <t>DT000988</t>
  </si>
  <si>
    <t>DT000989</t>
  </si>
  <si>
    <t>DT000990</t>
  </si>
  <si>
    <t>DT000991</t>
  </si>
  <si>
    <t>DT000992</t>
  </si>
  <si>
    <t>DT000993</t>
  </si>
  <si>
    <t>DT000994</t>
  </si>
  <si>
    <t>DT000995</t>
  </si>
  <si>
    <t>DT000996</t>
  </si>
  <si>
    <t>DT000997</t>
  </si>
  <si>
    <t>DT000998</t>
  </si>
  <si>
    <t>DT000999</t>
  </si>
  <si>
    <t>DT001000</t>
  </si>
  <si>
    <t>DT001001</t>
  </si>
  <si>
    <t>DT001002</t>
  </si>
  <si>
    <t>DT001003</t>
  </si>
  <si>
    <t>DT001004</t>
  </si>
  <si>
    <t>DT001005</t>
  </si>
  <si>
    <t>DT001006</t>
  </si>
  <si>
    <t>DT001007</t>
  </si>
  <si>
    <t>DT001008</t>
  </si>
  <si>
    <t>DT001009</t>
  </si>
  <si>
    <t>DT001010</t>
  </si>
  <si>
    <t>DT001011</t>
  </si>
  <si>
    <t>DT001012</t>
  </si>
  <si>
    <t>DT001013</t>
  </si>
  <si>
    <t>DT001014</t>
  </si>
  <si>
    <t>DT001015</t>
  </si>
  <si>
    <t>DT001016</t>
  </si>
  <si>
    <t>DT001017</t>
  </si>
  <si>
    <t>DT001018</t>
  </si>
  <si>
    <t>DT001019</t>
  </si>
  <si>
    <t>DT001020</t>
  </si>
  <si>
    <t>DT001021</t>
  </si>
  <si>
    <t>DT001022</t>
  </si>
  <si>
    <t>DT001023</t>
  </si>
  <si>
    <t>DT001024</t>
  </si>
  <si>
    <t>DT001025</t>
  </si>
  <si>
    <t>DT001026</t>
  </si>
  <si>
    <t>DT001027</t>
  </si>
  <si>
    <t>DT001028</t>
  </si>
  <si>
    <t>DT001029</t>
  </si>
  <si>
    <t>DT001030</t>
  </si>
  <si>
    <t>DT001031</t>
  </si>
  <si>
    <t>DT001032</t>
  </si>
  <si>
    <t>DT001033</t>
  </si>
  <si>
    <t>DT001034</t>
  </si>
  <si>
    <t>DT001035</t>
  </si>
  <si>
    <t>DT001036</t>
  </si>
  <si>
    <t>DT001037</t>
  </si>
  <si>
    <t>DT001038</t>
  </si>
  <si>
    <t>DT001039</t>
  </si>
  <si>
    <t>DT001040</t>
  </si>
  <si>
    <t>DT001041</t>
  </si>
  <si>
    <t>DT001042</t>
  </si>
  <si>
    <t>DT001043</t>
  </si>
  <si>
    <t>DT001044</t>
  </si>
  <si>
    <t>DT001045</t>
  </si>
  <si>
    <t>DT001046</t>
  </si>
  <si>
    <t>DT001047</t>
  </si>
  <si>
    <t>DT001048</t>
  </si>
  <si>
    <t>DT001049</t>
  </si>
  <si>
    <t>DT001050</t>
  </si>
  <si>
    <t>DT001051</t>
  </si>
  <si>
    <t>DT001052</t>
  </si>
  <si>
    <t>DT001053</t>
  </si>
  <si>
    <t>DT001054</t>
  </si>
  <si>
    <t>DT001055</t>
  </si>
  <si>
    <t>DT001056</t>
  </si>
  <si>
    <t>DT001057</t>
  </si>
  <si>
    <t>DT001058</t>
  </si>
  <si>
    <t>DT001059</t>
  </si>
  <si>
    <t>DT001060</t>
  </si>
  <si>
    <t>DT001061</t>
  </si>
  <si>
    <t>DT001062</t>
  </si>
  <si>
    <t>DT001063</t>
  </si>
  <si>
    <t>DT001064</t>
  </si>
  <si>
    <t>DT001065</t>
  </si>
  <si>
    <t>DT001066</t>
  </si>
  <si>
    <t>DT001067</t>
  </si>
  <si>
    <t>DT001068</t>
  </si>
  <si>
    <t>DT001069</t>
  </si>
  <si>
    <t>DT001070</t>
  </si>
  <si>
    <t>DT001071</t>
  </si>
  <si>
    <t>DT001072</t>
  </si>
  <si>
    <t>DT001073</t>
  </si>
  <si>
    <t>DT001074</t>
  </si>
  <si>
    <t>DT001075</t>
  </si>
  <si>
    <t>DT001076</t>
  </si>
  <si>
    <t>DT001077</t>
  </si>
  <si>
    <t>DT001078</t>
  </si>
  <si>
    <t>DT001079</t>
  </si>
  <si>
    <t>DT001080</t>
  </si>
  <si>
    <t>DT001081</t>
  </si>
  <si>
    <t>DT001082</t>
  </si>
  <si>
    <t>DT001083</t>
  </si>
  <si>
    <t>DT001084</t>
  </si>
  <si>
    <t>DT001085</t>
  </si>
  <si>
    <t>DT001086</t>
  </si>
  <si>
    <t>DT001087</t>
  </si>
  <si>
    <t>DT001088</t>
  </si>
  <si>
    <t>DT001089</t>
  </si>
  <si>
    <t>DT001090</t>
  </si>
  <si>
    <t>DT001091</t>
  </si>
  <si>
    <t>DT001092</t>
  </si>
  <si>
    <t>DT001093</t>
  </si>
  <si>
    <t>DT001094</t>
  </si>
  <si>
    <t>DT001095</t>
  </si>
  <si>
    <t>DT001096</t>
  </si>
  <si>
    <t>DT001097</t>
  </si>
  <si>
    <t>DT001098</t>
  </si>
  <si>
    <t>DT001099</t>
  </si>
  <si>
    <t>DT001100</t>
  </si>
  <si>
    <t>DT001101</t>
  </si>
  <si>
    <t>DT001102</t>
  </si>
  <si>
    <t>DT001103</t>
  </si>
  <si>
    <t>DT001104</t>
  </si>
  <si>
    <t>DT001105</t>
  </si>
  <si>
    <t>DT001106</t>
  </si>
  <si>
    <t>DT001107</t>
  </si>
  <si>
    <t>DT001108</t>
  </si>
  <si>
    <t>DT001109</t>
  </si>
  <si>
    <t>DT001110</t>
  </si>
  <si>
    <t>DT001111</t>
  </si>
  <si>
    <t>DT001112</t>
  </si>
  <si>
    <t>DT001113</t>
  </si>
  <si>
    <t>DT001114</t>
  </si>
  <si>
    <t>DT001115</t>
  </si>
  <si>
    <t>DT001116</t>
  </si>
  <si>
    <t>DT001117</t>
  </si>
  <si>
    <t>DT001118</t>
  </si>
  <si>
    <t>DT001119</t>
  </si>
  <si>
    <t>DT001120</t>
  </si>
  <si>
    <t>DT001121</t>
  </si>
  <si>
    <t>DT001122</t>
  </si>
  <si>
    <t>DT001123</t>
  </si>
  <si>
    <t>DT001124</t>
  </si>
  <si>
    <t>DT001125</t>
  </si>
  <si>
    <t>DT001126</t>
  </si>
  <si>
    <t>DT001127</t>
  </si>
  <si>
    <t>DT001128</t>
  </si>
  <si>
    <t>DT001129</t>
  </si>
  <si>
    <t>DT001130</t>
  </si>
  <si>
    <t>DT001131</t>
  </si>
  <si>
    <t>DT001132</t>
  </si>
  <si>
    <t>DT001133</t>
  </si>
  <si>
    <t>DT001134</t>
  </si>
  <si>
    <t>DT001135</t>
  </si>
  <si>
    <t>DT001136</t>
  </si>
  <si>
    <t>DT001137</t>
  </si>
  <si>
    <t>DT001138</t>
  </si>
  <si>
    <t>DT001139</t>
  </si>
  <si>
    <t>DT001140</t>
  </si>
  <si>
    <t>DT001141</t>
  </si>
  <si>
    <t>DT001142</t>
  </si>
  <si>
    <t>DT001143</t>
  </si>
  <si>
    <t>DT001144</t>
  </si>
  <si>
    <t>DT001145</t>
  </si>
  <si>
    <t>DT001146</t>
  </si>
  <si>
    <t>DT001147</t>
  </si>
  <si>
    <t>DT001148</t>
  </si>
  <si>
    <t>DT001149</t>
  </si>
  <si>
    <t>DT001150</t>
  </si>
  <si>
    <t>DT001151</t>
  </si>
  <si>
    <t>DT001152</t>
  </si>
  <si>
    <t>DT001153</t>
  </si>
  <si>
    <t>DT001154</t>
  </si>
  <si>
    <t>DT001155</t>
  </si>
  <si>
    <t>DT001156</t>
  </si>
  <si>
    <t>DT001157</t>
  </si>
  <si>
    <t>DT001158</t>
  </si>
  <si>
    <t>DT001159</t>
  </si>
  <si>
    <t>DT001160</t>
  </si>
  <si>
    <t>DT001161</t>
  </si>
  <si>
    <t>DT001162</t>
  </si>
  <si>
    <t>DT001163</t>
  </si>
  <si>
    <t>DT001164</t>
  </si>
  <si>
    <t>DT001165</t>
  </si>
  <si>
    <t>DT001166</t>
  </si>
  <si>
    <t>DT001167</t>
  </si>
  <si>
    <t>DT001168</t>
  </si>
  <si>
    <t>DT001169</t>
  </si>
  <si>
    <t>DT001170</t>
  </si>
  <si>
    <t>DT001171</t>
  </si>
  <si>
    <t>DT001172</t>
  </si>
  <si>
    <t>DT001173</t>
  </si>
  <si>
    <t>DT001174</t>
  </si>
  <si>
    <t>DT001175</t>
  </si>
  <si>
    <t>DT001176</t>
  </si>
  <si>
    <t>DT001177</t>
  </si>
  <si>
    <t>DT001178</t>
  </si>
  <si>
    <t>DT001179</t>
  </si>
  <si>
    <t>DT001180</t>
  </si>
  <si>
    <t>DT001181</t>
  </si>
  <si>
    <t>DT001182</t>
  </si>
  <si>
    <t>DT001183</t>
  </si>
  <si>
    <t>DT001184</t>
  </si>
  <si>
    <t>DT001185</t>
  </si>
  <si>
    <t>DT001186</t>
  </si>
  <si>
    <t>DT001187</t>
  </si>
  <si>
    <t>DT001188</t>
  </si>
  <si>
    <t>DT001189</t>
  </si>
  <si>
    <t>DT001190</t>
  </si>
  <si>
    <t>DT001191</t>
  </si>
  <si>
    <t>DT001192</t>
  </si>
  <si>
    <t>DT001193</t>
  </si>
  <si>
    <t>DT001194</t>
  </si>
  <si>
    <t>DT001195</t>
  </si>
  <si>
    <t>DT001196</t>
  </si>
  <si>
    <t>DT001197</t>
  </si>
  <si>
    <t>DT001198</t>
  </si>
  <si>
    <t>DT001199</t>
  </si>
  <si>
    <t>DT001200</t>
  </si>
  <si>
    <t>DT001201</t>
  </si>
  <si>
    <t>DT001202</t>
  </si>
  <si>
    <t>DT001203</t>
  </si>
  <si>
    <t>DT001204</t>
  </si>
  <si>
    <t>DT001205</t>
  </si>
  <si>
    <t>DT001206</t>
  </si>
  <si>
    <t>DT001207</t>
  </si>
  <si>
    <t>DT001208</t>
  </si>
  <si>
    <t>DT001209</t>
  </si>
  <si>
    <t>DT001210</t>
  </si>
  <si>
    <t>DT001211</t>
  </si>
  <si>
    <t>DT001212</t>
  </si>
  <si>
    <t>DT001213</t>
  </si>
  <si>
    <t>DT001214</t>
  </si>
  <si>
    <t>DT001215</t>
  </si>
  <si>
    <t>DT001216</t>
  </si>
  <si>
    <t>DT001217</t>
  </si>
  <si>
    <t>DT001218</t>
  </si>
  <si>
    <t>DT001219</t>
  </si>
  <si>
    <t>DT001220</t>
  </si>
  <si>
    <t>DT001221</t>
  </si>
  <si>
    <t>DT001222</t>
  </si>
  <si>
    <t>DT001223</t>
  </si>
  <si>
    <t>DT001224</t>
  </si>
  <si>
    <t>DT001225</t>
  </si>
  <si>
    <t>DT001226</t>
  </si>
  <si>
    <t>DT001227</t>
  </si>
  <si>
    <t>DT001228</t>
  </si>
  <si>
    <t>DT001229</t>
  </si>
  <si>
    <t>DT001230</t>
  </si>
  <si>
    <t>DT001231</t>
  </si>
  <si>
    <t>DT001232</t>
  </si>
  <si>
    <t>DT001233</t>
  </si>
  <si>
    <t>DT001234</t>
  </si>
  <si>
    <t>DT001235</t>
  </si>
  <si>
    <t>DT001236</t>
  </si>
  <si>
    <t>DT001237</t>
  </si>
  <si>
    <t>DT001238</t>
  </si>
  <si>
    <t>DT001239</t>
  </si>
  <si>
    <t>DT001240</t>
  </si>
  <si>
    <t>DT001241</t>
  </si>
  <si>
    <t>DT001242</t>
  </si>
  <si>
    <t>DT001243</t>
  </si>
  <si>
    <t>DT001244</t>
  </si>
  <si>
    <t>DT001245</t>
  </si>
  <si>
    <t>DT001246</t>
  </si>
  <si>
    <t>DT001247</t>
  </si>
  <si>
    <t>DT001248</t>
  </si>
  <si>
    <t>DT001249</t>
  </si>
  <si>
    <t>DT001250</t>
  </si>
  <si>
    <t>DT001251</t>
  </si>
  <si>
    <t>DT001252</t>
  </si>
  <si>
    <t>DT001253</t>
  </si>
  <si>
    <t>DT001254</t>
  </si>
  <si>
    <t>DT001255</t>
  </si>
  <si>
    <t>DT001256</t>
  </si>
  <si>
    <t>DT001257</t>
  </si>
  <si>
    <t>DT001258</t>
  </si>
  <si>
    <t>DT001259</t>
  </si>
  <si>
    <t>DT001260</t>
  </si>
  <si>
    <t>DT001261</t>
  </si>
  <si>
    <t>DT001262</t>
  </si>
  <si>
    <t>DT001263</t>
  </si>
  <si>
    <t>DT001264</t>
  </si>
  <si>
    <t>DT001265</t>
  </si>
  <si>
    <t>DT001266</t>
  </si>
  <si>
    <t>DT001267</t>
  </si>
  <si>
    <t>DT001268</t>
  </si>
  <si>
    <t>DT001269</t>
  </si>
  <si>
    <t>DT001270</t>
  </si>
  <si>
    <t>DT001271</t>
  </si>
  <si>
    <t>DT001272</t>
  </si>
  <si>
    <t>DT001273</t>
  </si>
  <si>
    <t>DT001274</t>
  </si>
  <si>
    <t>DT001275</t>
  </si>
  <si>
    <t>DT001276</t>
  </si>
  <si>
    <t>DT001277</t>
  </si>
  <si>
    <t>DT001278</t>
  </si>
  <si>
    <t>DT001279</t>
  </si>
  <si>
    <t>DT001280</t>
  </si>
  <si>
    <t>DT001281</t>
  </si>
  <si>
    <t>DT001282</t>
  </si>
  <si>
    <t>DT001283</t>
  </si>
  <si>
    <t>DT001284</t>
  </si>
  <si>
    <t>DT001285</t>
  </si>
  <si>
    <t>DT001286</t>
  </si>
  <si>
    <t>DT001287</t>
  </si>
  <si>
    <t>DT001288</t>
  </si>
  <si>
    <t>DT001289</t>
  </si>
  <si>
    <t>DT001290</t>
  </si>
  <si>
    <t>DT001291</t>
  </si>
  <si>
    <t>DT001292</t>
  </si>
  <si>
    <t>DT001293</t>
  </si>
  <si>
    <t>DT001294</t>
  </si>
  <si>
    <t>DT001295</t>
  </si>
  <si>
    <t>DT001296</t>
  </si>
  <si>
    <t>DT001297</t>
  </si>
  <si>
    <t>DT001298</t>
  </si>
  <si>
    <t>DT001299</t>
  </si>
  <si>
    <t>DT001300</t>
  </si>
  <si>
    <t>DT001301</t>
  </si>
  <si>
    <t>DT001302</t>
  </si>
  <si>
    <t>DT001303</t>
  </si>
  <si>
    <t>DT001304</t>
  </si>
  <si>
    <t>DT001305</t>
  </si>
  <si>
    <t>DT001306</t>
  </si>
  <si>
    <t>DT001307</t>
  </si>
  <si>
    <t>DT001308</t>
  </si>
  <si>
    <t>DT001309</t>
  </si>
  <si>
    <t>DT001310</t>
  </si>
  <si>
    <t>DT001311</t>
  </si>
  <si>
    <t>DT001312</t>
  </si>
  <si>
    <t>DT001313</t>
  </si>
  <si>
    <t>DT001314</t>
  </si>
  <si>
    <t>DT001315</t>
  </si>
  <si>
    <t>DT001316</t>
  </si>
  <si>
    <t>DT001317</t>
  </si>
  <si>
    <t>DT001318</t>
  </si>
  <si>
    <t>DT001319</t>
  </si>
  <si>
    <t>DT001320</t>
  </si>
  <si>
    <t>DT001321</t>
  </si>
  <si>
    <t>DT001322</t>
  </si>
  <si>
    <t>DT001323</t>
  </si>
  <si>
    <t>DT001324</t>
  </si>
  <si>
    <t>DT001325</t>
  </si>
  <si>
    <t>DT001326</t>
  </si>
  <si>
    <t>DT001327</t>
  </si>
  <si>
    <t>DT001328</t>
  </si>
  <si>
    <t>DT001329</t>
  </si>
  <si>
    <t>DT001330</t>
  </si>
  <si>
    <t>DT001331</t>
  </si>
  <si>
    <t>DT001332</t>
  </si>
  <si>
    <t>DT001333</t>
  </si>
  <si>
    <t>DT001334</t>
  </si>
  <si>
    <t>DT001335</t>
  </si>
  <si>
    <t>DT001336</t>
  </si>
  <si>
    <t>DT001337</t>
  </si>
  <si>
    <t>DT001338</t>
  </si>
  <si>
    <t>DT001339</t>
  </si>
  <si>
    <t>DT001340</t>
  </si>
  <si>
    <t>DT001341</t>
  </si>
  <si>
    <t>DT001342</t>
  </si>
  <si>
    <t>DT001343</t>
  </si>
  <si>
    <t>DT001344</t>
  </si>
  <si>
    <t>DT001345</t>
  </si>
  <si>
    <t>DT001346</t>
  </si>
  <si>
    <t>DT001347</t>
  </si>
  <si>
    <t>DT001348</t>
  </si>
  <si>
    <t>DT001349</t>
  </si>
  <si>
    <t>DT001350</t>
  </si>
  <si>
    <t>DT001351</t>
  </si>
  <si>
    <t>DT001352</t>
  </si>
  <si>
    <t>DT001353</t>
  </si>
  <si>
    <t>DT001354</t>
  </si>
  <si>
    <t>DT001355</t>
  </si>
  <si>
    <t>DT001356</t>
  </si>
  <si>
    <t>DT001357</t>
  </si>
  <si>
    <t>DT001358</t>
  </si>
  <si>
    <t>DT001359</t>
  </si>
  <si>
    <t>DT001360</t>
  </si>
  <si>
    <t>DT001361</t>
  </si>
  <si>
    <t>DT001362</t>
  </si>
  <si>
    <t>DT001363</t>
  </si>
  <si>
    <t>DT001364</t>
  </si>
  <si>
    <t>DT001365</t>
  </si>
  <si>
    <t>DT001366</t>
  </si>
  <si>
    <t>DT001367</t>
  </si>
  <si>
    <t>DT001368</t>
  </si>
  <si>
    <t>DT001369</t>
  </si>
  <si>
    <t>DT001370</t>
  </si>
  <si>
    <t>DT001371</t>
  </si>
  <si>
    <t>DT001372</t>
  </si>
  <si>
    <t>DT001373</t>
  </si>
  <si>
    <t>DT001374</t>
  </si>
  <si>
    <t>DT001375</t>
  </si>
  <si>
    <t>DT001376</t>
  </si>
  <si>
    <t>DT001377</t>
  </si>
  <si>
    <t>DT001378</t>
  </si>
  <si>
    <t>DT001379</t>
  </si>
  <si>
    <t>DT001380</t>
  </si>
  <si>
    <t>DT001381</t>
  </si>
  <si>
    <t>DT001382</t>
  </si>
  <si>
    <t>DT001383</t>
  </si>
  <si>
    <t>DT001384</t>
  </si>
  <si>
    <t>DT001385</t>
  </si>
  <si>
    <t>DT001386</t>
  </si>
  <si>
    <t>DT001387</t>
  </si>
  <si>
    <t>DT001388</t>
  </si>
  <si>
    <t>DT001389</t>
  </si>
  <si>
    <t>DT001390</t>
  </si>
  <si>
    <t>DT001391</t>
  </si>
  <si>
    <t>DT001392</t>
  </si>
  <si>
    <t>DT001393</t>
  </si>
  <si>
    <t>DT001394</t>
  </si>
  <si>
    <t>DT001395</t>
  </si>
  <si>
    <t>DT001396</t>
  </si>
  <si>
    <t>DT001397</t>
  </si>
  <si>
    <t>DT001398</t>
  </si>
  <si>
    <t>DT001399</t>
  </si>
  <si>
    <t>DT001400</t>
  </si>
  <si>
    <t>DT001401</t>
  </si>
  <si>
    <t>DT001402</t>
  </si>
  <si>
    <t>DT001403</t>
  </si>
  <si>
    <t>DT001404</t>
  </si>
  <si>
    <t>DT001405</t>
  </si>
  <si>
    <t>DT001406</t>
  </si>
  <si>
    <t>DT001407</t>
  </si>
  <si>
    <t>DT001408</t>
  </si>
  <si>
    <t>DT001409</t>
  </si>
  <si>
    <t>DT001410</t>
  </si>
  <si>
    <t>DT001411</t>
  </si>
  <si>
    <t>DT001412</t>
  </si>
  <si>
    <t>DT001413</t>
  </si>
  <si>
    <t>DT001414</t>
  </si>
  <si>
    <t>DT001415</t>
  </si>
  <si>
    <t>DT001416</t>
  </si>
  <si>
    <t>DT001417</t>
  </si>
  <si>
    <t>DT001418</t>
  </si>
  <si>
    <t>DT001419</t>
  </si>
  <si>
    <t>DT001420</t>
  </si>
  <si>
    <t>DT001421</t>
  </si>
  <si>
    <t>DT001422</t>
  </si>
  <si>
    <t>DT001423</t>
  </si>
  <si>
    <t>DT001424</t>
  </si>
  <si>
    <t>DT001425</t>
  </si>
  <si>
    <t>DT001426</t>
  </si>
  <si>
    <t>DT001427</t>
  </si>
  <si>
    <t>DT001428</t>
  </si>
  <si>
    <t>DT001429</t>
  </si>
  <si>
    <t>DT001430</t>
  </si>
  <si>
    <t>DT001431</t>
  </si>
  <si>
    <t>DT001432</t>
  </si>
  <si>
    <t>DT001433</t>
  </si>
  <si>
    <t>DT001434</t>
  </si>
  <si>
    <t>DT001435</t>
  </si>
  <si>
    <t>DT001436</t>
  </si>
  <si>
    <t>DT001437</t>
  </si>
  <si>
    <t>DT001438</t>
  </si>
  <si>
    <t>DT001439</t>
  </si>
  <si>
    <t>DT001440</t>
  </si>
  <si>
    <t>DT001441</t>
  </si>
  <si>
    <t>DT001442</t>
  </si>
  <si>
    <t>DT001443</t>
  </si>
  <si>
    <t>DT001444</t>
  </si>
  <si>
    <t>DT001445</t>
  </si>
  <si>
    <t>DT001446</t>
  </si>
  <si>
    <t>DT001447</t>
  </si>
  <si>
    <t>DT001448</t>
  </si>
  <si>
    <t>DT001449</t>
  </si>
  <si>
    <t>DT001450</t>
  </si>
  <si>
    <t>DT001451</t>
  </si>
  <si>
    <t>DT001452</t>
  </si>
  <si>
    <t>DT001453</t>
  </si>
  <si>
    <t>DT001454</t>
  </si>
  <si>
    <t>DT001455</t>
  </si>
  <si>
    <t>DT001456</t>
  </si>
  <si>
    <t>DT001457</t>
  </si>
  <si>
    <t>DT001458</t>
  </si>
  <si>
    <t>DT001459</t>
  </si>
  <si>
    <t>DT001460</t>
  </si>
  <si>
    <t>DT001461</t>
  </si>
  <si>
    <t>DT001462</t>
  </si>
  <si>
    <t>DT001463</t>
  </si>
  <si>
    <t>DT001464</t>
  </si>
  <si>
    <t>DT001465</t>
  </si>
  <si>
    <t>DT001466</t>
  </si>
  <si>
    <t>DT001467</t>
  </si>
  <si>
    <t>DT001468</t>
  </si>
  <si>
    <t>DT001469</t>
  </si>
  <si>
    <t>DT001470</t>
  </si>
  <si>
    <t>DT001471</t>
  </si>
  <si>
    <t>DT001472</t>
  </si>
  <si>
    <t>DT001473</t>
  </si>
  <si>
    <t>DT001474</t>
  </si>
  <si>
    <t>DT001475</t>
  </si>
  <si>
    <t>DT001476</t>
  </si>
  <si>
    <t>DT001477</t>
  </si>
  <si>
    <t>DT001478</t>
  </si>
  <si>
    <t>DT001479</t>
  </si>
  <si>
    <t>DT001480</t>
  </si>
  <si>
    <t>DT001481</t>
  </si>
  <si>
    <t>DT001482</t>
  </si>
  <si>
    <t>DT001483</t>
  </si>
  <si>
    <t>DT001484</t>
  </si>
  <si>
    <t>DT001485</t>
  </si>
  <si>
    <t>DT001486</t>
  </si>
  <si>
    <t>DT001487</t>
  </si>
  <si>
    <t>DT001488</t>
  </si>
  <si>
    <t>DT001489</t>
  </si>
  <si>
    <t>DT001490</t>
  </si>
  <si>
    <t>DT001491</t>
  </si>
  <si>
    <t>DT001492</t>
  </si>
  <si>
    <t>DT001493</t>
  </si>
  <si>
    <t>DT001494</t>
  </si>
  <si>
    <t>DT001495</t>
  </si>
  <si>
    <t>DT001496</t>
  </si>
  <si>
    <t>DT001497</t>
  </si>
  <si>
    <t>DT001498</t>
  </si>
  <si>
    <t>DT001499</t>
  </si>
  <si>
    <t>DT001500</t>
  </si>
  <si>
    <t>DT001501</t>
  </si>
  <si>
    <t>DT001502</t>
  </si>
  <si>
    <t>DT001503</t>
  </si>
  <si>
    <t>DT001504</t>
  </si>
  <si>
    <t>DT001505</t>
  </si>
  <si>
    <t>DT001506</t>
  </si>
  <si>
    <t>DT001507</t>
  </si>
  <si>
    <t>DT001508</t>
  </si>
  <si>
    <t>DT001509</t>
  </si>
  <si>
    <t>DT001510</t>
  </si>
  <si>
    <t>DT001511</t>
  </si>
  <si>
    <t>DT001512</t>
  </si>
  <si>
    <t>DT001513</t>
  </si>
  <si>
    <t>DT001514</t>
  </si>
  <si>
    <t>DT001515</t>
  </si>
  <si>
    <t>DT001516</t>
  </si>
  <si>
    <t>DT001517</t>
  </si>
  <si>
    <t>DT001518</t>
  </si>
  <si>
    <t>DT001519</t>
  </si>
  <si>
    <t>DT001520</t>
  </si>
  <si>
    <t>DT001521</t>
  </si>
  <si>
    <t>DT001522</t>
  </si>
  <si>
    <t>DT001523</t>
  </si>
  <si>
    <t>DT001524</t>
  </si>
  <si>
    <t>DT001525</t>
  </si>
  <si>
    <t>DT001526</t>
  </si>
  <si>
    <t>DT001527</t>
  </si>
  <si>
    <t>DT001528</t>
  </si>
  <si>
    <t>DT001529</t>
  </si>
  <si>
    <t>DT001530</t>
  </si>
  <si>
    <t>DT001531</t>
  </si>
  <si>
    <t>DT001532</t>
  </si>
  <si>
    <t>DT001533</t>
  </si>
  <si>
    <t>DT001534</t>
  </si>
  <si>
    <t>DT001535</t>
  </si>
  <si>
    <t>DT001536</t>
  </si>
  <si>
    <t>DT001537</t>
  </si>
  <si>
    <t>DT001538</t>
  </si>
  <si>
    <t>DT001539</t>
  </si>
  <si>
    <t>DT001540</t>
  </si>
  <si>
    <t>DT001541</t>
  </si>
  <si>
    <t>DT001542</t>
  </si>
  <si>
    <t>DT001543</t>
  </si>
  <si>
    <t>DT001544</t>
  </si>
  <si>
    <t>DT001545</t>
  </si>
  <si>
    <t>DT001546</t>
  </si>
  <si>
    <t>DT001547</t>
  </si>
  <si>
    <t>DT001548</t>
  </si>
  <si>
    <t>DT001549</t>
  </si>
  <si>
    <t>DT001550</t>
  </si>
  <si>
    <t>DT001551</t>
  </si>
  <si>
    <t>DT001552</t>
  </si>
  <si>
    <t>DT001553</t>
  </si>
  <si>
    <t>DT001554</t>
  </si>
  <si>
    <t>DT001555</t>
  </si>
  <si>
    <t>DT001556</t>
  </si>
  <si>
    <t>DT001557</t>
  </si>
  <si>
    <t>DT001558</t>
  </si>
  <si>
    <t>DT001559</t>
  </si>
  <si>
    <t>DT001560</t>
  </si>
  <si>
    <t>DT001561</t>
  </si>
  <si>
    <t>DT001562</t>
  </si>
  <si>
    <t>DT001563</t>
  </si>
  <si>
    <t>DT001564</t>
  </si>
  <si>
    <t>DT001565</t>
  </si>
  <si>
    <t>DT001566</t>
  </si>
  <si>
    <t>DT001567</t>
  </si>
  <si>
    <t>DT001568</t>
  </si>
  <si>
    <t>DT001569</t>
  </si>
  <si>
    <t>DT001570</t>
  </si>
  <si>
    <t>DT001571</t>
  </si>
  <si>
    <t>DT001572</t>
  </si>
  <si>
    <t>DT001573</t>
  </si>
  <si>
    <t>DT001574</t>
  </si>
  <si>
    <t>DT001575</t>
  </si>
  <si>
    <t>DT001576</t>
  </si>
  <si>
    <t>DT001577</t>
  </si>
  <si>
    <t>DT001578</t>
  </si>
  <si>
    <t>DT001579</t>
  </si>
  <si>
    <t>DT001580</t>
  </si>
  <si>
    <t>DT001581</t>
  </si>
  <si>
    <t>DT001582</t>
  </si>
  <si>
    <t>DT001583</t>
  </si>
  <si>
    <t>DT001584</t>
  </si>
  <si>
    <t>DT001585</t>
  </si>
  <si>
    <t>DT001586</t>
  </si>
  <si>
    <t>DT001587</t>
  </si>
  <si>
    <t>DT001588</t>
  </si>
  <si>
    <t>DT001589</t>
  </si>
  <si>
    <t>DT001590</t>
  </si>
  <si>
    <t>DT001591</t>
  </si>
  <si>
    <t>DT001592</t>
  </si>
  <si>
    <t>DT001593</t>
  </si>
  <si>
    <t>DT001594</t>
  </si>
  <si>
    <t>DT001595</t>
  </si>
  <si>
    <t>DT001596</t>
  </si>
  <si>
    <t>DT001597</t>
  </si>
  <si>
    <t>DT001598</t>
  </si>
  <si>
    <t>DT001599</t>
  </si>
  <si>
    <t>DT001600</t>
  </si>
  <si>
    <t>DT001601</t>
  </si>
  <si>
    <t>DT001602</t>
  </si>
  <si>
    <t>DT001603</t>
  </si>
  <si>
    <t>DT001604</t>
  </si>
  <si>
    <t>DT001605</t>
  </si>
  <si>
    <t>DT001606</t>
  </si>
  <si>
    <t>DT001607</t>
  </si>
  <si>
    <t>DT001608</t>
  </si>
  <si>
    <t>DT001609</t>
  </si>
  <si>
    <t>DT001610</t>
  </si>
  <si>
    <t>DT001611</t>
  </si>
  <si>
    <t>DT001612</t>
  </si>
  <si>
    <t>DT001613</t>
  </si>
  <si>
    <t>DT001614</t>
  </si>
  <si>
    <t>DT001615</t>
  </si>
  <si>
    <t>DT001616</t>
  </si>
  <si>
    <t>DT001617</t>
  </si>
  <si>
    <t>DT001618</t>
  </si>
  <si>
    <t>DT001619</t>
  </si>
  <si>
    <t>DT001620</t>
  </si>
  <si>
    <t>DT001621</t>
  </si>
  <si>
    <t>DT001622</t>
  </si>
  <si>
    <t>DT001623</t>
  </si>
  <si>
    <t>DT001624</t>
  </si>
  <si>
    <t>DT001625</t>
  </si>
  <si>
    <t>DT001626</t>
  </si>
  <si>
    <t>DT001627</t>
  </si>
  <si>
    <t>DT001628</t>
  </si>
  <si>
    <t>DT001629</t>
  </si>
  <si>
    <t>DT001630</t>
  </si>
  <si>
    <t>DT001631</t>
  </si>
  <si>
    <t>DT001632</t>
  </si>
  <si>
    <t>DT001633</t>
  </si>
  <si>
    <t>DT001634</t>
  </si>
  <si>
    <t>DT001635</t>
  </si>
  <si>
    <t>DT001636</t>
  </si>
  <si>
    <t>DT001637</t>
  </si>
  <si>
    <t>DT001638</t>
  </si>
  <si>
    <t>DT001639</t>
  </si>
  <si>
    <t>DT001640</t>
  </si>
  <si>
    <t>DT001641</t>
  </si>
  <si>
    <t>DT001642</t>
  </si>
  <si>
    <t>DT001643</t>
  </si>
  <si>
    <t>DT001644</t>
  </si>
  <si>
    <t>DT001645</t>
  </si>
  <si>
    <t>DT001646</t>
  </si>
  <si>
    <t>DT001647</t>
  </si>
  <si>
    <t>DT001648</t>
  </si>
  <si>
    <t>DT001649</t>
  </si>
  <si>
    <t>DT001650</t>
  </si>
  <si>
    <t>DT001651</t>
  </si>
  <si>
    <t>DT001652</t>
  </si>
  <si>
    <t>DT001653</t>
  </si>
  <si>
    <t>DT001654</t>
  </si>
  <si>
    <t>DT001655</t>
  </si>
  <si>
    <t>DT001656</t>
  </si>
  <si>
    <t>DT001657</t>
  </si>
  <si>
    <t>DT001658</t>
  </si>
  <si>
    <t>DT001659</t>
  </si>
  <si>
    <t>DT001660</t>
  </si>
  <si>
    <t>DT001661</t>
  </si>
  <si>
    <t>DT001662</t>
  </si>
  <si>
    <t>DT001663</t>
  </si>
  <si>
    <t>DT001664</t>
  </si>
  <si>
    <t>DT001665</t>
  </si>
  <si>
    <t>DT001666</t>
  </si>
  <si>
    <t>DT001667</t>
  </si>
  <si>
    <t>DT001668</t>
  </si>
  <si>
    <t>DT001669</t>
  </si>
  <si>
    <t>DT001670</t>
  </si>
  <si>
    <t>DT001671</t>
  </si>
  <si>
    <t>DT001672</t>
  </si>
  <si>
    <t>DT001673</t>
  </si>
  <si>
    <t>DT001674</t>
  </si>
  <si>
    <t>DT001675</t>
  </si>
  <si>
    <t>DT001676</t>
  </si>
  <si>
    <t>DT001677</t>
  </si>
  <si>
    <t>DT001678</t>
  </si>
  <si>
    <t>DT001679</t>
  </si>
  <si>
    <t>DT001680</t>
  </si>
  <si>
    <t>DT001681</t>
  </si>
  <si>
    <t>DT001682</t>
  </si>
  <si>
    <t>DT001683</t>
  </si>
  <si>
    <t>DT001684</t>
  </si>
  <si>
    <t>DT001685</t>
  </si>
  <si>
    <t>DT001686</t>
  </si>
  <si>
    <t>DT001687</t>
  </si>
  <si>
    <t>DT001688</t>
  </si>
  <si>
    <t>DT001689</t>
  </si>
  <si>
    <t>DT001690</t>
  </si>
  <si>
    <t>DT001691</t>
  </si>
  <si>
    <t>DT001692</t>
  </si>
  <si>
    <t>DT001693</t>
  </si>
  <si>
    <t>DT001694</t>
  </si>
  <si>
    <t>DT001695</t>
  </si>
  <si>
    <t>DT001696</t>
  </si>
  <si>
    <t>DT001697</t>
  </si>
  <si>
    <t>DT001698</t>
  </si>
  <si>
    <t>DT001699</t>
  </si>
  <si>
    <t>DT001700</t>
  </si>
  <si>
    <t>DT001701</t>
  </si>
  <si>
    <t>DT001702</t>
  </si>
  <si>
    <t>DT001703</t>
  </si>
  <si>
    <t>DT001704</t>
  </si>
  <si>
    <t>DT001705</t>
  </si>
  <si>
    <t>DT001706</t>
  </si>
  <si>
    <t>DT001707</t>
  </si>
  <si>
    <t>DT001708</t>
  </si>
  <si>
    <t>DT001709</t>
  </si>
  <si>
    <t>DT001710</t>
  </si>
  <si>
    <t>DT001711</t>
  </si>
  <si>
    <t>DT001712</t>
  </si>
  <si>
    <t>DT001713</t>
  </si>
  <si>
    <t>DT001714</t>
  </si>
  <si>
    <t>DT001715</t>
  </si>
  <si>
    <t>DT001716</t>
  </si>
  <si>
    <t>DT001717</t>
  </si>
  <si>
    <t>DT001718</t>
  </si>
  <si>
    <t>DT001719</t>
  </si>
  <si>
    <t>DT001720</t>
  </si>
  <si>
    <t>DT001721</t>
  </si>
  <si>
    <t>DT001722</t>
  </si>
  <si>
    <t>DT001723</t>
  </si>
  <si>
    <t>DT001724</t>
  </si>
  <si>
    <t>DT001725</t>
  </si>
  <si>
    <t>DT001726</t>
  </si>
  <si>
    <t>DT001727</t>
  </si>
  <si>
    <t>DT001728</t>
  </si>
  <si>
    <t>DT001729</t>
  </si>
  <si>
    <t>DT001730</t>
  </si>
  <si>
    <t>DT001731</t>
  </si>
  <si>
    <t>DT001732</t>
  </si>
  <si>
    <t>DT001733</t>
  </si>
  <si>
    <t>DT001734</t>
  </si>
  <si>
    <t>DT001735</t>
  </si>
  <si>
    <t>DT001736</t>
  </si>
  <si>
    <t>DT001737</t>
  </si>
  <si>
    <t>DT001738</t>
  </si>
  <si>
    <t>DT001739</t>
  </si>
  <si>
    <t>DT001740</t>
  </si>
  <si>
    <t>DT001741</t>
  </si>
  <si>
    <t>DT001742</t>
  </si>
  <si>
    <t>DT001743</t>
  </si>
  <si>
    <t>DT001744</t>
  </si>
  <si>
    <t>DT001745</t>
  </si>
  <si>
    <t>DT001746</t>
  </si>
  <si>
    <t>DT001747</t>
  </si>
  <si>
    <t>DT001748</t>
  </si>
  <si>
    <t>DT001749</t>
  </si>
  <si>
    <t>DT001750</t>
  </si>
  <si>
    <t>DT001751</t>
  </si>
  <si>
    <t>DT001752</t>
  </si>
  <si>
    <t>DT001753</t>
  </si>
  <si>
    <t>DT001754</t>
  </si>
  <si>
    <t>DT001755</t>
  </si>
  <si>
    <t>DT001756</t>
  </si>
  <si>
    <t>DT001757</t>
  </si>
  <si>
    <t>DT001758</t>
  </si>
  <si>
    <t>DT001759</t>
  </si>
  <si>
    <t>DT001760</t>
  </si>
  <si>
    <t>DT001761</t>
  </si>
  <si>
    <t>DT001762</t>
  </si>
  <si>
    <t>DT001763</t>
  </si>
  <si>
    <t>DT001764</t>
  </si>
  <si>
    <t>DT001765</t>
  </si>
  <si>
    <t>DT001766</t>
  </si>
  <si>
    <t>DT001767</t>
  </si>
  <si>
    <t>DT001768</t>
  </si>
  <si>
    <t>DT001769</t>
  </si>
  <si>
    <t>DT001770</t>
  </si>
  <si>
    <t>DT001771</t>
  </si>
  <si>
    <t>DT001772</t>
  </si>
  <si>
    <t>DT001773</t>
  </si>
  <si>
    <t>DT001774</t>
  </si>
  <si>
    <t>DT001775</t>
  </si>
  <si>
    <t>DT001776</t>
  </si>
  <si>
    <t>DT001777</t>
  </si>
  <si>
    <t>DT001778</t>
  </si>
  <si>
    <t>DT001779</t>
  </si>
  <si>
    <t>DT001780</t>
  </si>
  <si>
    <t>DT001781</t>
  </si>
  <si>
    <t>DT001782</t>
  </si>
  <si>
    <t>DT001783</t>
  </si>
  <si>
    <t>DT001784</t>
  </si>
  <si>
    <t>DT001785</t>
  </si>
  <si>
    <t>DT001786</t>
  </si>
  <si>
    <t>DT001787</t>
  </si>
  <si>
    <t>DT001788</t>
  </si>
  <si>
    <t>DT001789</t>
  </si>
  <si>
    <t>DT001790</t>
  </si>
  <si>
    <t>DT001791</t>
  </si>
  <si>
    <t>DT001792</t>
  </si>
  <si>
    <t>DT001793</t>
  </si>
  <si>
    <t>DT001794</t>
  </si>
  <si>
    <t>DT001795</t>
  </si>
  <si>
    <t>DT001796</t>
  </si>
  <si>
    <t>DT001797</t>
  </si>
  <si>
    <t>DT001798</t>
  </si>
  <si>
    <t>DT001799</t>
  </si>
  <si>
    <t>DT001800</t>
  </si>
  <si>
    <t>DT001801</t>
  </si>
  <si>
    <t>DT001802</t>
  </si>
  <si>
    <t>DT001803</t>
  </si>
  <si>
    <t>DT001804</t>
  </si>
  <si>
    <t>DT001805</t>
  </si>
  <si>
    <t>DT001806</t>
  </si>
  <si>
    <t>DT001807</t>
  </si>
  <si>
    <t>DT001808</t>
  </si>
  <si>
    <t>DT001809</t>
  </si>
  <si>
    <t>DT001810</t>
  </si>
  <si>
    <t>DT001811</t>
  </si>
  <si>
    <t>DT001812</t>
  </si>
  <si>
    <t>DT001813</t>
  </si>
  <si>
    <t>DT001814</t>
  </si>
  <si>
    <t>DT001815</t>
  </si>
  <si>
    <t>DT001816</t>
  </si>
  <si>
    <t>DT001817</t>
  </si>
  <si>
    <t>DT001818</t>
  </si>
  <si>
    <t>DT001819</t>
  </si>
  <si>
    <t>DT001820</t>
  </si>
  <si>
    <t>DT001821</t>
  </si>
  <si>
    <t>DT001822</t>
  </si>
  <si>
    <t>DT001823</t>
  </si>
  <si>
    <t>DT001824</t>
  </si>
  <si>
    <t>DT001825</t>
  </si>
  <si>
    <t>DT001826</t>
  </si>
  <si>
    <t>DT001827</t>
  </si>
  <si>
    <t>DT001828</t>
  </si>
  <si>
    <t>DT001829</t>
  </si>
  <si>
    <t>DT001830</t>
  </si>
  <si>
    <t>DT001831</t>
  </si>
  <si>
    <t>DT001832</t>
  </si>
  <si>
    <t>DT001833</t>
  </si>
  <si>
    <t>DT001834</t>
  </si>
  <si>
    <t>DT001835</t>
  </si>
  <si>
    <t>DT001836</t>
  </si>
  <si>
    <t>DT001837</t>
  </si>
  <si>
    <t>DT001838</t>
  </si>
  <si>
    <t>DT001839</t>
  </si>
  <si>
    <t>DT001840</t>
  </si>
  <si>
    <t>DT001841</t>
  </si>
  <si>
    <t>DT001842</t>
  </si>
  <si>
    <t>DT001843</t>
  </si>
  <si>
    <t>DT001844</t>
  </si>
  <si>
    <t>DT001845</t>
  </si>
  <si>
    <t>DT001846</t>
  </si>
  <si>
    <t>DT001847</t>
  </si>
  <si>
    <t>DT001848</t>
  </si>
  <si>
    <t>DT001849</t>
  </si>
  <si>
    <t>DT001850</t>
  </si>
  <si>
    <t>DT001851</t>
  </si>
  <si>
    <t>DT001852</t>
  </si>
  <si>
    <t>DT001853</t>
  </si>
  <si>
    <t>DT001854</t>
  </si>
  <si>
    <t>DT001855</t>
  </si>
  <si>
    <t>DT001856</t>
  </si>
  <si>
    <t>DT001857</t>
  </si>
  <si>
    <t>DT001858</t>
  </si>
  <si>
    <t>DT001859</t>
  </si>
  <si>
    <t>DT001860</t>
  </si>
  <si>
    <t>DT001861</t>
  </si>
  <si>
    <t>DT001862</t>
  </si>
  <si>
    <t>DT001863</t>
  </si>
  <si>
    <t>DT001864</t>
  </si>
  <si>
    <t>DT001865</t>
  </si>
  <si>
    <t>DT001866</t>
  </si>
  <si>
    <t>DT001867</t>
  </si>
  <si>
    <t>DT001868</t>
  </si>
  <si>
    <t>DT001869</t>
  </si>
  <si>
    <t>DT001870</t>
  </si>
  <si>
    <t>DT001871</t>
  </si>
  <si>
    <t>DT001872</t>
  </si>
  <si>
    <t>DT001873</t>
  </si>
  <si>
    <t>DT001874</t>
  </si>
  <si>
    <t>DT001875</t>
  </si>
  <si>
    <t>DT001876</t>
  </si>
  <si>
    <t>DT001877</t>
  </si>
  <si>
    <t>DT001878</t>
  </si>
  <si>
    <t>DT001879</t>
  </si>
  <si>
    <t>DT001880</t>
  </si>
  <si>
    <t>DT001881</t>
  </si>
  <si>
    <t>DT001882</t>
  </si>
  <si>
    <t>DT001883</t>
  </si>
  <si>
    <t>DT001884</t>
  </si>
  <si>
    <t>DT001885</t>
  </si>
  <si>
    <t>DT001886</t>
  </si>
  <si>
    <t>DT001887</t>
  </si>
  <si>
    <t>DT001888</t>
  </si>
  <si>
    <t>DT001889</t>
  </si>
  <si>
    <t>DT001890</t>
  </si>
  <si>
    <t>DT001891</t>
  </si>
  <si>
    <t>DT001892</t>
  </si>
  <si>
    <t>DT001893</t>
  </si>
  <si>
    <t>DT001894</t>
  </si>
  <si>
    <t>DT001895</t>
  </si>
  <si>
    <t>DT001896</t>
  </si>
  <si>
    <t>DT001897</t>
  </si>
  <si>
    <t>DT001898</t>
  </si>
  <si>
    <t>DT001899</t>
  </si>
  <si>
    <t>DT001900</t>
  </si>
  <si>
    <t>DT001901</t>
  </si>
  <si>
    <t>DT001902</t>
  </si>
  <si>
    <t>DT001903</t>
  </si>
  <si>
    <t>DT001904</t>
  </si>
  <si>
    <t>DT001905</t>
  </si>
  <si>
    <t>DT001906</t>
  </si>
  <si>
    <t>DT001907</t>
  </si>
  <si>
    <t>DT001908</t>
  </si>
  <si>
    <t>DT001909</t>
  </si>
  <si>
    <t>DT001910</t>
  </si>
  <si>
    <t>DT001911</t>
  </si>
  <si>
    <t>DT001912</t>
  </si>
  <si>
    <t>DT001913</t>
  </si>
  <si>
    <t>DT001914</t>
  </si>
  <si>
    <t>DT001915</t>
  </si>
  <si>
    <t>DT001916</t>
  </si>
  <si>
    <t>DT001917</t>
  </si>
  <si>
    <t>DT001918</t>
  </si>
  <si>
    <t>DT001919</t>
  </si>
  <si>
    <t>DT001920</t>
  </si>
  <si>
    <t>DT001921</t>
  </si>
  <si>
    <t>DT001922</t>
  </si>
  <si>
    <t>DT001923</t>
  </si>
  <si>
    <t>DT001924</t>
  </si>
  <si>
    <t>DT001925</t>
  </si>
  <si>
    <t>DT001926</t>
  </si>
  <si>
    <t>DT001927</t>
  </si>
  <si>
    <t>DT001928</t>
  </si>
  <si>
    <t>DT001929</t>
  </si>
  <si>
    <t>DT001930</t>
  </si>
  <si>
    <t>DT001931</t>
  </si>
  <si>
    <t>DT001932</t>
  </si>
  <si>
    <t>DT001933</t>
  </si>
  <si>
    <t>DT001934</t>
  </si>
  <si>
    <t>DT001935</t>
  </si>
  <si>
    <t>DT001936</t>
  </si>
  <si>
    <t>DT001937</t>
  </si>
  <si>
    <t>DT001938</t>
  </si>
  <si>
    <t>DT001939</t>
  </si>
  <si>
    <t>DT001940</t>
  </si>
  <si>
    <t>DT001941</t>
  </si>
  <si>
    <t>DT001942</t>
  </si>
  <si>
    <t>DT001943</t>
  </si>
  <si>
    <t>DT001944</t>
  </si>
  <si>
    <t>DT001945</t>
  </si>
  <si>
    <t>DT001946</t>
  </si>
  <si>
    <t>DT001947</t>
  </si>
  <si>
    <t>DT001948</t>
  </si>
  <si>
    <t>DT001949</t>
  </si>
  <si>
    <t>DT001950</t>
  </si>
  <si>
    <t>DT001951</t>
  </si>
  <si>
    <t>DT001952</t>
  </si>
  <si>
    <t>DT001953</t>
  </si>
  <si>
    <t>DT001954</t>
  </si>
  <si>
    <t>DT001955</t>
  </si>
  <si>
    <t>DT001956</t>
  </si>
  <si>
    <t>DT001957</t>
  </si>
  <si>
    <t>DT001958</t>
  </si>
  <si>
    <t>DT001959</t>
  </si>
  <si>
    <t>DT001960</t>
  </si>
  <si>
    <t>DT001961</t>
  </si>
  <si>
    <t>DT001962</t>
  </si>
  <si>
    <t>DT001963</t>
  </si>
  <si>
    <t>DT001964</t>
  </si>
  <si>
    <t>DT001965</t>
  </si>
  <si>
    <t>DT001966</t>
  </si>
  <si>
    <t>DT001967</t>
  </si>
  <si>
    <t>DT001968</t>
  </si>
  <si>
    <t>DT001969</t>
  </si>
  <si>
    <t>DT001970</t>
  </si>
  <si>
    <t>DT001971</t>
  </si>
  <si>
    <t>DT001972</t>
  </si>
  <si>
    <t>DT001973</t>
  </si>
  <si>
    <t>DT001974</t>
  </si>
  <si>
    <t>DT001975</t>
  </si>
  <si>
    <t>DT001976</t>
  </si>
  <si>
    <t>DT001977</t>
  </si>
  <si>
    <t>DT001978</t>
  </si>
  <si>
    <t>DT001979</t>
  </si>
  <si>
    <t>DT001980</t>
  </si>
  <si>
    <t>DT001981</t>
  </si>
  <si>
    <t>DT001982</t>
  </si>
  <si>
    <t>DT001983</t>
  </si>
  <si>
    <t>DT001984</t>
  </si>
  <si>
    <t>DT001985</t>
  </si>
  <si>
    <t>DT001986</t>
  </si>
  <si>
    <t>DT001987</t>
  </si>
  <si>
    <t>DT001988</t>
  </si>
  <si>
    <t>DT001989</t>
  </si>
  <si>
    <t>DT001990</t>
  </si>
  <si>
    <t>DT001991</t>
  </si>
  <si>
    <t>DT001992</t>
  </si>
  <si>
    <t>DT001993</t>
  </si>
  <si>
    <t>DT001994</t>
  </si>
  <si>
    <t>DT001995</t>
  </si>
  <si>
    <t>DT001996</t>
  </si>
  <si>
    <t>DT001997</t>
  </si>
  <si>
    <t>DT001998</t>
  </si>
  <si>
    <t>DT001999</t>
  </si>
  <si>
    <t>DT002000</t>
  </si>
  <si>
    <t>DT002001</t>
  </si>
  <si>
    <t>DT002002</t>
  </si>
  <si>
    <t>DT002003</t>
  </si>
  <si>
    <t>DT002004</t>
  </si>
  <si>
    <t>DT002005</t>
  </si>
  <si>
    <t>DT002006</t>
  </si>
  <si>
    <t>DT002007</t>
  </si>
  <si>
    <t>DT002008</t>
  </si>
  <si>
    <t>DT002009</t>
  </si>
  <si>
    <t>DT002010</t>
  </si>
  <si>
    <t>DT002011</t>
  </si>
  <si>
    <t>DT002012</t>
  </si>
  <si>
    <t>DT002013</t>
  </si>
  <si>
    <t>DT002014</t>
  </si>
  <si>
    <t>DT002015</t>
  </si>
  <si>
    <t>DT002016</t>
  </si>
  <si>
    <t>DT002017</t>
  </si>
  <si>
    <t>DT002018</t>
  </si>
  <si>
    <t>DT002019</t>
  </si>
  <si>
    <t>DT002020</t>
  </si>
  <si>
    <t>DT002021</t>
  </si>
  <si>
    <t>DT002022</t>
  </si>
  <si>
    <t>DT002023</t>
  </si>
  <si>
    <t>DT002024</t>
  </si>
  <si>
    <t>DT002025</t>
  </si>
  <si>
    <t>DT002026</t>
  </si>
  <si>
    <t>DT002027</t>
  </si>
  <si>
    <t>DT002028</t>
  </si>
  <si>
    <t>DT002029</t>
  </si>
  <si>
    <t>DT002030</t>
  </si>
  <si>
    <t>DT002031</t>
  </si>
  <si>
    <t>DT002032</t>
  </si>
  <si>
    <t>DT002033</t>
  </si>
  <si>
    <t>DT002034</t>
  </si>
  <si>
    <t>DT002035</t>
  </si>
  <si>
    <t>DT002036</t>
  </si>
  <si>
    <t>DT002037</t>
  </si>
  <si>
    <t>DT002038</t>
  </si>
  <si>
    <t>DT002039</t>
  </si>
  <si>
    <t>DT002040</t>
  </si>
  <si>
    <t>DT002041</t>
  </si>
  <si>
    <t>DT002042</t>
  </si>
  <si>
    <t>DT002043</t>
  </si>
  <si>
    <t>DT002044</t>
  </si>
  <si>
    <t>DT002045</t>
  </si>
  <si>
    <t>DT002046</t>
  </si>
  <si>
    <t>DT002047</t>
  </si>
  <si>
    <t>DT002048</t>
  </si>
  <si>
    <t>DT002049</t>
  </si>
  <si>
    <t>DT002050</t>
  </si>
  <si>
    <t>DT002051</t>
  </si>
  <si>
    <t>DT002052</t>
  </si>
  <si>
    <t>DT002053</t>
  </si>
  <si>
    <t>DT002054</t>
  </si>
  <si>
    <t>DT002055</t>
  </si>
  <si>
    <t>DT002056</t>
  </si>
  <si>
    <t>DT002057</t>
  </si>
  <si>
    <t>DT002058</t>
  </si>
  <si>
    <t>DT002059</t>
  </si>
  <si>
    <t>DT002060</t>
  </si>
  <si>
    <t>DT002061</t>
  </si>
  <si>
    <t>DT002062</t>
  </si>
  <si>
    <t>DT002063</t>
  </si>
  <si>
    <t>DT002064</t>
  </si>
  <si>
    <t>DT002065</t>
  </si>
  <si>
    <t>DT002066</t>
  </si>
  <si>
    <t>DT002067</t>
  </si>
  <si>
    <t>DT002068</t>
  </si>
  <si>
    <t>DT002069</t>
  </si>
  <si>
    <t>DT002070</t>
  </si>
  <si>
    <t>DT002071</t>
  </si>
  <si>
    <t>DT002072</t>
  </si>
  <si>
    <t>DT002073</t>
  </si>
  <si>
    <t>DT002074</t>
  </si>
  <si>
    <t>DT002075</t>
  </si>
  <si>
    <t>DT002076</t>
  </si>
  <si>
    <t>DT002077</t>
  </si>
  <si>
    <t>DT002078</t>
  </si>
  <si>
    <t>DT002079</t>
  </si>
  <si>
    <t>DT002080</t>
  </si>
  <si>
    <t>DT002081</t>
  </si>
  <si>
    <t>DT002082</t>
  </si>
  <si>
    <t>DT002083</t>
  </si>
  <si>
    <t>DT002084</t>
  </si>
  <si>
    <t>DT002085</t>
  </si>
  <si>
    <t>DT002086</t>
  </si>
  <si>
    <t>DT002087</t>
  </si>
  <si>
    <t>DT002088</t>
  </si>
  <si>
    <t>DT002089</t>
  </si>
  <si>
    <t>DT002090</t>
  </si>
  <si>
    <t>DT002091</t>
  </si>
  <si>
    <t>DT002092</t>
  </si>
  <si>
    <t>DT002093</t>
  </si>
  <si>
    <t>DT002094</t>
  </si>
  <si>
    <t>DT002095</t>
  </si>
  <si>
    <t>DT002096</t>
  </si>
  <si>
    <t>DT002097</t>
  </si>
  <si>
    <t>DT002098</t>
  </si>
  <si>
    <t>DT002099</t>
  </si>
  <si>
    <t>DT002100</t>
  </si>
  <si>
    <t>DT002101</t>
  </si>
  <si>
    <t>DT002102</t>
  </si>
  <si>
    <t>DT002103</t>
  </si>
  <si>
    <t>DT002104</t>
  </si>
  <si>
    <t>DT002105</t>
  </si>
  <si>
    <t>DT002106</t>
  </si>
  <si>
    <t>DT002107</t>
  </si>
  <si>
    <t>DT002108</t>
  </si>
  <si>
    <t>DT002109</t>
  </si>
  <si>
    <t>DT002110</t>
  </si>
  <si>
    <t>DT002111</t>
  </si>
  <si>
    <t>DT002112</t>
  </si>
  <si>
    <t>DT002113</t>
  </si>
  <si>
    <t>DT002114</t>
  </si>
  <si>
    <t>DT002115</t>
  </si>
  <si>
    <t>DT002116</t>
  </si>
  <si>
    <t>DT002117</t>
  </si>
  <si>
    <t>DT002118</t>
  </si>
  <si>
    <t>DT002119</t>
  </si>
  <si>
    <t>DT002120</t>
  </si>
  <si>
    <t>DT002121</t>
  </si>
  <si>
    <t>DT002122</t>
  </si>
  <si>
    <t>DT002123</t>
  </si>
  <si>
    <t>DT002124</t>
  </si>
  <si>
    <t>DT002125</t>
  </si>
  <si>
    <t>DT002126</t>
  </si>
  <si>
    <t>DT002127</t>
  </si>
  <si>
    <t>DT002128</t>
  </si>
  <si>
    <t>DT002129</t>
  </si>
  <si>
    <t>DT002130</t>
  </si>
  <si>
    <t>DT002131</t>
  </si>
  <si>
    <t>DT002132</t>
  </si>
  <si>
    <t>DT002133</t>
  </si>
  <si>
    <t>DT002134</t>
  </si>
  <si>
    <t>DT002135</t>
  </si>
  <si>
    <t>DT002136</t>
  </si>
  <si>
    <t>DT002137</t>
  </si>
  <si>
    <t>DT002138</t>
  </si>
  <si>
    <t>DT002139</t>
  </si>
  <si>
    <t>DT002140</t>
  </si>
  <si>
    <t>DT002141</t>
  </si>
  <si>
    <t>DT002142</t>
  </si>
  <si>
    <t>DT002143</t>
  </si>
  <si>
    <t>DT002144</t>
  </si>
  <si>
    <t>DT002145</t>
  </si>
  <si>
    <t>DT002146</t>
  </si>
  <si>
    <t>DT002147</t>
  </si>
  <si>
    <t>DT002148</t>
  </si>
  <si>
    <t>DT002149</t>
  </si>
  <si>
    <t>DT002150</t>
  </si>
  <si>
    <t>DT002151</t>
  </si>
  <si>
    <t>DT002152</t>
  </si>
  <si>
    <t>DT002153</t>
  </si>
  <si>
    <t>DT002154</t>
  </si>
  <si>
    <t>DT002155</t>
  </si>
  <si>
    <t>DT002156</t>
  </si>
  <si>
    <t>DT002157</t>
  </si>
  <si>
    <t>DT002158</t>
  </si>
  <si>
    <t>DT002159</t>
  </si>
  <si>
    <t>DT002160</t>
  </si>
  <si>
    <t>DT002161</t>
  </si>
  <si>
    <t>DT002162</t>
  </si>
  <si>
    <t>DT002163</t>
  </si>
  <si>
    <t>DT002164</t>
  </si>
  <si>
    <t>DT002165</t>
  </si>
  <si>
    <t>DT002166</t>
  </si>
  <si>
    <t>DT002167</t>
  </si>
  <si>
    <t>DT002168</t>
  </si>
  <si>
    <t>DT002169</t>
  </si>
  <si>
    <t>DT002170</t>
  </si>
  <si>
    <t>DT002171</t>
  </si>
  <si>
    <t>DT002172</t>
  </si>
  <si>
    <t>DT002173</t>
  </si>
  <si>
    <t>DT002174</t>
  </si>
  <si>
    <t>DT002175</t>
  </si>
  <si>
    <t>DT002176</t>
  </si>
  <si>
    <t>DT002177</t>
  </si>
  <si>
    <t>DT002178</t>
  </si>
  <si>
    <t>DT002179</t>
  </si>
  <si>
    <t>DT002180</t>
  </si>
  <si>
    <t>DT002181</t>
  </si>
  <si>
    <t>DT002182</t>
  </si>
  <si>
    <t>DT002183</t>
  </si>
  <si>
    <t>DT002184</t>
  </si>
  <si>
    <t>DT002185</t>
  </si>
  <si>
    <t>DT002186</t>
  </si>
  <si>
    <t>DT002187</t>
  </si>
  <si>
    <t>DT002188</t>
  </si>
  <si>
    <t>DT002189</t>
  </si>
  <si>
    <t>DT002190</t>
  </si>
  <si>
    <t>DT002191</t>
  </si>
  <si>
    <t>DT002192</t>
  </si>
  <si>
    <t>DT002193</t>
  </si>
  <si>
    <t>DT002194</t>
  </si>
  <si>
    <t>DT002195</t>
  </si>
  <si>
    <t>DT002196</t>
  </si>
  <si>
    <t>DT002197</t>
  </si>
  <si>
    <t>DT002198</t>
  </si>
  <si>
    <t>DT002199</t>
  </si>
  <si>
    <t>DT002200</t>
  </si>
  <si>
    <t>DT002201</t>
  </si>
  <si>
    <t>DT002202</t>
  </si>
  <si>
    <t>DT002203</t>
  </si>
  <si>
    <t>DT002204</t>
  </si>
  <si>
    <t>DT002205</t>
  </si>
  <si>
    <t>DT002206</t>
  </si>
  <si>
    <t>DT002207</t>
  </si>
  <si>
    <t>DT002208</t>
  </si>
  <si>
    <t>DT002209</t>
  </si>
  <si>
    <t>DT002210</t>
  </si>
  <si>
    <t>DT002211</t>
  </si>
  <si>
    <t>DT002212</t>
  </si>
  <si>
    <t>DT002213</t>
  </si>
  <si>
    <t>DT002214</t>
  </si>
  <si>
    <t>DT002215</t>
  </si>
  <si>
    <t>DT002216</t>
  </si>
  <si>
    <t>DT002217</t>
  </si>
  <si>
    <t>DT002218</t>
  </si>
  <si>
    <t>DT002219</t>
  </si>
  <si>
    <t>DT002220</t>
  </si>
  <si>
    <t>DT002221</t>
  </si>
  <si>
    <t>DT002222</t>
  </si>
  <si>
    <t>DT002223</t>
  </si>
  <si>
    <t>DT002224</t>
  </si>
  <si>
    <t>DT002225</t>
  </si>
  <si>
    <t>DT002226</t>
  </si>
  <si>
    <t>DT002227</t>
  </si>
  <si>
    <t>DT002228</t>
  </si>
  <si>
    <t>DT002229</t>
  </si>
  <si>
    <t>DT002230</t>
  </si>
  <si>
    <t>DT002231</t>
  </si>
  <si>
    <t>DT002232</t>
  </si>
  <si>
    <t>DT002233</t>
  </si>
  <si>
    <t>DT002234</t>
  </si>
  <si>
    <t>DT002235</t>
  </si>
  <si>
    <t>DT002236</t>
  </si>
  <si>
    <t>DT002237</t>
  </si>
  <si>
    <t>DT002238</t>
  </si>
  <si>
    <t>DT002239</t>
  </si>
  <si>
    <t>DT002240</t>
  </si>
  <si>
    <t>DT002241</t>
  </si>
  <si>
    <t>DT002242</t>
  </si>
  <si>
    <t>DT002243</t>
  </si>
  <si>
    <t>DT002244</t>
  </si>
  <si>
    <t>DT002245</t>
  </si>
  <si>
    <t>DT002246</t>
  </si>
  <si>
    <t>DT002247</t>
  </si>
  <si>
    <t>DT002248</t>
  </si>
  <si>
    <t>DT002249</t>
  </si>
  <si>
    <t>DT002250</t>
  </si>
  <si>
    <t>DT002251</t>
  </si>
  <si>
    <t>DT002252</t>
  </si>
  <si>
    <t>DT002253</t>
  </si>
  <si>
    <t>DT002254</t>
  </si>
  <si>
    <t>DT002255</t>
  </si>
  <si>
    <t>DT002256</t>
  </si>
  <si>
    <t>DT002257</t>
  </si>
  <si>
    <t>DT002258</t>
  </si>
  <si>
    <t>DT002259</t>
  </si>
  <si>
    <t>DT002260</t>
  </si>
  <si>
    <t>DT002261</t>
  </si>
  <si>
    <t>DT002262</t>
  </si>
  <si>
    <t>DT002263</t>
  </si>
  <si>
    <t>DT002264</t>
  </si>
  <si>
    <t>DT002265</t>
  </si>
  <si>
    <t>DT002266</t>
  </si>
  <si>
    <t>DT002267</t>
  </si>
  <si>
    <t>DT002268</t>
  </si>
  <si>
    <t>DT002269</t>
  </si>
  <si>
    <t>DT002270</t>
  </si>
  <si>
    <t>DT002271</t>
  </si>
  <si>
    <t>DT002272</t>
  </si>
  <si>
    <t>DT002273</t>
  </si>
  <si>
    <t>DT002274</t>
  </si>
  <si>
    <t>DT002275</t>
  </si>
  <si>
    <t>DT002276</t>
  </si>
  <si>
    <t>DT002277</t>
  </si>
  <si>
    <t>DT002278</t>
  </si>
  <si>
    <t>DT002279</t>
  </si>
  <si>
    <t>DT002280</t>
  </si>
  <si>
    <t>DT002281</t>
  </si>
  <si>
    <t>DT002282</t>
  </si>
  <si>
    <t>DT002283</t>
  </si>
  <si>
    <t>DT002284</t>
  </si>
  <si>
    <t>DT002285</t>
  </si>
  <si>
    <t>DT002286</t>
  </si>
  <si>
    <t>DT002287</t>
  </si>
  <si>
    <t>DT002288</t>
  </si>
  <si>
    <t>DT002289</t>
  </si>
  <si>
    <t>DT002290</t>
  </si>
  <si>
    <t>DT002291</t>
  </si>
  <si>
    <t>DT002292</t>
  </si>
  <si>
    <t>DT002293</t>
  </si>
  <si>
    <t>DT002294</t>
  </si>
  <si>
    <t>DT002295</t>
  </si>
  <si>
    <t>DT002296</t>
  </si>
  <si>
    <t>DT002297</t>
  </si>
  <si>
    <t>DT002298</t>
  </si>
  <si>
    <t>DT002299</t>
  </si>
  <si>
    <t>DT002300</t>
  </si>
  <si>
    <t>DT002301</t>
  </si>
  <si>
    <t>DT002302</t>
  </si>
  <si>
    <t>DT002303</t>
  </si>
  <si>
    <t>DT002304</t>
  </si>
  <si>
    <t>DT002305</t>
  </si>
  <si>
    <t>DT002306</t>
  </si>
  <si>
    <t>DT002307</t>
  </si>
  <si>
    <t>DT002308</t>
  </si>
  <si>
    <t>DT002309</t>
  </si>
  <si>
    <t>DT002310</t>
  </si>
  <si>
    <t>DT002311</t>
  </si>
  <si>
    <t>DT002312</t>
  </si>
  <si>
    <t>DT002313</t>
  </si>
  <si>
    <t>DT002314</t>
  </si>
  <si>
    <t>DT002315</t>
  </si>
  <si>
    <t>DT002316</t>
  </si>
  <si>
    <t>DT002317</t>
  </si>
  <si>
    <t>DT002318</t>
  </si>
  <si>
    <t>DT002319</t>
  </si>
  <si>
    <t>DT002320</t>
  </si>
  <si>
    <t>DT002321</t>
  </si>
  <si>
    <t>DT002322</t>
  </si>
  <si>
    <t>DT002323</t>
  </si>
  <si>
    <t>DT002324</t>
  </si>
  <si>
    <t>DT002325</t>
  </si>
  <si>
    <t>DT002326</t>
  </si>
  <si>
    <t>DT002327</t>
  </si>
  <si>
    <t>DT002328</t>
  </si>
  <si>
    <t>DT002329</t>
  </si>
  <si>
    <t>DT002330</t>
  </si>
  <si>
    <t>DT002331</t>
  </si>
  <si>
    <t>DT002332</t>
  </si>
  <si>
    <t>DT002333</t>
  </si>
  <si>
    <t>DT002334</t>
  </si>
  <si>
    <t>DT002335</t>
  </si>
  <si>
    <t>DT002336</t>
  </si>
  <si>
    <t>DT002337</t>
  </si>
  <si>
    <t>DT002338</t>
  </si>
  <si>
    <t>DT002339</t>
  </si>
  <si>
    <t>DT002340</t>
  </si>
  <si>
    <t>DT002341</t>
  </si>
  <si>
    <t>DT002342</t>
  </si>
  <si>
    <t>DT002343</t>
  </si>
  <si>
    <t>DT002344</t>
  </si>
  <si>
    <t>DT002345</t>
  </si>
  <si>
    <t>DT002346</t>
  </si>
  <si>
    <t>DT002347</t>
  </si>
  <si>
    <t>DT002348</t>
  </si>
  <si>
    <t>DT002349</t>
  </si>
  <si>
    <t>DT002350</t>
  </si>
  <si>
    <t>DT002351</t>
  </si>
  <si>
    <t>DT002352</t>
  </si>
  <si>
    <t>DT002353</t>
  </si>
  <si>
    <t>DT002354</t>
  </si>
  <si>
    <t>DT002355</t>
  </si>
  <si>
    <t>DT002356</t>
  </si>
  <si>
    <t>DT002357</t>
  </si>
  <si>
    <t>DT002358</t>
  </si>
  <si>
    <t>DT002359</t>
  </si>
  <si>
    <t>DT002360</t>
  </si>
  <si>
    <t>DT002361</t>
  </si>
  <si>
    <t>DT002362</t>
  </si>
  <si>
    <t>DT002363</t>
  </si>
  <si>
    <t>DT002364</t>
  </si>
  <si>
    <t>DT002365</t>
  </si>
  <si>
    <t>DT002366</t>
  </si>
  <si>
    <t>DT002367</t>
  </si>
  <si>
    <t>DT002368</t>
  </si>
  <si>
    <t>DT002369</t>
  </si>
  <si>
    <t>DT002370</t>
  </si>
  <si>
    <t>DT002371</t>
  </si>
  <si>
    <t>DT002372</t>
  </si>
  <si>
    <t>DT002373</t>
  </si>
  <si>
    <t>DT002374</t>
  </si>
  <si>
    <t>DT002375</t>
  </si>
  <si>
    <t>DT002376</t>
  </si>
  <si>
    <t>DT002377</t>
  </si>
  <si>
    <t>DT002378</t>
  </si>
  <si>
    <t>DT002379</t>
  </si>
  <si>
    <t>DT002380</t>
  </si>
  <si>
    <t>DT002381</t>
  </si>
  <si>
    <t>DT002382</t>
  </si>
  <si>
    <t>DT002383</t>
  </si>
  <si>
    <t>DT002384</t>
  </si>
  <si>
    <t>DT002385</t>
  </si>
  <si>
    <t>DT002386</t>
  </si>
  <si>
    <t>DT002387</t>
  </si>
  <si>
    <t>DT002388</t>
  </si>
  <si>
    <t>DT002389</t>
  </si>
  <si>
    <t>DT002390</t>
  </si>
  <si>
    <t>DT002391</t>
  </si>
  <si>
    <t>DT002392</t>
  </si>
  <si>
    <t>DT002393</t>
  </si>
  <si>
    <t>DT002394</t>
  </si>
  <si>
    <t>DT002395</t>
  </si>
  <si>
    <t>DT002396</t>
  </si>
  <si>
    <t>DT002397</t>
  </si>
  <si>
    <t>DT002398</t>
  </si>
  <si>
    <t>DT002399</t>
  </si>
  <si>
    <t>DT002400</t>
  </si>
  <si>
    <t>DT002401</t>
  </si>
  <si>
    <t>DT002402</t>
  </si>
  <si>
    <t>DT002403</t>
  </si>
  <si>
    <t>DT002404</t>
  </si>
  <si>
    <t>DT002405</t>
  </si>
  <si>
    <t>DT002406</t>
  </si>
  <si>
    <t>DT002407</t>
  </si>
  <si>
    <t>DT002408</t>
  </si>
  <si>
    <t>DT002409</t>
  </si>
  <si>
    <t>DT002410</t>
  </si>
  <si>
    <t>DT002411</t>
  </si>
  <si>
    <t>DT002412</t>
  </si>
  <si>
    <t>DT002413</t>
  </si>
  <si>
    <t>DT002414</t>
  </si>
  <si>
    <t>DT002415</t>
  </si>
  <si>
    <t>DT002416</t>
  </si>
  <si>
    <t>DT002417</t>
  </si>
  <si>
    <t>DT002418</t>
  </si>
  <si>
    <t>DT002419</t>
  </si>
  <si>
    <t>DT002420</t>
  </si>
  <si>
    <t>DT002421</t>
  </si>
  <si>
    <t>DT002422</t>
  </si>
  <si>
    <t>DT002423</t>
  </si>
  <si>
    <t>DT002424</t>
  </si>
  <si>
    <t>DT002425</t>
  </si>
  <si>
    <t>DT002426</t>
  </si>
  <si>
    <t>DT002427</t>
  </si>
  <si>
    <t>DT002428</t>
  </si>
  <si>
    <t>DT002429</t>
  </si>
  <si>
    <t>DT002430</t>
  </si>
  <si>
    <t>DT002431</t>
  </si>
  <si>
    <t>DT002432</t>
  </si>
  <si>
    <t>DT002433</t>
  </si>
  <si>
    <t>DT002434</t>
  </si>
  <si>
    <t>DT002435</t>
  </si>
  <si>
    <t>DT002436</t>
  </si>
  <si>
    <t>DT002437</t>
  </si>
  <si>
    <t>DT002438</t>
  </si>
  <si>
    <t>DT002439</t>
  </si>
  <si>
    <t>DT002440</t>
  </si>
  <si>
    <t>DT002441</t>
  </si>
  <si>
    <t>DT002442</t>
  </si>
  <si>
    <t>DT002443</t>
  </si>
  <si>
    <t>DT002444</t>
  </si>
  <si>
    <t>DT002445</t>
  </si>
  <si>
    <t>DT002446</t>
  </si>
  <si>
    <t>DT002447</t>
  </si>
  <si>
    <t>DT002448</t>
  </si>
  <si>
    <t>DT002449</t>
  </si>
  <si>
    <t>DT002450</t>
  </si>
  <si>
    <t>DT002451</t>
  </si>
  <si>
    <t>DT002452</t>
  </si>
  <si>
    <t>DT002453</t>
  </si>
  <si>
    <t>DT002454</t>
  </si>
  <si>
    <t>DT002455</t>
  </si>
  <si>
    <t>DT002456</t>
  </si>
  <si>
    <t>DT002457</t>
  </si>
  <si>
    <t>DT002458</t>
  </si>
  <si>
    <t>DT002459</t>
  </si>
  <si>
    <t>DT002460</t>
  </si>
  <si>
    <t>DT002461</t>
  </si>
  <si>
    <t>DT002462</t>
  </si>
  <si>
    <t>DT002463</t>
  </si>
  <si>
    <t>DT002464</t>
  </si>
  <si>
    <t>DT002465</t>
  </si>
  <si>
    <t>DT002466</t>
  </si>
  <si>
    <t>DT002467</t>
  </si>
  <si>
    <t>DT002468</t>
  </si>
  <si>
    <t>DT002469</t>
  </si>
  <si>
    <t>DT002470</t>
  </si>
  <si>
    <t>DT002471</t>
  </si>
  <si>
    <t>DT002472</t>
  </si>
  <si>
    <t>DT002473</t>
  </si>
  <si>
    <t>DT002474</t>
  </si>
  <si>
    <t>DT002475</t>
  </si>
  <si>
    <t>DT002476</t>
  </si>
  <si>
    <t>DT002477</t>
  </si>
  <si>
    <t>DT002478</t>
  </si>
  <si>
    <t>DT002479</t>
  </si>
  <si>
    <t>DT002480</t>
  </si>
  <si>
    <t>DT002481</t>
  </si>
  <si>
    <t>DT002482</t>
  </si>
  <si>
    <t>DT002483</t>
  </si>
  <si>
    <t>DT002484</t>
  </si>
  <si>
    <t>DT002485</t>
  </si>
  <si>
    <t>DT002486</t>
  </si>
  <si>
    <t>DT002487</t>
  </si>
  <si>
    <t>DT002488</t>
  </si>
  <si>
    <t>DT002489</t>
  </si>
  <si>
    <t>DT002490</t>
  </si>
  <si>
    <t>DT002491</t>
  </si>
  <si>
    <t>DT002492</t>
  </si>
  <si>
    <t>DT002493</t>
  </si>
  <si>
    <t>DT002494</t>
  </si>
  <si>
    <t>DT002495</t>
  </si>
  <si>
    <t>DT002496</t>
  </si>
  <si>
    <t>DT002497</t>
  </si>
  <si>
    <t>DT002498</t>
  </si>
  <si>
    <t>DT002499</t>
  </si>
  <si>
    <t>DT002500</t>
  </si>
  <si>
    <t>DT002501</t>
  </si>
  <si>
    <t>DT002502</t>
  </si>
  <si>
    <t>DT002503</t>
  </si>
  <si>
    <t>DT002504</t>
  </si>
  <si>
    <t>DT002505</t>
  </si>
  <si>
    <t>DT002506</t>
  </si>
  <si>
    <t>DT002507</t>
  </si>
  <si>
    <t>DT002508</t>
  </si>
  <si>
    <t>DT002509</t>
  </si>
  <si>
    <t>DT002510</t>
  </si>
  <si>
    <t>DT002511</t>
  </si>
  <si>
    <t>DT002512</t>
  </si>
  <si>
    <t>DT002513</t>
  </si>
  <si>
    <t>DT002514</t>
  </si>
  <si>
    <t>DT002515</t>
  </si>
  <si>
    <t>DT002516</t>
  </si>
  <si>
    <t>DT002517</t>
  </si>
  <si>
    <t>DT002518</t>
  </si>
  <si>
    <t>DT002519</t>
  </si>
  <si>
    <t>DT002520</t>
  </si>
  <si>
    <t>DT002521</t>
  </si>
  <si>
    <t>DT002522</t>
  </si>
  <si>
    <t>DT002523</t>
  </si>
  <si>
    <t>DT002524</t>
  </si>
  <si>
    <t>DT002525</t>
  </si>
  <si>
    <t>DT002526</t>
  </si>
  <si>
    <t>DT002527</t>
  </si>
  <si>
    <t>DT002528</t>
  </si>
  <si>
    <t>DT002529</t>
  </si>
  <si>
    <t>DT002530</t>
  </si>
  <si>
    <t>DT002531</t>
  </si>
  <si>
    <t>DT002532</t>
  </si>
  <si>
    <t>DT002533</t>
  </si>
  <si>
    <t>DT002534</t>
  </si>
  <si>
    <t>DT002535</t>
  </si>
  <si>
    <t>DT002536</t>
  </si>
  <si>
    <t>DT002537</t>
  </si>
  <si>
    <t>DT002538</t>
  </si>
  <si>
    <t>DT002539</t>
  </si>
  <si>
    <t>DT002540</t>
  </si>
  <si>
    <t>DT002541</t>
  </si>
  <si>
    <t>DT002542</t>
  </si>
  <si>
    <t>DT002543</t>
  </si>
  <si>
    <t>DT002544</t>
  </si>
  <si>
    <t>DT002545</t>
  </si>
  <si>
    <t>DT002546</t>
  </si>
  <si>
    <t>DT002547</t>
  </si>
  <si>
    <t>DT002548</t>
  </si>
  <si>
    <t>DT002549</t>
  </si>
  <si>
    <t>DT002550</t>
  </si>
  <si>
    <t>DT002551</t>
  </si>
  <si>
    <t>DT002552</t>
  </si>
  <si>
    <t>DT002553</t>
  </si>
  <si>
    <t>DT002554</t>
  </si>
  <si>
    <t>DT002555</t>
  </si>
  <si>
    <t>DT002556</t>
  </si>
  <si>
    <t>DT002557</t>
  </si>
  <si>
    <t>DT002558</t>
  </si>
  <si>
    <t>DT002559</t>
  </si>
  <si>
    <t>DT002560</t>
  </si>
  <si>
    <t>DT002561</t>
  </si>
  <si>
    <t>DT002562</t>
  </si>
  <si>
    <t>DT002563</t>
  </si>
  <si>
    <t>DT002564</t>
  </si>
  <si>
    <t>DT002565</t>
  </si>
  <si>
    <t>DT002566</t>
  </si>
  <si>
    <t>DT002567</t>
  </si>
  <si>
    <t>DT002568</t>
  </si>
  <si>
    <t>DT002569</t>
  </si>
  <si>
    <t>DT002570</t>
  </si>
  <si>
    <t>DT002571</t>
  </si>
  <si>
    <t>DT002572</t>
  </si>
  <si>
    <t>DT002573</t>
  </si>
  <si>
    <t>DT002574</t>
  </si>
  <si>
    <t>DT002575</t>
  </si>
  <si>
    <t>DT002576</t>
  </si>
  <si>
    <t>DT002577</t>
  </si>
  <si>
    <t>DT002578</t>
  </si>
  <si>
    <t>DT002579</t>
  </si>
  <si>
    <t>DT002580</t>
  </si>
  <si>
    <t>DT002581</t>
  </si>
  <si>
    <t>DT002582</t>
  </si>
  <si>
    <t>DT002583</t>
  </si>
  <si>
    <t>DT002584</t>
  </si>
  <si>
    <t>DT002585</t>
  </si>
  <si>
    <t>DT002586</t>
  </si>
  <si>
    <t>DT002587</t>
  </si>
  <si>
    <t>DT002588</t>
  </si>
  <si>
    <t>DT002589</t>
  </si>
  <si>
    <t>DT002590</t>
  </si>
  <si>
    <t>DT002591</t>
  </si>
  <si>
    <t>DT002592</t>
  </si>
  <si>
    <t>DT002593</t>
  </si>
  <si>
    <t>DT002594</t>
  </si>
  <si>
    <t>DT002595</t>
  </si>
  <si>
    <t>DT002596</t>
  </si>
  <si>
    <t>DT002597</t>
  </si>
  <si>
    <t>DT002598</t>
  </si>
  <si>
    <t>DT002599</t>
  </si>
  <si>
    <t>DT002600</t>
  </si>
  <si>
    <t>DT002601</t>
  </si>
  <si>
    <t>DT002602</t>
  </si>
  <si>
    <t>DT002603</t>
  </si>
  <si>
    <t>DT002604</t>
  </si>
  <si>
    <t>DT002605</t>
  </si>
  <si>
    <t>DT002606</t>
  </si>
  <si>
    <t>DT002607</t>
  </si>
  <si>
    <t>DT002608</t>
  </si>
  <si>
    <t>DT002609</t>
  </si>
  <si>
    <t>DT002610</t>
  </si>
  <si>
    <t>DT002611</t>
  </si>
  <si>
    <t>DT002612</t>
  </si>
  <si>
    <t>DT002613</t>
  </si>
  <si>
    <t>DT002614</t>
  </si>
  <si>
    <t>DT002615</t>
  </si>
  <si>
    <t>DT002616</t>
  </si>
  <si>
    <t>DT002617</t>
  </si>
  <si>
    <t>DT002618</t>
  </si>
  <si>
    <t>DT002619</t>
  </si>
  <si>
    <t>DT002620</t>
  </si>
  <si>
    <t>DT002621</t>
  </si>
  <si>
    <t>DT002622</t>
  </si>
  <si>
    <t>DT002623</t>
  </si>
  <si>
    <t>DT002624</t>
  </si>
  <si>
    <t>DT002625</t>
  </si>
  <si>
    <t>DT002626</t>
  </si>
  <si>
    <t>DT002627</t>
  </si>
  <si>
    <t>DT002628</t>
  </si>
  <si>
    <t>DT002629</t>
  </si>
  <si>
    <t>DT002630</t>
  </si>
  <si>
    <t>DT002631</t>
  </si>
  <si>
    <t>DT002632</t>
  </si>
  <si>
    <t>DT002633</t>
  </si>
  <si>
    <t>DT002634</t>
  </si>
  <si>
    <t>DT002635</t>
  </si>
  <si>
    <t>DT002636</t>
  </si>
  <si>
    <t>DT002637</t>
  </si>
  <si>
    <t>DT002638</t>
  </si>
  <si>
    <t>DT002639</t>
  </si>
  <si>
    <t>DT002640</t>
  </si>
  <si>
    <t>DT002641</t>
  </si>
  <si>
    <t>DT002642</t>
  </si>
  <si>
    <t>DT002643</t>
  </si>
  <si>
    <t>DT002644</t>
  </si>
  <si>
    <t>DT002645</t>
  </si>
  <si>
    <t>DT002646</t>
  </si>
  <si>
    <t>DT002647</t>
  </si>
  <si>
    <t>DT002648</t>
  </si>
  <si>
    <t>DT002649</t>
  </si>
  <si>
    <t>DT002650</t>
  </si>
  <si>
    <t>DT002651</t>
  </si>
  <si>
    <t>DT002652</t>
  </si>
  <si>
    <t>DT002653</t>
  </si>
  <si>
    <t>DT002654</t>
  </si>
  <si>
    <t>DT002655</t>
  </si>
  <si>
    <t>DT002656</t>
  </si>
  <si>
    <t>DT002657</t>
  </si>
  <si>
    <t>DT002658</t>
  </si>
  <si>
    <t>DT002659</t>
  </si>
  <si>
    <t>DT002660</t>
  </si>
  <si>
    <t>DT002661</t>
  </si>
  <si>
    <t>DT002662</t>
  </si>
  <si>
    <t>DT002663</t>
  </si>
  <si>
    <t>DT002664</t>
  </si>
  <si>
    <t>DT002665</t>
  </si>
  <si>
    <t>DT002666</t>
  </si>
  <si>
    <t>DT002667</t>
  </si>
  <si>
    <t>DT002668</t>
  </si>
  <si>
    <t>DT002669</t>
  </si>
  <si>
    <t>DT002670</t>
  </si>
  <si>
    <t>DT002671</t>
  </si>
  <si>
    <t>DT002672</t>
  </si>
  <si>
    <t>DT002673</t>
  </si>
  <si>
    <t>DT002674</t>
  </si>
  <si>
    <t>DT002675</t>
  </si>
  <si>
    <t>DT002676</t>
  </si>
  <si>
    <t>DT002677</t>
  </si>
  <si>
    <t>DT002678</t>
  </si>
  <si>
    <t>DT002679</t>
  </si>
  <si>
    <t>DT002680</t>
  </si>
  <si>
    <t>DT002681</t>
  </si>
  <si>
    <t>DT002682</t>
  </si>
  <si>
    <t>DT002683</t>
  </si>
  <si>
    <t>DT002684</t>
  </si>
  <si>
    <t>DT002685</t>
  </si>
  <si>
    <t>DT002686</t>
  </si>
  <si>
    <t>DT002687</t>
  </si>
  <si>
    <t>DT002688</t>
  </si>
  <si>
    <t>DT002689</t>
  </si>
  <si>
    <t>DT002690</t>
  </si>
  <si>
    <t>DT002691</t>
  </si>
  <si>
    <t>DT002692</t>
  </si>
  <si>
    <t>DT002693</t>
  </si>
  <si>
    <t>DT002694</t>
  </si>
  <si>
    <t>DT002695</t>
  </si>
  <si>
    <t>DT002696</t>
  </si>
  <si>
    <t>DT002697</t>
  </si>
  <si>
    <t>DT002698</t>
  </si>
  <si>
    <t>DT002699</t>
  </si>
  <si>
    <t>DT002700</t>
  </si>
  <si>
    <t>DT002701</t>
  </si>
  <si>
    <t>DT002702</t>
  </si>
  <si>
    <t>DT002703</t>
  </si>
  <si>
    <t>DT002704</t>
  </si>
  <si>
    <t>DT002705</t>
  </si>
  <si>
    <t>DT002706</t>
  </si>
  <si>
    <t>DT002707</t>
  </si>
  <si>
    <t>DT002708</t>
  </si>
  <si>
    <t>DT002709</t>
  </si>
  <si>
    <t>DT002710</t>
  </si>
  <si>
    <t>DT002711</t>
  </si>
  <si>
    <t>DT002712</t>
  </si>
  <si>
    <t>DT002713</t>
  </si>
  <si>
    <t>DT002714</t>
  </si>
  <si>
    <t>DT002715</t>
  </si>
  <si>
    <t>DT002716</t>
  </si>
  <si>
    <t>DT002717</t>
  </si>
  <si>
    <t>DT002718</t>
  </si>
  <si>
    <t>DT002719</t>
  </si>
  <si>
    <t>DT002720</t>
  </si>
  <si>
    <t>DT002721</t>
  </si>
  <si>
    <t>DT002722</t>
  </si>
  <si>
    <t>DT002723</t>
  </si>
  <si>
    <t>DT002724</t>
  </si>
  <si>
    <t>DT002725</t>
  </si>
  <si>
    <t>DT002726</t>
  </si>
  <si>
    <t>DT002727</t>
  </si>
  <si>
    <t>DT002728</t>
  </si>
  <si>
    <t>DT002729</t>
  </si>
  <si>
    <t>DT002730</t>
  </si>
  <si>
    <t>DT002731</t>
  </si>
  <si>
    <t>DT002732</t>
  </si>
  <si>
    <t>DT002733</t>
  </si>
  <si>
    <t>DT002734</t>
  </si>
  <si>
    <t>DT002735</t>
  </si>
  <si>
    <t>DT002736</t>
  </si>
  <si>
    <t>DT002737</t>
  </si>
  <si>
    <t>DT002738</t>
  </si>
  <si>
    <t>DT002739</t>
  </si>
  <si>
    <t>DT002740</t>
  </si>
  <si>
    <t>DT002741</t>
  </si>
  <si>
    <t>DT002742</t>
  </si>
  <si>
    <t>DT002743</t>
  </si>
  <si>
    <t>DT002744</t>
  </si>
  <si>
    <t>DT002745</t>
  </si>
  <si>
    <t>DT002746</t>
  </si>
  <si>
    <t>DT002747</t>
  </si>
  <si>
    <t>DT002748</t>
  </si>
  <si>
    <t>DT002749</t>
  </si>
  <si>
    <t>DT002750</t>
  </si>
  <si>
    <t>DT002751</t>
  </si>
  <si>
    <t>DT002752</t>
  </si>
  <si>
    <t>DT002753</t>
  </si>
  <si>
    <t>DT002754</t>
  </si>
  <si>
    <t>DT002755</t>
  </si>
  <si>
    <t>DT002756</t>
  </si>
  <si>
    <t>DT002757</t>
  </si>
  <si>
    <t>DT002758</t>
  </si>
  <si>
    <t>DT002759</t>
  </si>
  <si>
    <t>DT002760</t>
  </si>
  <si>
    <t>DT002761</t>
  </si>
  <si>
    <t>DT002762</t>
  </si>
  <si>
    <t>DT002763</t>
  </si>
  <si>
    <t>DT002764</t>
  </si>
  <si>
    <t>DT002765</t>
  </si>
  <si>
    <t>DT002766</t>
  </si>
  <si>
    <t>DT002767</t>
  </si>
  <si>
    <t>DT002768</t>
  </si>
  <si>
    <t>DT002769</t>
  </si>
  <si>
    <t>DT002770</t>
  </si>
  <si>
    <t>DT002771</t>
  </si>
  <si>
    <t>DT002772</t>
  </si>
  <si>
    <t>DT002773</t>
  </si>
  <si>
    <t>DT002774</t>
  </si>
  <si>
    <t>DT002775</t>
  </si>
  <si>
    <t>DT002776</t>
  </si>
  <si>
    <t>DT002777</t>
  </si>
  <si>
    <t>DT002778</t>
  </si>
  <si>
    <t>DT002779</t>
  </si>
  <si>
    <t>DT002780</t>
  </si>
  <si>
    <t>DT002781</t>
  </si>
  <si>
    <t>DT002782</t>
  </si>
  <si>
    <t>DT002783</t>
  </si>
  <si>
    <t>DT002784</t>
  </si>
  <si>
    <t>DT002785</t>
  </si>
  <si>
    <t>DT002786</t>
  </si>
  <si>
    <t>DT002787</t>
  </si>
  <si>
    <t>DT002788</t>
  </si>
  <si>
    <t>DT002789</t>
  </si>
  <si>
    <t>DT002790</t>
  </si>
  <si>
    <t>DT002791</t>
  </si>
  <si>
    <t>DT002792</t>
  </si>
  <si>
    <t>DT002793</t>
  </si>
  <si>
    <t>DT002794</t>
  </si>
  <si>
    <t>DT002795</t>
  </si>
  <si>
    <t>DT002796</t>
  </si>
  <si>
    <t>DT002797</t>
  </si>
  <si>
    <t>DT002798</t>
  </si>
  <si>
    <t>DT002799</t>
  </si>
  <si>
    <t>DT002800</t>
  </si>
  <si>
    <t>DT002801</t>
  </si>
  <si>
    <t>DT002802</t>
  </si>
  <si>
    <t>DT002803</t>
  </si>
  <si>
    <t>DT002804</t>
  </si>
  <si>
    <t>DT002805</t>
  </si>
  <si>
    <t>DT002806</t>
  </si>
  <si>
    <t>DT002807</t>
  </si>
  <si>
    <t>DT002808</t>
  </si>
  <si>
    <t>DT002809</t>
  </si>
  <si>
    <t>DT002810</t>
  </si>
  <si>
    <t>DT002811</t>
  </si>
  <si>
    <t>DT002812</t>
  </si>
  <si>
    <t>DT002813</t>
  </si>
  <si>
    <t>DT002814</t>
  </si>
  <si>
    <t>DT002815</t>
  </si>
  <si>
    <t>DT002816</t>
  </si>
  <si>
    <t>DT002817</t>
  </si>
  <si>
    <t>DT002818</t>
  </si>
  <si>
    <t>DT002819</t>
  </si>
  <si>
    <t>DT002820</t>
  </si>
  <si>
    <t>DT002821</t>
  </si>
  <si>
    <t>DT002822</t>
  </si>
  <si>
    <t>DT002823</t>
  </si>
  <si>
    <t>DT002824</t>
  </si>
  <si>
    <t>DT002825</t>
  </si>
  <si>
    <t>DT002826</t>
  </si>
  <si>
    <t>DT002827</t>
  </si>
  <si>
    <t>DT002828</t>
  </si>
  <si>
    <t>DT002829</t>
  </si>
  <si>
    <t>DT002830</t>
  </si>
  <si>
    <t>DT002831</t>
  </si>
  <si>
    <t>DT002832</t>
  </si>
  <si>
    <t>DT002833</t>
  </si>
  <si>
    <t>DT002834</t>
  </si>
  <si>
    <t>DT002835</t>
  </si>
  <si>
    <t>DT002836</t>
  </si>
  <si>
    <t>DT002837</t>
  </si>
  <si>
    <t>DT002838</t>
  </si>
  <si>
    <t>DT002839</t>
  </si>
  <si>
    <t>DT002840</t>
  </si>
  <si>
    <t>DT002841</t>
  </si>
  <si>
    <t>DT002842</t>
  </si>
  <si>
    <t>DT002843</t>
  </si>
  <si>
    <t>DT002844</t>
  </si>
  <si>
    <t>DT002845</t>
  </si>
  <si>
    <t>DT002846</t>
  </si>
  <si>
    <t>DT002847</t>
  </si>
  <si>
    <t>DT002848</t>
  </si>
  <si>
    <t>DT002849</t>
  </si>
  <si>
    <t>DT002850</t>
  </si>
  <si>
    <t>DT002851</t>
  </si>
  <si>
    <t>DT002852</t>
  </si>
  <si>
    <t>DT002853</t>
  </si>
  <si>
    <t>DT002854</t>
  </si>
  <si>
    <t>DT002855</t>
  </si>
  <si>
    <t>DT002856</t>
  </si>
  <si>
    <t>DT002857</t>
  </si>
  <si>
    <t>DT002858</t>
  </si>
  <si>
    <t>DT002859</t>
  </si>
  <si>
    <t>DT002860</t>
  </si>
  <si>
    <t>DT002861</t>
  </si>
  <si>
    <t>DT002862</t>
  </si>
  <si>
    <t>DT002863</t>
  </si>
  <si>
    <t>DT002864</t>
  </si>
  <si>
    <t>DT002865</t>
  </si>
  <si>
    <t>DT002866</t>
  </si>
  <si>
    <t>DT002867</t>
  </si>
  <si>
    <t>DT002868</t>
  </si>
  <si>
    <t>DT002869</t>
  </si>
  <si>
    <t>DT002870</t>
  </si>
  <si>
    <t>DT002871</t>
  </si>
  <si>
    <t>DT002872</t>
  </si>
  <si>
    <t>DT002873</t>
  </si>
  <si>
    <t>DT002874</t>
  </si>
  <si>
    <t>DT002875</t>
  </si>
  <si>
    <t>DT002876</t>
  </si>
  <si>
    <t>DT002877</t>
  </si>
  <si>
    <t>DT002878</t>
  </si>
  <si>
    <t>DT002879</t>
  </si>
  <si>
    <t>DT002880</t>
  </si>
  <si>
    <t>DT002881</t>
  </si>
  <si>
    <t>DT002882</t>
  </si>
  <si>
    <t>DT002883</t>
  </si>
  <si>
    <t>DT002884</t>
  </si>
  <si>
    <t>DT002885</t>
  </si>
  <si>
    <t>DT002886</t>
  </si>
  <si>
    <t>DT002887</t>
  </si>
  <si>
    <t>DT002888</t>
  </si>
  <si>
    <t>DT002889</t>
  </si>
  <si>
    <t>DT002890</t>
  </si>
  <si>
    <t>DT002891</t>
  </si>
  <si>
    <t>DT002892</t>
  </si>
  <si>
    <t>DT002893</t>
  </si>
  <si>
    <t>DT002894</t>
  </si>
  <si>
    <t>DT002895</t>
  </si>
  <si>
    <t>DT002896</t>
  </si>
  <si>
    <t>DT002897</t>
  </si>
  <si>
    <t>DT002898</t>
  </si>
  <si>
    <t>DT002899</t>
  </si>
  <si>
    <t>DT002900</t>
  </si>
  <si>
    <t>DT002901</t>
  </si>
  <si>
    <t>DT002902</t>
  </si>
  <si>
    <t>DT002903</t>
  </si>
  <si>
    <t>DT002904</t>
  </si>
  <si>
    <t>DT002905</t>
  </si>
  <si>
    <t>DT002906</t>
  </si>
  <si>
    <t>DT002907</t>
  </si>
  <si>
    <t>DT002908</t>
  </si>
  <si>
    <t>DT002909</t>
  </si>
  <si>
    <t>DT002910</t>
  </si>
  <si>
    <t>DT002911</t>
  </si>
  <si>
    <t>DT002912</t>
  </si>
  <si>
    <t>DT002913</t>
  </si>
  <si>
    <t>DT002914</t>
  </si>
  <si>
    <t>DT002915</t>
  </si>
  <si>
    <t>DT002916</t>
  </si>
  <si>
    <t>DT002917</t>
  </si>
  <si>
    <t>DT002918</t>
  </si>
  <si>
    <t>DT002919</t>
  </si>
  <si>
    <t>DT002920</t>
  </si>
  <si>
    <t>DT002921</t>
  </si>
  <si>
    <t>DT002922</t>
  </si>
  <si>
    <t>DT002923</t>
  </si>
  <si>
    <t>DT002924</t>
  </si>
  <si>
    <t>DT002925</t>
  </si>
  <si>
    <t>DT002926</t>
  </si>
  <si>
    <t>DT002927</t>
  </si>
  <si>
    <t>DT002928</t>
  </si>
  <si>
    <t>S03</t>
  </si>
  <si>
    <t>S01</t>
  </si>
  <si>
    <t>S02</t>
  </si>
  <si>
    <t>M001</t>
  </si>
  <si>
    <t>M002</t>
  </si>
  <si>
    <t>M003</t>
  </si>
  <si>
    <t>M004</t>
  </si>
  <si>
    <t>M005</t>
  </si>
  <si>
    <t>M006</t>
  </si>
  <si>
    <t>M007</t>
  </si>
  <si>
    <t>M008</t>
  </si>
  <si>
    <t>M099</t>
  </si>
  <si>
    <t>PO10001</t>
  </si>
  <si>
    <t>PO10002</t>
  </si>
  <si>
    <t>PO10003</t>
  </si>
  <si>
    <t>PO10004</t>
  </si>
  <si>
    <t>PO10005</t>
  </si>
  <si>
    <t>PO10006</t>
  </si>
  <si>
    <t>PO10007</t>
  </si>
  <si>
    <t>PO10008</t>
  </si>
  <si>
    <t>PO10009</t>
  </si>
  <si>
    <t>PO10010</t>
  </si>
  <si>
    <t>PO10011</t>
  </si>
  <si>
    <t>PO10012</t>
  </si>
  <si>
    <t>PO10013</t>
  </si>
  <si>
    <t>PO10014</t>
  </si>
  <si>
    <t>PO10015</t>
  </si>
  <si>
    <t>PO10016</t>
  </si>
  <si>
    <t>PO10017</t>
  </si>
  <si>
    <t>PO10018</t>
  </si>
  <si>
    <t>PO10019</t>
  </si>
  <si>
    <t>PO10020</t>
  </si>
  <si>
    <t>PO10021</t>
  </si>
  <si>
    <t>PO10022</t>
  </si>
  <si>
    <t>PO10023</t>
  </si>
  <si>
    <t>PO10024</t>
  </si>
  <si>
    <t>PO10025</t>
  </si>
  <si>
    <t>PO10026</t>
  </si>
  <si>
    <t>PO10027</t>
  </si>
  <si>
    <t>PO10028</t>
  </si>
  <si>
    <t>PO10029</t>
  </si>
  <si>
    <t>PO10030</t>
  </si>
  <si>
    <t>PO10031</t>
  </si>
  <si>
    <t>PO10032</t>
  </si>
  <si>
    <t>PO10033</t>
  </si>
  <si>
    <t>PO10034</t>
  </si>
  <si>
    <t>PO10035</t>
  </si>
  <si>
    <t>PO10036</t>
  </si>
  <si>
    <t>PO10037</t>
  </si>
  <si>
    <t>PO10038</t>
  </si>
  <si>
    <t>PO10039</t>
  </si>
  <si>
    <t>PO10040</t>
  </si>
  <si>
    <t>PO10041</t>
  </si>
  <si>
    <t>PO10042</t>
  </si>
  <si>
    <t>PO10043</t>
  </si>
  <si>
    <t>PO10044</t>
  </si>
  <si>
    <t>PO10045</t>
  </si>
  <si>
    <t>PO10046</t>
  </si>
  <si>
    <t>PO10047</t>
  </si>
  <si>
    <t>PO10048</t>
  </si>
  <si>
    <t>PO10049</t>
  </si>
  <si>
    <t>PO10050</t>
  </si>
  <si>
    <t>PO10051</t>
  </si>
  <si>
    <t>PO10052</t>
  </si>
  <si>
    <t>PO10053</t>
  </si>
  <si>
    <t>PO10054</t>
  </si>
  <si>
    <t>PO10055</t>
  </si>
  <si>
    <t>PO10056</t>
  </si>
  <si>
    <t>PO10057</t>
  </si>
  <si>
    <t>PO10058</t>
  </si>
  <si>
    <t>PO10059</t>
  </si>
  <si>
    <t>PO10060</t>
  </si>
  <si>
    <t>PO10061</t>
  </si>
  <si>
    <t>PO10062</t>
  </si>
  <si>
    <t>PO10063</t>
  </si>
  <si>
    <t>PO10064</t>
  </si>
  <si>
    <t>PO10065</t>
  </si>
  <si>
    <t>PO10066</t>
  </si>
  <si>
    <t>PO10067</t>
  </si>
  <si>
    <t>PO10068</t>
  </si>
  <si>
    <t>PO10069</t>
  </si>
  <si>
    <t>PO10070</t>
  </si>
  <si>
    <t>PO10071</t>
  </si>
  <si>
    <t>PO10072</t>
  </si>
  <si>
    <t>PO10073</t>
  </si>
  <si>
    <t>PO10074</t>
  </si>
  <si>
    <t>PO10075</t>
  </si>
  <si>
    <t>PO10076</t>
  </si>
  <si>
    <t>PO10077</t>
  </si>
  <si>
    <t>PO10078</t>
  </si>
  <si>
    <t>PO10079</t>
  </si>
  <si>
    <t>PO10080</t>
  </si>
  <si>
    <t>PO10081</t>
  </si>
  <si>
    <t>PO10082</t>
  </si>
  <si>
    <t>PO10083</t>
  </si>
  <si>
    <t>PO10084</t>
  </si>
  <si>
    <t>PO10085</t>
  </si>
  <si>
    <t>PO10086</t>
  </si>
  <si>
    <t>PO10087</t>
  </si>
  <si>
    <t>PO10088</t>
  </si>
  <si>
    <t>PO10089</t>
  </si>
  <si>
    <t>PO10090</t>
  </si>
  <si>
    <t>PO10091</t>
  </si>
  <si>
    <t>PO10092</t>
  </si>
  <si>
    <t>PO10093</t>
  </si>
  <si>
    <t>PO10094</t>
  </si>
  <si>
    <t>PO10095</t>
  </si>
  <si>
    <t>PO10096</t>
  </si>
  <si>
    <t>PO10097</t>
  </si>
  <si>
    <t>PO10098</t>
  </si>
  <si>
    <t>PO10099</t>
  </si>
  <si>
    <t>PO10100</t>
  </si>
  <si>
    <t>PO10101</t>
  </si>
  <si>
    <t>PO10102</t>
  </si>
  <si>
    <t>PO10103</t>
  </si>
  <si>
    <t>PO10104</t>
  </si>
  <si>
    <t>PO10105</t>
  </si>
  <si>
    <t>PO10106</t>
  </si>
  <si>
    <t>PO10107</t>
  </si>
  <si>
    <t>PO10108</t>
  </si>
  <si>
    <t>PO10109</t>
  </si>
  <si>
    <t>PO10110</t>
  </si>
  <si>
    <t>PO10111</t>
  </si>
  <si>
    <t>PO10112</t>
  </si>
  <si>
    <t>PO10113</t>
  </si>
  <si>
    <t>PO10114</t>
  </si>
  <si>
    <t>PO10115</t>
  </si>
  <si>
    <t>PO10116</t>
  </si>
  <si>
    <t>PO10117</t>
  </si>
  <si>
    <t>PO10118</t>
  </si>
  <si>
    <t>PO10119</t>
  </si>
  <si>
    <t>PO10120</t>
  </si>
  <si>
    <t>PO10121</t>
  </si>
  <si>
    <t>PO10122</t>
  </si>
  <si>
    <t>PO10123</t>
  </si>
  <si>
    <t>PO10124</t>
  </si>
  <si>
    <t>PO10125</t>
  </si>
  <si>
    <t>PO10126</t>
  </si>
  <si>
    <t>PO10127</t>
  </si>
  <si>
    <t>PO10128</t>
  </si>
  <si>
    <t>PO10129</t>
  </si>
  <si>
    <t>PO10130</t>
  </si>
  <si>
    <t>PO10131</t>
  </si>
  <si>
    <t>PO10132</t>
  </si>
  <si>
    <t>PO10133</t>
  </si>
  <si>
    <t>PO10134</t>
  </si>
  <si>
    <t>PO10135</t>
  </si>
  <si>
    <t>PO10136</t>
  </si>
  <si>
    <t>PO10137</t>
  </si>
  <si>
    <t>PO10138</t>
  </si>
  <si>
    <t>PO10139</t>
  </si>
  <si>
    <t>PO10140</t>
  </si>
  <si>
    <t>PO10141</t>
  </si>
  <si>
    <t>PO10142</t>
  </si>
  <si>
    <t>PO10143</t>
  </si>
  <si>
    <t>PO10144</t>
  </si>
  <si>
    <t>PO10145</t>
  </si>
  <si>
    <t>PO10146</t>
  </si>
  <si>
    <t>PO10147</t>
  </si>
  <si>
    <t>PO10148</t>
  </si>
  <si>
    <t>PO10149</t>
  </si>
  <si>
    <t>PO10150</t>
  </si>
  <si>
    <t>PO10151</t>
  </si>
  <si>
    <t>PO10152</t>
  </si>
  <si>
    <t>PO10153</t>
  </si>
  <si>
    <t>PO10154</t>
  </si>
  <si>
    <t>PO10155</t>
  </si>
  <si>
    <t>PO10156</t>
  </si>
  <si>
    <t>PO10157</t>
  </si>
  <si>
    <t>PO10158</t>
  </si>
  <si>
    <t>PO10159</t>
  </si>
  <si>
    <t>PO10160</t>
  </si>
  <si>
    <t>PO10161</t>
  </si>
  <si>
    <t>PO10162</t>
  </si>
  <si>
    <t>PO10163</t>
  </si>
  <si>
    <t>PO10164</t>
  </si>
  <si>
    <t>PO10165</t>
  </si>
  <si>
    <t>PO10166</t>
  </si>
  <si>
    <t>PO10167</t>
  </si>
  <si>
    <t>PO10168</t>
  </si>
  <si>
    <t>PO10169</t>
  </si>
  <si>
    <t>PO10170</t>
  </si>
  <si>
    <t>PO10171</t>
  </si>
  <si>
    <t>PO10172</t>
  </si>
  <si>
    <t>PO10173</t>
  </si>
  <si>
    <t>PO10174</t>
  </si>
  <si>
    <t>PO10175</t>
  </si>
  <si>
    <t>PO10176</t>
  </si>
  <si>
    <t>PO10177</t>
  </si>
  <si>
    <t>PO10178</t>
  </si>
  <si>
    <t>PO10179</t>
  </si>
  <si>
    <t>PO10180</t>
  </si>
  <si>
    <t>PO10181</t>
  </si>
  <si>
    <t>PO10182</t>
  </si>
  <si>
    <t>PO10183</t>
  </si>
  <si>
    <t>PO10184</t>
  </si>
  <si>
    <t>PO10185</t>
  </si>
  <si>
    <t>PO10186</t>
  </si>
  <si>
    <t>PO10187</t>
  </si>
  <si>
    <t>PO10188</t>
  </si>
  <si>
    <t>PO10189</t>
  </si>
  <si>
    <t>PO10190</t>
  </si>
  <si>
    <t>PO10191</t>
  </si>
  <si>
    <t>PO10192</t>
  </si>
  <si>
    <t>PO10193</t>
  </si>
  <si>
    <t>PO10194</t>
  </si>
  <si>
    <t>PO10195</t>
  </si>
  <si>
    <t>Operational</t>
  </si>
  <si>
    <t>Adjustment</t>
  </si>
  <si>
    <t>Quality</t>
  </si>
  <si>
    <t>Changeover</t>
  </si>
  <si>
    <t>Breakdown</t>
  </si>
  <si>
    <t>Material</t>
  </si>
  <si>
    <t>Minor stoppage</t>
  </si>
  <si>
    <t>Parameter adjustment</t>
  </si>
  <si>
    <t>Process tuning</t>
  </si>
  <si>
    <t>Inspection issue</t>
  </si>
  <si>
    <t>Operator unavailable</t>
  </si>
  <si>
    <t>Cleaning interruption</t>
  </si>
  <si>
    <t>Tool change</t>
  </si>
  <si>
    <t>Electrical fault</t>
  </si>
  <si>
    <t>Motor failure</t>
  </si>
  <si>
    <t>Material shortage</t>
  </si>
  <si>
    <t>Product change</t>
  </si>
  <si>
    <t>Mechanical jam</t>
  </si>
  <si>
    <t>Quality hold</t>
  </si>
  <si>
    <t>Process deviation</t>
  </si>
  <si>
    <t>Sensor failure</t>
  </si>
  <si>
    <t>Machine alignment</t>
  </si>
  <si>
    <t>Parameter setup</t>
  </si>
  <si>
    <t>Material quality issue</t>
  </si>
  <si>
    <t>Material delivery delay</t>
  </si>
  <si>
    <t>Reassign operator</t>
  </si>
  <si>
    <t>Align equipment</t>
  </si>
  <si>
    <t>Inspect batch</t>
  </si>
  <si>
    <t>Resume operation</t>
  </si>
  <si>
    <t>Clear minor stop</t>
  </si>
  <si>
    <t>Change tooling</t>
  </si>
  <si>
    <t>Replace component</t>
  </si>
  <si>
    <t>Reset equipment</t>
  </si>
  <si>
    <t>Repair component</t>
  </si>
  <si>
    <t>Hold and investigate</t>
  </si>
  <si>
    <t>Replenish material</t>
  </si>
  <si>
    <t>Load new parameters</t>
  </si>
  <si>
    <t>Adjust process</t>
  </si>
  <si>
    <t>Clean and setup</t>
  </si>
  <si>
    <t>Adjust parameters</t>
  </si>
  <si>
    <t>Tune process</t>
  </si>
  <si>
    <t>Quarantine material</t>
  </si>
  <si>
    <t>Expedite material</t>
  </si>
  <si>
    <t>Shift_ID_Check</t>
  </si>
  <si>
    <t>Machine_ID_Check</t>
  </si>
  <si>
    <t>Production_Order_Check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</si>
</sst>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ohar/Desktop/Projects/Operation%20Analysis/Raw_data/shift_master.xlsx" TargetMode="External"/><Relationship Id="rId1" Type="http://schemas.openxmlformats.org/officeDocument/2006/relationships/externalLinkPath" Target="shift_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ohar/Desktop/Projects/Operation%20Analysis/Raw_data/machine_master.xlsx" TargetMode="External"/><Relationship Id="rId1" Type="http://schemas.openxmlformats.org/officeDocument/2006/relationships/externalLinkPath" Target="machine_mast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ohar/Desktop/Projects/Operation%20Analysis/Raw_data/production_order.xlsx" TargetMode="External"/><Relationship Id="rId1" Type="http://schemas.openxmlformats.org/officeDocument/2006/relationships/externalLinkPath" Target="production_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PO10001</v>
          </cell>
        </row>
        <row r="3">
          <cell r="A3" t="str">
            <v>PO10002</v>
          </cell>
        </row>
        <row r="4">
          <cell r="A4" t="str">
            <v>PO10003</v>
          </cell>
        </row>
        <row r="5">
          <cell r="A5" t="str">
            <v>PO10004</v>
          </cell>
        </row>
        <row r="6">
          <cell r="A6" t="str">
            <v>PO10005</v>
          </cell>
        </row>
        <row r="7">
          <cell r="A7" t="str">
            <v>PO10006</v>
          </cell>
        </row>
        <row r="8">
          <cell r="A8" t="str">
            <v>PO10007</v>
          </cell>
        </row>
        <row r="9">
          <cell r="A9" t="str">
            <v>PO10008</v>
          </cell>
        </row>
        <row r="10">
          <cell r="A10" t="str">
            <v>PO10009</v>
          </cell>
        </row>
        <row r="11">
          <cell r="A11" t="str">
            <v>PO10010</v>
          </cell>
        </row>
        <row r="12">
          <cell r="A12" t="str">
            <v>PO10011</v>
          </cell>
        </row>
        <row r="13">
          <cell r="A13" t="str">
            <v>PO10012</v>
          </cell>
        </row>
        <row r="14">
          <cell r="A14" t="str">
            <v>PO10013</v>
          </cell>
        </row>
        <row r="15">
          <cell r="A15" t="str">
            <v>PO10014</v>
          </cell>
        </row>
        <row r="16">
          <cell r="A16" t="str">
            <v>PO10015</v>
          </cell>
        </row>
        <row r="17">
          <cell r="A17" t="str">
            <v>PO10016</v>
          </cell>
        </row>
        <row r="18">
          <cell r="A18" t="str">
            <v>PO10017</v>
          </cell>
        </row>
        <row r="19">
          <cell r="A19" t="str">
            <v>PO10018</v>
          </cell>
        </row>
        <row r="20">
          <cell r="A20" t="str">
            <v>PO10019</v>
          </cell>
        </row>
        <row r="21">
          <cell r="A21" t="str">
            <v>PO10020</v>
          </cell>
        </row>
        <row r="22">
          <cell r="A22" t="str">
            <v>PO10021</v>
          </cell>
        </row>
        <row r="23">
          <cell r="A23" t="str">
            <v>PO10022</v>
          </cell>
        </row>
        <row r="24">
          <cell r="A24" t="str">
            <v>PO10023</v>
          </cell>
        </row>
        <row r="25">
          <cell r="A25" t="str">
            <v>PO10024</v>
          </cell>
        </row>
        <row r="26">
          <cell r="A26" t="str">
            <v>PO10025</v>
          </cell>
        </row>
        <row r="27">
          <cell r="A27" t="str">
            <v>PO10026</v>
          </cell>
        </row>
        <row r="28">
          <cell r="A28" t="str">
            <v>PO10027</v>
          </cell>
        </row>
        <row r="29">
          <cell r="A29" t="str">
            <v>PO10028</v>
          </cell>
        </row>
        <row r="30">
          <cell r="A30" t="str">
            <v>PO10029</v>
          </cell>
        </row>
        <row r="31">
          <cell r="A31" t="str">
            <v>PO10030</v>
          </cell>
        </row>
        <row r="32">
          <cell r="A32" t="str">
            <v>PO10031</v>
          </cell>
        </row>
        <row r="33">
          <cell r="A33" t="str">
            <v>PO10032</v>
          </cell>
        </row>
        <row r="34">
          <cell r="A34" t="str">
            <v>PO10033</v>
          </cell>
        </row>
        <row r="35">
          <cell r="A35" t="str">
            <v>PO10034</v>
          </cell>
        </row>
        <row r="36">
          <cell r="A36" t="str">
            <v>PO10035</v>
          </cell>
        </row>
        <row r="37">
          <cell r="A37" t="str">
            <v>PO10036</v>
          </cell>
        </row>
        <row r="38">
          <cell r="A38" t="str">
            <v>PO10037</v>
          </cell>
        </row>
        <row r="39">
          <cell r="A39" t="str">
            <v>PO10038</v>
          </cell>
        </row>
        <row r="40">
          <cell r="A40" t="str">
            <v>PO10039</v>
          </cell>
        </row>
        <row r="41">
          <cell r="A41" t="str">
            <v>PO10040</v>
          </cell>
        </row>
        <row r="42">
          <cell r="A42" t="str">
            <v>PO10041</v>
          </cell>
        </row>
        <row r="43">
          <cell r="A43" t="str">
            <v>PO10042</v>
          </cell>
        </row>
        <row r="44">
          <cell r="A44" t="str">
            <v>PO10043</v>
          </cell>
        </row>
        <row r="45">
          <cell r="A45" t="str">
            <v>PO10044</v>
          </cell>
        </row>
        <row r="46">
          <cell r="A46" t="str">
            <v>PO10045</v>
          </cell>
        </row>
        <row r="47">
          <cell r="A47" t="str">
            <v>PO10046</v>
          </cell>
        </row>
        <row r="48">
          <cell r="A48" t="str">
            <v>PO10047</v>
          </cell>
        </row>
        <row r="49">
          <cell r="A49" t="str">
            <v>PO10048</v>
          </cell>
        </row>
        <row r="50">
          <cell r="A50" t="str">
            <v>PO10049</v>
          </cell>
        </row>
        <row r="51">
          <cell r="A51" t="str">
            <v>PO10050</v>
          </cell>
        </row>
        <row r="52">
          <cell r="A52" t="str">
            <v>PO10051</v>
          </cell>
        </row>
        <row r="53">
          <cell r="A53" t="str">
            <v>PO10052</v>
          </cell>
        </row>
        <row r="54">
          <cell r="A54" t="str">
            <v>PO10053</v>
          </cell>
        </row>
        <row r="55">
          <cell r="A55" t="str">
            <v>PO10054</v>
          </cell>
        </row>
        <row r="56">
          <cell r="A56" t="str">
            <v>PO10055</v>
          </cell>
        </row>
        <row r="57">
          <cell r="A57" t="str">
            <v>PO10056</v>
          </cell>
        </row>
        <row r="58">
          <cell r="A58" t="str">
            <v>PO10057</v>
          </cell>
        </row>
        <row r="59">
          <cell r="A59" t="str">
            <v>PO10058</v>
          </cell>
        </row>
        <row r="60">
          <cell r="A60" t="str">
            <v>PO10059</v>
          </cell>
        </row>
        <row r="61">
          <cell r="A61" t="str">
            <v>PO10060</v>
          </cell>
        </row>
        <row r="62">
          <cell r="A62" t="str">
            <v>PO10061</v>
          </cell>
        </row>
        <row r="63">
          <cell r="A63" t="str">
            <v>PO10062</v>
          </cell>
        </row>
        <row r="64">
          <cell r="A64" t="str">
            <v>PO10063</v>
          </cell>
        </row>
        <row r="65">
          <cell r="A65" t="str">
            <v>PO10064</v>
          </cell>
        </row>
        <row r="66">
          <cell r="A66" t="str">
            <v>PO10065</v>
          </cell>
        </row>
        <row r="67">
          <cell r="A67" t="str">
            <v>PO10066</v>
          </cell>
        </row>
        <row r="68">
          <cell r="A68" t="str">
            <v>PO10067</v>
          </cell>
        </row>
        <row r="69">
          <cell r="A69" t="str">
            <v>PO10068</v>
          </cell>
        </row>
        <row r="70">
          <cell r="A70" t="str">
            <v>PO10069</v>
          </cell>
        </row>
        <row r="71">
          <cell r="A71" t="str">
            <v>PO10070</v>
          </cell>
        </row>
        <row r="72">
          <cell r="A72" t="str">
            <v>PO10071</v>
          </cell>
        </row>
        <row r="73">
          <cell r="A73" t="str">
            <v>PO10072</v>
          </cell>
        </row>
        <row r="74">
          <cell r="A74" t="str">
            <v>PO10073</v>
          </cell>
        </row>
        <row r="75">
          <cell r="A75" t="str">
            <v>PO10074</v>
          </cell>
        </row>
        <row r="76">
          <cell r="A76" t="str">
            <v>PO10075</v>
          </cell>
        </row>
        <row r="77">
          <cell r="A77" t="str">
            <v>PO10076</v>
          </cell>
        </row>
        <row r="78">
          <cell r="A78" t="str">
            <v>PO10077</v>
          </cell>
        </row>
        <row r="79">
          <cell r="A79" t="str">
            <v>PO10078</v>
          </cell>
        </row>
        <row r="80">
          <cell r="A80" t="str">
            <v>PO10079</v>
          </cell>
        </row>
        <row r="81">
          <cell r="A81" t="str">
            <v>PO10080</v>
          </cell>
        </row>
        <row r="82">
          <cell r="A82" t="str">
            <v>PO10081</v>
          </cell>
        </row>
        <row r="83">
          <cell r="A83" t="str">
            <v>PO10082</v>
          </cell>
        </row>
        <row r="84">
          <cell r="A84" t="str">
            <v>PO10083</v>
          </cell>
        </row>
        <row r="85">
          <cell r="A85" t="str">
            <v>PO10084</v>
          </cell>
        </row>
        <row r="86">
          <cell r="A86" t="str">
            <v>PO10085</v>
          </cell>
        </row>
        <row r="87">
          <cell r="A87" t="str">
            <v>PO10086</v>
          </cell>
        </row>
        <row r="88">
          <cell r="A88" t="str">
            <v>PO10087</v>
          </cell>
        </row>
        <row r="89">
          <cell r="A89" t="str">
            <v>PO10088</v>
          </cell>
        </row>
        <row r="90">
          <cell r="A90" t="str">
            <v>PO10089</v>
          </cell>
        </row>
        <row r="91">
          <cell r="A91" t="str">
            <v>PO10090</v>
          </cell>
        </row>
        <row r="92">
          <cell r="A92" t="str">
            <v>PO10091</v>
          </cell>
        </row>
        <row r="93">
          <cell r="A93" t="str">
            <v>PO10092</v>
          </cell>
        </row>
        <row r="94">
          <cell r="A94" t="str">
            <v>PO10093</v>
          </cell>
        </row>
        <row r="95">
          <cell r="A95" t="str">
            <v>PO10094</v>
          </cell>
        </row>
        <row r="96">
          <cell r="A96" t="str">
            <v>PO10095</v>
          </cell>
        </row>
        <row r="97">
          <cell r="A97" t="str">
            <v>PO10096</v>
          </cell>
        </row>
        <row r="98">
          <cell r="A98" t="str">
            <v>PO10097</v>
          </cell>
        </row>
        <row r="99">
          <cell r="A99" t="str">
            <v>PO10098</v>
          </cell>
        </row>
        <row r="100">
          <cell r="A100" t="str">
            <v>PO10099</v>
          </cell>
        </row>
        <row r="101">
          <cell r="A101" t="str">
            <v>PO10100</v>
          </cell>
        </row>
        <row r="102">
          <cell r="A102" t="str">
            <v>PO10101</v>
          </cell>
        </row>
        <row r="103">
          <cell r="A103" t="str">
            <v>PO10102</v>
          </cell>
        </row>
        <row r="104">
          <cell r="A104" t="str">
            <v>PO10103</v>
          </cell>
        </row>
        <row r="105">
          <cell r="A105" t="str">
            <v>PO10104</v>
          </cell>
        </row>
        <row r="106">
          <cell r="A106" t="str">
            <v>PO10105</v>
          </cell>
        </row>
        <row r="107">
          <cell r="A107" t="str">
            <v>PO10106</v>
          </cell>
        </row>
        <row r="108">
          <cell r="A108" t="str">
            <v>PO10107</v>
          </cell>
        </row>
        <row r="109">
          <cell r="A109" t="str">
            <v>PO10108</v>
          </cell>
        </row>
        <row r="110">
          <cell r="A110" t="str">
            <v>PO10109</v>
          </cell>
        </row>
        <row r="111">
          <cell r="A111" t="str">
            <v>PO10110</v>
          </cell>
        </row>
        <row r="112">
          <cell r="A112" t="str">
            <v>PO10111</v>
          </cell>
        </row>
        <row r="113">
          <cell r="A113" t="str">
            <v>PO10112</v>
          </cell>
        </row>
        <row r="114">
          <cell r="A114" t="str">
            <v>PO10113</v>
          </cell>
        </row>
        <row r="115">
          <cell r="A115" t="str">
            <v>PO10114</v>
          </cell>
        </row>
        <row r="116">
          <cell r="A116" t="str">
            <v>PO10115</v>
          </cell>
        </row>
        <row r="117">
          <cell r="A117" t="str">
            <v>PO10116</v>
          </cell>
        </row>
        <row r="118">
          <cell r="A118" t="str">
            <v>PO10117</v>
          </cell>
        </row>
        <row r="119">
          <cell r="A119" t="str">
            <v>PO10118</v>
          </cell>
        </row>
        <row r="120">
          <cell r="A120" t="str">
            <v>PO10119</v>
          </cell>
        </row>
        <row r="121">
          <cell r="A121" t="str">
            <v>PO10120</v>
          </cell>
        </row>
        <row r="122">
          <cell r="A122" t="str">
            <v>PO10121</v>
          </cell>
        </row>
        <row r="123">
          <cell r="A123" t="str">
            <v>PO10122</v>
          </cell>
        </row>
        <row r="124">
          <cell r="A124" t="str">
            <v>PO10123</v>
          </cell>
        </row>
        <row r="125">
          <cell r="A125" t="str">
            <v>PO10124</v>
          </cell>
        </row>
        <row r="126">
          <cell r="A126" t="str">
            <v>PO10125</v>
          </cell>
        </row>
        <row r="127">
          <cell r="A127" t="str">
            <v>PO10126</v>
          </cell>
        </row>
        <row r="128">
          <cell r="A128" t="str">
            <v>PO10127</v>
          </cell>
        </row>
        <row r="129">
          <cell r="A129" t="str">
            <v>PO10128</v>
          </cell>
        </row>
        <row r="130">
          <cell r="A130" t="str">
            <v>PO10129</v>
          </cell>
        </row>
        <row r="131">
          <cell r="A131" t="str">
            <v>PO10130</v>
          </cell>
        </row>
        <row r="132">
          <cell r="A132" t="str">
            <v>PO10131</v>
          </cell>
        </row>
        <row r="133">
          <cell r="A133" t="str">
            <v>PO10132</v>
          </cell>
        </row>
        <row r="134">
          <cell r="A134" t="str">
            <v>PO10133</v>
          </cell>
        </row>
        <row r="135">
          <cell r="A135" t="str">
            <v>PO10134</v>
          </cell>
        </row>
        <row r="136">
          <cell r="A136" t="str">
            <v>PO10135</v>
          </cell>
        </row>
        <row r="137">
          <cell r="A137" t="str">
            <v>PO10136</v>
          </cell>
        </row>
        <row r="138">
          <cell r="A138" t="str">
            <v>PO10137</v>
          </cell>
        </row>
        <row r="139">
          <cell r="A139" t="str">
            <v>PO10138</v>
          </cell>
        </row>
        <row r="140">
          <cell r="A140" t="str">
            <v>PO10139</v>
          </cell>
        </row>
        <row r="141">
          <cell r="A141" t="str">
            <v>PO10140</v>
          </cell>
        </row>
        <row r="142">
          <cell r="A142" t="str">
            <v>PO10141</v>
          </cell>
        </row>
        <row r="143">
          <cell r="A143" t="str">
            <v>PO10142</v>
          </cell>
        </row>
        <row r="144">
          <cell r="A144" t="str">
            <v>PO10143</v>
          </cell>
        </row>
        <row r="145">
          <cell r="A145" t="str">
            <v>PO10144</v>
          </cell>
        </row>
        <row r="146">
          <cell r="A146" t="str">
            <v>PO10145</v>
          </cell>
        </row>
        <row r="147">
          <cell r="A147" t="str">
            <v>PO10146</v>
          </cell>
        </row>
        <row r="148">
          <cell r="A148" t="str">
            <v>PO10147</v>
          </cell>
        </row>
        <row r="149">
          <cell r="A149" t="str">
            <v>PO10148</v>
          </cell>
        </row>
        <row r="150">
          <cell r="A150" t="str">
            <v>PO10149</v>
          </cell>
        </row>
        <row r="151">
          <cell r="A151" t="str">
            <v>PO10150</v>
          </cell>
        </row>
        <row r="152">
          <cell r="A152" t="str">
            <v>PO10151</v>
          </cell>
        </row>
        <row r="153">
          <cell r="A153" t="str">
            <v>PO10152</v>
          </cell>
        </row>
        <row r="154">
          <cell r="A154" t="str">
            <v>PO10153</v>
          </cell>
        </row>
        <row r="155">
          <cell r="A155" t="str">
            <v>PO10154</v>
          </cell>
        </row>
        <row r="156">
          <cell r="A156" t="str">
            <v>PO10155</v>
          </cell>
        </row>
        <row r="157">
          <cell r="A157" t="str">
            <v>PO10156</v>
          </cell>
        </row>
        <row r="158">
          <cell r="A158" t="str">
            <v>PO10157</v>
          </cell>
        </row>
        <row r="159">
          <cell r="A159" t="str">
            <v>PO10158</v>
          </cell>
        </row>
        <row r="160">
          <cell r="A160" t="str">
            <v>PO10159</v>
          </cell>
        </row>
        <row r="161">
          <cell r="A161" t="str">
            <v>PO10160</v>
          </cell>
        </row>
        <row r="162">
          <cell r="A162" t="str">
            <v>PO10161</v>
          </cell>
        </row>
        <row r="163">
          <cell r="A163" t="str">
            <v>PO10162</v>
          </cell>
        </row>
        <row r="164">
          <cell r="A164" t="str">
            <v>PO10163</v>
          </cell>
        </row>
        <row r="165">
          <cell r="A165" t="str">
            <v>PO10164</v>
          </cell>
        </row>
        <row r="166">
          <cell r="A166" t="str">
            <v>PO10165</v>
          </cell>
        </row>
        <row r="167">
          <cell r="A167" t="str">
            <v>PO10166</v>
          </cell>
        </row>
        <row r="168">
          <cell r="A168" t="str">
            <v>PO10167</v>
          </cell>
        </row>
        <row r="169">
          <cell r="A169" t="str">
            <v>PO10168</v>
          </cell>
        </row>
        <row r="170">
          <cell r="A170" t="str">
            <v>PO10169</v>
          </cell>
        </row>
        <row r="171">
          <cell r="A171" t="str">
            <v>PO10170</v>
          </cell>
        </row>
        <row r="172">
          <cell r="A172" t="str">
            <v>PO10171</v>
          </cell>
        </row>
        <row r="173">
          <cell r="A173" t="str">
            <v>PO10172</v>
          </cell>
        </row>
        <row r="174">
          <cell r="A174" t="str">
            <v>PO10173</v>
          </cell>
        </row>
        <row r="175">
          <cell r="A175" t="str">
            <v>PO10174</v>
          </cell>
        </row>
        <row r="176">
          <cell r="A176" t="str">
            <v>PO10175</v>
          </cell>
        </row>
        <row r="177">
          <cell r="A177" t="str">
            <v>PO10176</v>
          </cell>
        </row>
        <row r="178">
          <cell r="A178" t="str">
            <v>PO10177</v>
          </cell>
        </row>
        <row r="179">
          <cell r="A179" t="str">
            <v>PO10178</v>
          </cell>
        </row>
        <row r="180">
          <cell r="A180" t="str">
            <v>PO10179</v>
          </cell>
        </row>
        <row r="181">
          <cell r="A181" t="str">
            <v>PO10180</v>
          </cell>
        </row>
        <row r="182">
          <cell r="A182" t="str">
            <v>PO10181</v>
          </cell>
        </row>
        <row r="183">
          <cell r="A183" t="str">
            <v>PO10182</v>
          </cell>
        </row>
        <row r="184">
          <cell r="A184" t="str">
            <v>PO10183</v>
          </cell>
        </row>
        <row r="185">
          <cell r="A185" t="str">
            <v>PO10184</v>
          </cell>
        </row>
        <row r="186">
          <cell r="A186" t="str">
            <v>PO10185</v>
          </cell>
        </row>
        <row r="187">
          <cell r="A187" t="str">
            <v>PO10186</v>
          </cell>
        </row>
        <row r="188">
          <cell r="A188" t="str">
            <v>PO10187</v>
          </cell>
        </row>
        <row r="189">
          <cell r="A189" t="str">
            <v>PO10188</v>
          </cell>
        </row>
        <row r="190">
          <cell r="A190" t="str">
            <v>PO10189</v>
          </cell>
        </row>
        <row r="191">
          <cell r="A191" t="str">
            <v>PO10190</v>
          </cell>
        </row>
        <row r="192">
          <cell r="A192" t="str">
            <v>PO10191</v>
          </cell>
        </row>
        <row r="193">
          <cell r="A193" t="str">
            <v>PO10192</v>
          </cell>
        </row>
        <row r="194">
          <cell r="A194" t="str">
            <v>PO10193</v>
          </cell>
        </row>
        <row r="195">
          <cell r="A195" t="str">
            <v>PO10194</v>
          </cell>
        </row>
        <row r="196">
          <cell r="A196" t="str">
            <v>PO10195</v>
          </cell>
        </row>
        <row r="197">
          <cell r="A197" t="str">
            <v>PO10196</v>
          </cell>
        </row>
        <row r="198">
          <cell r="A198" t="str">
            <v>PO10197</v>
          </cell>
        </row>
        <row r="199">
          <cell r="A199" t="str">
            <v>PO10198</v>
          </cell>
        </row>
        <row r="200">
          <cell r="A200" t="str">
            <v>PO10199</v>
          </cell>
        </row>
        <row r="201">
          <cell r="A201" t="str">
            <v>PO10200</v>
          </cell>
        </row>
        <row r="202">
          <cell r="A202" t="str">
            <v>PO10201</v>
          </cell>
        </row>
        <row r="203">
          <cell r="A203" t="str">
            <v>PO10202</v>
          </cell>
        </row>
        <row r="204">
          <cell r="A204" t="str">
            <v>PO10203</v>
          </cell>
        </row>
        <row r="205">
          <cell r="A205" t="str">
            <v>PO10204</v>
          </cell>
        </row>
        <row r="206">
          <cell r="A206" t="str">
            <v>PO10205</v>
          </cell>
        </row>
        <row r="207">
          <cell r="A207" t="str">
            <v>PO10206</v>
          </cell>
        </row>
        <row r="208">
          <cell r="A208" t="str">
            <v>PO10207</v>
          </cell>
        </row>
        <row r="209">
          <cell r="A209" t="str">
            <v>PO10208</v>
          </cell>
        </row>
        <row r="210">
          <cell r="A210" t="str">
            <v>PO10209</v>
          </cell>
        </row>
        <row r="211">
          <cell r="A211" t="str">
            <v>PO10210</v>
          </cell>
        </row>
        <row r="212">
          <cell r="A212" t="str">
            <v>PO10211</v>
          </cell>
        </row>
        <row r="213">
          <cell r="A213" t="str">
            <v>PO10212</v>
          </cell>
        </row>
        <row r="214">
          <cell r="A214" t="str">
            <v>PO10213</v>
          </cell>
        </row>
        <row r="215">
          <cell r="A215" t="str">
            <v>PO10214</v>
          </cell>
        </row>
        <row r="216">
          <cell r="A216" t="str">
            <v>PO10215</v>
          </cell>
        </row>
        <row r="217">
          <cell r="A217" t="str">
            <v>PO10216</v>
          </cell>
        </row>
        <row r="218">
          <cell r="A218" t="str">
            <v>PO10217</v>
          </cell>
        </row>
        <row r="219">
          <cell r="A219" t="str">
            <v>PO10218</v>
          </cell>
        </row>
        <row r="220">
          <cell r="A220" t="str">
            <v>PO10219</v>
          </cell>
        </row>
        <row r="221">
          <cell r="A221" t="str">
            <v>PO10220</v>
          </cell>
        </row>
        <row r="222">
          <cell r="A222" t="str">
            <v>PO10221</v>
          </cell>
        </row>
        <row r="223">
          <cell r="A223" t="str">
            <v>PO10222</v>
          </cell>
        </row>
        <row r="224">
          <cell r="A224" t="str">
            <v>PO10223</v>
          </cell>
        </row>
        <row r="225">
          <cell r="A225" t="str">
            <v>PO10224</v>
          </cell>
        </row>
        <row r="226">
          <cell r="A226" t="str">
            <v>PO10225</v>
          </cell>
        </row>
        <row r="227">
          <cell r="A227" t="str">
            <v>PO10226</v>
          </cell>
        </row>
        <row r="228">
          <cell r="A228" t="str">
            <v>PO10227</v>
          </cell>
        </row>
        <row r="229">
          <cell r="A229" t="str">
            <v>PO10228</v>
          </cell>
        </row>
        <row r="230">
          <cell r="A230" t="str">
            <v>PO10229</v>
          </cell>
        </row>
        <row r="231">
          <cell r="A231" t="str">
            <v>PO10230</v>
          </cell>
        </row>
        <row r="232">
          <cell r="A232" t="str">
            <v>PO10231</v>
          </cell>
        </row>
        <row r="233">
          <cell r="A233" t="str">
            <v>PO10232</v>
          </cell>
        </row>
        <row r="234">
          <cell r="A234" t="str">
            <v>PO10233</v>
          </cell>
        </row>
        <row r="235">
          <cell r="A235" t="str">
            <v>PO10234</v>
          </cell>
        </row>
        <row r="236">
          <cell r="A236" t="str">
            <v>PO10235</v>
          </cell>
        </row>
        <row r="237">
          <cell r="A237" t="str">
            <v>PO10236</v>
          </cell>
        </row>
        <row r="238">
          <cell r="A238" t="str">
            <v>PO10237</v>
          </cell>
        </row>
        <row r="239">
          <cell r="A239" t="str">
            <v>PO10238</v>
          </cell>
        </row>
        <row r="240">
          <cell r="A240" t="str">
            <v>PO10239</v>
          </cell>
        </row>
        <row r="241">
          <cell r="A241" t="str">
            <v>PO10240</v>
          </cell>
        </row>
        <row r="242">
          <cell r="A242" t="str">
            <v>PO10241</v>
          </cell>
        </row>
        <row r="243">
          <cell r="A243" t="str">
            <v>PO10242</v>
          </cell>
        </row>
        <row r="244">
          <cell r="A244" t="str">
            <v>PO10243</v>
          </cell>
        </row>
        <row r="245">
          <cell r="A245" t="str">
            <v>PO10244</v>
          </cell>
        </row>
        <row r="246">
          <cell r="A246" t="str">
            <v>PO10245</v>
          </cell>
        </row>
        <row r="247">
          <cell r="A247" t="str">
            <v>PO10246</v>
          </cell>
        </row>
        <row r="248">
          <cell r="A248" t="str">
            <v>PO10247</v>
          </cell>
        </row>
        <row r="249">
          <cell r="A249" t="str">
            <v>PO10248</v>
          </cell>
        </row>
        <row r="250">
          <cell r="A250" t="str">
            <v>PO10249</v>
          </cell>
        </row>
        <row r="251">
          <cell r="A251" t="str">
            <v>PO10250</v>
          </cell>
        </row>
        <row r="252">
          <cell r="A252" t="str">
            <v>PO10251</v>
          </cell>
        </row>
        <row r="253">
          <cell r="A253" t="str">
            <v>PO10252</v>
          </cell>
        </row>
        <row r="254">
          <cell r="A254" t="str">
            <v>PO10253</v>
          </cell>
        </row>
        <row r="255">
          <cell r="A255" t="str">
            <v>PO10254</v>
          </cell>
        </row>
        <row r="256">
          <cell r="A256" t="str">
            <v>PO10255</v>
          </cell>
        </row>
        <row r="257">
          <cell r="A257" t="str">
            <v>PO10256</v>
          </cell>
        </row>
        <row r="258">
          <cell r="A258" t="str">
            <v>PO10257</v>
          </cell>
        </row>
        <row r="259">
          <cell r="A259" t="str">
            <v>PO10258</v>
          </cell>
        </row>
        <row r="260">
          <cell r="A260" t="str">
            <v>PO10259</v>
          </cell>
        </row>
        <row r="261">
          <cell r="A261" t="str">
            <v>PO10260</v>
          </cell>
        </row>
        <row r="262">
          <cell r="A262" t="str">
            <v>PO10261</v>
          </cell>
        </row>
        <row r="263">
          <cell r="A263" t="str">
            <v>PO10262</v>
          </cell>
        </row>
        <row r="264">
          <cell r="A264" t="str">
            <v>PO10263</v>
          </cell>
        </row>
        <row r="265">
          <cell r="A265" t="str">
            <v>PO10264</v>
          </cell>
        </row>
        <row r="266">
          <cell r="A266" t="str">
            <v>PO10265</v>
          </cell>
        </row>
        <row r="267">
          <cell r="A267" t="str">
            <v>PO10266</v>
          </cell>
        </row>
        <row r="268">
          <cell r="A268" t="str">
            <v>PO10267</v>
          </cell>
        </row>
        <row r="269">
          <cell r="A269" t="str">
            <v>PO10268</v>
          </cell>
        </row>
        <row r="270">
          <cell r="A270" t="str">
            <v>PO10269</v>
          </cell>
        </row>
        <row r="271">
          <cell r="A271" t="str">
            <v>PO10270</v>
          </cell>
        </row>
        <row r="272">
          <cell r="A272" t="str">
            <v>PO10271</v>
          </cell>
        </row>
        <row r="273">
          <cell r="A273" t="str">
            <v>PO10272</v>
          </cell>
        </row>
        <row r="274">
          <cell r="A274" t="str">
            <v>PO10273</v>
          </cell>
        </row>
        <row r="275">
          <cell r="A275" t="str">
            <v>PO10274</v>
          </cell>
        </row>
        <row r="276">
          <cell r="A276" t="str">
            <v>PO10275</v>
          </cell>
        </row>
        <row r="277">
          <cell r="A277" t="str">
            <v>PO10276</v>
          </cell>
        </row>
        <row r="278">
          <cell r="A278" t="str">
            <v>PO10277</v>
          </cell>
        </row>
        <row r="279">
          <cell r="A279" t="str">
            <v>PO10278</v>
          </cell>
        </row>
        <row r="280">
          <cell r="A280" t="str">
            <v>PO10279</v>
          </cell>
        </row>
        <row r="281">
          <cell r="A281" t="str">
            <v>PO10280</v>
          </cell>
        </row>
        <row r="282">
          <cell r="A282" t="str">
            <v>PO10281</v>
          </cell>
        </row>
        <row r="283">
          <cell r="A283" t="str">
            <v>PO10282</v>
          </cell>
        </row>
        <row r="284">
          <cell r="A284" t="str">
            <v>PO10283</v>
          </cell>
        </row>
        <row r="285">
          <cell r="A285" t="str">
            <v>PO10284</v>
          </cell>
        </row>
        <row r="286">
          <cell r="A286" t="str">
            <v>PO10285</v>
          </cell>
        </row>
        <row r="287">
          <cell r="A287" t="str">
            <v>PO10286</v>
          </cell>
        </row>
        <row r="288">
          <cell r="A288" t="str">
            <v>PO10287</v>
          </cell>
        </row>
        <row r="289">
          <cell r="A289" t="str">
            <v>PO10288</v>
          </cell>
        </row>
        <row r="290">
          <cell r="A290" t="str">
            <v>PO10289</v>
          </cell>
        </row>
        <row r="291">
          <cell r="A291" t="str">
            <v>PO10290</v>
          </cell>
        </row>
        <row r="292">
          <cell r="A292" t="str">
            <v>PO10291</v>
          </cell>
        </row>
        <row r="293">
          <cell r="A293" t="str">
            <v>PO10292</v>
          </cell>
        </row>
        <row r="294">
          <cell r="A294" t="str">
            <v>PO10293</v>
          </cell>
        </row>
        <row r="295">
          <cell r="A295" t="str">
            <v>PO10294</v>
          </cell>
        </row>
        <row r="296">
          <cell r="A296" t="str">
            <v>PO10295</v>
          </cell>
        </row>
        <row r="297">
          <cell r="A297" t="str">
            <v>PO10296</v>
          </cell>
        </row>
        <row r="298">
          <cell r="A298" t="str">
            <v>PO10297</v>
          </cell>
        </row>
        <row r="299">
          <cell r="A299" t="str">
            <v>PO10298</v>
          </cell>
        </row>
        <row r="300">
          <cell r="A300" t="str">
            <v>PO10299</v>
          </cell>
        </row>
        <row r="301">
          <cell r="A301" t="str">
            <v>PO10300</v>
          </cell>
        </row>
        <row r="302">
          <cell r="A302" t="str">
            <v>PO10301</v>
          </cell>
        </row>
        <row r="303">
          <cell r="A303" t="str">
            <v>PO10302</v>
          </cell>
        </row>
        <row r="304">
          <cell r="A304" t="str">
            <v>PO10303</v>
          </cell>
        </row>
        <row r="305">
          <cell r="A305" t="str">
            <v>PO10304</v>
          </cell>
        </row>
        <row r="306">
          <cell r="A306" t="str">
            <v>PO10305</v>
          </cell>
        </row>
        <row r="307">
          <cell r="A307" t="str">
            <v>PO10306</v>
          </cell>
        </row>
        <row r="308">
          <cell r="A308" t="str">
            <v>PO10307</v>
          </cell>
        </row>
        <row r="309">
          <cell r="A309" t="str">
            <v>PO10308</v>
          </cell>
        </row>
        <row r="310">
          <cell r="A310" t="str">
            <v>PO10309</v>
          </cell>
        </row>
        <row r="311">
          <cell r="A311" t="str">
            <v>PO10310</v>
          </cell>
        </row>
        <row r="312">
          <cell r="A312" t="str">
            <v>PO10311</v>
          </cell>
        </row>
        <row r="313">
          <cell r="A313" t="str">
            <v>PO10312</v>
          </cell>
        </row>
        <row r="314">
          <cell r="A314" t="str">
            <v>PO10313</v>
          </cell>
        </row>
        <row r="315">
          <cell r="A315" t="str">
            <v>PO10314</v>
          </cell>
        </row>
        <row r="316">
          <cell r="A316" t="str">
            <v>PO10315</v>
          </cell>
        </row>
        <row r="317">
          <cell r="A317" t="str">
            <v>PO10316</v>
          </cell>
        </row>
        <row r="318">
          <cell r="A318" t="str">
            <v>PO10317</v>
          </cell>
        </row>
        <row r="319">
          <cell r="A319" t="str">
            <v>PO10318</v>
          </cell>
        </row>
        <row r="320">
          <cell r="A320" t="str">
            <v>PO10319</v>
          </cell>
        </row>
        <row r="321">
          <cell r="A321" t="str">
            <v>PO10320</v>
          </cell>
        </row>
        <row r="322">
          <cell r="A322" t="str">
            <v>PO10321</v>
          </cell>
        </row>
        <row r="323">
          <cell r="A323" t="str">
            <v>PO10322</v>
          </cell>
        </row>
        <row r="324">
          <cell r="A324" t="str">
            <v>PO10323</v>
          </cell>
        </row>
        <row r="325">
          <cell r="A325" t="str">
            <v>PO10324</v>
          </cell>
        </row>
        <row r="326">
          <cell r="A326" t="str">
            <v>PO10325</v>
          </cell>
        </row>
        <row r="327">
          <cell r="A327" t="str">
            <v>PO10326</v>
          </cell>
        </row>
        <row r="328">
          <cell r="A328" t="str">
            <v>PO10327</v>
          </cell>
        </row>
        <row r="329">
          <cell r="A329" t="str">
            <v>PO10328</v>
          </cell>
        </row>
        <row r="330">
          <cell r="A330" t="str">
            <v>PO10329</v>
          </cell>
        </row>
        <row r="331">
          <cell r="A331" t="str">
            <v>PO10330</v>
          </cell>
        </row>
        <row r="332">
          <cell r="A332" t="str">
            <v>PO10331</v>
          </cell>
        </row>
        <row r="333">
          <cell r="A333" t="str">
            <v>PO10332</v>
          </cell>
        </row>
        <row r="334">
          <cell r="A334" t="str">
            <v>PO10333</v>
          </cell>
        </row>
        <row r="335">
          <cell r="A335" t="str">
            <v>PO10334</v>
          </cell>
        </row>
        <row r="336">
          <cell r="A336" t="str">
            <v>PO10335</v>
          </cell>
        </row>
        <row r="337">
          <cell r="A337" t="str">
            <v>PO10336</v>
          </cell>
        </row>
        <row r="338">
          <cell r="A338" t="str">
            <v>PO10337</v>
          </cell>
        </row>
        <row r="339">
          <cell r="A339" t="str">
            <v>PO10338</v>
          </cell>
        </row>
        <row r="340">
          <cell r="A340" t="str">
            <v>PO10339</v>
          </cell>
        </row>
        <row r="341">
          <cell r="A341" t="str">
            <v>PO10340</v>
          </cell>
        </row>
        <row r="342">
          <cell r="A342" t="str">
            <v>PO10341</v>
          </cell>
        </row>
        <row r="343">
          <cell r="A343" t="str">
            <v>PO10342</v>
          </cell>
        </row>
        <row r="344">
          <cell r="A344" t="str">
            <v>PO10343</v>
          </cell>
        </row>
        <row r="345">
          <cell r="A345" t="str">
            <v>PO10344</v>
          </cell>
        </row>
        <row r="346">
          <cell r="A346" t="str">
            <v>PO10345</v>
          </cell>
        </row>
        <row r="347">
          <cell r="A347" t="str">
            <v>PO10346</v>
          </cell>
        </row>
        <row r="348">
          <cell r="A348" t="str">
            <v>PO10347</v>
          </cell>
        </row>
        <row r="349">
          <cell r="A349" t="str">
            <v>PO10348</v>
          </cell>
        </row>
        <row r="350">
          <cell r="A350" t="str">
            <v>PO10349</v>
          </cell>
        </row>
        <row r="351">
          <cell r="A351" t="str">
            <v>PO10350</v>
          </cell>
        </row>
        <row r="352">
          <cell r="A352" t="str">
            <v>PO10351</v>
          </cell>
        </row>
        <row r="353">
          <cell r="A353" t="str">
            <v>PO10352</v>
          </cell>
        </row>
        <row r="354">
          <cell r="A354" t="str">
            <v>PO10353</v>
          </cell>
        </row>
        <row r="355">
          <cell r="A355" t="str">
            <v>PO10354</v>
          </cell>
        </row>
        <row r="356">
          <cell r="A356" t="str">
            <v>PO10355</v>
          </cell>
        </row>
        <row r="357">
          <cell r="A357" t="str">
            <v>PO10356</v>
          </cell>
        </row>
        <row r="358">
          <cell r="A358" t="str">
            <v>PO10357</v>
          </cell>
        </row>
        <row r="359">
          <cell r="A359" t="str">
            <v>PO10358</v>
          </cell>
        </row>
        <row r="360">
          <cell r="A360" t="str">
            <v>PO10359</v>
          </cell>
        </row>
        <row r="361">
          <cell r="A361" t="str">
            <v>PO10360</v>
          </cell>
        </row>
        <row r="362">
          <cell r="A362" t="str">
            <v>PO10361</v>
          </cell>
        </row>
        <row r="363">
          <cell r="A363" t="str">
            <v>PO10362</v>
          </cell>
        </row>
        <row r="364">
          <cell r="A364" t="str">
            <v>PO10363</v>
          </cell>
        </row>
        <row r="365">
          <cell r="A365" t="str">
            <v>PO10364</v>
          </cell>
        </row>
        <row r="366">
          <cell r="A366" t="str">
            <v>PO10365</v>
          </cell>
        </row>
        <row r="367">
          <cell r="A367" t="str">
            <v>PO10366</v>
          </cell>
        </row>
        <row r="368">
          <cell r="A368" t="str">
            <v>PO10367</v>
          </cell>
        </row>
        <row r="369">
          <cell r="A369" t="str">
            <v>PO10368</v>
          </cell>
        </row>
        <row r="370">
          <cell r="A370" t="str">
            <v>PO10369</v>
          </cell>
        </row>
        <row r="371">
          <cell r="A371" t="str">
            <v>PO10370</v>
          </cell>
        </row>
        <row r="372">
          <cell r="A372" t="str">
            <v>PO10371</v>
          </cell>
        </row>
        <row r="373">
          <cell r="A373" t="str">
            <v>PO10372</v>
          </cell>
        </row>
        <row r="374">
          <cell r="A374" t="str">
            <v>PO10373</v>
          </cell>
        </row>
        <row r="375">
          <cell r="A375" t="str">
            <v>PO10374</v>
          </cell>
        </row>
        <row r="376">
          <cell r="A376" t="str">
            <v>PO10375</v>
          </cell>
        </row>
        <row r="377">
          <cell r="A377" t="str">
            <v>PO10376</v>
          </cell>
        </row>
        <row r="378">
          <cell r="A378" t="str">
            <v>PO10377</v>
          </cell>
        </row>
        <row r="379">
          <cell r="A379" t="str">
            <v>PO10378</v>
          </cell>
        </row>
        <row r="380">
          <cell r="A380" t="str">
            <v>PO10379</v>
          </cell>
        </row>
        <row r="381">
          <cell r="A381" t="str">
            <v>PO10380</v>
          </cell>
        </row>
        <row r="382">
          <cell r="A382" t="str">
            <v>PO10381</v>
          </cell>
        </row>
        <row r="383">
          <cell r="A383" t="str">
            <v>PO10382</v>
          </cell>
        </row>
        <row r="384">
          <cell r="A384" t="str">
            <v>PO10383</v>
          </cell>
        </row>
        <row r="385">
          <cell r="A385" t="str">
            <v>PO10384</v>
          </cell>
        </row>
        <row r="386">
          <cell r="A386" t="str">
            <v>PO10385</v>
          </cell>
        </row>
        <row r="387">
          <cell r="A387" t="str">
            <v>PO10386</v>
          </cell>
        </row>
        <row r="388">
          <cell r="A388" t="str">
            <v>PO10387</v>
          </cell>
        </row>
        <row r="389">
          <cell r="A389" t="str">
            <v>PO10388</v>
          </cell>
        </row>
        <row r="390">
          <cell r="A390" t="str">
            <v>PO10389</v>
          </cell>
        </row>
        <row r="391">
          <cell r="A391" t="str">
            <v>PO10390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29"/>
  <sheetViews>
    <sheetView tabSelected="1" workbookViewId="0">
      <selection activeCell="N1" sqref="N1:N1048576"/>
    </sheetView>
  </sheetViews>
  <sheetFormatPr baseColWidth="10" defaultColWidth="8.83203125" defaultRowHeight="15" x14ac:dyDescent="0.2"/>
  <cols>
    <col min="1" max="1" width="11.83203125" bestFit="1" customWidth="1"/>
    <col min="2" max="2" width="10.1640625" bestFit="1" customWidth="1"/>
    <col min="3" max="3" width="7.1640625" bestFit="1" customWidth="1"/>
    <col min="4" max="4" width="10.5" bestFit="1" customWidth="1"/>
    <col min="6" max="7" width="17.6640625" bestFit="1" customWidth="1"/>
    <col min="8" max="8" width="12" bestFit="1" customWidth="1"/>
    <col min="9" max="9" width="17.1640625" bestFit="1" customWidth="1"/>
    <col min="10" max="10" width="18.33203125" bestFit="1" customWidth="1"/>
    <col min="11" max="11" width="17.33203125" bestFit="1" customWidth="1"/>
    <col min="12" max="12" width="12.6640625" bestFit="1" customWidth="1"/>
    <col min="13" max="13" width="16" bestFit="1" customWidth="1"/>
    <col min="14" max="14" width="20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3189</v>
      </c>
      <c r="M1" s="4" t="s">
        <v>3190</v>
      </c>
      <c r="N1" s="4" t="s">
        <v>3191</v>
      </c>
    </row>
    <row r="2" spans="1:14" x14ac:dyDescent="0.2">
      <c r="A2" t="s">
        <v>11</v>
      </c>
      <c r="B2" s="2">
        <v>46237</v>
      </c>
      <c r="C2" t="s">
        <v>2939</v>
      </c>
      <c r="D2" t="s">
        <v>2942</v>
      </c>
      <c r="E2" t="s">
        <v>2951</v>
      </c>
      <c r="F2" s="3">
        <v>46237.976301273593</v>
      </c>
      <c r="G2" s="3">
        <v>46237.982891686494</v>
      </c>
      <c r="H2">
        <v>9.49</v>
      </c>
      <c r="I2" t="s">
        <v>3146</v>
      </c>
      <c r="J2" t="s">
        <v>3152</v>
      </c>
      <c r="K2" t="s">
        <v>3171</v>
      </c>
      <c r="L2" t="str">
        <f>_xlfn.XLOOKUP(C2,[1]!Table1[Shift_ID],[1]!Table1[Shift_ID])</f>
        <v>S03</v>
      </c>
      <c r="M2" t="str">
        <f>_xlfn.XLOOKUP(D2,[2]!Table1[Machine_ID],[2]!Table1[Machine_ID])</f>
        <v>M001</v>
      </c>
      <c r="N2" t="str">
        <f>_xlfn.XLOOKUP(E2,[3]Sheet1!$A$2:$A$391,[3]Sheet1!$A$2:$A$391)</f>
        <v>PO10001</v>
      </c>
    </row>
    <row r="3" spans="1:14" x14ac:dyDescent="0.2">
      <c r="A3" t="s">
        <v>12</v>
      </c>
      <c r="B3" s="2">
        <v>46237</v>
      </c>
      <c r="C3" t="s">
        <v>2939</v>
      </c>
      <c r="D3" t="s">
        <v>2943</v>
      </c>
      <c r="E3" t="s">
        <v>2951</v>
      </c>
      <c r="F3" s="3">
        <v>46238.182029541364</v>
      </c>
      <c r="G3" s="3">
        <v>46238.185974719141</v>
      </c>
      <c r="H3">
        <v>5.68</v>
      </c>
      <c r="I3" t="s">
        <v>3147</v>
      </c>
      <c r="J3" t="s">
        <v>3153</v>
      </c>
      <c r="K3" t="s">
        <v>3172</v>
      </c>
      <c r="L3" t="str">
        <f>_xlfn.XLOOKUP(C3,[1]!Table1[Shift_ID],[1]!Table1[Shift_ID])</f>
        <v>S03</v>
      </c>
      <c r="M3" t="str">
        <f>_xlfn.XLOOKUP(D3,[2]!Table1[Machine_ID],[2]!Table1[Machine_ID])</f>
        <v>M002</v>
      </c>
      <c r="N3" t="str">
        <f>_xlfn.XLOOKUP(E3,[3]Sheet1!$A$2:$A$391,[3]Sheet1!$A$2:$A$391)</f>
        <v>PO10001</v>
      </c>
    </row>
    <row r="4" spans="1:14" x14ac:dyDescent="0.2">
      <c r="A4" t="s">
        <v>13</v>
      </c>
      <c r="B4" s="2">
        <v>46237</v>
      </c>
      <c r="C4" t="s">
        <v>2939</v>
      </c>
      <c r="D4" t="s">
        <v>2943</v>
      </c>
      <c r="E4" t="s">
        <v>2951</v>
      </c>
      <c r="F4" s="3">
        <v>46238.221174298727</v>
      </c>
      <c r="G4" s="3">
        <v>46238.2236413153</v>
      </c>
      <c r="H4">
        <v>3.55</v>
      </c>
      <c r="I4" t="s">
        <v>3147</v>
      </c>
      <c r="J4" t="s">
        <v>3154</v>
      </c>
      <c r="K4" t="s">
        <v>3172</v>
      </c>
      <c r="L4" t="str">
        <f>_xlfn.XLOOKUP(C4,[1]!Table1[Shift_ID],[1]!Table1[Shift_ID])</f>
        <v>S03</v>
      </c>
      <c r="M4" t="str">
        <f>_xlfn.XLOOKUP(D4,[2]!Table1[Machine_ID],[2]!Table1[Machine_ID])</f>
        <v>M002</v>
      </c>
      <c r="N4" t="str">
        <f>_xlfn.XLOOKUP(E4,[3]Sheet1!$A$2:$A$391,[3]Sheet1!$A$2:$A$391)</f>
        <v>PO10001</v>
      </c>
    </row>
    <row r="5" spans="1:14" x14ac:dyDescent="0.2">
      <c r="A5" t="s">
        <v>14</v>
      </c>
      <c r="B5" s="2">
        <v>46237</v>
      </c>
      <c r="C5" t="s">
        <v>2939</v>
      </c>
      <c r="D5" t="s">
        <v>2943</v>
      </c>
      <c r="E5" t="s">
        <v>2951</v>
      </c>
      <c r="F5" s="3">
        <v>46238.238919532028</v>
      </c>
      <c r="G5" s="3">
        <v>46238.240621960547</v>
      </c>
      <c r="H5">
        <v>2.4500000000000002</v>
      </c>
      <c r="I5" t="s">
        <v>3148</v>
      </c>
      <c r="J5" t="s">
        <v>3155</v>
      </c>
      <c r="K5" t="s">
        <v>3173</v>
      </c>
      <c r="L5" t="str">
        <f>_xlfn.XLOOKUP(C5,[1]!Table1[Shift_ID],[1]!Table1[Shift_ID])</f>
        <v>S03</v>
      </c>
      <c r="M5" t="str">
        <f>_xlfn.XLOOKUP(D5,[2]!Table1[Machine_ID],[2]!Table1[Machine_ID])</f>
        <v>M002</v>
      </c>
      <c r="N5" t="str">
        <f>_xlfn.XLOOKUP(E5,[3]Sheet1!$A$2:$A$391,[3]Sheet1!$A$2:$A$391)</f>
        <v>PO10001</v>
      </c>
    </row>
    <row r="6" spans="1:14" x14ac:dyDescent="0.2">
      <c r="A6" t="s">
        <v>15</v>
      </c>
      <c r="B6" s="2">
        <v>46237</v>
      </c>
      <c r="C6" t="s">
        <v>2939</v>
      </c>
      <c r="D6" t="s">
        <v>2944</v>
      </c>
      <c r="E6" t="s">
        <v>2951</v>
      </c>
      <c r="F6" s="3">
        <v>46238.09169465398</v>
      </c>
      <c r="G6" s="3">
        <v>46238.103970462224</v>
      </c>
      <c r="H6">
        <v>17.68</v>
      </c>
      <c r="I6" t="s">
        <v>3146</v>
      </c>
      <c r="J6" t="s">
        <v>3156</v>
      </c>
      <c r="K6" t="s">
        <v>3174</v>
      </c>
      <c r="L6" t="str">
        <f>_xlfn.XLOOKUP(C6,[1]!Table1[Shift_ID],[1]!Table1[Shift_ID])</f>
        <v>S03</v>
      </c>
      <c r="M6" t="str">
        <f>_xlfn.XLOOKUP(D6,[2]!Table1[Machine_ID],[2]!Table1[Machine_ID])</f>
        <v>M003</v>
      </c>
      <c r="N6" t="str">
        <f>_xlfn.XLOOKUP(E6,[3]Sheet1!$A$2:$A$391,[3]Sheet1!$A$2:$A$391)</f>
        <v>PO10001</v>
      </c>
    </row>
    <row r="7" spans="1:14" x14ac:dyDescent="0.2">
      <c r="A7" t="s">
        <v>16</v>
      </c>
      <c r="B7" s="2">
        <v>46237</v>
      </c>
      <c r="C7" t="s">
        <v>2939</v>
      </c>
      <c r="D7" t="s">
        <v>2945</v>
      </c>
      <c r="E7" t="s">
        <v>2951</v>
      </c>
      <c r="F7" s="3">
        <v>46238.234971470381</v>
      </c>
      <c r="G7" s="3">
        <v>46238.245009562313</v>
      </c>
      <c r="H7">
        <v>14.45</v>
      </c>
      <c r="I7" t="s">
        <v>3146</v>
      </c>
      <c r="J7" t="s">
        <v>3157</v>
      </c>
      <c r="K7" t="s">
        <v>3175</v>
      </c>
      <c r="L7" t="str">
        <f>_xlfn.XLOOKUP(C7,[1]!Table1[Shift_ID],[1]!Table1[Shift_ID])</f>
        <v>S03</v>
      </c>
      <c r="M7" t="str">
        <f>_xlfn.XLOOKUP(D7,[2]!Table1[Machine_ID],[2]!Table1[Machine_ID])</f>
        <v>M004</v>
      </c>
      <c r="N7" t="str">
        <f>_xlfn.XLOOKUP(E7,[3]Sheet1!$A$2:$A$391,[3]Sheet1!$A$2:$A$391)</f>
        <v>PO10001</v>
      </c>
    </row>
    <row r="8" spans="1:14" x14ac:dyDescent="0.2">
      <c r="A8" t="s">
        <v>17</v>
      </c>
      <c r="B8" s="2">
        <v>46237</v>
      </c>
      <c r="C8" t="s">
        <v>2939</v>
      </c>
      <c r="D8" t="s">
        <v>2946</v>
      </c>
      <c r="E8" t="s">
        <v>2951</v>
      </c>
      <c r="F8" s="3">
        <v>46238.051712214467</v>
      </c>
      <c r="G8" s="3">
        <v>46238.058837470016</v>
      </c>
      <c r="H8">
        <v>10.26</v>
      </c>
      <c r="I8" t="s">
        <v>3149</v>
      </c>
      <c r="J8" t="s">
        <v>3158</v>
      </c>
      <c r="K8" t="s">
        <v>3176</v>
      </c>
      <c r="L8" t="str">
        <f>_xlfn.XLOOKUP(C8,[1]!Table1[Shift_ID],[1]!Table1[Shift_ID])</f>
        <v>S03</v>
      </c>
      <c r="M8" t="str">
        <f>_xlfn.XLOOKUP(D8,[2]!Table1[Machine_ID],[2]!Table1[Machine_ID])</f>
        <v>M005</v>
      </c>
      <c r="N8" t="str">
        <f>_xlfn.XLOOKUP(E8,[3]Sheet1!$A$2:$A$391,[3]Sheet1!$A$2:$A$391)</f>
        <v>PO10001</v>
      </c>
    </row>
    <row r="9" spans="1:14" x14ac:dyDescent="0.2">
      <c r="A9" t="s">
        <v>18</v>
      </c>
      <c r="B9" s="2">
        <v>46237</v>
      </c>
      <c r="C9" t="s">
        <v>2939</v>
      </c>
      <c r="D9" t="s">
        <v>2947</v>
      </c>
      <c r="E9" t="s">
        <v>2951</v>
      </c>
      <c r="F9" s="3">
        <v>46238.10147837257</v>
      </c>
      <c r="G9" s="3">
        <v>46238.118983648412</v>
      </c>
      <c r="H9">
        <v>25.21</v>
      </c>
      <c r="I9" t="s">
        <v>3150</v>
      </c>
      <c r="J9" t="s">
        <v>3159</v>
      </c>
      <c r="K9" t="s">
        <v>3177</v>
      </c>
      <c r="L9" t="str">
        <f>_xlfn.XLOOKUP(C9,[1]!Table1[Shift_ID],[1]!Table1[Shift_ID])</f>
        <v>S03</v>
      </c>
      <c r="M9" t="str">
        <f>_xlfn.XLOOKUP(D9,[2]!Table1[Machine_ID],[2]!Table1[Machine_ID])</f>
        <v>M006</v>
      </c>
      <c r="N9" t="str">
        <f>_xlfn.XLOOKUP(E9,[3]Sheet1!$A$2:$A$391,[3]Sheet1!$A$2:$A$391)</f>
        <v>PO10001</v>
      </c>
    </row>
    <row r="10" spans="1:14" x14ac:dyDescent="0.2">
      <c r="A10" t="s">
        <v>19</v>
      </c>
      <c r="B10" s="2">
        <v>46237</v>
      </c>
      <c r="C10" t="s">
        <v>2939</v>
      </c>
      <c r="D10" t="s">
        <v>2947</v>
      </c>
      <c r="E10" t="s">
        <v>2951</v>
      </c>
      <c r="F10" s="3">
        <v>46238.147624031932</v>
      </c>
      <c r="G10" s="3">
        <v>46238.158964426337</v>
      </c>
      <c r="H10">
        <v>16.329999999999998</v>
      </c>
      <c r="I10" t="s">
        <v>3146</v>
      </c>
      <c r="J10" t="s">
        <v>3156</v>
      </c>
      <c r="K10" t="s">
        <v>3175</v>
      </c>
      <c r="L10" t="str">
        <f>_xlfn.XLOOKUP(C10,[1]!Table1[Shift_ID],[1]!Table1[Shift_ID])</f>
        <v>S03</v>
      </c>
      <c r="M10" t="str">
        <f>_xlfn.XLOOKUP(D10,[2]!Table1[Machine_ID],[2]!Table1[Machine_ID])</f>
        <v>M006</v>
      </c>
      <c r="N10" t="str">
        <f>_xlfn.XLOOKUP(E10,[3]Sheet1!$A$2:$A$391,[3]Sheet1!$A$2:$A$391)</f>
        <v>PO10001</v>
      </c>
    </row>
    <row r="11" spans="1:14" x14ac:dyDescent="0.2">
      <c r="A11" t="s">
        <v>20</v>
      </c>
      <c r="B11" s="2">
        <v>46237</v>
      </c>
      <c r="C11" t="s">
        <v>2939</v>
      </c>
      <c r="D11" t="s">
        <v>2948</v>
      </c>
      <c r="E11" t="s">
        <v>2951</v>
      </c>
      <c r="F11" s="3">
        <v>46238.073819077872</v>
      </c>
      <c r="G11" s="3">
        <v>46238.078261452647</v>
      </c>
      <c r="H11">
        <v>6.4</v>
      </c>
      <c r="I11" t="s">
        <v>3150</v>
      </c>
      <c r="J11" t="s">
        <v>3160</v>
      </c>
      <c r="K11" t="s">
        <v>3178</v>
      </c>
      <c r="L11" t="str">
        <f>_xlfn.XLOOKUP(C11,[1]!Table1[Shift_ID],[1]!Table1[Shift_ID])</f>
        <v>S03</v>
      </c>
      <c r="M11" t="str">
        <f>_xlfn.XLOOKUP(D11,[2]!Table1[Machine_ID],[2]!Table1[Machine_ID])</f>
        <v>M007</v>
      </c>
      <c r="N11" t="str">
        <f>_xlfn.XLOOKUP(E11,[3]Sheet1!$A$2:$A$391,[3]Sheet1!$A$2:$A$391)</f>
        <v>PO10001</v>
      </c>
    </row>
    <row r="12" spans="1:14" x14ac:dyDescent="0.2">
      <c r="A12" t="s">
        <v>21</v>
      </c>
      <c r="B12" s="2">
        <v>46237</v>
      </c>
      <c r="C12" t="s">
        <v>2939</v>
      </c>
      <c r="D12" t="s">
        <v>2948</v>
      </c>
      <c r="E12" t="s">
        <v>2951</v>
      </c>
      <c r="F12" s="3">
        <v>46238.122186667497</v>
      </c>
      <c r="G12" s="3">
        <v>46238.136039815923</v>
      </c>
      <c r="H12">
        <v>26.95</v>
      </c>
      <c r="I12" t="s">
        <v>3150</v>
      </c>
      <c r="J12" t="s">
        <v>3160</v>
      </c>
      <c r="K12" t="s">
        <v>3179</v>
      </c>
      <c r="L12" t="str">
        <f>_xlfn.XLOOKUP(C12,[1]!Table1[Shift_ID],[1]!Table1[Shift_ID])</f>
        <v>S03</v>
      </c>
      <c r="M12" t="str">
        <f>_xlfn.XLOOKUP(D12,[2]!Table1[Machine_ID],[2]!Table1[Machine_ID])</f>
        <v>M007</v>
      </c>
      <c r="N12" t="str">
        <f>_xlfn.XLOOKUP(E12,[3]Sheet1!$A$2:$A$391,[3]Sheet1!$A$2:$A$391)</f>
        <v>PO10001</v>
      </c>
    </row>
    <row r="13" spans="1:14" x14ac:dyDescent="0.2">
      <c r="A13" t="s">
        <v>22</v>
      </c>
      <c r="B13" s="2">
        <v>46237</v>
      </c>
      <c r="C13" t="s">
        <v>2939</v>
      </c>
      <c r="D13" t="s">
        <v>2949</v>
      </c>
      <c r="E13" t="s">
        <v>2951</v>
      </c>
      <c r="F13" s="3">
        <v>46237.922163715273</v>
      </c>
      <c r="G13" s="3">
        <v>46237.928027652219</v>
      </c>
      <c r="H13">
        <v>8.44</v>
      </c>
      <c r="I13" t="s">
        <v>3148</v>
      </c>
      <c r="J13" t="s">
        <v>3155</v>
      </c>
      <c r="K13" t="s">
        <v>3180</v>
      </c>
      <c r="L13" t="str">
        <f>_xlfn.XLOOKUP(C13,[1]!Table1[Shift_ID],[1]!Table1[Shift_ID])</f>
        <v>S03</v>
      </c>
      <c r="M13" t="str">
        <f>_xlfn.XLOOKUP(D13,[2]!Table1[Machine_ID],[2]!Table1[Machine_ID])</f>
        <v>M008</v>
      </c>
      <c r="N13" t="str">
        <f>_xlfn.XLOOKUP(E13,[3]Sheet1!$A$2:$A$391,[3]Sheet1!$A$2:$A$391)</f>
        <v>PO10001</v>
      </c>
    </row>
    <row r="14" spans="1:14" x14ac:dyDescent="0.2">
      <c r="A14" t="s">
        <v>23</v>
      </c>
      <c r="B14" s="2">
        <v>46237</v>
      </c>
      <c r="C14" t="s">
        <v>2940</v>
      </c>
      <c r="D14" t="s">
        <v>2942</v>
      </c>
      <c r="E14" t="s">
        <v>2952</v>
      </c>
      <c r="F14" s="3">
        <v>46237.263268352966</v>
      </c>
      <c r="G14" s="3">
        <v>46237.264675624087</v>
      </c>
      <c r="H14">
        <v>2.0299999999999998</v>
      </c>
      <c r="I14" t="s">
        <v>3151</v>
      </c>
      <c r="J14" t="s">
        <v>3161</v>
      </c>
      <c r="K14" t="s">
        <v>3181</v>
      </c>
      <c r="L14" t="str">
        <f>_xlfn.XLOOKUP(C14,[1]!Table1[Shift_ID],[1]!Table1[Shift_ID])</f>
        <v>S01</v>
      </c>
      <c r="M14" t="str">
        <f>_xlfn.XLOOKUP(D14,[2]!Table1[Machine_ID],[2]!Table1[Machine_ID])</f>
        <v>M001</v>
      </c>
      <c r="N14" t="str">
        <f>_xlfn.XLOOKUP(E14,[3]Sheet1!$A$2:$A$391,[3]Sheet1!$A$2:$A$391)</f>
        <v>PO10002</v>
      </c>
    </row>
    <row r="15" spans="1:14" x14ac:dyDescent="0.2">
      <c r="A15" t="s">
        <v>24</v>
      </c>
      <c r="B15" s="2">
        <v>46237</v>
      </c>
      <c r="C15" t="s">
        <v>2940</v>
      </c>
      <c r="D15" t="s">
        <v>2942</v>
      </c>
      <c r="E15" t="s">
        <v>2952</v>
      </c>
      <c r="F15" s="3">
        <v>46237.264210538277</v>
      </c>
      <c r="G15" s="3">
        <v>46237.265617809397</v>
      </c>
      <c r="H15">
        <v>2.0299999999999998</v>
      </c>
      <c r="I15" t="s">
        <v>3150</v>
      </c>
      <c r="J15" t="s">
        <v>3160</v>
      </c>
      <c r="K15" t="s">
        <v>3178</v>
      </c>
      <c r="L15" t="str">
        <f>_xlfn.XLOOKUP(C15,[1]!Table1[Shift_ID],[1]!Table1[Shift_ID])</f>
        <v>S01</v>
      </c>
      <c r="M15" t="str">
        <f>_xlfn.XLOOKUP(D15,[2]!Table1[Machine_ID],[2]!Table1[Machine_ID])</f>
        <v>M001</v>
      </c>
      <c r="N15" t="str">
        <f>_xlfn.XLOOKUP(E15,[3]Sheet1!$A$2:$A$391,[3]Sheet1!$A$2:$A$391)</f>
        <v>PO10002</v>
      </c>
    </row>
    <row r="16" spans="1:14" x14ac:dyDescent="0.2">
      <c r="A16" t="s">
        <v>25</v>
      </c>
      <c r="B16" s="2">
        <v>46237</v>
      </c>
      <c r="C16" t="s">
        <v>2940</v>
      </c>
      <c r="D16" t="s">
        <v>2942</v>
      </c>
      <c r="E16" t="s">
        <v>2952</v>
      </c>
      <c r="F16" s="3">
        <v>46237.341570076758</v>
      </c>
      <c r="G16" s="3">
        <v>46237.343524785589</v>
      </c>
      <c r="H16">
        <v>2.81</v>
      </c>
      <c r="I16" t="s">
        <v>3149</v>
      </c>
      <c r="J16" t="s">
        <v>3162</v>
      </c>
      <c r="K16" t="s">
        <v>3182</v>
      </c>
      <c r="L16" t="str">
        <f>_xlfn.XLOOKUP(C16,[1]!Table1[Shift_ID],[1]!Table1[Shift_ID])</f>
        <v>S01</v>
      </c>
      <c r="M16" t="str">
        <f>_xlfn.XLOOKUP(D16,[2]!Table1[Machine_ID],[2]!Table1[Machine_ID])</f>
        <v>M001</v>
      </c>
      <c r="N16" t="str">
        <f>_xlfn.XLOOKUP(E16,[3]Sheet1!$A$2:$A$391,[3]Sheet1!$A$2:$A$391)</f>
        <v>PO10002</v>
      </c>
    </row>
    <row r="17" spans="1:14" x14ac:dyDescent="0.2">
      <c r="A17" t="s">
        <v>26</v>
      </c>
      <c r="B17" s="2">
        <v>46237</v>
      </c>
      <c r="C17" t="s">
        <v>2940</v>
      </c>
      <c r="D17" t="s">
        <v>2942</v>
      </c>
      <c r="E17" t="s">
        <v>2952</v>
      </c>
      <c r="F17" s="3">
        <v>46237.379292549813</v>
      </c>
      <c r="G17" s="3">
        <v>46237.38069982094</v>
      </c>
      <c r="H17">
        <v>2.0299999999999998</v>
      </c>
      <c r="I17" t="s">
        <v>3150</v>
      </c>
      <c r="J17" t="s">
        <v>3163</v>
      </c>
      <c r="K17" t="s">
        <v>3179</v>
      </c>
      <c r="L17" t="str">
        <f>_xlfn.XLOOKUP(C17,[1]!Table1[Shift_ID],[1]!Table1[Shift_ID])</f>
        <v>S01</v>
      </c>
      <c r="M17" t="str">
        <f>_xlfn.XLOOKUP(D17,[2]!Table1[Machine_ID],[2]!Table1[Machine_ID])</f>
        <v>M001</v>
      </c>
      <c r="N17" t="str">
        <f>_xlfn.XLOOKUP(E17,[3]Sheet1!$A$2:$A$391,[3]Sheet1!$A$2:$A$391)</f>
        <v>PO10002</v>
      </c>
    </row>
    <row r="18" spans="1:14" x14ac:dyDescent="0.2">
      <c r="A18" t="s">
        <v>27</v>
      </c>
      <c r="B18" s="2">
        <v>46237</v>
      </c>
      <c r="C18" t="s">
        <v>2940</v>
      </c>
      <c r="D18" t="s">
        <v>2943</v>
      </c>
      <c r="E18" t="s">
        <v>2952</v>
      </c>
      <c r="F18" s="3">
        <v>46237.292440760117</v>
      </c>
      <c r="G18" s="3">
        <v>46237.302129429881</v>
      </c>
      <c r="H18">
        <v>13.95</v>
      </c>
      <c r="I18" t="s">
        <v>3150</v>
      </c>
      <c r="J18" t="s">
        <v>3163</v>
      </c>
      <c r="K18" t="s">
        <v>3179</v>
      </c>
      <c r="L18" t="str">
        <f>_xlfn.XLOOKUP(C18,[1]!Table1[Shift_ID],[1]!Table1[Shift_ID])</f>
        <v>S01</v>
      </c>
      <c r="M18" t="str">
        <f>_xlfn.XLOOKUP(D18,[2]!Table1[Machine_ID],[2]!Table1[Machine_ID])</f>
        <v>M002</v>
      </c>
      <c r="N18" t="str">
        <f>_xlfn.XLOOKUP(E18,[3]Sheet1!$A$2:$A$391,[3]Sheet1!$A$2:$A$391)</f>
        <v>PO10002</v>
      </c>
    </row>
    <row r="19" spans="1:14" x14ac:dyDescent="0.2">
      <c r="A19" t="s">
        <v>28</v>
      </c>
      <c r="B19" s="2">
        <v>46237</v>
      </c>
      <c r="C19" t="s">
        <v>2940</v>
      </c>
      <c r="D19" t="s">
        <v>2944</v>
      </c>
      <c r="E19" t="s">
        <v>2952</v>
      </c>
      <c r="F19" s="3">
        <v>46237.504978271849</v>
      </c>
      <c r="G19" s="3">
        <v>46237.516376242012</v>
      </c>
      <c r="H19">
        <v>16.41</v>
      </c>
      <c r="I19" t="s">
        <v>3148</v>
      </c>
      <c r="J19" t="s">
        <v>3164</v>
      </c>
      <c r="K19" t="s">
        <v>3173</v>
      </c>
      <c r="L19" t="str">
        <f>_xlfn.XLOOKUP(C19,[1]!Table1[Shift_ID],[1]!Table1[Shift_ID])</f>
        <v>S01</v>
      </c>
      <c r="M19" t="str">
        <f>_xlfn.XLOOKUP(D19,[2]!Table1[Machine_ID],[2]!Table1[Machine_ID])</f>
        <v>M003</v>
      </c>
      <c r="N19" t="str">
        <f>_xlfn.XLOOKUP(E19,[3]Sheet1!$A$2:$A$391,[3]Sheet1!$A$2:$A$391)</f>
        <v>PO10002</v>
      </c>
    </row>
    <row r="20" spans="1:14" x14ac:dyDescent="0.2">
      <c r="A20" t="s">
        <v>29</v>
      </c>
      <c r="B20" s="2">
        <v>46237</v>
      </c>
      <c r="C20" t="s">
        <v>2940</v>
      </c>
      <c r="D20" t="s">
        <v>2945</v>
      </c>
      <c r="E20" t="s">
        <v>2952</v>
      </c>
      <c r="F20" s="3">
        <v>46237.32266466767</v>
      </c>
      <c r="G20" s="3">
        <v>46237.324588912437</v>
      </c>
      <c r="H20">
        <v>2.77</v>
      </c>
      <c r="I20" t="s">
        <v>3147</v>
      </c>
      <c r="J20" t="s">
        <v>3154</v>
      </c>
      <c r="K20" t="s">
        <v>3172</v>
      </c>
      <c r="L20" t="str">
        <f>_xlfn.XLOOKUP(C20,[1]!Table1[Shift_ID],[1]!Table1[Shift_ID])</f>
        <v>S01</v>
      </c>
      <c r="M20" t="str">
        <f>_xlfn.XLOOKUP(D20,[2]!Table1[Machine_ID],[2]!Table1[Machine_ID])</f>
        <v>M004</v>
      </c>
      <c r="N20" t="str">
        <f>_xlfn.XLOOKUP(E20,[3]Sheet1!$A$2:$A$391,[3]Sheet1!$A$2:$A$391)</f>
        <v>PO10002</v>
      </c>
    </row>
    <row r="21" spans="1:14" x14ac:dyDescent="0.2">
      <c r="A21" t="s">
        <v>30</v>
      </c>
      <c r="B21" s="2">
        <v>46237</v>
      </c>
      <c r="C21" t="s">
        <v>2940</v>
      </c>
      <c r="D21" t="s">
        <v>2945</v>
      </c>
      <c r="E21" t="s">
        <v>2952</v>
      </c>
      <c r="F21" s="3">
        <v>46237.380874505237</v>
      </c>
      <c r="G21" s="3">
        <v>46237.386376902468</v>
      </c>
      <c r="H21">
        <v>7.92</v>
      </c>
      <c r="I21" t="s">
        <v>3148</v>
      </c>
      <c r="J21" t="s">
        <v>3165</v>
      </c>
      <c r="K21" t="s">
        <v>3173</v>
      </c>
      <c r="L21" t="str">
        <f>_xlfn.XLOOKUP(C21,[1]!Table1[Shift_ID],[1]!Table1[Shift_ID])</f>
        <v>S01</v>
      </c>
      <c r="M21" t="str">
        <f>_xlfn.XLOOKUP(D21,[2]!Table1[Machine_ID],[2]!Table1[Machine_ID])</f>
        <v>M004</v>
      </c>
      <c r="N21" t="str">
        <f>_xlfn.XLOOKUP(E21,[3]Sheet1!$A$2:$A$391,[3]Sheet1!$A$2:$A$391)</f>
        <v>PO10002</v>
      </c>
    </row>
    <row r="22" spans="1:14" x14ac:dyDescent="0.2">
      <c r="A22" t="s">
        <v>31</v>
      </c>
      <c r="B22" s="2">
        <v>46237</v>
      </c>
      <c r="C22" t="s">
        <v>2940</v>
      </c>
      <c r="D22" t="s">
        <v>2946</v>
      </c>
      <c r="E22" t="s">
        <v>2952</v>
      </c>
      <c r="F22" s="3">
        <v>46237.273819717753</v>
      </c>
      <c r="G22" s="3">
        <v>46237.276676315887</v>
      </c>
      <c r="H22">
        <v>4.1100000000000003</v>
      </c>
      <c r="I22" t="s">
        <v>3149</v>
      </c>
      <c r="J22" t="s">
        <v>3158</v>
      </c>
      <c r="K22" t="s">
        <v>3182</v>
      </c>
      <c r="L22" t="str">
        <f>_xlfn.XLOOKUP(C22,[1]!Table1[Shift_ID],[1]!Table1[Shift_ID])</f>
        <v>S01</v>
      </c>
      <c r="M22" t="str">
        <f>_xlfn.XLOOKUP(D22,[2]!Table1[Machine_ID],[2]!Table1[Machine_ID])</f>
        <v>M005</v>
      </c>
      <c r="N22" t="str">
        <f>_xlfn.XLOOKUP(E22,[3]Sheet1!$A$2:$A$391,[3]Sheet1!$A$2:$A$391)</f>
        <v>PO10002</v>
      </c>
    </row>
    <row r="23" spans="1:14" x14ac:dyDescent="0.2">
      <c r="A23" t="s">
        <v>32</v>
      </c>
      <c r="B23" s="2">
        <v>46237</v>
      </c>
      <c r="C23" t="s">
        <v>2940</v>
      </c>
      <c r="D23" t="s">
        <v>2946</v>
      </c>
      <c r="E23" t="s">
        <v>2952</v>
      </c>
      <c r="F23" s="3">
        <v>46237.341767389691</v>
      </c>
      <c r="G23" s="3">
        <v>46237.344114739411</v>
      </c>
      <c r="H23">
        <v>3.38</v>
      </c>
      <c r="I23" t="s">
        <v>3150</v>
      </c>
      <c r="J23" t="s">
        <v>3166</v>
      </c>
      <c r="K23" t="s">
        <v>3177</v>
      </c>
      <c r="L23" t="str">
        <f>_xlfn.XLOOKUP(C23,[1]!Table1[Shift_ID],[1]!Table1[Shift_ID])</f>
        <v>S01</v>
      </c>
      <c r="M23" t="str">
        <f>_xlfn.XLOOKUP(D23,[2]!Table1[Machine_ID],[2]!Table1[Machine_ID])</f>
        <v>M005</v>
      </c>
      <c r="N23" t="str">
        <f>_xlfn.XLOOKUP(E23,[3]Sheet1!$A$2:$A$391,[3]Sheet1!$A$2:$A$391)</f>
        <v>PO10002</v>
      </c>
    </row>
    <row r="24" spans="1:14" x14ac:dyDescent="0.2">
      <c r="A24" t="s">
        <v>33</v>
      </c>
      <c r="B24" s="2">
        <v>46237</v>
      </c>
      <c r="C24" t="s">
        <v>2940</v>
      </c>
      <c r="D24" t="s">
        <v>2946</v>
      </c>
      <c r="E24" t="s">
        <v>2952</v>
      </c>
      <c r="F24" s="3">
        <v>46237.556937011374</v>
      </c>
      <c r="G24" s="3">
        <v>46237.560431226557</v>
      </c>
      <c r="H24">
        <v>5.03</v>
      </c>
      <c r="I24" t="s">
        <v>3150</v>
      </c>
      <c r="J24" t="s">
        <v>3159</v>
      </c>
      <c r="K24" t="s">
        <v>3177</v>
      </c>
      <c r="L24" t="str">
        <f>_xlfn.XLOOKUP(C24,[1]!Table1[Shift_ID],[1]!Table1[Shift_ID])</f>
        <v>S01</v>
      </c>
      <c r="M24" t="str">
        <f>_xlfn.XLOOKUP(D24,[2]!Table1[Machine_ID],[2]!Table1[Machine_ID])</f>
        <v>M005</v>
      </c>
      <c r="N24" t="str">
        <f>_xlfn.XLOOKUP(E24,[3]Sheet1!$A$2:$A$391,[3]Sheet1!$A$2:$A$391)</f>
        <v>PO10002</v>
      </c>
    </row>
    <row r="25" spans="1:14" x14ac:dyDescent="0.2">
      <c r="A25" t="s">
        <v>34</v>
      </c>
      <c r="B25" s="2">
        <v>46237</v>
      </c>
      <c r="C25" t="s">
        <v>2940</v>
      </c>
      <c r="D25" t="s">
        <v>2947</v>
      </c>
      <c r="E25" t="s">
        <v>2952</v>
      </c>
      <c r="F25" s="3">
        <v>46237.284821609748</v>
      </c>
      <c r="G25" s="3">
        <v>46237.297439232832</v>
      </c>
      <c r="H25">
        <v>18.170000000000002</v>
      </c>
      <c r="I25" t="s">
        <v>3146</v>
      </c>
      <c r="J25" t="s">
        <v>3156</v>
      </c>
      <c r="K25" t="s">
        <v>3171</v>
      </c>
      <c r="L25" t="str">
        <f>_xlfn.XLOOKUP(C25,[1]!Table1[Shift_ID],[1]!Table1[Shift_ID])</f>
        <v>S01</v>
      </c>
      <c r="M25" t="str">
        <f>_xlfn.XLOOKUP(D25,[2]!Table1[Machine_ID],[2]!Table1[Machine_ID])</f>
        <v>M006</v>
      </c>
      <c r="N25" t="str">
        <f>_xlfn.XLOOKUP(E25,[3]Sheet1!$A$2:$A$391,[3]Sheet1!$A$2:$A$391)</f>
        <v>PO10002</v>
      </c>
    </row>
    <row r="26" spans="1:14" x14ac:dyDescent="0.2">
      <c r="A26" t="s">
        <v>35</v>
      </c>
      <c r="B26" s="2">
        <v>46237</v>
      </c>
      <c r="C26" t="s">
        <v>2940</v>
      </c>
      <c r="D26" t="s">
        <v>2947</v>
      </c>
      <c r="E26" t="s">
        <v>2952</v>
      </c>
      <c r="F26" s="3">
        <v>46237.447151135762</v>
      </c>
      <c r="G26" s="3">
        <v>46237.464248648866</v>
      </c>
      <c r="H26">
        <v>24.62</v>
      </c>
      <c r="I26" t="s">
        <v>3150</v>
      </c>
      <c r="J26" t="s">
        <v>3163</v>
      </c>
      <c r="K26" t="s">
        <v>3179</v>
      </c>
      <c r="L26" t="str">
        <f>_xlfn.XLOOKUP(C26,[1]!Table1[Shift_ID],[1]!Table1[Shift_ID])</f>
        <v>S01</v>
      </c>
      <c r="M26" t="str">
        <f>_xlfn.XLOOKUP(D26,[2]!Table1[Machine_ID],[2]!Table1[Machine_ID])</f>
        <v>M006</v>
      </c>
      <c r="N26" t="str">
        <f>_xlfn.XLOOKUP(E26,[3]Sheet1!$A$2:$A$391,[3]Sheet1!$A$2:$A$391)</f>
        <v>PO10002</v>
      </c>
    </row>
    <row r="27" spans="1:14" x14ac:dyDescent="0.2">
      <c r="A27" t="s">
        <v>36</v>
      </c>
      <c r="B27" s="2">
        <v>46237</v>
      </c>
      <c r="C27" t="s">
        <v>2940</v>
      </c>
      <c r="D27" t="s">
        <v>2947</v>
      </c>
      <c r="E27" t="s">
        <v>2952</v>
      </c>
      <c r="F27" s="3">
        <v>46237.526379249539</v>
      </c>
      <c r="G27" s="3">
        <v>46237.531440851802</v>
      </c>
      <c r="H27">
        <v>7.29</v>
      </c>
      <c r="I27" t="s">
        <v>3150</v>
      </c>
      <c r="J27" t="s">
        <v>3159</v>
      </c>
      <c r="K27" t="s">
        <v>3179</v>
      </c>
      <c r="L27" t="str">
        <f>_xlfn.XLOOKUP(C27,[1]!Table1[Shift_ID],[1]!Table1[Shift_ID])</f>
        <v>S01</v>
      </c>
      <c r="M27" t="str">
        <f>_xlfn.XLOOKUP(D27,[2]!Table1[Machine_ID],[2]!Table1[Machine_ID])</f>
        <v>M006</v>
      </c>
      <c r="N27" t="str">
        <f>_xlfn.XLOOKUP(E27,[3]Sheet1!$A$2:$A$391,[3]Sheet1!$A$2:$A$391)</f>
        <v>PO10002</v>
      </c>
    </row>
    <row r="28" spans="1:14" x14ac:dyDescent="0.2">
      <c r="A28" t="s">
        <v>37</v>
      </c>
      <c r="B28" s="2">
        <v>46237</v>
      </c>
      <c r="C28" t="s">
        <v>2940</v>
      </c>
      <c r="D28" t="s">
        <v>2948</v>
      </c>
      <c r="E28" t="s">
        <v>2952</v>
      </c>
      <c r="F28" s="3">
        <v>46237.255262513027</v>
      </c>
      <c r="G28" s="3">
        <v>46237.266905678553</v>
      </c>
      <c r="H28">
        <v>16.77</v>
      </c>
      <c r="I28" t="s">
        <v>3148</v>
      </c>
      <c r="J28" t="s">
        <v>3165</v>
      </c>
      <c r="K28" t="s">
        <v>3173</v>
      </c>
      <c r="L28" t="str">
        <f>_xlfn.XLOOKUP(C28,[1]!Table1[Shift_ID],[1]!Table1[Shift_ID])</f>
        <v>S01</v>
      </c>
      <c r="M28" t="str">
        <f>_xlfn.XLOOKUP(D28,[2]!Table1[Machine_ID],[2]!Table1[Machine_ID])</f>
        <v>M007</v>
      </c>
      <c r="N28" t="str">
        <f>_xlfn.XLOOKUP(E28,[3]Sheet1!$A$2:$A$391,[3]Sheet1!$A$2:$A$391)</f>
        <v>PO10002</v>
      </c>
    </row>
    <row r="29" spans="1:14" x14ac:dyDescent="0.2">
      <c r="A29" t="s">
        <v>38</v>
      </c>
      <c r="B29" s="2">
        <v>46237</v>
      </c>
      <c r="C29" t="s">
        <v>2940</v>
      </c>
      <c r="D29" t="s">
        <v>2949</v>
      </c>
      <c r="E29" t="s">
        <v>2952</v>
      </c>
      <c r="F29" s="3">
        <v>46237.55681944661</v>
      </c>
      <c r="G29" s="3">
        <v>46237.562036609022</v>
      </c>
      <c r="H29">
        <v>7.51</v>
      </c>
      <c r="I29" t="s">
        <v>3150</v>
      </c>
      <c r="J29" t="s">
        <v>3166</v>
      </c>
      <c r="K29" t="s">
        <v>3178</v>
      </c>
      <c r="L29" t="str">
        <f>_xlfn.XLOOKUP(C29,[1]!Table1[Shift_ID],[1]!Table1[Shift_ID])</f>
        <v>S01</v>
      </c>
      <c r="M29" t="str">
        <f>_xlfn.XLOOKUP(D29,[2]!Table1[Machine_ID],[2]!Table1[Machine_ID])</f>
        <v>M008</v>
      </c>
      <c r="N29" t="str">
        <f>_xlfn.XLOOKUP(E29,[3]Sheet1!$A$2:$A$391,[3]Sheet1!$A$2:$A$391)</f>
        <v>PO10002</v>
      </c>
    </row>
    <row r="30" spans="1:14" x14ac:dyDescent="0.2">
      <c r="A30" t="s">
        <v>39</v>
      </c>
      <c r="B30" s="2">
        <v>46237</v>
      </c>
      <c r="C30" t="s">
        <v>2941</v>
      </c>
      <c r="D30" t="s">
        <v>2942</v>
      </c>
      <c r="E30" t="s">
        <v>2953</v>
      </c>
      <c r="F30" s="3">
        <v>46237.665985974163</v>
      </c>
      <c r="G30" s="3">
        <v>46237.671265127952</v>
      </c>
      <c r="H30">
        <v>7.6</v>
      </c>
      <c r="I30" t="s">
        <v>3150</v>
      </c>
      <c r="J30" t="s">
        <v>3163</v>
      </c>
      <c r="K30" t="s">
        <v>3177</v>
      </c>
      <c r="L30" t="str">
        <f>_xlfn.XLOOKUP(C30,[1]!Table1[Shift_ID],[1]!Table1[Shift_ID])</f>
        <v>S02</v>
      </c>
      <c r="M30" t="str">
        <f>_xlfn.XLOOKUP(D30,[2]!Table1[Machine_ID],[2]!Table1[Machine_ID])</f>
        <v>M001</v>
      </c>
      <c r="N30" t="str">
        <f>_xlfn.XLOOKUP(E30,[3]Sheet1!$A$2:$A$391,[3]Sheet1!$A$2:$A$391)</f>
        <v>PO10003</v>
      </c>
    </row>
    <row r="31" spans="1:14" x14ac:dyDescent="0.2">
      <c r="A31" t="s">
        <v>40</v>
      </c>
      <c r="B31" s="2">
        <v>46237</v>
      </c>
      <c r="C31" t="s">
        <v>2941</v>
      </c>
      <c r="D31" t="s">
        <v>2943</v>
      </c>
      <c r="E31" t="s">
        <v>2953</v>
      </c>
      <c r="F31" s="3">
        <v>46237.612168344858</v>
      </c>
      <c r="G31" s="3">
        <v>46237.618254536887</v>
      </c>
      <c r="H31">
        <v>8.76</v>
      </c>
      <c r="I31" t="s">
        <v>3150</v>
      </c>
      <c r="J31" t="s">
        <v>3163</v>
      </c>
      <c r="K31" t="s">
        <v>3178</v>
      </c>
      <c r="L31" t="str">
        <f>_xlfn.XLOOKUP(C31,[1]!Table1[Shift_ID],[1]!Table1[Shift_ID])</f>
        <v>S02</v>
      </c>
      <c r="M31" t="str">
        <f>_xlfn.XLOOKUP(D31,[2]!Table1[Machine_ID],[2]!Table1[Machine_ID])</f>
        <v>M002</v>
      </c>
      <c r="N31" t="str">
        <f>_xlfn.XLOOKUP(E31,[3]Sheet1!$A$2:$A$391,[3]Sheet1!$A$2:$A$391)</f>
        <v>PO10003</v>
      </c>
    </row>
    <row r="32" spans="1:14" x14ac:dyDescent="0.2">
      <c r="A32" t="s">
        <v>41</v>
      </c>
      <c r="B32" s="2">
        <v>46237</v>
      </c>
      <c r="C32" t="s">
        <v>2941</v>
      </c>
      <c r="D32" t="s">
        <v>2943</v>
      </c>
      <c r="E32" t="s">
        <v>2953</v>
      </c>
      <c r="F32" s="3">
        <v>46237.85080101683</v>
      </c>
      <c r="G32" s="3">
        <v>46237.855096207139</v>
      </c>
      <c r="H32">
        <v>6.19</v>
      </c>
      <c r="I32" t="s">
        <v>3148</v>
      </c>
      <c r="J32" t="s">
        <v>3165</v>
      </c>
      <c r="K32" t="s">
        <v>3183</v>
      </c>
      <c r="L32" t="str">
        <f>_xlfn.XLOOKUP(C32,[1]!Table1[Shift_ID],[1]!Table1[Shift_ID])</f>
        <v>S02</v>
      </c>
      <c r="M32" t="str">
        <f>_xlfn.XLOOKUP(D32,[2]!Table1[Machine_ID],[2]!Table1[Machine_ID])</f>
        <v>M002</v>
      </c>
      <c r="N32" t="str">
        <f>_xlfn.XLOOKUP(E32,[3]Sheet1!$A$2:$A$391,[3]Sheet1!$A$2:$A$391)</f>
        <v>PO10003</v>
      </c>
    </row>
    <row r="33" spans="1:14" x14ac:dyDescent="0.2">
      <c r="A33" t="s">
        <v>42</v>
      </c>
      <c r="B33" s="2">
        <v>46237</v>
      </c>
      <c r="C33" t="s">
        <v>2941</v>
      </c>
      <c r="D33" t="s">
        <v>2944</v>
      </c>
      <c r="E33" t="s">
        <v>2953</v>
      </c>
      <c r="F33" s="3">
        <v>46237.891342548974</v>
      </c>
      <c r="G33" s="3">
        <v>46237.903093637397</v>
      </c>
      <c r="H33">
        <v>16.920000000000002</v>
      </c>
      <c r="I33" t="s">
        <v>3147</v>
      </c>
      <c r="J33" t="s">
        <v>3167</v>
      </c>
      <c r="K33" t="s">
        <v>3172</v>
      </c>
      <c r="L33" t="str">
        <f>_xlfn.XLOOKUP(C33,[1]!Table1[Shift_ID],[1]!Table1[Shift_ID])</f>
        <v>S02</v>
      </c>
      <c r="M33" t="str">
        <f>_xlfn.XLOOKUP(D33,[2]!Table1[Machine_ID],[2]!Table1[Machine_ID])</f>
        <v>M003</v>
      </c>
      <c r="N33" t="str">
        <f>_xlfn.XLOOKUP(E33,[3]Sheet1!$A$2:$A$391,[3]Sheet1!$A$2:$A$391)</f>
        <v>PO10003</v>
      </c>
    </row>
    <row r="34" spans="1:14" x14ac:dyDescent="0.2">
      <c r="A34" t="s">
        <v>43</v>
      </c>
      <c r="B34" s="2">
        <v>46237</v>
      </c>
      <c r="C34" t="s">
        <v>2941</v>
      </c>
      <c r="D34" t="s">
        <v>2945</v>
      </c>
      <c r="E34" t="s">
        <v>2953</v>
      </c>
      <c r="F34" s="3">
        <v>46237.709553764573</v>
      </c>
      <c r="G34" s="3">
        <v>46237.719485270987</v>
      </c>
      <c r="H34">
        <v>14.3</v>
      </c>
      <c r="I34" t="s">
        <v>3148</v>
      </c>
      <c r="J34" t="s">
        <v>3165</v>
      </c>
      <c r="K34" t="s">
        <v>3173</v>
      </c>
      <c r="L34" t="str">
        <f>_xlfn.XLOOKUP(C34,[1]!Table1[Shift_ID],[1]!Table1[Shift_ID])</f>
        <v>S02</v>
      </c>
      <c r="M34" t="str">
        <f>_xlfn.XLOOKUP(D34,[2]!Table1[Machine_ID],[2]!Table1[Machine_ID])</f>
        <v>M004</v>
      </c>
      <c r="N34" t="str">
        <f>_xlfn.XLOOKUP(E34,[3]Sheet1!$A$2:$A$391,[3]Sheet1!$A$2:$A$391)</f>
        <v>PO10003</v>
      </c>
    </row>
    <row r="35" spans="1:14" x14ac:dyDescent="0.2">
      <c r="A35" t="s">
        <v>44</v>
      </c>
      <c r="B35" s="2">
        <v>46237</v>
      </c>
      <c r="C35" t="s">
        <v>2941</v>
      </c>
      <c r="D35" t="s">
        <v>2946</v>
      </c>
      <c r="E35" t="s">
        <v>2953</v>
      </c>
      <c r="F35" s="3">
        <v>46237.744031858179</v>
      </c>
      <c r="G35" s="3">
        <v>46237.751564078593</v>
      </c>
      <c r="H35">
        <v>10.85</v>
      </c>
      <c r="I35" t="s">
        <v>3150</v>
      </c>
      <c r="J35" t="s">
        <v>3159</v>
      </c>
      <c r="K35" t="s">
        <v>3178</v>
      </c>
      <c r="L35" t="str">
        <f>_xlfn.XLOOKUP(C35,[1]!Table1[Shift_ID],[1]!Table1[Shift_ID])</f>
        <v>S02</v>
      </c>
      <c r="M35" t="str">
        <f>_xlfn.XLOOKUP(D35,[2]!Table1[Machine_ID],[2]!Table1[Machine_ID])</f>
        <v>M005</v>
      </c>
      <c r="N35" t="str">
        <f>_xlfn.XLOOKUP(E35,[3]Sheet1!$A$2:$A$391,[3]Sheet1!$A$2:$A$391)</f>
        <v>PO10003</v>
      </c>
    </row>
    <row r="36" spans="1:14" x14ac:dyDescent="0.2">
      <c r="A36" t="s">
        <v>45</v>
      </c>
      <c r="B36" s="2">
        <v>46237</v>
      </c>
      <c r="C36" t="s">
        <v>2941</v>
      </c>
      <c r="D36" t="s">
        <v>2947</v>
      </c>
      <c r="E36" t="s">
        <v>2953</v>
      </c>
      <c r="F36" s="3">
        <v>46237.688656178412</v>
      </c>
      <c r="G36" s="3">
        <v>46237.695299628373</v>
      </c>
      <c r="H36">
        <v>9.57</v>
      </c>
      <c r="I36" t="s">
        <v>3149</v>
      </c>
      <c r="J36" t="s">
        <v>3168</v>
      </c>
      <c r="K36" t="s">
        <v>3184</v>
      </c>
      <c r="L36" t="str">
        <f>_xlfn.XLOOKUP(C36,[1]!Table1[Shift_ID],[1]!Table1[Shift_ID])</f>
        <v>S02</v>
      </c>
      <c r="M36" t="str">
        <f>_xlfn.XLOOKUP(D36,[2]!Table1[Machine_ID],[2]!Table1[Machine_ID])</f>
        <v>M006</v>
      </c>
      <c r="N36" t="str">
        <f>_xlfn.XLOOKUP(E36,[3]Sheet1!$A$2:$A$391,[3]Sheet1!$A$2:$A$391)</f>
        <v>PO10003</v>
      </c>
    </row>
    <row r="37" spans="1:14" x14ac:dyDescent="0.2">
      <c r="A37" t="s">
        <v>46</v>
      </c>
      <c r="B37" s="2">
        <v>46237</v>
      </c>
      <c r="C37" t="s">
        <v>2941</v>
      </c>
      <c r="D37" t="s">
        <v>2947</v>
      </c>
      <c r="E37" t="s">
        <v>2953</v>
      </c>
      <c r="F37" s="3">
        <v>46237.766957394968</v>
      </c>
      <c r="G37" s="3">
        <v>46237.783227716143</v>
      </c>
      <c r="H37">
        <v>23.43</v>
      </c>
      <c r="I37" t="s">
        <v>3150</v>
      </c>
      <c r="J37" t="s">
        <v>3166</v>
      </c>
      <c r="K37" t="s">
        <v>3177</v>
      </c>
      <c r="L37" t="str">
        <f>_xlfn.XLOOKUP(C37,[1]!Table1[Shift_ID],[1]!Table1[Shift_ID])</f>
        <v>S02</v>
      </c>
      <c r="M37" t="str">
        <f>_xlfn.XLOOKUP(D37,[2]!Table1[Machine_ID],[2]!Table1[Machine_ID])</f>
        <v>M006</v>
      </c>
      <c r="N37" t="str">
        <f>_xlfn.XLOOKUP(E37,[3]Sheet1!$A$2:$A$391,[3]Sheet1!$A$2:$A$391)</f>
        <v>PO10003</v>
      </c>
    </row>
    <row r="38" spans="1:14" x14ac:dyDescent="0.2">
      <c r="A38" t="s">
        <v>47</v>
      </c>
      <c r="B38" s="2">
        <v>46237</v>
      </c>
      <c r="C38" t="s">
        <v>2941</v>
      </c>
      <c r="D38" t="s">
        <v>2948</v>
      </c>
      <c r="E38" t="s">
        <v>2953</v>
      </c>
      <c r="F38" s="3">
        <v>46237.612431483292</v>
      </c>
      <c r="G38" s="3">
        <v>46237.614753495509</v>
      </c>
      <c r="H38">
        <v>3.34</v>
      </c>
      <c r="I38" t="s">
        <v>3150</v>
      </c>
      <c r="J38" t="s">
        <v>3163</v>
      </c>
      <c r="K38" t="s">
        <v>3179</v>
      </c>
      <c r="L38" t="str">
        <f>_xlfn.XLOOKUP(C38,[1]!Table1[Shift_ID],[1]!Table1[Shift_ID])</f>
        <v>S02</v>
      </c>
      <c r="M38" t="str">
        <f>_xlfn.XLOOKUP(D38,[2]!Table1[Machine_ID],[2]!Table1[Machine_ID])</f>
        <v>M007</v>
      </c>
      <c r="N38" t="str">
        <f>_xlfn.XLOOKUP(E38,[3]Sheet1!$A$2:$A$391,[3]Sheet1!$A$2:$A$391)</f>
        <v>PO10003</v>
      </c>
    </row>
    <row r="39" spans="1:14" x14ac:dyDescent="0.2">
      <c r="A39" t="s">
        <v>48</v>
      </c>
      <c r="B39" s="2">
        <v>46237</v>
      </c>
      <c r="C39" t="s">
        <v>2941</v>
      </c>
      <c r="D39" t="s">
        <v>2948</v>
      </c>
      <c r="E39" t="s">
        <v>2953</v>
      </c>
      <c r="F39" s="3">
        <v>46237.704871249378</v>
      </c>
      <c r="G39" s="3">
        <v>46237.709529354899</v>
      </c>
      <c r="H39">
        <v>6.71</v>
      </c>
      <c r="I39" t="s">
        <v>3149</v>
      </c>
      <c r="J39" t="s">
        <v>3168</v>
      </c>
      <c r="K39" t="s">
        <v>3184</v>
      </c>
      <c r="L39" t="str">
        <f>_xlfn.XLOOKUP(C39,[1]!Table1[Shift_ID],[1]!Table1[Shift_ID])</f>
        <v>S02</v>
      </c>
      <c r="M39" t="str">
        <f>_xlfn.XLOOKUP(D39,[2]!Table1[Machine_ID],[2]!Table1[Machine_ID])</f>
        <v>M007</v>
      </c>
      <c r="N39" t="str">
        <f>_xlfn.XLOOKUP(E39,[3]Sheet1!$A$2:$A$391,[3]Sheet1!$A$2:$A$391)</f>
        <v>PO10003</v>
      </c>
    </row>
    <row r="40" spans="1:14" x14ac:dyDescent="0.2">
      <c r="A40" t="s">
        <v>49</v>
      </c>
      <c r="B40" s="2">
        <v>46237</v>
      </c>
      <c r="C40" t="s">
        <v>2941</v>
      </c>
      <c r="D40" t="s">
        <v>2948</v>
      </c>
      <c r="E40" t="s">
        <v>2953</v>
      </c>
      <c r="F40" s="3">
        <v>46237.812221113301</v>
      </c>
      <c r="G40" s="3">
        <v>46237.814845697729</v>
      </c>
      <c r="H40">
        <v>3.78</v>
      </c>
      <c r="I40" t="s">
        <v>3150</v>
      </c>
      <c r="J40" t="s">
        <v>3166</v>
      </c>
      <c r="K40" t="s">
        <v>3178</v>
      </c>
      <c r="L40" t="str">
        <f>_xlfn.XLOOKUP(C40,[1]!Table1[Shift_ID],[1]!Table1[Shift_ID])</f>
        <v>S02</v>
      </c>
      <c r="M40" t="str">
        <f>_xlfn.XLOOKUP(D40,[2]!Table1[Machine_ID],[2]!Table1[Machine_ID])</f>
        <v>M007</v>
      </c>
      <c r="N40" t="str">
        <f>_xlfn.XLOOKUP(E40,[3]Sheet1!$A$2:$A$391,[3]Sheet1!$A$2:$A$391)</f>
        <v>PO10003</v>
      </c>
    </row>
    <row r="41" spans="1:14" x14ac:dyDescent="0.2">
      <c r="A41" t="s">
        <v>50</v>
      </c>
      <c r="B41" s="2">
        <v>46237</v>
      </c>
      <c r="C41" t="s">
        <v>2941</v>
      </c>
      <c r="D41" t="s">
        <v>2948</v>
      </c>
      <c r="E41" t="s">
        <v>2953</v>
      </c>
      <c r="F41" s="3">
        <v>46237.849024364346</v>
      </c>
      <c r="G41" s="3">
        <v>46237.85482001683</v>
      </c>
      <c r="H41">
        <v>8.35</v>
      </c>
      <c r="I41" t="s">
        <v>3147</v>
      </c>
      <c r="J41" t="s">
        <v>3167</v>
      </c>
      <c r="K41" t="s">
        <v>3172</v>
      </c>
      <c r="L41" t="str">
        <f>_xlfn.XLOOKUP(C41,[1]!Table1[Shift_ID],[1]!Table1[Shift_ID])</f>
        <v>S02</v>
      </c>
      <c r="M41" t="str">
        <f>_xlfn.XLOOKUP(D41,[2]!Table1[Machine_ID],[2]!Table1[Machine_ID])</f>
        <v>M007</v>
      </c>
      <c r="N41" t="str">
        <f>_xlfn.XLOOKUP(E41,[3]Sheet1!$A$2:$A$391,[3]Sheet1!$A$2:$A$391)</f>
        <v>PO10003</v>
      </c>
    </row>
    <row r="42" spans="1:14" x14ac:dyDescent="0.2">
      <c r="A42" t="s">
        <v>51</v>
      </c>
      <c r="B42" s="2">
        <v>46237</v>
      </c>
      <c r="C42" t="s">
        <v>2941</v>
      </c>
      <c r="D42" t="s">
        <v>2949</v>
      </c>
      <c r="E42" t="s">
        <v>2953</v>
      </c>
      <c r="F42" s="3">
        <v>46237.68542793853</v>
      </c>
      <c r="G42" s="3">
        <v>46237.691615488016</v>
      </c>
      <c r="H42">
        <v>8.91</v>
      </c>
      <c r="I42" t="s">
        <v>3147</v>
      </c>
      <c r="J42" t="s">
        <v>3154</v>
      </c>
      <c r="K42" t="s">
        <v>3172</v>
      </c>
      <c r="L42" t="str">
        <f>_xlfn.XLOOKUP(C42,[1]!Table1[Shift_ID],[1]!Table1[Shift_ID])</f>
        <v>S02</v>
      </c>
      <c r="M42" t="str">
        <f>_xlfn.XLOOKUP(D42,[2]!Table1[Machine_ID],[2]!Table1[Machine_ID])</f>
        <v>M008</v>
      </c>
      <c r="N42" t="str">
        <f>_xlfn.XLOOKUP(E42,[3]Sheet1!$A$2:$A$391,[3]Sheet1!$A$2:$A$391)</f>
        <v>PO10003</v>
      </c>
    </row>
    <row r="43" spans="1:14" x14ac:dyDescent="0.2">
      <c r="A43" t="s">
        <v>52</v>
      </c>
      <c r="B43" s="2">
        <v>46238</v>
      </c>
      <c r="C43" t="s">
        <v>2939</v>
      </c>
      <c r="D43" t="s">
        <v>2942</v>
      </c>
      <c r="E43" t="s">
        <v>2954</v>
      </c>
      <c r="F43" s="3">
        <v>46239.148167709223</v>
      </c>
      <c r="G43" s="3">
        <v>46239.156069756122</v>
      </c>
      <c r="H43">
        <v>11.38</v>
      </c>
      <c r="I43" t="s">
        <v>3147</v>
      </c>
      <c r="J43" t="s">
        <v>3167</v>
      </c>
      <c r="K43" t="s">
        <v>3185</v>
      </c>
      <c r="L43" t="str">
        <f>_xlfn.XLOOKUP(C43,[1]!Table1[Shift_ID],[1]!Table1[Shift_ID])</f>
        <v>S03</v>
      </c>
      <c r="M43" t="str">
        <f>_xlfn.XLOOKUP(D43,[2]!Table1[Machine_ID],[2]!Table1[Machine_ID])</f>
        <v>M001</v>
      </c>
      <c r="N43" t="str">
        <f>_xlfn.XLOOKUP(E43,[3]Sheet1!$A$2:$A$391,[3]Sheet1!$A$2:$A$391)</f>
        <v>PO10004</v>
      </c>
    </row>
    <row r="44" spans="1:14" x14ac:dyDescent="0.2">
      <c r="A44" t="s">
        <v>53</v>
      </c>
      <c r="B44" s="2">
        <v>46238</v>
      </c>
      <c r="C44" t="s">
        <v>2939</v>
      </c>
      <c r="D44" t="s">
        <v>2943</v>
      </c>
      <c r="E44" t="s">
        <v>2954</v>
      </c>
      <c r="F44" s="3">
        <v>46239.102540536413</v>
      </c>
      <c r="G44" s="3">
        <v>46239.10945272442</v>
      </c>
      <c r="H44">
        <v>9.9499999999999993</v>
      </c>
      <c r="I44" t="s">
        <v>3147</v>
      </c>
      <c r="J44" t="s">
        <v>3154</v>
      </c>
      <c r="K44" t="s">
        <v>3172</v>
      </c>
      <c r="L44" t="str">
        <f>_xlfn.XLOOKUP(C44,[1]!Table1[Shift_ID],[1]!Table1[Shift_ID])</f>
        <v>S03</v>
      </c>
      <c r="M44" t="str">
        <f>_xlfn.XLOOKUP(D44,[2]!Table1[Machine_ID],[2]!Table1[Machine_ID])</f>
        <v>M002</v>
      </c>
      <c r="N44" t="str">
        <f>_xlfn.XLOOKUP(E44,[3]Sheet1!$A$2:$A$391,[3]Sheet1!$A$2:$A$391)</f>
        <v>PO10004</v>
      </c>
    </row>
    <row r="45" spans="1:14" x14ac:dyDescent="0.2">
      <c r="A45" t="s">
        <v>54</v>
      </c>
      <c r="B45" s="2">
        <v>46238</v>
      </c>
      <c r="C45" t="s">
        <v>2939</v>
      </c>
      <c r="D45" t="s">
        <v>2944</v>
      </c>
      <c r="E45" t="s">
        <v>2954</v>
      </c>
      <c r="F45" s="3">
        <v>46239.052065071694</v>
      </c>
      <c r="G45" s="3">
        <v>46239.053847620889</v>
      </c>
      <c r="H45">
        <v>2.57</v>
      </c>
      <c r="I45" t="s">
        <v>3148</v>
      </c>
      <c r="J45" t="s">
        <v>3165</v>
      </c>
      <c r="K45" t="s">
        <v>3173</v>
      </c>
      <c r="L45" t="str">
        <f>_xlfn.XLOOKUP(C45,[1]!Table1[Shift_ID],[1]!Table1[Shift_ID])</f>
        <v>S03</v>
      </c>
      <c r="M45" t="str">
        <f>_xlfn.XLOOKUP(D45,[2]!Table1[Machine_ID],[2]!Table1[Machine_ID])</f>
        <v>M003</v>
      </c>
      <c r="N45" t="str">
        <f>_xlfn.XLOOKUP(E45,[3]Sheet1!$A$2:$A$391,[3]Sheet1!$A$2:$A$391)</f>
        <v>PO10004</v>
      </c>
    </row>
    <row r="46" spans="1:14" x14ac:dyDescent="0.2">
      <c r="A46" t="s">
        <v>55</v>
      </c>
      <c r="B46" s="2">
        <v>46238</v>
      </c>
      <c r="C46" t="s">
        <v>2939</v>
      </c>
      <c r="D46" t="s">
        <v>2944</v>
      </c>
      <c r="E46" t="s">
        <v>2954</v>
      </c>
      <c r="F46" s="3">
        <v>46239.200362966432</v>
      </c>
      <c r="G46" s="3">
        <v>46239.210857055557</v>
      </c>
      <c r="H46">
        <v>15.11</v>
      </c>
      <c r="I46" t="s">
        <v>3150</v>
      </c>
      <c r="J46" t="s">
        <v>3163</v>
      </c>
      <c r="K46" t="s">
        <v>3177</v>
      </c>
      <c r="L46" t="str">
        <f>_xlfn.XLOOKUP(C46,[1]!Table1[Shift_ID],[1]!Table1[Shift_ID])</f>
        <v>S03</v>
      </c>
      <c r="M46" t="str">
        <f>_xlfn.XLOOKUP(D46,[2]!Table1[Machine_ID],[2]!Table1[Machine_ID])</f>
        <v>M003</v>
      </c>
      <c r="N46" t="str">
        <f>_xlfn.XLOOKUP(E46,[3]Sheet1!$A$2:$A$391,[3]Sheet1!$A$2:$A$391)</f>
        <v>PO10004</v>
      </c>
    </row>
    <row r="47" spans="1:14" x14ac:dyDescent="0.2">
      <c r="A47" t="s">
        <v>56</v>
      </c>
      <c r="B47" s="2">
        <v>46238</v>
      </c>
      <c r="C47" t="s">
        <v>2939</v>
      </c>
      <c r="D47" t="s">
        <v>2945</v>
      </c>
      <c r="E47" t="s">
        <v>2954</v>
      </c>
      <c r="F47" s="3">
        <v>46239.036078860372</v>
      </c>
      <c r="G47" s="3">
        <v>46239.043063383353</v>
      </c>
      <c r="H47">
        <v>10.06</v>
      </c>
      <c r="I47" t="s">
        <v>3147</v>
      </c>
      <c r="J47" t="s">
        <v>3167</v>
      </c>
      <c r="K47" t="s">
        <v>3185</v>
      </c>
      <c r="L47" t="str">
        <f>_xlfn.XLOOKUP(C47,[1]!Table1[Shift_ID],[1]!Table1[Shift_ID])</f>
        <v>S03</v>
      </c>
      <c r="M47" t="str">
        <f>_xlfn.XLOOKUP(D47,[2]!Table1[Machine_ID],[2]!Table1[Machine_ID])</f>
        <v>M004</v>
      </c>
      <c r="N47" t="str">
        <f>_xlfn.XLOOKUP(E47,[3]Sheet1!$A$2:$A$391,[3]Sheet1!$A$2:$A$391)</f>
        <v>PO10004</v>
      </c>
    </row>
    <row r="48" spans="1:14" x14ac:dyDescent="0.2">
      <c r="A48" t="s">
        <v>57</v>
      </c>
      <c r="B48" s="2">
        <v>46238</v>
      </c>
      <c r="C48" t="s">
        <v>2939</v>
      </c>
      <c r="D48" t="s">
        <v>2946</v>
      </c>
      <c r="E48" t="s">
        <v>2954</v>
      </c>
      <c r="F48" s="3">
        <v>46239.086699244261</v>
      </c>
      <c r="G48" s="3">
        <v>46239.089649707152</v>
      </c>
      <c r="H48">
        <v>4.25</v>
      </c>
      <c r="I48" t="s">
        <v>3147</v>
      </c>
      <c r="J48" t="s">
        <v>3167</v>
      </c>
      <c r="K48" t="s">
        <v>3172</v>
      </c>
      <c r="L48" t="str">
        <f>_xlfn.XLOOKUP(C48,[1]!Table1[Shift_ID],[1]!Table1[Shift_ID])</f>
        <v>S03</v>
      </c>
      <c r="M48" t="str">
        <f>_xlfn.XLOOKUP(D48,[2]!Table1[Machine_ID],[2]!Table1[Machine_ID])</f>
        <v>M005</v>
      </c>
      <c r="N48" t="str">
        <f>_xlfn.XLOOKUP(E48,[3]Sheet1!$A$2:$A$391,[3]Sheet1!$A$2:$A$391)</f>
        <v>PO10004</v>
      </c>
    </row>
    <row r="49" spans="1:14" x14ac:dyDescent="0.2">
      <c r="A49" t="s">
        <v>58</v>
      </c>
      <c r="B49" s="2">
        <v>46238</v>
      </c>
      <c r="C49" t="s">
        <v>2939</v>
      </c>
      <c r="D49" t="s">
        <v>2946</v>
      </c>
      <c r="E49" t="s">
        <v>2954</v>
      </c>
      <c r="F49" s="3">
        <v>46239.22420245353</v>
      </c>
      <c r="G49" s="3">
        <v>46239.230655095802</v>
      </c>
      <c r="H49">
        <v>9.2899999999999991</v>
      </c>
      <c r="I49" t="s">
        <v>3147</v>
      </c>
      <c r="J49" t="s">
        <v>3154</v>
      </c>
      <c r="K49" t="s">
        <v>3186</v>
      </c>
      <c r="L49" t="str">
        <f>_xlfn.XLOOKUP(C49,[1]!Table1[Shift_ID],[1]!Table1[Shift_ID])</f>
        <v>S03</v>
      </c>
      <c r="M49" t="str">
        <f>_xlfn.XLOOKUP(D49,[2]!Table1[Machine_ID],[2]!Table1[Machine_ID])</f>
        <v>M005</v>
      </c>
      <c r="N49" t="str">
        <f>_xlfn.XLOOKUP(E49,[3]Sheet1!$A$2:$A$391,[3]Sheet1!$A$2:$A$391)</f>
        <v>PO10004</v>
      </c>
    </row>
    <row r="50" spans="1:14" x14ac:dyDescent="0.2">
      <c r="A50" t="s">
        <v>59</v>
      </c>
      <c r="B50" s="2">
        <v>46238</v>
      </c>
      <c r="C50" t="s">
        <v>2939</v>
      </c>
      <c r="D50" t="s">
        <v>2946</v>
      </c>
      <c r="E50" t="s">
        <v>2954</v>
      </c>
      <c r="F50" s="3">
        <v>46239.230139806357</v>
      </c>
      <c r="G50" s="3">
        <v>46239.232200474456</v>
      </c>
      <c r="H50">
        <v>2.97</v>
      </c>
      <c r="I50" t="s">
        <v>3149</v>
      </c>
      <c r="J50" t="s">
        <v>3168</v>
      </c>
      <c r="K50" t="s">
        <v>3176</v>
      </c>
      <c r="L50" t="str">
        <f>_xlfn.XLOOKUP(C50,[1]!Table1[Shift_ID],[1]!Table1[Shift_ID])</f>
        <v>S03</v>
      </c>
      <c r="M50" t="str">
        <f>_xlfn.XLOOKUP(D50,[2]!Table1[Machine_ID],[2]!Table1[Machine_ID])</f>
        <v>M005</v>
      </c>
      <c r="N50" t="str">
        <f>_xlfn.XLOOKUP(E50,[3]Sheet1!$A$2:$A$391,[3]Sheet1!$A$2:$A$391)</f>
        <v>PO10004</v>
      </c>
    </row>
    <row r="51" spans="1:14" x14ac:dyDescent="0.2">
      <c r="A51" t="s">
        <v>60</v>
      </c>
      <c r="B51" s="2">
        <v>46238</v>
      </c>
      <c r="C51" t="s">
        <v>2939</v>
      </c>
      <c r="D51" t="s">
        <v>2947</v>
      </c>
      <c r="E51" t="s">
        <v>2954</v>
      </c>
      <c r="F51" s="3">
        <v>46238.96061262337</v>
      </c>
      <c r="G51" s="3">
        <v>46238.965745380461</v>
      </c>
      <c r="H51">
        <v>7.39</v>
      </c>
      <c r="I51" t="s">
        <v>3146</v>
      </c>
      <c r="J51" t="s">
        <v>3156</v>
      </c>
      <c r="K51" t="s">
        <v>3171</v>
      </c>
      <c r="L51" t="str">
        <f>_xlfn.XLOOKUP(C51,[1]!Table1[Shift_ID],[1]!Table1[Shift_ID])</f>
        <v>S03</v>
      </c>
      <c r="M51" t="str">
        <f>_xlfn.XLOOKUP(D51,[2]!Table1[Machine_ID],[2]!Table1[Machine_ID])</f>
        <v>M006</v>
      </c>
      <c r="N51" t="str">
        <f>_xlfn.XLOOKUP(E51,[3]Sheet1!$A$2:$A$391,[3]Sheet1!$A$2:$A$391)</f>
        <v>PO10004</v>
      </c>
    </row>
    <row r="52" spans="1:14" x14ac:dyDescent="0.2">
      <c r="A52" t="s">
        <v>61</v>
      </c>
      <c r="B52" s="2">
        <v>46238</v>
      </c>
      <c r="C52" t="s">
        <v>2939</v>
      </c>
      <c r="D52" t="s">
        <v>2947</v>
      </c>
      <c r="E52" t="s">
        <v>2954</v>
      </c>
      <c r="F52" s="3">
        <v>46239.071647147473</v>
      </c>
      <c r="G52" s="3">
        <v>46239.079858735509</v>
      </c>
      <c r="H52">
        <v>11.82</v>
      </c>
      <c r="I52" t="s">
        <v>3150</v>
      </c>
      <c r="J52" t="s">
        <v>3160</v>
      </c>
      <c r="K52" t="s">
        <v>3178</v>
      </c>
      <c r="L52" t="str">
        <f>_xlfn.XLOOKUP(C52,[1]!Table1[Shift_ID],[1]!Table1[Shift_ID])</f>
        <v>S03</v>
      </c>
      <c r="M52" t="str">
        <f>_xlfn.XLOOKUP(D52,[2]!Table1[Machine_ID],[2]!Table1[Machine_ID])</f>
        <v>M006</v>
      </c>
      <c r="N52" t="str">
        <f>_xlfn.XLOOKUP(E52,[3]Sheet1!$A$2:$A$391,[3]Sheet1!$A$2:$A$391)</f>
        <v>PO10004</v>
      </c>
    </row>
    <row r="53" spans="1:14" x14ac:dyDescent="0.2">
      <c r="A53" t="s">
        <v>62</v>
      </c>
      <c r="B53" s="2">
        <v>46238</v>
      </c>
      <c r="C53" t="s">
        <v>2939</v>
      </c>
      <c r="D53" t="s">
        <v>2947</v>
      </c>
      <c r="E53" t="s">
        <v>2954</v>
      </c>
      <c r="F53" s="3">
        <v>46239.180128870801</v>
      </c>
      <c r="G53" s="3">
        <v>46239.186881705413</v>
      </c>
      <c r="H53">
        <v>9.7200000000000006</v>
      </c>
      <c r="I53" t="s">
        <v>3149</v>
      </c>
      <c r="J53" t="s">
        <v>3168</v>
      </c>
      <c r="K53" t="s">
        <v>3184</v>
      </c>
      <c r="L53" t="str">
        <f>_xlfn.XLOOKUP(C53,[1]!Table1[Shift_ID],[1]!Table1[Shift_ID])</f>
        <v>S03</v>
      </c>
      <c r="M53" t="str">
        <f>_xlfn.XLOOKUP(D53,[2]!Table1[Machine_ID],[2]!Table1[Machine_ID])</f>
        <v>M006</v>
      </c>
      <c r="N53" t="str">
        <f>_xlfn.XLOOKUP(E53,[3]Sheet1!$A$2:$A$391,[3]Sheet1!$A$2:$A$391)</f>
        <v>PO10004</v>
      </c>
    </row>
    <row r="54" spans="1:14" x14ac:dyDescent="0.2">
      <c r="A54" t="s">
        <v>63</v>
      </c>
      <c r="B54" s="2">
        <v>46238</v>
      </c>
      <c r="C54" t="s">
        <v>2939</v>
      </c>
      <c r="D54" t="s">
        <v>2947</v>
      </c>
      <c r="E54" t="s">
        <v>2954</v>
      </c>
      <c r="F54" s="3">
        <v>46239.191979101117</v>
      </c>
      <c r="G54" s="3">
        <v>46239.195673588038</v>
      </c>
      <c r="H54">
        <v>5.32</v>
      </c>
      <c r="I54" t="s">
        <v>3147</v>
      </c>
      <c r="J54" t="s">
        <v>3167</v>
      </c>
      <c r="K54" t="s">
        <v>3186</v>
      </c>
      <c r="L54" t="str">
        <f>_xlfn.XLOOKUP(C54,[1]!Table1[Shift_ID],[1]!Table1[Shift_ID])</f>
        <v>S03</v>
      </c>
      <c r="M54" t="str">
        <f>_xlfn.XLOOKUP(D54,[2]!Table1[Machine_ID],[2]!Table1[Machine_ID])</f>
        <v>M006</v>
      </c>
      <c r="N54" t="str">
        <f>_xlfn.XLOOKUP(E54,[3]Sheet1!$A$2:$A$391,[3]Sheet1!$A$2:$A$391)</f>
        <v>PO10004</v>
      </c>
    </row>
    <row r="55" spans="1:14" x14ac:dyDescent="0.2">
      <c r="A55" t="s">
        <v>64</v>
      </c>
      <c r="B55" s="2">
        <v>46238</v>
      </c>
      <c r="C55" t="s">
        <v>2939</v>
      </c>
      <c r="D55" t="s">
        <v>2948</v>
      </c>
      <c r="E55" t="s">
        <v>2954</v>
      </c>
      <c r="F55" s="3">
        <v>46238.985766384481</v>
      </c>
      <c r="G55" s="3">
        <v>46238.987604092254</v>
      </c>
      <c r="H55">
        <v>2.65</v>
      </c>
      <c r="I55" t="s">
        <v>3148</v>
      </c>
      <c r="J55" t="s">
        <v>3165</v>
      </c>
      <c r="K55" t="s">
        <v>3180</v>
      </c>
      <c r="L55" t="str">
        <f>_xlfn.XLOOKUP(C55,[1]!Table1[Shift_ID],[1]!Table1[Shift_ID])</f>
        <v>S03</v>
      </c>
      <c r="M55" t="str">
        <f>_xlfn.XLOOKUP(D55,[2]!Table1[Machine_ID],[2]!Table1[Machine_ID])</f>
        <v>M007</v>
      </c>
      <c r="N55" t="str">
        <f>_xlfn.XLOOKUP(E55,[3]Sheet1!$A$2:$A$391,[3]Sheet1!$A$2:$A$391)</f>
        <v>PO10004</v>
      </c>
    </row>
    <row r="56" spans="1:14" x14ac:dyDescent="0.2">
      <c r="A56" t="s">
        <v>65</v>
      </c>
      <c r="B56" s="2">
        <v>46238</v>
      </c>
      <c r="C56" t="s">
        <v>2939</v>
      </c>
      <c r="D56" t="s">
        <v>2948</v>
      </c>
      <c r="E56" t="s">
        <v>2954</v>
      </c>
      <c r="F56" s="3">
        <v>46239.162804680032</v>
      </c>
      <c r="G56" s="3">
        <v>46239.176183900367</v>
      </c>
      <c r="H56">
        <v>19.27</v>
      </c>
      <c r="I56" t="s">
        <v>3150</v>
      </c>
      <c r="J56" t="s">
        <v>3160</v>
      </c>
      <c r="K56" t="s">
        <v>3179</v>
      </c>
      <c r="L56" t="str">
        <f>_xlfn.XLOOKUP(C56,[1]!Table1[Shift_ID],[1]!Table1[Shift_ID])</f>
        <v>S03</v>
      </c>
      <c r="M56" t="str">
        <f>_xlfn.XLOOKUP(D56,[2]!Table1[Machine_ID],[2]!Table1[Machine_ID])</f>
        <v>M007</v>
      </c>
      <c r="N56" t="str">
        <f>_xlfn.XLOOKUP(E56,[3]Sheet1!$A$2:$A$391,[3]Sheet1!$A$2:$A$391)</f>
        <v>PO10004</v>
      </c>
    </row>
    <row r="57" spans="1:14" x14ac:dyDescent="0.2">
      <c r="A57" t="s">
        <v>66</v>
      </c>
      <c r="B57" s="2">
        <v>46238</v>
      </c>
      <c r="C57" t="s">
        <v>2939</v>
      </c>
      <c r="D57" t="s">
        <v>2949</v>
      </c>
      <c r="E57" t="s">
        <v>2954</v>
      </c>
      <c r="F57" s="3">
        <v>46239.131858277076</v>
      </c>
      <c r="G57" s="3">
        <v>46239.13940433316</v>
      </c>
      <c r="H57">
        <v>10.87</v>
      </c>
      <c r="I57" t="s">
        <v>3147</v>
      </c>
      <c r="J57" t="s">
        <v>3153</v>
      </c>
      <c r="K57" t="s">
        <v>3185</v>
      </c>
      <c r="L57" t="str">
        <f>_xlfn.XLOOKUP(C57,[1]!Table1[Shift_ID],[1]!Table1[Shift_ID])</f>
        <v>S03</v>
      </c>
      <c r="M57" t="str">
        <f>_xlfn.XLOOKUP(D57,[2]!Table1[Machine_ID],[2]!Table1[Machine_ID])</f>
        <v>M008</v>
      </c>
      <c r="N57" t="str">
        <f>_xlfn.XLOOKUP(E57,[3]Sheet1!$A$2:$A$391,[3]Sheet1!$A$2:$A$391)</f>
        <v>PO10004</v>
      </c>
    </row>
    <row r="58" spans="1:14" x14ac:dyDescent="0.2">
      <c r="A58" t="s">
        <v>67</v>
      </c>
      <c r="B58" s="2">
        <v>46238</v>
      </c>
      <c r="C58" t="s">
        <v>2940</v>
      </c>
      <c r="D58" t="s">
        <v>2942</v>
      </c>
      <c r="E58" t="s">
        <v>2955</v>
      </c>
      <c r="F58" s="3">
        <v>46238.427721198263</v>
      </c>
      <c r="G58" s="3">
        <v>46238.435544748812</v>
      </c>
      <c r="H58">
        <v>11.27</v>
      </c>
      <c r="I58" t="s">
        <v>3146</v>
      </c>
      <c r="J58" t="s">
        <v>3156</v>
      </c>
      <c r="K58" t="s">
        <v>3174</v>
      </c>
      <c r="L58" t="str">
        <f>_xlfn.XLOOKUP(C58,[1]!Table1[Shift_ID],[1]!Table1[Shift_ID])</f>
        <v>S01</v>
      </c>
      <c r="M58" t="str">
        <f>_xlfn.XLOOKUP(D58,[2]!Table1[Machine_ID],[2]!Table1[Machine_ID])</f>
        <v>M001</v>
      </c>
      <c r="N58" t="str">
        <f>_xlfn.XLOOKUP(E58,[3]Sheet1!$A$2:$A$391,[3]Sheet1!$A$2:$A$391)</f>
        <v>PO10005</v>
      </c>
    </row>
    <row r="59" spans="1:14" x14ac:dyDescent="0.2">
      <c r="A59" t="s">
        <v>68</v>
      </c>
      <c r="B59" s="2">
        <v>46238</v>
      </c>
      <c r="C59" t="s">
        <v>2940</v>
      </c>
      <c r="D59" t="s">
        <v>2943</v>
      </c>
      <c r="E59" t="s">
        <v>2955</v>
      </c>
      <c r="F59" s="3">
        <v>46238.26960629817</v>
      </c>
      <c r="G59" s="3">
        <v>46238.280445724129</v>
      </c>
      <c r="H59">
        <v>15.61</v>
      </c>
      <c r="I59" t="s">
        <v>3149</v>
      </c>
      <c r="J59" t="s">
        <v>3162</v>
      </c>
      <c r="K59" t="s">
        <v>3184</v>
      </c>
      <c r="L59" t="str">
        <f>_xlfn.XLOOKUP(C59,[1]!Table1[Shift_ID],[1]!Table1[Shift_ID])</f>
        <v>S01</v>
      </c>
      <c r="M59" t="str">
        <f>_xlfn.XLOOKUP(D59,[2]!Table1[Machine_ID],[2]!Table1[Machine_ID])</f>
        <v>M002</v>
      </c>
      <c r="N59" t="str">
        <f>_xlfn.XLOOKUP(E59,[3]Sheet1!$A$2:$A$391,[3]Sheet1!$A$2:$A$391)</f>
        <v>PO10005</v>
      </c>
    </row>
    <row r="60" spans="1:14" x14ac:dyDescent="0.2">
      <c r="A60" t="s">
        <v>69</v>
      </c>
      <c r="B60" s="2">
        <v>46238</v>
      </c>
      <c r="C60" t="s">
        <v>2940</v>
      </c>
      <c r="D60" t="s">
        <v>2944</v>
      </c>
      <c r="E60" t="s">
        <v>2955</v>
      </c>
      <c r="F60" s="3">
        <v>46238.266393197388</v>
      </c>
      <c r="G60" s="3">
        <v>46238.28021744897</v>
      </c>
      <c r="H60">
        <v>19.91</v>
      </c>
      <c r="I60" t="s">
        <v>3148</v>
      </c>
      <c r="J60" t="s">
        <v>3165</v>
      </c>
      <c r="K60" t="s">
        <v>3180</v>
      </c>
      <c r="L60" t="str">
        <f>_xlfn.XLOOKUP(C60,[1]!Table1[Shift_ID],[1]!Table1[Shift_ID])</f>
        <v>S01</v>
      </c>
      <c r="M60" t="str">
        <f>_xlfn.XLOOKUP(D60,[2]!Table1[Machine_ID],[2]!Table1[Machine_ID])</f>
        <v>M003</v>
      </c>
      <c r="N60" t="str">
        <f>_xlfn.XLOOKUP(E60,[3]Sheet1!$A$2:$A$391,[3]Sheet1!$A$2:$A$391)</f>
        <v>PO10005</v>
      </c>
    </row>
    <row r="61" spans="1:14" x14ac:dyDescent="0.2">
      <c r="A61" t="s">
        <v>70</v>
      </c>
      <c r="B61" s="2">
        <v>46238</v>
      </c>
      <c r="C61" t="s">
        <v>2940</v>
      </c>
      <c r="D61" t="s">
        <v>2945</v>
      </c>
      <c r="E61" t="s">
        <v>2955</v>
      </c>
      <c r="F61" s="3">
        <v>46238.370207308821</v>
      </c>
      <c r="G61" s="3">
        <v>46238.377665263659</v>
      </c>
      <c r="H61">
        <v>10.74</v>
      </c>
      <c r="I61" t="s">
        <v>3151</v>
      </c>
      <c r="J61" t="s">
        <v>3169</v>
      </c>
      <c r="K61" t="s">
        <v>3181</v>
      </c>
      <c r="L61" t="str">
        <f>_xlfn.XLOOKUP(C61,[1]!Table1[Shift_ID],[1]!Table1[Shift_ID])</f>
        <v>S01</v>
      </c>
      <c r="M61" t="str">
        <f>_xlfn.XLOOKUP(D61,[2]!Table1[Machine_ID],[2]!Table1[Machine_ID])</f>
        <v>M004</v>
      </c>
      <c r="N61" t="str">
        <f>_xlfn.XLOOKUP(E61,[3]Sheet1!$A$2:$A$391,[3]Sheet1!$A$2:$A$391)</f>
        <v>PO10005</v>
      </c>
    </row>
    <row r="62" spans="1:14" x14ac:dyDescent="0.2">
      <c r="A62" t="s">
        <v>71</v>
      </c>
      <c r="B62" s="2">
        <v>46238</v>
      </c>
      <c r="C62" t="s">
        <v>2940</v>
      </c>
      <c r="D62" t="s">
        <v>2946</v>
      </c>
      <c r="E62" t="s">
        <v>2955</v>
      </c>
      <c r="F62" s="3">
        <v>46238.253216768862</v>
      </c>
      <c r="G62" s="3">
        <v>46238.260661409142</v>
      </c>
      <c r="H62">
        <v>10.72</v>
      </c>
      <c r="I62" t="s">
        <v>3149</v>
      </c>
      <c r="J62" t="s">
        <v>3168</v>
      </c>
      <c r="K62" t="s">
        <v>3182</v>
      </c>
      <c r="L62" t="str">
        <f>_xlfn.XLOOKUP(C62,[1]!Table1[Shift_ID],[1]!Table1[Shift_ID])</f>
        <v>S01</v>
      </c>
      <c r="M62" t="str">
        <f>_xlfn.XLOOKUP(D62,[2]!Table1[Machine_ID],[2]!Table1[Machine_ID])</f>
        <v>M005</v>
      </c>
      <c r="N62" t="str">
        <f>_xlfn.XLOOKUP(E62,[3]Sheet1!$A$2:$A$391,[3]Sheet1!$A$2:$A$391)</f>
        <v>PO10005</v>
      </c>
    </row>
    <row r="63" spans="1:14" x14ac:dyDescent="0.2">
      <c r="A63" t="s">
        <v>72</v>
      </c>
      <c r="B63" s="2">
        <v>46238</v>
      </c>
      <c r="C63" t="s">
        <v>2940</v>
      </c>
      <c r="D63" t="s">
        <v>2946</v>
      </c>
      <c r="E63" t="s">
        <v>2955</v>
      </c>
      <c r="F63" s="3">
        <v>46238.565070040881</v>
      </c>
      <c r="G63" s="3">
        <v>46238.569245730592</v>
      </c>
      <c r="H63">
        <v>6.01</v>
      </c>
      <c r="I63" t="s">
        <v>3148</v>
      </c>
      <c r="J63" t="s">
        <v>3164</v>
      </c>
      <c r="K63" t="s">
        <v>3173</v>
      </c>
      <c r="L63" t="str">
        <f>_xlfn.XLOOKUP(C63,[1]!Table1[Shift_ID],[1]!Table1[Shift_ID])</f>
        <v>S01</v>
      </c>
      <c r="M63" t="str">
        <f>_xlfn.XLOOKUP(D63,[2]!Table1[Machine_ID],[2]!Table1[Machine_ID])</f>
        <v>M005</v>
      </c>
      <c r="N63" t="str">
        <f>_xlfn.XLOOKUP(E63,[3]Sheet1!$A$2:$A$391,[3]Sheet1!$A$2:$A$391)</f>
        <v>PO10005</v>
      </c>
    </row>
    <row r="64" spans="1:14" x14ac:dyDescent="0.2">
      <c r="A64" t="s">
        <v>73</v>
      </c>
      <c r="B64" s="2">
        <v>46238</v>
      </c>
      <c r="C64" t="s">
        <v>2940</v>
      </c>
      <c r="D64" t="s">
        <v>2947</v>
      </c>
      <c r="E64" t="s">
        <v>2955</v>
      </c>
      <c r="F64" s="3">
        <v>46238.268427237963</v>
      </c>
      <c r="G64" s="3">
        <v>46238.273878551132</v>
      </c>
      <c r="H64">
        <v>7.85</v>
      </c>
      <c r="I64" t="s">
        <v>3146</v>
      </c>
      <c r="J64" t="s">
        <v>3156</v>
      </c>
      <c r="K64" t="s">
        <v>3171</v>
      </c>
      <c r="L64" t="str">
        <f>_xlfn.XLOOKUP(C64,[1]!Table1[Shift_ID],[1]!Table1[Shift_ID])</f>
        <v>S01</v>
      </c>
      <c r="M64" t="str">
        <f>_xlfn.XLOOKUP(D64,[2]!Table1[Machine_ID],[2]!Table1[Machine_ID])</f>
        <v>M006</v>
      </c>
      <c r="N64" t="str">
        <f>_xlfn.XLOOKUP(E64,[3]Sheet1!$A$2:$A$391,[3]Sheet1!$A$2:$A$391)</f>
        <v>PO10005</v>
      </c>
    </row>
    <row r="65" spans="1:14" x14ac:dyDescent="0.2">
      <c r="A65" t="s">
        <v>74</v>
      </c>
      <c r="B65" s="2">
        <v>46238</v>
      </c>
      <c r="C65" t="s">
        <v>2940</v>
      </c>
      <c r="D65" t="s">
        <v>2947</v>
      </c>
      <c r="E65" t="s">
        <v>2955</v>
      </c>
      <c r="F65" s="3">
        <v>46238.286236072097</v>
      </c>
      <c r="G65" s="3">
        <v>46238.298587187091</v>
      </c>
      <c r="H65">
        <v>17.79</v>
      </c>
      <c r="I65" t="s">
        <v>3151</v>
      </c>
      <c r="J65" t="s">
        <v>3169</v>
      </c>
      <c r="K65" t="s">
        <v>3187</v>
      </c>
      <c r="L65" t="str">
        <f>_xlfn.XLOOKUP(C65,[1]!Table1[Shift_ID],[1]!Table1[Shift_ID])</f>
        <v>S01</v>
      </c>
      <c r="M65" t="str">
        <f>_xlfn.XLOOKUP(D65,[2]!Table1[Machine_ID],[2]!Table1[Machine_ID])</f>
        <v>M006</v>
      </c>
      <c r="N65" t="str">
        <f>_xlfn.XLOOKUP(E65,[3]Sheet1!$A$2:$A$391,[3]Sheet1!$A$2:$A$391)</f>
        <v>PO10005</v>
      </c>
    </row>
    <row r="66" spans="1:14" x14ac:dyDescent="0.2">
      <c r="A66" t="s">
        <v>75</v>
      </c>
      <c r="B66" s="2">
        <v>46238</v>
      </c>
      <c r="C66" t="s">
        <v>2940</v>
      </c>
      <c r="D66" t="s">
        <v>2947</v>
      </c>
      <c r="E66" t="s">
        <v>2955</v>
      </c>
      <c r="F66" s="3">
        <v>46238.389866564277</v>
      </c>
      <c r="G66" s="3">
        <v>46238.393352907711</v>
      </c>
      <c r="H66">
        <v>5.0199999999999996</v>
      </c>
      <c r="I66" t="s">
        <v>3146</v>
      </c>
      <c r="J66" t="s">
        <v>3156</v>
      </c>
      <c r="K66" t="s">
        <v>3171</v>
      </c>
      <c r="L66" t="str">
        <f>_xlfn.XLOOKUP(C66,[1]!Table1[Shift_ID],[1]!Table1[Shift_ID])</f>
        <v>S01</v>
      </c>
      <c r="M66" t="str">
        <f>_xlfn.XLOOKUP(D66,[2]!Table1[Machine_ID],[2]!Table1[Machine_ID])</f>
        <v>M006</v>
      </c>
      <c r="N66" t="str">
        <f>_xlfn.XLOOKUP(E66,[3]Sheet1!$A$2:$A$391,[3]Sheet1!$A$2:$A$391)</f>
        <v>PO10005</v>
      </c>
    </row>
    <row r="67" spans="1:14" x14ac:dyDescent="0.2">
      <c r="A67" t="s">
        <v>76</v>
      </c>
      <c r="B67" s="2">
        <v>46238</v>
      </c>
      <c r="C67" t="s">
        <v>2940</v>
      </c>
      <c r="D67" t="s">
        <v>2947</v>
      </c>
      <c r="E67" t="s">
        <v>2955</v>
      </c>
      <c r="F67" s="3">
        <v>46238.43795483045</v>
      </c>
      <c r="G67" s="3">
        <v>46238.445429023697</v>
      </c>
      <c r="H67">
        <v>10.76</v>
      </c>
      <c r="I67" t="s">
        <v>3149</v>
      </c>
      <c r="J67" t="s">
        <v>3158</v>
      </c>
      <c r="K67" t="s">
        <v>3184</v>
      </c>
      <c r="L67" t="str">
        <f>_xlfn.XLOOKUP(C67,[1]!Table1[Shift_ID],[1]!Table1[Shift_ID])</f>
        <v>S01</v>
      </c>
      <c r="M67" t="str">
        <f>_xlfn.XLOOKUP(D67,[2]!Table1[Machine_ID],[2]!Table1[Machine_ID])</f>
        <v>M006</v>
      </c>
      <c r="N67" t="str">
        <f>_xlfn.XLOOKUP(E67,[3]Sheet1!$A$2:$A$391,[3]Sheet1!$A$2:$A$391)</f>
        <v>PO10005</v>
      </c>
    </row>
    <row r="68" spans="1:14" x14ac:dyDescent="0.2">
      <c r="A68" t="s">
        <v>77</v>
      </c>
      <c r="B68" s="2">
        <v>46238</v>
      </c>
      <c r="C68" t="s">
        <v>2940</v>
      </c>
      <c r="D68" t="s">
        <v>2948</v>
      </c>
      <c r="E68" t="s">
        <v>2955</v>
      </c>
      <c r="F68" s="3">
        <v>46238.507152378123</v>
      </c>
      <c r="G68" s="3">
        <v>46238.516542415142</v>
      </c>
      <c r="H68">
        <v>13.52</v>
      </c>
      <c r="I68" t="s">
        <v>3148</v>
      </c>
      <c r="J68" t="s">
        <v>3165</v>
      </c>
      <c r="K68" t="s">
        <v>3180</v>
      </c>
      <c r="L68" t="str">
        <f>_xlfn.XLOOKUP(C68,[1]!Table1[Shift_ID],[1]!Table1[Shift_ID])</f>
        <v>S01</v>
      </c>
      <c r="M68" t="str">
        <f>_xlfn.XLOOKUP(D68,[2]!Table1[Machine_ID],[2]!Table1[Machine_ID])</f>
        <v>M007</v>
      </c>
      <c r="N68" t="str">
        <f>_xlfn.XLOOKUP(E68,[3]Sheet1!$A$2:$A$391,[3]Sheet1!$A$2:$A$391)</f>
        <v>PO10005</v>
      </c>
    </row>
    <row r="69" spans="1:14" x14ac:dyDescent="0.2">
      <c r="A69" t="s">
        <v>78</v>
      </c>
      <c r="B69" s="2">
        <v>46238</v>
      </c>
      <c r="C69" t="s">
        <v>2940</v>
      </c>
      <c r="D69" t="s">
        <v>2948</v>
      </c>
      <c r="E69" t="s">
        <v>2955</v>
      </c>
      <c r="F69" s="3">
        <v>46238.564671588712</v>
      </c>
      <c r="G69" s="3">
        <v>46238.573524475949</v>
      </c>
      <c r="H69">
        <v>12.75</v>
      </c>
      <c r="I69" t="s">
        <v>3149</v>
      </c>
      <c r="J69" t="s">
        <v>3162</v>
      </c>
      <c r="K69" t="s">
        <v>3176</v>
      </c>
      <c r="L69" t="str">
        <f>_xlfn.XLOOKUP(C69,[1]!Table1[Shift_ID],[1]!Table1[Shift_ID])</f>
        <v>S01</v>
      </c>
      <c r="M69" t="str">
        <f>_xlfn.XLOOKUP(D69,[2]!Table1[Machine_ID],[2]!Table1[Machine_ID])</f>
        <v>M007</v>
      </c>
      <c r="N69" t="str">
        <f>_xlfn.XLOOKUP(E69,[3]Sheet1!$A$2:$A$391,[3]Sheet1!$A$2:$A$391)</f>
        <v>PO10005</v>
      </c>
    </row>
    <row r="70" spans="1:14" x14ac:dyDescent="0.2">
      <c r="A70" t="s">
        <v>79</v>
      </c>
      <c r="B70" s="2">
        <v>46238</v>
      </c>
      <c r="C70" t="s">
        <v>2940</v>
      </c>
      <c r="D70" t="s">
        <v>2949</v>
      </c>
      <c r="E70" t="s">
        <v>2955</v>
      </c>
      <c r="F70" s="3">
        <v>46238.327488062772</v>
      </c>
      <c r="G70" s="3">
        <v>46238.334270696549</v>
      </c>
      <c r="H70">
        <v>9.77</v>
      </c>
      <c r="I70" t="s">
        <v>3149</v>
      </c>
      <c r="J70" t="s">
        <v>3158</v>
      </c>
      <c r="K70" t="s">
        <v>3176</v>
      </c>
      <c r="L70" t="str">
        <f>_xlfn.XLOOKUP(C70,[1]!Table1[Shift_ID],[1]!Table1[Shift_ID])</f>
        <v>S01</v>
      </c>
      <c r="M70" t="str">
        <f>_xlfn.XLOOKUP(D70,[2]!Table1[Machine_ID],[2]!Table1[Machine_ID])</f>
        <v>M008</v>
      </c>
      <c r="N70" t="str">
        <f>_xlfn.XLOOKUP(E70,[3]Sheet1!$A$2:$A$391,[3]Sheet1!$A$2:$A$391)</f>
        <v>PO10005</v>
      </c>
    </row>
    <row r="71" spans="1:14" x14ac:dyDescent="0.2">
      <c r="A71" t="s">
        <v>80</v>
      </c>
      <c r="B71" s="2">
        <v>46238</v>
      </c>
      <c r="C71" t="s">
        <v>2941</v>
      </c>
      <c r="D71" t="s">
        <v>2942</v>
      </c>
      <c r="E71" t="s">
        <v>2956</v>
      </c>
      <c r="F71" s="3">
        <v>46238.847520383802</v>
      </c>
      <c r="G71" s="3">
        <v>46238.854548671959</v>
      </c>
      <c r="H71">
        <v>10.119999999999999</v>
      </c>
      <c r="I71" t="s">
        <v>3150</v>
      </c>
      <c r="J71" t="s">
        <v>3160</v>
      </c>
      <c r="K71" t="s">
        <v>3177</v>
      </c>
      <c r="L71" t="str">
        <f>_xlfn.XLOOKUP(C71,[1]!Table1[Shift_ID],[1]!Table1[Shift_ID])</f>
        <v>S02</v>
      </c>
      <c r="M71" t="str">
        <f>_xlfn.XLOOKUP(D71,[2]!Table1[Machine_ID],[2]!Table1[Machine_ID])</f>
        <v>M001</v>
      </c>
      <c r="N71" t="str">
        <f>_xlfn.XLOOKUP(E71,[3]Sheet1!$A$2:$A$391,[3]Sheet1!$A$2:$A$391)</f>
        <v>PO10006</v>
      </c>
    </row>
    <row r="72" spans="1:14" x14ac:dyDescent="0.2">
      <c r="A72" t="s">
        <v>81</v>
      </c>
      <c r="B72" s="2">
        <v>46238</v>
      </c>
      <c r="C72" t="s">
        <v>2941</v>
      </c>
      <c r="D72" t="s">
        <v>2943</v>
      </c>
      <c r="E72" t="s">
        <v>2956</v>
      </c>
      <c r="F72" s="3">
        <v>46238.627210289953</v>
      </c>
      <c r="G72" s="3">
        <v>46238.629361195628</v>
      </c>
      <c r="H72">
        <v>3.1</v>
      </c>
      <c r="I72" t="s">
        <v>3151</v>
      </c>
      <c r="J72" t="s">
        <v>3170</v>
      </c>
      <c r="K72" t="s">
        <v>3181</v>
      </c>
      <c r="L72" t="str">
        <f>_xlfn.XLOOKUP(C72,[1]!Table1[Shift_ID],[1]!Table1[Shift_ID])</f>
        <v>S02</v>
      </c>
      <c r="M72" t="str">
        <f>_xlfn.XLOOKUP(D72,[2]!Table1[Machine_ID],[2]!Table1[Machine_ID])</f>
        <v>M002</v>
      </c>
      <c r="N72" t="str">
        <f>_xlfn.XLOOKUP(E72,[3]Sheet1!$A$2:$A$391,[3]Sheet1!$A$2:$A$391)</f>
        <v>PO10006</v>
      </c>
    </row>
    <row r="73" spans="1:14" x14ac:dyDescent="0.2">
      <c r="A73" t="s">
        <v>82</v>
      </c>
      <c r="B73" s="2">
        <v>46238</v>
      </c>
      <c r="C73" t="s">
        <v>2941</v>
      </c>
      <c r="D73" t="s">
        <v>2943</v>
      </c>
      <c r="E73" t="s">
        <v>2956</v>
      </c>
      <c r="F73" s="3">
        <v>46238.724976799953</v>
      </c>
      <c r="G73" s="3">
        <v>46238.726594040483</v>
      </c>
      <c r="H73">
        <v>2.33</v>
      </c>
      <c r="I73" t="s">
        <v>3146</v>
      </c>
      <c r="J73" t="s">
        <v>3152</v>
      </c>
      <c r="K73" t="s">
        <v>3175</v>
      </c>
      <c r="L73" t="str">
        <f>_xlfn.XLOOKUP(C73,[1]!Table1[Shift_ID],[1]!Table1[Shift_ID])</f>
        <v>S02</v>
      </c>
      <c r="M73" t="str">
        <f>_xlfn.XLOOKUP(D73,[2]!Table1[Machine_ID],[2]!Table1[Machine_ID])</f>
        <v>M002</v>
      </c>
      <c r="N73" t="str">
        <f>_xlfn.XLOOKUP(E73,[3]Sheet1!$A$2:$A$391,[3]Sheet1!$A$2:$A$391)</f>
        <v>PO10006</v>
      </c>
    </row>
    <row r="74" spans="1:14" x14ac:dyDescent="0.2">
      <c r="A74" t="s">
        <v>83</v>
      </c>
      <c r="B74" s="2">
        <v>46238</v>
      </c>
      <c r="C74" t="s">
        <v>2941</v>
      </c>
      <c r="D74" t="s">
        <v>2943</v>
      </c>
      <c r="E74" t="s">
        <v>2956</v>
      </c>
      <c r="F74" s="3">
        <v>46238.824062064923</v>
      </c>
      <c r="G74" s="3">
        <v>46238.825679305453</v>
      </c>
      <c r="H74">
        <v>2.33</v>
      </c>
      <c r="I74" t="s">
        <v>3150</v>
      </c>
      <c r="J74" t="s">
        <v>3159</v>
      </c>
      <c r="K74" t="s">
        <v>3177</v>
      </c>
      <c r="L74" t="str">
        <f>_xlfn.XLOOKUP(C74,[1]!Table1[Shift_ID],[1]!Table1[Shift_ID])</f>
        <v>S02</v>
      </c>
      <c r="M74" t="str">
        <f>_xlfn.XLOOKUP(D74,[2]!Table1[Machine_ID],[2]!Table1[Machine_ID])</f>
        <v>M002</v>
      </c>
      <c r="N74" t="str">
        <f>_xlfn.XLOOKUP(E74,[3]Sheet1!$A$2:$A$391,[3]Sheet1!$A$2:$A$391)</f>
        <v>PO10006</v>
      </c>
    </row>
    <row r="75" spans="1:14" x14ac:dyDescent="0.2">
      <c r="A75" t="s">
        <v>84</v>
      </c>
      <c r="B75" s="2">
        <v>46238</v>
      </c>
      <c r="C75" t="s">
        <v>2941</v>
      </c>
      <c r="D75" t="s">
        <v>2943</v>
      </c>
      <c r="E75" t="s">
        <v>2956</v>
      </c>
      <c r="F75" s="3">
        <v>46238.828496423193</v>
      </c>
      <c r="G75" s="3">
        <v>46238.832146565102</v>
      </c>
      <c r="H75">
        <v>5.26</v>
      </c>
      <c r="I75" t="s">
        <v>3149</v>
      </c>
      <c r="J75" t="s">
        <v>3168</v>
      </c>
      <c r="K75" t="s">
        <v>3184</v>
      </c>
      <c r="L75" t="str">
        <f>_xlfn.XLOOKUP(C75,[1]!Table1[Shift_ID],[1]!Table1[Shift_ID])</f>
        <v>S02</v>
      </c>
      <c r="M75" t="str">
        <f>_xlfn.XLOOKUP(D75,[2]!Table1[Machine_ID],[2]!Table1[Machine_ID])</f>
        <v>M002</v>
      </c>
      <c r="N75" t="str">
        <f>_xlfn.XLOOKUP(E75,[3]Sheet1!$A$2:$A$391,[3]Sheet1!$A$2:$A$391)</f>
        <v>PO10006</v>
      </c>
    </row>
    <row r="76" spans="1:14" x14ac:dyDescent="0.2">
      <c r="A76" t="s">
        <v>85</v>
      </c>
      <c r="B76" s="2">
        <v>46238</v>
      </c>
      <c r="C76" t="s">
        <v>2941</v>
      </c>
      <c r="D76" t="s">
        <v>2943</v>
      </c>
      <c r="E76" t="s">
        <v>2956</v>
      </c>
      <c r="F76" s="3">
        <v>46238.860241777962</v>
      </c>
      <c r="G76" s="3">
        <v>46238.861859018507</v>
      </c>
      <c r="H76">
        <v>2.33</v>
      </c>
      <c r="I76" t="s">
        <v>3151</v>
      </c>
      <c r="J76" t="s">
        <v>3170</v>
      </c>
      <c r="K76" t="s">
        <v>3188</v>
      </c>
      <c r="L76" t="str">
        <f>_xlfn.XLOOKUP(C76,[1]!Table1[Shift_ID],[1]!Table1[Shift_ID])</f>
        <v>S02</v>
      </c>
      <c r="M76" t="str">
        <f>_xlfn.XLOOKUP(D76,[2]!Table1[Machine_ID],[2]!Table1[Machine_ID])</f>
        <v>M002</v>
      </c>
      <c r="N76" t="str">
        <f>_xlfn.XLOOKUP(E76,[3]Sheet1!$A$2:$A$391,[3]Sheet1!$A$2:$A$391)</f>
        <v>PO10006</v>
      </c>
    </row>
    <row r="77" spans="1:14" x14ac:dyDescent="0.2">
      <c r="A77" t="s">
        <v>86</v>
      </c>
      <c r="B77" s="2">
        <v>46238</v>
      </c>
      <c r="C77" t="s">
        <v>2941</v>
      </c>
      <c r="D77" t="s">
        <v>2944</v>
      </c>
      <c r="E77" t="s">
        <v>2956</v>
      </c>
      <c r="F77" s="3">
        <v>46238.706747691613</v>
      </c>
      <c r="G77" s="3">
        <v>46238.708718566792</v>
      </c>
      <c r="H77">
        <v>2.84</v>
      </c>
      <c r="I77" t="s">
        <v>3150</v>
      </c>
      <c r="J77" t="s">
        <v>3163</v>
      </c>
      <c r="K77" t="s">
        <v>3177</v>
      </c>
      <c r="L77" t="str">
        <f>_xlfn.XLOOKUP(C77,[1]!Table1[Shift_ID],[1]!Table1[Shift_ID])</f>
        <v>S02</v>
      </c>
      <c r="M77" t="str">
        <f>_xlfn.XLOOKUP(D77,[2]!Table1[Machine_ID],[2]!Table1[Machine_ID])</f>
        <v>M003</v>
      </c>
      <c r="N77" t="str">
        <f>_xlfn.XLOOKUP(E77,[3]Sheet1!$A$2:$A$391,[3]Sheet1!$A$2:$A$391)</f>
        <v>PO10006</v>
      </c>
    </row>
    <row r="78" spans="1:14" x14ac:dyDescent="0.2">
      <c r="A78" t="s">
        <v>87</v>
      </c>
      <c r="B78" s="2">
        <v>46238</v>
      </c>
      <c r="C78" t="s">
        <v>2941</v>
      </c>
      <c r="D78" t="s">
        <v>2944</v>
      </c>
      <c r="E78" t="s">
        <v>2956</v>
      </c>
      <c r="F78" s="3">
        <v>46238.714564978844</v>
      </c>
      <c r="G78" s="3">
        <v>46238.724441517043</v>
      </c>
      <c r="H78">
        <v>14.22</v>
      </c>
      <c r="I78" t="s">
        <v>3150</v>
      </c>
      <c r="J78" t="s">
        <v>3160</v>
      </c>
      <c r="K78" t="s">
        <v>3177</v>
      </c>
      <c r="L78" t="str">
        <f>_xlfn.XLOOKUP(C78,[1]!Table1[Shift_ID],[1]!Table1[Shift_ID])</f>
        <v>S02</v>
      </c>
      <c r="M78" t="str">
        <f>_xlfn.XLOOKUP(D78,[2]!Table1[Machine_ID],[2]!Table1[Machine_ID])</f>
        <v>M003</v>
      </c>
      <c r="N78" t="str">
        <f>_xlfn.XLOOKUP(E78,[3]Sheet1!$A$2:$A$391,[3]Sheet1!$A$2:$A$391)</f>
        <v>PO10006</v>
      </c>
    </row>
    <row r="79" spans="1:14" x14ac:dyDescent="0.2">
      <c r="A79" t="s">
        <v>88</v>
      </c>
      <c r="B79" s="2">
        <v>46238</v>
      </c>
      <c r="C79" t="s">
        <v>2941</v>
      </c>
      <c r="D79" t="s">
        <v>2945</v>
      </c>
      <c r="E79" t="s">
        <v>2956</v>
      </c>
      <c r="F79" s="3">
        <v>46238.588914850443</v>
      </c>
      <c r="G79" s="3">
        <v>46238.599290730293</v>
      </c>
      <c r="H79">
        <v>14.94</v>
      </c>
      <c r="I79" t="s">
        <v>3149</v>
      </c>
      <c r="J79" t="s">
        <v>3168</v>
      </c>
      <c r="K79" t="s">
        <v>3182</v>
      </c>
      <c r="L79" t="str">
        <f>_xlfn.XLOOKUP(C79,[1]!Table1[Shift_ID],[1]!Table1[Shift_ID])</f>
        <v>S02</v>
      </c>
      <c r="M79" t="str">
        <f>_xlfn.XLOOKUP(D79,[2]!Table1[Machine_ID],[2]!Table1[Machine_ID])</f>
        <v>M004</v>
      </c>
      <c r="N79" t="str">
        <f>_xlfn.XLOOKUP(E79,[3]Sheet1!$A$2:$A$391,[3]Sheet1!$A$2:$A$391)</f>
        <v>PO10006</v>
      </c>
    </row>
    <row r="80" spans="1:14" x14ac:dyDescent="0.2">
      <c r="A80" t="s">
        <v>89</v>
      </c>
      <c r="B80" s="2">
        <v>46238</v>
      </c>
      <c r="C80" t="s">
        <v>2941</v>
      </c>
      <c r="D80" t="s">
        <v>2946</v>
      </c>
      <c r="E80" t="s">
        <v>2956</v>
      </c>
      <c r="F80" s="3">
        <v>46238.882076982853</v>
      </c>
      <c r="G80" s="3">
        <v>46238.892216172877</v>
      </c>
      <c r="H80">
        <v>14.6</v>
      </c>
      <c r="I80" t="s">
        <v>3149</v>
      </c>
      <c r="J80" t="s">
        <v>3168</v>
      </c>
      <c r="K80" t="s">
        <v>3176</v>
      </c>
      <c r="L80" t="str">
        <f>_xlfn.XLOOKUP(C80,[1]!Table1[Shift_ID],[1]!Table1[Shift_ID])</f>
        <v>S02</v>
      </c>
      <c r="M80" t="str">
        <f>_xlfn.XLOOKUP(D80,[2]!Table1[Machine_ID],[2]!Table1[Machine_ID])</f>
        <v>M005</v>
      </c>
      <c r="N80" t="str">
        <f>_xlfn.XLOOKUP(E80,[3]Sheet1!$A$2:$A$391,[3]Sheet1!$A$2:$A$391)</f>
        <v>PO10006</v>
      </c>
    </row>
    <row r="81" spans="1:14" x14ac:dyDescent="0.2">
      <c r="A81" t="s">
        <v>90</v>
      </c>
      <c r="B81" s="2">
        <v>46238</v>
      </c>
      <c r="C81" t="s">
        <v>2941</v>
      </c>
      <c r="D81" t="s">
        <v>2947</v>
      </c>
      <c r="E81" t="s">
        <v>2956</v>
      </c>
      <c r="F81" s="3">
        <v>46238.584543035999</v>
      </c>
      <c r="G81" s="3">
        <v>46238.589979491131</v>
      </c>
      <c r="H81">
        <v>7.83</v>
      </c>
      <c r="I81" t="s">
        <v>3149</v>
      </c>
      <c r="J81" t="s">
        <v>3168</v>
      </c>
      <c r="K81" t="s">
        <v>3182</v>
      </c>
      <c r="L81" t="str">
        <f>_xlfn.XLOOKUP(C81,[1]!Table1[Shift_ID],[1]!Table1[Shift_ID])</f>
        <v>S02</v>
      </c>
      <c r="M81" t="str">
        <f>_xlfn.XLOOKUP(D81,[2]!Table1[Machine_ID],[2]!Table1[Machine_ID])</f>
        <v>M006</v>
      </c>
      <c r="N81" t="str">
        <f>_xlfn.XLOOKUP(E81,[3]Sheet1!$A$2:$A$391,[3]Sheet1!$A$2:$A$391)</f>
        <v>PO10006</v>
      </c>
    </row>
    <row r="82" spans="1:14" x14ac:dyDescent="0.2">
      <c r="A82" t="s">
        <v>91</v>
      </c>
      <c r="B82" s="2">
        <v>46238</v>
      </c>
      <c r="C82" t="s">
        <v>2941</v>
      </c>
      <c r="D82" t="s">
        <v>2947</v>
      </c>
      <c r="E82" t="s">
        <v>2956</v>
      </c>
      <c r="F82" s="3">
        <v>46238.715173591678</v>
      </c>
      <c r="G82" s="3">
        <v>46238.733075586322</v>
      </c>
      <c r="H82">
        <v>25.78</v>
      </c>
      <c r="I82" t="s">
        <v>3147</v>
      </c>
      <c r="J82" t="s">
        <v>3167</v>
      </c>
      <c r="K82" t="s">
        <v>3186</v>
      </c>
      <c r="L82" t="str">
        <f>_xlfn.XLOOKUP(C82,[1]!Table1[Shift_ID],[1]!Table1[Shift_ID])</f>
        <v>S02</v>
      </c>
      <c r="M82" t="str">
        <f>_xlfn.XLOOKUP(D82,[2]!Table1[Machine_ID],[2]!Table1[Machine_ID])</f>
        <v>M006</v>
      </c>
      <c r="N82" t="str">
        <f>_xlfn.XLOOKUP(E82,[3]Sheet1!$A$2:$A$391,[3]Sheet1!$A$2:$A$391)</f>
        <v>PO10006</v>
      </c>
    </row>
    <row r="83" spans="1:14" x14ac:dyDescent="0.2">
      <c r="A83" t="s">
        <v>92</v>
      </c>
      <c r="B83" s="2">
        <v>46238</v>
      </c>
      <c r="C83" t="s">
        <v>2941</v>
      </c>
      <c r="D83" t="s">
        <v>2947</v>
      </c>
      <c r="E83" t="s">
        <v>2956</v>
      </c>
      <c r="F83" s="3">
        <v>46238.816171994178</v>
      </c>
      <c r="G83" s="3">
        <v>46238.818158477618</v>
      </c>
      <c r="H83">
        <v>2.86</v>
      </c>
      <c r="I83" t="s">
        <v>3149</v>
      </c>
      <c r="J83" t="s">
        <v>3162</v>
      </c>
      <c r="K83" t="s">
        <v>3184</v>
      </c>
      <c r="L83" t="str">
        <f>_xlfn.XLOOKUP(C83,[1]!Table1[Shift_ID],[1]!Table1[Shift_ID])</f>
        <v>S02</v>
      </c>
      <c r="M83" t="str">
        <f>_xlfn.XLOOKUP(D83,[2]!Table1[Machine_ID],[2]!Table1[Machine_ID])</f>
        <v>M006</v>
      </c>
      <c r="N83" t="str">
        <f>_xlfn.XLOOKUP(E83,[3]Sheet1!$A$2:$A$391,[3]Sheet1!$A$2:$A$391)</f>
        <v>PO10006</v>
      </c>
    </row>
    <row r="84" spans="1:14" x14ac:dyDescent="0.2">
      <c r="A84" t="s">
        <v>93</v>
      </c>
      <c r="B84" s="2">
        <v>46238</v>
      </c>
      <c r="C84" t="s">
        <v>2941</v>
      </c>
      <c r="D84" t="s">
        <v>2948</v>
      </c>
      <c r="E84" t="s">
        <v>2956</v>
      </c>
      <c r="F84" s="3">
        <v>46238.629602407833</v>
      </c>
      <c r="G84" s="3">
        <v>46238.631247844722</v>
      </c>
      <c r="H84">
        <v>2.37</v>
      </c>
      <c r="I84" t="s">
        <v>3148</v>
      </c>
      <c r="J84" t="s">
        <v>3165</v>
      </c>
      <c r="K84" t="s">
        <v>3180</v>
      </c>
      <c r="L84" t="str">
        <f>_xlfn.XLOOKUP(C84,[1]!Table1[Shift_ID],[1]!Table1[Shift_ID])</f>
        <v>S02</v>
      </c>
      <c r="M84" t="str">
        <f>_xlfn.XLOOKUP(D84,[2]!Table1[Machine_ID],[2]!Table1[Machine_ID])</f>
        <v>M007</v>
      </c>
      <c r="N84" t="str">
        <f>_xlfn.XLOOKUP(E84,[3]Sheet1!$A$2:$A$391,[3]Sheet1!$A$2:$A$391)</f>
        <v>PO10006</v>
      </c>
    </row>
    <row r="85" spans="1:14" x14ac:dyDescent="0.2">
      <c r="A85" t="s">
        <v>94</v>
      </c>
      <c r="B85" s="2">
        <v>46238</v>
      </c>
      <c r="C85" t="s">
        <v>2941</v>
      </c>
      <c r="D85" t="s">
        <v>2948</v>
      </c>
      <c r="E85" t="s">
        <v>2956</v>
      </c>
      <c r="F85" s="3">
        <v>46238.738554198673</v>
      </c>
      <c r="G85" s="3">
        <v>46238.740899414654</v>
      </c>
      <c r="H85">
        <v>3.38</v>
      </c>
      <c r="I85" t="s">
        <v>3150</v>
      </c>
      <c r="J85" t="s">
        <v>3163</v>
      </c>
      <c r="K85" t="s">
        <v>3178</v>
      </c>
      <c r="L85" t="str">
        <f>_xlfn.XLOOKUP(C85,[1]!Table1[Shift_ID],[1]!Table1[Shift_ID])</f>
        <v>S02</v>
      </c>
      <c r="M85" t="str">
        <f>_xlfn.XLOOKUP(D85,[2]!Table1[Machine_ID],[2]!Table1[Machine_ID])</f>
        <v>M007</v>
      </c>
      <c r="N85" t="str">
        <f>_xlfn.XLOOKUP(E85,[3]Sheet1!$A$2:$A$391,[3]Sheet1!$A$2:$A$391)</f>
        <v>PO10006</v>
      </c>
    </row>
    <row r="86" spans="1:14" x14ac:dyDescent="0.2">
      <c r="A86" t="s">
        <v>95</v>
      </c>
      <c r="B86" s="2">
        <v>46238</v>
      </c>
      <c r="C86" t="s">
        <v>2941</v>
      </c>
      <c r="D86" t="s">
        <v>2948</v>
      </c>
      <c r="E86" t="s">
        <v>2956</v>
      </c>
      <c r="F86" s="3">
        <v>46238.752423019199</v>
      </c>
      <c r="G86" s="3">
        <v>46238.757093485889</v>
      </c>
      <c r="H86">
        <v>6.73</v>
      </c>
      <c r="I86" t="s">
        <v>3148</v>
      </c>
      <c r="J86" t="s">
        <v>3164</v>
      </c>
      <c r="K86" t="s">
        <v>3180</v>
      </c>
      <c r="L86" t="str">
        <f>_xlfn.XLOOKUP(C86,[1]!Table1[Shift_ID],[1]!Table1[Shift_ID])</f>
        <v>S02</v>
      </c>
      <c r="M86" t="str">
        <f>_xlfn.XLOOKUP(D86,[2]!Table1[Machine_ID],[2]!Table1[Machine_ID])</f>
        <v>M007</v>
      </c>
      <c r="N86" t="str">
        <f>_xlfn.XLOOKUP(E86,[3]Sheet1!$A$2:$A$391,[3]Sheet1!$A$2:$A$391)</f>
        <v>PO10006</v>
      </c>
    </row>
    <row r="87" spans="1:14" x14ac:dyDescent="0.2">
      <c r="A87" t="s">
        <v>96</v>
      </c>
      <c r="B87" s="2">
        <v>46238</v>
      </c>
      <c r="C87" t="s">
        <v>2941</v>
      </c>
      <c r="D87" t="s">
        <v>2948</v>
      </c>
      <c r="E87" t="s">
        <v>2956</v>
      </c>
      <c r="F87" s="3">
        <v>46238.76317963616</v>
      </c>
      <c r="G87" s="3">
        <v>46238.764825073064</v>
      </c>
      <c r="H87">
        <v>2.37</v>
      </c>
      <c r="I87" t="s">
        <v>3151</v>
      </c>
      <c r="J87" t="s">
        <v>3161</v>
      </c>
      <c r="K87" t="s">
        <v>3181</v>
      </c>
      <c r="L87" t="str">
        <f>_xlfn.XLOOKUP(C87,[1]!Table1[Shift_ID],[1]!Table1[Shift_ID])</f>
        <v>S02</v>
      </c>
      <c r="M87" t="str">
        <f>_xlfn.XLOOKUP(D87,[2]!Table1[Machine_ID],[2]!Table1[Machine_ID])</f>
        <v>M007</v>
      </c>
      <c r="N87" t="str">
        <f>_xlfn.XLOOKUP(E87,[3]Sheet1!$A$2:$A$391,[3]Sheet1!$A$2:$A$391)</f>
        <v>PO10006</v>
      </c>
    </row>
    <row r="88" spans="1:14" x14ac:dyDescent="0.2">
      <c r="A88" t="s">
        <v>97</v>
      </c>
      <c r="B88" s="2">
        <v>46238</v>
      </c>
      <c r="C88" t="s">
        <v>2941</v>
      </c>
      <c r="D88" t="s">
        <v>2948</v>
      </c>
      <c r="E88" t="s">
        <v>2956</v>
      </c>
      <c r="F88" s="3">
        <v>46238.810156397521</v>
      </c>
      <c r="G88" s="3">
        <v>46238.811801834418</v>
      </c>
      <c r="H88">
        <v>2.37</v>
      </c>
      <c r="I88" t="s">
        <v>3150</v>
      </c>
      <c r="J88" t="s">
        <v>3163</v>
      </c>
      <c r="K88" t="s">
        <v>3178</v>
      </c>
      <c r="L88" t="str">
        <f>_xlfn.XLOOKUP(C88,[1]!Table1[Shift_ID],[1]!Table1[Shift_ID])</f>
        <v>S02</v>
      </c>
      <c r="M88" t="str">
        <f>_xlfn.XLOOKUP(D88,[2]!Table1[Machine_ID],[2]!Table1[Machine_ID])</f>
        <v>M007</v>
      </c>
      <c r="N88" t="str">
        <f>_xlfn.XLOOKUP(E88,[3]Sheet1!$A$2:$A$391,[3]Sheet1!$A$2:$A$391)</f>
        <v>PO10006</v>
      </c>
    </row>
    <row r="89" spans="1:14" x14ac:dyDescent="0.2">
      <c r="A89" t="s">
        <v>98</v>
      </c>
      <c r="B89" s="2">
        <v>46238</v>
      </c>
      <c r="C89" t="s">
        <v>2941</v>
      </c>
      <c r="D89" t="s">
        <v>2948</v>
      </c>
      <c r="E89" t="s">
        <v>2956</v>
      </c>
      <c r="F89" s="3">
        <v>46238.826048100877</v>
      </c>
      <c r="G89" s="3">
        <v>46238.82769353778</v>
      </c>
      <c r="H89">
        <v>2.37</v>
      </c>
      <c r="I89" t="s">
        <v>3148</v>
      </c>
      <c r="J89" t="s">
        <v>3155</v>
      </c>
      <c r="K89" t="s">
        <v>3183</v>
      </c>
      <c r="L89" t="str">
        <f>_xlfn.XLOOKUP(C89,[1]!Table1[Shift_ID],[1]!Table1[Shift_ID])</f>
        <v>S02</v>
      </c>
      <c r="M89" t="str">
        <f>_xlfn.XLOOKUP(D89,[2]!Table1[Machine_ID],[2]!Table1[Machine_ID])</f>
        <v>M007</v>
      </c>
      <c r="N89" t="str">
        <f>_xlfn.XLOOKUP(E89,[3]Sheet1!$A$2:$A$391,[3]Sheet1!$A$2:$A$391)</f>
        <v>PO10006</v>
      </c>
    </row>
    <row r="90" spans="1:14" x14ac:dyDescent="0.2">
      <c r="A90" t="s">
        <v>99</v>
      </c>
      <c r="B90" s="2">
        <v>46238</v>
      </c>
      <c r="C90" t="s">
        <v>2941</v>
      </c>
      <c r="D90" t="s">
        <v>2949</v>
      </c>
      <c r="E90" t="s">
        <v>2956</v>
      </c>
      <c r="F90" s="3">
        <v>46238.900793233493</v>
      </c>
      <c r="G90" s="3">
        <v>46238.908900385642</v>
      </c>
      <c r="H90">
        <v>11.67</v>
      </c>
      <c r="I90" t="s">
        <v>3148</v>
      </c>
      <c r="J90" t="s">
        <v>3165</v>
      </c>
      <c r="K90" t="s">
        <v>3183</v>
      </c>
      <c r="L90" t="str">
        <f>_xlfn.XLOOKUP(C90,[1]!Table1[Shift_ID],[1]!Table1[Shift_ID])</f>
        <v>S02</v>
      </c>
      <c r="M90" t="str">
        <f>_xlfn.XLOOKUP(D90,[2]!Table1[Machine_ID],[2]!Table1[Machine_ID])</f>
        <v>M008</v>
      </c>
      <c r="N90" t="str">
        <f>_xlfn.XLOOKUP(E90,[3]Sheet1!$A$2:$A$391,[3]Sheet1!$A$2:$A$391)</f>
        <v>PO10006</v>
      </c>
    </row>
    <row r="91" spans="1:14" x14ac:dyDescent="0.2">
      <c r="A91" t="s">
        <v>100</v>
      </c>
      <c r="B91" s="2">
        <v>46239</v>
      </c>
      <c r="C91" t="s">
        <v>2939</v>
      </c>
      <c r="D91" t="s">
        <v>2942</v>
      </c>
      <c r="E91" t="s">
        <v>2957</v>
      </c>
      <c r="F91" s="3">
        <v>46239.966513647727</v>
      </c>
      <c r="G91" s="3">
        <v>46239.967863520433</v>
      </c>
      <c r="H91">
        <v>1.94</v>
      </c>
      <c r="I91" t="s">
        <v>3150</v>
      </c>
      <c r="J91" t="s">
        <v>3163</v>
      </c>
      <c r="K91" t="s">
        <v>3177</v>
      </c>
      <c r="L91" t="str">
        <f>_xlfn.XLOOKUP(C91,[1]!Table1[Shift_ID],[1]!Table1[Shift_ID])</f>
        <v>S03</v>
      </c>
      <c r="M91" t="str">
        <f>_xlfn.XLOOKUP(D91,[2]!Table1[Machine_ID],[2]!Table1[Machine_ID])</f>
        <v>M001</v>
      </c>
      <c r="N91" t="str">
        <f>_xlfn.XLOOKUP(E91,[3]Sheet1!$A$2:$A$391,[3]Sheet1!$A$2:$A$391)</f>
        <v>PO10007</v>
      </c>
    </row>
    <row r="92" spans="1:14" x14ac:dyDescent="0.2">
      <c r="A92" t="s">
        <v>101</v>
      </c>
      <c r="B92" s="2">
        <v>46239</v>
      </c>
      <c r="C92" t="s">
        <v>2939</v>
      </c>
      <c r="D92" t="s">
        <v>2942</v>
      </c>
      <c r="E92" t="s">
        <v>2957</v>
      </c>
      <c r="F92" s="3">
        <v>46240.026775378828</v>
      </c>
      <c r="G92" s="3">
        <v>46240.028203587011</v>
      </c>
      <c r="H92">
        <v>2.06</v>
      </c>
      <c r="I92" t="s">
        <v>3149</v>
      </c>
      <c r="J92" t="s">
        <v>3158</v>
      </c>
      <c r="K92" t="s">
        <v>3184</v>
      </c>
      <c r="L92" t="str">
        <f>_xlfn.XLOOKUP(C92,[1]!Table1[Shift_ID],[1]!Table1[Shift_ID])</f>
        <v>S03</v>
      </c>
      <c r="M92" t="str">
        <f>_xlfn.XLOOKUP(D92,[2]!Table1[Machine_ID],[2]!Table1[Machine_ID])</f>
        <v>M001</v>
      </c>
      <c r="N92" t="str">
        <f>_xlfn.XLOOKUP(E92,[3]Sheet1!$A$2:$A$391,[3]Sheet1!$A$2:$A$391)</f>
        <v>PO10007</v>
      </c>
    </row>
    <row r="93" spans="1:14" x14ac:dyDescent="0.2">
      <c r="A93" t="s">
        <v>102</v>
      </c>
      <c r="B93" s="2">
        <v>46239</v>
      </c>
      <c r="C93" t="s">
        <v>2939</v>
      </c>
      <c r="D93" t="s">
        <v>2942</v>
      </c>
      <c r="E93" t="s">
        <v>2957</v>
      </c>
      <c r="F93" s="3">
        <v>46240.171767651249</v>
      </c>
      <c r="G93" s="3">
        <v>46240.17350129252</v>
      </c>
      <c r="H93">
        <v>2.5</v>
      </c>
      <c r="I93" t="s">
        <v>3150</v>
      </c>
      <c r="J93" t="s">
        <v>3159</v>
      </c>
      <c r="K93" t="s">
        <v>3178</v>
      </c>
      <c r="L93" t="str">
        <f>_xlfn.XLOOKUP(C93,[1]!Table1[Shift_ID],[1]!Table1[Shift_ID])</f>
        <v>S03</v>
      </c>
      <c r="M93" t="str">
        <f>_xlfn.XLOOKUP(D93,[2]!Table1[Machine_ID],[2]!Table1[Machine_ID])</f>
        <v>M001</v>
      </c>
      <c r="N93" t="str">
        <f>_xlfn.XLOOKUP(E93,[3]Sheet1!$A$2:$A$391,[3]Sheet1!$A$2:$A$391)</f>
        <v>PO10007</v>
      </c>
    </row>
    <row r="94" spans="1:14" x14ac:dyDescent="0.2">
      <c r="A94" t="s">
        <v>103</v>
      </c>
      <c r="B94" s="2">
        <v>46239</v>
      </c>
      <c r="C94" t="s">
        <v>2939</v>
      </c>
      <c r="D94" t="s">
        <v>2942</v>
      </c>
      <c r="E94" t="s">
        <v>2957</v>
      </c>
      <c r="F94" s="3">
        <v>46240.195730622698</v>
      </c>
      <c r="G94" s="3">
        <v>46240.197080495403</v>
      </c>
      <c r="H94">
        <v>1.94</v>
      </c>
      <c r="I94" t="s">
        <v>3150</v>
      </c>
      <c r="J94" t="s">
        <v>3159</v>
      </c>
      <c r="K94" t="s">
        <v>3179</v>
      </c>
      <c r="L94" t="str">
        <f>_xlfn.XLOOKUP(C94,[1]!Table1[Shift_ID],[1]!Table1[Shift_ID])</f>
        <v>S03</v>
      </c>
      <c r="M94" t="str">
        <f>_xlfn.XLOOKUP(D94,[2]!Table1[Machine_ID],[2]!Table1[Machine_ID])</f>
        <v>M001</v>
      </c>
      <c r="N94" t="str">
        <f>_xlfn.XLOOKUP(E94,[3]Sheet1!$A$2:$A$391,[3]Sheet1!$A$2:$A$391)</f>
        <v>PO10007</v>
      </c>
    </row>
    <row r="95" spans="1:14" x14ac:dyDescent="0.2">
      <c r="A95" t="s">
        <v>104</v>
      </c>
      <c r="B95" s="2">
        <v>46239</v>
      </c>
      <c r="C95" t="s">
        <v>2939</v>
      </c>
      <c r="D95" t="s">
        <v>2943</v>
      </c>
      <c r="E95" t="s">
        <v>2957</v>
      </c>
      <c r="F95" s="3">
        <v>46240.119219511158</v>
      </c>
      <c r="G95" s="3">
        <v>46240.120869497012</v>
      </c>
      <c r="H95">
        <v>2.38</v>
      </c>
      <c r="I95" t="s">
        <v>3150</v>
      </c>
      <c r="J95" t="s">
        <v>3163</v>
      </c>
      <c r="K95" t="s">
        <v>3177</v>
      </c>
      <c r="L95" t="str">
        <f>_xlfn.XLOOKUP(C95,[1]!Table1[Shift_ID],[1]!Table1[Shift_ID])</f>
        <v>S03</v>
      </c>
      <c r="M95" t="str">
        <f>_xlfn.XLOOKUP(D95,[2]!Table1[Machine_ID],[2]!Table1[Machine_ID])</f>
        <v>M002</v>
      </c>
      <c r="N95" t="str">
        <f>_xlfn.XLOOKUP(E95,[3]Sheet1!$A$2:$A$391,[3]Sheet1!$A$2:$A$391)</f>
        <v>PO10007</v>
      </c>
    </row>
    <row r="96" spans="1:14" x14ac:dyDescent="0.2">
      <c r="A96" t="s">
        <v>105</v>
      </c>
      <c r="B96" s="2">
        <v>46239</v>
      </c>
      <c r="C96" t="s">
        <v>2939</v>
      </c>
      <c r="D96" t="s">
        <v>2943</v>
      </c>
      <c r="E96" t="s">
        <v>2957</v>
      </c>
      <c r="F96" s="3">
        <v>46240.178616526529</v>
      </c>
      <c r="G96" s="3">
        <v>46240.179917440713</v>
      </c>
      <c r="H96">
        <v>1.87</v>
      </c>
      <c r="I96" t="s">
        <v>3148</v>
      </c>
      <c r="J96" t="s">
        <v>3164</v>
      </c>
      <c r="K96" t="s">
        <v>3180</v>
      </c>
      <c r="L96" t="str">
        <f>_xlfn.XLOOKUP(C96,[1]!Table1[Shift_ID],[1]!Table1[Shift_ID])</f>
        <v>S03</v>
      </c>
      <c r="M96" t="str">
        <f>_xlfn.XLOOKUP(D96,[2]!Table1[Machine_ID],[2]!Table1[Machine_ID])</f>
        <v>M002</v>
      </c>
      <c r="N96" t="str">
        <f>_xlfn.XLOOKUP(E96,[3]Sheet1!$A$2:$A$391,[3]Sheet1!$A$2:$A$391)</f>
        <v>PO10007</v>
      </c>
    </row>
    <row r="97" spans="1:14" x14ac:dyDescent="0.2">
      <c r="A97" t="s">
        <v>106</v>
      </c>
      <c r="B97" s="2">
        <v>46239</v>
      </c>
      <c r="C97" t="s">
        <v>2939</v>
      </c>
      <c r="D97" t="s">
        <v>2943</v>
      </c>
      <c r="E97" t="s">
        <v>2957</v>
      </c>
      <c r="F97" s="3">
        <v>46240.184928190203</v>
      </c>
      <c r="G97" s="3">
        <v>46240.188069249663</v>
      </c>
      <c r="H97">
        <v>4.5199999999999996</v>
      </c>
      <c r="I97" t="s">
        <v>3151</v>
      </c>
      <c r="J97" t="s">
        <v>3169</v>
      </c>
      <c r="K97" t="s">
        <v>3188</v>
      </c>
      <c r="L97" t="str">
        <f>_xlfn.XLOOKUP(C97,[1]!Table1[Shift_ID],[1]!Table1[Shift_ID])</f>
        <v>S03</v>
      </c>
      <c r="M97" t="str">
        <f>_xlfn.XLOOKUP(D97,[2]!Table1[Machine_ID],[2]!Table1[Machine_ID])</f>
        <v>M002</v>
      </c>
      <c r="N97" t="str">
        <f>_xlfn.XLOOKUP(E97,[3]Sheet1!$A$2:$A$391,[3]Sheet1!$A$2:$A$391)</f>
        <v>PO10007</v>
      </c>
    </row>
    <row r="98" spans="1:14" x14ac:dyDescent="0.2">
      <c r="A98" t="s">
        <v>107</v>
      </c>
      <c r="B98" s="2">
        <v>46239</v>
      </c>
      <c r="C98" t="s">
        <v>2939</v>
      </c>
      <c r="D98" t="s">
        <v>2943</v>
      </c>
      <c r="E98" t="s">
        <v>2957</v>
      </c>
      <c r="F98" s="3">
        <v>46240.186745777843</v>
      </c>
      <c r="G98" s="3">
        <v>46240.188046692012</v>
      </c>
      <c r="H98">
        <v>1.87</v>
      </c>
      <c r="I98" t="s">
        <v>3147</v>
      </c>
      <c r="J98" t="s">
        <v>3153</v>
      </c>
      <c r="K98" t="s">
        <v>3172</v>
      </c>
      <c r="L98" t="str">
        <f>_xlfn.XLOOKUP(C98,[1]!Table1[Shift_ID],[1]!Table1[Shift_ID])</f>
        <v>S03</v>
      </c>
      <c r="M98" t="str">
        <f>_xlfn.XLOOKUP(D98,[2]!Table1[Machine_ID],[2]!Table1[Machine_ID])</f>
        <v>M002</v>
      </c>
      <c r="N98" t="str">
        <f>_xlfn.XLOOKUP(E98,[3]Sheet1!$A$2:$A$391,[3]Sheet1!$A$2:$A$391)</f>
        <v>PO10007</v>
      </c>
    </row>
    <row r="99" spans="1:14" x14ac:dyDescent="0.2">
      <c r="A99" t="s">
        <v>108</v>
      </c>
      <c r="B99" s="2">
        <v>46239</v>
      </c>
      <c r="C99" t="s">
        <v>2939</v>
      </c>
      <c r="D99" t="s">
        <v>2943</v>
      </c>
      <c r="E99" t="s">
        <v>2957</v>
      </c>
      <c r="F99" s="3">
        <v>46240.189655480674</v>
      </c>
      <c r="G99" s="3">
        <v>46240.19095639485</v>
      </c>
      <c r="H99">
        <v>1.87</v>
      </c>
      <c r="I99" t="s">
        <v>3149</v>
      </c>
      <c r="J99" t="s">
        <v>3168</v>
      </c>
      <c r="K99" t="s">
        <v>3176</v>
      </c>
      <c r="L99" t="str">
        <f>_xlfn.XLOOKUP(C99,[1]!Table1[Shift_ID],[1]!Table1[Shift_ID])</f>
        <v>S03</v>
      </c>
      <c r="M99" t="str">
        <f>_xlfn.XLOOKUP(D99,[2]!Table1[Machine_ID],[2]!Table1[Machine_ID])</f>
        <v>M002</v>
      </c>
      <c r="N99" t="str">
        <f>_xlfn.XLOOKUP(E99,[3]Sheet1!$A$2:$A$391,[3]Sheet1!$A$2:$A$391)</f>
        <v>PO10007</v>
      </c>
    </row>
    <row r="100" spans="1:14" x14ac:dyDescent="0.2">
      <c r="A100" t="s">
        <v>109</v>
      </c>
      <c r="B100" s="2">
        <v>46239</v>
      </c>
      <c r="C100" t="s">
        <v>2939</v>
      </c>
      <c r="D100" t="s">
        <v>2944</v>
      </c>
      <c r="E100" t="s">
        <v>2957</v>
      </c>
      <c r="F100" s="3">
        <v>46240.102627520413</v>
      </c>
      <c r="G100" s="3">
        <v>46240.10692250984</v>
      </c>
      <c r="H100">
        <v>6.18</v>
      </c>
      <c r="I100" t="s">
        <v>3150</v>
      </c>
      <c r="J100" t="s">
        <v>3163</v>
      </c>
      <c r="K100" t="s">
        <v>3179</v>
      </c>
      <c r="L100" t="str">
        <f>_xlfn.XLOOKUP(C100,[1]!Table1[Shift_ID],[1]!Table1[Shift_ID])</f>
        <v>S03</v>
      </c>
      <c r="M100" t="str">
        <f>_xlfn.XLOOKUP(D100,[2]!Table1[Machine_ID],[2]!Table1[Machine_ID])</f>
        <v>M003</v>
      </c>
      <c r="N100" t="str">
        <f>_xlfn.XLOOKUP(E100,[3]Sheet1!$A$2:$A$391,[3]Sheet1!$A$2:$A$391)</f>
        <v>PO10007</v>
      </c>
    </row>
    <row r="101" spans="1:14" x14ac:dyDescent="0.2">
      <c r="A101" t="s">
        <v>110</v>
      </c>
      <c r="B101" s="2">
        <v>46239</v>
      </c>
      <c r="C101" t="s">
        <v>2939</v>
      </c>
      <c r="D101" t="s">
        <v>2944</v>
      </c>
      <c r="E101" t="s">
        <v>2957</v>
      </c>
      <c r="F101" s="3">
        <v>46240.178756035217</v>
      </c>
      <c r="G101" s="3">
        <v>46240.18352986523</v>
      </c>
      <c r="H101">
        <v>6.87</v>
      </c>
      <c r="I101" t="s">
        <v>3150</v>
      </c>
      <c r="J101" t="s">
        <v>3163</v>
      </c>
      <c r="K101" t="s">
        <v>3177</v>
      </c>
      <c r="L101" t="str">
        <f>_xlfn.XLOOKUP(C101,[1]!Table1[Shift_ID],[1]!Table1[Shift_ID])</f>
        <v>S03</v>
      </c>
      <c r="M101" t="str">
        <f>_xlfn.XLOOKUP(D101,[2]!Table1[Machine_ID],[2]!Table1[Machine_ID])</f>
        <v>M003</v>
      </c>
      <c r="N101" t="str">
        <f>_xlfn.XLOOKUP(E101,[3]Sheet1!$A$2:$A$391,[3]Sheet1!$A$2:$A$391)</f>
        <v>PO10007</v>
      </c>
    </row>
    <row r="102" spans="1:14" x14ac:dyDescent="0.2">
      <c r="A102" t="s">
        <v>111</v>
      </c>
      <c r="B102" s="2">
        <v>46239</v>
      </c>
      <c r="C102" t="s">
        <v>2939</v>
      </c>
      <c r="D102" t="s">
        <v>2945</v>
      </c>
      <c r="E102" t="s">
        <v>2957</v>
      </c>
      <c r="F102" s="3">
        <v>46239.966495749031</v>
      </c>
      <c r="G102" s="3">
        <v>46239.969121982896</v>
      </c>
      <c r="H102">
        <v>3.78</v>
      </c>
      <c r="I102" t="s">
        <v>3146</v>
      </c>
      <c r="J102" t="s">
        <v>3152</v>
      </c>
      <c r="K102" t="s">
        <v>3174</v>
      </c>
      <c r="L102" t="str">
        <f>_xlfn.XLOOKUP(C102,[1]!Table1[Shift_ID],[1]!Table1[Shift_ID])</f>
        <v>S03</v>
      </c>
      <c r="M102" t="str">
        <f>_xlfn.XLOOKUP(D102,[2]!Table1[Machine_ID],[2]!Table1[Machine_ID])</f>
        <v>M004</v>
      </c>
      <c r="N102" t="str">
        <f>_xlfn.XLOOKUP(E102,[3]Sheet1!$A$2:$A$391,[3]Sheet1!$A$2:$A$391)</f>
        <v>PO10007</v>
      </c>
    </row>
    <row r="103" spans="1:14" x14ac:dyDescent="0.2">
      <c r="A103" t="s">
        <v>112</v>
      </c>
      <c r="B103" s="2">
        <v>46239</v>
      </c>
      <c r="C103" t="s">
        <v>2939</v>
      </c>
      <c r="D103" t="s">
        <v>2945</v>
      </c>
      <c r="E103" t="s">
        <v>2957</v>
      </c>
      <c r="F103" s="3">
        <v>46239.991260249342</v>
      </c>
      <c r="G103" s="3">
        <v>46239.993993311728</v>
      </c>
      <c r="H103">
        <v>3.94</v>
      </c>
      <c r="I103" t="s">
        <v>3146</v>
      </c>
      <c r="J103" t="s">
        <v>3152</v>
      </c>
      <c r="K103" t="s">
        <v>3175</v>
      </c>
      <c r="L103" t="str">
        <f>_xlfn.XLOOKUP(C103,[1]!Table1[Shift_ID],[1]!Table1[Shift_ID])</f>
        <v>S03</v>
      </c>
      <c r="M103" t="str">
        <f>_xlfn.XLOOKUP(D103,[2]!Table1[Machine_ID],[2]!Table1[Machine_ID])</f>
        <v>M004</v>
      </c>
      <c r="N103" t="str">
        <f>_xlfn.XLOOKUP(E103,[3]Sheet1!$A$2:$A$391,[3]Sheet1!$A$2:$A$391)</f>
        <v>PO10007</v>
      </c>
    </row>
    <row r="104" spans="1:14" x14ac:dyDescent="0.2">
      <c r="A104" t="s">
        <v>113</v>
      </c>
      <c r="B104" s="2">
        <v>46239</v>
      </c>
      <c r="C104" t="s">
        <v>2939</v>
      </c>
      <c r="D104" t="s">
        <v>2945</v>
      </c>
      <c r="E104" t="s">
        <v>2957</v>
      </c>
      <c r="F104" s="3">
        <v>46240.097682880463</v>
      </c>
      <c r="G104" s="3">
        <v>46240.101011358463</v>
      </c>
      <c r="H104">
        <v>4.79</v>
      </c>
      <c r="I104" t="s">
        <v>3147</v>
      </c>
      <c r="J104" t="s">
        <v>3167</v>
      </c>
      <c r="K104" t="s">
        <v>3186</v>
      </c>
      <c r="L104" t="str">
        <f>_xlfn.XLOOKUP(C104,[1]!Table1[Shift_ID],[1]!Table1[Shift_ID])</f>
        <v>S03</v>
      </c>
      <c r="M104" t="str">
        <f>_xlfn.XLOOKUP(D104,[2]!Table1[Machine_ID],[2]!Table1[Machine_ID])</f>
        <v>M004</v>
      </c>
      <c r="N104" t="str">
        <f>_xlfn.XLOOKUP(E104,[3]Sheet1!$A$2:$A$391,[3]Sheet1!$A$2:$A$391)</f>
        <v>PO10007</v>
      </c>
    </row>
    <row r="105" spans="1:14" x14ac:dyDescent="0.2">
      <c r="A105" t="s">
        <v>114</v>
      </c>
      <c r="B105" s="2">
        <v>46239</v>
      </c>
      <c r="C105" t="s">
        <v>2939</v>
      </c>
      <c r="D105" t="s">
        <v>2946</v>
      </c>
      <c r="E105" t="s">
        <v>2957</v>
      </c>
      <c r="F105" s="3">
        <v>46239.973762848902</v>
      </c>
      <c r="G105" s="3">
        <v>46239.981614886077</v>
      </c>
      <c r="H105">
        <v>11.31</v>
      </c>
      <c r="I105" t="s">
        <v>3151</v>
      </c>
      <c r="J105" t="s">
        <v>3169</v>
      </c>
      <c r="K105" t="s">
        <v>3188</v>
      </c>
      <c r="L105" t="str">
        <f>_xlfn.XLOOKUP(C105,[1]!Table1[Shift_ID],[1]!Table1[Shift_ID])</f>
        <v>S03</v>
      </c>
      <c r="M105" t="str">
        <f>_xlfn.XLOOKUP(D105,[2]!Table1[Machine_ID],[2]!Table1[Machine_ID])</f>
        <v>M005</v>
      </c>
      <c r="N105" t="str">
        <f>_xlfn.XLOOKUP(E105,[3]Sheet1!$A$2:$A$391,[3]Sheet1!$A$2:$A$391)</f>
        <v>PO10007</v>
      </c>
    </row>
    <row r="106" spans="1:14" x14ac:dyDescent="0.2">
      <c r="A106" t="s">
        <v>115</v>
      </c>
      <c r="B106" s="2">
        <v>46239</v>
      </c>
      <c r="C106" t="s">
        <v>2939</v>
      </c>
      <c r="D106" t="s">
        <v>2947</v>
      </c>
      <c r="E106" t="s">
        <v>2957</v>
      </c>
      <c r="F106" s="3">
        <v>46240.181034967129</v>
      </c>
      <c r="G106" s="3">
        <v>46240.207867352132</v>
      </c>
      <c r="H106">
        <v>38.64</v>
      </c>
      <c r="I106" t="s">
        <v>3147</v>
      </c>
      <c r="J106" t="s">
        <v>3154</v>
      </c>
      <c r="K106" t="s">
        <v>3185</v>
      </c>
      <c r="L106" t="str">
        <f>_xlfn.XLOOKUP(C106,[1]!Table1[Shift_ID],[1]!Table1[Shift_ID])</f>
        <v>S03</v>
      </c>
      <c r="M106" t="str">
        <f>_xlfn.XLOOKUP(D106,[2]!Table1[Machine_ID],[2]!Table1[Machine_ID])</f>
        <v>M006</v>
      </c>
      <c r="N106" t="str">
        <f>_xlfn.XLOOKUP(E106,[3]Sheet1!$A$2:$A$391,[3]Sheet1!$A$2:$A$391)</f>
        <v>PO10007</v>
      </c>
    </row>
    <row r="107" spans="1:14" x14ac:dyDescent="0.2">
      <c r="A107" t="s">
        <v>116</v>
      </c>
      <c r="B107" s="2">
        <v>46239</v>
      </c>
      <c r="C107" t="s">
        <v>2939</v>
      </c>
      <c r="D107" t="s">
        <v>2948</v>
      </c>
      <c r="E107" t="s">
        <v>2957</v>
      </c>
      <c r="F107" s="3">
        <v>46240.168859109137</v>
      </c>
      <c r="G107" s="3">
        <v>46240.185407735567</v>
      </c>
      <c r="H107">
        <v>23.83</v>
      </c>
      <c r="I107" t="s">
        <v>3146</v>
      </c>
      <c r="J107" t="s">
        <v>3152</v>
      </c>
      <c r="K107" t="s">
        <v>3174</v>
      </c>
      <c r="L107" t="str">
        <f>_xlfn.XLOOKUP(C107,[1]!Table1[Shift_ID],[1]!Table1[Shift_ID])</f>
        <v>S03</v>
      </c>
      <c r="M107" t="str">
        <f>_xlfn.XLOOKUP(D107,[2]!Table1[Machine_ID],[2]!Table1[Machine_ID])</f>
        <v>M007</v>
      </c>
      <c r="N107" t="str">
        <f>_xlfn.XLOOKUP(E107,[3]Sheet1!$A$2:$A$391,[3]Sheet1!$A$2:$A$391)</f>
        <v>PO10007</v>
      </c>
    </row>
    <row r="108" spans="1:14" x14ac:dyDescent="0.2">
      <c r="A108" t="s">
        <v>117</v>
      </c>
      <c r="B108" s="2">
        <v>46239</v>
      </c>
      <c r="C108" t="s">
        <v>2939</v>
      </c>
      <c r="D108" t="s">
        <v>2949</v>
      </c>
      <c r="E108" t="s">
        <v>2957</v>
      </c>
      <c r="F108" s="3">
        <v>46239.921804191392</v>
      </c>
      <c r="G108" s="3">
        <v>46239.928395341907</v>
      </c>
      <c r="H108">
        <v>9.49</v>
      </c>
      <c r="I108" t="s">
        <v>3148</v>
      </c>
      <c r="J108" t="s">
        <v>3164</v>
      </c>
      <c r="K108" t="s">
        <v>3173</v>
      </c>
      <c r="L108" t="str">
        <f>_xlfn.XLOOKUP(C108,[1]!Table1[Shift_ID],[1]!Table1[Shift_ID])</f>
        <v>S03</v>
      </c>
      <c r="M108" t="str">
        <f>_xlfn.XLOOKUP(D108,[2]!Table1[Machine_ID],[2]!Table1[Machine_ID])</f>
        <v>M008</v>
      </c>
      <c r="N108" t="str">
        <f>_xlfn.XLOOKUP(E108,[3]Sheet1!$A$2:$A$391,[3]Sheet1!$A$2:$A$391)</f>
        <v>PO10007</v>
      </c>
    </row>
    <row r="109" spans="1:14" x14ac:dyDescent="0.2">
      <c r="A109" t="s">
        <v>118</v>
      </c>
      <c r="B109" s="2">
        <v>46239</v>
      </c>
      <c r="C109" t="s">
        <v>2939</v>
      </c>
      <c r="D109" t="s">
        <v>2949</v>
      </c>
      <c r="E109" t="s">
        <v>2957</v>
      </c>
      <c r="F109" s="3">
        <v>46239.92272362778</v>
      </c>
      <c r="G109" s="3">
        <v>46239.924661456876</v>
      </c>
      <c r="H109">
        <v>2.79</v>
      </c>
      <c r="I109" t="s">
        <v>3150</v>
      </c>
      <c r="J109" t="s">
        <v>3166</v>
      </c>
      <c r="K109" t="s">
        <v>3177</v>
      </c>
      <c r="L109" t="str">
        <f>_xlfn.XLOOKUP(C109,[1]!Table1[Shift_ID],[1]!Table1[Shift_ID])</f>
        <v>S03</v>
      </c>
      <c r="M109" t="str">
        <f>_xlfn.XLOOKUP(D109,[2]!Table1[Machine_ID],[2]!Table1[Machine_ID])</f>
        <v>M008</v>
      </c>
      <c r="N109" t="str">
        <f>_xlfn.XLOOKUP(E109,[3]Sheet1!$A$2:$A$391,[3]Sheet1!$A$2:$A$391)</f>
        <v>PO10007</v>
      </c>
    </row>
    <row r="110" spans="1:14" x14ac:dyDescent="0.2">
      <c r="A110" t="s">
        <v>119</v>
      </c>
      <c r="B110" s="2">
        <v>46239</v>
      </c>
      <c r="C110" t="s">
        <v>2940</v>
      </c>
      <c r="D110" t="s">
        <v>2942</v>
      </c>
      <c r="E110" t="s">
        <v>2958</v>
      </c>
      <c r="F110" s="3">
        <v>46239.287190974261</v>
      </c>
      <c r="G110" s="3">
        <v>46239.294602744303</v>
      </c>
      <c r="H110">
        <v>10.67</v>
      </c>
      <c r="I110" t="s">
        <v>3149</v>
      </c>
      <c r="J110" t="s">
        <v>3168</v>
      </c>
      <c r="K110" t="s">
        <v>3184</v>
      </c>
      <c r="L110" t="str">
        <f>_xlfn.XLOOKUP(C110,[1]!Table1[Shift_ID],[1]!Table1[Shift_ID])</f>
        <v>S01</v>
      </c>
      <c r="M110" t="str">
        <f>_xlfn.XLOOKUP(D110,[2]!Table1[Machine_ID],[2]!Table1[Machine_ID])</f>
        <v>M001</v>
      </c>
      <c r="N110" t="str">
        <f>_xlfn.XLOOKUP(E110,[3]Sheet1!$A$2:$A$391,[3]Sheet1!$A$2:$A$391)</f>
        <v>PO10008</v>
      </c>
    </row>
    <row r="111" spans="1:14" x14ac:dyDescent="0.2">
      <c r="A111" t="s">
        <v>120</v>
      </c>
      <c r="B111" s="2">
        <v>46239</v>
      </c>
      <c r="C111" t="s">
        <v>2940</v>
      </c>
      <c r="D111" t="s">
        <v>2943</v>
      </c>
      <c r="E111" t="s">
        <v>2958</v>
      </c>
      <c r="F111" s="3">
        <v>46239.520286747211</v>
      </c>
      <c r="G111" s="3">
        <v>46239.531472221563</v>
      </c>
      <c r="H111">
        <v>16.11</v>
      </c>
      <c r="I111" t="s">
        <v>3150</v>
      </c>
      <c r="J111" t="s">
        <v>3159</v>
      </c>
      <c r="K111" t="s">
        <v>3179</v>
      </c>
      <c r="L111" t="str">
        <f>_xlfn.XLOOKUP(C111,[1]!Table1[Shift_ID],[1]!Table1[Shift_ID])</f>
        <v>S01</v>
      </c>
      <c r="M111" t="str">
        <f>_xlfn.XLOOKUP(D111,[2]!Table1[Machine_ID],[2]!Table1[Machine_ID])</f>
        <v>M002</v>
      </c>
      <c r="N111" t="str">
        <f>_xlfn.XLOOKUP(E111,[3]Sheet1!$A$2:$A$391,[3]Sheet1!$A$2:$A$391)</f>
        <v>PO10008</v>
      </c>
    </row>
    <row r="112" spans="1:14" x14ac:dyDescent="0.2">
      <c r="A112" t="s">
        <v>121</v>
      </c>
      <c r="B112" s="2">
        <v>46239</v>
      </c>
      <c r="C112" t="s">
        <v>2940</v>
      </c>
      <c r="D112" t="s">
        <v>2944</v>
      </c>
      <c r="E112" t="s">
        <v>2958</v>
      </c>
      <c r="F112" s="3">
        <v>46239.407703048288</v>
      </c>
      <c r="G112" s="3">
        <v>46239.417050194723</v>
      </c>
      <c r="H112">
        <v>13.46</v>
      </c>
      <c r="I112" t="s">
        <v>3148</v>
      </c>
      <c r="J112" t="s">
        <v>3165</v>
      </c>
      <c r="K112" t="s">
        <v>3180</v>
      </c>
      <c r="L112" t="str">
        <f>_xlfn.XLOOKUP(C112,[1]!Table1[Shift_ID],[1]!Table1[Shift_ID])</f>
        <v>S01</v>
      </c>
      <c r="M112" t="str">
        <f>_xlfn.XLOOKUP(D112,[2]!Table1[Machine_ID],[2]!Table1[Machine_ID])</f>
        <v>M003</v>
      </c>
      <c r="N112" t="str">
        <f>_xlfn.XLOOKUP(E112,[3]Sheet1!$A$2:$A$391,[3]Sheet1!$A$2:$A$391)</f>
        <v>PO10008</v>
      </c>
    </row>
    <row r="113" spans="1:14" x14ac:dyDescent="0.2">
      <c r="A113" t="s">
        <v>122</v>
      </c>
      <c r="B113" s="2">
        <v>46239</v>
      </c>
      <c r="C113" t="s">
        <v>2940</v>
      </c>
      <c r="D113" t="s">
        <v>2945</v>
      </c>
      <c r="E113" t="s">
        <v>2958</v>
      </c>
      <c r="F113" s="3">
        <v>46239.347720079757</v>
      </c>
      <c r="G113" s="3">
        <v>46239.357093608218</v>
      </c>
      <c r="H113">
        <v>13.5</v>
      </c>
      <c r="I113" t="s">
        <v>3148</v>
      </c>
      <c r="J113" t="s">
        <v>3165</v>
      </c>
      <c r="K113" t="s">
        <v>3183</v>
      </c>
      <c r="L113" t="str">
        <f>_xlfn.XLOOKUP(C113,[1]!Table1[Shift_ID],[1]!Table1[Shift_ID])</f>
        <v>S01</v>
      </c>
      <c r="M113" t="str">
        <f>_xlfn.XLOOKUP(D113,[2]!Table1[Machine_ID],[2]!Table1[Machine_ID])</f>
        <v>M004</v>
      </c>
      <c r="N113" t="str">
        <f>_xlfn.XLOOKUP(E113,[3]Sheet1!$A$2:$A$391,[3]Sheet1!$A$2:$A$391)</f>
        <v>PO10008</v>
      </c>
    </row>
    <row r="114" spans="1:14" x14ac:dyDescent="0.2">
      <c r="A114" t="s">
        <v>123</v>
      </c>
      <c r="B114" s="2">
        <v>46239</v>
      </c>
      <c r="C114" t="s">
        <v>2940</v>
      </c>
      <c r="D114" t="s">
        <v>2946</v>
      </c>
      <c r="E114" t="s">
        <v>2958</v>
      </c>
      <c r="F114" s="3">
        <v>46239.427044151213</v>
      </c>
      <c r="G114" s="3">
        <v>46239.428867375937</v>
      </c>
      <c r="H114">
        <v>2.63</v>
      </c>
      <c r="I114" t="s">
        <v>3150</v>
      </c>
      <c r="J114" t="s">
        <v>3163</v>
      </c>
      <c r="K114" t="s">
        <v>3178</v>
      </c>
      <c r="L114" t="str">
        <f>_xlfn.XLOOKUP(C114,[1]!Table1[Shift_ID],[1]!Table1[Shift_ID])</f>
        <v>S01</v>
      </c>
      <c r="M114" t="str">
        <f>_xlfn.XLOOKUP(D114,[2]!Table1[Machine_ID],[2]!Table1[Machine_ID])</f>
        <v>M005</v>
      </c>
      <c r="N114" t="str">
        <f>_xlfn.XLOOKUP(E114,[3]Sheet1!$A$2:$A$391,[3]Sheet1!$A$2:$A$391)</f>
        <v>PO10008</v>
      </c>
    </row>
    <row r="115" spans="1:14" x14ac:dyDescent="0.2">
      <c r="A115" t="s">
        <v>124</v>
      </c>
      <c r="B115" s="2">
        <v>46239</v>
      </c>
      <c r="C115" t="s">
        <v>2940</v>
      </c>
      <c r="D115" t="s">
        <v>2946</v>
      </c>
      <c r="E115" t="s">
        <v>2958</v>
      </c>
      <c r="F115" s="3">
        <v>46239.435313359078</v>
      </c>
      <c r="G115" s="3">
        <v>46239.444651612022</v>
      </c>
      <c r="H115">
        <v>13.45</v>
      </c>
      <c r="I115" t="s">
        <v>3150</v>
      </c>
      <c r="J115" t="s">
        <v>3163</v>
      </c>
      <c r="K115" t="s">
        <v>3177</v>
      </c>
      <c r="L115" t="str">
        <f>_xlfn.XLOOKUP(C115,[1]!Table1[Shift_ID],[1]!Table1[Shift_ID])</f>
        <v>S01</v>
      </c>
      <c r="M115" t="str">
        <f>_xlfn.XLOOKUP(D115,[2]!Table1[Machine_ID],[2]!Table1[Machine_ID])</f>
        <v>M005</v>
      </c>
      <c r="N115" t="str">
        <f>_xlfn.XLOOKUP(E115,[3]Sheet1!$A$2:$A$391,[3]Sheet1!$A$2:$A$391)</f>
        <v>PO10008</v>
      </c>
    </row>
    <row r="116" spans="1:14" x14ac:dyDescent="0.2">
      <c r="A116" t="s">
        <v>125</v>
      </c>
      <c r="B116" s="2">
        <v>46239</v>
      </c>
      <c r="C116" t="s">
        <v>2940</v>
      </c>
      <c r="D116" t="s">
        <v>2947</v>
      </c>
      <c r="E116" t="s">
        <v>2958</v>
      </c>
      <c r="F116" s="3">
        <v>46239.272291600209</v>
      </c>
      <c r="G116" s="3">
        <v>46239.274721723159</v>
      </c>
      <c r="H116">
        <v>3.5</v>
      </c>
      <c r="I116" t="s">
        <v>3150</v>
      </c>
      <c r="J116" t="s">
        <v>3166</v>
      </c>
      <c r="K116" t="s">
        <v>3177</v>
      </c>
      <c r="L116" t="str">
        <f>_xlfn.XLOOKUP(C116,[1]!Table1[Shift_ID],[1]!Table1[Shift_ID])</f>
        <v>S01</v>
      </c>
      <c r="M116" t="str">
        <f>_xlfn.XLOOKUP(D116,[2]!Table1[Machine_ID],[2]!Table1[Machine_ID])</f>
        <v>M006</v>
      </c>
      <c r="N116" t="str">
        <f>_xlfn.XLOOKUP(E116,[3]Sheet1!$A$2:$A$391,[3]Sheet1!$A$2:$A$391)</f>
        <v>PO10008</v>
      </c>
    </row>
    <row r="117" spans="1:14" x14ac:dyDescent="0.2">
      <c r="A117" t="s">
        <v>126</v>
      </c>
      <c r="B117" s="2">
        <v>46239</v>
      </c>
      <c r="C117" t="s">
        <v>2940</v>
      </c>
      <c r="D117" t="s">
        <v>2947</v>
      </c>
      <c r="E117" t="s">
        <v>2958</v>
      </c>
      <c r="F117" s="3">
        <v>46239.280122275108</v>
      </c>
      <c r="G117" s="3">
        <v>46239.287746039707</v>
      </c>
      <c r="H117">
        <v>10.98</v>
      </c>
      <c r="I117" t="s">
        <v>3149</v>
      </c>
      <c r="J117" t="s">
        <v>3168</v>
      </c>
      <c r="K117" t="s">
        <v>3182</v>
      </c>
      <c r="L117" t="str">
        <f>_xlfn.XLOOKUP(C117,[1]!Table1[Shift_ID],[1]!Table1[Shift_ID])</f>
        <v>S01</v>
      </c>
      <c r="M117" t="str">
        <f>_xlfn.XLOOKUP(D117,[2]!Table1[Machine_ID],[2]!Table1[Machine_ID])</f>
        <v>M006</v>
      </c>
      <c r="N117" t="str">
        <f>_xlfn.XLOOKUP(E117,[3]Sheet1!$A$2:$A$391,[3]Sheet1!$A$2:$A$391)</f>
        <v>PO10008</v>
      </c>
    </row>
    <row r="118" spans="1:14" x14ac:dyDescent="0.2">
      <c r="A118" t="s">
        <v>127</v>
      </c>
      <c r="B118" s="2">
        <v>46239</v>
      </c>
      <c r="C118" t="s">
        <v>2940</v>
      </c>
      <c r="D118" t="s">
        <v>2947</v>
      </c>
      <c r="E118" t="s">
        <v>2958</v>
      </c>
      <c r="F118" s="3">
        <v>46239.509505149857</v>
      </c>
      <c r="G118" s="3">
        <v>46239.518429331991</v>
      </c>
      <c r="H118">
        <v>12.85</v>
      </c>
      <c r="I118" t="s">
        <v>3147</v>
      </c>
      <c r="J118" t="s">
        <v>3167</v>
      </c>
      <c r="K118" t="s">
        <v>3172</v>
      </c>
      <c r="L118" t="str">
        <f>_xlfn.XLOOKUP(C118,[1]!Table1[Shift_ID],[1]!Table1[Shift_ID])</f>
        <v>S01</v>
      </c>
      <c r="M118" t="str">
        <f>_xlfn.XLOOKUP(D118,[2]!Table1[Machine_ID],[2]!Table1[Machine_ID])</f>
        <v>M006</v>
      </c>
      <c r="N118" t="str">
        <f>_xlfn.XLOOKUP(E118,[3]Sheet1!$A$2:$A$391,[3]Sheet1!$A$2:$A$391)</f>
        <v>PO10008</v>
      </c>
    </row>
    <row r="119" spans="1:14" x14ac:dyDescent="0.2">
      <c r="A119" t="s">
        <v>128</v>
      </c>
      <c r="B119" s="2">
        <v>46239</v>
      </c>
      <c r="C119" t="s">
        <v>2940</v>
      </c>
      <c r="D119" t="s">
        <v>2947</v>
      </c>
      <c r="E119" t="s">
        <v>2958</v>
      </c>
      <c r="F119" s="3">
        <v>46239.526740324378</v>
      </c>
      <c r="G119" s="3">
        <v>46239.533399905529</v>
      </c>
      <c r="H119">
        <v>9.59</v>
      </c>
      <c r="I119" t="s">
        <v>3150</v>
      </c>
      <c r="J119" t="s">
        <v>3159</v>
      </c>
      <c r="K119" t="s">
        <v>3178</v>
      </c>
      <c r="L119" t="str">
        <f>_xlfn.XLOOKUP(C119,[1]!Table1[Shift_ID],[1]!Table1[Shift_ID])</f>
        <v>S01</v>
      </c>
      <c r="M119" t="str">
        <f>_xlfn.XLOOKUP(D119,[2]!Table1[Machine_ID],[2]!Table1[Machine_ID])</f>
        <v>M006</v>
      </c>
      <c r="N119" t="str">
        <f>_xlfn.XLOOKUP(E119,[3]Sheet1!$A$2:$A$391,[3]Sheet1!$A$2:$A$391)</f>
        <v>PO10008</v>
      </c>
    </row>
    <row r="120" spans="1:14" x14ac:dyDescent="0.2">
      <c r="A120" t="s">
        <v>129</v>
      </c>
      <c r="B120" s="2">
        <v>46239</v>
      </c>
      <c r="C120" t="s">
        <v>2940</v>
      </c>
      <c r="D120" t="s">
        <v>2948</v>
      </c>
      <c r="E120" t="s">
        <v>2958</v>
      </c>
      <c r="F120" s="3">
        <v>46239.484178073471</v>
      </c>
      <c r="G120" s="3">
        <v>46239.494626017833</v>
      </c>
      <c r="H120">
        <v>15.05</v>
      </c>
      <c r="I120" t="s">
        <v>3150</v>
      </c>
      <c r="J120" t="s">
        <v>3160</v>
      </c>
      <c r="K120" t="s">
        <v>3179</v>
      </c>
      <c r="L120" t="str">
        <f>_xlfn.XLOOKUP(C120,[1]!Table1[Shift_ID],[1]!Table1[Shift_ID])</f>
        <v>S01</v>
      </c>
      <c r="M120" t="str">
        <f>_xlfn.XLOOKUP(D120,[2]!Table1[Machine_ID],[2]!Table1[Machine_ID])</f>
        <v>M007</v>
      </c>
      <c r="N120" t="str">
        <f>_xlfn.XLOOKUP(E120,[3]Sheet1!$A$2:$A$391,[3]Sheet1!$A$2:$A$391)</f>
        <v>PO10008</v>
      </c>
    </row>
    <row r="121" spans="1:14" x14ac:dyDescent="0.2">
      <c r="A121" t="s">
        <v>130</v>
      </c>
      <c r="B121" s="2">
        <v>46239</v>
      </c>
      <c r="C121" t="s">
        <v>2940</v>
      </c>
      <c r="D121" t="s">
        <v>2948</v>
      </c>
      <c r="E121" t="s">
        <v>2958</v>
      </c>
      <c r="F121" s="3">
        <v>46239.552815582581</v>
      </c>
      <c r="G121" s="3">
        <v>46239.559368103088</v>
      </c>
      <c r="H121">
        <v>9.44</v>
      </c>
      <c r="I121" t="s">
        <v>3147</v>
      </c>
      <c r="J121" t="s">
        <v>3153</v>
      </c>
      <c r="K121" t="s">
        <v>3186</v>
      </c>
      <c r="L121" t="str">
        <f>_xlfn.XLOOKUP(C121,[1]!Table1[Shift_ID],[1]!Table1[Shift_ID])</f>
        <v>S01</v>
      </c>
      <c r="M121" t="str">
        <f>_xlfn.XLOOKUP(D121,[2]!Table1[Machine_ID],[2]!Table1[Machine_ID])</f>
        <v>M007</v>
      </c>
      <c r="N121" t="str">
        <f>_xlfn.XLOOKUP(E121,[3]Sheet1!$A$2:$A$391,[3]Sheet1!$A$2:$A$391)</f>
        <v>PO10008</v>
      </c>
    </row>
    <row r="122" spans="1:14" x14ac:dyDescent="0.2">
      <c r="A122" s="5" t="s">
        <v>131</v>
      </c>
      <c r="B122" s="6">
        <v>46239</v>
      </c>
      <c r="C122" s="5" t="s">
        <v>2940</v>
      </c>
      <c r="D122" s="5" t="s">
        <v>2950</v>
      </c>
      <c r="E122" s="5" t="s">
        <v>2958</v>
      </c>
      <c r="F122" s="7">
        <v>46239.413648871843</v>
      </c>
      <c r="G122" s="7">
        <v>46239.420316015137</v>
      </c>
      <c r="H122" s="5">
        <v>9.6</v>
      </c>
      <c r="I122" s="5" t="s">
        <v>3148</v>
      </c>
      <c r="J122" s="5" t="s">
        <v>3164</v>
      </c>
      <c r="K122" s="5" t="s">
        <v>3180</v>
      </c>
      <c r="L122" s="5" t="str">
        <f>_xlfn.XLOOKUP(C122,[1]!Table1[Shift_ID],[1]!Table1[Shift_ID])</f>
        <v>S01</v>
      </c>
      <c r="M122" s="5" t="e">
        <f>_xlfn.XLOOKUP(D122,[2]!Table1[Machine_ID],[2]!Table1[Machine_ID])</f>
        <v>#N/A</v>
      </c>
      <c r="N122" t="str">
        <f>_xlfn.XLOOKUP(E122,[3]Sheet1!$A$2:$A$391,[3]Sheet1!$A$2:$A$391)</f>
        <v>PO10008</v>
      </c>
    </row>
    <row r="123" spans="1:14" x14ac:dyDescent="0.2">
      <c r="A123" t="s">
        <v>132</v>
      </c>
      <c r="B123" s="2">
        <v>46239</v>
      </c>
      <c r="C123" t="s">
        <v>2941</v>
      </c>
      <c r="D123" t="s">
        <v>2942</v>
      </c>
      <c r="E123" t="s">
        <v>2959</v>
      </c>
      <c r="F123" s="3">
        <v>46239.846576604898</v>
      </c>
      <c r="G123" s="3">
        <v>46239.852243081863</v>
      </c>
      <c r="H123">
        <v>8.16</v>
      </c>
      <c r="I123" t="s">
        <v>3147</v>
      </c>
      <c r="J123" t="s">
        <v>3154</v>
      </c>
      <c r="K123" t="s">
        <v>3172</v>
      </c>
      <c r="L123" t="str">
        <f>_xlfn.XLOOKUP(C123,[1]!Table1[Shift_ID],[1]!Table1[Shift_ID])</f>
        <v>S02</v>
      </c>
      <c r="M123" t="str">
        <f>_xlfn.XLOOKUP(D123,[2]!Table1[Machine_ID],[2]!Table1[Machine_ID])</f>
        <v>M001</v>
      </c>
      <c r="N123" t="str">
        <f>_xlfn.XLOOKUP(E123,[3]Sheet1!$A$2:$A$391,[3]Sheet1!$A$2:$A$391)</f>
        <v>PO10009</v>
      </c>
    </row>
    <row r="124" spans="1:14" x14ac:dyDescent="0.2">
      <c r="A124" t="s">
        <v>133</v>
      </c>
      <c r="B124" s="2">
        <v>46239</v>
      </c>
      <c r="C124" t="s">
        <v>2941</v>
      </c>
      <c r="D124" t="s">
        <v>2943</v>
      </c>
      <c r="E124" t="s">
        <v>2959</v>
      </c>
      <c r="F124" s="3">
        <v>46239.611452360798</v>
      </c>
      <c r="G124" s="3">
        <v>46239.618411666772</v>
      </c>
      <c r="H124">
        <v>10.02</v>
      </c>
      <c r="I124" t="s">
        <v>3150</v>
      </c>
      <c r="J124" t="s">
        <v>3159</v>
      </c>
      <c r="K124" t="s">
        <v>3178</v>
      </c>
      <c r="L124" t="str">
        <f>_xlfn.XLOOKUP(C124,[1]!Table1[Shift_ID],[1]!Table1[Shift_ID])</f>
        <v>S02</v>
      </c>
      <c r="M124" t="str">
        <f>_xlfn.XLOOKUP(D124,[2]!Table1[Machine_ID],[2]!Table1[Machine_ID])</f>
        <v>M002</v>
      </c>
      <c r="N124" t="str">
        <f>_xlfn.XLOOKUP(E124,[3]Sheet1!$A$2:$A$391,[3]Sheet1!$A$2:$A$391)</f>
        <v>PO10009</v>
      </c>
    </row>
    <row r="125" spans="1:14" x14ac:dyDescent="0.2">
      <c r="A125" t="s">
        <v>134</v>
      </c>
      <c r="B125" s="2">
        <v>46239</v>
      </c>
      <c r="C125" t="s">
        <v>2941</v>
      </c>
      <c r="D125" t="s">
        <v>2943</v>
      </c>
      <c r="E125" t="s">
        <v>2959</v>
      </c>
      <c r="F125" s="3">
        <v>46239.796637083971</v>
      </c>
      <c r="G125" s="3">
        <v>46239.798641690853</v>
      </c>
      <c r="H125">
        <v>2.89</v>
      </c>
      <c r="I125" t="s">
        <v>3150</v>
      </c>
      <c r="J125" t="s">
        <v>3160</v>
      </c>
      <c r="K125" t="s">
        <v>3178</v>
      </c>
      <c r="L125" t="str">
        <f>_xlfn.XLOOKUP(C125,[1]!Table1[Shift_ID],[1]!Table1[Shift_ID])</f>
        <v>S02</v>
      </c>
      <c r="M125" t="str">
        <f>_xlfn.XLOOKUP(D125,[2]!Table1[Machine_ID],[2]!Table1[Machine_ID])</f>
        <v>M002</v>
      </c>
      <c r="N125" t="str">
        <f>_xlfn.XLOOKUP(E125,[3]Sheet1!$A$2:$A$391,[3]Sheet1!$A$2:$A$391)</f>
        <v>PO10009</v>
      </c>
    </row>
    <row r="126" spans="1:14" x14ac:dyDescent="0.2">
      <c r="A126" t="s">
        <v>135</v>
      </c>
      <c r="B126" s="2">
        <v>46239</v>
      </c>
      <c r="C126" t="s">
        <v>2941</v>
      </c>
      <c r="D126" t="s">
        <v>2943</v>
      </c>
      <c r="E126" t="s">
        <v>2959</v>
      </c>
      <c r="F126" s="3">
        <v>46239.865301841077</v>
      </c>
      <c r="G126" s="3">
        <v>46239.867306447974</v>
      </c>
      <c r="H126">
        <v>2.89</v>
      </c>
      <c r="I126" t="s">
        <v>3148</v>
      </c>
      <c r="J126" t="s">
        <v>3155</v>
      </c>
      <c r="K126" t="s">
        <v>3183</v>
      </c>
      <c r="L126" t="str">
        <f>_xlfn.XLOOKUP(C126,[1]!Table1[Shift_ID],[1]!Table1[Shift_ID])</f>
        <v>S02</v>
      </c>
      <c r="M126" t="str">
        <f>_xlfn.XLOOKUP(D126,[2]!Table1[Machine_ID],[2]!Table1[Machine_ID])</f>
        <v>M002</v>
      </c>
      <c r="N126" t="str">
        <f>_xlfn.XLOOKUP(E126,[3]Sheet1!$A$2:$A$391,[3]Sheet1!$A$2:$A$391)</f>
        <v>PO10009</v>
      </c>
    </row>
    <row r="127" spans="1:14" x14ac:dyDescent="0.2">
      <c r="A127" t="s">
        <v>136</v>
      </c>
      <c r="B127" s="2">
        <v>46239</v>
      </c>
      <c r="C127" t="s">
        <v>2941</v>
      </c>
      <c r="D127" t="s">
        <v>2944</v>
      </c>
      <c r="E127" t="s">
        <v>2959</v>
      </c>
      <c r="F127" s="3">
        <v>46239.820632966912</v>
      </c>
      <c r="G127" s="3">
        <v>46239.828802365882</v>
      </c>
      <c r="H127">
        <v>11.76</v>
      </c>
      <c r="I127" t="s">
        <v>3147</v>
      </c>
      <c r="J127" t="s">
        <v>3167</v>
      </c>
      <c r="K127" t="s">
        <v>3172</v>
      </c>
      <c r="L127" t="str">
        <f>_xlfn.XLOOKUP(C127,[1]!Table1[Shift_ID],[1]!Table1[Shift_ID])</f>
        <v>S02</v>
      </c>
      <c r="M127" t="str">
        <f>_xlfn.XLOOKUP(D127,[2]!Table1[Machine_ID],[2]!Table1[Machine_ID])</f>
        <v>M003</v>
      </c>
      <c r="N127" t="str">
        <f>_xlfn.XLOOKUP(E127,[3]Sheet1!$A$2:$A$391,[3]Sheet1!$A$2:$A$391)</f>
        <v>PO10009</v>
      </c>
    </row>
    <row r="128" spans="1:14" x14ac:dyDescent="0.2">
      <c r="A128" t="s">
        <v>137</v>
      </c>
      <c r="B128" s="2">
        <v>46239</v>
      </c>
      <c r="C128" t="s">
        <v>2941</v>
      </c>
      <c r="D128" t="s">
        <v>2944</v>
      </c>
      <c r="E128" t="s">
        <v>2959</v>
      </c>
      <c r="F128" s="3">
        <v>46239.881046905408</v>
      </c>
      <c r="G128" s="3">
        <v>46239.88828976846</v>
      </c>
      <c r="H128">
        <v>10.43</v>
      </c>
      <c r="I128" t="s">
        <v>3151</v>
      </c>
      <c r="J128" t="s">
        <v>3170</v>
      </c>
      <c r="K128" t="s">
        <v>3181</v>
      </c>
      <c r="L128" t="str">
        <f>_xlfn.XLOOKUP(C128,[1]!Table1[Shift_ID],[1]!Table1[Shift_ID])</f>
        <v>S02</v>
      </c>
      <c r="M128" t="str">
        <f>_xlfn.XLOOKUP(D128,[2]!Table1[Machine_ID],[2]!Table1[Machine_ID])</f>
        <v>M003</v>
      </c>
      <c r="N128" t="str">
        <f>_xlfn.XLOOKUP(E128,[3]Sheet1!$A$2:$A$391,[3]Sheet1!$A$2:$A$391)</f>
        <v>PO10009</v>
      </c>
    </row>
    <row r="129" spans="1:14" x14ac:dyDescent="0.2">
      <c r="A129" t="s">
        <v>138</v>
      </c>
      <c r="B129" s="2">
        <v>46239</v>
      </c>
      <c r="C129" t="s">
        <v>2941</v>
      </c>
      <c r="D129" t="s">
        <v>2945</v>
      </c>
      <c r="E129" t="s">
        <v>2959</v>
      </c>
      <c r="F129" s="3">
        <v>46239.802037733083</v>
      </c>
      <c r="G129" s="3">
        <v>46239.812365854181</v>
      </c>
      <c r="H129">
        <v>14.87</v>
      </c>
      <c r="I129" t="s">
        <v>3151</v>
      </c>
      <c r="J129" t="s">
        <v>3170</v>
      </c>
      <c r="K129" t="s">
        <v>3181</v>
      </c>
      <c r="L129" t="str">
        <f>_xlfn.XLOOKUP(C129,[1]!Table1[Shift_ID],[1]!Table1[Shift_ID])</f>
        <v>S02</v>
      </c>
      <c r="M129" t="str">
        <f>_xlfn.XLOOKUP(D129,[2]!Table1[Machine_ID],[2]!Table1[Machine_ID])</f>
        <v>M004</v>
      </c>
      <c r="N129" t="str">
        <f>_xlfn.XLOOKUP(E129,[3]Sheet1!$A$2:$A$391,[3]Sheet1!$A$2:$A$391)</f>
        <v>PO10009</v>
      </c>
    </row>
    <row r="130" spans="1:14" x14ac:dyDescent="0.2">
      <c r="A130" t="s">
        <v>139</v>
      </c>
      <c r="B130" s="2">
        <v>46239</v>
      </c>
      <c r="C130" t="s">
        <v>2941</v>
      </c>
      <c r="D130" t="s">
        <v>2946</v>
      </c>
      <c r="E130" t="s">
        <v>2959</v>
      </c>
      <c r="F130" s="3">
        <v>46239.887535158632</v>
      </c>
      <c r="G130" s="3">
        <v>46239.89864929278</v>
      </c>
      <c r="H130">
        <v>16</v>
      </c>
      <c r="I130" t="s">
        <v>3148</v>
      </c>
      <c r="J130" t="s">
        <v>3164</v>
      </c>
      <c r="K130" t="s">
        <v>3180</v>
      </c>
      <c r="L130" t="str">
        <f>_xlfn.XLOOKUP(C130,[1]!Table1[Shift_ID],[1]!Table1[Shift_ID])</f>
        <v>S02</v>
      </c>
      <c r="M130" t="str">
        <f>_xlfn.XLOOKUP(D130,[2]!Table1[Machine_ID],[2]!Table1[Machine_ID])</f>
        <v>M005</v>
      </c>
      <c r="N130" t="str">
        <f>_xlfn.XLOOKUP(E130,[3]Sheet1!$A$2:$A$391,[3]Sheet1!$A$2:$A$391)</f>
        <v>PO10009</v>
      </c>
    </row>
    <row r="131" spans="1:14" x14ac:dyDescent="0.2">
      <c r="A131" t="s">
        <v>140</v>
      </c>
      <c r="B131" s="2">
        <v>46239</v>
      </c>
      <c r="C131" t="s">
        <v>2941</v>
      </c>
      <c r="D131" t="s">
        <v>2947</v>
      </c>
      <c r="E131" t="s">
        <v>2959</v>
      </c>
      <c r="F131" s="3">
        <v>46239.633768816057</v>
      </c>
      <c r="G131" s="3">
        <v>46239.642802320457</v>
      </c>
      <c r="H131">
        <v>13.01</v>
      </c>
      <c r="I131" t="s">
        <v>3150</v>
      </c>
      <c r="J131" t="s">
        <v>3160</v>
      </c>
      <c r="K131" t="s">
        <v>3178</v>
      </c>
      <c r="L131" t="str">
        <f>_xlfn.XLOOKUP(C131,[1]!Table1[Shift_ID],[1]!Table1[Shift_ID])</f>
        <v>S02</v>
      </c>
      <c r="M131" t="str">
        <f>_xlfn.XLOOKUP(D131,[2]!Table1[Machine_ID],[2]!Table1[Machine_ID])</f>
        <v>M006</v>
      </c>
      <c r="N131" t="str">
        <f>_xlfn.XLOOKUP(E131,[3]Sheet1!$A$2:$A$391,[3]Sheet1!$A$2:$A$391)</f>
        <v>PO10009</v>
      </c>
    </row>
    <row r="132" spans="1:14" x14ac:dyDescent="0.2">
      <c r="A132" t="s">
        <v>141</v>
      </c>
      <c r="B132" s="2">
        <v>46239</v>
      </c>
      <c r="C132" t="s">
        <v>2941</v>
      </c>
      <c r="D132" t="s">
        <v>2947</v>
      </c>
      <c r="E132" t="s">
        <v>2959</v>
      </c>
      <c r="F132" s="3">
        <v>46239.696672453727</v>
      </c>
      <c r="G132" s="3">
        <v>46239.699946272907</v>
      </c>
      <c r="H132">
        <v>4.71</v>
      </c>
      <c r="I132" t="s">
        <v>3146</v>
      </c>
      <c r="J132" t="s">
        <v>3157</v>
      </c>
      <c r="K132" t="s">
        <v>3175</v>
      </c>
      <c r="L132" t="str">
        <f>_xlfn.XLOOKUP(C132,[1]!Table1[Shift_ID],[1]!Table1[Shift_ID])</f>
        <v>S02</v>
      </c>
      <c r="M132" t="str">
        <f>_xlfn.XLOOKUP(D132,[2]!Table1[Machine_ID],[2]!Table1[Machine_ID])</f>
        <v>M006</v>
      </c>
      <c r="N132" t="str">
        <f>_xlfn.XLOOKUP(E132,[3]Sheet1!$A$2:$A$391,[3]Sheet1!$A$2:$A$391)</f>
        <v>PO10009</v>
      </c>
    </row>
    <row r="133" spans="1:14" x14ac:dyDescent="0.2">
      <c r="A133" t="s">
        <v>142</v>
      </c>
      <c r="B133" s="2">
        <v>46239</v>
      </c>
      <c r="C133" t="s">
        <v>2941</v>
      </c>
      <c r="D133" t="s">
        <v>2947</v>
      </c>
      <c r="E133" t="s">
        <v>2959</v>
      </c>
      <c r="F133" s="3">
        <v>46239.88496658206</v>
      </c>
      <c r="G133" s="3">
        <v>46239.900062314133</v>
      </c>
      <c r="H133">
        <v>21.74</v>
      </c>
      <c r="I133" t="s">
        <v>3150</v>
      </c>
      <c r="J133" t="s">
        <v>3166</v>
      </c>
      <c r="K133" t="s">
        <v>3177</v>
      </c>
      <c r="L133" t="str">
        <f>_xlfn.XLOOKUP(C133,[1]!Table1[Shift_ID],[1]!Table1[Shift_ID])</f>
        <v>S02</v>
      </c>
      <c r="M133" t="str">
        <f>_xlfn.XLOOKUP(D133,[2]!Table1[Machine_ID],[2]!Table1[Machine_ID])</f>
        <v>M006</v>
      </c>
      <c r="N133" t="str">
        <f>_xlfn.XLOOKUP(E133,[3]Sheet1!$A$2:$A$391,[3]Sheet1!$A$2:$A$391)</f>
        <v>PO10009</v>
      </c>
    </row>
    <row r="134" spans="1:14" x14ac:dyDescent="0.2">
      <c r="A134" t="s">
        <v>143</v>
      </c>
      <c r="B134" s="2">
        <v>46239</v>
      </c>
      <c r="C134" t="s">
        <v>2941</v>
      </c>
      <c r="D134" t="s">
        <v>2948</v>
      </c>
      <c r="E134" t="s">
        <v>2959</v>
      </c>
      <c r="F134" s="3">
        <v>46239.758503543089</v>
      </c>
      <c r="G134" s="3">
        <v>46239.764249465326</v>
      </c>
      <c r="H134">
        <v>8.27</v>
      </c>
      <c r="I134" t="s">
        <v>3149</v>
      </c>
      <c r="J134" t="s">
        <v>3168</v>
      </c>
      <c r="K134" t="s">
        <v>3176</v>
      </c>
      <c r="L134" t="str">
        <f>_xlfn.XLOOKUP(C134,[1]!Table1[Shift_ID],[1]!Table1[Shift_ID])</f>
        <v>S02</v>
      </c>
      <c r="M134" t="str">
        <f>_xlfn.XLOOKUP(D134,[2]!Table1[Machine_ID],[2]!Table1[Machine_ID])</f>
        <v>M007</v>
      </c>
      <c r="N134" t="str">
        <f>_xlfn.XLOOKUP(E134,[3]Sheet1!$A$2:$A$391,[3]Sheet1!$A$2:$A$391)</f>
        <v>PO10009</v>
      </c>
    </row>
    <row r="135" spans="1:14" x14ac:dyDescent="0.2">
      <c r="A135" t="s">
        <v>144</v>
      </c>
      <c r="B135" s="2">
        <v>46239</v>
      </c>
      <c r="C135" t="s">
        <v>2941</v>
      </c>
      <c r="D135" t="s">
        <v>2948</v>
      </c>
      <c r="E135" t="s">
        <v>2959</v>
      </c>
      <c r="F135" s="3">
        <v>46239.865011639507</v>
      </c>
      <c r="G135" s="3">
        <v>46239.869008891052</v>
      </c>
      <c r="H135">
        <v>5.76</v>
      </c>
      <c r="I135" t="s">
        <v>3150</v>
      </c>
      <c r="J135" t="s">
        <v>3166</v>
      </c>
      <c r="K135" t="s">
        <v>3177</v>
      </c>
      <c r="L135" t="str">
        <f>_xlfn.XLOOKUP(C135,[1]!Table1[Shift_ID],[1]!Table1[Shift_ID])</f>
        <v>S02</v>
      </c>
      <c r="M135" t="str">
        <f>_xlfn.XLOOKUP(D135,[2]!Table1[Machine_ID],[2]!Table1[Machine_ID])</f>
        <v>M007</v>
      </c>
      <c r="N135" t="str">
        <f>_xlfn.XLOOKUP(E135,[3]Sheet1!$A$2:$A$391,[3]Sheet1!$A$2:$A$391)</f>
        <v>PO10009</v>
      </c>
    </row>
    <row r="136" spans="1:14" x14ac:dyDescent="0.2">
      <c r="A136" t="s">
        <v>145</v>
      </c>
      <c r="B136" s="2">
        <v>46239</v>
      </c>
      <c r="C136" t="s">
        <v>2941</v>
      </c>
      <c r="D136" t="s">
        <v>2948</v>
      </c>
      <c r="E136" t="s">
        <v>2959</v>
      </c>
      <c r="F136" s="3">
        <v>46239.867756851338</v>
      </c>
      <c r="G136" s="3">
        <v>46239.871324126201</v>
      </c>
      <c r="H136">
        <v>5.14</v>
      </c>
      <c r="I136" t="s">
        <v>3150</v>
      </c>
      <c r="J136" t="s">
        <v>3163</v>
      </c>
      <c r="K136" t="s">
        <v>3177</v>
      </c>
      <c r="L136" t="str">
        <f>_xlfn.XLOOKUP(C136,[1]!Table1[Shift_ID],[1]!Table1[Shift_ID])</f>
        <v>S02</v>
      </c>
      <c r="M136" t="str">
        <f>_xlfn.XLOOKUP(D136,[2]!Table1[Machine_ID],[2]!Table1[Machine_ID])</f>
        <v>M007</v>
      </c>
      <c r="N136" t="str">
        <f>_xlfn.XLOOKUP(E136,[3]Sheet1!$A$2:$A$391,[3]Sheet1!$A$2:$A$391)</f>
        <v>PO10009</v>
      </c>
    </row>
    <row r="137" spans="1:14" x14ac:dyDescent="0.2">
      <c r="A137" t="s">
        <v>146</v>
      </c>
      <c r="B137" s="2">
        <v>46239</v>
      </c>
      <c r="C137" t="s">
        <v>2941</v>
      </c>
      <c r="D137" t="s">
        <v>2949</v>
      </c>
      <c r="E137" t="s">
        <v>2959</v>
      </c>
      <c r="F137" s="3">
        <v>46239.655452869039</v>
      </c>
      <c r="G137" s="3">
        <v>46239.661360388352</v>
      </c>
      <c r="H137">
        <v>8.51</v>
      </c>
      <c r="I137" t="s">
        <v>3148</v>
      </c>
      <c r="J137" t="s">
        <v>3164</v>
      </c>
      <c r="K137" t="s">
        <v>3180</v>
      </c>
      <c r="L137" t="str">
        <f>_xlfn.XLOOKUP(C137,[1]!Table1[Shift_ID],[1]!Table1[Shift_ID])</f>
        <v>S02</v>
      </c>
      <c r="M137" t="str">
        <f>_xlfn.XLOOKUP(D137,[2]!Table1[Machine_ID],[2]!Table1[Machine_ID])</f>
        <v>M008</v>
      </c>
      <c r="N137" t="str">
        <f>_xlfn.XLOOKUP(E137,[3]Sheet1!$A$2:$A$391,[3]Sheet1!$A$2:$A$391)</f>
        <v>PO10009</v>
      </c>
    </row>
    <row r="138" spans="1:14" x14ac:dyDescent="0.2">
      <c r="A138" t="s">
        <v>147</v>
      </c>
      <c r="B138" s="2">
        <v>46239</v>
      </c>
      <c r="C138" t="s">
        <v>2941</v>
      </c>
      <c r="D138" t="s">
        <v>2949</v>
      </c>
      <c r="E138" t="s">
        <v>2959</v>
      </c>
      <c r="F138" s="3">
        <v>46239.755275846248</v>
      </c>
      <c r="G138" s="3">
        <v>46239.757165714618</v>
      </c>
      <c r="H138">
        <v>2.72</v>
      </c>
      <c r="I138" t="s">
        <v>3149</v>
      </c>
      <c r="J138" t="s">
        <v>3162</v>
      </c>
      <c r="K138" t="s">
        <v>3176</v>
      </c>
      <c r="L138" t="str">
        <f>_xlfn.XLOOKUP(C138,[1]!Table1[Shift_ID],[1]!Table1[Shift_ID])</f>
        <v>S02</v>
      </c>
      <c r="M138" t="str">
        <f>_xlfn.XLOOKUP(D138,[2]!Table1[Machine_ID],[2]!Table1[Machine_ID])</f>
        <v>M008</v>
      </c>
      <c r="N138" t="str">
        <f>_xlfn.XLOOKUP(E138,[3]Sheet1!$A$2:$A$391,[3]Sheet1!$A$2:$A$391)</f>
        <v>PO10009</v>
      </c>
    </row>
    <row r="139" spans="1:14" x14ac:dyDescent="0.2">
      <c r="A139" t="s">
        <v>148</v>
      </c>
      <c r="B139" s="2">
        <v>46240</v>
      </c>
      <c r="C139" t="s">
        <v>2939</v>
      </c>
      <c r="D139" t="s">
        <v>2942</v>
      </c>
      <c r="E139" t="s">
        <v>2960</v>
      </c>
      <c r="F139" s="3">
        <v>46241.088867819723</v>
      </c>
      <c r="G139" s="3">
        <v>46241.090921285468</v>
      </c>
      <c r="H139">
        <v>2.96</v>
      </c>
      <c r="I139" t="s">
        <v>3148</v>
      </c>
      <c r="J139" t="s">
        <v>3165</v>
      </c>
      <c r="K139" t="s">
        <v>3173</v>
      </c>
      <c r="L139" t="str">
        <f>_xlfn.XLOOKUP(C139,[1]!Table1[Shift_ID],[1]!Table1[Shift_ID])</f>
        <v>S03</v>
      </c>
      <c r="M139" t="str">
        <f>_xlfn.XLOOKUP(D139,[2]!Table1[Machine_ID],[2]!Table1[Machine_ID])</f>
        <v>M001</v>
      </c>
      <c r="N139" t="str">
        <f>_xlfn.XLOOKUP(E139,[3]Sheet1!$A$2:$A$391,[3]Sheet1!$A$2:$A$391)</f>
        <v>PO10010</v>
      </c>
    </row>
    <row r="140" spans="1:14" x14ac:dyDescent="0.2">
      <c r="A140" t="s">
        <v>149</v>
      </c>
      <c r="B140" s="2">
        <v>46240</v>
      </c>
      <c r="C140" t="s">
        <v>2939</v>
      </c>
      <c r="D140" t="s">
        <v>2942</v>
      </c>
      <c r="E140" t="s">
        <v>2960</v>
      </c>
      <c r="F140" s="3">
        <v>46241.10625170837</v>
      </c>
      <c r="G140" s="3">
        <v>46241.110633763637</v>
      </c>
      <c r="H140">
        <v>6.31</v>
      </c>
      <c r="I140" t="s">
        <v>3151</v>
      </c>
      <c r="J140" t="s">
        <v>3170</v>
      </c>
      <c r="K140" t="s">
        <v>3188</v>
      </c>
      <c r="L140" t="str">
        <f>_xlfn.XLOOKUP(C140,[1]!Table1[Shift_ID],[1]!Table1[Shift_ID])</f>
        <v>S03</v>
      </c>
      <c r="M140" t="str">
        <f>_xlfn.XLOOKUP(D140,[2]!Table1[Machine_ID],[2]!Table1[Machine_ID])</f>
        <v>M001</v>
      </c>
      <c r="N140" t="str">
        <f>_xlfn.XLOOKUP(E140,[3]Sheet1!$A$2:$A$391,[3]Sheet1!$A$2:$A$391)</f>
        <v>PO10010</v>
      </c>
    </row>
    <row r="141" spans="1:14" x14ac:dyDescent="0.2">
      <c r="A141" t="s">
        <v>150</v>
      </c>
      <c r="B141" s="2">
        <v>46240</v>
      </c>
      <c r="C141" t="s">
        <v>2939</v>
      </c>
      <c r="D141" t="s">
        <v>2943</v>
      </c>
      <c r="E141" t="s">
        <v>2960</v>
      </c>
      <c r="F141" s="3">
        <v>46240.997007475293</v>
      </c>
      <c r="G141" s="3">
        <v>46241.002632560871</v>
      </c>
      <c r="H141">
        <v>8.1</v>
      </c>
      <c r="I141" t="s">
        <v>3150</v>
      </c>
      <c r="J141" t="s">
        <v>3163</v>
      </c>
      <c r="K141" t="s">
        <v>3178</v>
      </c>
      <c r="L141" t="str">
        <f>_xlfn.XLOOKUP(C141,[1]!Table1[Shift_ID],[1]!Table1[Shift_ID])</f>
        <v>S03</v>
      </c>
      <c r="M141" t="str">
        <f>_xlfn.XLOOKUP(D141,[2]!Table1[Machine_ID],[2]!Table1[Machine_ID])</f>
        <v>M002</v>
      </c>
      <c r="N141" t="str">
        <f>_xlfn.XLOOKUP(E141,[3]Sheet1!$A$2:$A$391,[3]Sheet1!$A$2:$A$391)</f>
        <v>PO10010</v>
      </c>
    </row>
    <row r="142" spans="1:14" x14ac:dyDescent="0.2">
      <c r="A142" t="s">
        <v>151</v>
      </c>
      <c r="B142" s="2">
        <v>46240</v>
      </c>
      <c r="C142" t="s">
        <v>2939</v>
      </c>
      <c r="D142" t="s">
        <v>2943</v>
      </c>
      <c r="E142" t="s">
        <v>2960</v>
      </c>
      <c r="F142" s="3">
        <v>46241.145168120129</v>
      </c>
      <c r="G142" s="3">
        <v>46241.147174917642</v>
      </c>
      <c r="H142">
        <v>2.89</v>
      </c>
      <c r="I142" t="s">
        <v>3146</v>
      </c>
      <c r="J142" t="s">
        <v>3156</v>
      </c>
      <c r="K142" t="s">
        <v>3175</v>
      </c>
      <c r="L142" t="str">
        <f>_xlfn.XLOOKUP(C142,[1]!Table1[Shift_ID],[1]!Table1[Shift_ID])</f>
        <v>S03</v>
      </c>
      <c r="M142" t="str">
        <f>_xlfn.XLOOKUP(D142,[2]!Table1[Machine_ID],[2]!Table1[Machine_ID])</f>
        <v>M002</v>
      </c>
      <c r="N142" t="str">
        <f>_xlfn.XLOOKUP(E142,[3]Sheet1!$A$2:$A$391,[3]Sheet1!$A$2:$A$391)</f>
        <v>PO10010</v>
      </c>
    </row>
    <row r="143" spans="1:14" x14ac:dyDescent="0.2">
      <c r="A143" t="s">
        <v>152</v>
      </c>
      <c r="B143" s="2">
        <v>46240</v>
      </c>
      <c r="C143" t="s">
        <v>2939</v>
      </c>
      <c r="D143" t="s">
        <v>2944</v>
      </c>
      <c r="E143" t="s">
        <v>2960</v>
      </c>
      <c r="F143" s="3">
        <v>46241.182372426541</v>
      </c>
      <c r="G143" s="3">
        <v>46241.18954144264</v>
      </c>
      <c r="H143">
        <v>10.32</v>
      </c>
      <c r="I143" t="s">
        <v>3147</v>
      </c>
      <c r="J143" t="s">
        <v>3153</v>
      </c>
      <c r="K143" t="s">
        <v>3186</v>
      </c>
      <c r="L143" t="str">
        <f>_xlfn.XLOOKUP(C143,[1]!Table1[Shift_ID],[1]!Table1[Shift_ID])</f>
        <v>S03</v>
      </c>
      <c r="M143" t="str">
        <f>_xlfn.XLOOKUP(D143,[2]!Table1[Machine_ID],[2]!Table1[Machine_ID])</f>
        <v>M003</v>
      </c>
      <c r="N143" t="str">
        <f>_xlfn.XLOOKUP(E143,[3]Sheet1!$A$2:$A$391,[3]Sheet1!$A$2:$A$391)</f>
        <v>PO10010</v>
      </c>
    </row>
    <row r="144" spans="1:14" x14ac:dyDescent="0.2">
      <c r="A144" t="s">
        <v>153</v>
      </c>
      <c r="B144" s="2">
        <v>46240</v>
      </c>
      <c r="C144" t="s">
        <v>2939</v>
      </c>
      <c r="D144" t="s">
        <v>2944</v>
      </c>
      <c r="E144" t="s">
        <v>2960</v>
      </c>
      <c r="F144" s="3">
        <v>46241.209534315902</v>
      </c>
      <c r="G144" s="3">
        <v>46241.213025658901</v>
      </c>
      <c r="H144">
        <v>5.03</v>
      </c>
      <c r="I144" t="s">
        <v>3148</v>
      </c>
      <c r="J144" t="s">
        <v>3155</v>
      </c>
      <c r="K144" t="s">
        <v>3183</v>
      </c>
      <c r="L144" t="str">
        <f>_xlfn.XLOOKUP(C144,[1]!Table1[Shift_ID],[1]!Table1[Shift_ID])</f>
        <v>S03</v>
      </c>
      <c r="M144" t="str">
        <f>_xlfn.XLOOKUP(D144,[2]!Table1[Machine_ID],[2]!Table1[Machine_ID])</f>
        <v>M003</v>
      </c>
      <c r="N144" t="str">
        <f>_xlfn.XLOOKUP(E144,[3]Sheet1!$A$2:$A$391,[3]Sheet1!$A$2:$A$391)</f>
        <v>PO10010</v>
      </c>
    </row>
    <row r="145" spans="1:14" x14ac:dyDescent="0.2">
      <c r="A145" t="s">
        <v>154</v>
      </c>
      <c r="B145" s="2">
        <v>46240</v>
      </c>
      <c r="C145" t="s">
        <v>2939</v>
      </c>
      <c r="D145" t="s">
        <v>2945</v>
      </c>
      <c r="E145" t="s">
        <v>2960</v>
      </c>
      <c r="F145" s="3">
        <v>46240.965690259087</v>
      </c>
      <c r="G145" s="3">
        <v>46240.975853384691</v>
      </c>
      <c r="H145">
        <v>14.63</v>
      </c>
      <c r="I145" t="s">
        <v>3146</v>
      </c>
      <c r="J145" t="s">
        <v>3157</v>
      </c>
      <c r="K145" t="s">
        <v>3175</v>
      </c>
      <c r="L145" t="str">
        <f>_xlfn.XLOOKUP(C145,[1]!Table1[Shift_ID],[1]!Table1[Shift_ID])</f>
        <v>S03</v>
      </c>
      <c r="M145" t="str">
        <f>_xlfn.XLOOKUP(D145,[2]!Table1[Machine_ID],[2]!Table1[Machine_ID])</f>
        <v>M004</v>
      </c>
      <c r="N145" t="str">
        <f>_xlfn.XLOOKUP(E145,[3]Sheet1!$A$2:$A$391,[3]Sheet1!$A$2:$A$391)</f>
        <v>PO10010</v>
      </c>
    </row>
    <row r="146" spans="1:14" x14ac:dyDescent="0.2">
      <c r="A146" t="s">
        <v>155</v>
      </c>
      <c r="B146" s="2">
        <v>46240</v>
      </c>
      <c r="C146" t="s">
        <v>2939</v>
      </c>
      <c r="D146" t="s">
        <v>2946</v>
      </c>
      <c r="E146" t="s">
        <v>2960</v>
      </c>
      <c r="F146" s="3">
        <v>46240.935406063138</v>
      </c>
      <c r="G146" s="3">
        <v>46240.939743109018</v>
      </c>
      <c r="H146">
        <v>6.25</v>
      </c>
      <c r="I146" t="s">
        <v>3150</v>
      </c>
      <c r="J146" t="s">
        <v>3166</v>
      </c>
      <c r="K146" t="s">
        <v>3177</v>
      </c>
      <c r="L146" t="str">
        <f>_xlfn.XLOOKUP(C146,[1]!Table1[Shift_ID],[1]!Table1[Shift_ID])</f>
        <v>S03</v>
      </c>
      <c r="M146" t="str">
        <f>_xlfn.XLOOKUP(D146,[2]!Table1[Machine_ID],[2]!Table1[Machine_ID])</f>
        <v>M005</v>
      </c>
      <c r="N146" t="str">
        <f>_xlfn.XLOOKUP(E146,[3]Sheet1!$A$2:$A$391,[3]Sheet1!$A$2:$A$391)</f>
        <v>PO10010</v>
      </c>
    </row>
    <row r="147" spans="1:14" x14ac:dyDescent="0.2">
      <c r="A147" t="s">
        <v>156</v>
      </c>
      <c r="B147" s="2">
        <v>46240</v>
      </c>
      <c r="C147" t="s">
        <v>2939</v>
      </c>
      <c r="D147" t="s">
        <v>2946</v>
      </c>
      <c r="E147" t="s">
        <v>2960</v>
      </c>
      <c r="F147" s="3">
        <v>46241.190953001213</v>
      </c>
      <c r="G147" s="3">
        <v>46241.19595533597</v>
      </c>
      <c r="H147">
        <v>7.2</v>
      </c>
      <c r="I147" t="s">
        <v>3149</v>
      </c>
      <c r="J147" t="s">
        <v>3162</v>
      </c>
      <c r="K147" t="s">
        <v>3176</v>
      </c>
      <c r="L147" t="str">
        <f>_xlfn.XLOOKUP(C147,[1]!Table1[Shift_ID],[1]!Table1[Shift_ID])</f>
        <v>S03</v>
      </c>
      <c r="M147" t="str">
        <f>_xlfn.XLOOKUP(D147,[2]!Table1[Machine_ID],[2]!Table1[Machine_ID])</f>
        <v>M005</v>
      </c>
      <c r="N147" t="str">
        <f>_xlfn.XLOOKUP(E147,[3]Sheet1!$A$2:$A$391,[3]Sheet1!$A$2:$A$391)</f>
        <v>PO10010</v>
      </c>
    </row>
    <row r="148" spans="1:14" x14ac:dyDescent="0.2">
      <c r="A148" t="s">
        <v>157</v>
      </c>
      <c r="B148" s="2">
        <v>46240</v>
      </c>
      <c r="C148" t="s">
        <v>2939</v>
      </c>
      <c r="D148" t="s">
        <v>2947</v>
      </c>
      <c r="E148" t="s">
        <v>2960</v>
      </c>
      <c r="F148" s="3">
        <v>46241.220533886612</v>
      </c>
      <c r="G148" s="3">
        <v>46241.239032295627</v>
      </c>
      <c r="H148">
        <v>26.64</v>
      </c>
      <c r="I148" t="s">
        <v>3149</v>
      </c>
      <c r="J148" t="s">
        <v>3168</v>
      </c>
      <c r="K148" t="s">
        <v>3176</v>
      </c>
      <c r="L148" t="str">
        <f>_xlfn.XLOOKUP(C148,[1]!Table1[Shift_ID],[1]!Table1[Shift_ID])</f>
        <v>S03</v>
      </c>
      <c r="M148" t="str">
        <f>_xlfn.XLOOKUP(D148,[2]!Table1[Machine_ID],[2]!Table1[Machine_ID])</f>
        <v>M006</v>
      </c>
      <c r="N148" t="str">
        <f>_xlfn.XLOOKUP(E148,[3]Sheet1!$A$2:$A$391,[3]Sheet1!$A$2:$A$391)</f>
        <v>PO10010</v>
      </c>
    </row>
    <row r="149" spans="1:14" x14ac:dyDescent="0.2">
      <c r="A149" t="s">
        <v>158</v>
      </c>
      <c r="B149" s="2">
        <v>46240</v>
      </c>
      <c r="C149" t="s">
        <v>2939</v>
      </c>
      <c r="D149" t="s">
        <v>2947</v>
      </c>
      <c r="E149" t="s">
        <v>2960</v>
      </c>
      <c r="F149" s="3">
        <v>46241.240499401531</v>
      </c>
      <c r="G149" s="3">
        <v>46241.25</v>
      </c>
      <c r="H149">
        <v>13.68</v>
      </c>
      <c r="I149" t="s">
        <v>3149</v>
      </c>
      <c r="J149" t="s">
        <v>3162</v>
      </c>
      <c r="K149" t="s">
        <v>3184</v>
      </c>
      <c r="L149" t="str">
        <f>_xlfn.XLOOKUP(C149,[1]!Table1[Shift_ID],[1]!Table1[Shift_ID])</f>
        <v>S03</v>
      </c>
      <c r="M149" t="str">
        <f>_xlfn.XLOOKUP(D149,[2]!Table1[Machine_ID],[2]!Table1[Machine_ID])</f>
        <v>M006</v>
      </c>
      <c r="N149" t="str">
        <f>_xlfn.XLOOKUP(E149,[3]Sheet1!$A$2:$A$391,[3]Sheet1!$A$2:$A$391)</f>
        <v>PO10010</v>
      </c>
    </row>
    <row r="150" spans="1:14" x14ac:dyDescent="0.2">
      <c r="A150" t="s">
        <v>159</v>
      </c>
      <c r="B150" s="2">
        <v>46240</v>
      </c>
      <c r="C150" t="s">
        <v>2939</v>
      </c>
      <c r="D150" t="s">
        <v>2948</v>
      </c>
      <c r="E150" t="s">
        <v>2960</v>
      </c>
      <c r="F150" s="3">
        <v>46240.992562428932</v>
      </c>
      <c r="G150" s="3">
        <v>46240.998917496123</v>
      </c>
      <c r="H150">
        <v>9.15</v>
      </c>
      <c r="I150" t="s">
        <v>3148</v>
      </c>
      <c r="J150" t="s">
        <v>3165</v>
      </c>
      <c r="K150" t="s">
        <v>3183</v>
      </c>
      <c r="L150" t="str">
        <f>_xlfn.XLOOKUP(C150,[1]!Table1[Shift_ID],[1]!Table1[Shift_ID])</f>
        <v>S03</v>
      </c>
      <c r="M150" t="str">
        <f>_xlfn.XLOOKUP(D150,[2]!Table1[Machine_ID],[2]!Table1[Machine_ID])</f>
        <v>M007</v>
      </c>
      <c r="N150" t="str">
        <f>_xlfn.XLOOKUP(E150,[3]Sheet1!$A$2:$A$391,[3]Sheet1!$A$2:$A$391)</f>
        <v>PO10010</v>
      </c>
    </row>
    <row r="151" spans="1:14" x14ac:dyDescent="0.2">
      <c r="A151" t="s">
        <v>160</v>
      </c>
      <c r="B151" s="2">
        <v>46240</v>
      </c>
      <c r="C151" t="s">
        <v>2939</v>
      </c>
      <c r="D151" t="s">
        <v>2948</v>
      </c>
      <c r="E151" t="s">
        <v>2960</v>
      </c>
      <c r="F151" s="3">
        <v>46241.002973840194</v>
      </c>
      <c r="G151" s="3">
        <v>46241.004824503383</v>
      </c>
      <c r="H151">
        <v>2.66</v>
      </c>
      <c r="I151" t="s">
        <v>3147</v>
      </c>
      <c r="J151" t="s">
        <v>3167</v>
      </c>
      <c r="K151" t="s">
        <v>3186</v>
      </c>
      <c r="L151" t="str">
        <f>_xlfn.XLOOKUP(C151,[1]!Table1[Shift_ID],[1]!Table1[Shift_ID])</f>
        <v>S03</v>
      </c>
      <c r="M151" t="str">
        <f>_xlfn.XLOOKUP(D151,[2]!Table1[Machine_ID],[2]!Table1[Machine_ID])</f>
        <v>M007</v>
      </c>
      <c r="N151" t="str">
        <f>_xlfn.XLOOKUP(E151,[3]Sheet1!$A$2:$A$391,[3]Sheet1!$A$2:$A$391)</f>
        <v>PO10010</v>
      </c>
    </row>
    <row r="152" spans="1:14" x14ac:dyDescent="0.2">
      <c r="A152" t="s">
        <v>161</v>
      </c>
      <c r="B152" s="2">
        <v>46240</v>
      </c>
      <c r="C152" t="s">
        <v>2939</v>
      </c>
      <c r="D152" t="s">
        <v>2948</v>
      </c>
      <c r="E152" t="s">
        <v>2960</v>
      </c>
      <c r="F152" s="3">
        <v>46241.124818202879</v>
      </c>
      <c r="G152" s="3">
        <v>46241.133400014987</v>
      </c>
      <c r="H152">
        <v>12.36</v>
      </c>
      <c r="I152" t="s">
        <v>3148</v>
      </c>
      <c r="J152" t="s">
        <v>3164</v>
      </c>
      <c r="K152" t="s">
        <v>3183</v>
      </c>
      <c r="L152" t="str">
        <f>_xlfn.XLOOKUP(C152,[1]!Table1[Shift_ID],[1]!Table1[Shift_ID])</f>
        <v>S03</v>
      </c>
      <c r="M152" t="str">
        <f>_xlfn.XLOOKUP(D152,[2]!Table1[Machine_ID],[2]!Table1[Machine_ID])</f>
        <v>M007</v>
      </c>
      <c r="N152" t="str">
        <f>_xlfn.XLOOKUP(E152,[3]Sheet1!$A$2:$A$391,[3]Sheet1!$A$2:$A$391)</f>
        <v>PO10010</v>
      </c>
    </row>
    <row r="153" spans="1:14" x14ac:dyDescent="0.2">
      <c r="A153" t="s">
        <v>162</v>
      </c>
      <c r="B153" s="2">
        <v>46240</v>
      </c>
      <c r="C153" t="s">
        <v>2939</v>
      </c>
      <c r="D153" t="s">
        <v>2948</v>
      </c>
      <c r="E153" t="s">
        <v>2960</v>
      </c>
      <c r="F153" s="3">
        <v>46241.151751097823</v>
      </c>
      <c r="G153" s="3">
        <v>46241.153601760998</v>
      </c>
      <c r="H153">
        <v>2.66</v>
      </c>
      <c r="I153" t="s">
        <v>3150</v>
      </c>
      <c r="J153" t="s">
        <v>3159</v>
      </c>
      <c r="K153" t="s">
        <v>3177</v>
      </c>
      <c r="L153" t="str">
        <f>_xlfn.XLOOKUP(C153,[1]!Table1[Shift_ID],[1]!Table1[Shift_ID])</f>
        <v>S03</v>
      </c>
      <c r="M153" t="str">
        <f>_xlfn.XLOOKUP(D153,[2]!Table1[Machine_ID],[2]!Table1[Machine_ID])</f>
        <v>M007</v>
      </c>
      <c r="N153" t="str">
        <f>_xlfn.XLOOKUP(E153,[3]Sheet1!$A$2:$A$391,[3]Sheet1!$A$2:$A$391)</f>
        <v>PO10010</v>
      </c>
    </row>
    <row r="154" spans="1:14" x14ac:dyDescent="0.2">
      <c r="A154" t="s">
        <v>163</v>
      </c>
      <c r="B154" s="2">
        <v>46240</v>
      </c>
      <c r="C154" t="s">
        <v>2939</v>
      </c>
      <c r="D154" t="s">
        <v>2949</v>
      </c>
      <c r="E154" t="s">
        <v>2960</v>
      </c>
      <c r="F154" s="3">
        <v>46241.10177535838</v>
      </c>
      <c r="G154" s="3">
        <v>46241.109203973567</v>
      </c>
      <c r="H154">
        <v>10.7</v>
      </c>
      <c r="I154" t="s">
        <v>3148</v>
      </c>
      <c r="J154" t="s">
        <v>3164</v>
      </c>
      <c r="K154" t="s">
        <v>3173</v>
      </c>
      <c r="L154" t="str">
        <f>_xlfn.XLOOKUP(C154,[1]!Table1[Shift_ID],[1]!Table1[Shift_ID])</f>
        <v>S03</v>
      </c>
      <c r="M154" t="str">
        <f>_xlfn.XLOOKUP(D154,[2]!Table1[Machine_ID],[2]!Table1[Machine_ID])</f>
        <v>M008</v>
      </c>
      <c r="N154" t="str">
        <f>_xlfn.XLOOKUP(E154,[3]Sheet1!$A$2:$A$391,[3]Sheet1!$A$2:$A$391)</f>
        <v>PO10010</v>
      </c>
    </row>
    <row r="155" spans="1:14" x14ac:dyDescent="0.2">
      <c r="A155" t="s">
        <v>164</v>
      </c>
      <c r="B155" s="2">
        <v>46240</v>
      </c>
      <c r="C155" t="s">
        <v>2940</v>
      </c>
      <c r="D155" t="s">
        <v>2942</v>
      </c>
      <c r="E155" t="s">
        <v>2961</v>
      </c>
      <c r="F155" s="3">
        <v>46240.263387246392</v>
      </c>
      <c r="G155" s="3">
        <v>46240.265458285219</v>
      </c>
      <c r="H155">
        <v>2.98</v>
      </c>
      <c r="I155" t="s">
        <v>3150</v>
      </c>
      <c r="J155" t="s">
        <v>3163</v>
      </c>
      <c r="K155" t="s">
        <v>3178</v>
      </c>
      <c r="L155" t="str">
        <f>_xlfn.XLOOKUP(C155,[1]!Table1[Shift_ID],[1]!Table1[Shift_ID])</f>
        <v>S01</v>
      </c>
      <c r="M155" t="str">
        <f>_xlfn.XLOOKUP(D155,[2]!Table1[Machine_ID],[2]!Table1[Machine_ID])</f>
        <v>M001</v>
      </c>
      <c r="N155" t="str">
        <f>_xlfn.XLOOKUP(E155,[3]Sheet1!$A$2:$A$391,[3]Sheet1!$A$2:$A$391)</f>
        <v>PO10011</v>
      </c>
    </row>
    <row r="156" spans="1:14" x14ac:dyDescent="0.2">
      <c r="A156" t="s">
        <v>165</v>
      </c>
      <c r="B156" s="2">
        <v>46240</v>
      </c>
      <c r="C156" t="s">
        <v>2940</v>
      </c>
      <c r="D156" t="s">
        <v>2942</v>
      </c>
      <c r="E156" t="s">
        <v>2961</v>
      </c>
      <c r="F156" s="3">
        <v>46240.315373902013</v>
      </c>
      <c r="G156" s="3">
        <v>46240.32104850102</v>
      </c>
      <c r="H156">
        <v>8.17</v>
      </c>
      <c r="I156" t="s">
        <v>3151</v>
      </c>
      <c r="J156" t="s">
        <v>3169</v>
      </c>
      <c r="K156" t="s">
        <v>3188</v>
      </c>
      <c r="L156" t="str">
        <f>_xlfn.XLOOKUP(C156,[1]!Table1[Shift_ID],[1]!Table1[Shift_ID])</f>
        <v>S01</v>
      </c>
      <c r="M156" t="str">
        <f>_xlfn.XLOOKUP(D156,[2]!Table1[Machine_ID],[2]!Table1[Machine_ID])</f>
        <v>M001</v>
      </c>
      <c r="N156" t="str">
        <f>_xlfn.XLOOKUP(E156,[3]Sheet1!$A$2:$A$391,[3]Sheet1!$A$2:$A$391)</f>
        <v>PO10011</v>
      </c>
    </row>
    <row r="157" spans="1:14" x14ac:dyDescent="0.2">
      <c r="A157" t="s">
        <v>166</v>
      </c>
      <c r="B157" s="2">
        <v>46240</v>
      </c>
      <c r="C157" t="s">
        <v>2940</v>
      </c>
      <c r="D157" t="s">
        <v>2943</v>
      </c>
      <c r="E157" t="s">
        <v>2961</v>
      </c>
      <c r="F157" s="3">
        <v>46240.25900742595</v>
      </c>
      <c r="G157" s="3">
        <v>46240.261081829303</v>
      </c>
      <c r="H157">
        <v>2.99</v>
      </c>
      <c r="I157" t="s">
        <v>3149</v>
      </c>
      <c r="J157" t="s">
        <v>3158</v>
      </c>
      <c r="K157" t="s">
        <v>3184</v>
      </c>
      <c r="L157" t="str">
        <f>_xlfn.XLOOKUP(C157,[1]!Table1[Shift_ID],[1]!Table1[Shift_ID])</f>
        <v>S01</v>
      </c>
      <c r="M157" t="str">
        <f>_xlfn.XLOOKUP(D157,[2]!Table1[Machine_ID],[2]!Table1[Machine_ID])</f>
        <v>M002</v>
      </c>
      <c r="N157" t="str">
        <f>_xlfn.XLOOKUP(E157,[3]Sheet1!$A$2:$A$391,[3]Sheet1!$A$2:$A$391)</f>
        <v>PO10011</v>
      </c>
    </row>
    <row r="158" spans="1:14" x14ac:dyDescent="0.2">
      <c r="A158" t="s">
        <v>167</v>
      </c>
      <c r="B158" s="2">
        <v>46240</v>
      </c>
      <c r="C158" t="s">
        <v>2940</v>
      </c>
      <c r="D158" t="s">
        <v>2943</v>
      </c>
      <c r="E158" t="s">
        <v>2961</v>
      </c>
      <c r="F158" s="3">
        <v>46240.336692814613</v>
      </c>
      <c r="G158" s="3">
        <v>46240.34492341509</v>
      </c>
      <c r="H158">
        <v>11.85</v>
      </c>
      <c r="I158" t="s">
        <v>3150</v>
      </c>
      <c r="J158" t="s">
        <v>3163</v>
      </c>
      <c r="K158" t="s">
        <v>3178</v>
      </c>
      <c r="L158" t="str">
        <f>_xlfn.XLOOKUP(C158,[1]!Table1[Shift_ID],[1]!Table1[Shift_ID])</f>
        <v>S01</v>
      </c>
      <c r="M158" t="str">
        <f>_xlfn.XLOOKUP(D158,[2]!Table1[Machine_ID],[2]!Table1[Machine_ID])</f>
        <v>M002</v>
      </c>
      <c r="N158" t="str">
        <f>_xlfn.XLOOKUP(E158,[3]Sheet1!$A$2:$A$391,[3]Sheet1!$A$2:$A$391)</f>
        <v>PO10011</v>
      </c>
    </row>
    <row r="159" spans="1:14" x14ac:dyDescent="0.2">
      <c r="A159" t="s">
        <v>168</v>
      </c>
      <c r="B159" s="2">
        <v>46240</v>
      </c>
      <c r="C159" t="s">
        <v>2940</v>
      </c>
      <c r="D159" t="s">
        <v>2944</v>
      </c>
      <c r="E159" t="s">
        <v>2961</v>
      </c>
      <c r="F159" s="3">
        <v>46240.529332482023</v>
      </c>
      <c r="G159" s="3">
        <v>46240.541475227939</v>
      </c>
      <c r="H159">
        <v>17.489999999999998</v>
      </c>
      <c r="I159" t="s">
        <v>3150</v>
      </c>
      <c r="J159" t="s">
        <v>3166</v>
      </c>
      <c r="K159" t="s">
        <v>3178</v>
      </c>
      <c r="L159" t="str">
        <f>_xlfn.XLOOKUP(C159,[1]!Table1[Shift_ID],[1]!Table1[Shift_ID])</f>
        <v>S01</v>
      </c>
      <c r="M159" t="str">
        <f>_xlfn.XLOOKUP(D159,[2]!Table1[Machine_ID],[2]!Table1[Machine_ID])</f>
        <v>M003</v>
      </c>
      <c r="N159" t="str">
        <f>_xlfn.XLOOKUP(E159,[3]Sheet1!$A$2:$A$391,[3]Sheet1!$A$2:$A$391)</f>
        <v>PO10011</v>
      </c>
    </row>
    <row r="160" spans="1:14" x14ac:dyDescent="0.2">
      <c r="A160" t="s">
        <v>169</v>
      </c>
      <c r="B160" s="2">
        <v>46240</v>
      </c>
      <c r="C160" t="s">
        <v>2940</v>
      </c>
      <c r="D160" t="s">
        <v>2945</v>
      </c>
      <c r="E160" t="s">
        <v>2961</v>
      </c>
      <c r="F160" s="3">
        <v>46240.503039938063</v>
      </c>
      <c r="G160" s="3">
        <v>46240.50936388316</v>
      </c>
      <c r="H160">
        <v>9.11</v>
      </c>
      <c r="I160" t="s">
        <v>3147</v>
      </c>
      <c r="J160" t="s">
        <v>3154</v>
      </c>
      <c r="K160" t="s">
        <v>3186</v>
      </c>
      <c r="L160" t="str">
        <f>_xlfn.XLOOKUP(C160,[1]!Table1[Shift_ID],[1]!Table1[Shift_ID])</f>
        <v>S01</v>
      </c>
      <c r="M160" t="str">
        <f>_xlfn.XLOOKUP(D160,[2]!Table1[Machine_ID],[2]!Table1[Machine_ID])</f>
        <v>M004</v>
      </c>
      <c r="N160" t="str">
        <f>_xlfn.XLOOKUP(E160,[3]Sheet1!$A$2:$A$391,[3]Sheet1!$A$2:$A$391)</f>
        <v>PO10011</v>
      </c>
    </row>
    <row r="161" spans="1:14" x14ac:dyDescent="0.2">
      <c r="A161" t="s">
        <v>170</v>
      </c>
      <c r="B161" s="2">
        <v>46240</v>
      </c>
      <c r="C161" t="s">
        <v>2940</v>
      </c>
      <c r="D161" t="s">
        <v>2946</v>
      </c>
      <c r="E161" t="s">
        <v>2961</v>
      </c>
      <c r="F161" s="3">
        <v>46240.542492076922</v>
      </c>
      <c r="G161" s="3">
        <v>46240.550510616551</v>
      </c>
      <c r="H161">
        <v>11.55</v>
      </c>
      <c r="I161" t="s">
        <v>3151</v>
      </c>
      <c r="J161" t="s">
        <v>3169</v>
      </c>
      <c r="K161" t="s">
        <v>3187</v>
      </c>
      <c r="L161" t="str">
        <f>_xlfn.XLOOKUP(C161,[1]!Table1[Shift_ID],[1]!Table1[Shift_ID])</f>
        <v>S01</v>
      </c>
      <c r="M161" t="str">
        <f>_xlfn.XLOOKUP(D161,[2]!Table1[Machine_ID],[2]!Table1[Machine_ID])</f>
        <v>M005</v>
      </c>
      <c r="N161" t="str">
        <f>_xlfn.XLOOKUP(E161,[3]Sheet1!$A$2:$A$391,[3]Sheet1!$A$2:$A$391)</f>
        <v>PO10011</v>
      </c>
    </row>
    <row r="162" spans="1:14" x14ac:dyDescent="0.2">
      <c r="A162" t="s">
        <v>171</v>
      </c>
      <c r="B162" s="2">
        <v>46240</v>
      </c>
      <c r="C162" t="s">
        <v>2940</v>
      </c>
      <c r="D162" t="s">
        <v>2947</v>
      </c>
      <c r="E162" t="s">
        <v>2961</v>
      </c>
      <c r="F162" s="3">
        <v>46240.530578368292</v>
      </c>
      <c r="G162" s="3">
        <v>46240.558040542222</v>
      </c>
      <c r="H162">
        <v>39.549999999999997</v>
      </c>
      <c r="I162" t="s">
        <v>3146</v>
      </c>
      <c r="J162" t="s">
        <v>3157</v>
      </c>
      <c r="K162" t="s">
        <v>3174</v>
      </c>
      <c r="L162" t="str">
        <f>_xlfn.XLOOKUP(C162,[1]!Table1[Shift_ID],[1]!Table1[Shift_ID])</f>
        <v>S01</v>
      </c>
      <c r="M162" t="str">
        <f>_xlfn.XLOOKUP(D162,[2]!Table1[Machine_ID],[2]!Table1[Machine_ID])</f>
        <v>M006</v>
      </c>
      <c r="N162" t="str">
        <f>_xlfn.XLOOKUP(E162,[3]Sheet1!$A$2:$A$391,[3]Sheet1!$A$2:$A$391)</f>
        <v>PO10011</v>
      </c>
    </row>
    <row r="163" spans="1:14" x14ac:dyDescent="0.2">
      <c r="A163" t="s">
        <v>172</v>
      </c>
      <c r="B163" s="2">
        <v>46240</v>
      </c>
      <c r="C163" t="s">
        <v>2940</v>
      </c>
      <c r="D163" t="s">
        <v>2948</v>
      </c>
      <c r="E163" t="s">
        <v>2961</v>
      </c>
      <c r="F163" s="3">
        <v>46240.471312597132</v>
      </c>
      <c r="G163" s="3">
        <v>46240.486886064631</v>
      </c>
      <c r="H163">
        <v>22.43</v>
      </c>
      <c r="I163" t="s">
        <v>3149</v>
      </c>
      <c r="J163" t="s">
        <v>3158</v>
      </c>
      <c r="K163" t="s">
        <v>3176</v>
      </c>
      <c r="L163" t="str">
        <f>_xlfn.XLOOKUP(C163,[1]!Table1[Shift_ID],[1]!Table1[Shift_ID])</f>
        <v>S01</v>
      </c>
      <c r="M163" t="str">
        <f>_xlfn.XLOOKUP(D163,[2]!Table1[Machine_ID],[2]!Table1[Machine_ID])</f>
        <v>M007</v>
      </c>
      <c r="N163" t="str">
        <f>_xlfn.XLOOKUP(E163,[3]Sheet1!$A$2:$A$391,[3]Sheet1!$A$2:$A$391)</f>
        <v>PO10011</v>
      </c>
    </row>
    <row r="164" spans="1:14" x14ac:dyDescent="0.2">
      <c r="A164" t="s">
        <v>173</v>
      </c>
      <c r="B164" s="2">
        <v>46240</v>
      </c>
      <c r="C164" t="s">
        <v>2940</v>
      </c>
      <c r="D164" t="s">
        <v>2949</v>
      </c>
      <c r="E164" t="s">
        <v>2961</v>
      </c>
      <c r="F164" s="3">
        <v>46240.461944624127</v>
      </c>
      <c r="G164" s="3">
        <v>46240.467012249843</v>
      </c>
      <c r="H164">
        <v>7.3</v>
      </c>
      <c r="I164" t="s">
        <v>3148</v>
      </c>
      <c r="J164" t="s">
        <v>3164</v>
      </c>
      <c r="K164" t="s">
        <v>3183</v>
      </c>
      <c r="L164" t="str">
        <f>_xlfn.XLOOKUP(C164,[1]!Table1[Shift_ID],[1]!Table1[Shift_ID])</f>
        <v>S01</v>
      </c>
      <c r="M164" t="str">
        <f>_xlfn.XLOOKUP(D164,[2]!Table1[Machine_ID],[2]!Table1[Machine_ID])</f>
        <v>M008</v>
      </c>
      <c r="N164" t="str">
        <f>_xlfn.XLOOKUP(E164,[3]Sheet1!$A$2:$A$391,[3]Sheet1!$A$2:$A$391)</f>
        <v>PO10011</v>
      </c>
    </row>
    <row r="165" spans="1:14" x14ac:dyDescent="0.2">
      <c r="A165" t="s">
        <v>174</v>
      </c>
      <c r="B165" s="2">
        <v>46240</v>
      </c>
      <c r="C165" t="s">
        <v>2941</v>
      </c>
      <c r="D165" t="s">
        <v>2942</v>
      </c>
      <c r="E165" t="s">
        <v>2962</v>
      </c>
      <c r="F165" s="3">
        <v>46240.60421635487</v>
      </c>
      <c r="G165" s="3">
        <v>46240.606259261513</v>
      </c>
      <c r="H165">
        <v>2.94</v>
      </c>
      <c r="I165" t="s">
        <v>3150</v>
      </c>
      <c r="J165" t="s">
        <v>3160</v>
      </c>
      <c r="K165" t="s">
        <v>3179</v>
      </c>
      <c r="L165" t="str">
        <f>_xlfn.XLOOKUP(C165,[1]!Table1[Shift_ID],[1]!Table1[Shift_ID])</f>
        <v>S02</v>
      </c>
      <c r="M165" t="str">
        <f>_xlfn.XLOOKUP(D165,[2]!Table1[Machine_ID],[2]!Table1[Machine_ID])</f>
        <v>M001</v>
      </c>
      <c r="N165" t="str">
        <f>_xlfn.XLOOKUP(E165,[3]Sheet1!$A$2:$A$391,[3]Sheet1!$A$2:$A$391)</f>
        <v>PO10012</v>
      </c>
    </row>
    <row r="166" spans="1:14" x14ac:dyDescent="0.2">
      <c r="A166" t="s">
        <v>175</v>
      </c>
      <c r="B166" s="2">
        <v>46240</v>
      </c>
      <c r="C166" t="s">
        <v>2941</v>
      </c>
      <c r="D166" t="s">
        <v>2942</v>
      </c>
      <c r="E166" t="s">
        <v>2962</v>
      </c>
      <c r="F166" s="3">
        <v>46240.881147340267</v>
      </c>
      <c r="G166" s="3">
        <v>46240.885330235928</v>
      </c>
      <c r="H166">
        <v>6.02</v>
      </c>
      <c r="I166" t="s">
        <v>3151</v>
      </c>
      <c r="J166" t="s">
        <v>3169</v>
      </c>
      <c r="K166" t="s">
        <v>3188</v>
      </c>
      <c r="L166" t="str">
        <f>_xlfn.XLOOKUP(C166,[1]!Table1[Shift_ID],[1]!Table1[Shift_ID])</f>
        <v>S02</v>
      </c>
      <c r="M166" t="str">
        <f>_xlfn.XLOOKUP(D166,[2]!Table1[Machine_ID],[2]!Table1[Machine_ID])</f>
        <v>M001</v>
      </c>
      <c r="N166" t="str">
        <f>_xlfn.XLOOKUP(E166,[3]Sheet1!$A$2:$A$391,[3]Sheet1!$A$2:$A$391)</f>
        <v>PO10012</v>
      </c>
    </row>
    <row r="167" spans="1:14" x14ac:dyDescent="0.2">
      <c r="A167" t="s">
        <v>176</v>
      </c>
      <c r="B167" s="2">
        <v>46240</v>
      </c>
      <c r="C167" t="s">
        <v>2941</v>
      </c>
      <c r="D167" t="s">
        <v>2943</v>
      </c>
      <c r="E167" t="s">
        <v>2962</v>
      </c>
      <c r="F167" s="3">
        <v>46240.668233312688</v>
      </c>
      <c r="G167" s="3">
        <v>46240.669681704043</v>
      </c>
      <c r="H167">
        <v>2.09</v>
      </c>
      <c r="I167" t="s">
        <v>3150</v>
      </c>
      <c r="J167" t="s">
        <v>3159</v>
      </c>
      <c r="K167" t="s">
        <v>3178</v>
      </c>
      <c r="L167" t="str">
        <f>_xlfn.XLOOKUP(C167,[1]!Table1[Shift_ID],[1]!Table1[Shift_ID])</f>
        <v>S02</v>
      </c>
      <c r="M167" t="str">
        <f>_xlfn.XLOOKUP(D167,[2]!Table1[Machine_ID],[2]!Table1[Machine_ID])</f>
        <v>M002</v>
      </c>
      <c r="N167" t="str">
        <f>_xlfn.XLOOKUP(E167,[3]Sheet1!$A$2:$A$391,[3]Sheet1!$A$2:$A$391)</f>
        <v>PO10012</v>
      </c>
    </row>
    <row r="168" spans="1:14" x14ac:dyDescent="0.2">
      <c r="A168" t="s">
        <v>177</v>
      </c>
      <c r="B168" s="2">
        <v>46240</v>
      </c>
      <c r="C168" t="s">
        <v>2941</v>
      </c>
      <c r="D168" t="s">
        <v>2943</v>
      </c>
      <c r="E168" t="s">
        <v>2962</v>
      </c>
      <c r="F168" s="3">
        <v>46240.684530174309</v>
      </c>
      <c r="G168" s="3">
        <v>46240.685978565663</v>
      </c>
      <c r="H168">
        <v>2.09</v>
      </c>
      <c r="I168" t="s">
        <v>3148</v>
      </c>
      <c r="J168" t="s">
        <v>3164</v>
      </c>
      <c r="K168" t="s">
        <v>3183</v>
      </c>
      <c r="L168" t="str">
        <f>_xlfn.XLOOKUP(C168,[1]!Table1[Shift_ID],[1]!Table1[Shift_ID])</f>
        <v>S02</v>
      </c>
      <c r="M168" t="str">
        <f>_xlfn.XLOOKUP(D168,[2]!Table1[Machine_ID],[2]!Table1[Machine_ID])</f>
        <v>M002</v>
      </c>
      <c r="N168" t="str">
        <f>_xlfn.XLOOKUP(E168,[3]Sheet1!$A$2:$A$391,[3]Sheet1!$A$2:$A$391)</f>
        <v>PO10012</v>
      </c>
    </row>
    <row r="169" spans="1:14" x14ac:dyDescent="0.2">
      <c r="A169" t="s">
        <v>178</v>
      </c>
      <c r="B169" s="2">
        <v>46240</v>
      </c>
      <c r="C169" t="s">
        <v>2941</v>
      </c>
      <c r="D169" t="s">
        <v>2943</v>
      </c>
      <c r="E169" t="s">
        <v>2962</v>
      </c>
      <c r="F169" s="3">
        <v>46240.779778050477</v>
      </c>
      <c r="G169" s="3">
        <v>46240.782202627393</v>
      </c>
      <c r="H169">
        <v>3.49</v>
      </c>
      <c r="I169" t="s">
        <v>3147</v>
      </c>
      <c r="J169" t="s">
        <v>3154</v>
      </c>
      <c r="K169" t="s">
        <v>3172</v>
      </c>
      <c r="L169" t="str">
        <f>_xlfn.XLOOKUP(C169,[1]!Table1[Shift_ID],[1]!Table1[Shift_ID])</f>
        <v>S02</v>
      </c>
      <c r="M169" t="str">
        <f>_xlfn.XLOOKUP(D169,[2]!Table1[Machine_ID],[2]!Table1[Machine_ID])</f>
        <v>M002</v>
      </c>
      <c r="N169" t="str">
        <f>_xlfn.XLOOKUP(E169,[3]Sheet1!$A$2:$A$391,[3]Sheet1!$A$2:$A$391)</f>
        <v>PO10012</v>
      </c>
    </row>
    <row r="170" spans="1:14" x14ac:dyDescent="0.2">
      <c r="A170" t="s">
        <v>179</v>
      </c>
      <c r="B170" s="2">
        <v>46240</v>
      </c>
      <c r="C170" t="s">
        <v>2941</v>
      </c>
      <c r="D170" t="s">
        <v>2943</v>
      </c>
      <c r="E170" t="s">
        <v>2962</v>
      </c>
      <c r="F170" s="3">
        <v>46240.825069642473</v>
      </c>
      <c r="G170" s="3">
        <v>46240.82651803382</v>
      </c>
      <c r="H170">
        <v>2.09</v>
      </c>
      <c r="I170" t="s">
        <v>3149</v>
      </c>
      <c r="J170" t="s">
        <v>3168</v>
      </c>
      <c r="K170" t="s">
        <v>3184</v>
      </c>
      <c r="L170" t="str">
        <f>_xlfn.XLOOKUP(C170,[1]!Table1[Shift_ID],[1]!Table1[Shift_ID])</f>
        <v>S02</v>
      </c>
      <c r="M170" t="str">
        <f>_xlfn.XLOOKUP(D170,[2]!Table1[Machine_ID],[2]!Table1[Machine_ID])</f>
        <v>M002</v>
      </c>
      <c r="N170" t="str">
        <f>_xlfn.XLOOKUP(E170,[3]Sheet1!$A$2:$A$391,[3]Sheet1!$A$2:$A$391)</f>
        <v>PO10012</v>
      </c>
    </row>
    <row r="171" spans="1:14" x14ac:dyDescent="0.2">
      <c r="A171" t="s">
        <v>180</v>
      </c>
      <c r="B171" s="2">
        <v>46240</v>
      </c>
      <c r="C171" t="s">
        <v>2941</v>
      </c>
      <c r="D171" t="s">
        <v>2943</v>
      </c>
      <c r="E171" t="s">
        <v>2962</v>
      </c>
      <c r="F171" s="3">
        <v>46240.829301317273</v>
      </c>
      <c r="G171" s="3">
        <v>46240.830855635722</v>
      </c>
      <c r="H171">
        <v>2.2400000000000002</v>
      </c>
      <c r="I171" t="s">
        <v>3149</v>
      </c>
      <c r="J171" t="s">
        <v>3162</v>
      </c>
      <c r="K171" t="s">
        <v>3184</v>
      </c>
      <c r="L171" t="str">
        <f>_xlfn.XLOOKUP(C171,[1]!Table1[Shift_ID],[1]!Table1[Shift_ID])</f>
        <v>S02</v>
      </c>
      <c r="M171" t="str">
        <f>_xlfn.XLOOKUP(D171,[2]!Table1[Machine_ID],[2]!Table1[Machine_ID])</f>
        <v>M002</v>
      </c>
      <c r="N171" t="str">
        <f>_xlfn.XLOOKUP(E171,[3]Sheet1!$A$2:$A$391,[3]Sheet1!$A$2:$A$391)</f>
        <v>PO10012</v>
      </c>
    </row>
    <row r="172" spans="1:14" x14ac:dyDescent="0.2">
      <c r="A172" t="s">
        <v>181</v>
      </c>
      <c r="B172" s="2">
        <v>46240</v>
      </c>
      <c r="C172" t="s">
        <v>2941</v>
      </c>
      <c r="D172" t="s">
        <v>2944</v>
      </c>
      <c r="E172" t="s">
        <v>2962</v>
      </c>
      <c r="F172" s="3">
        <v>46240.896436467359</v>
      </c>
      <c r="G172" s="3">
        <v>46240.905216528838</v>
      </c>
      <c r="H172">
        <v>12.64</v>
      </c>
      <c r="I172" t="s">
        <v>3150</v>
      </c>
      <c r="J172" t="s">
        <v>3163</v>
      </c>
      <c r="K172" t="s">
        <v>3178</v>
      </c>
      <c r="L172" t="str">
        <f>_xlfn.XLOOKUP(C172,[1]!Table1[Shift_ID],[1]!Table1[Shift_ID])</f>
        <v>S02</v>
      </c>
      <c r="M172" t="str">
        <f>_xlfn.XLOOKUP(D172,[2]!Table1[Machine_ID],[2]!Table1[Machine_ID])</f>
        <v>M003</v>
      </c>
      <c r="N172" t="str">
        <f>_xlfn.XLOOKUP(E172,[3]Sheet1!$A$2:$A$391,[3]Sheet1!$A$2:$A$391)</f>
        <v>PO10012</v>
      </c>
    </row>
    <row r="173" spans="1:14" x14ac:dyDescent="0.2">
      <c r="A173" t="s">
        <v>182</v>
      </c>
      <c r="B173" s="2">
        <v>46240</v>
      </c>
      <c r="C173" t="s">
        <v>2941</v>
      </c>
      <c r="D173" t="s">
        <v>2945</v>
      </c>
      <c r="E173" t="s">
        <v>2962</v>
      </c>
      <c r="F173" s="3">
        <v>46240.63140590339</v>
      </c>
      <c r="G173" s="3">
        <v>46240.634406186633</v>
      </c>
      <c r="H173">
        <v>4.32</v>
      </c>
      <c r="I173" t="s">
        <v>3148</v>
      </c>
      <c r="J173" t="s">
        <v>3165</v>
      </c>
      <c r="K173" t="s">
        <v>3183</v>
      </c>
      <c r="L173" t="str">
        <f>_xlfn.XLOOKUP(C173,[1]!Table1[Shift_ID],[1]!Table1[Shift_ID])</f>
        <v>S02</v>
      </c>
      <c r="M173" t="str">
        <f>_xlfn.XLOOKUP(D173,[2]!Table1[Machine_ID],[2]!Table1[Machine_ID])</f>
        <v>M004</v>
      </c>
      <c r="N173" t="str">
        <f>_xlfn.XLOOKUP(E173,[3]Sheet1!$A$2:$A$391,[3]Sheet1!$A$2:$A$391)</f>
        <v>PO10012</v>
      </c>
    </row>
    <row r="174" spans="1:14" x14ac:dyDescent="0.2">
      <c r="A174" t="s">
        <v>183</v>
      </c>
      <c r="B174" s="2">
        <v>46240</v>
      </c>
      <c r="C174" t="s">
        <v>2941</v>
      </c>
      <c r="D174" t="s">
        <v>2945</v>
      </c>
      <c r="E174" t="s">
        <v>2962</v>
      </c>
      <c r="F174" s="3">
        <v>46240.651113598688</v>
      </c>
      <c r="G174" s="3">
        <v>46240.652792751956</v>
      </c>
      <c r="H174">
        <v>2.42</v>
      </c>
      <c r="I174" t="s">
        <v>3150</v>
      </c>
      <c r="J174" t="s">
        <v>3166</v>
      </c>
      <c r="K174" t="s">
        <v>3178</v>
      </c>
      <c r="L174" t="str">
        <f>_xlfn.XLOOKUP(C174,[1]!Table1[Shift_ID],[1]!Table1[Shift_ID])</f>
        <v>S02</v>
      </c>
      <c r="M174" t="str">
        <f>_xlfn.XLOOKUP(D174,[2]!Table1[Machine_ID],[2]!Table1[Machine_ID])</f>
        <v>M004</v>
      </c>
      <c r="N174" t="str">
        <f>_xlfn.XLOOKUP(E174,[3]Sheet1!$A$2:$A$391,[3]Sheet1!$A$2:$A$391)</f>
        <v>PO10012</v>
      </c>
    </row>
    <row r="175" spans="1:14" x14ac:dyDescent="0.2">
      <c r="A175" t="s">
        <v>184</v>
      </c>
      <c r="B175" s="2">
        <v>46240</v>
      </c>
      <c r="C175" t="s">
        <v>2941</v>
      </c>
      <c r="D175" t="s">
        <v>2945</v>
      </c>
      <c r="E175" t="s">
        <v>2962</v>
      </c>
      <c r="F175" s="3">
        <v>46240.730873111817</v>
      </c>
      <c r="G175" s="3">
        <v>46240.732552265079</v>
      </c>
      <c r="H175">
        <v>2.42</v>
      </c>
      <c r="I175" t="s">
        <v>3151</v>
      </c>
      <c r="J175" t="s">
        <v>3169</v>
      </c>
      <c r="K175" t="s">
        <v>3187</v>
      </c>
      <c r="L175" t="str">
        <f>_xlfn.XLOOKUP(C175,[1]!Table1[Shift_ID],[1]!Table1[Shift_ID])</f>
        <v>S02</v>
      </c>
      <c r="M175" t="str">
        <f>_xlfn.XLOOKUP(D175,[2]!Table1[Machine_ID],[2]!Table1[Machine_ID])</f>
        <v>M004</v>
      </c>
      <c r="N175" t="str">
        <f>_xlfn.XLOOKUP(E175,[3]Sheet1!$A$2:$A$391,[3]Sheet1!$A$2:$A$391)</f>
        <v>PO10012</v>
      </c>
    </row>
    <row r="176" spans="1:14" x14ac:dyDescent="0.2">
      <c r="A176" t="s">
        <v>185</v>
      </c>
      <c r="B176" s="2">
        <v>46240</v>
      </c>
      <c r="C176" t="s">
        <v>2941</v>
      </c>
      <c r="D176" t="s">
        <v>2946</v>
      </c>
      <c r="E176" t="s">
        <v>2962</v>
      </c>
      <c r="F176" s="3">
        <v>46240.788863145033</v>
      </c>
      <c r="G176" s="3">
        <v>46240.792204399979</v>
      </c>
      <c r="H176">
        <v>4.8099999999999996</v>
      </c>
      <c r="I176" t="s">
        <v>3151</v>
      </c>
      <c r="J176" t="s">
        <v>3170</v>
      </c>
      <c r="K176" t="s">
        <v>3181</v>
      </c>
      <c r="L176" t="str">
        <f>_xlfn.XLOOKUP(C176,[1]!Table1[Shift_ID],[1]!Table1[Shift_ID])</f>
        <v>S02</v>
      </c>
      <c r="M176" t="str">
        <f>_xlfn.XLOOKUP(D176,[2]!Table1[Machine_ID],[2]!Table1[Machine_ID])</f>
        <v>M005</v>
      </c>
      <c r="N176" t="str">
        <f>_xlfn.XLOOKUP(E176,[3]Sheet1!$A$2:$A$391,[3]Sheet1!$A$2:$A$391)</f>
        <v>PO10012</v>
      </c>
    </row>
    <row r="177" spans="1:14" x14ac:dyDescent="0.2">
      <c r="A177" t="s">
        <v>186</v>
      </c>
      <c r="B177" s="2">
        <v>46240</v>
      </c>
      <c r="C177" t="s">
        <v>2941</v>
      </c>
      <c r="D177" t="s">
        <v>2946</v>
      </c>
      <c r="E177" t="s">
        <v>2962</v>
      </c>
      <c r="F177" s="3">
        <v>46240.830219249059</v>
      </c>
      <c r="G177" s="3">
        <v>46240.835217781983</v>
      </c>
      <c r="H177">
        <v>7.2</v>
      </c>
      <c r="I177" t="s">
        <v>3149</v>
      </c>
      <c r="J177" t="s">
        <v>3162</v>
      </c>
      <c r="K177" t="s">
        <v>3176</v>
      </c>
      <c r="L177" t="str">
        <f>_xlfn.XLOOKUP(C177,[1]!Table1[Shift_ID],[1]!Table1[Shift_ID])</f>
        <v>S02</v>
      </c>
      <c r="M177" t="str">
        <f>_xlfn.XLOOKUP(D177,[2]!Table1[Machine_ID],[2]!Table1[Machine_ID])</f>
        <v>M005</v>
      </c>
      <c r="N177" t="str">
        <f>_xlfn.XLOOKUP(E177,[3]Sheet1!$A$2:$A$391,[3]Sheet1!$A$2:$A$391)</f>
        <v>PO10012</v>
      </c>
    </row>
    <row r="178" spans="1:14" x14ac:dyDescent="0.2">
      <c r="A178" t="s">
        <v>187</v>
      </c>
      <c r="B178" s="2">
        <v>46240</v>
      </c>
      <c r="C178" t="s">
        <v>2941</v>
      </c>
      <c r="D178" t="s">
        <v>2947</v>
      </c>
      <c r="E178" t="s">
        <v>2962</v>
      </c>
      <c r="F178" s="3">
        <v>46240.833942970159</v>
      </c>
      <c r="G178" s="3">
        <v>46240.85885088228</v>
      </c>
      <c r="H178">
        <v>35.869999999999997</v>
      </c>
      <c r="I178" t="s">
        <v>3151</v>
      </c>
      <c r="J178" t="s">
        <v>3169</v>
      </c>
      <c r="K178" t="s">
        <v>3187</v>
      </c>
      <c r="L178" t="str">
        <f>_xlfn.XLOOKUP(C178,[1]!Table1[Shift_ID],[1]!Table1[Shift_ID])</f>
        <v>S02</v>
      </c>
      <c r="M178" t="str">
        <f>_xlfn.XLOOKUP(D178,[2]!Table1[Machine_ID],[2]!Table1[Machine_ID])</f>
        <v>M006</v>
      </c>
      <c r="N178" t="str">
        <f>_xlfn.XLOOKUP(E178,[3]Sheet1!$A$2:$A$391,[3]Sheet1!$A$2:$A$391)</f>
        <v>PO10012</v>
      </c>
    </row>
    <row r="179" spans="1:14" x14ac:dyDescent="0.2">
      <c r="A179" t="s">
        <v>188</v>
      </c>
      <c r="B179" s="2">
        <v>46240</v>
      </c>
      <c r="C179" t="s">
        <v>2941</v>
      </c>
      <c r="D179" t="s">
        <v>2948</v>
      </c>
      <c r="E179" t="s">
        <v>2962</v>
      </c>
      <c r="F179" s="3">
        <v>46240.723914939277</v>
      </c>
      <c r="G179" s="3">
        <v>46240.725914644318</v>
      </c>
      <c r="H179">
        <v>2.88</v>
      </c>
      <c r="I179" t="s">
        <v>3147</v>
      </c>
      <c r="J179" t="s">
        <v>3154</v>
      </c>
      <c r="K179" t="s">
        <v>3172</v>
      </c>
      <c r="L179" t="str">
        <f>_xlfn.XLOOKUP(C179,[1]!Table1[Shift_ID],[1]!Table1[Shift_ID])</f>
        <v>S02</v>
      </c>
      <c r="M179" t="str">
        <f>_xlfn.XLOOKUP(D179,[2]!Table1[Machine_ID],[2]!Table1[Machine_ID])</f>
        <v>M007</v>
      </c>
      <c r="N179" t="str">
        <f>_xlfn.XLOOKUP(E179,[3]Sheet1!$A$2:$A$391,[3]Sheet1!$A$2:$A$391)</f>
        <v>PO10012</v>
      </c>
    </row>
    <row r="180" spans="1:14" x14ac:dyDescent="0.2">
      <c r="A180" t="s">
        <v>189</v>
      </c>
      <c r="B180" s="2">
        <v>46240</v>
      </c>
      <c r="C180" t="s">
        <v>2941</v>
      </c>
      <c r="D180" t="s">
        <v>2948</v>
      </c>
      <c r="E180" t="s">
        <v>2962</v>
      </c>
      <c r="F180" s="3">
        <v>46240.789049767533</v>
      </c>
      <c r="G180" s="3">
        <v>46240.799058563964</v>
      </c>
      <c r="H180">
        <v>14.41</v>
      </c>
      <c r="I180" t="s">
        <v>3150</v>
      </c>
      <c r="J180" t="s">
        <v>3160</v>
      </c>
      <c r="K180" t="s">
        <v>3179</v>
      </c>
      <c r="L180" t="str">
        <f>_xlfn.XLOOKUP(C180,[1]!Table1[Shift_ID],[1]!Table1[Shift_ID])</f>
        <v>S02</v>
      </c>
      <c r="M180" t="str">
        <f>_xlfn.XLOOKUP(D180,[2]!Table1[Machine_ID],[2]!Table1[Machine_ID])</f>
        <v>M007</v>
      </c>
      <c r="N180" t="str">
        <f>_xlfn.XLOOKUP(E180,[3]Sheet1!$A$2:$A$391,[3]Sheet1!$A$2:$A$391)</f>
        <v>PO10012</v>
      </c>
    </row>
    <row r="181" spans="1:14" x14ac:dyDescent="0.2">
      <c r="A181" t="s">
        <v>190</v>
      </c>
      <c r="B181" s="2">
        <v>46240</v>
      </c>
      <c r="C181" t="s">
        <v>2941</v>
      </c>
      <c r="D181" t="s">
        <v>2949</v>
      </c>
      <c r="E181" t="s">
        <v>2962</v>
      </c>
      <c r="F181" s="3">
        <v>46240.902122687789</v>
      </c>
      <c r="G181" s="3">
        <v>46240.908237051219</v>
      </c>
      <c r="H181">
        <v>8.8000000000000007</v>
      </c>
      <c r="I181" t="s">
        <v>3148</v>
      </c>
      <c r="J181" t="s">
        <v>3165</v>
      </c>
      <c r="K181" t="s">
        <v>3173</v>
      </c>
      <c r="L181" t="str">
        <f>_xlfn.XLOOKUP(C181,[1]!Table1[Shift_ID],[1]!Table1[Shift_ID])</f>
        <v>S02</v>
      </c>
      <c r="M181" t="str">
        <f>_xlfn.XLOOKUP(D181,[2]!Table1[Machine_ID],[2]!Table1[Machine_ID])</f>
        <v>M008</v>
      </c>
      <c r="N181" t="str">
        <f>_xlfn.XLOOKUP(E181,[3]Sheet1!$A$2:$A$391,[3]Sheet1!$A$2:$A$391)</f>
        <v>PO10012</v>
      </c>
    </row>
    <row r="182" spans="1:14" x14ac:dyDescent="0.2">
      <c r="A182" t="s">
        <v>191</v>
      </c>
      <c r="B182" s="2">
        <v>46241</v>
      </c>
      <c r="C182" t="s">
        <v>2939</v>
      </c>
      <c r="D182" t="s">
        <v>2942</v>
      </c>
      <c r="E182" t="s">
        <v>2963</v>
      </c>
      <c r="F182" s="3">
        <v>46241.940182427017</v>
      </c>
      <c r="G182" s="3">
        <v>46241.945180085801</v>
      </c>
      <c r="H182">
        <v>7.2</v>
      </c>
      <c r="I182" t="s">
        <v>3150</v>
      </c>
      <c r="J182" t="s">
        <v>3160</v>
      </c>
      <c r="K182" t="s">
        <v>3177</v>
      </c>
      <c r="L182" t="str">
        <f>_xlfn.XLOOKUP(C182,[1]!Table1[Shift_ID],[1]!Table1[Shift_ID])</f>
        <v>S03</v>
      </c>
      <c r="M182" t="str">
        <f>_xlfn.XLOOKUP(D182,[2]!Table1[Machine_ID],[2]!Table1[Machine_ID])</f>
        <v>M001</v>
      </c>
      <c r="N182" t="str">
        <f>_xlfn.XLOOKUP(E182,[3]Sheet1!$A$2:$A$391,[3]Sheet1!$A$2:$A$391)</f>
        <v>PO10013</v>
      </c>
    </row>
    <row r="183" spans="1:14" x14ac:dyDescent="0.2">
      <c r="A183" t="s">
        <v>192</v>
      </c>
      <c r="B183" s="2">
        <v>46241</v>
      </c>
      <c r="C183" t="s">
        <v>2939</v>
      </c>
      <c r="D183" t="s">
        <v>2943</v>
      </c>
      <c r="E183" t="s">
        <v>2963</v>
      </c>
      <c r="F183" s="3">
        <v>46242.14924529985</v>
      </c>
      <c r="G183" s="3">
        <v>46242.155454306077</v>
      </c>
      <c r="H183">
        <v>8.94</v>
      </c>
      <c r="I183" t="s">
        <v>3146</v>
      </c>
      <c r="J183" t="s">
        <v>3152</v>
      </c>
      <c r="K183" t="s">
        <v>3171</v>
      </c>
      <c r="L183" t="str">
        <f>_xlfn.XLOOKUP(C183,[1]!Table1[Shift_ID],[1]!Table1[Shift_ID])</f>
        <v>S03</v>
      </c>
      <c r="M183" t="str">
        <f>_xlfn.XLOOKUP(D183,[2]!Table1[Machine_ID],[2]!Table1[Machine_ID])</f>
        <v>M002</v>
      </c>
      <c r="N183" t="str">
        <f>_xlfn.XLOOKUP(E183,[3]Sheet1!$A$2:$A$391,[3]Sheet1!$A$2:$A$391)</f>
        <v>PO10013</v>
      </c>
    </row>
    <row r="184" spans="1:14" x14ac:dyDescent="0.2">
      <c r="A184" t="s">
        <v>193</v>
      </c>
      <c r="B184" s="2">
        <v>46241</v>
      </c>
      <c r="C184" t="s">
        <v>2939</v>
      </c>
      <c r="D184" t="s">
        <v>2944</v>
      </c>
      <c r="E184" t="s">
        <v>2963</v>
      </c>
      <c r="F184" s="3">
        <v>46241.974549594939</v>
      </c>
      <c r="G184" s="3">
        <v>46241.980153963203</v>
      </c>
      <c r="H184">
        <v>8.07</v>
      </c>
      <c r="I184" t="s">
        <v>3149</v>
      </c>
      <c r="J184" t="s">
        <v>3168</v>
      </c>
      <c r="K184" t="s">
        <v>3176</v>
      </c>
      <c r="L184" t="str">
        <f>_xlfn.XLOOKUP(C184,[1]!Table1[Shift_ID],[1]!Table1[Shift_ID])</f>
        <v>S03</v>
      </c>
      <c r="M184" t="str">
        <f>_xlfn.XLOOKUP(D184,[2]!Table1[Machine_ID],[2]!Table1[Machine_ID])</f>
        <v>M003</v>
      </c>
      <c r="N184" t="str">
        <f>_xlfn.XLOOKUP(E184,[3]Sheet1!$A$2:$A$391,[3]Sheet1!$A$2:$A$391)</f>
        <v>PO10013</v>
      </c>
    </row>
    <row r="185" spans="1:14" x14ac:dyDescent="0.2">
      <c r="A185" t="s">
        <v>194</v>
      </c>
      <c r="B185" s="2">
        <v>46241</v>
      </c>
      <c r="C185" t="s">
        <v>2939</v>
      </c>
      <c r="D185" t="s">
        <v>2944</v>
      </c>
      <c r="E185" t="s">
        <v>2963</v>
      </c>
      <c r="F185" s="3">
        <v>46242.044801561562</v>
      </c>
      <c r="G185" s="3">
        <v>46242.046525426842</v>
      </c>
      <c r="H185">
        <v>2.48</v>
      </c>
      <c r="I185" t="s">
        <v>3147</v>
      </c>
      <c r="J185" t="s">
        <v>3167</v>
      </c>
      <c r="K185" t="s">
        <v>3172</v>
      </c>
      <c r="L185" t="str">
        <f>_xlfn.XLOOKUP(C185,[1]!Table1[Shift_ID],[1]!Table1[Shift_ID])</f>
        <v>S03</v>
      </c>
      <c r="M185" t="str">
        <f>_xlfn.XLOOKUP(D185,[2]!Table1[Machine_ID],[2]!Table1[Machine_ID])</f>
        <v>M003</v>
      </c>
      <c r="N185" t="str">
        <f>_xlfn.XLOOKUP(E185,[3]Sheet1!$A$2:$A$391,[3]Sheet1!$A$2:$A$391)</f>
        <v>PO10013</v>
      </c>
    </row>
    <row r="186" spans="1:14" x14ac:dyDescent="0.2">
      <c r="A186" t="s">
        <v>195</v>
      </c>
      <c r="B186" s="2">
        <v>46241</v>
      </c>
      <c r="C186" t="s">
        <v>2939</v>
      </c>
      <c r="D186" t="s">
        <v>2944</v>
      </c>
      <c r="E186" t="s">
        <v>2963</v>
      </c>
      <c r="F186" s="3">
        <v>46242.107316453097</v>
      </c>
      <c r="G186" s="3">
        <v>46242.109040318377</v>
      </c>
      <c r="H186">
        <v>2.48</v>
      </c>
      <c r="I186" t="s">
        <v>3151</v>
      </c>
      <c r="J186" t="s">
        <v>3161</v>
      </c>
      <c r="K186" t="s">
        <v>3187</v>
      </c>
      <c r="L186" t="str">
        <f>_xlfn.XLOOKUP(C186,[1]!Table1[Shift_ID],[1]!Table1[Shift_ID])</f>
        <v>S03</v>
      </c>
      <c r="M186" t="str">
        <f>_xlfn.XLOOKUP(D186,[2]!Table1[Machine_ID],[2]!Table1[Machine_ID])</f>
        <v>M003</v>
      </c>
      <c r="N186" t="str">
        <f>_xlfn.XLOOKUP(E186,[3]Sheet1!$A$2:$A$391,[3]Sheet1!$A$2:$A$391)</f>
        <v>PO10013</v>
      </c>
    </row>
    <row r="187" spans="1:14" x14ac:dyDescent="0.2">
      <c r="A187" t="s">
        <v>196</v>
      </c>
      <c r="B187" s="2">
        <v>46241</v>
      </c>
      <c r="C187" t="s">
        <v>2939</v>
      </c>
      <c r="D187" t="s">
        <v>2945</v>
      </c>
      <c r="E187" t="s">
        <v>2963</v>
      </c>
      <c r="F187" s="3">
        <v>46242.056520122023</v>
      </c>
      <c r="G187" s="3">
        <v>46242.058482701897</v>
      </c>
      <c r="H187">
        <v>2.83</v>
      </c>
      <c r="I187" t="s">
        <v>3151</v>
      </c>
      <c r="J187" t="s">
        <v>3170</v>
      </c>
      <c r="K187" t="s">
        <v>3181</v>
      </c>
      <c r="L187" t="str">
        <f>_xlfn.XLOOKUP(C187,[1]!Table1[Shift_ID],[1]!Table1[Shift_ID])</f>
        <v>S03</v>
      </c>
      <c r="M187" t="str">
        <f>_xlfn.XLOOKUP(D187,[2]!Table1[Machine_ID],[2]!Table1[Machine_ID])</f>
        <v>M004</v>
      </c>
      <c r="N187" t="str">
        <f>_xlfn.XLOOKUP(E187,[3]Sheet1!$A$2:$A$391,[3]Sheet1!$A$2:$A$391)</f>
        <v>PO10013</v>
      </c>
    </row>
    <row r="188" spans="1:14" x14ac:dyDescent="0.2">
      <c r="A188" t="s">
        <v>197</v>
      </c>
      <c r="B188" s="2">
        <v>46241</v>
      </c>
      <c r="C188" t="s">
        <v>2939</v>
      </c>
      <c r="D188" t="s">
        <v>2945</v>
      </c>
      <c r="E188" t="s">
        <v>2963</v>
      </c>
      <c r="F188" s="3">
        <v>46242.144551315258</v>
      </c>
      <c r="G188" s="3">
        <v>46242.148842142742</v>
      </c>
      <c r="H188">
        <v>6.18</v>
      </c>
      <c r="I188" t="s">
        <v>3149</v>
      </c>
      <c r="J188" t="s">
        <v>3158</v>
      </c>
      <c r="K188" t="s">
        <v>3182</v>
      </c>
      <c r="L188" t="str">
        <f>_xlfn.XLOOKUP(C188,[1]!Table1[Shift_ID],[1]!Table1[Shift_ID])</f>
        <v>S03</v>
      </c>
      <c r="M188" t="str">
        <f>_xlfn.XLOOKUP(D188,[2]!Table1[Machine_ID],[2]!Table1[Machine_ID])</f>
        <v>M004</v>
      </c>
      <c r="N188" t="str">
        <f>_xlfn.XLOOKUP(E188,[3]Sheet1!$A$2:$A$391,[3]Sheet1!$A$2:$A$391)</f>
        <v>PO10013</v>
      </c>
    </row>
    <row r="189" spans="1:14" x14ac:dyDescent="0.2">
      <c r="A189" t="s">
        <v>198</v>
      </c>
      <c r="B189" s="2">
        <v>46241</v>
      </c>
      <c r="C189" t="s">
        <v>2939</v>
      </c>
      <c r="D189" t="s">
        <v>2946</v>
      </c>
      <c r="E189" t="s">
        <v>2963</v>
      </c>
      <c r="F189" s="3">
        <v>46241.952662039781</v>
      </c>
      <c r="G189" s="3">
        <v>46241.960182855393</v>
      </c>
      <c r="H189">
        <v>10.83</v>
      </c>
      <c r="I189" t="s">
        <v>3149</v>
      </c>
      <c r="J189" t="s">
        <v>3158</v>
      </c>
      <c r="K189" t="s">
        <v>3184</v>
      </c>
      <c r="L189" t="str">
        <f>_xlfn.XLOOKUP(C189,[1]!Table1[Shift_ID],[1]!Table1[Shift_ID])</f>
        <v>S03</v>
      </c>
      <c r="M189" t="str">
        <f>_xlfn.XLOOKUP(D189,[2]!Table1[Machine_ID],[2]!Table1[Machine_ID])</f>
        <v>M005</v>
      </c>
      <c r="N189" t="str">
        <f>_xlfn.XLOOKUP(E189,[3]Sheet1!$A$2:$A$391,[3]Sheet1!$A$2:$A$391)</f>
        <v>PO10013</v>
      </c>
    </row>
    <row r="190" spans="1:14" x14ac:dyDescent="0.2">
      <c r="A190" t="s">
        <v>199</v>
      </c>
      <c r="B190" s="2">
        <v>46241</v>
      </c>
      <c r="C190" t="s">
        <v>2939</v>
      </c>
      <c r="D190" t="s">
        <v>2947</v>
      </c>
      <c r="E190" t="s">
        <v>2963</v>
      </c>
      <c r="F190" s="3">
        <v>46242.026603989238</v>
      </c>
      <c r="G190" s="3">
        <v>46242.045966599988</v>
      </c>
      <c r="H190">
        <v>27.88</v>
      </c>
      <c r="I190" t="s">
        <v>3149</v>
      </c>
      <c r="J190" t="s">
        <v>3162</v>
      </c>
      <c r="K190" t="s">
        <v>3176</v>
      </c>
      <c r="L190" t="str">
        <f>_xlfn.XLOOKUP(C190,[1]!Table1[Shift_ID],[1]!Table1[Shift_ID])</f>
        <v>S03</v>
      </c>
      <c r="M190" t="str">
        <f>_xlfn.XLOOKUP(D190,[2]!Table1[Machine_ID],[2]!Table1[Machine_ID])</f>
        <v>M006</v>
      </c>
      <c r="N190" t="str">
        <f>_xlfn.XLOOKUP(E190,[3]Sheet1!$A$2:$A$391,[3]Sheet1!$A$2:$A$391)</f>
        <v>PO10013</v>
      </c>
    </row>
    <row r="191" spans="1:14" x14ac:dyDescent="0.2">
      <c r="A191" t="s">
        <v>200</v>
      </c>
      <c r="B191" s="2">
        <v>46241</v>
      </c>
      <c r="C191" t="s">
        <v>2939</v>
      </c>
      <c r="D191" t="s">
        <v>2948</v>
      </c>
      <c r="E191" t="s">
        <v>2963</v>
      </c>
      <c r="F191" s="3">
        <v>46241.981667218817</v>
      </c>
      <c r="G191" s="3">
        <v>46241.991470173482</v>
      </c>
      <c r="H191">
        <v>14.12</v>
      </c>
      <c r="I191" t="s">
        <v>3148</v>
      </c>
      <c r="J191" t="s">
        <v>3155</v>
      </c>
      <c r="K191" t="s">
        <v>3180</v>
      </c>
      <c r="L191" t="str">
        <f>_xlfn.XLOOKUP(C191,[1]!Table1[Shift_ID],[1]!Table1[Shift_ID])</f>
        <v>S03</v>
      </c>
      <c r="M191" t="str">
        <f>_xlfn.XLOOKUP(D191,[2]!Table1[Machine_ID],[2]!Table1[Machine_ID])</f>
        <v>M007</v>
      </c>
      <c r="N191" t="str">
        <f>_xlfn.XLOOKUP(E191,[3]Sheet1!$A$2:$A$391,[3]Sheet1!$A$2:$A$391)</f>
        <v>PO10013</v>
      </c>
    </row>
    <row r="192" spans="1:14" x14ac:dyDescent="0.2">
      <c r="A192" t="s">
        <v>201</v>
      </c>
      <c r="B192" s="2">
        <v>46241</v>
      </c>
      <c r="C192" t="s">
        <v>2939</v>
      </c>
      <c r="D192" t="s">
        <v>2948</v>
      </c>
      <c r="E192" t="s">
        <v>2963</v>
      </c>
      <c r="F192" s="3">
        <v>46242.037526111613</v>
      </c>
      <c r="G192" s="3">
        <v>46242.044746151732</v>
      </c>
      <c r="H192">
        <v>10.4</v>
      </c>
      <c r="I192" t="s">
        <v>3150</v>
      </c>
      <c r="J192" t="s">
        <v>3159</v>
      </c>
      <c r="K192" t="s">
        <v>3179</v>
      </c>
      <c r="L192" t="str">
        <f>_xlfn.XLOOKUP(C192,[1]!Table1[Shift_ID],[1]!Table1[Shift_ID])</f>
        <v>S03</v>
      </c>
      <c r="M192" t="str">
        <f>_xlfn.XLOOKUP(D192,[2]!Table1[Machine_ID],[2]!Table1[Machine_ID])</f>
        <v>M007</v>
      </c>
      <c r="N192" t="str">
        <f>_xlfn.XLOOKUP(E192,[3]Sheet1!$A$2:$A$391,[3]Sheet1!$A$2:$A$391)</f>
        <v>PO10013</v>
      </c>
    </row>
    <row r="193" spans="1:14" x14ac:dyDescent="0.2">
      <c r="A193" t="s">
        <v>202</v>
      </c>
      <c r="B193" s="2">
        <v>46241</v>
      </c>
      <c r="C193" t="s">
        <v>2939</v>
      </c>
      <c r="D193" t="s">
        <v>2949</v>
      </c>
      <c r="E193" t="s">
        <v>2963</v>
      </c>
      <c r="F193" s="3">
        <v>46241.962497782682</v>
      </c>
      <c r="G193" s="3">
        <v>46241.966993721311</v>
      </c>
      <c r="H193">
        <v>6.47</v>
      </c>
      <c r="I193" t="s">
        <v>3148</v>
      </c>
      <c r="J193" t="s">
        <v>3164</v>
      </c>
      <c r="K193" t="s">
        <v>3173</v>
      </c>
      <c r="L193" t="str">
        <f>_xlfn.XLOOKUP(C193,[1]!Table1[Shift_ID],[1]!Table1[Shift_ID])</f>
        <v>S03</v>
      </c>
      <c r="M193" t="str">
        <f>_xlfn.XLOOKUP(D193,[2]!Table1[Machine_ID],[2]!Table1[Machine_ID])</f>
        <v>M008</v>
      </c>
      <c r="N193" t="str">
        <f>_xlfn.XLOOKUP(E193,[3]Sheet1!$A$2:$A$391,[3]Sheet1!$A$2:$A$391)</f>
        <v>PO10013</v>
      </c>
    </row>
    <row r="194" spans="1:14" x14ac:dyDescent="0.2">
      <c r="A194" t="s">
        <v>203</v>
      </c>
      <c r="B194" s="2">
        <v>46241</v>
      </c>
      <c r="C194" t="s">
        <v>2940</v>
      </c>
      <c r="D194" t="s">
        <v>2942</v>
      </c>
      <c r="E194" t="s">
        <v>2964</v>
      </c>
      <c r="F194" s="3">
        <v>46241.477288164977</v>
      </c>
      <c r="G194" s="3">
        <v>46241.481826711461</v>
      </c>
      <c r="H194">
        <v>6.54</v>
      </c>
      <c r="I194" t="s">
        <v>3146</v>
      </c>
      <c r="J194" t="s">
        <v>3156</v>
      </c>
      <c r="K194" t="s">
        <v>3175</v>
      </c>
      <c r="L194" t="str">
        <f>_xlfn.XLOOKUP(C194,[1]!Table1[Shift_ID],[1]!Table1[Shift_ID])</f>
        <v>S01</v>
      </c>
      <c r="M194" t="str">
        <f>_xlfn.XLOOKUP(D194,[2]!Table1[Machine_ID],[2]!Table1[Machine_ID])</f>
        <v>M001</v>
      </c>
      <c r="N194" t="str">
        <f>_xlfn.XLOOKUP(E194,[3]Sheet1!$A$2:$A$391,[3]Sheet1!$A$2:$A$391)</f>
        <v>PO10014</v>
      </c>
    </row>
    <row r="195" spans="1:14" x14ac:dyDescent="0.2">
      <c r="A195" t="s">
        <v>204</v>
      </c>
      <c r="B195" s="2">
        <v>46241</v>
      </c>
      <c r="C195" t="s">
        <v>2940</v>
      </c>
      <c r="D195" t="s">
        <v>2942</v>
      </c>
      <c r="E195" t="s">
        <v>2964</v>
      </c>
      <c r="F195" s="3">
        <v>46241.54459985537</v>
      </c>
      <c r="G195" s="3">
        <v>46241.546250795102</v>
      </c>
      <c r="H195">
        <v>2.38</v>
      </c>
      <c r="I195" t="s">
        <v>3146</v>
      </c>
      <c r="J195" t="s">
        <v>3157</v>
      </c>
      <c r="K195" t="s">
        <v>3175</v>
      </c>
      <c r="L195" t="str">
        <f>_xlfn.XLOOKUP(C195,[1]!Table1[Shift_ID],[1]!Table1[Shift_ID])</f>
        <v>S01</v>
      </c>
      <c r="M195" t="str">
        <f>_xlfn.XLOOKUP(D195,[2]!Table1[Machine_ID],[2]!Table1[Machine_ID])</f>
        <v>M001</v>
      </c>
      <c r="N195" t="str">
        <f>_xlfn.XLOOKUP(E195,[3]Sheet1!$A$2:$A$391,[3]Sheet1!$A$2:$A$391)</f>
        <v>PO10014</v>
      </c>
    </row>
    <row r="196" spans="1:14" x14ac:dyDescent="0.2">
      <c r="A196" t="s">
        <v>205</v>
      </c>
      <c r="B196" s="2">
        <v>46241</v>
      </c>
      <c r="C196" t="s">
        <v>2940</v>
      </c>
      <c r="D196" t="s">
        <v>2943</v>
      </c>
      <c r="E196" t="s">
        <v>2964</v>
      </c>
      <c r="F196" s="3">
        <v>46241.510251483291</v>
      </c>
      <c r="G196" s="3">
        <v>46241.519615124264</v>
      </c>
      <c r="H196">
        <v>13.48</v>
      </c>
      <c r="I196" t="s">
        <v>3148</v>
      </c>
      <c r="J196" t="s">
        <v>3164</v>
      </c>
      <c r="K196" t="s">
        <v>3173</v>
      </c>
      <c r="L196" t="str">
        <f>_xlfn.XLOOKUP(C196,[1]!Table1[Shift_ID],[1]!Table1[Shift_ID])</f>
        <v>S01</v>
      </c>
      <c r="M196" t="str">
        <f>_xlfn.XLOOKUP(D196,[2]!Table1[Machine_ID],[2]!Table1[Machine_ID])</f>
        <v>M002</v>
      </c>
      <c r="N196" t="str">
        <f>_xlfn.XLOOKUP(E196,[3]Sheet1!$A$2:$A$391,[3]Sheet1!$A$2:$A$391)</f>
        <v>PO10014</v>
      </c>
    </row>
    <row r="197" spans="1:14" x14ac:dyDescent="0.2">
      <c r="A197" t="s">
        <v>206</v>
      </c>
      <c r="B197" s="2">
        <v>46241</v>
      </c>
      <c r="C197" t="s">
        <v>2940</v>
      </c>
      <c r="D197" t="s">
        <v>2944</v>
      </c>
      <c r="E197" t="s">
        <v>2964</v>
      </c>
      <c r="F197" s="3">
        <v>46241.272591218323</v>
      </c>
      <c r="G197" s="3">
        <v>46241.275090820112</v>
      </c>
      <c r="H197">
        <v>3.6</v>
      </c>
      <c r="I197" t="s">
        <v>3147</v>
      </c>
      <c r="J197" t="s">
        <v>3154</v>
      </c>
      <c r="K197" t="s">
        <v>3186</v>
      </c>
      <c r="L197" t="str">
        <f>_xlfn.XLOOKUP(C197,[1]!Table1[Shift_ID],[1]!Table1[Shift_ID])</f>
        <v>S01</v>
      </c>
      <c r="M197" t="str">
        <f>_xlfn.XLOOKUP(D197,[2]!Table1[Machine_ID],[2]!Table1[Machine_ID])</f>
        <v>M003</v>
      </c>
      <c r="N197" t="str">
        <f>_xlfn.XLOOKUP(E197,[3]Sheet1!$A$2:$A$391,[3]Sheet1!$A$2:$A$391)</f>
        <v>PO10014</v>
      </c>
    </row>
    <row r="198" spans="1:14" x14ac:dyDescent="0.2">
      <c r="A198" t="s">
        <v>207</v>
      </c>
      <c r="B198" s="2">
        <v>46241</v>
      </c>
      <c r="C198" t="s">
        <v>2940</v>
      </c>
      <c r="D198" t="s">
        <v>2944</v>
      </c>
      <c r="E198" t="s">
        <v>2964</v>
      </c>
      <c r="F198" s="3">
        <v>46241.338664804083</v>
      </c>
      <c r="G198" s="3">
        <v>46241.34521434096</v>
      </c>
      <c r="H198">
        <v>9.43</v>
      </c>
      <c r="I198" t="s">
        <v>3150</v>
      </c>
      <c r="J198" t="s">
        <v>3159</v>
      </c>
      <c r="K198" t="s">
        <v>3177</v>
      </c>
      <c r="L198" t="str">
        <f>_xlfn.XLOOKUP(C198,[1]!Table1[Shift_ID],[1]!Table1[Shift_ID])</f>
        <v>S01</v>
      </c>
      <c r="M198" t="str">
        <f>_xlfn.XLOOKUP(D198,[2]!Table1[Machine_ID],[2]!Table1[Machine_ID])</f>
        <v>M003</v>
      </c>
      <c r="N198" t="str">
        <f>_xlfn.XLOOKUP(E198,[3]Sheet1!$A$2:$A$391,[3]Sheet1!$A$2:$A$391)</f>
        <v>PO10014</v>
      </c>
    </row>
    <row r="199" spans="1:14" x14ac:dyDescent="0.2">
      <c r="A199" t="s">
        <v>208</v>
      </c>
      <c r="B199" s="2">
        <v>46241</v>
      </c>
      <c r="C199" t="s">
        <v>2940</v>
      </c>
      <c r="D199" t="s">
        <v>2945</v>
      </c>
      <c r="E199" t="s">
        <v>2964</v>
      </c>
      <c r="F199" s="3">
        <v>46241.529673934921</v>
      </c>
      <c r="G199" s="3">
        <v>46241.532859074629</v>
      </c>
      <c r="H199">
        <v>4.59</v>
      </c>
      <c r="I199" t="s">
        <v>3147</v>
      </c>
      <c r="J199" t="s">
        <v>3153</v>
      </c>
      <c r="K199" t="s">
        <v>3186</v>
      </c>
      <c r="L199" t="str">
        <f>_xlfn.XLOOKUP(C199,[1]!Table1[Shift_ID],[1]!Table1[Shift_ID])</f>
        <v>S01</v>
      </c>
      <c r="M199" t="str">
        <f>_xlfn.XLOOKUP(D199,[2]!Table1[Machine_ID],[2]!Table1[Machine_ID])</f>
        <v>M004</v>
      </c>
      <c r="N199" t="str">
        <f>_xlfn.XLOOKUP(E199,[3]Sheet1!$A$2:$A$391,[3]Sheet1!$A$2:$A$391)</f>
        <v>PO10014</v>
      </c>
    </row>
    <row r="200" spans="1:14" x14ac:dyDescent="0.2">
      <c r="A200" t="s">
        <v>209</v>
      </c>
      <c r="B200" s="2">
        <v>46241</v>
      </c>
      <c r="C200" t="s">
        <v>2940</v>
      </c>
      <c r="D200" t="s">
        <v>2945</v>
      </c>
      <c r="E200" t="s">
        <v>2964</v>
      </c>
      <c r="F200" s="3">
        <v>46241.536169273408</v>
      </c>
      <c r="G200" s="3">
        <v>46241.539372185187</v>
      </c>
      <c r="H200">
        <v>4.6100000000000003</v>
      </c>
      <c r="I200" t="s">
        <v>3148</v>
      </c>
      <c r="J200" t="s">
        <v>3155</v>
      </c>
      <c r="K200" t="s">
        <v>3173</v>
      </c>
      <c r="L200" t="str">
        <f>_xlfn.XLOOKUP(C200,[1]!Table1[Shift_ID],[1]!Table1[Shift_ID])</f>
        <v>S01</v>
      </c>
      <c r="M200" t="str">
        <f>_xlfn.XLOOKUP(D200,[2]!Table1[Machine_ID],[2]!Table1[Machine_ID])</f>
        <v>M004</v>
      </c>
      <c r="N200" t="str">
        <f>_xlfn.XLOOKUP(E200,[3]Sheet1!$A$2:$A$391,[3]Sheet1!$A$2:$A$391)</f>
        <v>PO10014</v>
      </c>
    </row>
    <row r="201" spans="1:14" x14ac:dyDescent="0.2">
      <c r="A201" t="s">
        <v>210</v>
      </c>
      <c r="B201" s="2">
        <v>46241</v>
      </c>
      <c r="C201" t="s">
        <v>2940</v>
      </c>
      <c r="D201" t="s">
        <v>2946</v>
      </c>
      <c r="E201" t="s">
        <v>2964</v>
      </c>
      <c r="F201" s="3">
        <v>46241.266104147478</v>
      </c>
      <c r="G201" s="3">
        <v>46241.267437890987</v>
      </c>
      <c r="H201">
        <v>1.92</v>
      </c>
      <c r="I201" t="s">
        <v>3147</v>
      </c>
      <c r="J201" t="s">
        <v>3154</v>
      </c>
      <c r="K201" t="s">
        <v>3172</v>
      </c>
      <c r="L201" t="str">
        <f>_xlfn.XLOOKUP(C201,[1]!Table1[Shift_ID],[1]!Table1[Shift_ID])</f>
        <v>S01</v>
      </c>
      <c r="M201" t="str">
        <f>_xlfn.XLOOKUP(D201,[2]!Table1[Machine_ID],[2]!Table1[Machine_ID])</f>
        <v>M005</v>
      </c>
      <c r="N201" t="str">
        <f>_xlfn.XLOOKUP(E201,[3]Sheet1!$A$2:$A$391,[3]Sheet1!$A$2:$A$391)</f>
        <v>PO10014</v>
      </c>
    </row>
    <row r="202" spans="1:14" x14ac:dyDescent="0.2">
      <c r="A202" t="s">
        <v>211</v>
      </c>
      <c r="B202" s="2">
        <v>46241</v>
      </c>
      <c r="C202" t="s">
        <v>2940</v>
      </c>
      <c r="D202" t="s">
        <v>2946</v>
      </c>
      <c r="E202" t="s">
        <v>2964</v>
      </c>
      <c r="F202" s="3">
        <v>46241.310468189629</v>
      </c>
      <c r="G202" s="3">
        <v>46241.311801933152</v>
      </c>
      <c r="H202">
        <v>1.92</v>
      </c>
      <c r="I202" t="s">
        <v>3146</v>
      </c>
      <c r="J202" t="s">
        <v>3156</v>
      </c>
      <c r="K202" t="s">
        <v>3171</v>
      </c>
      <c r="L202" t="str">
        <f>_xlfn.XLOOKUP(C202,[1]!Table1[Shift_ID],[1]!Table1[Shift_ID])</f>
        <v>S01</v>
      </c>
      <c r="M202" t="str">
        <f>_xlfn.XLOOKUP(D202,[2]!Table1[Machine_ID],[2]!Table1[Machine_ID])</f>
        <v>M005</v>
      </c>
      <c r="N202" t="str">
        <f>_xlfn.XLOOKUP(E202,[3]Sheet1!$A$2:$A$391,[3]Sheet1!$A$2:$A$391)</f>
        <v>PO10014</v>
      </c>
    </row>
    <row r="203" spans="1:14" x14ac:dyDescent="0.2">
      <c r="A203" t="s">
        <v>212</v>
      </c>
      <c r="B203" s="2">
        <v>46241</v>
      </c>
      <c r="C203" t="s">
        <v>2940</v>
      </c>
      <c r="D203" t="s">
        <v>2946</v>
      </c>
      <c r="E203" t="s">
        <v>2964</v>
      </c>
      <c r="F203" s="3">
        <v>46241.360785890924</v>
      </c>
      <c r="G203" s="3">
        <v>46241.362156373863</v>
      </c>
      <c r="H203">
        <v>1.97</v>
      </c>
      <c r="I203" t="s">
        <v>3151</v>
      </c>
      <c r="J203" t="s">
        <v>3170</v>
      </c>
      <c r="K203" t="s">
        <v>3187</v>
      </c>
      <c r="L203" t="str">
        <f>_xlfn.XLOOKUP(C203,[1]!Table1[Shift_ID],[1]!Table1[Shift_ID])</f>
        <v>S01</v>
      </c>
      <c r="M203" t="str">
        <f>_xlfn.XLOOKUP(D203,[2]!Table1[Machine_ID],[2]!Table1[Machine_ID])</f>
        <v>M005</v>
      </c>
      <c r="N203" t="str">
        <f>_xlfn.XLOOKUP(E203,[3]Sheet1!$A$2:$A$391,[3]Sheet1!$A$2:$A$391)</f>
        <v>PO10014</v>
      </c>
    </row>
    <row r="204" spans="1:14" x14ac:dyDescent="0.2">
      <c r="A204" t="s">
        <v>213</v>
      </c>
      <c r="B204" s="2">
        <v>46241</v>
      </c>
      <c r="C204" t="s">
        <v>2940</v>
      </c>
      <c r="D204" t="s">
        <v>2946</v>
      </c>
      <c r="E204" t="s">
        <v>2964</v>
      </c>
      <c r="F204" s="3">
        <v>46241.543621123797</v>
      </c>
      <c r="G204" s="3">
        <v>46241.546454551921</v>
      </c>
      <c r="H204">
        <v>4.08</v>
      </c>
      <c r="I204" t="s">
        <v>3151</v>
      </c>
      <c r="J204" t="s">
        <v>3170</v>
      </c>
      <c r="K204" t="s">
        <v>3188</v>
      </c>
      <c r="L204" t="str">
        <f>_xlfn.XLOOKUP(C204,[1]!Table1[Shift_ID],[1]!Table1[Shift_ID])</f>
        <v>S01</v>
      </c>
      <c r="M204" t="str">
        <f>_xlfn.XLOOKUP(D204,[2]!Table1[Machine_ID],[2]!Table1[Machine_ID])</f>
        <v>M005</v>
      </c>
      <c r="N204" t="str">
        <f>_xlfn.XLOOKUP(E204,[3]Sheet1!$A$2:$A$391,[3]Sheet1!$A$2:$A$391)</f>
        <v>PO10014</v>
      </c>
    </row>
    <row r="205" spans="1:14" x14ac:dyDescent="0.2">
      <c r="A205" t="s">
        <v>214</v>
      </c>
      <c r="B205" s="2">
        <v>46241</v>
      </c>
      <c r="C205" t="s">
        <v>2940</v>
      </c>
      <c r="D205" t="s">
        <v>2947</v>
      </c>
      <c r="E205" t="s">
        <v>2964</v>
      </c>
      <c r="F205" s="3">
        <v>46241.481319255778</v>
      </c>
      <c r="G205" s="3">
        <v>46241.484075476517</v>
      </c>
      <c r="H205">
        <v>3.97</v>
      </c>
      <c r="I205" t="s">
        <v>3149</v>
      </c>
      <c r="J205" t="s">
        <v>3168</v>
      </c>
      <c r="K205" t="s">
        <v>3182</v>
      </c>
      <c r="L205" t="str">
        <f>_xlfn.XLOOKUP(C205,[1]!Table1[Shift_ID],[1]!Table1[Shift_ID])</f>
        <v>S01</v>
      </c>
      <c r="M205" t="str">
        <f>_xlfn.XLOOKUP(D205,[2]!Table1[Machine_ID],[2]!Table1[Machine_ID])</f>
        <v>M006</v>
      </c>
      <c r="N205" t="str">
        <f>_xlfn.XLOOKUP(E205,[3]Sheet1!$A$2:$A$391,[3]Sheet1!$A$2:$A$391)</f>
        <v>PO10014</v>
      </c>
    </row>
    <row r="206" spans="1:14" x14ac:dyDescent="0.2">
      <c r="A206" t="s">
        <v>215</v>
      </c>
      <c r="B206" s="2">
        <v>46241</v>
      </c>
      <c r="C206" t="s">
        <v>2940</v>
      </c>
      <c r="D206" t="s">
        <v>2947</v>
      </c>
      <c r="E206" t="s">
        <v>2964</v>
      </c>
      <c r="F206" s="3">
        <v>46241.554353722131</v>
      </c>
      <c r="G206" s="3">
        <v>46241.58057529838</v>
      </c>
      <c r="H206">
        <v>37.76</v>
      </c>
      <c r="I206" t="s">
        <v>3150</v>
      </c>
      <c r="J206" t="s">
        <v>3163</v>
      </c>
      <c r="K206" t="s">
        <v>3178</v>
      </c>
      <c r="L206" t="str">
        <f>_xlfn.XLOOKUP(C206,[1]!Table1[Shift_ID],[1]!Table1[Shift_ID])</f>
        <v>S01</v>
      </c>
      <c r="M206" t="str">
        <f>_xlfn.XLOOKUP(D206,[2]!Table1[Machine_ID],[2]!Table1[Machine_ID])</f>
        <v>M006</v>
      </c>
      <c r="N206" t="str">
        <f>_xlfn.XLOOKUP(E206,[3]Sheet1!$A$2:$A$391,[3]Sheet1!$A$2:$A$391)</f>
        <v>PO10014</v>
      </c>
    </row>
    <row r="207" spans="1:14" x14ac:dyDescent="0.2">
      <c r="A207" t="s">
        <v>216</v>
      </c>
      <c r="B207" s="2">
        <v>46241</v>
      </c>
      <c r="C207" t="s">
        <v>2940</v>
      </c>
      <c r="D207" t="s">
        <v>2948</v>
      </c>
      <c r="E207" t="s">
        <v>2964</v>
      </c>
      <c r="F207" s="3">
        <v>46241.269943725449</v>
      </c>
      <c r="G207" s="3">
        <v>46241.275474383299</v>
      </c>
      <c r="H207">
        <v>7.96</v>
      </c>
      <c r="I207" t="s">
        <v>3149</v>
      </c>
      <c r="J207" t="s">
        <v>3168</v>
      </c>
      <c r="K207" t="s">
        <v>3182</v>
      </c>
      <c r="L207" t="str">
        <f>_xlfn.XLOOKUP(C207,[1]!Table1[Shift_ID],[1]!Table1[Shift_ID])</f>
        <v>S01</v>
      </c>
      <c r="M207" t="str">
        <f>_xlfn.XLOOKUP(D207,[2]!Table1[Machine_ID],[2]!Table1[Machine_ID])</f>
        <v>M007</v>
      </c>
      <c r="N207" t="str">
        <f>_xlfn.XLOOKUP(E207,[3]Sheet1!$A$2:$A$391,[3]Sheet1!$A$2:$A$391)</f>
        <v>PO10014</v>
      </c>
    </row>
    <row r="208" spans="1:14" x14ac:dyDescent="0.2">
      <c r="A208" t="s">
        <v>217</v>
      </c>
      <c r="B208" s="2">
        <v>46241</v>
      </c>
      <c r="C208" t="s">
        <v>2940</v>
      </c>
      <c r="D208" t="s">
        <v>2948</v>
      </c>
      <c r="E208" t="s">
        <v>2964</v>
      </c>
      <c r="F208" s="3">
        <v>46241.381382494437</v>
      </c>
      <c r="G208" s="3">
        <v>46241.383368304603</v>
      </c>
      <c r="H208">
        <v>2.86</v>
      </c>
      <c r="I208" t="s">
        <v>3148</v>
      </c>
      <c r="J208" t="s">
        <v>3165</v>
      </c>
      <c r="K208" t="s">
        <v>3183</v>
      </c>
      <c r="L208" t="str">
        <f>_xlfn.XLOOKUP(C208,[1]!Table1[Shift_ID],[1]!Table1[Shift_ID])</f>
        <v>S01</v>
      </c>
      <c r="M208" t="str">
        <f>_xlfn.XLOOKUP(D208,[2]!Table1[Machine_ID],[2]!Table1[Machine_ID])</f>
        <v>M007</v>
      </c>
      <c r="N208" t="str">
        <f>_xlfn.XLOOKUP(E208,[3]Sheet1!$A$2:$A$391,[3]Sheet1!$A$2:$A$391)</f>
        <v>PO10014</v>
      </c>
    </row>
    <row r="209" spans="1:14" x14ac:dyDescent="0.2">
      <c r="A209" t="s">
        <v>218</v>
      </c>
      <c r="B209" s="2">
        <v>46241</v>
      </c>
      <c r="C209" t="s">
        <v>2940</v>
      </c>
      <c r="D209" t="s">
        <v>2948</v>
      </c>
      <c r="E209" t="s">
        <v>2964</v>
      </c>
      <c r="F209" s="3">
        <v>46241.473018049328</v>
      </c>
      <c r="G209" s="3">
        <v>46241.476368141819</v>
      </c>
      <c r="H209">
        <v>4.82</v>
      </c>
      <c r="I209" t="s">
        <v>3151</v>
      </c>
      <c r="J209" t="s">
        <v>3170</v>
      </c>
      <c r="K209" t="s">
        <v>3188</v>
      </c>
      <c r="L209" t="str">
        <f>_xlfn.XLOOKUP(C209,[1]!Table1[Shift_ID],[1]!Table1[Shift_ID])</f>
        <v>S01</v>
      </c>
      <c r="M209" t="str">
        <f>_xlfn.XLOOKUP(D209,[2]!Table1[Machine_ID],[2]!Table1[Machine_ID])</f>
        <v>M007</v>
      </c>
      <c r="N209" t="str">
        <f>_xlfn.XLOOKUP(E209,[3]Sheet1!$A$2:$A$391,[3]Sheet1!$A$2:$A$391)</f>
        <v>PO10014</v>
      </c>
    </row>
    <row r="210" spans="1:14" x14ac:dyDescent="0.2">
      <c r="A210" t="s">
        <v>219</v>
      </c>
      <c r="B210" s="2">
        <v>46241</v>
      </c>
      <c r="C210" t="s">
        <v>2940</v>
      </c>
      <c r="D210" t="s">
        <v>2949</v>
      </c>
      <c r="E210" t="s">
        <v>2964</v>
      </c>
      <c r="F210" s="3">
        <v>46241.529323151088</v>
      </c>
      <c r="G210" s="3">
        <v>46241.535738342398</v>
      </c>
      <c r="H210">
        <v>9.24</v>
      </c>
      <c r="I210" t="s">
        <v>3146</v>
      </c>
      <c r="J210" t="s">
        <v>3156</v>
      </c>
      <c r="K210" t="s">
        <v>3171</v>
      </c>
      <c r="L210" t="str">
        <f>_xlfn.XLOOKUP(C210,[1]!Table1[Shift_ID],[1]!Table1[Shift_ID])</f>
        <v>S01</v>
      </c>
      <c r="M210" t="str">
        <f>_xlfn.XLOOKUP(D210,[2]!Table1[Machine_ID],[2]!Table1[Machine_ID])</f>
        <v>M008</v>
      </c>
      <c r="N210" t="str">
        <f>_xlfn.XLOOKUP(E210,[3]Sheet1!$A$2:$A$391,[3]Sheet1!$A$2:$A$391)</f>
        <v>PO10014</v>
      </c>
    </row>
    <row r="211" spans="1:14" x14ac:dyDescent="0.2">
      <c r="A211" t="s">
        <v>220</v>
      </c>
      <c r="B211" s="2">
        <v>46241</v>
      </c>
      <c r="C211" t="s">
        <v>2941</v>
      </c>
      <c r="D211" t="s">
        <v>2942</v>
      </c>
      <c r="E211" t="s">
        <v>2965</v>
      </c>
      <c r="F211" s="3">
        <v>46241.71200490855</v>
      </c>
      <c r="G211" s="3">
        <v>46241.717404054623</v>
      </c>
      <c r="H211">
        <v>7.77</v>
      </c>
      <c r="I211" t="s">
        <v>3149</v>
      </c>
      <c r="J211" t="s">
        <v>3158</v>
      </c>
      <c r="K211" t="s">
        <v>3182</v>
      </c>
      <c r="L211" t="str">
        <f>_xlfn.XLOOKUP(C211,[1]!Table1[Shift_ID],[1]!Table1[Shift_ID])</f>
        <v>S02</v>
      </c>
      <c r="M211" t="str">
        <f>_xlfn.XLOOKUP(D211,[2]!Table1[Machine_ID],[2]!Table1[Machine_ID])</f>
        <v>M001</v>
      </c>
      <c r="N211" t="str">
        <f>_xlfn.XLOOKUP(E211,[3]Sheet1!$A$2:$A$391,[3]Sheet1!$A$2:$A$391)</f>
        <v>PO10015</v>
      </c>
    </row>
    <row r="212" spans="1:14" x14ac:dyDescent="0.2">
      <c r="A212" t="s">
        <v>221</v>
      </c>
      <c r="B212" s="2">
        <v>46241</v>
      </c>
      <c r="C212" t="s">
        <v>2941</v>
      </c>
      <c r="D212" t="s">
        <v>2943</v>
      </c>
      <c r="E212" t="s">
        <v>2965</v>
      </c>
      <c r="F212" s="3">
        <v>46241.682731245928</v>
      </c>
      <c r="G212" s="3">
        <v>46241.687601728852</v>
      </c>
      <c r="H212">
        <v>7.01</v>
      </c>
      <c r="I212" t="s">
        <v>3147</v>
      </c>
      <c r="J212" t="s">
        <v>3153</v>
      </c>
      <c r="K212" t="s">
        <v>3185</v>
      </c>
      <c r="L212" t="str">
        <f>_xlfn.XLOOKUP(C212,[1]!Table1[Shift_ID],[1]!Table1[Shift_ID])</f>
        <v>S02</v>
      </c>
      <c r="M212" t="str">
        <f>_xlfn.XLOOKUP(D212,[2]!Table1[Machine_ID],[2]!Table1[Machine_ID])</f>
        <v>M002</v>
      </c>
      <c r="N212" t="str">
        <f>_xlfn.XLOOKUP(E212,[3]Sheet1!$A$2:$A$391,[3]Sheet1!$A$2:$A$391)</f>
        <v>PO10015</v>
      </c>
    </row>
    <row r="213" spans="1:14" x14ac:dyDescent="0.2">
      <c r="A213" t="s">
        <v>222</v>
      </c>
      <c r="B213" s="2">
        <v>46241</v>
      </c>
      <c r="C213" t="s">
        <v>2941</v>
      </c>
      <c r="D213" t="s">
        <v>2943</v>
      </c>
      <c r="E213" t="s">
        <v>2965</v>
      </c>
      <c r="F213" s="3">
        <v>46241.894699087818</v>
      </c>
      <c r="G213" s="3">
        <v>46241.898820766182</v>
      </c>
      <c r="H213">
        <v>5.94</v>
      </c>
      <c r="I213" t="s">
        <v>3150</v>
      </c>
      <c r="J213" t="s">
        <v>3160</v>
      </c>
      <c r="K213" t="s">
        <v>3178</v>
      </c>
      <c r="L213" t="str">
        <f>_xlfn.XLOOKUP(C213,[1]!Table1[Shift_ID],[1]!Table1[Shift_ID])</f>
        <v>S02</v>
      </c>
      <c r="M213" t="str">
        <f>_xlfn.XLOOKUP(D213,[2]!Table1[Machine_ID],[2]!Table1[Machine_ID])</f>
        <v>M002</v>
      </c>
      <c r="N213" t="str">
        <f>_xlfn.XLOOKUP(E213,[3]Sheet1!$A$2:$A$391,[3]Sheet1!$A$2:$A$391)</f>
        <v>PO10015</v>
      </c>
    </row>
    <row r="214" spans="1:14" x14ac:dyDescent="0.2">
      <c r="A214" t="s">
        <v>223</v>
      </c>
      <c r="B214" s="2">
        <v>46241</v>
      </c>
      <c r="C214" t="s">
        <v>2941</v>
      </c>
      <c r="D214" t="s">
        <v>2944</v>
      </c>
      <c r="E214" t="s">
        <v>2965</v>
      </c>
      <c r="F214" s="3">
        <v>46241.615719648493</v>
      </c>
      <c r="G214" s="3">
        <v>46241.625142553428</v>
      </c>
      <c r="H214">
        <v>13.57</v>
      </c>
      <c r="I214" t="s">
        <v>3147</v>
      </c>
      <c r="J214" t="s">
        <v>3154</v>
      </c>
      <c r="K214" t="s">
        <v>3186</v>
      </c>
      <c r="L214" t="str">
        <f>_xlfn.XLOOKUP(C214,[1]!Table1[Shift_ID],[1]!Table1[Shift_ID])</f>
        <v>S02</v>
      </c>
      <c r="M214" t="str">
        <f>_xlfn.XLOOKUP(D214,[2]!Table1[Machine_ID],[2]!Table1[Machine_ID])</f>
        <v>M003</v>
      </c>
      <c r="N214" t="str">
        <f>_xlfn.XLOOKUP(E214,[3]Sheet1!$A$2:$A$391,[3]Sheet1!$A$2:$A$391)</f>
        <v>PO10015</v>
      </c>
    </row>
    <row r="215" spans="1:14" x14ac:dyDescent="0.2">
      <c r="A215" t="s">
        <v>224</v>
      </c>
      <c r="B215" s="2">
        <v>46241</v>
      </c>
      <c r="C215" t="s">
        <v>2941</v>
      </c>
      <c r="D215" t="s">
        <v>2945</v>
      </c>
      <c r="E215" t="s">
        <v>2965</v>
      </c>
      <c r="F215" s="3">
        <v>46241.806562578822</v>
      </c>
      <c r="G215" s="3">
        <v>46241.809226541263</v>
      </c>
      <c r="H215">
        <v>3.84</v>
      </c>
      <c r="I215" t="s">
        <v>3151</v>
      </c>
      <c r="J215" t="s">
        <v>3169</v>
      </c>
      <c r="K215" t="s">
        <v>3187</v>
      </c>
      <c r="L215" t="str">
        <f>_xlfn.XLOOKUP(C215,[1]!Table1[Shift_ID],[1]!Table1[Shift_ID])</f>
        <v>S02</v>
      </c>
      <c r="M215" t="str">
        <f>_xlfn.XLOOKUP(D215,[2]!Table1[Machine_ID],[2]!Table1[Machine_ID])</f>
        <v>M004</v>
      </c>
      <c r="N215" t="str">
        <f>_xlfn.XLOOKUP(E215,[3]Sheet1!$A$2:$A$391,[3]Sheet1!$A$2:$A$391)</f>
        <v>PO10015</v>
      </c>
    </row>
    <row r="216" spans="1:14" x14ac:dyDescent="0.2">
      <c r="A216" t="s">
        <v>225</v>
      </c>
      <c r="B216" s="2">
        <v>46241</v>
      </c>
      <c r="C216" t="s">
        <v>2941</v>
      </c>
      <c r="D216" t="s">
        <v>2945</v>
      </c>
      <c r="E216" t="s">
        <v>2965</v>
      </c>
      <c r="F216" s="3">
        <v>46241.860635991041</v>
      </c>
      <c r="G216" s="3">
        <v>46241.866881258939</v>
      </c>
      <c r="H216">
        <v>8.99</v>
      </c>
      <c r="I216" t="s">
        <v>3150</v>
      </c>
      <c r="J216" t="s">
        <v>3166</v>
      </c>
      <c r="K216" t="s">
        <v>3177</v>
      </c>
      <c r="L216" t="str">
        <f>_xlfn.XLOOKUP(C216,[1]!Table1[Shift_ID],[1]!Table1[Shift_ID])</f>
        <v>S02</v>
      </c>
      <c r="M216" t="str">
        <f>_xlfn.XLOOKUP(D216,[2]!Table1[Machine_ID],[2]!Table1[Machine_ID])</f>
        <v>M004</v>
      </c>
      <c r="N216" t="str">
        <f>_xlfn.XLOOKUP(E216,[3]Sheet1!$A$2:$A$391,[3]Sheet1!$A$2:$A$391)</f>
        <v>PO10015</v>
      </c>
    </row>
    <row r="217" spans="1:14" x14ac:dyDescent="0.2">
      <c r="A217" t="s">
        <v>226</v>
      </c>
      <c r="B217" s="2">
        <v>46241</v>
      </c>
      <c r="C217" t="s">
        <v>2941</v>
      </c>
      <c r="D217" t="s">
        <v>2946</v>
      </c>
      <c r="E217" t="s">
        <v>2965</v>
      </c>
      <c r="F217" s="3">
        <v>46241.755616367802</v>
      </c>
      <c r="G217" s="3">
        <v>46241.760396439582</v>
      </c>
      <c r="H217">
        <v>6.88</v>
      </c>
      <c r="I217" t="s">
        <v>3150</v>
      </c>
      <c r="J217" t="s">
        <v>3159</v>
      </c>
      <c r="K217" t="s">
        <v>3177</v>
      </c>
      <c r="L217" t="str">
        <f>_xlfn.XLOOKUP(C217,[1]!Table1[Shift_ID],[1]!Table1[Shift_ID])</f>
        <v>S02</v>
      </c>
      <c r="M217" t="str">
        <f>_xlfn.XLOOKUP(D217,[2]!Table1[Machine_ID],[2]!Table1[Machine_ID])</f>
        <v>M005</v>
      </c>
      <c r="N217" t="str">
        <f>_xlfn.XLOOKUP(E217,[3]Sheet1!$A$2:$A$391,[3]Sheet1!$A$2:$A$391)</f>
        <v>PO10015</v>
      </c>
    </row>
    <row r="218" spans="1:14" x14ac:dyDescent="0.2">
      <c r="A218" t="s">
        <v>227</v>
      </c>
      <c r="B218" s="2">
        <v>46241</v>
      </c>
      <c r="C218" t="s">
        <v>2941</v>
      </c>
      <c r="D218" t="s">
        <v>2946</v>
      </c>
      <c r="E218" t="s">
        <v>2965</v>
      </c>
      <c r="F218" s="3">
        <v>46241.803156705413</v>
      </c>
      <c r="G218" s="3">
        <v>46241.805144470381</v>
      </c>
      <c r="H218">
        <v>2.86</v>
      </c>
      <c r="I218" t="s">
        <v>3150</v>
      </c>
      <c r="J218" t="s">
        <v>3166</v>
      </c>
      <c r="K218" t="s">
        <v>3179</v>
      </c>
      <c r="L218" t="str">
        <f>_xlfn.XLOOKUP(C218,[1]!Table1[Shift_ID],[1]!Table1[Shift_ID])</f>
        <v>S02</v>
      </c>
      <c r="M218" t="str">
        <f>_xlfn.XLOOKUP(D218,[2]!Table1[Machine_ID],[2]!Table1[Machine_ID])</f>
        <v>M005</v>
      </c>
      <c r="N218" t="str">
        <f>_xlfn.XLOOKUP(E218,[3]Sheet1!$A$2:$A$391,[3]Sheet1!$A$2:$A$391)</f>
        <v>PO10015</v>
      </c>
    </row>
    <row r="219" spans="1:14" x14ac:dyDescent="0.2">
      <c r="A219" t="s">
        <v>228</v>
      </c>
      <c r="B219" s="2">
        <v>46241</v>
      </c>
      <c r="C219" t="s">
        <v>2941</v>
      </c>
      <c r="D219" t="s">
        <v>2947</v>
      </c>
      <c r="E219" t="s">
        <v>2965</v>
      </c>
      <c r="F219" s="3">
        <v>46241.602856858342</v>
      </c>
      <c r="G219" s="3">
        <v>46241.613835530392</v>
      </c>
      <c r="H219">
        <v>15.81</v>
      </c>
      <c r="I219" t="s">
        <v>3150</v>
      </c>
      <c r="J219" t="s">
        <v>3166</v>
      </c>
      <c r="K219" t="s">
        <v>3178</v>
      </c>
      <c r="L219" t="str">
        <f>_xlfn.XLOOKUP(C219,[1]!Table1[Shift_ID],[1]!Table1[Shift_ID])</f>
        <v>S02</v>
      </c>
      <c r="M219" t="str">
        <f>_xlfn.XLOOKUP(D219,[2]!Table1[Machine_ID],[2]!Table1[Machine_ID])</f>
        <v>M006</v>
      </c>
      <c r="N219" t="str">
        <f>_xlfn.XLOOKUP(E219,[3]Sheet1!$A$2:$A$391,[3]Sheet1!$A$2:$A$391)</f>
        <v>PO10015</v>
      </c>
    </row>
    <row r="220" spans="1:14" x14ac:dyDescent="0.2">
      <c r="A220" t="s">
        <v>229</v>
      </c>
      <c r="B220" s="2">
        <v>46241</v>
      </c>
      <c r="C220" t="s">
        <v>2941</v>
      </c>
      <c r="D220" t="s">
        <v>2947</v>
      </c>
      <c r="E220" t="s">
        <v>2965</v>
      </c>
      <c r="F220" s="3">
        <v>46241.637951216238</v>
      </c>
      <c r="G220" s="3">
        <v>46241.654214054179</v>
      </c>
      <c r="H220">
        <v>23.42</v>
      </c>
      <c r="I220" t="s">
        <v>3150</v>
      </c>
      <c r="J220" t="s">
        <v>3159</v>
      </c>
      <c r="K220" t="s">
        <v>3179</v>
      </c>
      <c r="L220" t="str">
        <f>_xlfn.XLOOKUP(C220,[1]!Table1[Shift_ID],[1]!Table1[Shift_ID])</f>
        <v>S02</v>
      </c>
      <c r="M220" t="str">
        <f>_xlfn.XLOOKUP(D220,[2]!Table1[Machine_ID],[2]!Table1[Machine_ID])</f>
        <v>M006</v>
      </c>
      <c r="N220" t="str">
        <f>_xlfn.XLOOKUP(E220,[3]Sheet1!$A$2:$A$391,[3]Sheet1!$A$2:$A$391)</f>
        <v>PO10015</v>
      </c>
    </row>
    <row r="221" spans="1:14" x14ac:dyDescent="0.2">
      <c r="A221" t="s">
        <v>230</v>
      </c>
      <c r="B221" s="2">
        <v>46241</v>
      </c>
      <c r="C221" t="s">
        <v>2941</v>
      </c>
      <c r="D221" t="s">
        <v>2948</v>
      </c>
      <c r="E221" t="s">
        <v>2965</v>
      </c>
      <c r="F221" s="3">
        <v>46241.836853664077</v>
      </c>
      <c r="G221" s="3">
        <v>46241.853692535893</v>
      </c>
      <c r="H221">
        <v>24.25</v>
      </c>
      <c r="I221" t="s">
        <v>3150</v>
      </c>
      <c r="J221" t="s">
        <v>3160</v>
      </c>
      <c r="K221" t="s">
        <v>3179</v>
      </c>
      <c r="L221" t="str">
        <f>_xlfn.XLOOKUP(C221,[1]!Table1[Shift_ID],[1]!Table1[Shift_ID])</f>
        <v>S02</v>
      </c>
      <c r="M221" t="str">
        <f>_xlfn.XLOOKUP(D221,[2]!Table1[Machine_ID],[2]!Table1[Machine_ID])</f>
        <v>M007</v>
      </c>
      <c r="N221" t="str">
        <f>_xlfn.XLOOKUP(E221,[3]Sheet1!$A$2:$A$391,[3]Sheet1!$A$2:$A$391)</f>
        <v>PO10015</v>
      </c>
    </row>
    <row r="222" spans="1:14" x14ac:dyDescent="0.2">
      <c r="A222" t="s">
        <v>231</v>
      </c>
      <c r="B222" s="2">
        <v>46241</v>
      </c>
      <c r="C222" t="s">
        <v>2941</v>
      </c>
      <c r="D222" t="s">
        <v>2949</v>
      </c>
      <c r="E222" t="s">
        <v>2965</v>
      </c>
      <c r="F222" s="3">
        <v>46241.805994667287</v>
      </c>
      <c r="G222" s="3">
        <v>46241.812492626173</v>
      </c>
      <c r="H222">
        <v>9.36</v>
      </c>
      <c r="I222" t="s">
        <v>3150</v>
      </c>
      <c r="J222" t="s">
        <v>3166</v>
      </c>
      <c r="K222" t="s">
        <v>3178</v>
      </c>
      <c r="L222" t="str">
        <f>_xlfn.XLOOKUP(C222,[1]!Table1[Shift_ID],[1]!Table1[Shift_ID])</f>
        <v>S02</v>
      </c>
      <c r="M222" t="str">
        <f>_xlfn.XLOOKUP(D222,[2]!Table1[Machine_ID],[2]!Table1[Machine_ID])</f>
        <v>M008</v>
      </c>
      <c r="N222" t="str">
        <f>_xlfn.XLOOKUP(E222,[3]Sheet1!$A$2:$A$391,[3]Sheet1!$A$2:$A$391)</f>
        <v>PO10015</v>
      </c>
    </row>
    <row r="223" spans="1:14" x14ac:dyDescent="0.2">
      <c r="A223" t="s">
        <v>232</v>
      </c>
      <c r="B223" s="2">
        <v>46244</v>
      </c>
      <c r="C223" t="s">
        <v>2939</v>
      </c>
      <c r="D223" t="s">
        <v>2942</v>
      </c>
      <c r="E223" t="s">
        <v>2966</v>
      </c>
      <c r="F223" s="3">
        <v>46245.060402621988</v>
      </c>
      <c r="G223" s="3">
        <v>46245.063245472127</v>
      </c>
      <c r="H223">
        <v>4.09</v>
      </c>
      <c r="I223" t="s">
        <v>3147</v>
      </c>
      <c r="J223" t="s">
        <v>3154</v>
      </c>
      <c r="K223" t="s">
        <v>3172</v>
      </c>
      <c r="L223" t="str">
        <f>_xlfn.XLOOKUP(C223,[1]!Table1[Shift_ID],[1]!Table1[Shift_ID])</f>
        <v>S03</v>
      </c>
      <c r="M223" t="str">
        <f>_xlfn.XLOOKUP(D223,[2]!Table1[Machine_ID],[2]!Table1[Machine_ID])</f>
        <v>M001</v>
      </c>
      <c r="N223" t="str">
        <f>_xlfn.XLOOKUP(E223,[3]Sheet1!$A$2:$A$391,[3]Sheet1!$A$2:$A$391)</f>
        <v>PO10016</v>
      </c>
    </row>
    <row r="224" spans="1:14" x14ac:dyDescent="0.2">
      <c r="A224" t="s">
        <v>233</v>
      </c>
      <c r="B224" s="2">
        <v>46244</v>
      </c>
      <c r="C224" t="s">
        <v>2939</v>
      </c>
      <c r="D224" t="s">
        <v>2942</v>
      </c>
      <c r="E224" t="s">
        <v>2966</v>
      </c>
      <c r="F224" s="3">
        <v>46245.138171118087</v>
      </c>
      <c r="G224" s="3">
        <v>46245.140792221588</v>
      </c>
      <c r="H224">
        <v>3.77</v>
      </c>
      <c r="I224" t="s">
        <v>3149</v>
      </c>
      <c r="J224" t="s">
        <v>3168</v>
      </c>
      <c r="K224" t="s">
        <v>3184</v>
      </c>
      <c r="L224" t="str">
        <f>_xlfn.XLOOKUP(C224,[1]!Table1[Shift_ID],[1]!Table1[Shift_ID])</f>
        <v>S03</v>
      </c>
      <c r="M224" t="str">
        <f>_xlfn.XLOOKUP(D224,[2]!Table1[Machine_ID],[2]!Table1[Machine_ID])</f>
        <v>M001</v>
      </c>
      <c r="N224" t="str">
        <f>_xlfn.XLOOKUP(E224,[3]Sheet1!$A$2:$A$391,[3]Sheet1!$A$2:$A$391)</f>
        <v>PO10016</v>
      </c>
    </row>
    <row r="225" spans="1:14" x14ac:dyDescent="0.2">
      <c r="A225" t="s">
        <v>234</v>
      </c>
      <c r="B225" s="2">
        <v>46244</v>
      </c>
      <c r="C225" t="s">
        <v>2939</v>
      </c>
      <c r="D225" t="s">
        <v>2942</v>
      </c>
      <c r="E225" t="s">
        <v>2966</v>
      </c>
      <c r="F225" s="3">
        <v>46245.216101500817</v>
      </c>
      <c r="G225" s="3">
        <v>46245.21792151565</v>
      </c>
      <c r="H225">
        <v>2.62</v>
      </c>
      <c r="I225" t="s">
        <v>3147</v>
      </c>
      <c r="J225" t="s">
        <v>3167</v>
      </c>
      <c r="K225" t="s">
        <v>3185</v>
      </c>
      <c r="L225" t="str">
        <f>_xlfn.XLOOKUP(C225,[1]!Table1[Shift_ID],[1]!Table1[Shift_ID])</f>
        <v>S03</v>
      </c>
      <c r="M225" t="str">
        <f>_xlfn.XLOOKUP(D225,[2]!Table1[Machine_ID],[2]!Table1[Machine_ID])</f>
        <v>M001</v>
      </c>
      <c r="N225" t="str">
        <f>_xlfn.XLOOKUP(E225,[3]Sheet1!$A$2:$A$391,[3]Sheet1!$A$2:$A$391)</f>
        <v>PO10016</v>
      </c>
    </row>
    <row r="226" spans="1:14" x14ac:dyDescent="0.2">
      <c r="A226" t="s">
        <v>235</v>
      </c>
      <c r="B226" s="2">
        <v>46244</v>
      </c>
      <c r="C226" t="s">
        <v>2939</v>
      </c>
      <c r="D226" t="s">
        <v>2943</v>
      </c>
      <c r="E226" t="s">
        <v>2966</v>
      </c>
      <c r="F226" s="3">
        <v>46245.149177925618</v>
      </c>
      <c r="G226" s="3">
        <v>46245.156231720022</v>
      </c>
      <c r="H226">
        <v>10.16</v>
      </c>
      <c r="I226" t="s">
        <v>3151</v>
      </c>
      <c r="J226" t="s">
        <v>3170</v>
      </c>
      <c r="K226" t="s">
        <v>3181</v>
      </c>
      <c r="L226" t="str">
        <f>_xlfn.XLOOKUP(C226,[1]!Table1[Shift_ID],[1]!Table1[Shift_ID])</f>
        <v>S03</v>
      </c>
      <c r="M226" t="str">
        <f>_xlfn.XLOOKUP(D226,[2]!Table1[Machine_ID],[2]!Table1[Machine_ID])</f>
        <v>M002</v>
      </c>
      <c r="N226" t="str">
        <f>_xlfn.XLOOKUP(E226,[3]Sheet1!$A$2:$A$391,[3]Sheet1!$A$2:$A$391)</f>
        <v>PO10016</v>
      </c>
    </row>
    <row r="227" spans="1:14" x14ac:dyDescent="0.2">
      <c r="A227" t="s">
        <v>236</v>
      </c>
      <c r="B227" s="2">
        <v>46244</v>
      </c>
      <c r="C227" t="s">
        <v>2939</v>
      </c>
      <c r="D227" t="s">
        <v>2944</v>
      </c>
      <c r="E227" t="s">
        <v>2966</v>
      </c>
      <c r="F227" s="3">
        <v>46244.981249925353</v>
      </c>
      <c r="G227" s="3">
        <v>46244.983682045888</v>
      </c>
      <c r="H227">
        <v>3.5</v>
      </c>
      <c r="I227" t="s">
        <v>3147</v>
      </c>
      <c r="J227" t="s">
        <v>3154</v>
      </c>
      <c r="K227" t="s">
        <v>3172</v>
      </c>
      <c r="L227" t="str">
        <f>_xlfn.XLOOKUP(C227,[1]!Table1[Shift_ID],[1]!Table1[Shift_ID])</f>
        <v>S03</v>
      </c>
      <c r="M227" t="str">
        <f>_xlfn.XLOOKUP(D227,[2]!Table1[Machine_ID],[2]!Table1[Machine_ID])</f>
        <v>M003</v>
      </c>
      <c r="N227" t="str">
        <f>_xlfn.XLOOKUP(E227,[3]Sheet1!$A$2:$A$391,[3]Sheet1!$A$2:$A$391)</f>
        <v>PO10016</v>
      </c>
    </row>
    <row r="228" spans="1:14" x14ac:dyDescent="0.2">
      <c r="A228" t="s">
        <v>237</v>
      </c>
      <c r="B228" s="2">
        <v>46244</v>
      </c>
      <c r="C228" t="s">
        <v>2939</v>
      </c>
      <c r="D228" t="s">
        <v>2944</v>
      </c>
      <c r="E228" t="s">
        <v>2966</v>
      </c>
      <c r="F228" s="3">
        <v>46245.04145071243</v>
      </c>
      <c r="G228" s="3">
        <v>46245.052294428897</v>
      </c>
      <c r="H228">
        <v>15.61</v>
      </c>
      <c r="I228" t="s">
        <v>3149</v>
      </c>
      <c r="J228" t="s">
        <v>3168</v>
      </c>
      <c r="K228" t="s">
        <v>3184</v>
      </c>
      <c r="L228" t="str">
        <f>_xlfn.XLOOKUP(C228,[1]!Table1[Shift_ID],[1]!Table1[Shift_ID])</f>
        <v>S03</v>
      </c>
      <c r="M228" t="str">
        <f>_xlfn.XLOOKUP(D228,[2]!Table1[Machine_ID],[2]!Table1[Machine_ID])</f>
        <v>M003</v>
      </c>
      <c r="N228" t="str">
        <f>_xlfn.XLOOKUP(E228,[3]Sheet1!$A$2:$A$391,[3]Sheet1!$A$2:$A$391)</f>
        <v>PO10016</v>
      </c>
    </row>
    <row r="229" spans="1:14" x14ac:dyDescent="0.2">
      <c r="A229" t="s">
        <v>238</v>
      </c>
      <c r="B229" s="2">
        <v>46244</v>
      </c>
      <c r="C229" t="s">
        <v>2939</v>
      </c>
      <c r="D229" t="s">
        <v>2945</v>
      </c>
      <c r="E229" t="s">
        <v>2966</v>
      </c>
      <c r="F229" s="3">
        <v>46244.975002714062</v>
      </c>
      <c r="G229" s="3">
        <v>46244.976891317972</v>
      </c>
      <c r="H229">
        <v>2.72</v>
      </c>
      <c r="I229" t="s">
        <v>3151</v>
      </c>
      <c r="J229" t="s">
        <v>3161</v>
      </c>
      <c r="K229" t="s">
        <v>3187</v>
      </c>
      <c r="L229" t="str">
        <f>_xlfn.XLOOKUP(C229,[1]!Table1[Shift_ID],[1]!Table1[Shift_ID])</f>
        <v>S03</v>
      </c>
      <c r="M229" t="str">
        <f>_xlfn.XLOOKUP(D229,[2]!Table1[Machine_ID],[2]!Table1[Machine_ID])</f>
        <v>M004</v>
      </c>
      <c r="N229" t="str">
        <f>_xlfn.XLOOKUP(E229,[3]Sheet1!$A$2:$A$391,[3]Sheet1!$A$2:$A$391)</f>
        <v>PO10016</v>
      </c>
    </row>
    <row r="230" spans="1:14" x14ac:dyDescent="0.2">
      <c r="A230" t="s">
        <v>239</v>
      </c>
      <c r="B230" s="2">
        <v>46244</v>
      </c>
      <c r="C230" t="s">
        <v>2939</v>
      </c>
      <c r="D230" t="s">
        <v>2945</v>
      </c>
      <c r="E230" t="s">
        <v>2966</v>
      </c>
      <c r="F230" s="3">
        <v>46245.082061735789</v>
      </c>
      <c r="G230" s="3">
        <v>46245.0862335606</v>
      </c>
      <c r="H230">
        <v>6.01</v>
      </c>
      <c r="I230" t="s">
        <v>3146</v>
      </c>
      <c r="J230" t="s">
        <v>3157</v>
      </c>
      <c r="K230" t="s">
        <v>3171</v>
      </c>
      <c r="L230" t="str">
        <f>_xlfn.XLOOKUP(C230,[1]!Table1[Shift_ID],[1]!Table1[Shift_ID])</f>
        <v>S03</v>
      </c>
      <c r="M230" t="str">
        <f>_xlfn.XLOOKUP(D230,[2]!Table1[Machine_ID],[2]!Table1[Machine_ID])</f>
        <v>M004</v>
      </c>
      <c r="N230" t="str">
        <f>_xlfn.XLOOKUP(E230,[3]Sheet1!$A$2:$A$391,[3]Sheet1!$A$2:$A$391)</f>
        <v>PO10016</v>
      </c>
    </row>
    <row r="231" spans="1:14" x14ac:dyDescent="0.2">
      <c r="A231" t="s">
        <v>240</v>
      </c>
      <c r="B231" s="2">
        <v>46244</v>
      </c>
      <c r="C231" t="s">
        <v>2939</v>
      </c>
      <c r="D231" t="s">
        <v>2946</v>
      </c>
      <c r="E231" t="s">
        <v>2966</v>
      </c>
      <c r="F231" s="3">
        <v>46245.09694888036</v>
      </c>
      <c r="G231" s="3">
        <v>46245.106610341682</v>
      </c>
      <c r="H231">
        <v>13.91</v>
      </c>
      <c r="I231" t="s">
        <v>3149</v>
      </c>
      <c r="J231" t="s">
        <v>3162</v>
      </c>
      <c r="K231" t="s">
        <v>3184</v>
      </c>
      <c r="L231" t="str">
        <f>_xlfn.XLOOKUP(C231,[1]!Table1[Shift_ID],[1]!Table1[Shift_ID])</f>
        <v>S03</v>
      </c>
      <c r="M231" t="str">
        <f>_xlfn.XLOOKUP(D231,[2]!Table1[Machine_ID],[2]!Table1[Machine_ID])</f>
        <v>M005</v>
      </c>
      <c r="N231" t="str">
        <f>_xlfn.XLOOKUP(E231,[3]Sheet1!$A$2:$A$391,[3]Sheet1!$A$2:$A$391)</f>
        <v>PO10016</v>
      </c>
    </row>
    <row r="232" spans="1:14" x14ac:dyDescent="0.2">
      <c r="A232" t="s">
        <v>241</v>
      </c>
      <c r="B232" s="2">
        <v>46244</v>
      </c>
      <c r="C232" t="s">
        <v>2939</v>
      </c>
      <c r="D232" t="s">
        <v>2947</v>
      </c>
      <c r="E232" t="s">
        <v>2966</v>
      </c>
      <c r="F232" s="3">
        <v>46244.947439595628</v>
      </c>
      <c r="G232" s="3">
        <v>46244.965423341077</v>
      </c>
      <c r="H232">
        <v>25.9</v>
      </c>
      <c r="I232" t="s">
        <v>3150</v>
      </c>
      <c r="J232" t="s">
        <v>3166</v>
      </c>
      <c r="K232" t="s">
        <v>3177</v>
      </c>
      <c r="L232" t="str">
        <f>_xlfn.XLOOKUP(C232,[1]!Table1[Shift_ID],[1]!Table1[Shift_ID])</f>
        <v>S03</v>
      </c>
      <c r="M232" t="str">
        <f>_xlfn.XLOOKUP(D232,[2]!Table1[Machine_ID],[2]!Table1[Machine_ID])</f>
        <v>M006</v>
      </c>
      <c r="N232" t="str">
        <f>_xlfn.XLOOKUP(E232,[3]Sheet1!$A$2:$A$391,[3]Sheet1!$A$2:$A$391)</f>
        <v>PO10016</v>
      </c>
    </row>
    <row r="233" spans="1:14" x14ac:dyDescent="0.2">
      <c r="A233" t="s">
        <v>242</v>
      </c>
      <c r="B233" s="2">
        <v>46244</v>
      </c>
      <c r="C233" t="s">
        <v>2939</v>
      </c>
      <c r="D233" t="s">
        <v>2947</v>
      </c>
      <c r="E233" t="s">
        <v>2966</v>
      </c>
      <c r="F233" s="3">
        <v>46245.007777111547</v>
      </c>
      <c r="G233" s="3">
        <v>46245.009827717207</v>
      </c>
      <c r="H233">
        <v>2.95</v>
      </c>
      <c r="I233" t="s">
        <v>3148</v>
      </c>
      <c r="J233" t="s">
        <v>3155</v>
      </c>
      <c r="K233" t="s">
        <v>3173</v>
      </c>
      <c r="L233" t="str">
        <f>_xlfn.XLOOKUP(C233,[1]!Table1[Shift_ID],[1]!Table1[Shift_ID])</f>
        <v>S03</v>
      </c>
      <c r="M233" t="str">
        <f>_xlfn.XLOOKUP(D233,[2]!Table1[Machine_ID],[2]!Table1[Machine_ID])</f>
        <v>M006</v>
      </c>
      <c r="N233" t="str">
        <f>_xlfn.XLOOKUP(E233,[3]Sheet1!$A$2:$A$391,[3]Sheet1!$A$2:$A$391)</f>
        <v>PO10016</v>
      </c>
    </row>
    <row r="234" spans="1:14" x14ac:dyDescent="0.2">
      <c r="A234" t="s">
        <v>243</v>
      </c>
      <c r="B234" s="2">
        <v>46244</v>
      </c>
      <c r="C234" t="s">
        <v>2939</v>
      </c>
      <c r="D234" t="s">
        <v>2947</v>
      </c>
      <c r="E234" t="s">
        <v>2966</v>
      </c>
      <c r="F234" s="3">
        <v>46245.065972127093</v>
      </c>
      <c r="G234" s="3">
        <v>46245.073397725842</v>
      </c>
      <c r="H234">
        <v>10.69</v>
      </c>
      <c r="I234" t="s">
        <v>3147</v>
      </c>
      <c r="J234" t="s">
        <v>3154</v>
      </c>
      <c r="K234" t="s">
        <v>3172</v>
      </c>
      <c r="L234" t="str">
        <f>_xlfn.XLOOKUP(C234,[1]!Table1[Shift_ID],[1]!Table1[Shift_ID])</f>
        <v>S03</v>
      </c>
      <c r="M234" t="str">
        <f>_xlfn.XLOOKUP(D234,[2]!Table1[Machine_ID],[2]!Table1[Machine_ID])</f>
        <v>M006</v>
      </c>
      <c r="N234" t="str">
        <f>_xlfn.XLOOKUP(E234,[3]Sheet1!$A$2:$A$391,[3]Sheet1!$A$2:$A$391)</f>
        <v>PO10016</v>
      </c>
    </row>
    <row r="235" spans="1:14" x14ac:dyDescent="0.2">
      <c r="A235" t="s">
        <v>244</v>
      </c>
      <c r="B235" s="2">
        <v>46244</v>
      </c>
      <c r="C235" t="s">
        <v>2939</v>
      </c>
      <c r="D235" t="s">
        <v>2948</v>
      </c>
      <c r="E235" t="s">
        <v>2966</v>
      </c>
      <c r="F235" s="3">
        <v>46245.037806551503</v>
      </c>
      <c r="G235" s="3">
        <v>46245.054520256548</v>
      </c>
      <c r="H235">
        <v>24.07</v>
      </c>
      <c r="I235" t="s">
        <v>3147</v>
      </c>
      <c r="J235" t="s">
        <v>3153</v>
      </c>
      <c r="K235" t="s">
        <v>3186</v>
      </c>
      <c r="L235" t="str">
        <f>_xlfn.XLOOKUP(C235,[1]!Table1[Shift_ID],[1]!Table1[Shift_ID])</f>
        <v>S03</v>
      </c>
      <c r="M235" t="str">
        <f>_xlfn.XLOOKUP(D235,[2]!Table1[Machine_ID],[2]!Table1[Machine_ID])</f>
        <v>M007</v>
      </c>
      <c r="N235" t="str">
        <f>_xlfn.XLOOKUP(E235,[3]Sheet1!$A$2:$A$391,[3]Sheet1!$A$2:$A$391)</f>
        <v>PO10016</v>
      </c>
    </row>
    <row r="236" spans="1:14" x14ac:dyDescent="0.2">
      <c r="A236" t="s">
        <v>245</v>
      </c>
      <c r="B236" s="2">
        <v>46244</v>
      </c>
      <c r="C236" t="s">
        <v>2939</v>
      </c>
      <c r="D236" t="s">
        <v>2949</v>
      </c>
      <c r="E236" t="s">
        <v>2966</v>
      </c>
      <c r="F236" s="3">
        <v>46245.002368926122</v>
      </c>
      <c r="G236" s="3">
        <v>46245.009280498227</v>
      </c>
      <c r="H236">
        <v>9.9499999999999993</v>
      </c>
      <c r="I236" t="s">
        <v>3147</v>
      </c>
      <c r="J236" t="s">
        <v>3154</v>
      </c>
      <c r="K236" t="s">
        <v>3185</v>
      </c>
      <c r="L236" t="str">
        <f>_xlfn.XLOOKUP(C236,[1]!Table1[Shift_ID],[1]!Table1[Shift_ID])</f>
        <v>S03</v>
      </c>
      <c r="M236" t="str">
        <f>_xlfn.XLOOKUP(D236,[2]!Table1[Machine_ID],[2]!Table1[Machine_ID])</f>
        <v>M008</v>
      </c>
      <c r="N236" t="str">
        <f>_xlfn.XLOOKUP(E236,[3]Sheet1!$A$2:$A$391,[3]Sheet1!$A$2:$A$391)</f>
        <v>PO10016</v>
      </c>
    </row>
    <row r="237" spans="1:14" x14ac:dyDescent="0.2">
      <c r="A237" t="s">
        <v>246</v>
      </c>
      <c r="B237" s="2">
        <v>46244</v>
      </c>
      <c r="C237" t="s">
        <v>2940</v>
      </c>
      <c r="D237" t="s">
        <v>2942</v>
      </c>
      <c r="E237" t="s">
        <v>2967</v>
      </c>
      <c r="F237" s="3">
        <v>46244.31989530522</v>
      </c>
      <c r="G237" s="3">
        <v>46244.324874078127</v>
      </c>
      <c r="H237">
        <v>7.17</v>
      </c>
      <c r="I237" t="s">
        <v>3151</v>
      </c>
      <c r="J237" t="s">
        <v>3170</v>
      </c>
      <c r="K237" t="s">
        <v>3187</v>
      </c>
      <c r="L237" t="str">
        <f>_xlfn.XLOOKUP(C237,[1]!Table1[Shift_ID],[1]!Table1[Shift_ID])</f>
        <v>S01</v>
      </c>
      <c r="M237" t="str">
        <f>_xlfn.XLOOKUP(D237,[2]!Table1[Machine_ID],[2]!Table1[Machine_ID])</f>
        <v>M001</v>
      </c>
      <c r="N237" t="str">
        <f>_xlfn.XLOOKUP(E237,[3]Sheet1!$A$2:$A$391,[3]Sheet1!$A$2:$A$391)</f>
        <v>PO10017</v>
      </c>
    </row>
    <row r="238" spans="1:14" x14ac:dyDescent="0.2">
      <c r="A238" t="s">
        <v>247</v>
      </c>
      <c r="B238" s="2">
        <v>46244</v>
      </c>
      <c r="C238" t="s">
        <v>2940</v>
      </c>
      <c r="D238" t="s">
        <v>2943</v>
      </c>
      <c r="E238" t="s">
        <v>2967</v>
      </c>
      <c r="F238" s="3">
        <v>46244.306606240541</v>
      </c>
      <c r="G238" s="3">
        <v>46244.316430273233</v>
      </c>
      <c r="H238">
        <v>14.15</v>
      </c>
      <c r="I238" t="s">
        <v>3147</v>
      </c>
      <c r="J238" t="s">
        <v>3153</v>
      </c>
      <c r="K238" t="s">
        <v>3185</v>
      </c>
      <c r="L238" t="str">
        <f>_xlfn.XLOOKUP(C238,[1]!Table1[Shift_ID],[1]!Table1[Shift_ID])</f>
        <v>S01</v>
      </c>
      <c r="M238" t="str">
        <f>_xlfn.XLOOKUP(D238,[2]!Table1[Machine_ID],[2]!Table1[Machine_ID])</f>
        <v>M002</v>
      </c>
      <c r="N238" t="str">
        <f>_xlfn.XLOOKUP(E238,[3]Sheet1!$A$2:$A$391,[3]Sheet1!$A$2:$A$391)</f>
        <v>PO10017</v>
      </c>
    </row>
    <row r="239" spans="1:14" x14ac:dyDescent="0.2">
      <c r="A239" t="s">
        <v>248</v>
      </c>
      <c r="B239" s="2">
        <v>46244</v>
      </c>
      <c r="C239" t="s">
        <v>2940</v>
      </c>
      <c r="D239" t="s">
        <v>2944</v>
      </c>
      <c r="E239" t="s">
        <v>2967</v>
      </c>
      <c r="F239" s="3">
        <v>46244.266333457053</v>
      </c>
      <c r="G239" s="3">
        <v>46244.279492156893</v>
      </c>
      <c r="H239">
        <v>18.95</v>
      </c>
      <c r="I239" t="s">
        <v>3150</v>
      </c>
      <c r="J239" t="s">
        <v>3159</v>
      </c>
      <c r="K239" t="s">
        <v>3179</v>
      </c>
      <c r="L239" t="str">
        <f>_xlfn.XLOOKUP(C239,[1]!Table1[Shift_ID],[1]!Table1[Shift_ID])</f>
        <v>S01</v>
      </c>
      <c r="M239" t="str">
        <f>_xlfn.XLOOKUP(D239,[2]!Table1[Machine_ID],[2]!Table1[Machine_ID])</f>
        <v>M003</v>
      </c>
      <c r="N239" t="str">
        <f>_xlfn.XLOOKUP(E239,[3]Sheet1!$A$2:$A$391,[3]Sheet1!$A$2:$A$391)</f>
        <v>PO10017</v>
      </c>
    </row>
    <row r="240" spans="1:14" x14ac:dyDescent="0.2">
      <c r="A240" t="s">
        <v>249</v>
      </c>
      <c r="B240" s="2">
        <v>46244</v>
      </c>
      <c r="C240" t="s">
        <v>2940</v>
      </c>
      <c r="D240" t="s">
        <v>2945</v>
      </c>
      <c r="E240" t="s">
        <v>2967</v>
      </c>
      <c r="F240" s="3">
        <v>46244.293028994041</v>
      </c>
      <c r="G240" s="3">
        <v>46244.297906032247</v>
      </c>
      <c r="H240">
        <v>7.02</v>
      </c>
      <c r="I240" t="s">
        <v>3147</v>
      </c>
      <c r="J240" t="s">
        <v>3153</v>
      </c>
      <c r="K240" t="s">
        <v>3186</v>
      </c>
      <c r="L240" t="str">
        <f>_xlfn.XLOOKUP(C240,[1]!Table1[Shift_ID],[1]!Table1[Shift_ID])</f>
        <v>S01</v>
      </c>
      <c r="M240" t="str">
        <f>_xlfn.XLOOKUP(D240,[2]!Table1[Machine_ID],[2]!Table1[Machine_ID])</f>
        <v>M004</v>
      </c>
      <c r="N240" t="str">
        <f>_xlfn.XLOOKUP(E240,[3]Sheet1!$A$2:$A$391,[3]Sheet1!$A$2:$A$391)</f>
        <v>PO10017</v>
      </c>
    </row>
    <row r="241" spans="1:14" x14ac:dyDescent="0.2">
      <c r="A241" t="s">
        <v>250</v>
      </c>
      <c r="B241" s="2">
        <v>46244</v>
      </c>
      <c r="C241" t="s">
        <v>2940</v>
      </c>
      <c r="D241" t="s">
        <v>2945</v>
      </c>
      <c r="E241" t="s">
        <v>2967</v>
      </c>
      <c r="F241" s="3">
        <v>46244.387343587281</v>
      </c>
      <c r="G241" s="3">
        <v>46244.388868549897</v>
      </c>
      <c r="H241">
        <v>2.2000000000000002</v>
      </c>
      <c r="I241" t="s">
        <v>3149</v>
      </c>
      <c r="J241" t="s">
        <v>3168</v>
      </c>
      <c r="K241" t="s">
        <v>3176</v>
      </c>
      <c r="L241" t="str">
        <f>_xlfn.XLOOKUP(C241,[1]!Table1[Shift_ID],[1]!Table1[Shift_ID])</f>
        <v>S01</v>
      </c>
      <c r="M241" t="str">
        <f>_xlfn.XLOOKUP(D241,[2]!Table1[Machine_ID],[2]!Table1[Machine_ID])</f>
        <v>M004</v>
      </c>
      <c r="N241" t="str">
        <f>_xlfn.XLOOKUP(E241,[3]Sheet1!$A$2:$A$391,[3]Sheet1!$A$2:$A$391)</f>
        <v>PO10017</v>
      </c>
    </row>
    <row r="242" spans="1:14" x14ac:dyDescent="0.2">
      <c r="A242" t="s">
        <v>251</v>
      </c>
      <c r="B242" s="2">
        <v>46244</v>
      </c>
      <c r="C242" t="s">
        <v>2940</v>
      </c>
      <c r="D242" t="s">
        <v>2945</v>
      </c>
      <c r="E242" t="s">
        <v>2967</v>
      </c>
      <c r="F242" s="3">
        <v>46244.42275009962</v>
      </c>
      <c r="G242" s="3">
        <v>46244.424275062243</v>
      </c>
      <c r="H242">
        <v>2.2000000000000002</v>
      </c>
      <c r="J242" t="s">
        <v>3167</v>
      </c>
      <c r="K242" t="s">
        <v>3185</v>
      </c>
      <c r="L242" t="str">
        <f>_xlfn.XLOOKUP(C242,[1]!Table1[Shift_ID],[1]!Table1[Shift_ID])</f>
        <v>S01</v>
      </c>
      <c r="M242" t="str">
        <f>_xlfn.XLOOKUP(D242,[2]!Table1[Machine_ID],[2]!Table1[Machine_ID])</f>
        <v>M004</v>
      </c>
      <c r="N242" t="str">
        <f>_xlfn.XLOOKUP(E242,[3]Sheet1!$A$2:$A$391,[3]Sheet1!$A$2:$A$391)</f>
        <v>PO10017</v>
      </c>
    </row>
    <row r="243" spans="1:14" x14ac:dyDescent="0.2">
      <c r="A243" t="s">
        <v>252</v>
      </c>
      <c r="B243" s="2">
        <v>46244</v>
      </c>
      <c r="C243" t="s">
        <v>2940</v>
      </c>
      <c r="D243" t="s">
        <v>2946</v>
      </c>
      <c r="E243" t="s">
        <v>2967</v>
      </c>
      <c r="F243" s="3">
        <v>46244.315807943764</v>
      </c>
      <c r="G243" s="3">
        <v>46244.3202124733</v>
      </c>
      <c r="H243">
        <v>6.34</v>
      </c>
      <c r="I243" t="s">
        <v>3150</v>
      </c>
      <c r="J243" t="s">
        <v>3159</v>
      </c>
      <c r="K243" t="s">
        <v>3177</v>
      </c>
      <c r="L243" t="str">
        <f>_xlfn.XLOOKUP(C243,[1]!Table1[Shift_ID],[1]!Table1[Shift_ID])</f>
        <v>S01</v>
      </c>
      <c r="M243" t="str">
        <f>_xlfn.XLOOKUP(D243,[2]!Table1[Machine_ID],[2]!Table1[Machine_ID])</f>
        <v>M005</v>
      </c>
      <c r="N243" t="str">
        <f>_xlfn.XLOOKUP(E243,[3]Sheet1!$A$2:$A$391,[3]Sheet1!$A$2:$A$391)</f>
        <v>PO10017</v>
      </c>
    </row>
    <row r="244" spans="1:14" x14ac:dyDescent="0.2">
      <c r="A244" t="s">
        <v>253</v>
      </c>
      <c r="B244" s="2">
        <v>46244</v>
      </c>
      <c r="C244" t="s">
        <v>2940</v>
      </c>
      <c r="D244" t="s">
        <v>2946</v>
      </c>
      <c r="E244" t="s">
        <v>2967</v>
      </c>
      <c r="F244" s="3">
        <v>46244.456668899416</v>
      </c>
      <c r="G244" s="3">
        <v>46244.460007708672</v>
      </c>
      <c r="H244">
        <v>4.8099999999999996</v>
      </c>
      <c r="I244" t="s">
        <v>3149</v>
      </c>
      <c r="J244" t="s">
        <v>3158</v>
      </c>
      <c r="K244" t="s">
        <v>3182</v>
      </c>
      <c r="L244" t="str">
        <f>_xlfn.XLOOKUP(C244,[1]!Table1[Shift_ID],[1]!Table1[Shift_ID])</f>
        <v>S01</v>
      </c>
      <c r="M244" t="str">
        <f>_xlfn.XLOOKUP(D244,[2]!Table1[Machine_ID],[2]!Table1[Machine_ID])</f>
        <v>M005</v>
      </c>
      <c r="N244" t="str">
        <f>_xlfn.XLOOKUP(E244,[3]Sheet1!$A$2:$A$391,[3]Sheet1!$A$2:$A$391)</f>
        <v>PO10017</v>
      </c>
    </row>
    <row r="245" spans="1:14" x14ac:dyDescent="0.2">
      <c r="A245" t="s">
        <v>254</v>
      </c>
      <c r="B245" s="2">
        <v>46244</v>
      </c>
      <c r="C245" t="s">
        <v>2940</v>
      </c>
      <c r="D245" t="s">
        <v>2947</v>
      </c>
      <c r="E245" t="s">
        <v>2967</v>
      </c>
      <c r="F245" s="3">
        <v>46244.325794911958</v>
      </c>
      <c r="G245" s="3">
        <v>46244.345786706712</v>
      </c>
      <c r="H245">
        <v>28.79</v>
      </c>
      <c r="I245" t="s">
        <v>3150</v>
      </c>
      <c r="J245" t="s">
        <v>3163</v>
      </c>
      <c r="K245" t="s">
        <v>3179</v>
      </c>
      <c r="L245" t="str">
        <f>_xlfn.XLOOKUP(C245,[1]!Table1[Shift_ID],[1]!Table1[Shift_ID])</f>
        <v>S01</v>
      </c>
      <c r="M245" t="str">
        <f>_xlfn.XLOOKUP(D245,[2]!Table1[Machine_ID],[2]!Table1[Machine_ID])</f>
        <v>M006</v>
      </c>
      <c r="N245" t="str">
        <f>_xlfn.XLOOKUP(E245,[3]Sheet1!$A$2:$A$391,[3]Sheet1!$A$2:$A$391)</f>
        <v>PO10017</v>
      </c>
    </row>
    <row r="246" spans="1:14" x14ac:dyDescent="0.2">
      <c r="A246" t="s">
        <v>255</v>
      </c>
      <c r="B246" s="2">
        <v>46244</v>
      </c>
      <c r="C246" t="s">
        <v>2940</v>
      </c>
      <c r="D246" t="s">
        <v>2947</v>
      </c>
      <c r="E246" t="s">
        <v>2967</v>
      </c>
      <c r="F246" s="3">
        <v>46244.473907804007</v>
      </c>
      <c r="G246" s="3">
        <v>46244.477042390281</v>
      </c>
      <c r="H246">
        <v>4.51</v>
      </c>
      <c r="I246" t="s">
        <v>3147</v>
      </c>
      <c r="J246" t="s">
        <v>3153</v>
      </c>
      <c r="K246" t="s">
        <v>3172</v>
      </c>
      <c r="L246" t="str">
        <f>_xlfn.XLOOKUP(C246,[1]!Table1[Shift_ID],[1]!Table1[Shift_ID])</f>
        <v>S01</v>
      </c>
      <c r="M246" t="str">
        <f>_xlfn.XLOOKUP(D246,[2]!Table1[Machine_ID],[2]!Table1[Machine_ID])</f>
        <v>M006</v>
      </c>
      <c r="N246" t="str">
        <f>_xlfn.XLOOKUP(E246,[3]Sheet1!$A$2:$A$391,[3]Sheet1!$A$2:$A$391)</f>
        <v>PO10017</v>
      </c>
    </row>
    <row r="247" spans="1:14" x14ac:dyDescent="0.2">
      <c r="A247" t="s">
        <v>256</v>
      </c>
      <c r="B247" s="2">
        <v>46244</v>
      </c>
      <c r="C247" t="s">
        <v>2940</v>
      </c>
      <c r="D247" t="s">
        <v>2947</v>
      </c>
      <c r="E247" t="s">
        <v>2967</v>
      </c>
      <c r="F247" s="3">
        <v>46244.536650288726</v>
      </c>
      <c r="G247" s="3">
        <v>46244.545811692173</v>
      </c>
      <c r="H247">
        <v>13.19</v>
      </c>
      <c r="I247" t="s">
        <v>3147</v>
      </c>
      <c r="J247" t="s">
        <v>3153</v>
      </c>
      <c r="K247" t="s">
        <v>3186</v>
      </c>
      <c r="L247" t="str">
        <f>_xlfn.XLOOKUP(C247,[1]!Table1[Shift_ID],[1]!Table1[Shift_ID])</f>
        <v>S01</v>
      </c>
      <c r="M247" t="str">
        <f>_xlfn.XLOOKUP(D247,[2]!Table1[Machine_ID],[2]!Table1[Machine_ID])</f>
        <v>M006</v>
      </c>
      <c r="N247" t="str">
        <f>_xlfn.XLOOKUP(E247,[3]Sheet1!$A$2:$A$391,[3]Sheet1!$A$2:$A$391)</f>
        <v>PO10017</v>
      </c>
    </row>
    <row r="248" spans="1:14" x14ac:dyDescent="0.2">
      <c r="A248" t="s">
        <v>257</v>
      </c>
      <c r="B248" s="2">
        <v>46244</v>
      </c>
      <c r="C248" t="s">
        <v>2940</v>
      </c>
      <c r="D248" t="s">
        <v>2948</v>
      </c>
      <c r="E248" t="s">
        <v>2967</v>
      </c>
      <c r="F248" s="3">
        <v>46244.337326340457</v>
      </c>
      <c r="G248" s="3">
        <v>46244.339207860183</v>
      </c>
      <c r="H248">
        <v>2.71</v>
      </c>
      <c r="I248" t="s">
        <v>3149</v>
      </c>
      <c r="J248" t="s">
        <v>3162</v>
      </c>
      <c r="K248" t="s">
        <v>3184</v>
      </c>
      <c r="L248" t="str">
        <f>_xlfn.XLOOKUP(C248,[1]!Table1[Shift_ID],[1]!Table1[Shift_ID])</f>
        <v>S01</v>
      </c>
      <c r="M248" t="str">
        <f>_xlfn.XLOOKUP(D248,[2]!Table1[Machine_ID],[2]!Table1[Machine_ID])</f>
        <v>M007</v>
      </c>
      <c r="N248" t="str">
        <f>_xlfn.XLOOKUP(E248,[3]Sheet1!$A$2:$A$391,[3]Sheet1!$A$2:$A$391)</f>
        <v>PO10017</v>
      </c>
    </row>
    <row r="249" spans="1:14" x14ac:dyDescent="0.2">
      <c r="A249" t="s">
        <v>258</v>
      </c>
      <c r="B249" s="2">
        <v>46244</v>
      </c>
      <c r="C249" t="s">
        <v>2940</v>
      </c>
      <c r="D249" t="s">
        <v>2948</v>
      </c>
      <c r="E249" t="s">
        <v>2967</v>
      </c>
      <c r="F249" s="3">
        <v>46244.468448775231</v>
      </c>
      <c r="G249" s="3">
        <v>46244.471022879487</v>
      </c>
      <c r="H249">
        <v>3.71</v>
      </c>
      <c r="I249" t="s">
        <v>3150</v>
      </c>
      <c r="J249" t="s">
        <v>3166</v>
      </c>
      <c r="K249" t="s">
        <v>3178</v>
      </c>
      <c r="L249" t="str">
        <f>_xlfn.XLOOKUP(C249,[1]!Table1[Shift_ID],[1]!Table1[Shift_ID])</f>
        <v>S01</v>
      </c>
      <c r="M249" t="str">
        <f>_xlfn.XLOOKUP(D249,[2]!Table1[Machine_ID],[2]!Table1[Machine_ID])</f>
        <v>M007</v>
      </c>
      <c r="N249" t="str">
        <f>_xlfn.XLOOKUP(E249,[3]Sheet1!$A$2:$A$391,[3]Sheet1!$A$2:$A$391)</f>
        <v>PO10017</v>
      </c>
    </row>
    <row r="250" spans="1:14" x14ac:dyDescent="0.2">
      <c r="A250" t="s">
        <v>259</v>
      </c>
      <c r="B250" s="2">
        <v>46244</v>
      </c>
      <c r="C250" t="s">
        <v>2940</v>
      </c>
      <c r="D250" t="s">
        <v>2948</v>
      </c>
      <c r="E250" t="s">
        <v>2967</v>
      </c>
      <c r="F250" s="3">
        <v>46244.506893746242</v>
      </c>
      <c r="G250" s="3">
        <v>46244.514970988472</v>
      </c>
      <c r="H250">
        <v>11.63</v>
      </c>
      <c r="I250" t="s">
        <v>3147</v>
      </c>
      <c r="J250" t="s">
        <v>3154</v>
      </c>
      <c r="K250" t="s">
        <v>3172</v>
      </c>
      <c r="L250" t="str">
        <f>_xlfn.XLOOKUP(C250,[1]!Table1[Shift_ID],[1]!Table1[Shift_ID])</f>
        <v>S01</v>
      </c>
      <c r="M250" t="str">
        <f>_xlfn.XLOOKUP(D250,[2]!Table1[Machine_ID],[2]!Table1[Machine_ID])</f>
        <v>M007</v>
      </c>
      <c r="N250" t="str">
        <f>_xlfn.XLOOKUP(E250,[3]Sheet1!$A$2:$A$391,[3]Sheet1!$A$2:$A$391)</f>
        <v>PO10017</v>
      </c>
    </row>
    <row r="251" spans="1:14" x14ac:dyDescent="0.2">
      <c r="A251" t="s">
        <v>260</v>
      </c>
      <c r="B251" s="2">
        <v>46244</v>
      </c>
      <c r="C251" t="s">
        <v>2940</v>
      </c>
      <c r="D251" t="s">
        <v>2949</v>
      </c>
      <c r="E251" t="s">
        <v>2967</v>
      </c>
      <c r="F251" s="3">
        <v>46244.540814883541</v>
      </c>
      <c r="G251" s="3">
        <v>46244.544547618738</v>
      </c>
      <c r="H251">
        <v>5.38</v>
      </c>
      <c r="I251" t="s">
        <v>3146</v>
      </c>
      <c r="J251" t="s">
        <v>3156</v>
      </c>
      <c r="K251" t="s">
        <v>3171</v>
      </c>
      <c r="L251" t="str">
        <f>_xlfn.XLOOKUP(C251,[1]!Table1[Shift_ID],[1]!Table1[Shift_ID])</f>
        <v>S01</v>
      </c>
      <c r="M251" t="str">
        <f>_xlfn.XLOOKUP(D251,[2]!Table1[Machine_ID],[2]!Table1[Machine_ID])</f>
        <v>M008</v>
      </c>
      <c r="N251" t="str">
        <f>_xlfn.XLOOKUP(E251,[3]Sheet1!$A$2:$A$391,[3]Sheet1!$A$2:$A$391)</f>
        <v>PO10017</v>
      </c>
    </row>
    <row r="252" spans="1:14" x14ac:dyDescent="0.2">
      <c r="A252" t="s">
        <v>261</v>
      </c>
      <c r="B252" s="2">
        <v>46244</v>
      </c>
      <c r="C252" t="s">
        <v>2940</v>
      </c>
      <c r="D252" t="s">
        <v>2949</v>
      </c>
      <c r="E252" t="s">
        <v>2967</v>
      </c>
      <c r="F252" s="3">
        <v>46244.558953768363</v>
      </c>
      <c r="G252" s="3">
        <v>46244.5611231242</v>
      </c>
      <c r="H252">
        <v>3.12</v>
      </c>
      <c r="I252" t="s">
        <v>3149</v>
      </c>
      <c r="J252" t="s">
        <v>3158</v>
      </c>
      <c r="K252" t="s">
        <v>3176</v>
      </c>
      <c r="L252" t="str">
        <f>_xlfn.XLOOKUP(C252,[1]!Table1[Shift_ID],[1]!Table1[Shift_ID])</f>
        <v>S01</v>
      </c>
      <c r="M252" t="str">
        <f>_xlfn.XLOOKUP(D252,[2]!Table1[Machine_ID],[2]!Table1[Machine_ID])</f>
        <v>M008</v>
      </c>
      <c r="N252" t="str">
        <f>_xlfn.XLOOKUP(E252,[3]Sheet1!$A$2:$A$391,[3]Sheet1!$A$2:$A$391)</f>
        <v>PO10017</v>
      </c>
    </row>
    <row r="253" spans="1:14" x14ac:dyDescent="0.2">
      <c r="A253" t="s">
        <v>262</v>
      </c>
      <c r="B253" s="2">
        <v>46244</v>
      </c>
      <c r="C253" t="s">
        <v>2940</v>
      </c>
      <c r="D253" t="s">
        <v>2949</v>
      </c>
      <c r="E253" t="s">
        <v>2967</v>
      </c>
      <c r="F253" s="3">
        <v>46244.561416656121</v>
      </c>
      <c r="G253" s="3">
        <v>46244.563093616918</v>
      </c>
      <c r="H253">
        <v>2.41</v>
      </c>
      <c r="I253" t="s">
        <v>3149</v>
      </c>
      <c r="J253" t="s">
        <v>3158</v>
      </c>
      <c r="K253" t="s">
        <v>3176</v>
      </c>
      <c r="L253" t="str">
        <f>_xlfn.XLOOKUP(C253,[1]!Table1[Shift_ID],[1]!Table1[Shift_ID])</f>
        <v>S01</v>
      </c>
      <c r="M253" t="str">
        <f>_xlfn.XLOOKUP(D253,[2]!Table1[Machine_ID],[2]!Table1[Machine_ID])</f>
        <v>M008</v>
      </c>
      <c r="N253" t="str">
        <f>_xlfn.XLOOKUP(E253,[3]Sheet1!$A$2:$A$391,[3]Sheet1!$A$2:$A$391)</f>
        <v>PO10017</v>
      </c>
    </row>
    <row r="254" spans="1:14" x14ac:dyDescent="0.2">
      <c r="A254" t="s">
        <v>263</v>
      </c>
      <c r="B254" s="2">
        <v>46244</v>
      </c>
      <c r="C254" t="s">
        <v>2941</v>
      </c>
      <c r="D254" t="s">
        <v>2942</v>
      </c>
      <c r="E254" t="s">
        <v>2968</v>
      </c>
      <c r="F254" s="3">
        <v>46244.869320975879</v>
      </c>
      <c r="G254" s="3">
        <v>46244.878552352049</v>
      </c>
      <c r="H254">
        <v>13.29</v>
      </c>
      <c r="I254" t="s">
        <v>3151</v>
      </c>
      <c r="J254" t="s">
        <v>3169</v>
      </c>
      <c r="K254" t="s">
        <v>3187</v>
      </c>
      <c r="L254" t="str">
        <f>_xlfn.XLOOKUP(C254,[1]!Table1[Shift_ID],[1]!Table1[Shift_ID])</f>
        <v>S02</v>
      </c>
      <c r="M254" t="str">
        <f>_xlfn.XLOOKUP(D254,[2]!Table1[Machine_ID],[2]!Table1[Machine_ID])</f>
        <v>M001</v>
      </c>
      <c r="N254" t="str">
        <f>_xlfn.XLOOKUP(E254,[3]Sheet1!$A$2:$A$391,[3]Sheet1!$A$2:$A$391)</f>
        <v>PO10018</v>
      </c>
    </row>
    <row r="255" spans="1:14" x14ac:dyDescent="0.2">
      <c r="A255" t="s">
        <v>264</v>
      </c>
      <c r="B255" s="2">
        <v>46244</v>
      </c>
      <c r="C255" t="s">
        <v>2941</v>
      </c>
      <c r="D255" t="s">
        <v>2943</v>
      </c>
      <c r="E255" t="s">
        <v>2968</v>
      </c>
      <c r="F255" s="3">
        <v>46244.79353692539</v>
      </c>
      <c r="G255" s="3">
        <v>46244.802996999621</v>
      </c>
      <c r="H255">
        <v>13.62</v>
      </c>
      <c r="I255" t="s">
        <v>3150</v>
      </c>
      <c r="J255" t="s">
        <v>3163</v>
      </c>
      <c r="K255" t="s">
        <v>3179</v>
      </c>
      <c r="L255" t="str">
        <f>_xlfn.XLOOKUP(C255,[1]!Table1[Shift_ID],[1]!Table1[Shift_ID])</f>
        <v>S02</v>
      </c>
      <c r="M255" t="str">
        <f>_xlfn.XLOOKUP(D255,[2]!Table1[Machine_ID],[2]!Table1[Machine_ID])</f>
        <v>M002</v>
      </c>
      <c r="N255" t="str">
        <f>_xlfn.XLOOKUP(E255,[3]Sheet1!$A$2:$A$391,[3]Sheet1!$A$2:$A$391)</f>
        <v>PO10018</v>
      </c>
    </row>
    <row r="256" spans="1:14" x14ac:dyDescent="0.2">
      <c r="A256" t="s">
        <v>265</v>
      </c>
      <c r="B256" s="2">
        <v>46244</v>
      </c>
      <c r="C256" t="s">
        <v>2941</v>
      </c>
      <c r="D256" t="s">
        <v>2944</v>
      </c>
      <c r="E256" t="s">
        <v>2968</v>
      </c>
      <c r="F256" s="3">
        <v>46244.649391863459</v>
      </c>
      <c r="G256" s="3">
        <v>46244.65764089088</v>
      </c>
      <c r="H256">
        <v>11.88</v>
      </c>
      <c r="I256" t="s">
        <v>3150</v>
      </c>
      <c r="J256" t="s">
        <v>3163</v>
      </c>
      <c r="K256" t="s">
        <v>3177</v>
      </c>
      <c r="L256" t="str">
        <f>_xlfn.XLOOKUP(C256,[1]!Table1[Shift_ID],[1]!Table1[Shift_ID])</f>
        <v>S02</v>
      </c>
      <c r="M256" t="str">
        <f>_xlfn.XLOOKUP(D256,[2]!Table1[Machine_ID],[2]!Table1[Machine_ID])</f>
        <v>M003</v>
      </c>
      <c r="N256" t="str">
        <f>_xlfn.XLOOKUP(E256,[3]Sheet1!$A$2:$A$391,[3]Sheet1!$A$2:$A$391)</f>
        <v>PO10018</v>
      </c>
    </row>
    <row r="257" spans="1:14" x14ac:dyDescent="0.2">
      <c r="A257" t="s">
        <v>266</v>
      </c>
      <c r="B257" s="2">
        <v>46244</v>
      </c>
      <c r="C257" t="s">
        <v>2941</v>
      </c>
      <c r="D257" t="s">
        <v>2944</v>
      </c>
      <c r="E257" t="s">
        <v>2968</v>
      </c>
      <c r="F257" s="3">
        <v>46244.830316081257</v>
      </c>
      <c r="G257" s="3">
        <v>46244.834988502727</v>
      </c>
      <c r="H257">
        <v>6.73</v>
      </c>
      <c r="I257" t="s">
        <v>3151</v>
      </c>
      <c r="J257" t="s">
        <v>3170</v>
      </c>
      <c r="K257" t="s">
        <v>3181</v>
      </c>
      <c r="L257" t="str">
        <f>_xlfn.XLOOKUP(C257,[1]!Table1[Shift_ID],[1]!Table1[Shift_ID])</f>
        <v>S02</v>
      </c>
      <c r="M257" t="str">
        <f>_xlfn.XLOOKUP(D257,[2]!Table1[Machine_ID],[2]!Table1[Machine_ID])</f>
        <v>M003</v>
      </c>
      <c r="N257" t="str">
        <f>_xlfn.XLOOKUP(E257,[3]Sheet1!$A$2:$A$391,[3]Sheet1!$A$2:$A$391)</f>
        <v>PO10018</v>
      </c>
    </row>
    <row r="258" spans="1:14" x14ac:dyDescent="0.2">
      <c r="A258" t="s">
        <v>267</v>
      </c>
      <c r="B258" s="2">
        <v>46244</v>
      </c>
      <c r="C258" t="s">
        <v>2941</v>
      </c>
      <c r="D258" t="s">
        <v>2945</v>
      </c>
      <c r="E258" t="s">
        <v>2968</v>
      </c>
      <c r="F258" s="3">
        <v>46244.687448237237</v>
      </c>
      <c r="G258" s="3">
        <v>46244.695665969033</v>
      </c>
      <c r="H258">
        <v>11.83</v>
      </c>
      <c r="I258" t="s">
        <v>3150</v>
      </c>
      <c r="J258" t="s">
        <v>3160</v>
      </c>
      <c r="K258" t="s">
        <v>3178</v>
      </c>
      <c r="L258" t="str">
        <f>_xlfn.XLOOKUP(C258,[1]!Table1[Shift_ID],[1]!Table1[Shift_ID])</f>
        <v>S02</v>
      </c>
      <c r="M258" t="str">
        <f>_xlfn.XLOOKUP(D258,[2]!Table1[Machine_ID],[2]!Table1[Machine_ID])</f>
        <v>M004</v>
      </c>
      <c r="N258" t="str">
        <f>_xlfn.XLOOKUP(E258,[3]Sheet1!$A$2:$A$391,[3]Sheet1!$A$2:$A$391)</f>
        <v>PO10018</v>
      </c>
    </row>
    <row r="259" spans="1:14" x14ac:dyDescent="0.2">
      <c r="A259" t="s">
        <v>268</v>
      </c>
      <c r="B259" s="2">
        <v>46244</v>
      </c>
      <c r="C259" t="s">
        <v>2941</v>
      </c>
      <c r="D259" t="s">
        <v>2946</v>
      </c>
      <c r="E259" t="s">
        <v>2968</v>
      </c>
      <c r="F259" s="3">
        <v>46244.707019360612</v>
      </c>
      <c r="G259" s="3">
        <v>46244.715209157977</v>
      </c>
      <c r="H259">
        <v>11.79</v>
      </c>
      <c r="I259" t="s">
        <v>3149</v>
      </c>
      <c r="J259" t="s">
        <v>3158</v>
      </c>
      <c r="K259" t="s">
        <v>3182</v>
      </c>
      <c r="L259" t="str">
        <f>_xlfn.XLOOKUP(C259,[1]!Table1[Shift_ID],[1]!Table1[Shift_ID])</f>
        <v>S02</v>
      </c>
      <c r="M259" t="str">
        <f>_xlfn.XLOOKUP(D259,[2]!Table1[Machine_ID],[2]!Table1[Machine_ID])</f>
        <v>M005</v>
      </c>
      <c r="N259" t="str">
        <f>_xlfn.XLOOKUP(E259,[3]Sheet1!$A$2:$A$391,[3]Sheet1!$A$2:$A$391)</f>
        <v>PO10018</v>
      </c>
    </row>
    <row r="260" spans="1:14" x14ac:dyDescent="0.2">
      <c r="A260" t="s">
        <v>269</v>
      </c>
      <c r="B260" s="2">
        <v>46244</v>
      </c>
      <c r="C260" t="s">
        <v>2941</v>
      </c>
      <c r="D260" t="s">
        <v>2947</v>
      </c>
      <c r="E260" t="s">
        <v>2968</v>
      </c>
      <c r="F260" s="3">
        <v>46244.894478494803</v>
      </c>
      <c r="G260" s="3">
        <v>46244.916666666657</v>
      </c>
      <c r="H260">
        <v>31.95</v>
      </c>
      <c r="I260" t="s">
        <v>3150</v>
      </c>
      <c r="J260" t="s">
        <v>3166</v>
      </c>
      <c r="K260" t="s">
        <v>3179</v>
      </c>
      <c r="L260" t="str">
        <f>_xlfn.XLOOKUP(C260,[1]!Table1[Shift_ID],[1]!Table1[Shift_ID])</f>
        <v>S02</v>
      </c>
      <c r="M260" t="str">
        <f>_xlfn.XLOOKUP(D260,[2]!Table1[Machine_ID],[2]!Table1[Machine_ID])</f>
        <v>M006</v>
      </c>
      <c r="N260" t="str">
        <f>_xlfn.XLOOKUP(E260,[3]Sheet1!$A$2:$A$391,[3]Sheet1!$A$2:$A$391)</f>
        <v>PO10018</v>
      </c>
    </row>
    <row r="261" spans="1:14" x14ac:dyDescent="0.2">
      <c r="A261" t="s">
        <v>270</v>
      </c>
      <c r="B261" s="2">
        <v>46244</v>
      </c>
      <c r="C261" t="s">
        <v>2941</v>
      </c>
      <c r="D261" t="s">
        <v>2948</v>
      </c>
      <c r="E261" t="s">
        <v>2968</v>
      </c>
      <c r="F261" s="3">
        <v>46244.663333096367</v>
      </c>
      <c r="G261" s="3">
        <v>46244.670702667638</v>
      </c>
      <c r="H261">
        <v>10.61</v>
      </c>
      <c r="I261" t="s">
        <v>3148</v>
      </c>
      <c r="J261" t="s">
        <v>3165</v>
      </c>
      <c r="K261" t="s">
        <v>3180</v>
      </c>
      <c r="L261" t="str">
        <f>_xlfn.XLOOKUP(C261,[1]!Table1[Shift_ID],[1]!Table1[Shift_ID])</f>
        <v>S02</v>
      </c>
      <c r="M261" t="str">
        <f>_xlfn.XLOOKUP(D261,[2]!Table1[Machine_ID],[2]!Table1[Machine_ID])</f>
        <v>M007</v>
      </c>
      <c r="N261" t="str">
        <f>_xlfn.XLOOKUP(E261,[3]Sheet1!$A$2:$A$391,[3]Sheet1!$A$2:$A$391)</f>
        <v>PO10018</v>
      </c>
    </row>
    <row r="262" spans="1:14" x14ac:dyDescent="0.2">
      <c r="A262" t="s">
        <v>271</v>
      </c>
      <c r="B262" s="2">
        <v>46244</v>
      </c>
      <c r="C262" t="s">
        <v>2941</v>
      </c>
      <c r="D262" t="s">
        <v>2948</v>
      </c>
      <c r="E262" t="s">
        <v>2968</v>
      </c>
      <c r="F262" s="3">
        <v>46244.739058038322</v>
      </c>
      <c r="G262" s="3">
        <v>46244.746158865033</v>
      </c>
      <c r="H262">
        <v>10.23</v>
      </c>
      <c r="I262" t="s">
        <v>3148</v>
      </c>
      <c r="J262" t="s">
        <v>3164</v>
      </c>
      <c r="K262" t="s">
        <v>3183</v>
      </c>
      <c r="L262" t="str">
        <f>_xlfn.XLOOKUP(C262,[1]!Table1[Shift_ID],[1]!Table1[Shift_ID])</f>
        <v>S02</v>
      </c>
      <c r="M262" t="str">
        <f>_xlfn.XLOOKUP(D262,[2]!Table1[Machine_ID],[2]!Table1[Machine_ID])</f>
        <v>M007</v>
      </c>
      <c r="N262" t="str">
        <f>_xlfn.XLOOKUP(E262,[3]Sheet1!$A$2:$A$391,[3]Sheet1!$A$2:$A$391)</f>
        <v>PO10018</v>
      </c>
    </row>
    <row r="263" spans="1:14" x14ac:dyDescent="0.2">
      <c r="A263" t="s">
        <v>272</v>
      </c>
      <c r="B263" s="2">
        <v>46244</v>
      </c>
      <c r="C263" t="s">
        <v>2941</v>
      </c>
      <c r="D263" t="s">
        <v>2949</v>
      </c>
      <c r="E263" t="s">
        <v>2968</v>
      </c>
      <c r="F263" s="3">
        <v>46244.706153314488</v>
      </c>
      <c r="G263" s="3">
        <v>46244.712654520466</v>
      </c>
      <c r="H263">
        <v>9.36</v>
      </c>
      <c r="I263" t="s">
        <v>3148</v>
      </c>
      <c r="J263" t="s">
        <v>3164</v>
      </c>
      <c r="K263" t="s">
        <v>3173</v>
      </c>
      <c r="L263" t="str">
        <f>_xlfn.XLOOKUP(C263,[1]!Table1[Shift_ID],[1]!Table1[Shift_ID])</f>
        <v>S02</v>
      </c>
      <c r="M263" t="str">
        <f>_xlfn.XLOOKUP(D263,[2]!Table1[Machine_ID],[2]!Table1[Machine_ID])</f>
        <v>M008</v>
      </c>
      <c r="N263" t="str">
        <f>_xlfn.XLOOKUP(E263,[3]Sheet1!$A$2:$A$391,[3]Sheet1!$A$2:$A$391)</f>
        <v>PO10018</v>
      </c>
    </row>
    <row r="264" spans="1:14" x14ac:dyDescent="0.2">
      <c r="A264" t="s">
        <v>273</v>
      </c>
      <c r="B264" s="2">
        <v>46245</v>
      </c>
      <c r="C264" t="s">
        <v>2939</v>
      </c>
      <c r="D264" t="s">
        <v>2942</v>
      </c>
      <c r="E264" t="s">
        <v>2969</v>
      </c>
      <c r="F264" s="3">
        <v>46246.073757201571</v>
      </c>
      <c r="G264" s="3">
        <v>46246.075739474967</v>
      </c>
      <c r="H264">
        <v>2.85</v>
      </c>
      <c r="I264" t="s">
        <v>3151</v>
      </c>
      <c r="J264" t="s">
        <v>3170</v>
      </c>
      <c r="K264" t="s">
        <v>3181</v>
      </c>
      <c r="L264" t="str">
        <f>_xlfn.XLOOKUP(C264,[1]!Table1[Shift_ID],[1]!Table1[Shift_ID])</f>
        <v>S03</v>
      </c>
      <c r="M264" t="str">
        <f>_xlfn.XLOOKUP(D264,[2]!Table1[Machine_ID],[2]!Table1[Machine_ID])</f>
        <v>M001</v>
      </c>
      <c r="N264" t="str">
        <f>_xlfn.XLOOKUP(E264,[3]Sheet1!$A$2:$A$391,[3]Sheet1!$A$2:$A$391)</f>
        <v>PO10019</v>
      </c>
    </row>
    <row r="265" spans="1:14" x14ac:dyDescent="0.2">
      <c r="A265" t="s">
        <v>274</v>
      </c>
      <c r="B265" s="2">
        <v>46245</v>
      </c>
      <c r="C265" t="s">
        <v>2939</v>
      </c>
      <c r="D265" t="s">
        <v>2942</v>
      </c>
      <c r="E265" t="s">
        <v>2969</v>
      </c>
      <c r="F265" s="3">
        <v>46246.169196832838</v>
      </c>
      <c r="G265" s="3">
        <v>46246.173970067</v>
      </c>
      <c r="H265">
        <v>6.87</v>
      </c>
      <c r="I265" t="s">
        <v>3151</v>
      </c>
      <c r="J265" t="s">
        <v>3170</v>
      </c>
      <c r="K265" t="s">
        <v>3187</v>
      </c>
      <c r="L265" t="str">
        <f>_xlfn.XLOOKUP(C265,[1]!Table1[Shift_ID],[1]!Table1[Shift_ID])</f>
        <v>S03</v>
      </c>
      <c r="M265" t="str">
        <f>_xlfn.XLOOKUP(D265,[2]!Table1[Machine_ID],[2]!Table1[Machine_ID])</f>
        <v>M001</v>
      </c>
      <c r="N265" t="str">
        <f>_xlfn.XLOOKUP(E265,[3]Sheet1!$A$2:$A$391,[3]Sheet1!$A$2:$A$391)</f>
        <v>PO10019</v>
      </c>
    </row>
    <row r="266" spans="1:14" x14ac:dyDescent="0.2">
      <c r="A266" t="s">
        <v>275</v>
      </c>
      <c r="B266" s="2">
        <v>46245</v>
      </c>
      <c r="C266" t="s">
        <v>2939</v>
      </c>
      <c r="D266" t="s">
        <v>2943</v>
      </c>
      <c r="E266" t="s">
        <v>2969</v>
      </c>
      <c r="F266" s="3">
        <v>46246.181294692753</v>
      </c>
      <c r="G266" s="3">
        <v>46246.192161958446</v>
      </c>
      <c r="H266">
        <v>15.65</v>
      </c>
      <c r="I266" t="s">
        <v>3149</v>
      </c>
      <c r="J266" t="s">
        <v>3168</v>
      </c>
      <c r="K266" t="s">
        <v>3182</v>
      </c>
      <c r="L266" t="str">
        <f>_xlfn.XLOOKUP(C266,[1]!Table1[Shift_ID],[1]!Table1[Shift_ID])</f>
        <v>S03</v>
      </c>
      <c r="M266" t="str">
        <f>_xlfn.XLOOKUP(D266,[2]!Table1[Machine_ID],[2]!Table1[Machine_ID])</f>
        <v>M002</v>
      </c>
      <c r="N266" t="str">
        <f>_xlfn.XLOOKUP(E266,[3]Sheet1!$A$2:$A$391,[3]Sheet1!$A$2:$A$391)</f>
        <v>PO10019</v>
      </c>
    </row>
    <row r="267" spans="1:14" x14ac:dyDescent="0.2">
      <c r="A267" t="s">
        <v>276</v>
      </c>
      <c r="B267" s="2">
        <v>46245</v>
      </c>
      <c r="C267" t="s">
        <v>2939</v>
      </c>
      <c r="D267" t="s">
        <v>2944</v>
      </c>
      <c r="E267" t="s">
        <v>2969</v>
      </c>
      <c r="F267" s="3">
        <v>46245.920605469713</v>
      </c>
      <c r="G267" s="3">
        <v>46245.921986908223</v>
      </c>
      <c r="H267">
        <v>1.99</v>
      </c>
      <c r="I267" t="s">
        <v>3146</v>
      </c>
      <c r="J267" t="s">
        <v>3152</v>
      </c>
      <c r="K267" t="s">
        <v>3171</v>
      </c>
      <c r="L267" t="str">
        <f>_xlfn.XLOOKUP(C267,[1]!Table1[Shift_ID],[1]!Table1[Shift_ID])</f>
        <v>S03</v>
      </c>
      <c r="M267" t="str">
        <f>_xlfn.XLOOKUP(D267,[2]!Table1[Machine_ID],[2]!Table1[Machine_ID])</f>
        <v>M003</v>
      </c>
      <c r="N267" t="str">
        <f>_xlfn.XLOOKUP(E267,[3]Sheet1!$A$2:$A$391,[3]Sheet1!$A$2:$A$391)</f>
        <v>PO10019</v>
      </c>
    </row>
    <row r="268" spans="1:14" x14ac:dyDescent="0.2">
      <c r="A268" t="s">
        <v>277</v>
      </c>
      <c r="B268" s="2">
        <v>46245</v>
      </c>
      <c r="C268" t="s">
        <v>2939</v>
      </c>
      <c r="D268" t="s">
        <v>2944</v>
      </c>
      <c r="E268" t="s">
        <v>2969</v>
      </c>
      <c r="F268" s="3">
        <v>46246.056459561572</v>
      </c>
      <c r="G268" s="3">
        <v>46246.057841000067</v>
      </c>
      <c r="H268">
        <v>1.99</v>
      </c>
      <c r="I268" t="s">
        <v>3147</v>
      </c>
      <c r="J268" t="s">
        <v>3167</v>
      </c>
      <c r="K268" t="s">
        <v>3186</v>
      </c>
      <c r="L268" t="str">
        <f>_xlfn.XLOOKUP(C268,[1]!Table1[Shift_ID],[1]!Table1[Shift_ID])</f>
        <v>S03</v>
      </c>
      <c r="M268" t="str">
        <f>_xlfn.XLOOKUP(D268,[2]!Table1[Machine_ID],[2]!Table1[Machine_ID])</f>
        <v>M003</v>
      </c>
      <c r="N268" t="str">
        <f>_xlfn.XLOOKUP(E268,[3]Sheet1!$A$2:$A$391,[3]Sheet1!$A$2:$A$391)</f>
        <v>PO10019</v>
      </c>
    </row>
    <row r="269" spans="1:14" x14ac:dyDescent="0.2">
      <c r="A269" t="s">
        <v>278</v>
      </c>
      <c r="B269" s="2">
        <v>46245</v>
      </c>
      <c r="C269" t="s">
        <v>2939</v>
      </c>
      <c r="D269" t="s">
        <v>2944</v>
      </c>
      <c r="E269" t="s">
        <v>2969</v>
      </c>
      <c r="F269" s="3">
        <v>46246.143548185028</v>
      </c>
      <c r="G269" s="3">
        <v>46246.14764239228</v>
      </c>
      <c r="H269">
        <v>5.9</v>
      </c>
      <c r="I269" t="s">
        <v>3150</v>
      </c>
      <c r="J269" t="s">
        <v>3166</v>
      </c>
      <c r="K269" t="s">
        <v>3177</v>
      </c>
      <c r="L269" t="str">
        <f>_xlfn.XLOOKUP(C269,[1]!Table1[Shift_ID],[1]!Table1[Shift_ID])</f>
        <v>S03</v>
      </c>
      <c r="M269" t="str">
        <f>_xlfn.XLOOKUP(D269,[2]!Table1[Machine_ID],[2]!Table1[Machine_ID])</f>
        <v>M003</v>
      </c>
      <c r="N269" t="str">
        <f>_xlfn.XLOOKUP(E269,[3]Sheet1!$A$2:$A$391,[3]Sheet1!$A$2:$A$391)</f>
        <v>PO10019</v>
      </c>
    </row>
    <row r="270" spans="1:14" x14ac:dyDescent="0.2">
      <c r="A270" t="s">
        <v>279</v>
      </c>
      <c r="B270" s="2">
        <v>46245</v>
      </c>
      <c r="C270" t="s">
        <v>2939</v>
      </c>
      <c r="D270" t="s">
        <v>2944</v>
      </c>
      <c r="E270" t="s">
        <v>2969</v>
      </c>
      <c r="F270" s="3">
        <v>46246.157623922307</v>
      </c>
      <c r="G270" s="3">
        <v>46246.159005360802</v>
      </c>
      <c r="H270">
        <v>1.99</v>
      </c>
      <c r="I270" t="s">
        <v>3148</v>
      </c>
      <c r="J270" t="s">
        <v>3165</v>
      </c>
      <c r="K270" t="s">
        <v>3180</v>
      </c>
      <c r="L270" t="str">
        <f>_xlfn.XLOOKUP(C270,[1]!Table1[Shift_ID],[1]!Table1[Shift_ID])</f>
        <v>S03</v>
      </c>
      <c r="M270" t="str">
        <f>_xlfn.XLOOKUP(D270,[2]!Table1[Machine_ID],[2]!Table1[Machine_ID])</f>
        <v>M003</v>
      </c>
      <c r="N270" t="str">
        <f>_xlfn.XLOOKUP(E270,[3]Sheet1!$A$2:$A$391,[3]Sheet1!$A$2:$A$391)</f>
        <v>PO10019</v>
      </c>
    </row>
    <row r="271" spans="1:14" x14ac:dyDescent="0.2">
      <c r="A271" t="s">
        <v>280</v>
      </c>
      <c r="B271" s="2">
        <v>46245</v>
      </c>
      <c r="C271" t="s">
        <v>2939</v>
      </c>
      <c r="D271" t="s">
        <v>2944</v>
      </c>
      <c r="E271" t="s">
        <v>2969</v>
      </c>
      <c r="F271" s="3">
        <v>46246.164591720277</v>
      </c>
      <c r="G271" s="3">
        <v>46246.166804565597</v>
      </c>
      <c r="H271">
        <v>3.19</v>
      </c>
      <c r="I271" t="s">
        <v>3147</v>
      </c>
      <c r="J271" t="s">
        <v>3154</v>
      </c>
      <c r="K271" t="s">
        <v>3172</v>
      </c>
      <c r="L271" t="str">
        <f>_xlfn.XLOOKUP(C271,[1]!Table1[Shift_ID],[1]!Table1[Shift_ID])</f>
        <v>S03</v>
      </c>
      <c r="M271" t="str">
        <f>_xlfn.XLOOKUP(D271,[2]!Table1[Machine_ID],[2]!Table1[Machine_ID])</f>
        <v>M003</v>
      </c>
      <c r="N271" t="str">
        <f>_xlfn.XLOOKUP(E271,[3]Sheet1!$A$2:$A$391,[3]Sheet1!$A$2:$A$391)</f>
        <v>PO10019</v>
      </c>
    </row>
    <row r="272" spans="1:14" x14ac:dyDescent="0.2">
      <c r="A272" t="s">
        <v>281</v>
      </c>
      <c r="B272" s="2">
        <v>46245</v>
      </c>
      <c r="C272" t="s">
        <v>2939</v>
      </c>
      <c r="D272" t="s">
        <v>2944</v>
      </c>
      <c r="E272" t="s">
        <v>2969</v>
      </c>
      <c r="F272" s="3">
        <v>46246.186796429181</v>
      </c>
      <c r="G272" s="3">
        <v>46246.188177867683</v>
      </c>
      <c r="H272">
        <v>1.99</v>
      </c>
      <c r="I272" t="s">
        <v>3149</v>
      </c>
      <c r="J272" t="s">
        <v>3162</v>
      </c>
      <c r="K272" t="s">
        <v>3184</v>
      </c>
      <c r="L272" t="str">
        <f>_xlfn.XLOOKUP(C272,[1]!Table1[Shift_ID],[1]!Table1[Shift_ID])</f>
        <v>S03</v>
      </c>
      <c r="M272" t="str">
        <f>_xlfn.XLOOKUP(D272,[2]!Table1[Machine_ID],[2]!Table1[Machine_ID])</f>
        <v>M003</v>
      </c>
      <c r="N272" t="str">
        <f>_xlfn.XLOOKUP(E272,[3]Sheet1!$A$2:$A$391,[3]Sheet1!$A$2:$A$391)</f>
        <v>PO10019</v>
      </c>
    </row>
    <row r="273" spans="1:14" x14ac:dyDescent="0.2">
      <c r="A273" t="s">
        <v>282</v>
      </c>
      <c r="B273" s="2">
        <v>46245</v>
      </c>
      <c r="C273" t="s">
        <v>2939</v>
      </c>
      <c r="D273" t="s">
        <v>2945</v>
      </c>
      <c r="E273" t="s">
        <v>2969</v>
      </c>
      <c r="F273" s="3">
        <v>46246.213194120653</v>
      </c>
      <c r="G273" s="3">
        <v>46246.220687775451</v>
      </c>
      <c r="H273">
        <v>10.79</v>
      </c>
      <c r="I273" t="s">
        <v>3147</v>
      </c>
      <c r="J273" t="s">
        <v>3153</v>
      </c>
      <c r="K273" t="s">
        <v>3172</v>
      </c>
      <c r="L273" t="str">
        <f>_xlfn.XLOOKUP(C273,[1]!Table1[Shift_ID],[1]!Table1[Shift_ID])</f>
        <v>S03</v>
      </c>
      <c r="M273" t="str">
        <f>_xlfn.XLOOKUP(D273,[2]!Table1[Machine_ID],[2]!Table1[Machine_ID])</f>
        <v>M004</v>
      </c>
      <c r="N273" t="str">
        <f>_xlfn.XLOOKUP(E273,[3]Sheet1!$A$2:$A$391,[3]Sheet1!$A$2:$A$391)</f>
        <v>PO10019</v>
      </c>
    </row>
    <row r="274" spans="1:14" x14ac:dyDescent="0.2">
      <c r="A274" t="s">
        <v>283</v>
      </c>
      <c r="B274" s="2">
        <v>46245</v>
      </c>
      <c r="C274" t="s">
        <v>2939</v>
      </c>
      <c r="D274" t="s">
        <v>2946</v>
      </c>
      <c r="E274" t="s">
        <v>2969</v>
      </c>
      <c r="F274" s="3">
        <v>46246.197943733197</v>
      </c>
      <c r="G274" s="3">
        <v>46246.203064357192</v>
      </c>
      <c r="H274">
        <v>7.37</v>
      </c>
      <c r="I274" t="s">
        <v>3149</v>
      </c>
      <c r="J274" t="s">
        <v>3168</v>
      </c>
      <c r="K274" t="s">
        <v>3184</v>
      </c>
      <c r="L274" t="str">
        <f>_xlfn.XLOOKUP(C274,[1]!Table1[Shift_ID],[1]!Table1[Shift_ID])</f>
        <v>S03</v>
      </c>
      <c r="M274" t="str">
        <f>_xlfn.XLOOKUP(D274,[2]!Table1[Machine_ID],[2]!Table1[Machine_ID])</f>
        <v>M005</v>
      </c>
      <c r="N274" t="str">
        <f>_xlfn.XLOOKUP(E274,[3]Sheet1!$A$2:$A$391,[3]Sheet1!$A$2:$A$391)</f>
        <v>PO10019</v>
      </c>
    </row>
    <row r="275" spans="1:14" x14ac:dyDescent="0.2">
      <c r="A275" t="s">
        <v>284</v>
      </c>
      <c r="B275" s="2">
        <v>46245</v>
      </c>
      <c r="C275" t="s">
        <v>2939</v>
      </c>
      <c r="D275" t="s">
        <v>2946</v>
      </c>
      <c r="E275" t="s">
        <v>2969</v>
      </c>
      <c r="F275" s="3">
        <v>46246.233781199029</v>
      </c>
      <c r="G275" s="3">
        <v>46246.235490333471</v>
      </c>
      <c r="H275">
        <v>2.46</v>
      </c>
      <c r="I275" t="s">
        <v>3150</v>
      </c>
      <c r="J275" t="s">
        <v>3163</v>
      </c>
      <c r="K275" t="s">
        <v>3177</v>
      </c>
      <c r="L275" t="str">
        <f>_xlfn.XLOOKUP(C275,[1]!Table1[Shift_ID],[1]!Table1[Shift_ID])</f>
        <v>S03</v>
      </c>
      <c r="M275" t="str">
        <f>_xlfn.XLOOKUP(D275,[2]!Table1[Machine_ID],[2]!Table1[Machine_ID])</f>
        <v>M005</v>
      </c>
      <c r="N275" t="str">
        <f>_xlfn.XLOOKUP(E275,[3]Sheet1!$A$2:$A$391,[3]Sheet1!$A$2:$A$391)</f>
        <v>PO10019</v>
      </c>
    </row>
    <row r="276" spans="1:14" x14ac:dyDescent="0.2">
      <c r="A276" t="s">
        <v>285</v>
      </c>
      <c r="B276" s="2">
        <v>46245</v>
      </c>
      <c r="C276" t="s">
        <v>2939</v>
      </c>
      <c r="D276" t="s">
        <v>2947</v>
      </c>
      <c r="E276" t="s">
        <v>2969</v>
      </c>
      <c r="F276" s="3">
        <v>46245.97671718432</v>
      </c>
      <c r="G276" s="3">
        <v>46245.9802163891</v>
      </c>
      <c r="H276">
        <v>5.04</v>
      </c>
      <c r="I276" t="s">
        <v>3149</v>
      </c>
      <c r="J276" t="s">
        <v>3168</v>
      </c>
      <c r="K276" t="s">
        <v>3182</v>
      </c>
      <c r="L276" t="str">
        <f>_xlfn.XLOOKUP(C276,[1]!Table1[Shift_ID],[1]!Table1[Shift_ID])</f>
        <v>S03</v>
      </c>
      <c r="M276" t="str">
        <f>_xlfn.XLOOKUP(D276,[2]!Table1[Machine_ID],[2]!Table1[Machine_ID])</f>
        <v>M006</v>
      </c>
      <c r="N276" t="str">
        <f>_xlfn.XLOOKUP(E276,[3]Sheet1!$A$2:$A$391,[3]Sheet1!$A$2:$A$391)</f>
        <v>PO10019</v>
      </c>
    </row>
    <row r="277" spans="1:14" x14ac:dyDescent="0.2">
      <c r="A277" t="s">
        <v>286</v>
      </c>
      <c r="B277" s="2">
        <v>46245</v>
      </c>
      <c r="C277" t="s">
        <v>2939</v>
      </c>
      <c r="D277" t="s">
        <v>2947</v>
      </c>
      <c r="E277" t="s">
        <v>2969</v>
      </c>
      <c r="F277" s="3">
        <v>46246.040760904747</v>
      </c>
      <c r="G277" s="3">
        <v>46246.071186796813</v>
      </c>
      <c r="H277">
        <v>43.81</v>
      </c>
      <c r="I277" t="s">
        <v>3150</v>
      </c>
      <c r="J277" t="s">
        <v>3159</v>
      </c>
      <c r="K277" t="s">
        <v>3179</v>
      </c>
      <c r="L277" t="str">
        <f>_xlfn.XLOOKUP(C277,[1]!Table1[Shift_ID],[1]!Table1[Shift_ID])</f>
        <v>S03</v>
      </c>
      <c r="M277" t="str">
        <f>_xlfn.XLOOKUP(D277,[2]!Table1[Machine_ID],[2]!Table1[Machine_ID])</f>
        <v>M006</v>
      </c>
      <c r="N277" t="str">
        <f>_xlfn.XLOOKUP(E277,[3]Sheet1!$A$2:$A$391,[3]Sheet1!$A$2:$A$391)</f>
        <v>PO10019</v>
      </c>
    </row>
    <row r="278" spans="1:14" x14ac:dyDescent="0.2">
      <c r="A278" t="s">
        <v>287</v>
      </c>
      <c r="B278" s="2">
        <v>46245</v>
      </c>
      <c r="C278" t="s">
        <v>2939</v>
      </c>
      <c r="D278" t="s">
        <v>2948</v>
      </c>
      <c r="E278" t="s">
        <v>2969</v>
      </c>
      <c r="F278" s="3">
        <v>46246.08865896015</v>
      </c>
      <c r="G278" s="3">
        <v>46246.100566586283</v>
      </c>
      <c r="H278">
        <v>17.149999999999999</v>
      </c>
      <c r="I278" t="s">
        <v>3150</v>
      </c>
      <c r="J278" t="s">
        <v>3166</v>
      </c>
      <c r="K278" t="s">
        <v>3178</v>
      </c>
      <c r="L278" t="str">
        <f>_xlfn.XLOOKUP(C278,[1]!Table1[Shift_ID],[1]!Table1[Shift_ID])</f>
        <v>S03</v>
      </c>
      <c r="M278" t="str">
        <f>_xlfn.XLOOKUP(D278,[2]!Table1[Machine_ID],[2]!Table1[Machine_ID])</f>
        <v>M007</v>
      </c>
      <c r="N278" t="str">
        <f>_xlfn.XLOOKUP(E278,[3]Sheet1!$A$2:$A$391,[3]Sheet1!$A$2:$A$391)</f>
        <v>PO10019</v>
      </c>
    </row>
    <row r="279" spans="1:14" x14ac:dyDescent="0.2">
      <c r="A279" t="s">
        <v>288</v>
      </c>
      <c r="B279" s="2">
        <v>46245</v>
      </c>
      <c r="C279" t="s">
        <v>2939</v>
      </c>
      <c r="D279" t="s">
        <v>2949</v>
      </c>
      <c r="E279" t="s">
        <v>2969</v>
      </c>
      <c r="F279" s="3">
        <v>46246.112377321457</v>
      </c>
      <c r="G279" s="3">
        <v>46246.118038162538</v>
      </c>
      <c r="H279">
        <v>8.15</v>
      </c>
      <c r="I279" t="s">
        <v>3148</v>
      </c>
      <c r="J279" t="s">
        <v>3165</v>
      </c>
      <c r="K279" t="s">
        <v>3180</v>
      </c>
      <c r="L279" t="str">
        <f>_xlfn.XLOOKUP(C279,[1]!Table1[Shift_ID],[1]!Table1[Shift_ID])</f>
        <v>S03</v>
      </c>
      <c r="M279" t="str">
        <f>_xlfn.XLOOKUP(D279,[2]!Table1[Machine_ID],[2]!Table1[Machine_ID])</f>
        <v>M008</v>
      </c>
      <c r="N279" t="str">
        <f>_xlfn.XLOOKUP(E279,[3]Sheet1!$A$2:$A$391,[3]Sheet1!$A$2:$A$391)</f>
        <v>PO10019</v>
      </c>
    </row>
    <row r="280" spans="1:14" x14ac:dyDescent="0.2">
      <c r="A280" t="s">
        <v>289</v>
      </c>
      <c r="B280" s="2">
        <v>46245</v>
      </c>
      <c r="C280" t="s">
        <v>2940</v>
      </c>
      <c r="D280" t="s">
        <v>2942</v>
      </c>
      <c r="E280" t="s">
        <v>2970</v>
      </c>
      <c r="F280" s="3">
        <v>46245.514835015558</v>
      </c>
      <c r="G280" s="3">
        <v>46245.519618271399</v>
      </c>
      <c r="H280">
        <v>6.89</v>
      </c>
      <c r="I280" t="s">
        <v>3146</v>
      </c>
      <c r="J280" t="s">
        <v>3157</v>
      </c>
      <c r="K280" t="s">
        <v>3171</v>
      </c>
      <c r="L280" t="str">
        <f>_xlfn.XLOOKUP(C280,[1]!Table1[Shift_ID],[1]!Table1[Shift_ID])</f>
        <v>S01</v>
      </c>
      <c r="M280" t="str">
        <f>_xlfn.XLOOKUP(D280,[2]!Table1[Machine_ID],[2]!Table1[Machine_ID])</f>
        <v>M001</v>
      </c>
      <c r="N280" t="str">
        <f>_xlfn.XLOOKUP(E280,[3]Sheet1!$A$2:$A$391,[3]Sheet1!$A$2:$A$391)</f>
        <v>PO10020</v>
      </c>
    </row>
    <row r="281" spans="1:14" x14ac:dyDescent="0.2">
      <c r="A281" t="s">
        <v>290</v>
      </c>
      <c r="B281" s="2">
        <v>46245</v>
      </c>
      <c r="C281" t="s">
        <v>2940</v>
      </c>
      <c r="D281" t="s">
        <v>2943</v>
      </c>
      <c r="E281" t="s">
        <v>2970</v>
      </c>
      <c r="F281" s="3">
        <v>46245.357339618247</v>
      </c>
      <c r="G281" s="3">
        <v>46245.36352110502</v>
      </c>
      <c r="H281">
        <v>8.9</v>
      </c>
      <c r="I281" t="s">
        <v>3150</v>
      </c>
      <c r="J281" t="s">
        <v>3166</v>
      </c>
      <c r="K281" t="s">
        <v>3177</v>
      </c>
      <c r="L281" t="str">
        <f>_xlfn.XLOOKUP(C281,[1]!Table1[Shift_ID],[1]!Table1[Shift_ID])</f>
        <v>S01</v>
      </c>
      <c r="M281" t="str">
        <f>_xlfn.XLOOKUP(D281,[2]!Table1[Machine_ID],[2]!Table1[Machine_ID])</f>
        <v>M002</v>
      </c>
      <c r="N281" t="str">
        <f>_xlfn.XLOOKUP(E281,[3]Sheet1!$A$2:$A$391,[3]Sheet1!$A$2:$A$391)</f>
        <v>PO10020</v>
      </c>
    </row>
    <row r="282" spans="1:14" x14ac:dyDescent="0.2">
      <c r="A282" t="s">
        <v>291</v>
      </c>
      <c r="B282" s="2">
        <v>46245</v>
      </c>
      <c r="C282" t="s">
        <v>2940</v>
      </c>
      <c r="D282" t="s">
        <v>2944</v>
      </c>
      <c r="E282" t="s">
        <v>2970</v>
      </c>
      <c r="F282" s="3">
        <v>46245.283777479737</v>
      </c>
      <c r="G282" s="3">
        <v>46245.2856618855</v>
      </c>
      <c r="H282">
        <v>2.71</v>
      </c>
      <c r="I282" t="s">
        <v>3147</v>
      </c>
      <c r="J282" t="s">
        <v>3154</v>
      </c>
      <c r="K282" t="s">
        <v>3186</v>
      </c>
      <c r="L282" t="str">
        <f>_xlfn.XLOOKUP(C282,[1]!Table1[Shift_ID],[1]!Table1[Shift_ID])</f>
        <v>S01</v>
      </c>
      <c r="M282" t="str">
        <f>_xlfn.XLOOKUP(D282,[2]!Table1[Machine_ID],[2]!Table1[Machine_ID])</f>
        <v>M003</v>
      </c>
      <c r="N282" t="str">
        <f>_xlfn.XLOOKUP(E282,[3]Sheet1!$A$2:$A$391,[3]Sheet1!$A$2:$A$391)</f>
        <v>PO10020</v>
      </c>
    </row>
    <row r="283" spans="1:14" x14ac:dyDescent="0.2">
      <c r="A283" t="s">
        <v>292</v>
      </c>
      <c r="B283" s="2">
        <v>46245</v>
      </c>
      <c r="C283" t="s">
        <v>2940</v>
      </c>
      <c r="D283" t="s">
        <v>2944</v>
      </c>
      <c r="E283" t="s">
        <v>2970</v>
      </c>
      <c r="F283" s="3">
        <v>46245.438038406923</v>
      </c>
      <c r="G283" s="3">
        <v>46245.440663875634</v>
      </c>
      <c r="H283">
        <v>3.78</v>
      </c>
      <c r="I283" t="s">
        <v>3147</v>
      </c>
      <c r="J283" t="s">
        <v>3167</v>
      </c>
      <c r="K283" t="s">
        <v>3172</v>
      </c>
      <c r="L283" t="str">
        <f>_xlfn.XLOOKUP(C283,[1]!Table1[Shift_ID],[1]!Table1[Shift_ID])</f>
        <v>S01</v>
      </c>
      <c r="M283" t="str">
        <f>_xlfn.XLOOKUP(D283,[2]!Table1[Machine_ID],[2]!Table1[Machine_ID])</f>
        <v>M003</v>
      </c>
      <c r="N283" t="str">
        <f>_xlfn.XLOOKUP(E283,[3]Sheet1!$A$2:$A$391,[3]Sheet1!$A$2:$A$391)</f>
        <v>PO10020</v>
      </c>
    </row>
    <row r="284" spans="1:14" x14ac:dyDescent="0.2">
      <c r="A284" t="s">
        <v>293</v>
      </c>
      <c r="B284" s="2">
        <v>46245</v>
      </c>
      <c r="C284" t="s">
        <v>2940</v>
      </c>
      <c r="D284" t="s">
        <v>2944</v>
      </c>
      <c r="E284" t="s">
        <v>2970</v>
      </c>
      <c r="F284" s="3">
        <v>46245.4460339047</v>
      </c>
      <c r="G284" s="3">
        <v>46245.451856950021</v>
      </c>
      <c r="H284">
        <v>8.39</v>
      </c>
      <c r="I284" t="s">
        <v>3150</v>
      </c>
      <c r="J284" t="s">
        <v>3159</v>
      </c>
      <c r="K284" t="s">
        <v>3179</v>
      </c>
      <c r="L284" t="str">
        <f>_xlfn.XLOOKUP(C284,[1]!Table1[Shift_ID],[1]!Table1[Shift_ID])</f>
        <v>S01</v>
      </c>
      <c r="M284" t="str">
        <f>_xlfn.XLOOKUP(D284,[2]!Table1[Machine_ID],[2]!Table1[Machine_ID])</f>
        <v>M003</v>
      </c>
      <c r="N284" t="str">
        <f>_xlfn.XLOOKUP(E284,[3]Sheet1!$A$2:$A$391,[3]Sheet1!$A$2:$A$391)</f>
        <v>PO10020</v>
      </c>
    </row>
    <row r="285" spans="1:14" x14ac:dyDescent="0.2">
      <c r="A285" t="s">
        <v>294</v>
      </c>
      <c r="B285" s="2">
        <v>46245</v>
      </c>
      <c r="C285" t="s">
        <v>2940</v>
      </c>
      <c r="D285" t="s">
        <v>2945</v>
      </c>
      <c r="E285" t="s">
        <v>2970</v>
      </c>
      <c r="F285" s="3">
        <v>46245.423234658781</v>
      </c>
      <c r="G285" s="3">
        <v>46245.42579605581</v>
      </c>
      <c r="H285">
        <v>3.69</v>
      </c>
      <c r="I285" t="s">
        <v>3150</v>
      </c>
      <c r="J285" t="s">
        <v>3163</v>
      </c>
      <c r="K285" t="s">
        <v>3178</v>
      </c>
      <c r="L285" t="str">
        <f>_xlfn.XLOOKUP(C285,[1]!Table1[Shift_ID],[1]!Table1[Shift_ID])</f>
        <v>S01</v>
      </c>
      <c r="M285" t="str">
        <f>_xlfn.XLOOKUP(D285,[2]!Table1[Machine_ID],[2]!Table1[Machine_ID])</f>
        <v>M004</v>
      </c>
      <c r="N285" t="str">
        <f>_xlfn.XLOOKUP(E285,[3]Sheet1!$A$2:$A$391,[3]Sheet1!$A$2:$A$391)</f>
        <v>PO10020</v>
      </c>
    </row>
    <row r="286" spans="1:14" x14ac:dyDescent="0.2">
      <c r="A286" t="s">
        <v>295</v>
      </c>
      <c r="B286" s="2">
        <v>46245</v>
      </c>
      <c r="C286" t="s">
        <v>2940</v>
      </c>
      <c r="D286" t="s">
        <v>2945</v>
      </c>
      <c r="E286" t="s">
        <v>2970</v>
      </c>
      <c r="F286" s="3">
        <v>46245.52465095868</v>
      </c>
      <c r="G286" s="3">
        <v>46245.53075054998</v>
      </c>
      <c r="H286">
        <v>8.7799999999999994</v>
      </c>
      <c r="I286" t="s">
        <v>3150</v>
      </c>
      <c r="J286" t="s">
        <v>3159</v>
      </c>
      <c r="K286" t="s">
        <v>3178</v>
      </c>
      <c r="L286" t="str">
        <f>_xlfn.XLOOKUP(C286,[1]!Table1[Shift_ID],[1]!Table1[Shift_ID])</f>
        <v>S01</v>
      </c>
      <c r="M286" t="str">
        <f>_xlfn.XLOOKUP(D286,[2]!Table1[Machine_ID],[2]!Table1[Machine_ID])</f>
        <v>M004</v>
      </c>
      <c r="N286" t="str">
        <f>_xlfn.XLOOKUP(E286,[3]Sheet1!$A$2:$A$391,[3]Sheet1!$A$2:$A$391)</f>
        <v>PO10020</v>
      </c>
    </row>
    <row r="287" spans="1:14" x14ac:dyDescent="0.2">
      <c r="A287" t="s">
        <v>296</v>
      </c>
      <c r="B287" s="2">
        <v>46245</v>
      </c>
      <c r="C287" t="s">
        <v>2940</v>
      </c>
      <c r="D287" t="s">
        <v>2946</v>
      </c>
      <c r="E287" t="s">
        <v>2970</v>
      </c>
      <c r="F287" s="3">
        <v>46245.288479606701</v>
      </c>
      <c r="G287" s="3">
        <v>46245.290484894387</v>
      </c>
      <c r="H287">
        <v>2.89</v>
      </c>
      <c r="I287" t="s">
        <v>3149</v>
      </c>
      <c r="J287" t="s">
        <v>3162</v>
      </c>
      <c r="K287" t="s">
        <v>3176</v>
      </c>
      <c r="L287" t="str">
        <f>_xlfn.XLOOKUP(C287,[1]!Table1[Shift_ID],[1]!Table1[Shift_ID])</f>
        <v>S01</v>
      </c>
      <c r="M287" t="str">
        <f>_xlfn.XLOOKUP(D287,[2]!Table1[Machine_ID],[2]!Table1[Machine_ID])</f>
        <v>M005</v>
      </c>
      <c r="N287" t="str">
        <f>_xlfn.XLOOKUP(E287,[3]Sheet1!$A$2:$A$391,[3]Sheet1!$A$2:$A$391)</f>
        <v>PO10020</v>
      </c>
    </row>
    <row r="288" spans="1:14" x14ac:dyDescent="0.2">
      <c r="A288" t="s">
        <v>297</v>
      </c>
      <c r="B288" s="2">
        <v>46245</v>
      </c>
      <c r="C288" t="s">
        <v>2940</v>
      </c>
      <c r="D288" t="s">
        <v>2946</v>
      </c>
      <c r="E288" t="s">
        <v>2970</v>
      </c>
      <c r="F288" s="3">
        <v>46245.47474853391</v>
      </c>
      <c r="G288" s="3">
        <v>46245.481070914968</v>
      </c>
      <c r="H288">
        <v>9.1</v>
      </c>
      <c r="I288" t="s">
        <v>3148</v>
      </c>
      <c r="J288" t="s">
        <v>3155</v>
      </c>
      <c r="K288" t="s">
        <v>3183</v>
      </c>
      <c r="L288" t="str">
        <f>_xlfn.XLOOKUP(C288,[1]!Table1[Shift_ID],[1]!Table1[Shift_ID])</f>
        <v>S01</v>
      </c>
      <c r="M288" t="str">
        <f>_xlfn.XLOOKUP(D288,[2]!Table1[Machine_ID],[2]!Table1[Machine_ID])</f>
        <v>M005</v>
      </c>
      <c r="N288" t="str">
        <f>_xlfn.XLOOKUP(E288,[3]Sheet1!$A$2:$A$391,[3]Sheet1!$A$2:$A$391)</f>
        <v>PO10020</v>
      </c>
    </row>
    <row r="289" spans="1:14" x14ac:dyDescent="0.2">
      <c r="A289" t="s">
        <v>298</v>
      </c>
      <c r="B289" s="2">
        <v>46245</v>
      </c>
      <c r="C289" t="s">
        <v>2940</v>
      </c>
      <c r="D289" t="s">
        <v>2947</v>
      </c>
      <c r="E289" t="s">
        <v>2970</v>
      </c>
      <c r="F289" s="3">
        <v>46245.340765704917</v>
      </c>
      <c r="G289" s="3">
        <v>46245.342807675413</v>
      </c>
      <c r="H289">
        <v>2.94</v>
      </c>
      <c r="I289" t="s">
        <v>3150</v>
      </c>
      <c r="J289" t="s">
        <v>3159</v>
      </c>
      <c r="K289" t="s">
        <v>3179</v>
      </c>
      <c r="L289" t="str">
        <f>_xlfn.XLOOKUP(C289,[1]!Table1[Shift_ID],[1]!Table1[Shift_ID])</f>
        <v>S01</v>
      </c>
      <c r="M289" t="str">
        <f>_xlfn.XLOOKUP(D289,[2]!Table1[Machine_ID],[2]!Table1[Machine_ID])</f>
        <v>M006</v>
      </c>
      <c r="N289" t="str">
        <f>_xlfn.XLOOKUP(E289,[3]Sheet1!$A$2:$A$391,[3]Sheet1!$A$2:$A$391)</f>
        <v>PO10020</v>
      </c>
    </row>
    <row r="290" spans="1:14" x14ac:dyDescent="0.2">
      <c r="A290" t="s">
        <v>299</v>
      </c>
      <c r="B290" s="2">
        <v>46245</v>
      </c>
      <c r="C290" t="s">
        <v>2940</v>
      </c>
      <c r="D290" t="s">
        <v>2947</v>
      </c>
      <c r="E290" t="s">
        <v>2970</v>
      </c>
      <c r="F290" s="3">
        <v>46245.571177709608</v>
      </c>
      <c r="G290" s="3">
        <v>46245.583333333343</v>
      </c>
      <c r="H290">
        <v>17.5</v>
      </c>
      <c r="I290" t="s">
        <v>3148</v>
      </c>
      <c r="J290" t="s">
        <v>3155</v>
      </c>
      <c r="K290" t="s">
        <v>3173</v>
      </c>
      <c r="L290" t="str">
        <f>_xlfn.XLOOKUP(C290,[1]!Table1[Shift_ID],[1]!Table1[Shift_ID])</f>
        <v>S01</v>
      </c>
      <c r="M290" t="str">
        <f>_xlfn.XLOOKUP(D290,[2]!Table1[Machine_ID],[2]!Table1[Machine_ID])</f>
        <v>M006</v>
      </c>
      <c r="N290" t="str">
        <f>_xlfn.XLOOKUP(E290,[3]Sheet1!$A$2:$A$391,[3]Sheet1!$A$2:$A$391)</f>
        <v>PO10020</v>
      </c>
    </row>
    <row r="291" spans="1:14" x14ac:dyDescent="0.2">
      <c r="A291" t="s">
        <v>300</v>
      </c>
      <c r="B291" s="2">
        <v>46245</v>
      </c>
      <c r="C291" t="s">
        <v>2940</v>
      </c>
      <c r="D291" t="s">
        <v>2948</v>
      </c>
      <c r="E291" t="s">
        <v>2970</v>
      </c>
      <c r="F291" s="3">
        <v>46245.514610323487</v>
      </c>
      <c r="G291" s="3">
        <v>46245.527079310043</v>
      </c>
      <c r="H291">
        <v>17.96</v>
      </c>
      <c r="I291" t="s">
        <v>3147</v>
      </c>
      <c r="J291" t="s">
        <v>3154</v>
      </c>
      <c r="K291" t="s">
        <v>3185</v>
      </c>
      <c r="L291" t="str">
        <f>_xlfn.XLOOKUP(C291,[1]!Table1[Shift_ID],[1]!Table1[Shift_ID])</f>
        <v>S01</v>
      </c>
      <c r="M291" t="str">
        <f>_xlfn.XLOOKUP(D291,[2]!Table1[Machine_ID],[2]!Table1[Machine_ID])</f>
        <v>M007</v>
      </c>
      <c r="N291" t="str">
        <f>_xlfn.XLOOKUP(E291,[3]Sheet1!$A$2:$A$391,[3]Sheet1!$A$2:$A$391)</f>
        <v>PO10020</v>
      </c>
    </row>
    <row r="292" spans="1:14" x14ac:dyDescent="0.2">
      <c r="A292" t="s">
        <v>301</v>
      </c>
      <c r="B292" s="2">
        <v>46245</v>
      </c>
      <c r="C292" t="s">
        <v>2940</v>
      </c>
      <c r="D292" t="s">
        <v>2949</v>
      </c>
      <c r="E292" t="s">
        <v>2970</v>
      </c>
      <c r="F292" s="3">
        <v>46245.342227469802</v>
      </c>
      <c r="G292" s="3">
        <v>46245.347104049317</v>
      </c>
      <c r="H292">
        <v>7.02</v>
      </c>
      <c r="I292" t="s">
        <v>3149</v>
      </c>
      <c r="J292" t="s">
        <v>3168</v>
      </c>
      <c r="K292" t="s">
        <v>3184</v>
      </c>
      <c r="L292" t="str">
        <f>_xlfn.XLOOKUP(C292,[1]!Table1[Shift_ID],[1]!Table1[Shift_ID])</f>
        <v>S01</v>
      </c>
      <c r="M292" t="str">
        <f>_xlfn.XLOOKUP(D292,[2]!Table1[Machine_ID],[2]!Table1[Machine_ID])</f>
        <v>M008</v>
      </c>
      <c r="N292" t="str">
        <f>_xlfn.XLOOKUP(E292,[3]Sheet1!$A$2:$A$391,[3]Sheet1!$A$2:$A$391)</f>
        <v>PO10020</v>
      </c>
    </row>
    <row r="293" spans="1:14" x14ac:dyDescent="0.2">
      <c r="A293" t="s">
        <v>302</v>
      </c>
      <c r="B293" s="2">
        <v>46245</v>
      </c>
      <c r="C293" t="s">
        <v>2941</v>
      </c>
      <c r="D293" t="s">
        <v>2942</v>
      </c>
      <c r="E293" t="s">
        <v>2971</v>
      </c>
      <c r="F293" s="3">
        <v>46245.7266977584</v>
      </c>
      <c r="G293" s="3">
        <v>46245.73288525609</v>
      </c>
      <c r="H293">
        <v>8.91</v>
      </c>
      <c r="I293" t="s">
        <v>3151</v>
      </c>
      <c r="J293" t="s">
        <v>3169</v>
      </c>
      <c r="K293" t="s">
        <v>3188</v>
      </c>
      <c r="L293" t="str">
        <f>_xlfn.XLOOKUP(C293,[1]!Table1[Shift_ID],[1]!Table1[Shift_ID])</f>
        <v>S02</v>
      </c>
      <c r="M293" t="str">
        <f>_xlfn.XLOOKUP(D293,[2]!Table1[Machine_ID],[2]!Table1[Machine_ID])</f>
        <v>M001</v>
      </c>
      <c r="N293" t="str">
        <f>_xlfn.XLOOKUP(E293,[3]Sheet1!$A$2:$A$391,[3]Sheet1!$A$2:$A$391)</f>
        <v>PO10021</v>
      </c>
    </row>
    <row r="294" spans="1:14" x14ac:dyDescent="0.2">
      <c r="A294" t="s">
        <v>303</v>
      </c>
      <c r="B294" s="2">
        <v>46245</v>
      </c>
      <c r="C294" t="s">
        <v>2941</v>
      </c>
      <c r="D294" t="s">
        <v>2943</v>
      </c>
      <c r="E294" t="s">
        <v>2971</v>
      </c>
      <c r="F294" s="3">
        <v>46245.623602303327</v>
      </c>
      <c r="G294" s="3">
        <v>46245.625724732141</v>
      </c>
      <c r="H294">
        <v>3.06</v>
      </c>
      <c r="I294" t="s">
        <v>3150</v>
      </c>
      <c r="J294" t="s">
        <v>3166</v>
      </c>
      <c r="K294" t="s">
        <v>3178</v>
      </c>
      <c r="L294" t="str">
        <f>_xlfn.XLOOKUP(C294,[1]!Table1[Shift_ID],[1]!Table1[Shift_ID])</f>
        <v>S02</v>
      </c>
      <c r="M294" t="str">
        <f>_xlfn.XLOOKUP(D294,[2]!Table1[Machine_ID],[2]!Table1[Machine_ID])</f>
        <v>M002</v>
      </c>
      <c r="N294" t="str">
        <f>_xlfn.XLOOKUP(E294,[3]Sheet1!$A$2:$A$391,[3]Sheet1!$A$2:$A$391)</f>
        <v>PO10021</v>
      </c>
    </row>
    <row r="295" spans="1:14" x14ac:dyDescent="0.2">
      <c r="A295" t="s">
        <v>304</v>
      </c>
      <c r="B295" s="2">
        <v>46245</v>
      </c>
      <c r="C295" t="s">
        <v>2941</v>
      </c>
      <c r="D295" t="s">
        <v>2943</v>
      </c>
      <c r="E295" t="s">
        <v>2971</v>
      </c>
      <c r="F295" s="3">
        <v>46245.727755476197</v>
      </c>
      <c r="G295" s="3">
        <v>46245.733583006942</v>
      </c>
      <c r="H295">
        <v>8.39</v>
      </c>
      <c r="I295" t="s">
        <v>3147</v>
      </c>
      <c r="J295" t="s">
        <v>3167</v>
      </c>
      <c r="K295" t="s">
        <v>3172</v>
      </c>
      <c r="L295" t="str">
        <f>_xlfn.XLOOKUP(C295,[1]!Table1[Shift_ID],[1]!Table1[Shift_ID])</f>
        <v>S02</v>
      </c>
      <c r="M295" t="str">
        <f>_xlfn.XLOOKUP(D295,[2]!Table1[Machine_ID],[2]!Table1[Machine_ID])</f>
        <v>M002</v>
      </c>
      <c r="N295" t="str">
        <f>_xlfn.XLOOKUP(E295,[3]Sheet1!$A$2:$A$391,[3]Sheet1!$A$2:$A$391)</f>
        <v>PO10021</v>
      </c>
    </row>
    <row r="296" spans="1:14" x14ac:dyDescent="0.2">
      <c r="A296" t="s">
        <v>305</v>
      </c>
      <c r="B296" s="2">
        <v>46245</v>
      </c>
      <c r="C296" t="s">
        <v>2941</v>
      </c>
      <c r="D296" t="s">
        <v>2944</v>
      </c>
      <c r="E296" t="s">
        <v>2971</v>
      </c>
      <c r="F296" s="3">
        <v>46245.819518781223</v>
      </c>
      <c r="G296" s="3">
        <v>46245.832833269793</v>
      </c>
      <c r="H296">
        <v>19.170000000000002</v>
      </c>
      <c r="I296" t="s">
        <v>3148</v>
      </c>
      <c r="J296" t="s">
        <v>3155</v>
      </c>
      <c r="K296" t="s">
        <v>3173</v>
      </c>
      <c r="L296" t="str">
        <f>_xlfn.XLOOKUP(C296,[1]!Table1[Shift_ID],[1]!Table1[Shift_ID])</f>
        <v>S02</v>
      </c>
      <c r="M296" t="str">
        <f>_xlfn.XLOOKUP(D296,[2]!Table1[Machine_ID],[2]!Table1[Machine_ID])</f>
        <v>M003</v>
      </c>
      <c r="N296" t="str">
        <f>_xlfn.XLOOKUP(E296,[3]Sheet1!$A$2:$A$391,[3]Sheet1!$A$2:$A$391)</f>
        <v>PO10021</v>
      </c>
    </row>
    <row r="297" spans="1:14" x14ac:dyDescent="0.2">
      <c r="A297" t="s">
        <v>306</v>
      </c>
      <c r="B297" s="2">
        <v>46245</v>
      </c>
      <c r="C297" t="s">
        <v>2941</v>
      </c>
      <c r="D297" t="s">
        <v>2945</v>
      </c>
      <c r="E297" t="s">
        <v>2971</v>
      </c>
      <c r="F297" s="3">
        <v>46245.60633733392</v>
      </c>
      <c r="G297" s="3">
        <v>46245.60767197729</v>
      </c>
      <c r="H297">
        <v>1.92</v>
      </c>
      <c r="I297" t="s">
        <v>3150</v>
      </c>
      <c r="J297" t="s">
        <v>3160</v>
      </c>
      <c r="K297" t="s">
        <v>3177</v>
      </c>
      <c r="L297" t="str">
        <f>_xlfn.XLOOKUP(C297,[1]!Table1[Shift_ID],[1]!Table1[Shift_ID])</f>
        <v>S02</v>
      </c>
      <c r="M297" t="str">
        <f>_xlfn.XLOOKUP(D297,[2]!Table1[Machine_ID],[2]!Table1[Machine_ID])</f>
        <v>M004</v>
      </c>
      <c r="N297" t="str">
        <f>_xlfn.XLOOKUP(E297,[3]Sheet1!$A$2:$A$391,[3]Sheet1!$A$2:$A$391)</f>
        <v>PO10021</v>
      </c>
    </row>
    <row r="298" spans="1:14" x14ac:dyDescent="0.2">
      <c r="A298" t="s">
        <v>307</v>
      </c>
      <c r="B298" s="2">
        <v>46245</v>
      </c>
      <c r="C298" t="s">
        <v>2941</v>
      </c>
      <c r="D298" t="s">
        <v>2945</v>
      </c>
      <c r="E298" t="s">
        <v>2971</v>
      </c>
      <c r="F298" s="3">
        <v>46245.60825502318</v>
      </c>
      <c r="G298" s="3">
        <v>46245.60958966655</v>
      </c>
      <c r="H298">
        <v>1.92</v>
      </c>
      <c r="I298" t="s">
        <v>3147</v>
      </c>
      <c r="J298" t="s">
        <v>3154</v>
      </c>
      <c r="K298" t="s">
        <v>3185</v>
      </c>
      <c r="L298" t="str">
        <f>_xlfn.XLOOKUP(C298,[1]!Table1[Shift_ID],[1]!Table1[Shift_ID])</f>
        <v>S02</v>
      </c>
      <c r="M298" t="str">
        <f>_xlfn.XLOOKUP(D298,[2]!Table1[Machine_ID],[2]!Table1[Machine_ID])</f>
        <v>M004</v>
      </c>
      <c r="N298" t="str">
        <f>_xlfn.XLOOKUP(E298,[3]Sheet1!$A$2:$A$391,[3]Sheet1!$A$2:$A$391)</f>
        <v>PO10021</v>
      </c>
    </row>
    <row r="299" spans="1:14" x14ac:dyDescent="0.2">
      <c r="A299" t="s">
        <v>308</v>
      </c>
      <c r="B299" s="2">
        <v>46245</v>
      </c>
      <c r="C299" t="s">
        <v>2941</v>
      </c>
      <c r="D299" t="s">
        <v>2945</v>
      </c>
      <c r="E299" t="s">
        <v>2971</v>
      </c>
      <c r="F299" s="3">
        <v>46245.62203569337</v>
      </c>
      <c r="G299" s="3">
        <v>46245.624672508537</v>
      </c>
      <c r="H299">
        <v>3.8</v>
      </c>
      <c r="I299" t="s">
        <v>3146</v>
      </c>
      <c r="J299" t="s">
        <v>3152</v>
      </c>
      <c r="K299" t="s">
        <v>3174</v>
      </c>
      <c r="L299" t="str">
        <f>_xlfn.XLOOKUP(C299,[1]!Table1[Shift_ID],[1]!Table1[Shift_ID])</f>
        <v>S02</v>
      </c>
      <c r="M299" t="str">
        <f>_xlfn.XLOOKUP(D299,[2]!Table1[Machine_ID],[2]!Table1[Machine_ID])</f>
        <v>M004</v>
      </c>
      <c r="N299" t="str">
        <f>_xlfn.XLOOKUP(E299,[3]Sheet1!$A$2:$A$391,[3]Sheet1!$A$2:$A$391)</f>
        <v>PO10021</v>
      </c>
    </row>
    <row r="300" spans="1:14" x14ac:dyDescent="0.2">
      <c r="A300" t="s">
        <v>309</v>
      </c>
      <c r="B300" s="2">
        <v>46245</v>
      </c>
      <c r="C300" t="s">
        <v>2941</v>
      </c>
      <c r="D300" t="s">
        <v>2945</v>
      </c>
      <c r="E300" t="s">
        <v>2971</v>
      </c>
      <c r="F300" s="3">
        <v>46245.895767314607</v>
      </c>
      <c r="G300" s="3">
        <v>46245.897101957977</v>
      </c>
      <c r="H300">
        <v>1.92</v>
      </c>
      <c r="I300" t="s">
        <v>3150</v>
      </c>
      <c r="J300" t="s">
        <v>3160</v>
      </c>
      <c r="K300" t="s">
        <v>3177</v>
      </c>
      <c r="L300" t="str">
        <f>_xlfn.XLOOKUP(C300,[1]!Table1[Shift_ID],[1]!Table1[Shift_ID])</f>
        <v>S02</v>
      </c>
      <c r="M300" t="str">
        <f>_xlfn.XLOOKUP(D300,[2]!Table1[Machine_ID],[2]!Table1[Machine_ID])</f>
        <v>M004</v>
      </c>
      <c r="N300" t="str">
        <f>_xlfn.XLOOKUP(E300,[3]Sheet1!$A$2:$A$391,[3]Sheet1!$A$2:$A$391)</f>
        <v>PO10021</v>
      </c>
    </row>
    <row r="301" spans="1:14" x14ac:dyDescent="0.2">
      <c r="A301" t="s">
        <v>310</v>
      </c>
      <c r="B301" s="2">
        <v>46245</v>
      </c>
      <c r="C301" t="s">
        <v>2941</v>
      </c>
      <c r="D301" t="s">
        <v>2945</v>
      </c>
      <c r="E301" t="s">
        <v>2971</v>
      </c>
      <c r="F301" s="3">
        <v>46245.904698063423</v>
      </c>
      <c r="G301" s="3">
        <v>46245.906032706793</v>
      </c>
      <c r="H301">
        <v>1.92</v>
      </c>
      <c r="I301" t="s">
        <v>3149</v>
      </c>
      <c r="J301" t="s">
        <v>3158</v>
      </c>
      <c r="K301" t="s">
        <v>3176</v>
      </c>
      <c r="L301" t="str">
        <f>_xlfn.XLOOKUP(C301,[1]!Table1[Shift_ID],[1]!Table1[Shift_ID])</f>
        <v>S02</v>
      </c>
      <c r="M301" t="str">
        <f>_xlfn.XLOOKUP(D301,[2]!Table1[Machine_ID],[2]!Table1[Machine_ID])</f>
        <v>M004</v>
      </c>
      <c r="N301" t="str">
        <f>_xlfn.XLOOKUP(E301,[3]Sheet1!$A$2:$A$391,[3]Sheet1!$A$2:$A$391)</f>
        <v>PO10021</v>
      </c>
    </row>
    <row r="302" spans="1:14" x14ac:dyDescent="0.2">
      <c r="A302" t="s">
        <v>311</v>
      </c>
      <c r="B302" s="2">
        <v>46245</v>
      </c>
      <c r="C302" t="s">
        <v>2941</v>
      </c>
      <c r="D302" t="s">
        <v>2946</v>
      </c>
      <c r="E302" t="s">
        <v>2971</v>
      </c>
      <c r="F302" s="3">
        <v>46245.716180753079</v>
      </c>
      <c r="G302" s="3">
        <v>46245.718007666721</v>
      </c>
      <c r="H302">
        <v>2.63</v>
      </c>
      <c r="I302" t="s">
        <v>3149</v>
      </c>
      <c r="J302" t="s">
        <v>3168</v>
      </c>
      <c r="K302" t="s">
        <v>3182</v>
      </c>
      <c r="L302" t="str">
        <f>_xlfn.XLOOKUP(C302,[1]!Table1[Shift_ID],[1]!Table1[Shift_ID])</f>
        <v>S02</v>
      </c>
      <c r="M302" t="str">
        <f>_xlfn.XLOOKUP(D302,[2]!Table1[Machine_ID],[2]!Table1[Machine_ID])</f>
        <v>M005</v>
      </c>
      <c r="N302" t="str">
        <f>_xlfn.XLOOKUP(E302,[3]Sheet1!$A$2:$A$391,[3]Sheet1!$A$2:$A$391)</f>
        <v>PO10021</v>
      </c>
    </row>
    <row r="303" spans="1:14" x14ac:dyDescent="0.2">
      <c r="A303" t="s">
        <v>312</v>
      </c>
      <c r="B303" s="2">
        <v>46245</v>
      </c>
      <c r="C303" t="s">
        <v>2941</v>
      </c>
      <c r="D303" t="s">
        <v>2946</v>
      </c>
      <c r="E303" t="s">
        <v>2971</v>
      </c>
      <c r="F303" s="3">
        <v>46245.778761242473</v>
      </c>
      <c r="G303" s="3">
        <v>46245.786291058197</v>
      </c>
      <c r="H303">
        <v>10.84</v>
      </c>
      <c r="I303" t="s">
        <v>3147</v>
      </c>
      <c r="J303" t="s">
        <v>3167</v>
      </c>
      <c r="K303" t="s">
        <v>3185</v>
      </c>
      <c r="L303" t="str">
        <f>_xlfn.XLOOKUP(C303,[1]!Table1[Shift_ID],[1]!Table1[Shift_ID])</f>
        <v>S02</v>
      </c>
      <c r="M303" t="str">
        <f>_xlfn.XLOOKUP(D303,[2]!Table1[Machine_ID],[2]!Table1[Machine_ID])</f>
        <v>M005</v>
      </c>
      <c r="N303" t="str">
        <f>_xlfn.XLOOKUP(E303,[3]Sheet1!$A$2:$A$391,[3]Sheet1!$A$2:$A$391)</f>
        <v>PO10021</v>
      </c>
    </row>
    <row r="304" spans="1:14" x14ac:dyDescent="0.2">
      <c r="A304" t="s">
        <v>313</v>
      </c>
      <c r="B304" s="2">
        <v>46245</v>
      </c>
      <c r="C304" t="s">
        <v>2941</v>
      </c>
      <c r="D304" t="s">
        <v>2947</v>
      </c>
      <c r="E304" t="s">
        <v>2971</v>
      </c>
      <c r="F304" s="3">
        <v>46245.698697542881</v>
      </c>
      <c r="G304" s="3">
        <v>46245.700568203938</v>
      </c>
      <c r="H304">
        <v>2.69</v>
      </c>
      <c r="I304" t="s">
        <v>3147</v>
      </c>
      <c r="J304" t="s">
        <v>3154</v>
      </c>
      <c r="K304" t="s">
        <v>3186</v>
      </c>
      <c r="L304" t="str">
        <f>_xlfn.XLOOKUP(C304,[1]!Table1[Shift_ID],[1]!Table1[Shift_ID])</f>
        <v>S02</v>
      </c>
      <c r="M304" t="str">
        <f>_xlfn.XLOOKUP(D304,[2]!Table1[Machine_ID],[2]!Table1[Machine_ID])</f>
        <v>M006</v>
      </c>
      <c r="N304" t="str">
        <f>_xlfn.XLOOKUP(E304,[3]Sheet1!$A$2:$A$391,[3]Sheet1!$A$2:$A$391)</f>
        <v>PO10021</v>
      </c>
    </row>
    <row r="305" spans="1:14" x14ac:dyDescent="0.2">
      <c r="A305" t="s">
        <v>314</v>
      </c>
      <c r="B305" s="2">
        <v>46245</v>
      </c>
      <c r="C305" t="s">
        <v>2941</v>
      </c>
      <c r="D305" t="s">
        <v>2947</v>
      </c>
      <c r="E305" t="s">
        <v>2971</v>
      </c>
      <c r="F305" s="3">
        <v>46245.704648143663</v>
      </c>
      <c r="G305" s="3">
        <v>46245.708941272431</v>
      </c>
      <c r="H305">
        <v>6.18</v>
      </c>
      <c r="I305" t="s">
        <v>3146</v>
      </c>
      <c r="J305" t="s">
        <v>3157</v>
      </c>
      <c r="K305" t="s">
        <v>3174</v>
      </c>
      <c r="L305" t="str">
        <f>_xlfn.XLOOKUP(C305,[1]!Table1[Shift_ID],[1]!Table1[Shift_ID])</f>
        <v>S02</v>
      </c>
      <c r="M305" t="str">
        <f>_xlfn.XLOOKUP(D305,[2]!Table1[Machine_ID],[2]!Table1[Machine_ID])</f>
        <v>M006</v>
      </c>
      <c r="N305" t="str">
        <f>_xlfn.XLOOKUP(E305,[3]Sheet1!$A$2:$A$391,[3]Sheet1!$A$2:$A$391)</f>
        <v>PO10021</v>
      </c>
    </row>
    <row r="306" spans="1:14" x14ac:dyDescent="0.2">
      <c r="A306" t="s">
        <v>315</v>
      </c>
      <c r="B306" s="2">
        <v>46245</v>
      </c>
      <c r="C306" t="s">
        <v>2941</v>
      </c>
      <c r="D306" t="s">
        <v>2947</v>
      </c>
      <c r="E306" t="s">
        <v>2971</v>
      </c>
      <c r="F306" s="3">
        <v>46245.766326250021</v>
      </c>
      <c r="G306" s="3">
        <v>46245.768015892507</v>
      </c>
      <c r="H306">
        <v>2.4300000000000002</v>
      </c>
      <c r="I306" t="s">
        <v>3149</v>
      </c>
      <c r="J306" t="s">
        <v>3158</v>
      </c>
      <c r="K306" t="s">
        <v>3176</v>
      </c>
      <c r="L306" t="str">
        <f>_xlfn.XLOOKUP(C306,[1]!Table1[Shift_ID],[1]!Table1[Shift_ID])</f>
        <v>S02</v>
      </c>
      <c r="M306" t="str">
        <f>_xlfn.XLOOKUP(D306,[2]!Table1[Machine_ID],[2]!Table1[Machine_ID])</f>
        <v>M006</v>
      </c>
      <c r="N306" t="str">
        <f>_xlfn.XLOOKUP(E306,[3]Sheet1!$A$2:$A$391,[3]Sheet1!$A$2:$A$391)</f>
        <v>PO10021</v>
      </c>
    </row>
    <row r="307" spans="1:14" x14ac:dyDescent="0.2">
      <c r="A307" t="s">
        <v>316</v>
      </c>
      <c r="B307" s="2">
        <v>46245</v>
      </c>
      <c r="C307" t="s">
        <v>2941</v>
      </c>
      <c r="D307" t="s">
        <v>2947</v>
      </c>
      <c r="E307" t="s">
        <v>2971</v>
      </c>
      <c r="F307" s="3">
        <v>46245.801107870982</v>
      </c>
      <c r="G307" s="3">
        <v>46245.806986369957</v>
      </c>
      <c r="H307">
        <v>8.4700000000000006</v>
      </c>
      <c r="I307" t="s">
        <v>3146</v>
      </c>
      <c r="J307" t="s">
        <v>3152</v>
      </c>
      <c r="K307" t="s">
        <v>3174</v>
      </c>
      <c r="L307" t="str">
        <f>_xlfn.XLOOKUP(C307,[1]!Table1[Shift_ID],[1]!Table1[Shift_ID])</f>
        <v>S02</v>
      </c>
      <c r="M307" t="str">
        <f>_xlfn.XLOOKUP(D307,[2]!Table1[Machine_ID],[2]!Table1[Machine_ID])</f>
        <v>M006</v>
      </c>
      <c r="N307" t="str">
        <f>_xlfn.XLOOKUP(E307,[3]Sheet1!$A$2:$A$391,[3]Sheet1!$A$2:$A$391)</f>
        <v>PO10021</v>
      </c>
    </row>
    <row r="308" spans="1:14" x14ac:dyDescent="0.2">
      <c r="A308" t="s">
        <v>317</v>
      </c>
      <c r="B308" s="2">
        <v>46245</v>
      </c>
      <c r="C308" t="s">
        <v>2941</v>
      </c>
      <c r="D308" t="s">
        <v>2947</v>
      </c>
      <c r="E308" t="s">
        <v>2971</v>
      </c>
      <c r="F308" s="3">
        <v>46245.805333363438</v>
      </c>
      <c r="G308" s="3">
        <v>46245.807023005917</v>
      </c>
      <c r="H308">
        <v>2.4300000000000002</v>
      </c>
      <c r="I308" t="s">
        <v>3146</v>
      </c>
      <c r="J308" t="s">
        <v>3152</v>
      </c>
      <c r="K308" t="s">
        <v>3175</v>
      </c>
      <c r="L308" t="str">
        <f>_xlfn.XLOOKUP(C308,[1]!Table1[Shift_ID],[1]!Table1[Shift_ID])</f>
        <v>S02</v>
      </c>
      <c r="M308" t="str">
        <f>_xlfn.XLOOKUP(D308,[2]!Table1[Machine_ID],[2]!Table1[Machine_ID])</f>
        <v>M006</v>
      </c>
      <c r="N308" t="str">
        <f>_xlfn.XLOOKUP(E308,[3]Sheet1!$A$2:$A$391,[3]Sheet1!$A$2:$A$391)</f>
        <v>PO10021</v>
      </c>
    </row>
    <row r="309" spans="1:14" x14ac:dyDescent="0.2">
      <c r="A309" t="s">
        <v>318</v>
      </c>
      <c r="B309" s="2">
        <v>46245</v>
      </c>
      <c r="C309" t="s">
        <v>2941</v>
      </c>
      <c r="D309" t="s">
        <v>2947</v>
      </c>
      <c r="E309" t="s">
        <v>2971</v>
      </c>
      <c r="F309" s="3">
        <v>46245.819330420571</v>
      </c>
      <c r="G309" s="3">
        <v>46245.821020063056</v>
      </c>
      <c r="H309">
        <v>2.4300000000000002</v>
      </c>
      <c r="I309" t="s">
        <v>3150</v>
      </c>
      <c r="J309" t="s">
        <v>3163</v>
      </c>
      <c r="K309" t="s">
        <v>3179</v>
      </c>
      <c r="L309" t="str">
        <f>_xlfn.XLOOKUP(C309,[1]!Table1[Shift_ID],[1]!Table1[Shift_ID])</f>
        <v>S02</v>
      </c>
      <c r="M309" t="str">
        <f>_xlfn.XLOOKUP(D309,[2]!Table1[Machine_ID],[2]!Table1[Machine_ID])</f>
        <v>M006</v>
      </c>
      <c r="N309" t="str">
        <f>_xlfn.XLOOKUP(E309,[3]Sheet1!$A$2:$A$391,[3]Sheet1!$A$2:$A$391)</f>
        <v>PO10021</v>
      </c>
    </row>
    <row r="310" spans="1:14" x14ac:dyDescent="0.2">
      <c r="A310" t="s">
        <v>319</v>
      </c>
      <c r="B310" s="2">
        <v>46245</v>
      </c>
      <c r="C310" t="s">
        <v>2941</v>
      </c>
      <c r="D310" t="s">
        <v>2947</v>
      </c>
      <c r="E310" t="s">
        <v>2971</v>
      </c>
      <c r="F310" s="3">
        <v>46245.879037191276</v>
      </c>
      <c r="G310" s="3">
        <v>46245.88072683377</v>
      </c>
      <c r="H310">
        <v>2.4300000000000002</v>
      </c>
      <c r="I310" t="s">
        <v>3149</v>
      </c>
      <c r="J310" t="s">
        <v>3168</v>
      </c>
      <c r="K310" t="s">
        <v>3176</v>
      </c>
      <c r="L310" t="str">
        <f>_xlfn.XLOOKUP(C310,[1]!Table1[Shift_ID],[1]!Table1[Shift_ID])</f>
        <v>S02</v>
      </c>
      <c r="M310" t="str">
        <f>_xlfn.XLOOKUP(D310,[2]!Table1[Machine_ID],[2]!Table1[Machine_ID])</f>
        <v>M006</v>
      </c>
      <c r="N310" t="str">
        <f>_xlfn.XLOOKUP(E310,[3]Sheet1!$A$2:$A$391,[3]Sheet1!$A$2:$A$391)</f>
        <v>PO10021</v>
      </c>
    </row>
    <row r="311" spans="1:14" x14ac:dyDescent="0.2">
      <c r="A311" t="s">
        <v>320</v>
      </c>
      <c r="B311" s="2">
        <v>46245</v>
      </c>
      <c r="C311" t="s">
        <v>2941</v>
      </c>
      <c r="D311" t="s">
        <v>2948</v>
      </c>
      <c r="E311" t="s">
        <v>2971</v>
      </c>
      <c r="F311" s="3">
        <v>46245.674505118193</v>
      </c>
      <c r="G311" s="3">
        <v>46245.676159124458</v>
      </c>
      <c r="H311">
        <v>2.38</v>
      </c>
      <c r="I311" t="s">
        <v>3150</v>
      </c>
      <c r="J311" t="s">
        <v>3159</v>
      </c>
      <c r="K311" t="s">
        <v>3178</v>
      </c>
      <c r="L311" t="str">
        <f>_xlfn.XLOOKUP(C311,[1]!Table1[Shift_ID],[1]!Table1[Shift_ID])</f>
        <v>S02</v>
      </c>
      <c r="M311" t="str">
        <f>_xlfn.XLOOKUP(D311,[2]!Table1[Machine_ID],[2]!Table1[Machine_ID])</f>
        <v>M007</v>
      </c>
      <c r="N311" t="str">
        <f>_xlfn.XLOOKUP(E311,[3]Sheet1!$A$2:$A$391,[3]Sheet1!$A$2:$A$391)</f>
        <v>PO10021</v>
      </c>
    </row>
    <row r="312" spans="1:14" x14ac:dyDescent="0.2">
      <c r="A312" t="s">
        <v>321</v>
      </c>
      <c r="B312" s="2">
        <v>46245</v>
      </c>
      <c r="C312" t="s">
        <v>2941</v>
      </c>
      <c r="D312" t="s">
        <v>2948</v>
      </c>
      <c r="E312" t="s">
        <v>2971</v>
      </c>
      <c r="F312" s="3">
        <v>46245.712285415917</v>
      </c>
      <c r="G312" s="3">
        <v>46245.717340395837</v>
      </c>
      <c r="H312">
        <v>7.28</v>
      </c>
      <c r="I312" t="s">
        <v>3150</v>
      </c>
      <c r="J312" t="s">
        <v>3163</v>
      </c>
      <c r="K312" t="s">
        <v>3177</v>
      </c>
      <c r="L312" t="str">
        <f>_xlfn.XLOOKUP(C312,[1]!Table1[Shift_ID],[1]!Table1[Shift_ID])</f>
        <v>S02</v>
      </c>
      <c r="M312" t="str">
        <f>_xlfn.XLOOKUP(D312,[2]!Table1[Machine_ID],[2]!Table1[Machine_ID])</f>
        <v>M007</v>
      </c>
      <c r="N312" t="str">
        <f>_xlfn.XLOOKUP(E312,[3]Sheet1!$A$2:$A$391,[3]Sheet1!$A$2:$A$391)</f>
        <v>PO10021</v>
      </c>
    </row>
    <row r="313" spans="1:14" x14ac:dyDescent="0.2">
      <c r="A313" t="s">
        <v>322</v>
      </c>
      <c r="B313" s="2">
        <v>46245</v>
      </c>
      <c r="C313" t="s">
        <v>2941</v>
      </c>
      <c r="D313" t="s">
        <v>2948</v>
      </c>
      <c r="E313" t="s">
        <v>2971</v>
      </c>
      <c r="F313" s="3">
        <v>46245.760994384007</v>
      </c>
      <c r="G313" s="3">
        <v>46245.763573565993</v>
      </c>
      <c r="H313">
        <v>3.71</v>
      </c>
      <c r="I313" t="s">
        <v>3150</v>
      </c>
      <c r="J313" t="s">
        <v>3159</v>
      </c>
      <c r="K313" t="s">
        <v>3179</v>
      </c>
      <c r="L313" t="str">
        <f>_xlfn.XLOOKUP(C313,[1]!Table1[Shift_ID],[1]!Table1[Shift_ID])</f>
        <v>S02</v>
      </c>
      <c r="M313" t="str">
        <f>_xlfn.XLOOKUP(D313,[2]!Table1[Machine_ID],[2]!Table1[Machine_ID])</f>
        <v>M007</v>
      </c>
      <c r="N313" t="str">
        <f>_xlfn.XLOOKUP(E313,[3]Sheet1!$A$2:$A$391,[3]Sheet1!$A$2:$A$391)</f>
        <v>PO10021</v>
      </c>
    </row>
    <row r="314" spans="1:14" x14ac:dyDescent="0.2">
      <c r="A314" t="s">
        <v>323</v>
      </c>
      <c r="B314" s="2">
        <v>46245</v>
      </c>
      <c r="C314" t="s">
        <v>2941</v>
      </c>
      <c r="D314" t="s">
        <v>2948</v>
      </c>
      <c r="E314" t="s">
        <v>2971</v>
      </c>
      <c r="F314" s="3">
        <v>46245.870353178987</v>
      </c>
      <c r="G314" s="3">
        <v>46245.872007185273</v>
      </c>
      <c r="H314">
        <v>2.38</v>
      </c>
      <c r="I314" t="s">
        <v>3150</v>
      </c>
      <c r="J314" t="s">
        <v>3160</v>
      </c>
      <c r="K314" t="s">
        <v>3177</v>
      </c>
      <c r="L314" t="str">
        <f>_xlfn.XLOOKUP(C314,[1]!Table1[Shift_ID],[1]!Table1[Shift_ID])</f>
        <v>S02</v>
      </c>
      <c r="M314" t="str">
        <f>_xlfn.XLOOKUP(D314,[2]!Table1[Machine_ID],[2]!Table1[Machine_ID])</f>
        <v>M007</v>
      </c>
      <c r="N314" t="str">
        <f>_xlfn.XLOOKUP(E314,[3]Sheet1!$A$2:$A$391,[3]Sheet1!$A$2:$A$391)</f>
        <v>PO10021</v>
      </c>
    </row>
    <row r="315" spans="1:14" x14ac:dyDescent="0.2">
      <c r="A315" t="s">
        <v>324</v>
      </c>
      <c r="B315" s="2">
        <v>46245</v>
      </c>
      <c r="C315" t="s">
        <v>2941</v>
      </c>
      <c r="D315" t="s">
        <v>2949</v>
      </c>
      <c r="E315" t="s">
        <v>2971</v>
      </c>
      <c r="F315" s="3">
        <v>46245.731294738122</v>
      </c>
      <c r="G315" s="3">
        <v>46245.736306195788</v>
      </c>
      <c r="H315">
        <v>7.22</v>
      </c>
      <c r="I315" t="s">
        <v>3148</v>
      </c>
      <c r="J315" t="s">
        <v>3155</v>
      </c>
      <c r="K315" t="s">
        <v>3180</v>
      </c>
      <c r="L315" t="str">
        <f>_xlfn.XLOOKUP(C315,[1]!Table1[Shift_ID],[1]!Table1[Shift_ID])</f>
        <v>S02</v>
      </c>
      <c r="M315" t="str">
        <f>_xlfn.XLOOKUP(D315,[2]!Table1[Machine_ID],[2]!Table1[Machine_ID])</f>
        <v>M008</v>
      </c>
      <c r="N315" t="str">
        <f>_xlfn.XLOOKUP(E315,[3]Sheet1!$A$2:$A$391,[3]Sheet1!$A$2:$A$391)</f>
        <v>PO10021</v>
      </c>
    </row>
    <row r="316" spans="1:14" x14ac:dyDescent="0.2">
      <c r="A316" t="s">
        <v>325</v>
      </c>
      <c r="B316" s="2">
        <v>46246</v>
      </c>
      <c r="C316" t="s">
        <v>2939</v>
      </c>
      <c r="D316" t="s">
        <v>2942</v>
      </c>
      <c r="E316" t="s">
        <v>2972</v>
      </c>
      <c r="F316" s="3">
        <v>46247.124082183902</v>
      </c>
      <c r="G316" s="3">
        <v>46247.130974086918</v>
      </c>
      <c r="H316">
        <v>9.92</v>
      </c>
      <c r="I316" t="s">
        <v>3149</v>
      </c>
      <c r="J316" t="s">
        <v>3158</v>
      </c>
      <c r="K316" t="s">
        <v>3184</v>
      </c>
      <c r="L316" t="str">
        <f>_xlfn.XLOOKUP(C316,[1]!Table1[Shift_ID],[1]!Table1[Shift_ID])</f>
        <v>S03</v>
      </c>
      <c r="M316" t="str">
        <f>_xlfn.XLOOKUP(D316,[2]!Table1[Machine_ID],[2]!Table1[Machine_ID])</f>
        <v>M001</v>
      </c>
      <c r="N316" t="str">
        <f>_xlfn.XLOOKUP(E316,[3]Sheet1!$A$2:$A$391,[3]Sheet1!$A$2:$A$391)</f>
        <v>PO10022</v>
      </c>
    </row>
    <row r="317" spans="1:14" x14ac:dyDescent="0.2">
      <c r="A317" t="s">
        <v>326</v>
      </c>
      <c r="B317" s="2">
        <v>46246</v>
      </c>
      <c r="C317" t="s">
        <v>2939</v>
      </c>
      <c r="D317" t="s">
        <v>2943</v>
      </c>
      <c r="E317" t="s">
        <v>2972</v>
      </c>
      <c r="F317" s="3">
        <v>46246.9621939153</v>
      </c>
      <c r="G317" s="3">
        <v>46246.970630219119</v>
      </c>
      <c r="H317">
        <v>12.15</v>
      </c>
      <c r="I317" t="s">
        <v>3148</v>
      </c>
      <c r="J317" t="s">
        <v>3164</v>
      </c>
      <c r="K317" t="s">
        <v>3180</v>
      </c>
      <c r="L317" t="str">
        <f>_xlfn.XLOOKUP(C317,[1]!Table1[Shift_ID],[1]!Table1[Shift_ID])</f>
        <v>S03</v>
      </c>
      <c r="M317" t="str">
        <f>_xlfn.XLOOKUP(D317,[2]!Table1[Machine_ID],[2]!Table1[Machine_ID])</f>
        <v>M002</v>
      </c>
      <c r="N317" t="str">
        <f>_xlfn.XLOOKUP(E317,[3]Sheet1!$A$2:$A$391,[3]Sheet1!$A$2:$A$391)</f>
        <v>PO10022</v>
      </c>
    </row>
    <row r="318" spans="1:14" x14ac:dyDescent="0.2">
      <c r="A318" t="s">
        <v>327</v>
      </c>
      <c r="B318" s="2">
        <v>46246</v>
      </c>
      <c r="C318" t="s">
        <v>2939</v>
      </c>
      <c r="D318" t="s">
        <v>2944</v>
      </c>
      <c r="E318" t="s">
        <v>2972</v>
      </c>
      <c r="F318" s="3">
        <v>46247.026159700268</v>
      </c>
      <c r="G318" s="3">
        <v>46247.028032518487</v>
      </c>
      <c r="H318">
        <v>2.7</v>
      </c>
      <c r="I318" t="s">
        <v>3151</v>
      </c>
      <c r="J318" t="s">
        <v>3161</v>
      </c>
      <c r="K318" t="s">
        <v>3187</v>
      </c>
      <c r="L318" t="str">
        <f>_xlfn.XLOOKUP(C318,[1]!Table1[Shift_ID],[1]!Table1[Shift_ID])</f>
        <v>S03</v>
      </c>
      <c r="M318" t="str">
        <f>_xlfn.XLOOKUP(D318,[2]!Table1[Machine_ID],[2]!Table1[Machine_ID])</f>
        <v>M003</v>
      </c>
      <c r="N318" t="str">
        <f>_xlfn.XLOOKUP(E318,[3]Sheet1!$A$2:$A$391,[3]Sheet1!$A$2:$A$391)</f>
        <v>PO10022</v>
      </c>
    </row>
    <row r="319" spans="1:14" x14ac:dyDescent="0.2">
      <c r="A319" t="s">
        <v>328</v>
      </c>
      <c r="B319" s="2">
        <v>46246</v>
      </c>
      <c r="C319" t="s">
        <v>2939</v>
      </c>
      <c r="D319" t="s">
        <v>2944</v>
      </c>
      <c r="E319" t="s">
        <v>2972</v>
      </c>
      <c r="F319" s="3">
        <v>46247.090774169723</v>
      </c>
      <c r="G319" s="3">
        <v>46247.099178877492</v>
      </c>
      <c r="H319">
        <v>12.1</v>
      </c>
      <c r="I319" t="s">
        <v>3150</v>
      </c>
      <c r="J319" t="s">
        <v>3160</v>
      </c>
      <c r="K319" t="s">
        <v>3179</v>
      </c>
      <c r="L319" t="str">
        <f>_xlfn.XLOOKUP(C319,[1]!Table1[Shift_ID],[1]!Table1[Shift_ID])</f>
        <v>S03</v>
      </c>
      <c r="M319" t="str">
        <f>_xlfn.XLOOKUP(D319,[2]!Table1[Machine_ID],[2]!Table1[Machine_ID])</f>
        <v>M003</v>
      </c>
      <c r="N319" t="str">
        <f>_xlfn.XLOOKUP(E319,[3]Sheet1!$A$2:$A$391,[3]Sheet1!$A$2:$A$391)</f>
        <v>PO10022</v>
      </c>
    </row>
    <row r="320" spans="1:14" x14ac:dyDescent="0.2">
      <c r="A320" t="s">
        <v>329</v>
      </c>
      <c r="B320" s="2">
        <v>46246</v>
      </c>
      <c r="C320" t="s">
        <v>2939</v>
      </c>
      <c r="D320" t="s">
        <v>2945</v>
      </c>
      <c r="E320" t="s">
        <v>2972</v>
      </c>
      <c r="F320" s="3">
        <v>46247.21961435501</v>
      </c>
      <c r="G320" s="3">
        <v>46247.227854574849</v>
      </c>
      <c r="H320">
        <v>11.87</v>
      </c>
      <c r="I320" t="s">
        <v>3151</v>
      </c>
      <c r="J320" t="s">
        <v>3161</v>
      </c>
      <c r="K320" t="s">
        <v>3187</v>
      </c>
      <c r="L320" t="str">
        <f>_xlfn.XLOOKUP(C320,[1]!Table1[Shift_ID],[1]!Table1[Shift_ID])</f>
        <v>S03</v>
      </c>
      <c r="M320" t="str">
        <f>_xlfn.XLOOKUP(D320,[2]!Table1[Machine_ID],[2]!Table1[Machine_ID])</f>
        <v>M004</v>
      </c>
      <c r="N320" t="str">
        <f>_xlfn.XLOOKUP(E320,[3]Sheet1!$A$2:$A$391,[3]Sheet1!$A$2:$A$391)</f>
        <v>PO10022</v>
      </c>
    </row>
    <row r="321" spans="1:14" x14ac:dyDescent="0.2">
      <c r="A321" t="s">
        <v>330</v>
      </c>
      <c r="B321" s="2">
        <v>46246</v>
      </c>
      <c r="C321" t="s">
        <v>2939</v>
      </c>
      <c r="D321" t="s">
        <v>2946</v>
      </c>
      <c r="E321" t="s">
        <v>2972</v>
      </c>
      <c r="F321" s="3">
        <v>46246.946852983659</v>
      </c>
      <c r="G321" s="3">
        <v>46246.949136789037</v>
      </c>
      <c r="H321">
        <v>3.29</v>
      </c>
      <c r="I321" t="s">
        <v>3148</v>
      </c>
      <c r="J321" t="s">
        <v>3155</v>
      </c>
      <c r="K321" t="s">
        <v>3180</v>
      </c>
      <c r="L321" t="str">
        <f>_xlfn.XLOOKUP(C321,[1]!Table1[Shift_ID],[1]!Table1[Shift_ID])</f>
        <v>S03</v>
      </c>
      <c r="M321" t="str">
        <f>_xlfn.XLOOKUP(D321,[2]!Table1[Machine_ID],[2]!Table1[Machine_ID])</f>
        <v>M005</v>
      </c>
      <c r="N321" t="str">
        <f>_xlfn.XLOOKUP(E321,[3]Sheet1!$A$2:$A$391,[3]Sheet1!$A$2:$A$391)</f>
        <v>PO10022</v>
      </c>
    </row>
    <row r="322" spans="1:14" x14ac:dyDescent="0.2">
      <c r="A322" t="s">
        <v>331</v>
      </c>
      <c r="B322" s="2">
        <v>46246</v>
      </c>
      <c r="C322" t="s">
        <v>2939</v>
      </c>
      <c r="D322" t="s">
        <v>2946</v>
      </c>
      <c r="E322" t="s">
        <v>2972</v>
      </c>
      <c r="F322" s="3">
        <v>46247.019191348219</v>
      </c>
      <c r="G322" s="3">
        <v>46247.020396637978</v>
      </c>
      <c r="H322">
        <v>1.74</v>
      </c>
      <c r="I322" t="s">
        <v>3150</v>
      </c>
      <c r="J322" t="s">
        <v>3166</v>
      </c>
      <c r="K322" t="s">
        <v>3179</v>
      </c>
      <c r="L322" t="str">
        <f>_xlfn.XLOOKUP(C322,[1]!Table1[Shift_ID],[1]!Table1[Shift_ID])</f>
        <v>S03</v>
      </c>
      <c r="M322" t="str">
        <f>_xlfn.XLOOKUP(D322,[2]!Table1[Machine_ID],[2]!Table1[Machine_ID])</f>
        <v>M005</v>
      </c>
      <c r="N322" t="str">
        <f>_xlfn.XLOOKUP(E322,[3]Sheet1!$A$2:$A$391,[3]Sheet1!$A$2:$A$391)</f>
        <v>PO10022</v>
      </c>
    </row>
    <row r="323" spans="1:14" x14ac:dyDescent="0.2">
      <c r="A323" t="s">
        <v>332</v>
      </c>
      <c r="B323" s="2">
        <v>46246</v>
      </c>
      <c r="C323" t="s">
        <v>2939</v>
      </c>
      <c r="D323" t="s">
        <v>2946</v>
      </c>
      <c r="E323" t="s">
        <v>2972</v>
      </c>
      <c r="F323" s="3">
        <v>46247.215911395222</v>
      </c>
      <c r="G323" s="3">
        <v>46247.217116684988</v>
      </c>
      <c r="H323">
        <v>1.74</v>
      </c>
      <c r="I323" t="s">
        <v>3149</v>
      </c>
      <c r="J323" t="s">
        <v>3162</v>
      </c>
      <c r="K323" t="s">
        <v>3184</v>
      </c>
      <c r="L323" t="str">
        <f>_xlfn.XLOOKUP(C323,[1]!Table1[Shift_ID],[1]!Table1[Shift_ID])</f>
        <v>S03</v>
      </c>
      <c r="M323" t="str">
        <f>_xlfn.XLOOKUP(D323,[2]!Table1[Machine_ID],[2]!Table1[Machine_ID])</f>
        <v>M005</v>
      </c>
      <c r="N323" t="str">
        <f>_xlfn.XLOOKUP(E323,[3]Sheet1!$A$2:$A$391,[3]Sheet1!$A$2:$A$391)</f>
        <v>PO10022</v>
      </c>
    </row>
    <row r="324" spans="1:14" x14ac:dyDescent="0.2">
      <c r="A324" t="s">
        <v>333</v>
      </c>
      <c r="B324" s="2">
        <v>46246</v>
      </c>
      <c r="C324" t="s">
        <v>2939</v>
      </c>
      <c r="D324" t="s">
        <v>2946</v>
      </c>
      <c r="E324" t="s">
        <v>2972</v>
      </c>
      <c r="F324" s="3">
        <v>46247.221763348978</v>
      </c>
      <c r="G324" s="3">
        <v>46247.222968638751</v>
      </c>
      <c r="H324">
        <v>1.74</v>
      </c>
      <c r="I324" t="s">
        <v>3150</v>
      </c>
      <c r="J324" t="s">
        <v>3166</v>
      </c>
      <c r="K324" t="s">
        <v>3179</v>
      </c>
      <c r="L324" t="str">
        <f>_xlfn.XLOOKUP(C324,[1]!Table1[Shift_ID],[1]!Table1[Shift_ID])</f>
        <v>S03</v>
      </c>
      <c r="M324" t="str">
        <f>_xlfn.XLOOKUP(D324,[2]!Table1[Machine_ID],[2]!Table1[Machine_ID])</f>
        <v>M005</v>
      </c>
      <c r="N324" t="str">
        <f>_xlfn.XLOOKUP(E324,[3]Sheet1!$A$2:$A$391,[3]Sheet1!$A$2:$A$391)</f>
        <v>PO10022</v>
      </c>
    </row>
    <row r="325" spans="1:14" x14ac:dyDescent="0.2">
      <c r="A325" t="s">
        <v>334</v>
      </c>
      <c r="B325" s="2">
        <v>46246</v>
      </c>
      <c r="C325" t="s">
        <v>2939</v>
      </c>
      <c r="D325" t="s">
        <v>2946</v>
      </c>
      <c r="E325" t="s">
        <v>2972</v>
      </c>
      <c r="F325" s="3">
        <v>46247.228404438887</v>
      </c>
      <c r="G325" s="3">
        <v>46247.229755571643</v>
      </c>
      <c r="H325">
        <v>1.95</v>
      </c>
      <c r="I325" t="s">
        <v>3150</v>
      </c>
      <c r="J325" t="s">
        <v>3166</v>
      </c>
      <c r="K325" t="s">
        <v>3177</v>
      </c>
      <c r="L325" t="str">
        <f>_xlfn.XLOOKUP(C325,[1]!Table1[Shift_ID],[1]!Table1[Shift_ID])</f>
        <v>S03</v>
      </c>
      <c r="M325" t="str">
        <f>_xlfn.XLOOKUP(D325,[2]!Table1[Machine_ID],[2]!Table1[Machine_ID])</f>
        <v>M005</v>
      </c>
      <c r="N325" t="str">
        <f>_xlfn.XLOOKUP(E325,[3]Sheet1!$A$2:$A$391,[3]Sheet1!$A$2:$A$391)</f>
        <v>PO10022</v>
      </c>
    </row>
    <row r="326" spans="1:14" x14ac:dyDescent="0.2">
      <c r="A326" t="s">
        <v>335</v>
      </c>
      <c r="B326" s="2">
        <v>46246</v>
      </c>
      <c r="C326" t="s">
        <v>2939</v>
      </c>
      <c r="D326" t="s">
        <v>2947</v>
      </c>
      <c r="E326" t="s">
        <v>2972</v>
      </c>
      <c r="F326" s="3">
        <v>46246.979920552119</v>
      </c>
      <c r="G326" s="3">
        <v>46246.987271823753</v>
      </c>
      <c r="H326">
        <v>10.59</v>
      </c>
      <c r="I326" t="s">
        <v>3146</v>
      </c>
      <c r="J326" t="s">
        <v>3157</v>
      </c>
      <c r="K326" t="s">
        <v>3175</v>
      </c>
      <c r="L326" t="str">
        <f>_xlfn.XLOOKUP(C326,[1]!Table1[Shift_ID],[1]!Table1[Shift_ID])</f>
        <v>S03</v>
      </c>
      <c r="M326" t="str">
        <f>_xlfn.XLOOKUP(D326,[2]!Table1[Machine_ID],[2]!Table1[Machine_ID])</f>
        <v>M006</v>
      </c>
      <c r="N326" t="str">
        <f>_xlfn.XLOOKUP(E326,[3]Sheet1!$A$2:$A$391,[3]Sheet1!$A$2:$A$391)</f>
        <v>PO10022</v>
      </c>
    </row>
    <row r="327" spans="1:14" x14ac:dyDescent="0.2">
      <c r="A327" t="s">
        <v>336</v>
      </c>
      <c r="B327" s="2">
        <v>46246</v>
      </c>
      <c r="C327" t="s">
        <v>2939</v>
      </c>
      <c r="D327" t="s">
        <v>2947</v>
      </c>
      <c r="E327" t="s">
        <v>2972</v>
      </c>
      <c r="F327" s="3">
        <v>46247.037963194169</v>
      </c>
      <c r="G327" s="3">
        <v>46247.053811759652</v>
      </c>
      <c r="H327">
        <v>22.82</v>
      </c>
      <c r="I327" t="s">
        <v>3149</v>
      </c>
      <c r="J327" t="s">
        <v>3158</v>
      </c>
      <c r="K327" t="s">
        <v>3176</v>
      </c>
      <c r="L327" t="str">
        <f>_xlfn.XLOOKUP(C327,[1]!Table1[Shift_ID],[1]!Table1[Shift_ID])</f>
        <v>S03</v>
      </c>
      <c r="M327" t="str">
        <f>_xlfn.XLOOKUP(D327,[2]!Table1[Machine_ID],[2]!Table1[Machine_ID])</f>
        <v>M006</v>
      </c>
      <c r="N327" t="str">
        <f>_xlfn.XLOOKUP(E327,[3]Sheet1!$A$2:$A$391,[3]Sheet1!$A$2:$A$391)</f>
        <v>PO10022</v>
      </c>
    </row>
    <row r="328" spans="1:14" x14ac:dyDescent="0.2">
      <c r="A328" t="s">
        <v>337</v>
      </c>
      <c r="B328" s="2">
        <v>46246</v>
      </c>
      <c r="C328" t="s">
        <v>2939</v>
      </c>
      <c r="D328" t="s">
        <v>2948</v>
      </c>
      <c r="E328" t="s">
        <v>2972</v>
      </c>
      <c r="F328" s="3">
        <v>46247.022091920793</v>
      </c>
      <c r="G328" s="3">
        <v>46247.025161840662</v>
      </c>
      <c r="H328">
        <v>4.42</v>
      </c>
      <c r="I328" t="s">
        <v>3149</v>
      </c>
      <c r="J328" t="s">
        <v>3158</v>
      </c>
      <c r="K328" t="s">
        <v>3182</v>
      </c>
      <c r="L328" t="str">
        <f>_xlfn.XLOOKUP(C328,[1]!Table1[Shift_ID],[1]!Table1[Shift_ID])</f>
        <v>S03</v>
      </c>
      <c r="M328" t="str">
        <f>_xlfn.XLOOKUP(D328,[2]!Table1[Machine_ID],[2]!Table1[Machine_ID])</f>
        <v>M007</v>
      </c>
      <c r="N328" t="str">
        <f>_xlfn.XLOOKUP(E328,[3]Sheet1!$A$2:$A$391,[3]Sheet1!$A$2:$A$391)</f>
        <v>PO10022</v>
      </c>
    </row>
    <row r="329" spans="1:14" x14ac:dyDescent="0.2">
      <c r="A329" t="s">
        <v>338</v>
      </c>
      <c r="B329" s="2">
        <v>46246</v>
      </c>
      <c r="C329" t="s">
        <v>2939</v>
      </c>
      <c r="D329" t="s">
        <v>2948</v>
      </c>
      <c r="E329" t="s">
        <v>2972</v>
      </c>
      <c r="F329" s="3">
        <v>46247.027363234367</v>
      </c>
      <c r="G329" s="3">
        <v>46247.03353124507</v>
      </c>
      <c r="H329">
        <v>8.8800000000000008</v>
      </c>
      <c r="I329" t="s">
        <v>3147</v>
      </c>
      <c r="J329" t="s">
        <v>3154</v>
      </c>
      <c r="K329" t="s">
        <v>3186</v>
      </c>
      <c r="L329" t="str">
        <f>_xlfn.XLOOKUP(C329,[1]!Table1[Shift_ID],[1]!Table1[Shift_ID])</f>
        <v>S03</v>
      </c>
      <c r="M329" t="str">
        <f>_xlfn.XLOOKUP(D329,[2]!Table1[Machine_ID],[2]!Table1[Machine_ID])</f>
        <v>M007</v>
      </c>
      <c r="N329" t="str">
        <f>_xlfn.XLOOKUP(E329,[3]Sheet1!$A$2:$A$391,[3]Sheet1!$A$2:$A$391)</f>
        <v>PO10022</v>
      </c>
    </row>
    <row r="330" spans="1:14" x14ac:dyDescent="0.2">
      <c r="A330" t="s">
        <v>339</v>
      </c>
      <c r="B330" s="2">
        <v>46246</v>
      </c>
      <c r="C330" t="s">
        <v>2939</v>
      </c>
      <c r="D330" t="s">
        <v>2948</v>
      </c>
      <c r="E330" t="s">
        <v>2972</v>
      </c>
      <c r="F330" s="3">
        <v>46247.185047639003</v>
      </c>
      <c r="G330" s="3">
        <v>46247.186844153679</v>
      </c>
      <c r="H330">
        <v>2.59</v>
      </c>
      <c r="I330" t="s">
        <v>3148</v>
      </c>
      <c r="J330" t="s">
        <v>3164</v>
      </c>
      <c r="K330" t="s">
        <v>3183</v>
      </c>
      <c r="L330" t="str">
        <f>_xlfn.XLOOKUP(C330,[1]!Table1[Shift_ID],[1]!Table1[Shift_ID])</f>
        <v>S03</v>
      </c>
      <c r="M330" t="str">
        <f>_xlfn.XLOOKUP(D330,[2]!Table1[Machine_ID],[2]!Table1[Machine_ID])</f>
        <v>M007</v>
      </c>
      <c r="N330" t="str">
        <f>_xlfn.XLOOKUP(E330,[3]Sheet1!$A$2:$A$391,[3]Sheet1!$A$2:$A$391)</f>
        <v>PO10022</v>
      </c>
    </row>
    <row r="331" spans="1:14" x14ac:dyDescent="0.2">
      <c r="A331" t="s">
        <v>340</v>
      </c>
      <c r="B331" s="2">
        <v>46246</v>
      </c>
      <c r="C331" t="s">
        <v>2939</v>
      </c>
      <c r="D331" t="s">
        <v>2949</v>
      </c>
      <c r="E331" t="s">
        <v>2972</v>
      </c>
      <c r="F331" s="3">
        <v>46246.932824580363</v>
      </c>
      <c r="G331" s="3">
        <v>46246.940971644857</v>
      </c>
      <c r="H331">
        <v>11.73</v>
      </c>
      <c r="I331" t="s">
        <v>3148</v>
      </c>
      <c r="J331" t="s">
        <v>3155</v>
      </c>
      <c r="K331" t="s">
        <v>3180</v>
      </c>
      <c r="L331" t="str">
        <f>_xlfn.XLOOKUP(C331,[1]!Table1[Shift_ID],[1]!Table1[Shift_ID])</f>
        <v>S03</v>
      </c>
      <c r="M331" t="str">
        <f>_xlfn.XLOOKUP(D331,[2]!Table1[Machine_ID],[2]!Table1[Machine_ID])</f>
        <v>M008</v>
      </c>
      <c r="N331" t="str">
        <f>_xlfn.XLOOKUP(E331,[3]Sheet1!$A$2:$A$391,[3]Sheet1!$A$2:$A$391)</f>
        <v>PO10022</v>
      </c>
    </row>
    <row r="332" spans="1:14" x14ac:dyDescent="0.2">
      <c r="A332" t="s">
        <v>341</v>
      </c>
      <c r="B332" s="2">
        <v>46246</v>
      </c>
      <c r="C332" t="s">
        <v>2940</v>
      </c>
      <c r="D332" t="s">
        <v>2942</v>
      </c>
      <c r="E332" t="s">
        <v>2973</v>
      </c>
      <c r="F332" s="3">
        <v>46246.374793196912</v>
      </c>
      <c r="G332" s="3">
        <v>46246.379913185243</v>
      </c>
      <c r="H332">
        <v>7.37</v>
      </c>
      <c r="I332" t="s">
        <v>3149</v>
      </c>
      <c r="J332" t="s">
        <v>3168</v>
      </c>
      <c r="K332" t="s">
        <v>3184</v>
      </c>
      <c r="L332" t="str">
        <f>_xlfn.XLOOKUP(C332,[1]!Table1[Shift_ID],[1]!Table1[Shift_ID])</f>
        <v>S01</v>
      </c>
      <c r="M332" t="str">
        <f>_xlfn.XLOOKUP(D332,[2]!Table1[Machine_ID],[2]!Table1[Machine_ID])</f>
        <v>M001</v>
      </c>
      <c r="N332" t="str">
        <f>_xlfn.XLOOKUP(E332,[3]Sheet1!$A$2:$A$391,[3]Sheet1!$A$2:$A$391)</f>
        <v>PO10023</v>
      </c>
    </row>
    <row r="333" spans="1:14" x14ac:dyDescent="0.2">
      <c r="A333" t="s">
        <v>342</v>
      </c>
      <c r="B333" s="2">
        <v>46246</v>
      </c>
      <c r="C333" t="s">
        <v>2940</v>
      </c>
      <c r="D333" t="s">
        <v>2942</v>
      </c>
      <c r="E333" t="s">
        <v>2973</v>
      </c>
      <c r="F333" s="3">
        <v>46246.516803032602</v>
      </c>
      <c r="G333" s="3">
        <v>46246.518561854376</v>
      </c>
      <c r="H333">
        <v>2.5299999999999998</v>
      </c>
      <c r="I333" t="s">
        <v>3146</v>
      </c>
      <c r="J333" t="s">
        <v>3157</v>
      </c>
      <c r="K333" t="s">
        <v>3171</v>
      </c>
      <c r="L333" t="str">
        <f>_xlfn.XLOOKUP(C333,[1]!Table1[Shift_ID],[1]!Table1[Shift_ID])</f>
        <v>S01</v>
      </c>
      <c r="M333" t="str">
        <f>_xlfn.XLOOKUP(D333,[2]!Table1[Machine_ID],[2]!Table1[Machine_ID])</f>
        <v>M001</v>
      </c>
      <c r="N333" t="str">
        <f>_xlfn.XLOOKUP(E333,[3]Sheet1!$A$2:$A$391,[3]Sheet1!$A$2:$A$391)</f>
        <v>PO10023</v>
      </c>
    </row>
    <row r="334" spans="1:14" x14ac:dyDescent="0.2">
      <c r="A334" t="s">
        <v>343</v>
      </c>
      <c r="B334" s="2">
        <v>46246</v>
      </c>
      <c r="C334" t="s">
        <v>2940</v>
      </c>
      <c r="D334" t="s">
        <v>2943</v>
      </c>
      <c r="E334" t="s">
        <v>2973</v>
      </c>
      <c r="F334" s="3">
        <v>46246.457637431413</v>
      </c>
      <c r="G334" s="3">
        <v>46246.46590206345</v>
      </c>
      <c r="H334">
        <v>11.9</v>
      </c>
      <c r="I334" t="s">
        <v>3147</v>
      </c>
      <c r="J334" t="s">
        <v>3153</v>
      </c>
      <c r="K334" t="s">
        <v>3172</v>
      </c>
      <c r="L334" t="str">
        <f>_xlfn.XLOOKUP(C334,[1]!Table1[Shift_ID],[1]!Table1[Shift_ID])</f>
        <v>S01</v>
      </c>
      <c r="M334" t="str">
        <f>_xlfn.XLOOKUP(D334,[2]!Table1[Machine_ID],[2]!Table1[Machine_ID])</f>
        <v>M002</v>
      </c>
      <c r="N334" t="str">
        <f>_xlfn.XLOOKUP(E334,[3]Sheet1!$A$2:$A$391,[3]Sheet1!$A$2:$A$391)</f>
        <v>PO10023</v>
      </c>
    </row>
    <row r="335" spans="1:14" x14ac:dyDescent="0.2">
      <c r="A335" t="s">
        <v>344</v>
      </c>
      <c r="B335" s="2">
        <v>46246</v>
      </c>
      <c r="C335" t="s">
        <v>2940</v>
      </c>
      <c r="D335" t="s">
        <v>2944</v>
      </c>
      <c r="E335" t="s">
        <v>2973</v>
      </c>
      <c r="F335" s="3">
        <v>46246.513084892387</v>
      </c>
      <c r="G335" s="3">
        <v>46246.523692505412</v>
      </c>
      <c r="H335">
        <v>15.27</v>
      </c>
      <c r="I335" t="s">
        <v>3147</v>
      </c>
      <c r="J335" t="s">
        <v>3153</v>
      </c>
      <c r="K335" t="s">
        <v>3172</v>
      </c>
      <c r="L335" t="str">
        <f>_xlfn.XLOOKUP(C335,[1]!Table1[Shift_ID],[1]!Table1[Shift_ID])</f>
        <v>S01</v>
      </c>
      <c r="M335" t="str">
        <f>_xlfn.XLOOKUP(D335,[2]!Table1[Machine_ID],[2]!Table1[Machine_ID])</f>
        <v>M003</v>
      </c>
      <c r="N335" t="str">
        <f>_xlfn.XLOOKUP(E335,[3]Sheet1!$A$2:$A$391,[3]Sheet1!$A$2:$A$391)</f>
        <v>PO10023</v>
      </c>
    </row>
    <row r="336" spans="1:14" x14ac:dyDescent="0.2">
      <c r="A336" t="s">
        <v>345</v>
      </c>
      <c r="B336" s="2">
        <v>46246</v>
      </c>
      <c r="C336" t="s">
        <v>2940</v>
      </c>
      <c r="D336" t="s">
        <v>2944</v>
      </c>
      <c r="E336" t="s">
        <v>2973</v>
      </c>
      <c r="F336" s="3">
        <v>46246.525672285417</v>
      </c>
      <c r="G336" s="3">
        <v>46246.529557659887</v>
      </c>
      <c r="H336">
        <v>5.59</v>
      </c>
      <c r="I336" t="s">
        <v>3149</v>
      </c>
      <c r="J336" t="s">
        <v>3168</v>
      </c>
      <c r="K336" t="s">
        <v>3176</v>
      </c>
      <c r="L336" t="str">
        <f>_xlfn.XLOOKUP(C336,[1]!Table1[Shift_ID],[1]!Table1[Shift_ID])</f>
        <v>S01</v>
      </c>
      <c r="M336" t="str">
        <f>_xlfn.XLOOKUP(D336,[2]!Table1[Machine_ID],[2]!Table1[Machine_ID])</f>
        <v>M003</v>
      </c>
      <c r="N336" t="str">
        <f>_xlfn.XLOOKUP(E336,[3]Sheet1!$A$2:$A$391,[3]Sheet1!$A$2:$A$391)</f>
        <v>PO10023</v>
      </c>
    </row>
    <row r="337" spans="1:14" x14ac:dyDescent="0.2">
      <c r="A337" t="s">
        <v>346</v>
      </c>
      <c r="B337" s="2">
        <v>46246</v>
      </c>
      <c r="C337" t="s">
        <v>2940</v>
      </c>
      <c r="D337" t="s">
        <v>2945</v>
      </c>
      <c r="E337" t="s">
        <v>2973</v>
      </c>
      <c r="F337" s="3">
        <v>46246.494033166171</v>
      </c>
      <c r="G337" s="3">
        <v>46246.500295776503</v>
      </c>
      <c r="H337">
        <v>9.02</v>
      </c>
      <c r="I337" t="s">
        <v>3150</v>
      </c>
      <c r="J337" t="s">
        <v>3163</v>
      </c>
      <c r="K337" t="s">
        <v>3177</v>
      </c>
      <c r="L337" t="str">
        <f>_xlfn.XLOOKUP(C337,[1]!Table1[Shift_ID],[1]!Table1[Shift_ID])</f>
        <v>S01</v>
      </c>
      <c r="M337" t="str">
        <f>_xlfn.XLOOKUP(D337,[2]!Table1[Machine_ID],[2]!Table1[Machine_ID])</f>
        <v>M004</v>
      </c>
      <c r="N337" t="str">
        <f>_xlfn.XLOOKUP(E337,[3]Sheet1!$A$2:$A$391,[3]Sheet1!$A$2:$A$391)</f>
        <v>PO10023</v>
      </c>
    </row>
    <row r="338" spans="1:14" x14ac:dyDescent="0.2">
      <c r="A338" t="s">
        <v>347</v>
      </c>
      <c r="B338" s="2">
        <v>46246</v>
      </c>
      <c r="C338" t="s">
        <v>2940</v>
      </c>
      <c r="D338" t="s">
        <v>2945</v>
      </c>
      <c r="E338" t="s">
        <v>2973</v>
      </c>
      <c r="F338" s="3">
        <v>46246.530270453448</v>
      </c>
      <c r="G338" s="3">
        <v>46246.531983908797</v>
      </c>
      <c r="H338">
        <v>2.4700000000000002</v>
      </c>
      <c r="I338" t="s">
        <v>3151</v>
      </c>
      <c r="J338" t="s">
        <v>3170</v>
      </c>
      <c r="K338" t="s">
        <v>3187</v>
      </c>
      <c r="L338" t="str">
        <f>_xlfn.XLOOKUP(C338,[1]!Table1[Shift_ID],[1]!Table1[Shift_ID])</f>
        <v>S01</v>
      </c>
      <c r="M338" t="str">
        <f>_xlfn.XLOOKUP(D338,[2]!Table1[Machine_ID],[2]!Table1[Machine_ID])</f>
        <v>M004</v>
      </c>
      <c r="N338" t="str">
        <f>_xlfn.XLOOKUP(E338,[3]Sheet1!$A$2:$A$391,[3]Sheet1!$A$2:$A$391)</f>
        <v>PO10023</v>
      </c>
    </row>
    <row r="339" spans="1:14" x14ac:dyDescent="0.2">
      <c r="A339" t="s">
        <v>348</v>
      </c>
      <c r="B339" s="2">
        <v>46246</v>
      </c>
      <c r="C339" t="s">
        <v>2940</v>
      </c>
      <c r="D339" t="s">
        <v>2946</v>
      </c>
      <c r="E339" t="s">
        <v>2973</v>
      </c>
      <c r="F339" s="3">
        <v>46246.351819351607</v>
      </c>
      <c r="G339" s="3">
        <v>46246.359493302778</v>
      </c>
      <c r="H339">
        <v>11.05</v>
      </c>
      <c r="I339" t="s">
        <v>3147</v>
      </c>
      <c r="J339" t="s">
        <v>3154</v>
      </c>
      <c r="K339" t="s">
        <v>3185</v>
      </c>
      <c r="L339" t="str">
        <f>_xlfn.XLOOKUP(C339,[1]!Table1[Shift_ID],[1]!Table1[Shift_ID])</f>
        <v>S01</v>
      </c>
      <c r="M339" t="str">
        <f>_xlfn.XLOOKUP(D339,[2]!Table1[Machine_ID],[2]!Table1[Machine_ID])</f>
        <v>M005</v>
      </c>
      <c r="N339" t="str">
        <f>_xlfn.XLOOKUP(E339,[3]Sheet1!$A$2:$A$391,[3]Sheet1!$A$2:$A$391)</f>
        <v>PO10023</v>
      </c>
    </row>
    <row r="340" spans="1:14" x14ac:dyDescent="0.2">
      <c r="A340" t="s">
        <v>349</v>
      </c>
      <c r="B340" s="2">
        <v>46246</v>
      </c>
      <c r="C340" t="s">
        <v>2940</v>
      </c>
      <c r="D340" t="s">
        <v>2946</v>
      </c>
      <c r="E340" t="s">
        <v>2973</v>
      </c>
      <c r="F340" s="3">
        <v>46246.352299462516</v>
      </c>
      <c r="G340" s="3">
        <v>46246.354647477863</v>
      </c>
      <c r="H340">
        <v>3.38</v>
      </c>
      <c r="I340" t="s">
        <v>3151</v>
      </c>
      <c r="J340" t="s">
        <v>3169</v>
      </c>
      <c r="K340" t="s">
        <v>3187</v>
      </c>
      <c r="L340" t="str">
        <f>_xlfn.XLOOKUP(C340,[1]!Table1[Shift_ID],[1]!Table1[Shift_ID])</f>
        <v>S01</v>
      </c>
      <c r="M340" t="str">
        <f>_xlfn.XLOOKUP(D340,[2]!Table1[Machine_ID],[2]!Table1[Machine_ID])</f>
        <v>M005</v>
      </c>
      <c r="N340" t="str">
        <f>_xlfn.XLOOKUP(E340,[3]Sheet1!$A$2:$A$391,[3]Sheet1!$A$2:$A$391)</f>
        <v>PO10023</v>
      </c>
    </row>
    <row r="341" spans="1:14" x14ac:dyDescent="0.2">
      <c r="A341" t="s">
        <v>350</v>
      </c>
      <c r="B341" s="2">
        <v>46246</v>
      </c>
      <c r="C341" t="s">
        <v>2940</v>
      </c>
      <c r="D341" t="s">
        <v>2947</v>
      </c>
      <c r="E341" t="s">
        <v>2973</v>
      </c>
      <c r="F341" s="3">
        <v>46246.402238695598</v>
      </c>
      <c r="G341" s="3">
        <v>46246.414233206393</v>
      </c>
      <c r="H341">
        <v>17.27</v>
      </c>
      <c r="I341" t="s">
        <v>3150</v>
      </c>
      <c r="J341" t="s">
        <v>3160</v>
      </c>
      <c r="K341" t="s">
        <v>3177</v>
      </c>
      <c r="L341" t="str">
        <f>_xlfn.XLOOKUP(C341,[1]!Table1[Shift_ID],[1]!Table1[Shift_ID])</f>
        <v>S01</v>
      </c>
      <c r="M341" t="str">
        <f>_xlfn.XLOOKUP(D341,[2]!Table1[Machine_ID],[2]!Table1[Machine_ID])</f>
        <v>M006</v>
      </c>
      <c r="N341" t="str">
        <f>_xlfn.XLOOKUP(E341,[3]Sheet1!$A$2:$A$391,[3]Sheet1!$A$2:$A$391)</f>
        <v>PO10023</v>
      </c>
    </row>
    <row r="342" spans="1:14" x14ac:dyDescent="0.2">
      <c r="A342" t="s">
        <v>351</v>
      </c>
      <c r="B342" s="2">
        <v>46246</v>
      </c>
      <c r="C342" t="s">
        <v>2940</v>
      </c>
      <c r="D342" t="s">
        <v>2947</v>
      </c>
      <c r="E342" t="s">
        <v>2973</v>
      </c>
      <c r="F342" s="3">
        <v>46246.551317902289</v>
      </c>
      <c r="G342" s="3">
        <v>46246.56048774816</v>
      </c>
      <c r="H342">
        <v>13.2</v>
      </c>
      <c r="I342" t="s">
        <v>3148</v>
      </c>
      <c r="J342" t="s">
        <v>3155</v>
      </c>
      <c r="K342" t="s">
        <v>3183</v>
      </c>
      <c r="L342" t="str">
        <f>_xlfn.XLOOKUP(C342,[1]!Table1[Shift_ID],[1]!Table1[Shift_ID])</f>
        <v>S01</v>
      </c>
      <c r="M342" t="str">
        <f>_xlfn.XLOOKUP(D342,[2]!Table1[Machine_ID],[2]!Table1[Machine_ID])</f>
        <v>M006</v>
      </c>
      <c r="N342" t="str">
        <f>_xlfn.XLOOKUP(E342,[3]Sheet1!$A$2:$A$391,[3]Sheet1!$A$2:$A$391)</f>
        <v>PO10023</v>
      </c>
    </row>
    <row r="343" spans="1:14" x14ac:dyDescent="0.2">
      <c r="A343" t="s">
        <v>352</v>
      </c>
      <c r="B343" s="2">
        <v>46246</v>
      </c>
      <c r="C343" t="s">
        <v>2940</v>
      </c>
      <c r="D343" t="s">
        <v>2947</v>
      </c>
      <c r="E343" t="s">
        <v>2973</v>
      </c>
      <c r="F343" s="3">
        <v>46246.560331203917</v>
      </c>
      <c r="G343" s="3">
        <v>46246.569555736169</v>
      </c>
      <c r="H343">
        <v>13.28</v>
      </c>
      <c r="I343" t="s">
        <v>3147</v>
      </c>
      <c r="J343" t="s">
        <v>3154</v>
      </c>
      <c r="K343" t="s">
        <v>3185</v>
      </c>
      <c r="L343" t="str">
        <f>_xlfn.XLOOKUP(C343,[1]!Table1[Shift_ID],[1]!Table1[Shift_ID])</f>
        <v>S01</v>
      </c>
      <c r="M343" t="str">
        <f>_xlfn.XLOOKUP(D343,[2]!Table1[Machine_ID],[2]!Table1[Machine_ID])</f>
        <v>M006</v>
      </c>
      <c r="N343" t="str">
        <f>_xlfn.XLOOKUP(E343,[3]Sheet1!$A$2:$A$391,[3]Sheet1!$A$2:$A$391)</f>
        <v>PO10023</v>
      </c>
    </row>
    <row r="344" spans="1:14" x14ac:dyDescent="0.2">
      <c r="A344" t="s">
        <v>353</v>
      </c>
      <c r="B344" s="2">
        <v>46246</v>
      </c>
      <c r="C344" t="s">
        <v>2940</v>
      </c>
      <c r="D344" t="s">
        <v>2948</v>
      </c>
      <c r="E344" t="s">
        <v>2973</v>
      </c>
      <c r="F344" s="3">
        <v>46246.266465884772</v>
      </c>
      <c r="G344" s="3">
        <v>46246.269615561287</v>
      </c>
      <c r="H344">
        <v>4.54</v>
      </c>
      <c r="I344" t="s">
        <v>3150</v>
      </c>
      <c r="J344" t="s">
        <v>3159</v>
      </c>
      <c r="K344" t="s">
        <v>3178</v>
      </c>
      <c r="L344" t="str">
        <f>_xlfn.XLOOKUP(C344,[1]!Table1[Shift_ID],[1]!Table1[Shift_ID])</f>
        <v>S01</v>
      </c>
      <c r="M344" t="str">
        <f>_xlfn.XLOOKUP(D344,[2]!Table1[Machine_ID],[2]!Table1[Machine_ID])</f>
        <v>M007</v>
      </c>
      <c r="N344" t="str">
        <f>_xlfn.XLOOKUP(E344,[3]Sheet1!$A$2:$A$391,[3]Sheet1!$A$2:$A$391)</f>
        <v>PO10023</v>
      </c>
    </row>
    <row r="345" spans="1:14" x14ac:dyDescent="0.2">
      <c r="A345" t="s">
        <v>354</v>
      </c>
      <c r="B345" s="2">
        <v>46246</v>
      </c>
      <c r="C345" t="s">
        <v>2940</v>
      </c>
      <c r="D345" t="s">
        <v>2948</v>
      </c>
      <c r="E345" t="s">
        <v>2973</v>
      </c>
      <c r="F345" s="3">
        <v>46246.478931997743</v>
      </c>
      <c r="G345" s="3">
        <v>46246.491433984876</v>
      </c>
      <c r="H345">
        <v>18</v>
      </c>
      <c r="I345" t="s">
        <v>3147</v>
      </c>
      <c r="J345" t="s">
        <v>3153</v>
      </c>
      <c r="K345" t="s">
        <v>3172</v>
      </c>
      <c r="L345" t="str">
        <f>_xlfn.XLOOKUP(C345,[1]!Table1[Shift_ID],[1]!Table1[Shift_ID])</f>
        <v>S01</v>
      </c>
      <c r="M345" t="str">
        <f>_xlfn.XLOOKUP(D345,[2]!Table1[Machine_ID],[2]!Table1[Machine_ID])</f>
        <v>M007</v>
      </c>
      <c r="N345" t="str">
        <f>_xlfn.XLOOKUP(E345,[3]Sheet1!$A$2:$A$391,[3]Sheet1!$A$2:$A$391)</f>
        <v>PO10023</v>
      </c>
    </row>
    <row r="346" spans="1:14" x14ac:dyDescent="0.2">
      <c r="A346" t="s">
        <v>355</v>
      </c>
      <c r="B346" s="2">
        <v>46246</v>
      </c>
      <c r="C346" t="s">
        <v>2940</v>
      </c>
      <c r="D346" t="s">
        <v>2948</v>
      </c>
      <c r="E346" t="s">
        <v>2973</v>
      </c>
      <c r="F346" s="3">
        <v>46246.49111156023</v>
      </c>
      <c r="G346" s="3">
        <v>46246.492982429489</v>
      </c>
      <c r="H346">
        <v>2.69</v>
      </c>
      <c r="I346" t="s">
        <v>3146</v>
      </c>
      <c r="J346" t="s">
        <v>3152</v>
      </c>
      <c r="K346" t="s">
        <v>3171</v>
      </c>
      <c r="L346" t="str">
        <f>_xlfn.XLOOKUP(C346,[1]!Table1[Shift_ID],[1]!Table1[Shift_ID])</f>
        <v>S01</v>
      </c>
      <c r="M346" t="str">
        <f>_xlfn.XLOOKUP(D346,[2]!Table1[Machine_ID],[2]!Table1[Machine_ID])</f>
        <v>M007</v>
      </c>
      <c r="N346" t="str">
        <f>_xlfn.XLOOKUP(E346,[3]Sheet1!$A$2:$A$391,[3]Sheet1!$A$2:$A$391)</f>
        <v>PO10023</v>
      </c>
    </row>
    <row r="347" spans="1:14" x14ac:dyDescent="0.2">
      <c r="A347" t="s">
        <v>356</v>
      </c>
      <c r="B347" s="2">
        <v>46246</v>
      </c>
      <c r="C347" t="s">
        <v>2940</v>
      </c>
      <c r="D347" t="s">
        <v>2949</v>
      </c>
      <c r="E347" t="s">
        <v>2973</v>
      </c>
      <c r="F347" s="3">
        <v>46246.475338407603</v>
      </c>
      <c r="G347" s="3">
        <v>46246.482063514719</v>
      </c>
      <c r="H347">
        <v>9.68</v>
      </c>
      <c r="I347" t="s">
        <v>3149</v>
      </c>
      <c r="J347" t="s">
        <v>3168</v>
      </c>
      <c r="K347" t="s">
        <v>3184</v>
      </c>
      <c r="L347" t="str">
        <f>_xlfn.XLOOKUP(C347,[1]!Table1[Shift_ID],[1]!Table1[Shift_ID])</f>
        <v>S01</v>
      </c>
      <c r="M347" t="str">
        <f>_xlfn.XLOOKUP(D347,[2]!Table1[Machine_ID],[2]!Table1[Machine_ID])</f>
        <v>M008</v>
      </c>
      <c r="N347" t="str">
        <f>_xlfn.XLOOKUP(E347,[3]Sheet1!$A$2:$A$391,[3]Sheet1!$A$2:$A$391)</f>
        <v>PO10023</v>
      </c>
    </row>
    <row r="348" spans="1:14" x14ac:dyDescent="0.2">
      <c r="A348" t="s">
        <v>357</v>
      </c>
      <c r="B348" s="2">
        <v>46246</v>
      </c>
      <c r="C348" t="s">
        <v>2941</v>
      </c>
      <c r="D348" t="s">
        <v>2942</v>
      </c>
      <c r="E348" t="s">
        <v>2974</v>
      </c>
      <c r="F348" s="3">
        <v>46246.674864189903</v>
      </c>
      <c r="G348" s="3">
        <v>46246.677243197053</v>
      </c>
      <c r="H348">
        <v>3.43</v>
      </c>
      <c r="I348" t="s">
        <v>3150</v>
      </c>
      <c r="J348" t="s">
        <v>3163</v>
      </c>
      <c r="K348" t="s">
        <v>3178</v>
      </c>
      <c r="L348" t="str">
        <f>_xlfn.XLOOKUP(C348,[1]!Table1[Shift_ID],[1]!Table1[Shift_ID])</f>
        <v>S02</v>
      </c>
      <c r="M348" t="str">
        <f>_xlfn.XLOOKUP(D348,[2]!Table1[Machine_ID],[2]!Table1[Machine_ID])</f>
        <v>M001</v>
      </c>
      <c r="N348" t="str">
        <f>_xlfn.XLOOKUP(E348,[3]Sheet1!$A$2:$A$391,[3]Sheet1!$A$2:$A$391)</f>
        <v>PO10024</v>
      </c>
    </row>
    <row r="349" spans="1:14" x14ac:dyDescent="0.2">
      <c r="A349" t="s">
        <v>358</v>
      </c>
      <c r="B349" s="2">
        <v>46246</v>
      </c>
      <c r="C349" t="s">
        <v>2941</v>
      </c>
      <c r="D349" t="s">
        <v>2942</v>
      </c>
      <c r="E349" t="s">
        <v>2974</v>
      </c>
      <c r="F349" s="3">
        <v>46246.720673489697</v>
      </c>
      <c r="G349" s="3">
        <v>46246.722142035323</v>
      </c>
      <c r="H349">
        <v>2.11</v>
      </c>
      <c r="I349" t="s">
        <v>3149</v>
      </c>
      <c r="J349" t="s">
        <v>3168</v>
      </c>
      <c r="K349" t="s">
        <v>3184</v>
      </c>
      <c r="L349" t="str">
        <f>_xlfn.XLOOKUP(C349,[1]!Table1[Shift_ID],[1]!Table1[Shift_ID])</f>
        <v>S02</v>
      </c>
      <c r="M349" t="str">
        <f>_xlfn.XLOOKUP(D349,[2]!Table1[Machine_ID],[2]!Table1[Machine_ID])</f>
        <v>M001</v>
      </c>
      <c r="N349" t="str">
        <f>_xlfn.XLOOKUP(E349,[3]Sheet1!$A$2:$A$391,[3]Sheet1!$A$2:$A$391)</f>
        <v>PO10024</v>
      </c>
    </row>
    <row r="350" spans="1:14" x14ac:dyDescent="0.2">
      <c r="A350" t="s">
        <v>359</v>
      </c>
      <c r="B350" s="2">
        <v>46246</v>
      </c>
      <c r="C350" t="s">
        <v>2941</v>
      </c>
      <c r="D350" t="s">
        <v>2942</v>
      </c>
      <c r="E350" t="s">
        <v>2974</v>
      </c>
      <c r="F350" s="3">
        <v>46246.802907759142</v>
      </c>
      <c r="G350" s="3">
        <v>46246.804376304754</v>
      </c>
      <c r="H350">
        <v>2.11</v>
      </c>
      <c r="I350" t="s">
        <v>3151</v>
      </c>
      <c r="J350" t="s">
        <v>3170</v>
      </c>
      <c r="K350" t="s">
        <v>3187</v>
      </c>
      <c r="L350" t="str">
        <f>_xlfn.XLOOKUP(C350,[1]!Table1[Shift_ID],[1]!Table1[Shift_ID])</f>
        <v>S02</v>
      </c>
      <c r="M350" t="str">
        <f>_xlfn.XLOOKUP(D350,[2]!Table1[Machine_ID],[2]!Table1[Machine_ID])</f>
        <v>M001</v>
      </c>
      <c r="N350" t="str">
        <f>_xlfn.XLOOKUP(E350,[3]Sheet1!$A$2:$A$391,[3]Sheet1!$A$2:$A$391)</f>
        <v>PO10024</v>
      </c>
    </row>
    <row r="351" spans="1:14" x14ac:dyDescent="0.2">
      <c r="A351" t="s">
        <v>360</v>
      </c>
      <c r="B351" s="2">
        <v>46246</v>
      </c>
      <c r="C351" t="s">
        <v>2941</v>
      </c>
      <c r="D351" t="s">
        <v>2943</v>
      </c>
      <c r="E351" t="s">
        <v>2974</v>
      </c>
      <c r="F351" s="3">
        <v>46246.597376805978</v>
      </c>
      <c r="G351" s="3">
        <v>46246.598561942512</v>
      </c>
      <c r="H351">
        <v>1.71</v>
      </c>
      <c r="I351" t="s">
        <v>3150</v>
      </c>
      <c r="J351" t="s">
        <v>3166</v>
      </c>
      <c r="K351" t="s">
        <v>3178</v>
      </c>
      <c r="L351" t="str">
        <f>_xlfn.XLOOKUP(C351,[1]!Table1[Shift_ID],[1]!Table1[Shift_ID])</f>
        <v>S02</v>
      </c>
      <c r="M351" t="str">
        <f>_xlfn.XLOOKUP(D351,[2]!Table1[Machine_ID],[2]!Table1[Machine_ID])</f>
        <v>M002</v>
      </c>
      <c r="N351" t="str">
        <f>_xlfn.XLOOKUP(E351,[3]Sheet1!$A$2:$A$391,[3]Sheet1!$A$2:$A$391)</f>
        <v>PO10024</v>
      </c>
    </row>
    <row r="352" spans="1:14" x14ac:dyDescent="0.2">
      <c r="A352" t="s">
        <v>361</v>
      </c>
      <c r="B352" s="2">
        <v>46246</v>
      </c>
      <c r="C352" t="s">
        <v>2941</v>
      </c>
      <c r="D352" t="s">
        <v>2943</v>
      </c>
      <c r="E352" t="s">
        <v>2974</v>
      </c>
      <c r="F352" s="3">
        <v>46246.772279580728</v>
      </c>
      <c r="G352" s="3">
        <v>46246.773464717247</v>
      </c>
      <c r="H352">
        <v>1.71</v>
      </c>
      <c r="I352" t="s">
        <v>3147</v>
      </c>
      <c r="J352" t="s">
        <v>3154</v>
      </c>
      <c r="K352" t="s">
        <v>3172</v>
      </c>
      <c r="L352" t="str">
        <f>_xlfn.XLOOKUP(C352,[1]!Table1[Shift_ID],[1]!Table1[Shift_ID])</f>
        <v>S02</v>
      </c>
      <c r="M352" t="str">
        <f>_xlfn.XLOOKUP(D352,[2]!Table1[Machine_ID],[2]!Table1[Machine_ID])</f>
        <v>M002</v>
      </c>
      <c r="N352" t="str">
        <f>_xlfn.XLOOKUP(E352,[3]Sheet1!$A$2:$A$391,[3]Sheet1!$A$2:$A$391)</f>
        <v>PO10024</v>
      </c>
    </row>
    <row r="353" spans="1:14" x14ac:dyDescent="0.2">
      <c r="A353" t="s">
        <v>362</v>
      </c>
      <c r="B353" s="2">
        <v>46246</v>
      </c>
      <c r="C353" t="s">
        <v>2941</v>
      </c>
      <c r="D353" t="s">
        <v>2943</v>
      </c>
      <c r="E353" t="s">
        <v>2974</v>
      </c>
      <c r="F353" s="3">
        <v>46246.829382571043</v>
      </c>
      <c r="G353" s="3">
        <v>46246.83056770757</v>
      </c>
      <c r="H353">
        <v>1.71</v>
      </c>
      <c r="I353" t="s">
        <v>3151</v>
      </c>
      <c r="J353" t="s">
        <v>3170</v>
      </c>
      <c r="K353" t="s">
        <v>3188</v>
      </c>
      <c r="L353" t="str">
        <f>_xlfn.XLOOKUP(C353,[1]!Table1[Shift_ID],[1]!Table1[Shift_ID])</f>
        <v>S02</v>
      </c>
      <c r="M353" t="str">
        <f>_xlfn.XLOOKUP(D353,[2]!Table1[Machine_ID],[2]!Table1[Machine_ID])</f>
        <v>M002</v>
      </c>
      <c r="N353" t="str">
        <f>_xlfn.XLOOKUP(E353,[3]Sheet1!$A$2:$A$391,[3]Sheet1!$A$2:$A$391)</f>
        <v>PO10024</v>
      </c>
    </row>
    <row r="354" spans="1:14" x14ac:dyDescent="0.2">
      <c r="A354" t="s">
        <v>363</v>
      </c>
      <c r="B354" s="2">
        <v>46246</v>
      </c>
      <c r="C354" t="s">
        <v>2941</v>
      </c>
      <c r="D354" t="s">
        <v>2943</v>
      </c>
      <c r="E354" t="s">
        <v>2974</v>
      </c>
      <c r="F354" s="3">
        <v>46246.885873464293</v>
      </c>
      <c r="G354" s="3">
        <v>46246.88705860082</v>
      </c>
      <c r="H354">
        <v>1.71</v>
      </c>
      <c r="I354" t="s">
        <v>3149</v>
      </c>
      <c r="J354" t="s">
        <v>3158</v>
      </c>
      <c r="K354" t="s">
        <v>3184</v>
      </c>
      <c r="L354" t="str">
        <f>_xlfn.XLOOKUP(C354,[1]!Table1[Shift_ID],[1]!Table1[Shift_ID])</f>
        <v>S02</v>
      </c>
      <c r="M354" t="str">
        <f>_xlfn.XLOOKUP(D354,[2]!Table1[Machine_ID],[2]!Table1[Machine_ID])</f>
        <v>M002</v>
      </c>
      <c r="N354" t="str">
        <f>_xlfn.XLOOKUP(E354,[3]Sheet1!$A$2:$A$391,[3]Sheet1!$A$2:$A$391)</f>
        <v>PO10024</v>
      </c>
    </row>
    <row r="355" spans="1:14" x14ac:dyDescent="0.2">
      <c r="A355" t="s">
        <v>364</v>
      </c>
      <c r="B355" s="2">
        <v>46246</v>
      </c>
      <c r="C355" t="s">
        <v>2941</v>
      </c>
      <c r="D355" t="s">
        <v>2943</v>
      </c>
      <c r="E355" t="s">
        <v>2974</v>
      </c>
      <c r="F355" s="3">
        <v>46246.897060904121</v>
      </c>
      <c r="G355" s="3">
        <v>46246.899017271571</v>
      </c>
      <c r="H355">
        <v>2.82</v>
      </c>
      <c r="I355" t="s">
        <v>3147</v>
      </c>
      <c r="J355" t="s">
        <v>3154</v>
      </c>
      <c r="K355" t="s">
        <v>3172</v>
      </c>
      <c r="L355" t="str">
        <f>_xlfn.XLOOKUP(C355,[1]!Table1[Shift_ID],[1]!Table1[Shift_ID])</f>
        <v>S02</v>
      </c>
      <c r="M355" t="str">
        <f>_xlfn.XLOOKUP(D355,[2]!Table1[Machine_ID],[2]!Table1[Machine_ID])</f>
        <v>M002</v>
      </c>
      <c r="N355" t="str">
        <f>_xlfn.XLOOKUP(E355,[3]Sheet1!$A$2:$A$391,[3]Sheet1!$A$2:$A$391)</f>
        <v>PO10024</v>
      </c>
    </row>
    <row r="356" spans="1:14" x14ac:dyDescent="0.2">
      <c r="A356" t="s">
        <v>365</v>
      </c>
      <c r="B356" s="2">
        <v>46246</v>
      </c>
      <c r="C356" t="s">
        <v>2941</v>
      </c>
      <c r="D356" t="s">
        <v>2944</v>
      </c>
      <c r="E356" t="s">
        <v>2974</v>
      </c>
      <c r="F356" s="3">
        <v>46246.793353019522</v>
      </c>
      <c r="G356" s="3">
        <v>46246.804958466179</v>
      </c>
      <c r="H356">
        <v>16.71</v>
      </c>
      <c r="I356" t="s">
        <v>3151</v>
      </c>
      <c r="J356" t="s">
        <v>3170</v>
      </c>
      <c r="K356" t="s">
        <v>3188</v>
      </c>
      <c r="L356" t="str">
        <f>_xlfn.XLOOKUP(C356,[1]!Table1[Shift_ID],[1]!Table1[Shift_ID])</f>
        <v>S02</v>
      </c>
      <c r="M356" t="str">
        <f>_xlfn.XLOOKUP(D356,[2]!Table1[Machine_ID],[2]!Table1[Machine_ID])</f>
        <v>M003</v>
      </c>
      <c r="N356" t="str">
        <f>_xlfn.XLOOKUP(E356,[3]Sheet1!$A$2:$A$391,[3]Sheet1!$A$2:$A$391)</f>
        <v>PO10024</v>
      </c>
    </row>
    <row r="357" spans="1:14" x14ac:dyDescent="0.2">
      <c r="A357" t="s">
        <v>366</v>
      </c>
      <c r="B357" s="2">
        <v>46246</v>
      </c>
      <c r="C357" t="s">
        <v>2941</v>
      </c>
      <c r="D357" t="s">
        <v>2945</v>
      </c>
      <c r="E357" t="s">
        <v>2974</v>
      </c>
      <c r="F357" s="3">
        <v>46246.649515388926</v>
      </c>
      <c r="G357" s="3">
        <v>46246.6515335039</v>
      </c>
      <c r="H357">
        <v>2.91</v>
      </c>
      <c r="I357" t="s">
        <v>3149</v>
      </c>
      <c r="J357" t="s">
        <v>3168</v>
      </c>
      <c r="K357" t="s">
        <v>3182</v>
      </c>
      <c r="L357" t="str">
        <f>_xlfn.XLOOKUP(C357,[1]!Table1[Shift_ID],[1]!Table1[Shift_ID])</f>
        <v>S02</v>
      </c>
      <c r="M357" t="str">
        <f>_xlfn.XLOOKUP(D357,[2]!Table1[Machine_ID],[2]!Table1[Machine_ID])</f>
        <v>M004</v>
      </c>
      <c r="N357" t="str">
        <f>_xlfn.XLOOKUP(E357,[3]Sheet1!$A$2:$A$391,[3]Sheet1!$A$2:$A$391)</f>
        <v>PO10024</v>
      </c>
    </row>
    <row r="358" spans="1:14" x14ac:dyDescent="0.2">
      <c r="A358" t="s">
        <v>367</v>
      </c>
      <c r="B358" s="2">
        <v>46246</v>
      </c>
      <c r="C358" t="s">
        <v>2941</v>
      </c>
      <c r="D358" t="s">
        <v>2945</v>
      </c>
      <c r="E358" t="s">
        <v>2974</v>
      </c>
      <c r="F358" s="3">
        <v>46246.909019176062</v>
      </c>
      <c r="G358" s="3">
        <v>46246.913966472872</v>
      </c>
      <c r="H358">
        <v>7.12</v>
      </c>
      <c r="I358" t="s">
        <v>3147</v>
      </c>
      <c r="J358" t="s">
        <v>3153</v>
      </c>
      <c r="K358" t="s">
        <v>3185</v>
      </c>
      <c r="L358" t="str">
        <f>_xlfn.XLOOKUP(C358,[1]!Table1[Shift_ID],[1]!Table1[Shift_ID])</f>
        <v>S02</v>
      </c>
      <c r="M358" t="str">
        <f>_xlfn.XLOOKUP(D358,[2]!Table1[Machine_ID],[2]!Table1[Machine_ID])</f>
        <v>M004</v>
      </c>
      <c r="N358" t="str">
        <f>_xlfn.XLOOKUP(E358,[3]Sheet1!$A$2:$A$391,[3]Sheet1!$A$2:$A$391)</f>
        <v>PO10024</v>
      </c>
    </row>
    <row r="359" spans="1:14" x14ac:dyDescent="0.2">
      <c r="A359" t="s">
        <v>368</v>
      </c>
      <c r="B359" s="2">
        <v>46246</v>
      </c>
      <c r="C359" t="s">
        <v>2941</v>
      </c>
      <c r="D359" t="s">
        <v>2946</v>
      </c>
      <c r="E359" t="s">
        <v>2974</v>
      </c>
      <c r="F359" s="3">
        <v>46246.59481440323</v>
      </c>
      <c r="G359" s="3">
        <v>46246.601641148402</v>
      </c>
      <c r="H359">
        <v>9.83</v>
      </c>
      <c r="I359" t="s">
        <v>3149</v>
      </c>
      <c r="J359" t="s">
        <v>3162</v>
      </c>
      <c r="K359" t="s">
        <v>3184</v>
      </c>
      <c r="L359" t="str">
        <f>_xlfn.XLOOKUP(C359,[1]!Table1[Shift_ID],[1]!Table1[Shift_ID])</f>
        <v>S02</v>
      </c>
      <c r="M359" t="str">
        <f>_xlfn.XLOOKUP(D359,[2]!Table1[Machine_ID],[2]!Table1[Machine_ID])</f>
        <v>M005</v>
      </c>
      <c r="N359" t="str">
        <f>_xlfn.XLOOKUP(E359,[3]Sheet1!$A$2:$A$391,[3]Sheet1!$A$2:$A$391)</f>
        <v>PO10024</v>
      </c>
    </row>
    <row r="360" spans="1:14" x14ac:dyDescent="0.2">
      <c r="A360" t="s">
        <v>369</v>
      </c>
      <c r="B360" s="2">
        <v>46246</v>
      </c>
      <c r="C360" t="s">
        <v>2941</v>
      </c>
      <c r="D360" t="s">
        <v>2947</v>
      </c>
      <c r="E360" t="s">
        <v>2974</v>
      </c>
      <c r="F360" s="3">
        <v>46246.683325293037</v>
      </c>
      <c r="G360" s="3">
        <v>46246.705498887801</v>
      </c>
      <c r="H360">
        <v>31.93</v>
      </c>
      <c r="I360" t="s">
        <v>3149</v>
      </c>
      <c r="J360" t="s">
        <v>3162</v>
      </c>
      <c r="K360" t="s">
        <v>3184</v>
      </c>
      <c r="L360" t="str">
        <f>_xlfn.XLOOKUP(C360,[1]!Table1[Shift_ID],[1]!Table1[Shift_ID])</f>
        <v>S02</v>
      </c>
      <c r="M360" t="str">
        <f>_xlfn.XLOOKUP(D360,[2]!Table1[Machine_ID],[2]!Table1[Machine_ID])</f>
        <v>M006</v>
      </c>
      <c r="N360" t="str">
        <f>_xlfn.XLOOKUP(E360,[3]Sheet1!$A$2:$A$391,[3]Sheet1!$A$2:$A$391)</f>
        <v>PO10024</v>
      </c>
    </row>
    <row r="361" spans="1:14" x14ac:dyDescent="0.2">
      <c r="A361" t="s">
        <v>370</v>
      </c>
      <c r="B361" s="2">
        <v>46246</v>
      </c>
      <c r="C361" t="s">
        <v>2941</v>
      </c>
      <c r="D361" t="s">
        <v>2948</v>
      </c>
      <c r="E361" t="s">
        <v>2974</v>
      </c>
      <c r="F361" s="3">
        <v>46246.718313187062</v>
      </c>
      <c r="G361" s="3">
        <v>46246.734224606829</v>
      </c>
      <c r="H361">
        <v>22.91</v>
      </c>
      <c r="I361" t="s">
        <v>3149</v>
      </c>
      <c r="J361" t="s">
        <v>3162</v>
      </c>
      <c r="K361" t="s">
        <v>3182</v>
      </c>
      <c r="L361" t="str">
        <f>_xlfn.XLOOKUP(C361,[1]!Table1[Shift_ID],[1]!Table1[Shift_ID])</f>
        <v>S02</v>
      </c>
      <c r="M361" t="str">
        <f>_xlfn.XLOOKUP(D361,[2]!Table1[Machine_ID],[2]!Table1[Machine_ID])</f>
        <v>M007</v>
      </c>
      <c r="N361" t="str">
        <f>_xlfn.XLOOKUP(E361,[3]Sheet1!$A$2:$A$391,[3]Sheet1!$A$2:$A$391)</f>
        <v>PO10024</v>
      </c>
    </row>
    <row r="362" spans="1:14" x14ac:dyDescent="0.2">
      <c r="A362" t="s">
        <v>371</v>
      </c>
      <c r="B362" s="2">
        <v>46246</v>
      </c>
      <c r="C362" t="s">
        <v>2941</v>
      </c>
      <c r="D362" t="s">
        <v>2949</v>
      </c>
      <c r="E362" t="s">
        <v>2974</v>
      </c>
      <c r="F362" s="3">
        <v>46246.75522786814</v>
      </c>
      <c r="G362" s="3">
        <v>46246.760073709898</v>
      </c>
      <c r="H362">
        <v>-5</v>
      </c>
      <c r="I362" t="s">
        <v>3147</v>
      </c>
      <c r="J362" t="s">
        <v>3153</v>
      </c>
      <c r="K362" t="s">
        <v>3185</v>
      </c>
      <c r="L362" t="str">
        <f>_xlfn.XLOOKUP(C362,[1]!Table1[Shift_ID],[1]!Table1[Shift_ID])</f>
        <v>S02</v>
      </c>
      <c r="M362" t="str">
        <f>_xlfn.XLOOKUP(D362,[2]!Table1[Machine_ID],[2]!Table1[Machine_ID])</f>
        <v>M008</v>
      </c>
      <c r="N362" t="str">
        <f>_xlfn.XLOOKUP(E362,[3]Sheet1!$A$2:$A$391,[3]Sheet1!$A$2:$A$391)</f>
        <v>PO10024</v>
      </c>
    </row>
    <row r="363" spans="1:14" x14ac:dyDescent="0.2">
      <c r="A363" t="s">
        <v>372</v>
      </c>
      <c r="B363" s="2">
        <v>46246</v>
      </c>
      <c r="C363" t="s">
        <v>2941</v>
      </c>
      <c r="D363" t="s">
        <v>2949</v>
      </c>
      <c r="E363" t="s">
        <v>2974</v>
      </c>
      <c r="F363" s="3">
        <v>46246.836770793678</v>
      </c>
      <c r="G363" s="3">
        <v>46246.839380024117</v>
      </c>
      <c r="H363">
        <v>3.76</v>
      </c>
      <c r="I363" t="s">
        <v>3146</v>
      </c>
      <c r="J363" t="s">
        <v>3156</v>
      </c>
      <c r="K363" t="s">
        <v>3174</v>
      </c>
      <c r="L363" t="str">
        <f>_xlfn.XLOOKUP(C363,[1]!Table1[Shift_ID],[1]!Table1[Shift_ID])</f>
        <v>S02</v>
      </c>
      <c r="M363" t="str">
        <f>_xlfn.XLOOKUP(D363,[2]!Table1[Machine_ID],[2]!Table1[Machine_ID])</f>
        <v>M008</v>
      </c>
      <c r="N363" t="str">
        <f>_xlfn.XLOOKUP(E363,[3]Sheet1!$A$2:$A$391,[3]Sheet1!$A$2:$A$391)</f>
        <v>PO10024</v>
      </c>
    </row>
    <row r="364" spans="1:14" x14ac:dyDescent="0.2">
      <c r="A364" t="s">
        <v>373</v>
      </c>
      <c r="B364" s="2">
        <v>46247</v>
      </c>
      <c r="C364" t="s">
        <v>2939</v>
      </c>
      <c r="D364" t="s">
        <v>2942</v>
      </c>
      <c r="E364" t="s">
        <v>2975</v>
      </c>
      <c r="F364" s="3">
        <v>46247.982663518982</v>
      </c>
      <c r="G364" s="3">
        <v>46247.988689609447</v>
      </c>
      <c r="H364">
        <v>8.68</v>
      </c>
      <c r="I364" t="s">
        <v>3146</v>
      </c>
      <c r="J364" t="s">
        <v>3157</v>
      </c>
      <c r="K364" t="s">
        <v>3175</v>
      </c>
      <c r="L364" t="str">
        <f>_xlfn.XLOOKUP(C364,[1]!Table1[Shift_ID],[1]!Table1[Shift_ID])</f>
        <v>S03</v>
      </c>
      <c r="M364" t="str">
        <f>_xlfn.XLOOKUP(D364,[2]!Table1[Machine_ID],[2]!Table1[Machine_ID])</f>
        <v>M001</v>
      </c>
      <c r="N364" t="str">
        <f>_xlfn.XLOOKUP(E364,[3]Sheet1!$A$2:$A$391,[3]Sheet1!$A$2:$A$391)</f>
        <v>PO10025</v>
      </c>
    </row>
    <row r="365" spans="1:14" x14ac:dyDescent="0.2">
      <c r="A365" t="s">
        <v>374</v>
      </c>
      <c r="B365" s="2">
        <v>46247</v>
      </c>
      <c r="C365" t="s">
        <v>2939</v>
      </c>
      <c r="D365" t="s">
        <v>2943</v>
      </c>
      <c r="E365" t="s">
        <v>2975</v>
      </c>
      <c r="F365" s="3">
        <v>46248.140685258193</v>
      </c>
      <c r="G365" s="3">
        <v>46248.149477353239</v>
      </c>
      <c r="H365">
        <v>12.66</v>
      </c>
      <c r="I365" t="s">
        <v>3149</v>
      </c>
      <c r="J365" t="s">
        <v>3158</v>
      </c>
      <c r="K365" t="s">
        <v>3176</v>
      </c>
      <c r="L365" t="str">
        <f>_xlfn.XLOOKUP(C365,[1]!Table1[Shift_ID],[1]!Table1[Shift_ID])</f>
        <v>S03</v>
      </c>
      <c r="M365" t="str">
        <f>_xlfn.XLOOKUP(D365,[2]!Table1[Machine_ID],[2]!Table1[Machine_ID])</f>
        <v>M002</v>
      </c>
      <c r="N365" t="str">
        <f>_xlfn.XLOOKUP(E365,[3]Sheet1!$A$2:$A$391,[3]Sheet1!$A$2:$A$391)</f>
        <v>PO10025</v>
      </c>
    </row>
    <row r="366" spans="1:14" x14ac:dyDescent="0.2">
      <c r="A366" t="s">
        <v>375</v>
      </c>
      <c r="B366" s="2">
        <v>46247</v>
      </c>
      <c r="C366" t="s">
        <v>2939</v>
      </c>
      <c r="D366" t="s">
        <v>2944</v>
      </c>
      <c r="E366" t="s">
        <v>2975</v>
      </c>
      <c r="F366" s="3">
        <v>46248.011827498063</v>
      </c>
      <c r="G366" s="3">
        <v>46248.017496339089</v>
      </c>
      <c r="H366">
        <v>8.16</v>
      </c>
      <c r="I366" t="s">
        <v>3147</v>
      </c>
      <c r="J366" t="s">
        <v>3153</v>
      </c>
      <c r="K366" t="s">
        <v>3185</v>
      </c>
      <c r="L366" t="str">
        <f>_xlfn.XLOOKUP(C366,[1]!Table1[Shift_ID],[1]!Table1[Shift_ID])</f>
        <v>S03</v>
      </c>
      <c r="M366" t="str">
        <f>_xlfn.XLOOKUP(D366,[2]!Table1[Machine_ID],[2]!Table1[Machine_ID])</f>
        <v>M003</v>
      </c>
      <c r="N366" t="str">
        <f>_xlfn.XLOOKUP(E366,[3]Sheet1!$A$2:$A$391,[3]Sheet1!$A$2:$A$391)</f>
        <v>PO10025</v>
      </c>
    </row>
    <row r="367" spans="1:14" x14ac:dyDescent="0.2">
      <c r="A367" t="s">
        <v>376</v>
      </c>
      <c r="B367" s="2">
        <v>46247</v>
      </c>
      <c r="C367" t="s">
        <v>2939</v>
      </c>
      <c r="D367" t="s">
        <v>2944</v>
      </c>
      <c r="E367" t="s">
        <v>2975</v>
      </c>
      <c r="F367" s="3">
        <v>46248.032350571739</v>
      </c>
      <c r="G367" s="3">
        <v>46248.035192522017</v>
      </c>
      <c r="H367">
        <v>4.09</v>
      </c>
      <c r="I367" t="s">
        <v>3148</v>
      </c>
      <c r="J367" t="s">
        <v>3155</v>
      </c>
      <c r="K367" t="s">
        <v>3183</v>
      </c>
      <c r="L367" t="str">
        <f>_xlfn.XLOOKUP(C367,[1]!Table1[Shift_ID],[1]!Table1[Shift_ID])</f>
        <v>S03</v>
      </c>
      <c r="M367" t="str">
        <f>_xlfn.XLOOKUP(D367,[2]!Table1[Machine_ID],[2]!Table1[Machine_ID])</f>
        <v>M003</v>
      </c>
      <c r="N367" t="str">
        <f>_xlfn.XLOOKUP(E367,[3]Sheet1!$A$2:$A$391,[3]Sheet1!$A$2:$A$391)</f>
        <v>PO10025</v>
      </c>
    </row>
    <row r="368" spans="1:14" x14ac:dyDescent="0.2">
      <c r="A368" t="s">
        <v>377</v>
      </c>
      <c r="B368" s="2">
        <v>46247</v>
      </c>
      <c r="C368" t="s">
        <v>2939</v>
      </c>
      <c r="D368" t="s">
        <v>2944</v>
      </c>
      <c r="E368" t="s">
        <v>2975</v>
      </c>
      <c r="F368" s="3">
        <v>46248.240624287799</v>
      </c>
      <c r="G368" s="3">
        <v>46248.244674341193</v>
      </c>
      <c r="H368">
        <v>5.83</v>
      </c>
      <c r="I368" t="s">
        <v>3150</v>
      </c>
      <c r="J368" t="s">
        <v>3160</v>
      </c>
      <c r="K368" t="s">
        <v>3177</v>
      </c>
      <c r="L368" t="str">
        <f>_xlfn.XLOOKUP(C368,[1]!Table1[Shift_ID],[1]!Table1[Shift_ID])</f>
        <v>S03</v>
      </c>
      <c r="M368" t="str">
        <f>_xlfn.XLOOKUP(D368,[2]!Table1[Machine_ID],[2]!Table1[Machine_ID])</f>
        <v>M003</v>
      </c>
      <c r="N368" t="str">
        <f>_xlfn.XLOOKUP(E368,[3]Sheet1!$A$2:$A$391,[3]Sheet1!$A$2:$A$391)</f>
        <v>PO10025</v>
      </c>
    </row>
    <row r="369" spans="1:14" x14ac:dyDescent="0.2">
      <c r="A369" t="s">
        <v>378</v>
      </c>
      <c r="B369" s="2">
        <v>46247</v>
      </c>
      <c r="C369" t="s">
        <v>2939</v>
      </c>
      <c r="D369" t="s">
        <v>2945</v>
      </c>
      <c r="E369" t="s">
        <v>2975</v>
      </c>
      <c r="F369" s="3">
        <v>46248.180033713543</v>
      </c>
      <c r="G369" s="3">
        <v>46248.186804160323</v>
      </c>
      <c r="H369">
        <v>9.75</v>
      </c>
      <c r="I369" t="s">
        <v>3150</v>
      </c>
      <c r="J369" t="s">
        <v>3159</v>
      </c>
      <c r="K369" t="s">
        <v>3177</v>
      </c>
      <c r="L369" t="str">
        <f>_xlfn.XLOOKUP(C369,[1]!Table1[Shift_ID],[1]!Table1[Shift_ID])</f>
        <v>S03</v>
      </c>
      <c r="M369" t="str">
        <f>_xlfn.XLOOKUP(D369,[2]!Table1[Machine_ID],[2]!Table1[Machine_ID])</f>
        <v>M004</v>
      </c>
      <c r="N369" t="str">
        <f>_xlfn.XLOOKUP(E369,[3]Sheet1!$A$2:$A$391,[3]Sheet1!$A$2:$A$391)</f>
        <v>PO10025</v>
      </c>
    </row>
    <row r="370" spans="1:14" x14ac:dyDescent="0.2">
      <c r="A370" t="s">
        <v>379</v>
      </c>
      <c r="B370" s="2">
        <v>46247</v>
      </c>
      <c r="C370" t="s">
        <v>2939</v>
      </c>
      <c r="D370" t="s">
        <v>2946</v>
      </c>
      <c r="E370" t="s">
        <v>2975</v>
      </c>
      <c r="F370" s="3">
        <v>46247.947401918427</v>
      </c>
      <c r="G370" s="3">
        <v>46247.952770445518</v>
      </c>
      <c r="H370">
        <v>7.73</v>
      </c>
      <c r="I370" t="s">
        <v>3147</v>
      </c>
      <c r="J370" t="s">
        <v>3153</v>
      </c>
      <c r="K370" t="s">
        <v>3172</v>
      </c>
      <c r="L370" t="str">
        <f>_xlfn.XLOOKUP(C370,[1]!Table1[Shift_ID],[1]!Table1[Shift_ID])</f>
        <v>S03</v>
      </c>
      <c r="M370" t="str">
        <f>_xlfn.XLOOKUP(D370,[2]!Table1[Machine_ID],[2]!Table1[Machine_ID])</f>
        <v>M005</v>
      </c>
      <c r="N370" t="str">
        <f>_xlfn.XLOOKUP(E370,[3]Sheet1!$A$2:$A$391,[3]Sheet1!$A$2:$A$391)</f>
        <v>PO10025</v>
      </c>
    </row>
    <row r="371" spans="1:14" x14ac:dyDescent="0.2">
      <c r="A371" t="s">
        <v>380</v>
      </c>
      <c r="B371" s="2">
        <v>46247</v>
      </c>
      <c r="C371" t="s">
        <v>2939</v>
      </c>
      <c r="D371" t="s">
        <v>2946</v>
      </c>
      <c r="E371" t="s">
        <v>2975</v>
      </c>
      <c r="F371" s="3">
        <v>46248.142051609029</v>
      </c>
      <c r="G371" s="3">
        <v>46248.143815289812</v>
      </c>
      <c r="H371">
        <v>2.54</v>
      </c>
      <c r="I371" t="s">
        <v>3146</v>
      </c>
      <c r="J371" t="s">
        <v>3152</v>
      </c>
      <c r="K371" t="s">
        <v>3174</v>
      </c>
      <c r="L371" t="str">
        <f>_xlfn.XLOOKUP(C371,[1]!Table1[Shift_ID],[1]!Table1[Shift_ID])</f>
        <v>S03</v>
      </c>
      <c r="M371" t="str">
        <f>_xlfn.XLOOKUP(D371,[2]!Table1[Machine_ID],[2]!Table1[Machine_ID])</f>
        <v>M005</v>
      </c>
      <c r="N371" t="str">
        <f>_xlfn.XLOOKUP(E371,[3]Sheet1!$A$2:$A$391,[3]Sheet1!$A$2:$A$391)</f>
        <v>PO10025</v>
      </c>
    </row>
    <row r="372" spans="1:14" x14ac:dyDescent="0.2">
      <c r="A372" t="s">
        <v>381</v>
      </c>
      <c r="B372" s="2">
        <v>46247</v>
      </c>
      <c r="C372" t="s">
        <v>2939</v>
      </c>
      <c r="D372" t="s">
        <v>2946</v>
      </c>
      <c r="E372" t="s">
        <v>2975</v>
      </c>
      <c r="F372" s="3">
        <v>46248.147882252488</v>
      </c>
      <c r="G372" s="3">
        <v>46248.151947972838</v>
      </c>
      <c r="H372">
        <v>5.85</v>
      </c>
      <c r="I372" t="s">
        <v>3147</v>
      </c>
      <c r="J372" t="s">
        <v>3154</v>
      </c>
      <c r="K372" t="s">
        <v>3172</v>
      </c>
      <c r="L372" t="str">
        <f>_xlfn.XLOOKUP(C372,[1]!Table1[Shift_ID],[1]!Table1[Shift_ID])</f>
        <v>S03</v>
      </c>
      <c r="M372" t="str">
        <f>_xlfn.XLOOKUP(D372,[2]!Table1[Machine_ID],[2]!Table1[Machine_ID])</f>
        <v>M005</v>
      </c>
      <c r="N372" t="str">
        <f>_xlfn.XLOOKUP(E372,[3]Sheet1!$A$2:$A$391,[3]Sheet1!$A$2:$A$391)</f>
        <v>PO10025</v>
      </c>
    </row>
    <row r="373" spans="1:14" x14ac:dyDescent="0.2">
      <c r="A373" t="s">
        <v>382</v>
      </c>
      <c r="B373" s="2">
        <v>46247</v>
      </c>
      <c r="C373" t="s">
        <v>2939</v>
      </c>
      <c r="D373" t="s">
        <v>2947</v>
      </c>
      <c r="E373" t="s">
        <v>2975</v>
      </c>
      <c r="F373" s="3">
        <v>46248.230943336421</v>
      </c>
      <c r="G373" s="3">
        <v>46248.25</v>
      </c>
      <c r="H373">
        <v>27.44</v>
      </c>
      <c r="I373" t="s">
        <v>3150</v>
      </c>
      <c r="J373" t="s">
        <v>3163</v>
      </c>
      <c r="K373" t="s">
        <v>3179</v>
      </c>
      <c r="L373" t="str">
        <f>_xlfn.XLOOKUP(C373,[1]!Table1[Shift_ID],[1]!Table1[Shift_ID])</f>
        <v>S03</v>
      </c>
      <c r="M373" t="str">
        <f>_xlfn.XLOOKUP(D373,[2]!Table1[Machine_ID],[2]!Table1[Machine_ID])</f>
        <v>M006</v>
      </c>
      <c r="N373" t="str">
        <f>_xlfn.XLOOKUP(E373,[3]Sheet1!$A$2:$A$391,[3]Sheet1!$A$2:$A$391)</f>
        <v>PO10025</v>
      </c>
    </row>
    <row r="374" spans="1:14" x14ac:dyDescent="0.2">
      <c r="A374" t="s">
        <v>383</v>
      </c>
      <c r="B374" s="2">
        <v>46247</v>
      </c>
      <c r="C374" t="s">
        <v>2939</v>
      </c>
      <c r="D374" t="s">
        <v>2948</v>
      </c>
      <c r="E374" t="s">
        <v>2975</v>
      </c>
      <c r="F374" s="3">
        <v>46248.00324995831</v>
      </c>
      <c r="G374" s="3">
        <v>46248.010369444382</v>
      </c>
      <c r="H374">
        <v>10.25</v>
      </c>
      <c r="I374" t="s">
        <v>3146</v>
      </c>
      <c r="J374" t="s">
        <v>3152</v>
      </c>
      <c r="K374" t="s">
        <v>3175</v>
      </c>
      <c r="L374" t="str">
        <f>_xlfn.XLOOKUP(C374,[1]!Table1[Shift_ID],[1]!Table1[Shift_ID])</f>
        <v>S03</v>
      </c>
      <c r="M374" t="str">
        <f>_xlfn.XLOOKUP(D374,[2]!Table1[Machine_ID],[2]!Table1[Machine_ID])</f>
        <v>M007</v>
      </c>
      <c r="N374" t="str">
        <f>_xlfn.XLOOKUP(E374,[3]Sheet1!$A$2:$A$391,[3]Sheet1!$A$2:$A$391)</f>
        <v>PO10025</v>
      </c>
    </row>
    <row r="375" spans="1:14" x14ac:dyDescent="0.2">
      <c r="A375" t="s">
        <v>384</v>
      </c>
      <c r="B375" s="2">
        <v>46247</v>
      </c>
      <c r="C375" t="s">
        <v>2939</v>
      </c>
      <c r="D375" t="s">
        <v>2948</v>
      </c>
      <c r="E375" t="s">
        <v>2975</v>
      </c>
      <c r="F375" s="3">
        <v>46248.028239980253</v>
      </c>
      <c r="G375" s="3">
        <v>46248.034603595152</v>
      </c>
      <c r="H375">
        <v>9.16</v>
      </c>
      <c r="I375" t="s">
        <v>3150</v>
      </c>
      <c r="J375" t="s">
        <v>3160</v>
      </c>
      <c r="K375" t="s">
        <v>3177</v>
      </c>
      <c r="L375" t="str">
        <f>_xlfn.XLOOKUP(C375,[1]!Table1[Shift_ID],[1]!Table1[Shift_ID])</f>
        <v>S03</v>
      </c>
      <c r="M375" t="str">
        <f>_xlfn.XLOOKUP(D375,[2]!Table1[Machine_ID],[2]!Table1[Machine_ID])</f>
        <v>M007</v>
      </c>
      <c r="N375" t="str">
        <f>_xlfn.XLOOKUP(E375,[3]Sheet1!$A$2:$A$391,[3]Sheet1!$A$2:$A$391)</f>
        <v>PO10025</v>
      </c>
    </row>
    <row r="376" spans="1:14" x14ac:dyDescent="0.2">
      <c r="A376" t="s">
        <v>385</v>
      </c>
      <c r="B376" s="2">
        <v>46247</v>
      </c>
      <c r="C376" t="s">
        <v>2939</v>
      </c>
      <c r="D376" t="s">
        <v>2949</v>
      </c>
      <c r="E376" t="s">
        <v>2975</v>
      </c>
      <c r="F376" s="3">
        <v>46248.048789834073</v>
      </c>
      <c r="G376" s="3">
        <v>46248.056314680573</v>
      </c>
      <c r="H376">
        <v>10.84</v>
      </c>
      <c r="I376" t="s">
        <v>3148</v>
      </c>
      <c r="J376" t="s">
        <v>3165</v>
      </c>
      <c r="K376" t="s">
        <v>3183</v>
      </c>
      <c r="L376" t="str">
        <f>_xlfn.XLOOKUP(C376,[1]!Table1[Shift_ID],[1]!Table1[Shift_ID])</f>
        <v>S03</v>
      </c>
      <c r="M376" t="str">
        <f>_xlfn.XLOOKUP(D376,[2]!Table1[Machine_ID],[2]!Table1[Machine_ID])</f>
        <v>M008</v>
      </c>
      <c r="N376" t="str">
        <f>_xlfn.XLOOKUP(E376,[3]Sheet1!$A$2:$A$391,[3]Sheet1!$A$2:$A$391)</f>
        <v>PO10025</v>
      </c>
    </row>
    <row r="377" spans="1:14" x14ac:dyDescent="0.2">
      <c r="A377" t="s">
        <v>386</v>
      </c>
      <c r="B377" s="2">
        <v>46247</v>
      </c>
      <c r="C377" t="s">
        <v>2940</v>
      </c>
      <c r="D377" t="s">
        <v>2942</v>
      </c>
      <c r="E377" t="s">
        <v>2976</v>
      </c>
      <c r="F377" s="3">
        <v>46247.251556567113</v>
      </c>
      <c r="G377" s="3">
        <v>46247.253370182043</v>
      </c>
      <c r="H377">
        <v>2.61</v>
      </c>
      <c r="I377" t="s">
        <v>3150</v>
      </c>
      <c r="J377" t="s">
        <v>3163</v>
      </c>
      <c r="K377" t="s">
        <v>3177</v>
      </c>
      <c r="L377" t="str">
        <f>_xlfn.XLOOKUP(C377,[1]!Table1[Shift_ID],[1]!Table1[Shift_ID])</f>
        <v>S01</v>
      </c>
      <c r="M377" t="str">
        <f>_xlfn.XLOOKUP(D377,[2]!Table1[Machine_ID],[2]!Table1[Machine_ID])</f>
        <v>M001</v>
      </c>
      <c r="N377" t="str">
        <f>_xlfn.XLOOKUP(E377,[3]Sheet1!$A$2:$A$391,[3]Sheet1!$A$2:$A$391)</f>
        <v>PO10026</v>
      </c>
    </row>
    <row r="378" spans="1:14" x14ac:dyDescent="0.2">
      <c r="A378" t="s">
        <v>387</v>
      </c>
      <c r="B378" s="2">
        <v>46247</v>
      </c>
      <c r="C378" t="s">
        <v>2940</v>
      </c>
      <c r="D378" t="s">
        <v>2942</v>
      </c>
      <c r="E378" t="s">
        <v>2976</v>
      </c>
      <c r="F378" s="3">
        <v>46247.291104090247</v>
      </c>
      <c r="G378" s="3">
        <v>46247.292378537357</v>
      </c>
      <c r="H378">
        <v>1.84</v>
      </c>
      <c r="I378" t="s">
        <v>3146</v>
      </c>
      <c r="J378" t="s">
        <v>3157</v>
      </c>
      <c r="K378" t="s">
        <v>3175</v>
      </c>
      <c r="L378" t="str">
        <f>_xlfn.XLOOKUP(C378,[1]!Table1[Shift_ID],[1]!Table1[Shift_ID])</f>
        <v>S01</v>
      </c>
      <c r="M378" t="str">
        <f>_xlfn.XLOOKUP(D378,[2]!Table1[Machine_ID],[2]!Table1[Machine_ID])</f>
        <v>M001</v>
      </c>
      <c r="N378" t="str">
        <f>_xlfn.XLOOKUP(E378,[3]Sheet1!$A$2:$A$391,[3]Sheet1!$A$2:$A$391)</f>
        <v>PO10026</v>
      </c>
    </row>
    <row r="379" spans="1:14" x14ac:dyDescent="0.2">
      <c r="A379" t="s">
        <v>388</v>
      </c>
      <c r="B379" s="2">
        <v>46247</v>
      </c>
      <c r="C379" t="s">
        <v>2940</v>
      </c>
      <c r="D379" t="s">
        <v>2942</v>
      </c>
      <c r="E379" t="s">
        <v>2976</v>
      </c>
      <c r="F379" s="3">
        <v>46247.504151587797</v>
      </c>
      <c r="G379" s="3">
        <v>46247.505426034899</v>
      </c>
      <c r="H379">
        <v>1.84</v>
      </c>
      <c r="I379" t="s">
        <v>3151</v>
      </c>
      <c r="J379" t="s">
        <v>3170</v>
      </c>
      <c r="K379" t="s">
        <v>3187</v>
      </c>
      <c r="L379" t="str">
        <f>_xlfn.XLOOKUP(C379,[1]!Table1[Shift_ID],[1]!Table1[Shift_ID])</f>
        <v>S01</v>
      </c>
      <c r="M379" t="str">
        <f>_xlfn.XLOOKUP(D379,[2]!Table1[Machine_ID],[2]!Table1[Machine_ID])</f>
        <v>M001</v>
      </c>
      <c r="N379" t="str">
        <f>_xlfn.XLOOKUP(E379,[3]Sheet1!$A$2:$A$391,[3]Sheet1!$A$2:$A$391)</f>
        <v>PO10026</v>
      </c>
    </row>
    <row r="380" spans="1:14" x14ac:dyDescent="0.2">
      <c r="A380" t="s">
        <v>389</v>
      </c>
      <c r="B380" s="2">
        <v>46247</v>
      </c>
      <c r="C380" t="s">
        <v>2940</v>
      </c>
      <c r="D380" t="s">
        <v>2943</v>
      </c>
      <c r="E380" t="s">
        <v>2976</v>
      </c>
      <c r="F380" s="3">
        <v>46247.512110614647</v>
      </c>
      <c r="G380" s="3">
        <v>46247.513917200231</v>
      </c>
      <c r="H380">
        <v>2.6</v>
      </c>
      <c r="I380" t="s">
        <v>3151</v>
      </c>
      <c r="J380" t="s">
        <v>3170</v>
      </c>
      <c r="K380" t="s">
        <v>3188</v>
      </c>
      <c r="L380" t="str">
        <f>_xlfn.XLOOKUP(C380,[1]!Table1[Shift_ID],[1]!Table1[Shift_ID])</f>
        <v>S01</v>
      </c>
      <c r="M380" t="str">
        <f>_xlfn.XLOOKUP(D380,[2]!Table1[Machine_ID],[2]!Table1[Machine_ID])</f>
        <v>M002</v>
      </c>
      <c r="N380" t="str">
        <f>_xlfn.XLOOKUP(E380,[3]Sheet1!$A$2:$A$391,[3]Sheet1!$A$2:$A$391)</f>
        <v>PO10026</v>
      </c>
    </row>
    <row r="381" spans="1:14" x14ac:dyDescent="0.2">
      <c r="A381" t="s">
        <v>390</v>
      </c>
      <c r="B381" s="2">
        <v>46247</v>
      </c>
      <c r="C381" t="s">
        <v>2940</v>
      </c>
      <c r="D381" t="s">
        <v>2943</v>
      </c>
      <c r="E381" t="s">
        <v>2976</v>
      </c>
      <c r="F381" s="3">
        <v>46247.512388929441</v>
      </c>
      <c r="G381" s="3">
        <v>46247.51680406279</v>
      </c>
      <c r="H381">
        <v>6.36</v>
      </c>
      <c r="I381" t="s">
        <v>3148</v>
      </c>
      <c r="J381" t="s">
        <v>3164</v>
      </c>
      <c r="K381" t="s">
        <v>3180</v>
      </c>
      <c r="L381" t="str">
        <f>_xlfn.XLOOKUP(C381,[1]!Table1[Shift_ID],[1]!Table1[Shift_ID])</f>
        <v>S01</v>
      </c>
      <c r="M381" t="str">
        <f>_xlfn.XLOOKUP(D381,[2]!Table1[Machine_ID],[2]!Table1[Machine_ID])</f>
        <v>M002</v>
      </c>
      <c r="N381" t="str">
        <f>_xlfn.XLOOKUP(E381,[3]Sheet1!$A$2:$A$391,[3]Sheet1!$A$2:$A$391)</f>
        <v>PO10026</v>
      </c>
    </row>
    <row r="382" spans="1:14" x14ac:dyDescent="0.2">
      <c r="A382" t="s">
        <v>391</v>
      </c>
      <c r="B382" s="2">
        <v>46247</v>
      </c>
      <c r="C382" t="s">
        <v>2940</v>
      </c>
      <c r="D382" t="s">
        <v>2943</v>
      </c>
      <c r="E382" t="s">
        <v>2976</v>
      </c>
      <c r="F382" s="3">
        <v>46247.564408748192</v>
      </c>
      <c r="G382" s="3">
        <v>46247.566395508213</v>
      </c>
      <c r="H382">
        <v>2.86</v>
      </c>
      <c r="I382" t="s">
        <v>3150</v>
      </c>
      <c r="J382" t="s">
        <v>3166</v>
      </c>
      <c r="K382" t="s">
        <v>3177</v>
      </c>
      <c r="L382" t="str">
        <f>_xlfn.XLOOKUP(C382,[1]!Table1[Shift_ID],[1]!Table1[Shift_ID])</f>
        <v>S01</v>
      </c>
      <c r="M382" t="str">
        <f>_xlfn.XLOOKUP(D382,[2]!Table1[Machine_ID],[2]!Table1[Machine_ID])</f>
        <v>M002</v>
      </c>
      <c r="N382" t="str">
        <f>_xlfn.XLOOKUP(E382,[3]Sheet1!$A$2:$A$391,[3]Sheet1!$A$2:$A$391)</f>
        <v>PO10026</v>
      </c>
    </row>
    <row r="383" spans="1:14" x14ac:dyDescent="0.2">
      <c r="A383" t="s">
        <v>392</v>
      </c>
      <c r="B383" s="2">
        <v>46247</v>
      </c>
      <c r="C383" t="s">
        <v>2940</v>
      </c>
      <c r="D383" t="s">
        <v>2944</v>
      </c>
      <c r="E383" t="s">
        <v>2976</v>
      </c>
      <c r="F383" s="3">
        <v>46247.334793472422</v>
      </c>
      <c r="G383" s="3">
        <v>46247.336961125613</v>
      </c>
      <c r="H383">
        <v>3.12</v>
      </c>
      <c r="I383" t="s">
        <v>3147</v>
      </c>
      <c r="J383" t="s">
        <v>3167</v>
      </c>
      <c r="K383" t="s">
        <v>3185</v>
      </c>
      <c r="L383" t="str">
        <f>_xlfn.XLOOKUP(C383,[1]!Table1[Shift_ID],[1]!Table1[Shift_ID])</f>
        <v>S01</v>
      </c>
      <c r="M383" t="str">
        <f>_xlfn.XLOOKUP(D383,[2]!Table1[Machine_ID],[2]!Table1[Machine_ID])</f>
        <v>M003</v>
      </c>
      <c r="N383" t="str">
        <f>_xlfn.XLOOKUP(E383,[3]Sheet1!$A$2:$A$391,[3]Sheet1!$A$2:$A$391)</f>
        <v>PO10026</v>
      </c>
    </row>
    <row r="384" spans="1:14" x14ac:dyDescent="0.2">
      <c r="A384" t="s">
        <v>393</v>
      </c>
      <c r="B384" s="2">
        <v>46247</v>
      </c>
      <c r="C384" t="s">
        <v>2940</v>
      </c>
      <c r="D384" t="s">
        <v>2944</v>
      </c>
      <c r="E384" t="s">
        <v>2976</v>
      </c>
      <c r="F384" s="3">
        <v>46247.527009034282</v>
      </c>
      <c r="G384" s="3">
        <v>46247.538076020537</v>
      </c>
      <c r="H384">
        <v>15.94</v>
      </c>
      <c r="I384" t="s">
        <v>3148</v>
      </c>
      <c r="J384" t="s">
        <v>3165</v>
      </c>
      <c r="K384" t="s">
        <v>3173</v>
      </c>
      <c r="L384" t="str">
        <f>_xlfn.XLOOKUP(C384,[1]!Table1[Shift_ID],[1]!Table1[Shift_ID])</f>
        <v>S01</v>
      </c>
      <c r="M384" t="str">
        <f>_xlfn.XLOOKUP(D384,[2]!Table1[Machine_ID],[2]!Table1[Machine_ID])</f>
        <v>M003</v>
      </c>
      <c r="N384" t="str">
        <f>_xlfn.XLOOKUP(E384,[3]Sheet1!$A$2:$A$391,[3]Sheet1!$A$2:$A$391)</f>
        <v>PO10026</v>
      </c>
    </row>
    <row r="385" spans="1:14" x14ac:dyDescent="0.2">
      <c r="A385" t="s">
        <v>394</v>
      </c>
      <c r="B385" s="2">
        <v>46247</v>
      </c>
      <c r="C385" t="s">
        <v>2940</v>
      </c>
      <c r="D385" t="s">
        <v>2945</v>
      </c>
      <c r="E385" t="s">
        <v>2976</v>
      </c>
      <c r="F385" s="3">
        <v>46247.528401629323</v>
      </c>
      <c r="G385" s="3">
        <v>46247.534012252487</v>
      </c>
      <c r="H385">
        <v>8.08</v>
      </c>
      <c r="I385" t="s">
        <v>3147</v>
      </c>
      <c r="J385" t="s">
        <v>3153</v>
      </c>
      <c r="K385" t="s">
        <v>3186</v>
      </c>
      <c r="L385" t="str">
        <f>_xlfn.XLOOKUP(C385,[1]!Table1[Shift_ID],[1]!Table1[Shift_ID])</f>
        <v>S01</v>
      </c>
      <c r="M385" t="str">
        <f>_xlfn.XLOOKUP(D385,[2]!Table1[Machine_ID],[2]!Table1[Machine_ID])</f>
        <v>M004</v>
      </c>
      <c r="N385" t="str">
        <f>_xlfn.XLOOKUP(E385,[3]Sheet1!$A$2:$A$391,[3]Sheet1!$A$2:$A$391)</f>
        <v>PO10026</v>
      </c>
    </row>
    <row r="386" spans="1:14" x14ac:dyDescent="0.2">
      <c r="A386" t="s">
        <v>395</v>
      </c>
      <c r="B386" s="2">
        <v>46247</v>
      </c>
      <c r="C386" t="s">
        <v>2940</v>
      </c>
      <c r="D386" t="s">
        <v>2946</v>
      </c>
      <c r="E386" t="s">
        <v>2976</v>
      </c>
      <c r="F386" s="3">
        <v>46247.346915543232</v>
      </c>
      <c r="G386" s="3">
        <v>46247.349245051271</v>
      </c>
      <c r="H386">
        <v>3.35</v>
      </c>
      <c r="I386" t="s">
        <v>3151</v>
      </c>
      <c r="J386" t="s">
        <v>3161</v>
      </c>
      <c r="K386" t="s">
        <v>3188</v>
      </c>
      <c r="L386" t="str">
        <f>_xlfn.XLOOKUP(C386,[1]!Table1[Shift_ID],[1]!Table1[Shift_ID])</f>
        <v>S01</v>
      </c>
      <c r="M386" t="str">
        <f>_xlfn.XLOOKUP(D386,[2]!Table1[Machine_ID],[2]!Table1[Machine_ID])</f>
        <v>M005</v>
      </c>
      <c r="N386" t="str">
        <f>_xlfn.XLOOKUP(E386,[3]Sheet1!$A$2:$A$391,[3]Sheet1!$A$2:$A$391)</f>
        <v>PO10026</v>
      </c>
    </row>
    <row r="387" spans="1:14" x14ac:dyDescent="0.2">
      <c r="A387" t="s">
        <v>396</v>
      </c>
      <c r="B387" s="2">
        <v>46247</v>
      </c>
      <c r="C387" t="s">
        <v>2940</v>
      </c>
      <c r="D387" t="s">
        <v>2946</v>
      </c>
      <c r="E387" t="s">
        <v>2976</v>
      </c>
      <c r="F387" s="3">
        <v>46247.404818692943</v>
      </c>
      <c r="G387" s="3">
        <v>46247.406627803422</v>
      </c>
      <c r="H387">
        <v>2.61</v>
      </c>
      <c r="I387" t="s">
        <v>3151</v>
      </c>
      <c r="J387" t="s">
        <v>3170</v>
      </c>
      <c r="K387" t="s">
        <v>3188</v>
      </c>
      <c r="L387" t="str">
        <f>_xlfn.XLOOKUP(C387,[1]!Table1[Shift_ID],[1]!Table1[Shift_ID])</f>
        <v>S01</v>
      </c>
      <c r="M387" t="str">
        <f>_xlfn.XLOOKUP(D387,[2]!Table1[Machine_ID],[2]!Table1[Machine_ID])</f>
        <v>M005</v>
      </c>
      <c r="N387" t="str">
        <f>_xlfn.XLOOKUP(E387,[3]Sheet1!$A$2:$A$391,[3]Sheet1!$A$2:$A$391)</f>
        <v>PO10026</v>
      </c>
    </row>
    <row r="388" spans="1:14" x14ac:dyDescent="0.2">
      <c r="A388" t="s">
        <v>397</v>
      </c>
      <c r="B388" s="2">
        <v>46247</v>
      </c>
      <c r="C388" t="s">
        <v>2940</v>
      </c>
      <c r="D388" t="s">
        <v>2946</v>
      </c>
      <c r="E388" t="s">
        <v>2976</v>
      </c>
      <c r="F388" s="3">
        <v>46247.405337969569</v>
      </c>
      <c r="G388" s="3">
        <v>46247.406688894887</v>
      </c>
      <c r="H388">
        <v>1.95</v>
      </c>
      <c r="I388" t="s">
        <v>3149</v>
      </c>
      <c r="J388" t="s">
        <v>3168</v>
      </c>
      <c r="K388" t="s">
        <v>3184</v>
      </c>
      <c r="L388" t="str">
        <f>_xlfn.XLOOKUP(C388,[1]!Table1[Shift_ID],[1]!Table1[Shift_ID])</f>
        <v>S01</v>
      </c>
      <c r="M388" t="str">
        <f>_xlfn.XLOOKUP(D388,[2]!Table1[Machine_ID],[2]!Table1[Machine_ID])</f>
        <v>M005</v>
      </c>
      <c r="N388" t="str">
        <f>_xlfn.XLOOKUP(E388,[3]Sheet1!$A$2:$A$391,[3]Sheet1!$A$2:$A$391)</f>
        <v>PO10026</v>
      </c>
    </row>
    <row r="389" spans="1:14" x14ac:dyDescent="0.2">
      <c r="A389" t="s">
        <v>398</v>
      </c>
      <c r="B389" s="2">
        <v>46247</v>
      </c>
      <c r="C389" t="s">
        <v>2940</v>
      </c>
      <c r="D389" t="s">
        <v>2946</v>
      </c>
      <c r="E389" t="s">
        <v>2976</v>
      </c>
      <c r="F389" s="3">
        <v>46247.42856111045</v>
      </c>
      <c r="G389" s="3">
        <v>46247.429912035761</v>
      </c>
      <c r="H389">
        <v>1.95</v>
      </c>
      <c r="I389" t="s">
        <v>3150</v>
      </c>
      <c r="J389" t="s">
        <v>3166</v>
      </c>
      <c r="K389" t="s">
        <v>3178</v>
      </c>
      <c r="L389" t="str">
        <f>_xlfn.XLOOKUP(C389,[1]!Table1[Shift_ID],[1]!Table1[Shift_ID])</f>
        <v>S01</v>
      </c>
      <c r="M389" t="str">
        <f>_xlfn.XLOOKUP(D389,[2]!Table1[Machine_ID],[2]!Table1[Machine_ID])</f>
        <v>M005</v>
      </c>
      <c r="N389" t="str">
        <f>_xlfn.XLOOKUP(E389,[3]Sheet1!$A$2:$A$391,[3]Sheet1!$A$2:$A$391)</f>
        <v>PO10026</v>
      </c>
    </row>
    <row r="390" spans="1:14" x14ac:dyDescent="0.2">
      <c r="A390" t="s">
        <v>399</v>
      </c>
      <c r="B390" s="2">
        <v>46247</v>
      </c>
      <c r="C390" t="s">
        <v>2940</v>
      </c>
      <c r="D390" t="s">
        <v>2947</v>
      </c>
      <c r="E390" t="s">
        <v>2976</v>
      </c>
      <c r="F390" s="3">
        <v>46247.428121425597</v>
      </c>
      <c r="G390" s="3">
        <v>46247.455283547373</v>
      </c>
      <c r="H390">
        <v>39.11</v>
      </c>
      <c r="I390" t="s">
        <v>3150</v>
      </c>
      <c r="J390" t="s">
        <v>3166</v>
      </c>
      <c r="K390" t="s">
        <v>3177</v>
      </c>
      <c r="L390" t="str">
        <f>_xlfn.XLOOKUP(C390,[1]!Table1[Shift_ID],[1]!Table1[Shift_ID])</f>
        <v>S01</v>
      </c>
      <c r="M390" t="str">
        <f>_xlfn.XLOOKUP(D390,[2]!Table1[Machine_ID],[2]!Table1[Machine_ID])</f>
        <v>M006</v>
      </c>
      <c r="N390" t="str">
        <f>_xlfn.XLOOKUP(E390,[3]Sheet1!$A$2:$A$391,[3]Sheet1!$A$2:$A$391)</f>
        <v>PO10026</v>
      </c>
    </row>
    <row r="391" spans="1:14" x14ac:dyDescent="0.2">
      <c r="A391" t="s">
        <v>400</v>
      </c>
      <c r="B391" s="2">
        <v>46247</v>
      </c>
      <c r="C391" t="s">
        <v>2940</v>
      </c>
      <c r="D391" t="s">
        <v>2948</v>
      </c>
      <c r="E391" t="s">
        <v>2976</v>
      </c>
      <c r="F391" s="3">
        <v>46247.565357111664</v>
      </c>
      <c r="G391" s="3">
        <v>46247.580879297209</v>
      </c>
      <c r="H391">
        <v>22.35</v>
      </c>
      <c r="I391" t="s">
        <v>3147</v>
      </c>
      <c r="J391" t="s">
        <v>3167</v>
      </c>
      <c r="K391" t="s">
        <v>3186</v>
      </c>
      <c r="L391" t="str">
        <f>_xlfn.XLOOKUP(C391,[1]!Table1[Shift_ID],[1]!Table1[Shift_ID])</f>
        <v>S01</v>
      </c>
      <c r="M391" t="str">
        <f>_xlfn.XLOOKUP(D391,[2]!Table1[Machine_ID],[2]!Table1[Machine_ID])</f>
        <v>M007</v>
      </c>
      <c r="N391" t="str">
        <f>_xlfn.XLOOKUP(E391,[3]Sheet1!$A$2:$A$391,[3]Sheet1!$A$2:$A$391)</f>
        <v>PO10026</v>
      </c>
    </row>
    <row r="392" spans="1:14" x14ac:dyDescent="0.2">
      <c r="A392" t="s">
        <v>401</v>
      </c>
      <c r="B392" s="2">
        <v>46247</v>
      </c>
      <c r="C392" t="s">
        <v>2940</v>
      </c>
      <c r="D392" t="s">
        <v>2949</v>
      </c>
      <c r="E392" t="s">
        <v>2976</v>
      </c>
      <c r="F392" s="3">
        <v>46247.502457647497</v>
      </c>
      <c r="G392" s="3">
        <v>46247.507447352211</v>
      </c>
      <c r="H392">
        <v>7.19</v>
      </c>
      <c r="I392" t="s">
        <v>3148</v>
      </c>
      <c r="J392" t="s">
        <v>3165</v>
      </c>
      <c r="K392" t="s">
        <v>3173</v>
      </c>
      <c r="L392" t="str">
        <f>_xlfn.XLOOKUP(C392,[1]!Table1[Shift_ID],[1]!Table1[Shift_ID])</f>
        <v>S01</v>
      </c>
      <c r="M392" t="str">
        <f>_xlfn.XLOOKUP(D392,[2]!Table1[Machine_ID],[2]!Table1[Machine_ID])</f>
        <v>M008</v>
      </c>
      <c r="N392" t="str">
        <f>_xlfn.XLOOKUP(E392,[3]Sheet1!$A$2:$A$391,[3]Sheet1!$A$2:$A$391)</f>
        <v>PO10026</v>
      </c>
    </row>
    <row r="393" spans="1:14" x14ac:dyDescent="0.2">
      <c r="A393" t="s">
        <v>402</v>
      </c>
      <c r="B393" s="2">
        <v>46247</v>
      </c>
      <c r="C393" t="s">
        <v>2941</v>
      </c>
      <c r="D393" t="s">
        <v>2942</v>
      </c>
      <c r="E393" t="s">
        <v>2977</v>
      </c>
      <c r="F393" s="3">
        <v>46247.626811068309</v>
      </c>
      <c r="G393" s="3">
        <v>46247.62854159619</v>
      </c>
      <c r="H393">
        <v>2.4900000000000002</v>
      </c>
      <c r="I393" t="s">
        <v>3151</v>
      </c>
      <c r="J393" t="s">
        <v>3170</v>
      </c>
      <c r="K393" t="s">
        <v>3181</v>
      </c>
      <c r="L393" t="str">
        <f>_xlfn.XLOOKUP(C393,[1]!Table1[Shift_ID],[1]!Table1[Shift_ID])</f>
        <v>S02</v>
      </c>
      <c r="M393" t="str">
        <f>_xlfn.XLOOKUP(D393,[2]!Table1[Machine_ID],[2]!Table1[Machine_ID])</f>
        <v>M001</v>
      </c>
      <c r="N393" t="str">
        <f>_xlfn.XLOOKUP(E393,[3]Sheet1!$A$2:$A$391,[3]Sheet1!$A$2:$A$391)</f>
        <v>PO10027</v>
      </c>
    </row>
    <row r="394" spans="1:14" x14ac:dyDescent="0.2">
      <c r="A394" t="s">
        <v>403</v>
      </c>
      <c r="B394" s="2">
        <v>46247</v>
      </c>
      <c r="C394" t="s">
        <v>2941</v>
      </c>
      <c r="D394" t="s">
        <v>2942</v>
      </c>
      <c r="E394" t="s">
        <v>2977</v>
      </c>
      <c r="F394" s="3">
        <v>46247.69242945611</v>
      </c>
      <c r="G394" s="3">
        <v>46247.694016329733</v>
      </c>
      <c r="H394">
        <v>2.29</v>
      </c>
      <c r="I394" t="s">
        <v>3147</v>
      </c>
      <c r="J394" t="s">
        <v>3153</v>
      </c>
      <c r="K394" t="s">
        <v>3172</v>
      </c>
      <c r="L394" t="str">
        <f>_xlfn.XLOOKUP(C394,[1]!Table1[Shift_ID],[1]!Table1[Shift_ID])</f>
        <v>S02</v>
      </c>
      <c r="M394" t="str">
        <f>_xlfn.XLOOKUP(D394,[2]!Table1[Machine_ID],[2]!Table1[Machine_ID])</f>
        <v>M001</v>
      </c>
      <c r="N394" t="str">
        <f>_xlfn.XLOOKUP(E394,[3]Sheet1!$A$2:$A$391,[3]Sheet1!$A$2:$A$391)</f>
        <v>PO10027</v>
      </c>
    </row>
    <row r="395" spans="1:14" x14ac:dyDescent="0.2">
      <c r="A395" t="s">
        <v>404</v>
      </c>
      <c r="B395" s="2">
        <v>46247</v>
      </c>
      <c r="C395" t="s">
        <v>2941</v>
      </c>
      <c r="D395" t="s">
        <v>2942</v>
      </c>
      <c r="E395" t="s">
        <v>2977</v>
      </c>
      <c r="F395" s="3">
        <v>46247.876759580489</v>
      </c>
      <c r="G395" s="3">
        <v>46247.878346454097</v>
      </c>
      <c r="H395">
        <v>2.29</v>
      </c>
      <c r="I395" t="s">
        <v>3147</v>
      </c>
      <c r="J395" t="s">
        <v>3154</v>
      </c>
      <c r="K395" t="s">
        <v>3186</v>
      </c>
      <c r="L395" t="str">
        <f>_xlfn.XLOOKUP(C395,[1]!Table1[Shift_ID],[1]!Table1[Shift_ID])</f>
        <v>S02</v>
      </c>
      <c r="M395" t="str">
        <f>_xlfn.XLOOKUP(D395,[2]!Table1[Machine_ID],[2]!Table1[Machine_ID])</f>
        <v>M001</v>
      </c>
      <c r="N395" t="str">
        <f>_xlfn.XLOOKUP(E395,[3]Sheet1!$A$2:$A$391,[3]Sheet1!$A$2:$A$391)</f>
        <v>PO10027</v>
      </c>
    </row>
    <row r="396" spans="1:14" x14ac:dyDescent="0.2">
      <c r="A396" t="s">
        <v>405</v>
      </c>
      <c r="B396" s="2">
        <v>46247</v>
      </c>
      <c r="C396" t="s">
        <v>2941</v>
      </c>
      <c r="D396" t="s">
        <v>2943</v>
      </c>
      <c r="E396" t="s">
        <v>2977</v>
      </c>
      <c r="F396" s="3">
        <v>46247.623442377568</v>
      </c>
      <c r="G396" s="3">
        <v>46247.625830141282</v>
      </c>
      <c r="H396">
        <v>3.44</v>
      </c>
      <c r="I396" t="s">
        <v>3147</v>
      </c>
      <c r="J396" t="s">
        <v>3154</v>
      </c>
      <c r="K396" t="s">
        <v>3185</v>
      </c>
      <c r="L396" t="str">
        <f>_xlfn.XLOOKUP(C396,[1]!Table1[Shift_ID],[1]!Table1[Shift_ID])</f>
        <v>S02</v>
      </c>
      <c r="M396" t="str">
        <f>_xlfn.XLOOKUP(D396,[2]!Table1[Machine_ID],[2]!Table1[Machine_ID])</f>
        <v>M002</v>
      </c>
      <c r="N396" t="str">
        <f>_xlfn.XLOOKUP(E396,[3]Sheet1!$A$2:$A$391,[3]Sheet1!$A$2:$A$391)</f>
        <v>PO10027</v>
      </c>
    </row>
    <row r="397" spans="1:14" x14ac:dyDescent="0.2">
      <c r="A397" t="s">
        <v>406</v>
      </c>
      <c r="B397" s="2">
        <v>46247</v>
      </c>
      <c r="C397" t="s">
        <v>2941</v>
      </c>
      <c r="D397" t="s">
        <v>2943</v>
      </c>
      <c r="E397" t="s">
        <v>2977</v>
      </c>
      <c r="F397" s="3">
        <v>46247.681704526098</v>
      </c>
      <c r="G397" s="3">
        <v>46247.683376481516</v>
      </c>
      <c r="H397">
        <v>2.41</v>
      </c>
      <c r="I397" t="s">
        <v>3147</v>
      </c>
      <c r="J397" t="s">
        <v>3167</v>
      </c>
      <c r="K397" t="s">
        <v>3172</v>
      </c>
      <c r="L397" t="str">
        <f>_xlfn.XLOOKUP(C397,[1]!Table1[Shift_ID],[1]!Table1[Shift_ID])</f>
        <v>S02</v>
      </c>
      <c r="M397" t="str">
        <f>_xlfn.XLOOKUP(D397,[2]!Table1[Machine_ID],[2]!Table1[Machine_ID])</f>
        <v>M002</v>
      </c>
      <c r="N397" t="str">
        <f>_xlfn.XLOOKUP(E397,[3]Sheet1!$A$2:$A$391,[3]Sheet1!$A$2:$A$391)</f>
        <v>PO10027</v>
      </c>
    </row>
    <row r="398" spans="1:14" x14ac:dyDescent="0.2">
      <c r="A398" t="s">
        <v>407</v>
      </c>
      <c r="B398" s="2">
        <v>46247</v>
      </c>
      <c r="C398" t="s">
        <v>2941</v>
      </c>
      <c r="D398" t="s">
        <v>2943</v>
      </c>
      <c r="E398" t="s">
        <v>2977</v>
      </c>
      <c r="F398" s="3">
        <v>46247.713712484197</v>
      </c>
      <c r="G398" s="3">
        <v>46247.715600650903</v>
      </c>
      <c r="H398">
        <v>2.72</v>
      </c>
      <c r="I398" t="s">
        <v>3148</v>
      </c>
      <c r="J398" t="s">
        <v>3165</v>
      </c>
      <c r="K398" t="s">
        <v>3173</v>
      </c>
      <c r="L398" t="str">
        <f>_xlfn.XLOOKUP(C398,[1]!Table1[Shift_ID],[1]!Table1[Shift_ID])</f>
        <v>S02</v>
      </c>
      <c r="M398" t="str">
        <f>_xlfn.XLOOKUP(D398,[2]!Table1[Machine_ID],[2]!Table1[Machine_ID])</f>
        <v>M002</v>
      </c>
      <c r="N398" t="str">
        <f>_xlfn.XLOOKUP(E398,[3]Sheet1!$A$2:$A$391,[3]Sheet1!$A$2:$A$391)</f>
        <v>PO10027</v>
      </c>
    </row>
    <row r="399" spans="1:14" x14ac:dyDescent="0.2">
      <c r="A399" t="s">
        <v>408</v>
      </c>
      <c r="B399" s="2">
        <v>46247</v>
      </c>
      <c r="C399" t="s">
        <v>2941</v>
      </c>
      <c r="D399" t="s">
        <v>2943</v>
      </c>
      <c r="E399" t="s">
        <v>2977</v>
      </c>
      <c r="F399" s="3">
        <v>46247.729481505339</v>
      </c>
      <c r="G399" s="3">
        <v>46247.731153460751</v>
      </c>
      <c r="H399">
        <v>2.41</v>
      </c>
      <c r="I399" t="s">
        <v>3146</v>
      </c>
      <c r="J399" t="s">
        <v>3157</v>
      </c>
      <c r="K399" t="s">
        <v>3175</v>
      </c>
      <c r="L399" t="str">
        <f>_xlfn.XLOOKUP(C399,[1]!Table1[Shift_ID],[1]!Table1[Shift_ID])</f>
        <v>S02</v>
      </c>
      <c r="M399" t="str">
        <f>_xlfn.XLOOKUP(D399,[2]!Table1[Machine_ID],[2]!Table1[Machine_ID])</f>
        <v>M002</v>
      </c>
      <c r="N399" t="str">
        <f>_xlfn.XLOOKUP(E399,[3]Sheet1!$A$2:$A$391,[3]Sheet1!$A$2:$A$391)</f>
        <v>PO10027</v>
      </c>
    </row>
    <row r="400" spans="1:14" x14ac:dyDescent="0.2">
      <c r="A400" t="s">
        <v>409</v>
      </c>
      <c r="B400" s="2">
        <v>46247</v>
      </c>
      <c r="C400" t="s">
        <v>2941</v>
      </c>
      <c r="D400" t="s">
        <v>2944</v>
      </c>
      <c r="E400" t="s">
        <v>2977</v>
      </c>
      <c r="F400" s="3">
        <v>46247.687777438623</v>
      </c>
      <c r="G400" s="3">
        <v>46247.698774224067</v>
      </c>
      <c r="H400">
        <v>15.84</v>
      </c>
      <c r="I400" t="s">
        <v>3148</v>
      </c>
      <c r="J400" t="s">
        <v>3155</v>
      </c>
      <c r="K400" t="s">
        <v>3173</v>
      </c>
      <c r="L400" t="str">
        <f>_xlfn.XLOOKUP(C400,[1]!Table1[Shift_ID],[1]!Table1[Shift_ID])</f>
        <v>S02</v>
      </c>
      <c r="M400" t="str">
        <f>_xlfn.XLOOKUP(D400,[2]!Table1[Machine_ID],[2]!Table1[Machine_ID])</f>
        <v>M003</v>
      </c>
      <c r="N400" t="str">
        <f>_xlfn.XLOOKUP(E400,[3]Sheet1!$A$2:$A$391,[3]Sheet1!$A$2:$A$391)</f>
        <v>PO10027</v>
      </c>
    </row>
    <row r="401" spans="1:14" x14ac:dyDescent="0.2">
      <c r="A401" t="s">
        <v>410</v>
      </c>
      <c r="B401" s="2">
        <v>46247</v>
      </c>
      <c r="C401" t="s">
        <v>2941</v>
      </c>
      <c r="D401" t="s">
        <v>2945</v>
      </c>
      <c r="E401" t="s">
        <v>2977</v>
      </c>
      <c r="F401" s="3">
        <v>46247.594075717861</v>
      </c>
      <c r="G401" s="3">
        <v>46247.600962317287</v>
      </c>
      <c r="H401">
        <v>9.92</v>
      </c>
      <c r="I401" t="s">
        <v>3146</v>
      </c>
      <c r="J401" t="s">
        <v>3157</v>
      </c>
      <c r="K401" t="s">
        <v>3175</v>
      </c>
      <c r="L401" t="str">
        <f>_xlfn.XLOOKUP(C401,[1]!Table1[Shift_ID],[1]!Table1[Shift_ID])</f>
        <v>S02</v>
      </c>
      <c r="M401" t="str">
        <f>_xlfn.XLOOKUP(D401,[2]!Table1[Machine_ID],[2]!Table1[Machine_ID])</f>
        <v>M004</v>
      </c>
      <c r="N401" t="str">
        <f>_xlfn.XLOOKUP(E401,[3]Sheet1!$A$2:$A$391,[3]Sheet1!$A$2:$A$391)</f>
        <v>PO10027</v>
      </c>
    </row>
    <row r="402" spans="1:14" x14ac:dyDescent="0.2">
      <c r="A402" t="s">
        <v>411</v>
      </c>
      <c r="B402" s="2">
        <v>46247</v>
      </c>
      <c r="C402" t="s">
        <v>2941</v>
      </c>
      <c r="D402" t="s">
        <v>2945</v>
      </c>
      <c r="E402" t="s">
        <v>2977</v>
      </c>
      <c r="F402" s="3">
        <v>46247.650943504967</v>
      </c>
      <c r="G402" s="3">
        <v>46247.653004365777</v>
      </c>
      <c r="H402">
        <v>2.97</v>
      </c>
      <c r="I402" t="s">
        <v>3147</v>
      </c>
      <c r="J402" t="s">
        <v>3154</v>
      </c>
      <c r="K402" t="s">
        <v>3172</v>
      </c>
      <c r="L402" t="str">
        <f>_xlfn.XLOOKUP(C402,[1]!Table1[Shift_ID],[1]!Table1[Shift_ID])</f>
        <v>S02</v>
      </c>
      <c r="M402" t="str">
        <f>_xlfn.XLOOKUP(D402,[2]!Table1[Machine_ID],[2]!Table1[Machine_ID])</f>
        <v>M004</v>
      </c>
      <c r="N402" t="str">
        <f>_xlfn.XLOOKUP(E402,[3]Sheet1!$A$2:$A$391,[3]Sheet1!$A$2:$A$391)</f>
        <v>PO10027</v>
      </c>
    </row>
    <row r="403" spans="1:14" x14ac:dyDescent="0.2">
      <c r="A403" t="s">
        <v>412</v>
      </c>
      <c r="B403" s="2">
        <v>46247</v>
      </c>
      <c r="C403" t="s">
        <v>2941</v>
      </c>
      <c r="D403" t="s">
        <v>2946</v>
      </c>
      <c r="E403" t="s">
        <v>2977</v>
      </c>
      <c r="F403" s="3">
        <v>46247.752153751993</v>
      </c>
      <c r="G403" s="3">
        <v>46247.75629206399</v>
      </c>
      <c r="H403">
        <v>5.96</v>
      </c>
      <c r="I403" t="s">
        <v>3147</v>
      </c>
      <c r="J403" t="s">
        <v>3154</v>
      </c>
      <c r="K403" t="s">
        <v>3172</v>
      </c>
      <c r="L403" t="str">
        <f>_xlfn.XLOOKUP(C403,[1]!Table1[Shift_ID],[1]!Table1[Shift_ID])</f>
        <v>S02</v>
      </c>
      <c r="M403" t="str">
        <f>_xlfn.XLOOKUP(D403,[2]!Table1[Machine_ID],[2]!Table1[Machine_ID])</f>
        <v>M005</v>
      </c>
      <c r="N403" t="str">
        <f>_xlfn.XLOOKUP(E403,[3]Sheet1!$A$2:$A$391,[3]Sheet1!$A$2:$A$391)</f>
        <v>PO10027</v>
      </c>
    </row>
    <row r="404" spans="1:14" x14ac:dyDescent="0.2">
      <c r="A404" t="s">
        <v>413</v>
      </c>
      <c r="B404" s="2">
        <v>46247</v>
      </c>
      <c r="C404" t="s">
        <v>2941</v>
      </c>
      <c r="D404" t="s">
        <v>2946</v>
      </c>
      <c r="E404" t="s">
        <v>2977</v>
      </c>
      <c r="F404" s="3">
        <v>46247.843067915113</v>
      </c>
      <c r="G404" s="3">
        <v>46247.848154554908</v>
      </c>
      <c r="H404">
        <v>7.32</v>
      </c>
      <c r="I404" t="s">
        <v>3150</v>
      </c>
      <c r="J404" t="s">
        <v>3166</v>
      </c>
      <c r="K404" t="s">
        <v>3178</v>
      </c>
      <c r="L404" t="str">
        <f>_xlfn.XLOOKUP(C404,[1]!Table1[Shift_ID],[1]!Table1[Shift_ID])</f>
        <v>S02</v>
      </c>
      <c r="M404" t="str">
        <f>_xlfn.XLOOKUP(D404,[2]!Table1[Machine_ID],[2]!Table1[Machine_ID])</f>
        <v>M005</v>
      </c>
      <c r="N404" t="str">
        <f>_xlfn.XLOOKUP(E404,[3]Sheet1!$A$2:$A$391,[3]Sheet1!$A$2:$A$391)</f>
        <v>PO10027</v>
      </c>
    </row>
    <row r="405" spans="1:14" x14ac:dyDescent="0.2">
      <c r="A405" t="s">
        <v>414</v>
      </c>
      <c r="B405" s="2">
        <v>46247</v>
      </c>
      <c r="C405" t="s">
        <v>2941</v>
      </c>
      <c r="D405" t="s">
        <v>2947</v>
      </c>
      <c r="E405" t="s">
        <v>2977</v>
      </c>
      <c r="F405" s="3">
        <v>46247.645581059747</v>
      </c>
      <c r="G405" s="3">
        <v>46247.650383806948</v>
      </c>
      <c r="H405">
        <v>6.92</v>
      </c>
      <c r="I405" t="s">
        <v>3146</v>
      </c>
      <c r="J405" t="s">
        <v>3152</v>
      </c>
      <c r="K405" t="s">
        <v>3174</v>
      </c>
      <c r="L405" t="str">
        <f>_xlfn.XLOOKUP(C405,[1]!Table1[Shift_ID],[1]!Table1[Shift_ID])</f>
        <v>S02</v>
      </c>
      <c r="M405" t="str">
        <f>_xlfn.XLOOKUP(D405,[2]!Table1[Machine_ID],[2]!Table1[Machine_ID])</f>
        <v>M006</v>
      </c>
      <c r="N405" t="str">
        <f>_xlfn.XLOOKUP(E405,[3]Sheet1!$A$2:$A$391,[3]Sheet1!$A$2:$A$391)</f>
        <v>PO10027</v>
      </c>
    </row>
    <row r="406" spans="1:14" x14ac:dyDescent="0.2">
      <c r="A406" t="s">
        <v>415</v>
      </c>
      <c r="B406" s="2">
        <v>46247</v>
      </c>
      <c r="C406" t="s">
        <v>2941</v>
      </c>
      <c r="D406" t="s">
        <v>2947</v>
      </c>
      <c r="E406" t="s">
        <v>2977</v>
      </c>
      <c r="F406" s="3">
        <v>46247.773116075427</v>
      </c>
      <c r="G406" s="3">
        <v>46247.79841963396</v>
      </c>
      <c r="H406">
        <v>36.44</v>
      </c>
      <c r="I406" t="s">
        <v>3150</v>
      </c>
      <c r="J406" t="s">
        <v>3160</v>
      </c>
      <c r="K406" t="s">
        <v>3178</v>
      </c>
      <c r="L406" t="str">
        <f>_xlfn.XLOOKUP(C406,[1]!Table1[Shift_ID],[1]!Table1[Shift_ID])</f>
        <v>S02</v>
      </c>
      <c r="M406" t="str">
        <f>_xlfn.XLOOKUP(D406,[2]!Table1[Machine_ID],[2]!Table1[Machine_ID])</f>
        <v>M006</v>
      </c>
      <c r="N406" t="str">
        <f>_xlfn.XLOOKUP(E406,[3]Sheet1!$A$2:$A$391,[3]Sheet1!$A$2:$A$391)</f>
        <v>PO10027</v>
      </c>
    </row>
    <row r="407" spans="1:14" x14ac:dyDescent="0.2">
      <c r="A407" t="s">
        <v>416</v>
      </c>
      <c r="B407" s="2">
        <v>46247</v>
      </c>
      <c r="C407" t="s">
        <v>2941</v>
      </c>
      <c r="D407" t="s">
        <v>2948</v>
      </c>
      <c r="E407" t="s">
        <v>2977</v>
      </c>
      <c r="F407" s="3">
        <v>46247.677259557357</v>
      </c>
      <c r="G407" s="3">
        <v>46247.69421110957</v>
      </c>
      <c r="H407">
        <v>24.41</v>
      </c>
      <c r="I407" t="s">
        <v>3150</v>
      </c>
      <c r="J407" t="s">
        <v>3163</v>
      </c>
      <c r="K407" t="s">
        <v>3177</v>
      </c>
      <c r="L407" t="str">
        <f>_xlfn.XLOOKUP(C407,[1]!Table1[Shift_ID],[1]!Table1[Shift_ID])</f>
        <v>S02</v>
      </c>
      <c r="M407" t="str">
        <f>_xlfn.XLOOKUP(D407,[2]!Table1[Machine_ID],[2]!Table1[Machine_ID])</f>
        <v>M007</v>
      </c>
      <c r="N407" t="str">
        <f>_xlfn.XLOOKUP(E407,[3]Sheet1!$A$2:$A$391,[3]Sheet1!$A$2:$A$391)</f>
        <v>PO10027</v>
      </c>
    </row>
    <row r="408" spans="1:14" x14ac:dyDescent="0.2">
      <c r="A408" t="s">
        <v>417</v>
      </c>
      <c r="B408" s="2">
        <v>46247</v>
      </c>
      <c r="C408" t="s">
        <v>2941</v>
      </c>
      <c r="D408" t="s">
        <v>2949</v>
      </c>
      <c r="E408" t="s">
        <v>2977</v>
      </c>
      <c r="F408" s="3">
        <v>46247.79632211494</v>
      </c>
      <c r="G408" s="3">
        <v>46247.803454726461</v>
      </c>
      <c r="H408">
        <v>10.27</v>
      </c>
      <c r="I408" t="s">
        <v>3148</v>
      </c>
      <c r="J408" t="s">
        <v>3155</v>
      </c>
      <c r="K408" t="s">
        <v>3173</v>
      </c>
      <c r="L408" t="str">
        <f>_xlfn.XLOOKUP(C408,[1]!Table1[Shift_ID],[1]!Table1[Shift_ID])</f>
        <v>S02</v>
      </c>
      <c r="M408" t="str">
        <f>_xlfn.XLOOKUP(D408,[2]!Table1[Machine_ID],[2]!Table1[Machine_ID])</f>
        <v>M008</v>
      </c>
      <c r="N408" t="str">
        <f>_xlfn.XLOOKUP(E408,[3]Sheet1!$A$2:$A$391,[3]Sheet1!$A$2:$A$391)</f>
        <v>PO10027</v>
      </c>
    </row>
    <row r="409" spans="1:14" x14ac:dyDescent="0.2">
      <c r="A409" t="s">
        <v>418</v>
      </c>
      <c r="B409" s="2">
        <v>46248</v>
      </c>
      <c r="C409" t="s">
        <v>2939</v>
      </c>
      <c r="D409" t="s">
        <v>2942</v>
      </c>
      <c r="E409" t="s">
        <v>2978</v>
      </c>
      <c r="F409" s="3">
        <v>46249.229051680777</v>
      </c>
      <c r="G409" s="3">
        <v>46249.233849272488</v>
      </c>
      <c r="H409">
        <v>6.91</v>
      </c>
      <c r="I409" t="s">
        <v>3150</v>
      </c>
      <c r="J409" t="s">
        <v>3159</v>
      </c>
      <c r="K409" t="s">
        <v>3178</v>
      </c>
      <c r="L409" t="str">
        <f>_xlfn.XLOOKUP(C409,[1]!Table1[Shift_ID],[1]!Table1[Shift_ID])</f>
        <v>S03</v>
      </c>
      <c r="M409" t="str">
        <f>_xlfn.XLOOKUP(D409,[2]!Table1[Machine_ID],[2]!Table1[Machine_ID])</f>
        <v>M001</v>
      </c>
      <c r="N409" t="str">
        <f>_xlfn.XLOOKUP(E409,[3]Sheet1!$A$2:$A$391,[3]Sheet1!$A$2:$A$391)</f>
        <v>PO10028</v>
      </c>
    </row>
    <row r="410" spans="1:14" x14ac:dyDescent="0.2">
      <c r="A410" t="s">
        <v>419</v>
      </c>
      <c r="B410" s="2">
        <v>46248</v>
      </c>
      <c r="C410" t="s">
        <v>2939</v>
      </c>
      <c r="D410" t="s">
        <v>2943</v>
      </c>
      <c r="E410" t="s">
        <v>2978</v>
      </c>
      <c r="F410" s="3">
        <v>46248.927806889616</v>
      </c>
      <c r="G410" s="3">
        <v>46248.937615773757</v>
      </c>
      <c r="H410">
        <v>14.12</v>
      </c>
      <c r="I410" t="s">
        <v>3151</v>
      </c>
      <c r="J410" t="s">
        <v>3169</v>
      </c>
      <c r="K410" t="s">
        <v>3188</v>
      </c>
      <c r="L410" t="str">
        <f>_xlfn.XLOOKUP(C410,[1]!Table1[Shift_ID],[1]!Table1[Shift_ID])</f>
        <v>S03</v>
      </c>
      <c r="M410" t="str">
        <f>_xlfn.XLOOKUP(D410,[2]!Table1[Machine_ID],[2]!Table1[Machine_ID])</f>
        <v>M002</v>
      </c>
      <c r="N410" t="str">
        <f>_xlfn.XLOOKUP(E410,[3]Sheet1!$A$2:$A$391,[3]Sheet1!$A$2:$A$391)</f>
        <v>PO10028</v>
      </c>
    </row>
    <row r="411" spans="1:14" x14ac:dyDescent="0.2">
      <c r="A411" t="s">
        <v>420</v>
      </c>
      <c r="B411" s="2">
        <v>46248</v>
      </c>
      <c r="C411" t="s">
        <v>2939</v>
      </c>
      <c r="D411" t="s">
        <v>2944</v>
      </c>
      <c r="E411" t="s">
        <v>2978</v>
      </c>
      <c r="F411" s="3">
        <v>46248.929477488513</v>
      </c>
      <c r="G411" s="3">
        <v>46248.933945366298</v>
      </c>
      <c r="H411">
        <v>6.43</v>
      </c>
      <c r="I411" t="s">
        <v>3150</v>
      </c>
      <c r="J411" t="s">
        <v>3160</v>
      </c>
      <c r="K411" t="s">
        <v>3179</v>
      </c>
      <c r="L411" t="str">
        <f>_xlfn.XLOOKUP(C411,[1]!Table1[Shift_ID],[1]!Table1[Shift_ID])</f>
        <v>S03</v>
      </c>
      <c r="M411" t="str">
        <f>_xlfn.XLOOKUP(D411,[2]!Table1[Machine_ID],[2]!Table1[Machine_ID])</f>
        <v>M003</v>
      </c>
      <c r="N411" t="str">
        <f>_xlfn.XLOOKUP(E411,[3]Sheet1!$A$2:$A$391,[3]Sheet1!$A$2:$A$391)</f>
        <v>PO10028</v>
      </c>
    </row>
    <row r="412" spans="1:14" x14ac:dyDescent="0.2">
      <c r="A412" t="s">
        <v>421</v>
      </c>
      <c r="B412" s="2">
        <v>46248</v>
      </c>
      <c r="C412" t="s">
        <v>2939</v>
      </c>
      <c r="D412" t="s">
        <v>2944</v>
      </c>
      <c r="E412" t="s">
        <v>2978</v>
      </c>
      <c r="F412" s="3">
        <v>46249.016393116173</v>
      </c>
      <c r="G412" s="3">
        <v>46249.018229348621</v>
      </c>
      <c r="H412">
        <v>2.64</v>
      </c>
      <c r="I412" t="s">
        <v>3148</v>
      </c>
      <c r="J412" t="s">
        <v>3165</v>
      </c>
      <c r="K412" t="s">
        <v>3173</v>
      </c>
      <c r="L412" t="str">
        <f>_xlfn.XLOOKUP(C412,[1]!Table1[Shift_ID],[1]!Table1[Shift_ID])</f>
        <v>S03</v>
      </c>
      <c r="M412" t="str">
        <f>_xlfn.XLOOKUP(D412,[2]!Table1[Machine_ID],[2]!Table1[Machine_ID])</f>
        <v>M003</v>
      </c>
      <c r="N412" t="str">
        <f>_xlfn.XLOOKUP(E412,[3]Sheet1!$A$2:$A$391,[3]Sheet1!$A$2:$A$391)</f>
        <v>PO10028</v>
      </c>
    </row>
    <row r="413" spans="1:14" x14ac:dyDescent="0.2">
      <c r="A413" t="s">
        <v>422</v>
      </c>
      <c r="B413" s="2">
        <v>46248</v>
      </c>
      <c r="C413" t="s">
        <v>2939</v>
      </c>
      <c r="D413" t="s">
        <v>2944</v>
      </c>
      <c r="E413" t="s">
        <v>2978</v>
      </c>
      <c r="F413" s="3">
        <v>46249.040736277952</v>
      </c>
      <c r="G413" s="3">
        <v>46249.043414837179</v>
      </c>
      <c r="H413">
        <v>3.86</v>
      </c>
      <c r="I413" t="s">
        <v>3150</v>
      </c>
      <c r="J413" t="s">
        <v>3166</v>
      </c>
      <c r="K413" t="s">
        <v>3178</v>
      </c>
      <c r="L413" t="str">
        <f>_xlfn.XLOOKUP(C413,[1]!Table1[Shift_ID],[1]!Table1[Shift_ID])</f>
        <v>S03</v>
      </c>
      <c r="M413" t="str">
        <f>_xlfn.XLOOKUP(D413,[2]!Table1[Machine_ID],[2]!Table1[Machine_ID])</f>
        <v>M003</v>
      </c>
      <c r="N413" t="str">
        <f>_xlfn.XLOOKUP(E413,[3]Sheet1!$A$2:$A$391,[3]Sheet1!$A$2:$A$391)</f>
        <v>PO10028</v>
      </c>
    </row>
    <row r="414" spans="1:14" x14ac:dyDescent="0.2">
      <c r="A414" t="s">
        <v>423</v>
      </c>
      <c r="B414" s="2">
        <v>46248</v>
      </c>
      <c r="C414" t="s">
        <v>2939</v>
      </c>
      <c r="D414" t="s">
        <v>2945</v>
      </c>
      <c r="E414" t="s">
        <v>2978</v>
      </c>
      <c r="F414" s="3">
        <v>46249.179795066528</v>
      </c>
      <c r="G414" s="3">
        <v>46249.187119426402</v>
      </c>
      <c r="H414">
        <v>10.55</v>
      </c>
      <c r="I414" t="s">
        <v>3151</v>
      </c>
      <c r="J414" t="s">
        <v>3169</v>
      </c>
      <c r="K414" t="s">
        <v>3181</v>
      </c>
      <c r="L414" t="str">
        <f>_xlfn.XLOOKUP(C414,[1]!Table1[Shift_ID],[1]!Table1[Shift_ID])</f>
        <v>S03</v>
      </c>
      <c r="M414" t="str">
        <f>_xlfn.XLOOKUP(D414,[2]!Table1[Machine_ID],[2]!Table1[Machine_ID])</f>
        <v>M004</v>
      </c>
      <c r="N414" t="str">
        <f>_xlfn.XLOOKUP(E414,[3]Sheet1!$A$2:$A$391,[3]Sheet1!$A$2:$A$391)</f>
        <v>PO10028</v>
      </c>
    </row>
    <row r="415" spans="1:14" x14ac:dyDescent="0.2">
      <c r="A415" t="s">
        <v>424</v>
      </c>
      <c r="B415" s="2">
        <v>46248</v>
      </c>
      <c r="C415" t="s">
        <v>2939</v>
      </c>
      <c r="D415" t="s">
        <v>2946</v>
      </c>
      <c r="E415" t="s">
        <v>2978</v>
      </c>
      <c r="F415" s="3">
        <v>46248.978789194851</v>
      </c>
      <c r="G415" s="3">
        <v>46248.987395359552</v>
      </c>
      <c r="H415">
        <v>12.39</v>
      </c>
      <c r="I415" t="s">
        <v>3150</v>
      </c>
      <c r="J415" t="s">
        <v>3163</v>
      </c>
      <c r="K415" t="s">
        <v>3177</v>
      </c>
      <c r="L415" t="str">
        <f>_xlfn.XLOOKUP(C415,[1]!Table1[Shift_ID],[1]!Table1[Shift_ID])</f>
        <v>S03</v>
      </c>
      <c r="M415" t="str">
        <f>_xlfn.XLOOKUP(D415,[2]!Table1[Machine_ID],[2]!Table1[Machine_ID])</f>
        <v>M005</v>
      </c>
      <c r="N415" t="str">
        <f>_xlfn.XLOOKUP(E415,[3]Sheet1!$A$2:$A$391,[3]Sheet1!$A$2:$A$391)</f>
        <v>PO10028</v>
      </c>
    </row>
    <row r="416" spans="1:14" x14ac:dyDescent="0.2">
      <c r="A416" t="s">
        <v>425</v>
      </c>
      <c r="B416" s="2">
        <v>46248</v>
      </c>
      <c r="C416" t="s">
        <v>2939</v>
      </c>
      <c r="D416" t="s">
        <v>2947</v>
      </c>
      <c r="E416" t="s">
        <v>2978</v>
      </c>
      <c r="F416" s="3">
        <v>46249.190555597721</v>
      </c>
      <c r="G416" s="3">
        <v>46249.213383893541</v>
      </c>
      <c r="H416">
        <v>32.869999999999997</v>
      </c>
      <c r="I416" t="s">
        <v>3147</v>
      </c>
      <c r="J416" t="s">
        <v>3153</v>
      </c>
      <c r="K416" t="s">
        <v>3185</v>
      </c>
      <c r="L416" t="str">
        <f>_xlfn.XLOOKUP(C416,[1]!Table1[Shift_ID],[1]!Table1[Shift_ID])</f>
        <v>S03</v>
      </c>
      <c r="M416" t="str">
        <f>_xlfn.XLOOKUP(D416,[2]!Table1[Machine_ID],[2]!Table1[Machine_ID])</f>
        <v>M006</v>
      </c>
      <c r="N416" t="str">
        <f>_xlfn.XLOOKUP(E416,[3]Sheet1!$A$2:$A$391,[3]Sheet1!$A$2:$A$391)</f>
        <v>PO10028</v>
      </c>
    </row>
    <row r="417" spans="1:14" x14ac:dyDescent="0.2">
      <c r="A417" t="s">
        <v>426</v>
      </c>
      <c r="B417" s="2">
        <v>46248</v>
      </c>
      <c r="C417" t="s">
        <v>2939</v>
      </c>
      <c r="D417" t="s">
        <v>2948</v>
      </c>
      <c r="E417" t="s">
        <v>2978</v>
      </c>
      <c r="F417" s="3">
        <v>46249.05641989236</v>
      </c>
      <c r="G417" s="3">
        <v>46249.069279100142</v>
      </c>
      <c r="H417">
        <v>18.52</v>
      </c>
      <c r="I417" t="s">
        <v>3146</v>
      </c>
      <c r="J417" t="s">
        <v>3157</v>
      </c>
      <c r="K417" t="s">
        <v>3175</v>
      </c>
      <c r="L417" t="str">
        <f>_xlfn.XLOOKUP(C417,[1]!Table1[Shift_ID],[1]!Table1[Shift_ID])</f>
        <v>S03</v>
      </c>
      <c r="M417" t="str">
        <f>_xlfn.XLOOKUP(D417,[2]!Table1[Machine_ID],[2]!Table1[Machine_ID])</f>
        <v>M007</v>
      </c>
      <c r="N417" t="str">
        <f>_xlfn.XLOOKUP(E417,[3]Sheet1!$A$2:$A$391,[3]Sheet1!$A$2:$A$391)</f>
        <v>PO10028</v>
      </c>
    </row>
    <row r="418" spans="1:14" x14ac:dyDescent="0.2">
      <c r="A418" t="s">
        <v>427</v>
      </c>
      <c r="B418" s="2">
        <v>46248</v>
      </c>
      <c r="C418" t="s">
        <v>2939</v>
      </c>
      <c r="D418" t="s">
        <v>2949</v>
      </c>
      <c r="E418" t="s">
        <v>2978</v>
      </c>
      <c r="F418" s="3">
        <v>46249.17463033586</v>
      </c>
      <c r="G418" s="3">
        <v>46249.179920644558</v>
      </c>
      <c r="H418">
        <v>7.62</v>
      </c>
      <c r="I418" t="s">
        <v>3146</v>
      </c>
      <c r="J418" t="s">
        <v>3157</v>
      </c>
      <c r="K418" t="s">
        <v>3174</v>
      </c>
      <c r="L418" t="str">
        <f>_xlfn.XLOOKUP(C418,[1]!Table1[Shift_ID],[1]!Table1[Shift_ID])</f>
        <v>S03</v>
      </c>
      <c r="M418" t="str">
        <f>_xlfn.XLOOKUP(D418,[2]!Table1[Machine_ID],[2]!Table1[Machine_ID])</f>
        <v>M008</v>
      </c>
      <c r="N418" t="str">
        <f>_xlfn.XLOOKUP(E418,[3]Sheet1!$A$2:$A$391,[3]Sheet1!$A$2:$A$391)</f>
        <v>PO10028</v>
      </c>
    </row>
    <row r="419" spans="1:14" x14ac:dyDescent="0.2">
      <c r="A419" t="s">
        <v>428</v>
      </c>
      <c r="B419" s="2">
        <v>46248</v>
      </c>
      <c r="C419" t="s">
        <v>2940</v>
      </c>
      <c r="D419" t="s">
        <v>2942</v>
      </c>
      <c r="E419" t="s">
        <v>2979</v>
      </c>
      <c r="F419" s="3">
        <v>46248.360897439539</v>
      </c>
      <c r="G419" s="3">
        <v>46248.365356766582</v>
      </c>
      <c r="H419">
        <v>6.42</v>
      </c>
      <c r="I419" t="s">
        <v>3151</v>
      </c>
      <c r="J419" t="s">
        <v>3161</v>
      </c>
      <c r="K419" t="s">
        <v>3187</v>
      </c>
      <c r="L419" t="str">
        <f>_xlfn.XLOOKUP(C419,[1]!Table1[Shift_ID],[1]!Table1[Shift_ID])</f>
        <v>S01</v>
      </c>
      <c r="M419" t="str">
        <f>_xlfn.XLOOKUP(D419,[2]!Table1[Machine_ID],[2]!Table1[Machine_ID])</f>
        <v>M001</v>
      </c>
      <c r="N419" t="str">
        <f>_xlfn.XLOOKUP(E419,[3]Sheet1!$A$2:$A$391,[3]Sheet1!$A$2:$A$391)</f>
        <v>PO10029</v>
      </c>
    </row>
    <row r="420" spans="1:14" x14ac:dyDescent="0.2">
      <c r="A420" t="s">
        <v>429</v>
      </c>
      <c r="B420" s="2">
        <v>46248</v>
      </c>
      <c r="C420" t="s">
        <v>2940</v>
      </c>
      <c r="D420" t="s">
        <v>2943</v>
      </c>
      <c r="E420" t="s">
        <v>2979</v>
      </c>
      <c r="F420" s="3">
        <v>46248.343428678229</v>
      </c>
      <c r="G420" s="3">
        <v>46248.350025754407</v>
      </c>
      <c r="H420">
        <v>9.5</v>
      </c>
      <c r="I420" t="s">
        <v>3151</v>
      </c>
      <c r="J420" t="s">
        <v>3161</v>
      </c>
      <c r="K420" t="s">
        <v>3187</v>
      </c>
      <c r="L420" t="str">
        <f>_xlfn.XLOOKUP(C420,[1]!Table1[Shift_ID],[1]!Table1[Shift_ID])</f>
        <v>S01</v>
      </c>
      <c r="M420" t="str">
        <f>_xlfn.XLOOKUP(D420,[2]!Table1[Machine_ID],[2]!Table1[Machine_ID])</f>
        <v>M002</v>
      </c>
      <c r="N420" t="str">
        <f>_xlfn.XLOOKUP(E420,[3]Sheet1!$A$2:$A$391,[3]Sheet1!$A$2:$A$391)</f>
        <v>PO10029</v>
      </c>
    </row>
    <row r="421" spans="1:14" x14ac:dyDescent="0.2">
      <c r="A421" t="s">
        <v>430</v>
      </c>
      <c r="B421" s="2">
        <v>46248</v>
      </c>
      <c r="C421" t="s">
        <v>2940</v>
      </c>
      <c r="D421" t="s">
        <v>2944</v>
      </c>
      <c r="E421" t="s">
        <v>2979</v>
      </c>
      <c r="F421" s="3">
        <v>46248.385599666522</v>
      </c>
      <c r="G421" s="3">
        <v>46248.392600773681</v>
      </c>
      <c r="H421">
        <v>10.08</v>
      </c>
      <c r="I421" t="s">
        <v>3149</v>
      </c>
      <c r="J421" t="s">
        <v>3168</v>
      </c>
      <c r="K421" t="s">
        <v>3182</v>
      </c>
      <c r="L421" t="str">
        <f>_xlfn.XLOOKUP(C421,[1]!Table1[Shift_ID],[1]!Table1[Shift_ID])</f>
        <v>S01</v>
      </c>
      <c r="M421" t="str">
        <f>_xlfn.XLOOKUP(D421,[2]!Table1[Machine_ID],[2]!Table1[Machine_ID])</f>
        <v>M003</v>
      </c>
      <c r="N421" t="str">
        <f>_xlfn.XLOOKUP(E421,[3]Sheet1!$A$2:$A$391,[3]Sheet1!$A$2:$A$391)</f>
        <v>PO10029</v>
      </c>
    </row>
    <row r="422" spans="1:14" x14ac:dyDescent="0.2">
      <c r="A422" t="s">
        <v>431</v>
      </c>
      <c r="B422" s="2">
        <v>46248</v>
      </c>
      <c r="C422" t="s">
        <v>2940</v>
      </c>
      <c r="D422" t="s">
        <v>2944</v>
      </c>
      <c r="E422" t="s">
        <v>2979</v>
      </c>
      <c r="F422" s="3">
        <v>46248.443614176482</v>
      </c>
      <c r="G422" s="3">
        <v>46248.445489247868</v>
      </c>
      <c r="H422">
        <v>2.7</v>
      </c>
      <c r="I422" t="s">
        <v>3147</v>
      </c>
      <c r="J422" t="s">
        <v>3153</v>
      </c>
      <c r="K422" t="s">
        <v>3172</v>
      </c>
      <c r="L422" t="str">
        <f>_xlfn.XLOOKUP(C422,[1]!Table1[Shift_ID],[1]!Table1[Shift_ID])</f>
        <v>S01</v>
      </c>
      <c r="M422" t="str">
        <f>_xlfn.XLOOKUP(D422,[2]!Table1[Machine_ID],[2]!Table1[Machine_ID])</f>
        <v>M003</v>
      </c>
      <c r="N422" t="str">
        <f>_xlfn.XLOOKUP(E422,[3]Sheet1!$A$2:$A$391,[3]Sheet1!$A$2:$A$391)</f>
        <v>PO10029</v>
      </c>
    </row>
    <row r="423" spans="1:14" x14ac:dyDescent="0.2">
      <c r="A423" t="s">
        <v>432</v>
      </c>
      <c r="B423" s="2">
        <v>46248</v>
      </c>
      <c r="C423" t="s">
        <v>2940</v>
      </c>
      <c r="D423" t="s">
        <v>2944</v>
      </c>
      <c r="E423" t="s">
        <v>2979</v>
      </c>
      <c r="F423" s="3">
        <v>46248.525406380599</v>
      </c>
      <c r="G423" s="3">
        <v>46248.527281451999</v>
      </c>
      <c r="H423">
        <v>2.7</v>
      </c>
      <c r="I423" t="s">
        <v>3148</v>
      </c>
      <c r="J423" t="s">
        <v>3164</v>
      </c>
      <c r="K423" t="s">
        <v>3173</v>
      </c>
      <c r="L423" t="str">
        <f>_xlfn.XLOOKUP(C423,[1]!Table1[Shift_ID],[1]!Table1[Shift_ID])</f>
        <v>S01</v>
      </c>
      <c r="M423" t="str">
        <f>_xlfn.XLOOKUP(D423,[2]!Table1[Machine_ID],[2]!Table1[Machine_ID])</f>
        <v>M003</v>
      </c>
      <c r="N423" t="str">
        <f>_xlfn.XLOOKUP(E423,[3]Sheet1!$A$2:$A$391,[3]Sheet1!$A$2:$A$391)</f>
        <v>PO10029</v>
      </c>
    </row>
    <row r="424" spans="1:14" x14ac:dyDescent="0.2">
      <c r="A424" t="s">
        <v>433</v>
      </c>
      <c r="B424" s="2">
        <v>46248</v>
      </c>
      <c r="C424" t="s">
        <v>2940</v>
      </c>
      <c r="D424" t="s">
        <v>2945</v>
      </c>
      <c r="E424" t="s">
        <v>2979</v>
      </c>
      <c r="F424" s="3">
        <v>46248.268074467473</v>
      </c>
      <c r="G424" s="3">
        <v>46248.275179943819</v>
      </c>
      <c r="H424">
        <v>10.23</v>
      </c>
      <c r="I424" t="s">
        <v>3149</v>
      </c>
      <c r="J424" t="s">
        <v>3168</v>
      </c>
      <c r="K424" t="s">
        <v>3182</v>
      </c>
      <c r="L424" t="str">
        <f>_xlfn.XLOOKUP(C424,[1]!Table1[Shift_ID],[1]!Table1[Shift_ID])</f>
        <v>S01</v>
      </c>
      <c r="M424" t="str">
        <f>_xlfn.XLOOKUP(D424,[2]!Table1[Machine_ID],[2]!Table1[Machine_ID])</f>
        <v>M004</v>
      </c>
      <c r="N424" t="str">
        <f>_xlfn.XLOOKUP(E424,[3]Sheet1!$A$2:$A$391,[3]Sheet1!$A$2:$A$391)</f>
        <v>PO10029</v>
      </c>
    </row>
    <row r="425" spans="1:14" x14ac:dyDescent="0.2">
      <c r="A425" t="s">
        <v>434</v>
      </c>
      <c r="B425" s="2">
        <v>46248</v>
      </c>
      <c r="C425" t="s">
        <v>2940</v>
      </c>
      <c r="D425" t="s">
        <v>2946</v>
      </c>
      <c r="E425" t="s">
        <v>2979</v>
      </c>
      <c r="F425" s="3">
        <v>46248.279535367699</v>
      </c>
      <c r="G425" s="3">
        <v>46248.286372917573</v>
      </c>
      <c r="H425">
        <v>9.85</v>
      </c>
      <c r="I425" t="s">
        <v>3148</v>
      </c>
      <c r="J425" t="s">
        <v>3165</v>
      </c>
      <c r="K425" t="s">
        <v>3173</v>
      </c>
      <c r="L425" t="str">
        <f>_xlfn.XLOOKUP(C425,[1]!Table1[Shift_ID],[1]!Table1[Shift_ID])</f>
        <v>S01</v>
      </c>
      <c r="M425" t="str">
        <f>_xlfn.XLOOKUP(D425,[2]!Table1[Machine_ID],[2]!Table1[Machine_ID])</f>
        <v>M005</v>
      </c>
      <c r="N425" t="str">
        <f>_xlfn.XLOOKUP(E425,[3]Sheet1!$A$2:$A$391,[3]Sheet1!$A$2:$A$391)</f>
        <v>PO10029</v>
      </c>
    </row>
    <row r="426" spans="1:14" x14ac:dyDescent="0.2">
      <c r="A426" t="s">
        <v>435</v>
      </c>
      <c r="B426" s="2">
        <v>46248</v>
      </c>
      <c r="C426" t="s">
        <v>2940</v>
      </c>
      <c r="D426" t="s">
        <v>2947</v>
      </c>
      <c r="E426" t="s">
        <v>2979</v>
      </c>
      <c r="F426" s="3">
        <v>46248.480153945296</v>
      </c>
      <c r="G426" s="3">
        <v>46248.50278455759</v>
      </c>
      <c r="H426">
        <v>32.590000000000003</v>
      </c>
      <c r="I426" t="s">
        <v>3147</v>
      </c>
      <c r="J426" t="s">
        <v>3154</v>
      </c>
      <c r="K426" t="s">
        <v>3186</v>
      </c>
      <c r="L426" t="str">
        <f>_xlfn.XLOOKUP(C426,[1]!Table1[Shift_ID],[1]!Table1[Shift_ID])</f>
        <v>S01</v>
      </c>
      <c r="M426" t="str">
        <f>_xlfn.XLOOKUP(D426,[2]!Table1[Machine_ID],[2]!Table1[Machine_ID])</f>
        <v>M006</v>
      </c>
      <c r="N426" t="str">
        <f>_xlfn.XLOOKUP(E426,[3]Sheet1!$A$2:$A$391,[3]Sheet1!$A$2:$A$391)</f>
        <v>PO10029</v>
      </c>
    </row>
    <row r="427" spans="1:14" x14ac:dyDescent="0.2">
      <c r="A427" t="s">
        <v>436</v>
      </c>
      <c r="B427" s="2">
        <v>46248</v>
      </c>
      <c r="C427" t="s">
        <v>2940</v>
      </c>
      <c r="D427" t="s">
        <v>2948</v>
      </c>
      <c r="E427" t="s">
        <v>2979</v>
      </c>
      <c r="F427" s="3">
        <v>46248.342635933979</v>
      </c>
      <c r="G427" s="3">
        <v>46248.344503436609</v>
      </c>
      <c r="H427">
        <v>2.69</v>
      </c>
      <c r="I427" t="s">
        <v>3149</v>
      </c>
      <c r="J427" t="s">
        <v>3168</v>
      </c>
      <c r="K427" t="s">
        <v>3176</v>
      </c>
      <c r="L427" t="str">
        <f>_xlfn.XLOOKUP(C427,[1]!Table1[Shift_ID],[1]!Table1[Shift_ID])</f>
        <v>S01</v>
      </c>
      <c r="M427" t="str">
        <f>_xlfn.XLOOKUP(D427,[2]!Table1[Machine_ID],[2]!Table1[Machine_ID])</f>
        <v>M007</v>
      </c>
      <c r="N427" t="str">
        <f>_xlfn.XLOOKUP(E427,[3]Sheet1!$A$2:$A$391,[3]Sheet1!$A$2:$A$391)</f>
        <v>PO10029</v>
      </c>
    </row>
    <row r="428" spans="1:14" x14ac:dyDescent="0.2">
      <c r="A428" t="s">
        <v>437</v>
      </c>
      <c r="B428" s="2">
        <v>46248</v>
      </c>
      <c r="C428" t="s">
        <v>2940</v>
      </c>
      <c r="D428" t="s">
        <v>2948</v>
      </c>
      <c r="E428" t="s">
        <v>2979</v>
      </c>
      <c r="F428" s="3">
        <v>46248.499872518019</v>
      </c>
      <c r="G428" s="3">
        <v>46248.507936534414</v>
      </c>
      <c r="H428">
        <v>11.61</v>
      </c>
      <c r="I428" t="s">
        <v>3147</v>
      </c>
      <c r="J428" t="s">
        <v>3154</v>
      </c>
      <c r="K428" t="s">
        <v>3172</v>
      </c>
      <c r="L428" t="str">
        <f>_xlfn.XLOOKUP(C428,[1]!Table1[Shift_ID],[1]!Table1[Shift_ID])</f>
        <v>S01</v>
      </c>
      <c r="M428" t="str">
        <f>_xlfn.XLOOKUP(D428,[2]!Table1[Machine_ID],[2]!Table1[Machine_ID])</f>
        <v>M007</v>
      </c>
      <c r="N428" t="str">
        <f>_xlfn.XLOOKUP(E428,[3]Sheet1!$A$2:$A$391,[3]Sheet1!$A$2:$A$391)</f>
        <v>PO10029</v>
      </c>
    </row>
    <row r="429" spans="1:14" x14ac:dyDescent="0.2">
      <c r="A429" t="s">
        <v>438</v>
      </c>
      <c r="B429" s="2">
        <v>46248</v>
      </c>
      <c r="C429" t="s">
        <v>2940</v>
      </c>
      <c r="D429" t="s">
        <v>2949</v>
      </c>
      <c r="E429" t="s">
        <v>2979</v>
      </c>
      <c r="F429" s="3">
        <v>46248.491934765058</v>
      </c>
      <c r="G429" s="3">
        <v>46248.498315585734</v>
      </c>
      <c r="H429">
        <v>9.19</v>
      </c>
      <c r="I429" t="s">
        <v>3146</v>
      </c>
      <c r="J429" t="s">
        <v>3156</v>
      </c>
      <c r="K429" t="s">
        <v>3174</v>
      </c>
      <c r="L429" t="str">
        <f>_xlfn.XLOOKUP(C429,[1]!Table1[Shift_ID],[1]!Table1[Shift_ID])</f>
        <v>S01</v>
      </c>
      <c r="M429" t="str">
        <f>_xlfn.XLOOKUP(D429,[2]!Table1[Machine_ID],[2]!Table1[Machine_ID])</f>
        <v>M008</v>
      </c>
      <c r="N429" t="str">
        <f>_xlfn.XLOOKUP(E429,[3]Sheet1!$A$2:$A$391,[3]Sheet1!$A$2:$A$391)</f>
        <v>PO10029</v>
      </c>
    </row>
    <row r="430" spans="1:14" x14ac:dyDescent="0.2">
      <c r="A430" t="s">
        <v>439</v>
      </c>
      <c r="B430" s="2">
        <v>46248</v>
      </c>
      <c r="C430" t="s">
        <v>2941</v>
      </c>
      <c r="D430" t="s">
        <v>2942</v>
      </c>
      <c r="E430" t="s">
        <v>2980</v>
      </c>
      <c r="F430" s="3">
        <v>46248.81472849955</v>
      </c>
      <c r="G430" s="3">
        <v>46248.819495777963</v>
      </c>
      <c r="H430">
        <v>6.86</v>
      </c>
      <c r="I430" t="s">
        <v>3149</v>
      </c>
      <c r="J430" t="s">
        <v>3168</v>
      </c>
      <c r="K430" t="s">
        <v>3184</v>
      </c>
      <c r="L430" t="str">
        <f>_xlfn.XLOOKUP(C430,[1]!Table1[Shift_ID],[1]!Table1[Shift_ID])</f>
        <v>S02</v>
      </c>
      <c r="M430" t="str">
        <f>_xlfn.XLOOKUP(D430,[2]!Table1[Machine_ID],[2]!Table1[Machine_ID])</f>
        <v>M001</v>
      </c>
      <c r="N430" t="str">
        <f>_xlfn.XLOOKUP(E430,[3]Sheet1!$A$2:$A$391,[3]Sheet1!$A$2:$A$391)</f>
        <v>PO10030</v>
      </c>
    </row>
    <row r="431" spans="1:14" x14ac:dyDescent="0.2">
      <c r="A431" t="s">
        <v>440</v>
      </c>
      <c r="B431" s="2">
        <v>46248</v>
      </c>
      <c r="C431" t="s">
        <v>2941</v>
      </c>
      <c r="D431" t="s">
        <v>2943</v>
      </c>
      <c r="E431" t="s">
        <v>2980</v>
      </c>
      <c r="F431" s="3">
        <v>46248.900419788974</v>
      </c>
      <c r="G431" s="3">
        <v>46248.911676914067</v>
      </c>
      <c r="H431">
        <v>16.21</v>
      </c>
      <c r="I431" t="s">
        <v>3149</v>
      </c>
      <c r="J431" t="s">
        <v>3162</v>
      </c>
      <c r="K431" t="s">
        <v>3182</v>
      </c>
      <c r="L431" t="str">
        <f>_xlfn.XLOOKUP(C431,[1]!Table1[Shift_ID],[1]!Table1[Shift_ID])</f>
        <v>S02</v>
      </c>
      <c r="M431" t="str">
        <f>_xlfn.XLOOKUP(D431,[2]!Table1[Machine_ID],[2]!Table1[Machine_ID])</f>
        <v>M002</v>
      </c>
      <c r="N431" t="str">
        <f>_xlfn.XLOOKUP(E431,[3]Sheet1!$A$2:$A$391,[3]Sheet1!$A$2:$A$391)</f>
        <v>PO10030</v>
      </c>
    </row>
    <row r="432" spans="1:14" x14ac:dyDescent="0.2">
      <c r="A432" t="s">
        <v>441</v>
      </c>
      <c r="B432" s="2">
        <v>46248</v>
      </c>
      <c r="C432" t="s">
        <v>2941</v>
      </c>
      <c r="D432" t="s">
        <v>2944</v>
      </c>
      <c r="E432" t="s">
        <v>2980</v>
      </c>
      <c r="F432" s="3">
        <v>46248.589186293961</v>
      </c>
      <c r="G432" s="3">
        <v>46248.591191485568</v>
      </c>
      <c r="H432">
        <v>2.89</v>
      </c>
      <c r="I432" t="s">
        <v>3150</v>
      </c>
      <c r="J432" t="s">
        <v>3166</v>
      </c>
      <c r="K432" t="s">
        <v>3177</v>
      </c>
      <c r="L432" t="str">
        <f>_xlfn.XLOOKUP(C432,[1]!Table1[Shift_ID],[1]!Table1[Shift_ID])</f>
        <v>S02</v>
      </c>
      <c r="M432" t="str">
        <f>_xlfn.XLOOKUP(D432,[2]!Table1[Machine_ID],[2]!Table1[Machine_ID])</f>
        <v>M003</v>
      </c>
      <c r="N432" t="str">
        <f>_xlfn.XLOOKUP(E432,[3]Sheet1!$A$2:$A$391,[3]Sheet1!$A$2:$A$391)</f>
        <v>PO10030</v>
      </c>
    </row>
    <row r="433" spans="1:14" x14ac:dyDescent="0.2">
      <c r="A433" t="s">
        <v>442</v>
      </c>
      <c r="B433" s="2">
        <v>46248</v>
      </c>
      <c r="C433" t="s">
        <v>2941</v>
      </c>
      <c r="D433" t="s">
        <v>2944</v>
      </c>
      <c r="E433" t="s">
        <v>2980</v>
      </c>
      <c r="F433" s="3">
        <v>46248.838322718482</v>
      </c>
      <c r="G433" s="3">
        <v>46248.844665219913</v>
      </c>
      <c r="H433">
        <v>9.1300000000000008</v>
      </c>
      <c r="I433" t="s">
        <v>3149</v>
      </c>
      <c r="J433" t="s">
        <v>3168</v>
      </c>
      <c r="K433" t="s">
        <v>3176</v>
      </c>
      <c r="L433" t="str">
        <f>_xlfn.XLOOKUP(C433,[1]!Table1[Shift_ID],[1]!Table1[Shift_ID])</f>
        <v>S02</v>
      </c>
      <c r="M433" t="str">
        <f>_xlfn.XLOOKUP(D433,[2]!Table1[Machine_ID],[2]!Table1[Machine_ID])</f>
        <v>M003</v>
      </c>
      <c r="N433" t="str">
        <f>_xlfn.XLOOKUP(E433,[3]Sheet1!$A$2:$A$391,[3]Sheet1!$A$2:$A$391)</f>
        <v>PO10030</v>
      </c>
    </row>
    <row r="434" spans="1:14" x14ac:dyDescent="0.2">
      <c r="A434" t="s">
        <v>443</v>
      </c>
      <c r="B434" s="2">
        <v>46248</v>
      </c>
      <c r="C434" t="s">
        <v>2941</v>
      </c>
      <c r="D434" t="s">
        <v>2945</v>
      </c>
      <c r="E434" t="s">
        <v>2980</v>
      </c>
      <c r="F434" s="3">
        <v>46248.711609094047</v>
      </c>
      <c r="G434" s="3">
        <v>46248.713692104422</v>
      </c>
      <c r="H434">
        <v>3</v>
      </c>
      <c r="I434" t="s">
        <v>3151</v>
      </c>
      <c r="J434" t="s">
        <v>3170</v>
      </c>
      <c r="K434" t="s">
        <v>3181</v>
      </c>
      <c r="L434" t="str">
        <f>_xlfn.XLOOKUP(C434,[1]!Table1[Shift_ID],[1]!Table1[Shift_ID])</f>
        <v>S02</v>
      </c>
      <c r="M434" t="str">
        <f>_xlfn.XLOOKUP(D434,[2]!Table1[Machine_ID],[2]!Table1[Machine_ID])</f>
        <v>M004</v>
      </c>
      <c r="N434" t="str">
        <f>_xlfn.XLOOKUP(E434,[3]Sheet1!$A$2:$A$391,[3]Sheet1!$A$2:$A$391)</f>
        <v>PO10030</v>
      </c>
    </row>
    <row r="435" spans="1:14" x14ac:dyDescent="0.2">
      <c r="A435" t="s">
        <v>444</v>
      </c>
      <c r="B435" s="2">
        <v>46248</v>
      </c>
      <c r="C435" t="s">
        <v>2941</v>
      </c>
      <c r="D435" t="s">
        <v>2945</v>
      </c>
      <c r="E435" t="s">
        <v>2980</v>
      </c>
      <c r="F435" s="3">
        <v>46248.842637998729</v>
      </c>
      <c r="G435" s="3">
        <v>46248.84732568184</v>
      </c>
      <c r="H435">
        <v>6.75</v>
      </c>
      <c r="I435" t="s">
        <v>3150</v>
      </c>
      <c r="J435" t="s">
        <v>3159</v>
      </c>
      <c r="K435" t="s">
        <v>3177</v>
      </c>
      <c r="L435" t="str">
        <f>_xlfn.XLOOKUP(C435,[1]!Table1[Shift_ID],[1]!Table1[Shift_ID])</f>
        <v>S02</v>
      </c>
      <c r="M435" t="str">
        <f>_xlfn.XLOOKUP(D435,[2]!Table1[Machine_ID],[2]!Table1[Machine_ID])</f>
        <v>M004</v>
      </c>
      <c r="N435" t="str">
        <f>_xlfn.XLOOKUP(E435,[3]Sheet1!$A$2:$A$391,[3]Sheet1!$A$2:$A$391)</f>
        <v>PO10030</v>
      </c>
    </row>
    <row r="436" spans="1:14" x14ac:dyDescent="0.2">
      <c r="A436" t="s">
        <v>445</v>
      </c>
      <c r="B436" s="2">
        <v>46248</v>
      </c>
      <c r="C436" t="s">
        <v>2941</v>
      </c>
      <c r="D436" t="s">
        <v>2945</v>
      </c>
      <c r="E436" t="s">
        <v>2980</v>
      </c>
      <c r="F436" s="3">
        <v>46248.862493630193</v>
      </c>
      <c r="G436" s="3">
        <v>46248.864183632642</v>
      </c>
      <c r="H436">
        <v>2.4300000000000002</v>
      </c>
      <c r="I436" t="s">
        <v>3147</v>
      </c>
      <c r="J436" t="s">
        <v>3167</v>
      </c>
      <c r="K436" t="s">
        <v>3185</v>
      </c>
      <c r="L436" t="str">
        <f>_xlfn.XLOOKUP(C436,[1]!Table1[Shift_ID],[1]!Table1[Shift_ID])</f>
        <v>S02</v>
      </c>
      <c r="M436" t="str">
        <f>_xlfn.XLOOKUP(D436,[2]!Table1[Machine_ID],[2]!Table1[Machine_ID])</f>
        <v>M004</v>
      </c>
      <c r="N436" t="str">
        <f>_xlfn.XLOOKUP(E436,[3]Sheet1!$A$2:$A$391,[3]Sheet1!$A$2:$A$391)</f>
        <v>PO10030</v>
      </c>
    </row>
    <row r="437" spans="1:14" x14ac:dyDescent="0.2">
      <c r="A437" t="s">
        <v>446</v>
      </c>
      <c r="B437" s="2">
        <v>46248</v>
      </c>
      <c r="C437" t="s">
        <v>2941</v>
      </c>
      <c r="D437" t="s">
        <v>2946</v>
      </c>
      <c r="E437" t="s">
        <v>2980</v>
      </c>
      <c r="F437" s="3">
        <v>46248.740028169726</v>
      </c>
      <c r="G437" s="3">
        <v>46248.749944016192</v>
      </c>
      <c r="H437">
        <v>14.28</v>
      </c>
      <c r="I437" t="s">
        <v>3150</v>
      </c>
      <c r="J437" t="s">
        <v>3166</v>
      </c>
      <c r="K437" t="s">
        <v>3178</v>
      </c>
      <c r="L437" t="str">
        <f>_xlfn.XLOOKUP(C437,[1]!Table1[Shift_ID],[1]!Table1[Shift_ID])</f>
        <v>S02</v>
      </c>
      <c r="M437" t="str">
        <f>_xlfn.XLOOKUP(D437,[2]!Table1[Machine_ID],[2]!Table1[Machine_ID])</f>
        <v>M005</v>
      </c>
      <c r="N437" t="str">
        <f>_xlfn.XLOOKUP(E437,[3]Sheet1!$A$2:$A$391,[3]Sheet1!$A$2:$A$391)</f>
        <v>PO10030</v>
      </c>
    </row>
    <row r="438" spans="1:14" x14ac:dyDescent="0.2">
      <c r="A438" t="s">
        <v>447</v>
      </c>
      <c r="B438" s="2">
        <v>46248</v>
      </c>
      <c r="C438" t="s">
        <v>2941</v>
      </c>
      <c r="D438" t="s">
        <v>2947</v>
      </c>
      <c r="E438" t="s">
        <v>2980</v>
      </c>
      <c r="F438" s="3">
        <v>46248.747475510063</v>
      </c>
      <c r="G438" s="3">
        <v>46248.773840920563</v>
      </c>
      <c r="H438">
        <v>37.97</v>
      </c>
      <c r="I438" t="s">
        <v>3148</v>
      </c>
      <c r="J438" t="s">
        <v>3165</v>
      </c>
      <c r="K438" t="s">
        <v>3183</v>
      </c>
      <c r="L438" t="str">
        <f>_xlfn.XLOOKUP(C438,[1]!Table1[Shift_ID],[1]!Table1[Shift_ID])</f>
        <v>S02</v>
      </c>
      <c r="M438" t="str">
        <f>_xlfn.XLOOKUP(D438,[2]!Table1[Machine_ID],[2]!Table1[Machine_ID])</f>
        <v>M006</v>
      </c>
      <c r="N438" t="str">
        <f>_xlfn.XLOOKUP(E438,[3]Sheet1!$A$2:$A$391,[3]Sheet1!$A$2:$A$391)</f>
        <v>PO10030</v>
      </c>
    </row>
    <row r="439" spans="1:14" x14ac:dyDescent="0.2">
      <c r="A439" t="s">
        <v>448</v>
      </c>
      <c r="B439" s="2">
        <v>46248</v>
      </c>
      <c r="C439" t="s">
        <v>2941</v>
      </c>
      <c r="D439" t="s">
        <v>2948</v>
      </c>
      <c r="E439" t="s">
        <v>2980</v>
      </c>
      <c r="F439" s="3">
        <v>46248.790794364533</v>
      </c>
      <c r="G439" s="3">
        <v>46248.795029416753</v>
      </c>
      <c r="H439">
        <v>6.1</v>
      </c>
      <c r="I439" t="s">
        <v>3148</v>
      </c>
      <c r="J439" t="s">
        <v>3164</v>
      </c>
      <c r="K439" t="s">
        <v>3183</v>
      </c>
      <c r="L439" t="str">
        <f>_xlfn.XLOOKUP(C439,[1]!Table1[Shift_ID],[1]!Table1[Shift_ID])</f>
        <v>S02</v>
      </c>
      <c r="M439" t="str">
        <f>_xlfn.XLOOKUP(D439,[2]!Table1[Machine_ID],[2]!Table1[Machine_ID])</f>
        <v>M007</v>
      </c>
      <c r="N439" t="str">
        <f>_xlfn.XLOOKUP(E439,[3]Sheet1!$A$2:$A$391,[3]Sheet1!$A$2:$A$391)</f>
        <v>PO10030</v>
      </c>
    </row>
    <row r="440" spans="1:14" x14ac:dyDescent="0.2">
      <c r="A440" t="s">
        <v>449</v>
      </c>
      <c r="B440" s="2">
        <v>46248</v>
      </c>
      <c r="C440" t="s">
        <v>2941</v>
      </c>
      <c r="D440" t="s">
        <v>2948</v>
      </c>
      <c r="E440" t="s">
        <v>2980</v>
      </c>
      <c r="F440" s="3">
        <v>46248.845472949361</v>
      </c>
      <c r="G440" s="3">
        <v>46248.856179708862</v>
      </c>
      <c r="H440">
        <v>15.42</v>
      </c>
      <c r="I440" t="s">
        <v>3150</v>
      </c>
      <c r="J440" t="s">
        <v>3163</v>
      </c>
      <c r="K440" t="s">
        <v>3178</v>
      </c>
      <c r="L440" t="str">
        <f>_xlfn.XLOOKUP(C440,[1]!Table1[Shift_ID],[1]!Table1[Shift_ID])</f>
        <v>S02</v>
      </c>
      <c r="M440" t="str">
        <f>_xlfn.XLOOKUP(D440,[2]!Table1[Machine_ID],[2]!Table1[Machine_ID])</f>
        <v>M007</v>
      </c>
      <c r="N440" t="str">
        <f>_xlfn.XLOOKUP(E440,[3]Sheet1!$A$2:$A$391,[3]Sheet1!$A$2:$A$391)</f>
        <v>PO10030</v>
      </c>
    </row>
    <row r="441" spans="1:14" x14ac:dyDescent="0.2">
      <c r="A441" t="s">
        <v>450</v>
      </c>
      <c r="B441" s="2">
        <v>46248</v>
      </c>
      <c r="C441" t="s">
        <v>2941</v>
      </c>
      <c r="D441" t="s">
        <v>2949</v>
      </c>
      <c r="E441" t="s">
        <v>2980</v>
      </c>
      <c r="F441" s="3">
        <v>46248.600848448346</v>
      </c>
      <c r="G441" s="3">
        <v>46248.604118404292</v>
      </c>
      <c r="H441">
        <v>4.71</v>
      </c>
      <c r="I441" t="s">
        <v>3148</v>
      </c>
      <c r="J441" t="s">
        <v>3165</v>
      </c>
      <c r="K441" t="s">
        <v>3183</v>
      </c>
      <c r="L441" t="str">
        <f>_xlfn.XLOOKUP(C441,[1]!Table1[Shift_ID],[1]!Table1[Shift_ID])</f>
        <v>S02</v>
      </c>
      <c r="M441" t="str">
        <f>_xlfn.XLOOKUP(D441,[2]!Table1[Machine_ID],[2]!Table1[Machine_ID])</f>
        <v>M008</v>
      </c>
      <c r="N441" t="str">
        <f>_xlfn.XLOOKUP(E441,[3]Sheet1!$A$2:$A$391,[3]Sheet1!$A$2:$A$391)</f>
        <v>PO10030</v>
      </c>
    </row>
    <row r="442" spans="1:14" x14ac:dyDescent="0.2">
      <c r="A442" t="s">
        <v>451</v>
      </c>
      <c r="B442" s="2">
        <v>46248</v>
      </c>
      <c r="C442" t="s">
        <v>2941</v>
      </c>
      <c r="D442" t="s">
        <v>2949</v>
      </c>
      <c r="E442" t="s">
        <v>2980</v>
      </c>
      <c r="F442" s="3">
        <v>46248.693335234413</v>
      </c>
      <c r="G442" s="3">
        <v>46248.694944958414</v>
      </c>
      <c r="H442">
        <v>2.3199999999999998</v>
      </c>
      <c r="I442" t="s">
        <v>3148</v>
      </c>
      <c r="J442" t="s">
        <v>3164</v>
      </c>
      <c r="K442" t="s">
        <v>3173</v>
      </c>
      <c r="L442" t="str">
        <f>_xlfn.XLOOKUP(C442,[1]!Table1[Shift_ID],[1]!Table1[Shift_ID])</f>
        <v>S02</v>
      </c>
      <c r="M442" t="str">
        <f>_xlfn.XLOOKUP(D442,[2]!Table1[Machine_ID],[2]!Table1[Machine_ID])</f>
        <v>M008</v>
      </c>
      <c r="N442" t="str">
        <f>_xlfn.XLOOKUP(E442,[3]Sheet1!$A$2:$A$391,[3]Sheet1!$A$2:$A$391)</f>
        <v>PO10030</v>
      </c>
    </row>
    <row r="443" spans="1:14" x14ac:dyDescent="0.2">
      <c r="A443" t="s">
        <v>452</v>
      </c>
      <c r="B443" s="2">
        <v>46251</v>
      </c>
      <c r="C443" t="s">
        <v>2939</v>
      </c>
      <c r="D443" t="s">
        <v>2942</v>
      </c>
      <c r="E443" t="s">
        <v>2981</v>
      </c>
      <c r="F443" s="3">
        <v>46251.922705003912</v>
      </c>
      <c r="G443" s="3">
        <v>46251.926080760648</v>
      </c>
      <c r="H443">
        <v>4.8600000000000003</v>
      </c>
      <c r="I443" t="s">
        <v>3150</v>
      </c>
      <c r="J443" t="s">
        <v>3163</v>
      </c>
      <c r="K443" t="s">
        <v>3178</v>
      </c>
      <c r="L443" t="str">
        <f>_xlfn.XLOOKUP(C443,[1]!Table1[Shift_ID],[1]!Table1[Shift_ID])</f>
        <v>S03</v>
      </c>
      <c r="M443" t="str">
        <f>_xlfn.XLOOKUP(D443,[2]!Table1[Machine_ID],[2]!Table1[Machine_ID])</f>
        <v>M001</v>
      </c>
      <c r="N443" t="str">
        <f>_xlfn.XLOOKUP(E443,[3]Sheet1!$A$2:$A$391,[3]Sheet1!$A$2:$A$391)</f>
        <v>PO10031</v>
      </c>
    </row>
    <row r="444" spans="1:14" x14ac:dyDescent="0.2">
      <c r="A444" t="s">
        <v>453</v>
      </c>
      <c r="B444" s="2">
        <v>46251</v>
      </c>
      <c r="C444" t="s">
        <v>2939</v>
      </c>
      <c r="D444" t="s">
        <v>2942</v>
      </c>
      <c r="E444" t="s">
        <v>2981</v>
      </c>
      <c r="F444" s="3">
        <v>46252.079670029067</v>
      </c>
      <c r="G444" s="3">
        <v>46252.081040263947</v>
      </c>
      <c r="H444">
        <v>1.97</v>
      </c>
      <c r="I444" t="s">
        <v>3150</v>
      </c>
      <c r="J444" t="s">
        <v>3159</v>
      </c>
      <c r="K444" t="s">
        <v>3179</v>
      </c>
      <c r="L444" t="str">
        <f>_xlfn.XLOOKUP(C444,[1]!Table1[Shift_ID],[1]!Table1[Shift_ID])</f>
        <v>S03</v>
      </c>
      <c r="M444" t="str">
        <f>_xlfn.XLOOKUP(D444,[2]!Table1[Machine_ID],[2]!Table1[Machine_ID])</f>
        <v>M001</v>
      </c>
      <c r="N444" t="str">
        <f>_xlfn.XLOOKUP(E444,[3]Sheet1!$A$2:$A$391,[3]Sheet1!$A$2:$A$391)</f>
        <v>PO10031</v>
      </c>
    </row>
    <row r="445" spans="1:14" x14ac:dyDescent="0.2">
      <c r="A445" t="s">
        <v>454</v>
      </c>
      <c r="B445" s="2">
        <v>46251</v>
      </c>
      <c r="C445" t="s">
        <v>2939</v>
      </c>
      <c r="D445" t="s">
        <v>2942</v>
      </c>
      <c r="E445" t="s">
        <v>2981</v>
      </c>
      <c r="F445" s="3">
        <v>46252.199938220307</v>
      </c>
      <c r="G445" s="3">
        <v>46252.201308455187</v>
      </c>
      <c r="H445">
        <v>1.97</v>
      </c>
      <c r="I445" t="s">
        <v>3151</v>
      </c>
      <c r="J445" t="s">
        <v>3169</v>
      </c>
      <c r="K445" t="s">
        <v>3181</v>
      </c>
      <c r="L445" t="str">
        <f>_xlfn.XLOOKUP(C445,[1]!Table1[Shift_ID],[1]!Table1[Shift_ID])</f>
        <v>S03</v>
      </c>
      <c r="M445" t="str">
        <f>_xlfn.XLOOKUP(D445,[2]!Table1[Machine_ID],[2]!Table1[Machine_ID])</f>
        <v>M001</v>
      </c>
      <c r="N445" t="str">
        <f>_xlfn.XLOOKUP(E445,[3]Sheet1!$A$2:$A$391,[3]Sheet1!$A$2:$A$391)</f>
        <v>PO10031</v>
      </c>
    </row>
    <row r="446" spans="1:14" x14ac:dyDescent="0.2">
      <c r="A446" t="s">
        <v>455</v>
      </c>
      <c r="B446" s="2">
        <v>46251</v>
      </c>
      <c r="C446" t="s">
        <v>2939</v>
      </c>
      <c r="D446" t="s">
        <v>2943</v>
      </c>
      <c r="E446" t="s">
        <v>2981</v>
      </c>
      <c r="F446" s="3">
        <v>46252.239153032016</v>
      </c>
      <c r="G446" s="3">
        <v>46252.247659973436</v>
      </c>
      <c r="H446">
        <v>12.25</v>
      </c>
      <c r="I446" t="s">
        <v>3150</v>
      </c>
      <c r="J446" t="s">
        <v>3163</v>
      </c>
      <c r="K446" t="s">
        <v>3178</v>
      </c>
      <c r="L446" t="str">
        <f>_xlfn.XLOOKUP(C446,[1]!Table1[Shift_ID],[1]!Table1[Shift_ID])</f>
        <v>S03</v>
      </c>
      <c r="M446" t="str">
        <f>_xlfn.XLOOKUP(D446,[2]!Table1[Machine_ID],[2]!Table1[Machine_ID])</f>
        <v>M002</v>
      </c>
      <c r="N446" t="str">
        <f>_xlfn.XLOOKUP(E446,[3]Sheet1!$A$2:$A$391,[3]Sheet1!$A$2:$A$391)</f>
        <v>PO10031</v>
      </c>
    </row>
    <row r="447" spans="1:14" x14ac:dyDescent="0.2">
      <c r="A447" t="s">
        <v>456</v>
      </c>
      <c r="B447" s="2">
        <v>46251</v>
      </c>
      <c r="C447" t="s">
        <v>2939</v>
      </c>
      <c r="D447" t="s">
        <v>2944</v>
      </c>
      <c r="E447" t="s">
        <v>2981</v>
      </c>
      <c r="F447" s="3">
        <v>46252.211744532877</v>
      </c>
      <c r="G447" s="3">
        <v>46252.224412360949</v>
      </c>
      <c r="H447">
        <v>18.239999999999998</v>
      </c>
      <c r="I447" t="s">
        <v>3147</v>
      </c>
      <c r="J447" t="s">
        <v>3167</v>
      </c>
      <c r="K447" t="s">
        <v>3186</v>
      </c>
      <c r="L447" t="str">
        <f>_xlfn.XLOOKUP(C447,[1]!Table1[Shift_ID],[1]!Table1[Shift_ID])</f>
        <v>S03</v>
      </c>
      <c r="M447" t="str">
        <f>_xlfn.XLOOKUP(D447,[2]!Table1[Machine_ID],[2]!Table1[Machine_ID])</f>
        <v>M003</v>
      </c>
      <c r="N447" t="str">
        <f>_xlfn.XLOOKUP(E447,[3]Sheet1!$A$2:$A$391,[3]Sheet1!$A$2:$A$391)</f>
        <v>PO10031</v>
      </c>
    </row>
    <row r="448" spans="1:14" x14ac:dyDescent="0.2">
      <c r="A448" t="s">
        <v>457</v>
      </c>
      <c r="B448" s="2">
        <v>46251</v>
      </c>
      <c r="C448" t="s">
        <v>2939</v>
      </c>
      <c r="D448" t="s">
        <v>2945</v>
      </c>
      <c r="E448" t="s">
        <v>2981</v>
      </c>
      <c r="F448" s="3">
        <v>46251.957671716169</v>
      </c>
      <c r="G448" s="3">
        <v>46251.964266243493</v>
      </c>
      <c r="H448">
        <v>9.5</v>
      </c>
      <c r="I448" t="s">
        <v>3147</v>
      </c>
      <c r="J448" t="s">
        <v>3167</v>
      </c>
      <c r="K448" t="s">
        <v>3185</v>
      </c>
      <c r="L448" t="str">
        <f>_xlfn.XLOOKUP(C448,[1]!Table1[Shift_ID],[1]!Table1[Shift_ID])</f>
        <v>S03</v>
      </c>
      <c r="M448" t="str">
        <f>_xlfn.XLOOKUP(D448,[2]!Table1[Machine_ID],[2]!Table1[Machine_ID])</f>
        <v>M004</v>
      </c>
      <c r="N448" t="str">
        <f>_xlfn.XLOOKUP(E448,[3]Sheet1!$A$2:$A$391,[3]Sheet1!$A$2:$A$391)</f>
        <v>PO10031</v>
      </c>
    </row>
    <row r="449" spans="1:14" x14ac:dyDescent="0.2">
      <c r="A449" t="s">
        <v>458</v>
      </c>
      <c r="B449" s="2">
        <v>46251</v>
      </c>
      <c r="C449" t="s">
        <v>2939</v>
      </c>
      <c r="D449" t="s">
        <v>2945</v>
      </c>
      <c r="E449" t="s">
        <v>2981</v>
      </c>
      <c r="F449" s="3">
        <v>46252.030534470243</v>
      </c>
      <c r="G449" s="3">
        <v>46252.032328238623</v>
      </c>
      <c r="H449">
        <v>2.58</v>
      </c>
      <c r="I449" t="s">
        <v>3147</v>
      </c>
      <c r="J449" t="s">
        <v>3154</v>
      </c>
      <c r="K449" t="s">
        <v>3186</v>
      </c>
      <c r="L449" t="str">
        <f>_xlfn.XLOOKUP(C449,[1]!Table1[Shift_ID],[1]!Table1[Shift_ID])</f>
        <v>S03</v>
      </c>
      <c r="M449" t="str">
        <f>_xlfn.XLOOKUP(D449,[2]!Table1[Machine_ID],[2]!Table1[Machine_ID])</f>
        <v>M004</v>
      </c>
      <c r="N449" t="str">
        <f>_xlfn.XLOOKUP(E449,[3]Sheet1!$A$2:$A$391,[3]Sheet1!$A$2:$A$391)</f>
        <v>PO10031</v>
      </c>
    </row>
    <row r="450" spans="1:14" x14ac:dyDescent="0.2">
      <c r="A450" t="s">
        <v>459</v>
      </c>
      <c r="B450" s="2">
        <v>46251</v>
      </c>
      <c r="C450" t="s">
        <v>2939</v>
      </c>
      <c r="D450" t="s">
        <v>2946</v>
      </c>
      <c r="E450" t="s">
        <v>2981</v>
      </c>
      <c r="F450" s="3">
        <v>46252.031734178541</v>
      </c>
      <c r="G450" s="3">
        <v>46252.040354684883</v>
      </c>
      <c r="H450">
        <v>12.41</v>
      </c>
      <c r="I450" t="s">
        <v>3150</v>
      </c>
      <c r="J450" t="s">
        <v>3160</v>
      </c>
      <c r="K450" t="s">
        <v>3177</v>
      </c>
      <c r="L450" t="str">
        <f>_xlfn.XLOOKUP(C450,[1]!Table1[Shift_ID],[1]!Table1[Shift_ID])</f>
        <v>S03</v>
      </c>
      <c r="M450" t="str">
        <f>_xlfn.XLOOKUP(D450,[2]!Table1[Machine_ID],[2]!Table1[Machine_ID])</f>
        <v>M005</v>
      </c>
      <c r="N450" t="str">
        <f>_xlfn.XLOOKUP(E450,[3]Sheet1!$A$2:$A$391,[3]Sheet1!$A$2:$A$391)</f>
        <v>PO10031</v>
      </c>
    </row>
    <row r="451" spans="1:14" x14ac:dyDescent="0.2">
      <c r="A451" t="s">
        <v>460</v>
      </c>
      <c r="B451" s="2">
        <v>46251</v>
      </c>
      <c r="C451" t="s">
        <v>2939</v>
      </c>
      <c r="D451" t="s">
        <v>2947</v>
      </c>
      <c r="E451" t="s">
        <v>2981</v>
      </c>
      <c r="F451" s="3">
        <v>46252.061334256628</v>
      </c>
      <c r="G451" s="3">
        <v>46252.080395659003</v>
      </c>
      <c r="H451">
        <v>27.45</v>
      </c>
      <c r="I451" t="s">
        <v>3151</v>
      </c>
      <c r="J451" t="s">
        <v>3170</v>
      </c>
      <c r="K451" t="s">
        <v>3188</v>
      </c>
      <c r="L451" t="str">
        <f>_xlfn.XLOOKUP(C451,[1]!Table1[Shift_ID],[1]!Table1[Shift_ID])</f>
        <v>S03</v>
      </c>
      <c r="M451" t="str">
        <f>_xlfn.XLOOKUP(D451,[2]!Table1[Machine_ID],[2]!Table1[Machine_ID])</f>
        <v>M006</v>
      </c>
      <c r="N451" t="str">
        <f>_xlfn.XLOOKUP(E451,[3]Sheet1!$A$2:$A$391,[3]Sheet1!$A$2:$A$391)</f>
        <v>PO10031</v>
      </c>
    </row>
    <row r="452" spans="1:14" x14ac:dyDescent="0.2">
      <c r="A452" t="s">
        <v>461</v>
      </c>
      <c r="B452" s="2">
        <v>46251</v>
      </c>
      <c r="C452" t="s">
        <v>2939</v>
      </c>
      <c r="D452" t="s">
        <v>2947</v>
      </c>
      <c r="E452" t="s">
        <v>2981</v>
      </c>
      <c r="F452" s="3">
        <v>46252.084005112709</v>
      </c>
      <c r="G452" s="3">
        <v>46252.086405786416</v>
      </c>
      <c r="H452">
        <v>3.46</v>
      </c>
      <c r="I452" t="s">
        <v>3147</v>
      </c>
      <c r="J452" t="s">
        <v>3154</v>
      </c>
      <c r="K452" t="s">
        <v>3186</v>
      </c>
      <c r="L452" t="str">
        <f>_xlfn.XLOOKUP(C452,[1]!Table1[Shift_ID],[1]!Table1[Shift_ID])</f>
        <v>S03</v>
      </c>
      <c r="M452" t="str">
        <f>_xlfn.XLOOKUP(D452,[2]!Table1[Machine_ID],[2]!Table1[Machine_ID])</f>
        <v>M006</v>
      </c>
      <c r="N452" t="str">
        <f>_xlfn.XLOOKUP(E452,[3]Sheet1!$A$2:$A$391,[3]Sheet1!$A$2:$A$391)</f>
        <v>PO10031</v>
      </c>
    </row>
    <row r="453" spans="1:14" x14ac:dyDescent="0.2">
      <c r="A453" t="s">
        <v>462</v>
      </c>
      <c r="B453" s="2">
        <v>46251</v>
      </c>
      <c r="C453" t="s">
        <v>2939</v>
      </c>
      <c r="D453" t="s">
        <v>2947</v>
      </c>
      <c r="E453" t="s">
        <v>2981</v>
      </c>
      <c r="F453" s="3">
        <v>46252.092184917077</v>
      </c>
      <c r="G453" s="3">
        <v>46252.09591469149</v>
      </c>
      <c r="H453">
        <v>5.37</v>
      </c>
      <c r="I453" t="s">
        <v>3148</v>
      </c>
      <c r="J453" t="s">
        <v>3164</v>
      </c>
      <c r="K453" t="s">
        <v>3180</v>
      </c>
      <c r="L453" t="str">
        <f>_xlfn.XLOOKUP(C453,[1]!Table1[Shift_ID],[1]!Table1[Shift_ID])</f>
        <v>S03</v>
      </c>
      <c r="M453" t="str">
        <f>_xlfn.XLOOKUP(D453,[2]!Table1[Machine_ID],[2]!Table1[Machine_ID])</f>
        <v>M006</v>
      </c>
      <c r="N453" t="str">
        <f>_xlfn.XLOOKUP(E453,[3]Sheet1!$A$2:$A$391,[3]Sheet1!$A$2:$A$391)</f>
        <v>PO10031</v>
      </c>
    </row>
    <row r="454" spans="1:14" x14ac:dyDescent="0.2">
      <c r="A454" t="s">
        <v>463</v>
      </c>
      <c r="B454" s="2">
        <v>46251</v>
      </c>
      <c r="C454" t="s">
        <v>2939</v>
      </c>
      <c r="D454" t="s">
        <v>2948</v>
      </c>
      <c r="E454" t="s">
        <v>2981</v>
      </c>
      <c r="F454" s="3">
        <v>46251.984705647563</v>
      </c>
      <c r="G454" s="3">
        <v>46251.986300968863</v>
      </c>
      <c r="H454">
        <v>2.2999999999999998</v>
      </c>
      <c r="I454" t="s">
        <v>3147</v>
      </c>
      <c r="J454" t="s">
        <v>3154</v>
      </c>
      <c r="K454" t="s">
        <v>3172</v>
      </c>
      <c r="L454" t="str">
        <f>_xlfn.XLOOKUP(C454,[1]!Table1[Shift_ID],[1]!Table1[Shift_ID])</f>
        <v>S03</v>
      </c>
      <c r="M454" t="str">
        <f>_xlfn.XLOOKUP(D454,[2]!Table1[Machine_ID],[2]!Table1[Machine_ID])</f>
        <v>M007</v>
      </c>
      <c r="N454" t="str">
        <f>_xlfn.XLOOKUP(E454,[3]Sheet1!$A$2:$A$391,[3]Sheet1!$A$2:$A$391)</f>
        <v>PO10031</v>
      </c>
    </row>
    <row r="455" spans="1:14" x14ac:dyDescent="0.2">
      <c r="A455" t="s">
        <v>464</v>
      </c>
      <c r="B455" s="2">
        <v>46251</v>
      </c>
      <c r="C455" t="s">
        <v>2939</v>
      </c>
      <c r="D455" t="s">
        <v>2948</v>
      </c>
      <c r="E455" t="s">
        <v>2981</v>
      </c>
      <c r="F455" s="3">
        <v>46252.041745710063</v>
      </c>
      <c r="G455" s="3">
        <v>46252.044054354446</v>
      </c>
      <c r="H455">
        <v>3.32</v>
      </c>
      <c r="I455" t="s">
        <v>3149</v>
      </c>
      <c r="J455" t="s">
        <v>3162</v>
      </c>
      <c r="K455" t="s">
        <v>3182</v>
      </c>
      <c r="L455" t="str">
        <f>_xlfn.XLOOKUP(C455,[1]!Table1[Shift_ID],[1]!Table1[Shift_ID])</f>
        <v>S03</v>
      </c>
      <c r="M455" t="str">
        <f>_xlfn.XLOOKUP(D455,[2]!Table1[Machine_ID],[2]!Table1[Machine_ID])</f>
        <v>M007</v>
      </c>
      <c r="N455" t="str">
        <f>_xlfn.XLOOKUP(E455,[3]Sheet1!$A$2:$A$391,[3]Sheet1!$A$2:$A$391)</f>
        <v>PO10031</v>
      </c>
    </row>
    <row r="456" spans="1:14" x14ac:dyDescent="0.2">
      <c r="A456" t="s">
        <v>465</v>
      </c>
      <c r="B456" s="2">
        <v>46251</v>
      </c>
      <c r="C456" t="s">
        <v>2939</v>
      </c>
      <c r="D456" t="s">
        <v>2948</v>
      </c>
      <c r="E456" t="s">
        <v>2981</v>
      </c>
      <c r="F456" s="3">
        <v>46252.065121673739</v>
      </c>
      <c r="G456" s="3">
        <v>46252.066716995061</v>
      </c>
      <c r="H456">
        <v>2.2999999999999998</v>
      </c>
      <c r="I456" t="s">
        <v>3147</v>
      </c>
      <c r="J456" t="s">
        <v>3154</v>
      </c>
      <c r="K456" t="s">
        <v>3172</v>
      </c>
      <c r="L456" t="str">
        <f>_xlfn.XLOOKUP(C456,[1]!Table1[Shift_ID],[1]!Table1[Shift_ID])</f>
        <v>S03</v>
      </c>
      <c r="M456" t="str">
        <f>_xlfn.XLOOKUP(D456,[2]!Table1[Machine_ID],[2]!Table1[Machine_ID])</f>
        <v>M007</v>
      </c>
      <c r="N456" t="str">
        <f>_xlfn.XLOOKUP(E456,[3]Sheet1!$A$2:$A$391,[3]Sheet1!$A$2:$A$391)</f>
        <v>PO10031</v>
      </c>
    </row>
    <row r="457" spans="1:14" x14ac:dyDescent="0.2">
      <c r="A457" t="s">
        <v>466</v>
      </c>
      <c r="B457" s="2">
        <v>46251</v>
      </c>
      <c r="C457" t="s">
        <v>2939</v>
      </c>
      <c r="D457" t="s">
        <v>2948</v>
      </c>
      <c r="E457" t="s">
        <v>2981</v>
      </c>
      <c r="F457" s="3">
        <v>46252.13718197478</v>
      </c>
      <c r="G457" s="3">
        <v>46252.138777296102</v>
      </c>
      <c r="H457">
        <v>2.2999999999999998</v>
      </c>
      <c r="I457" t="s">
        <v>3150</v>
      </c>
      <c r="J457" t="s">
        <v>3160</v>
      </c>
      <c r="K457" t="s">
        <v>3178</v>
      </c>
      <c r="L457" t="str">
        <f>_xlfn.XLOOKUP(C457,[1]!Table1[Shift_ID],[1]!Table1[Shift_ID])</f>
        <v>S03</v>
      </c>
      <c r="M457" t="str">
        <f>_xlfn.XLOOKUP(D457,[2]!Table1[Machine_ID],[2]!Table1[Machine_ID])</f>
        <v>M007</v>
      </c>
      <c r="N457" t="str">
        <f>_xlfn.XLOOKUP(E457,[3]Sheet1!$A$2:$A$391,[3]Sheet1!$A$2:$A$391)</f>
        <v>PO10031</v>
      </c>
    </row>
    <row r="458" spans="1:14" x14ac:dyDescent="0.2">
      <c r="A458" t="s">
        <v>467</v>
      </c>
      <c r="B458" s="2">
        <v>46251</v>
      </c>
      <c r="C458" t="s">
        <v>2939</v>
      </c>
      <c r="D458" t="s">
        <v>2948</v>
      </c>
      <c r="E458" t="s">
        <v>2981</v>
      </c>
      <c r="F458" s="3">
        <v>46252.229533967162</v>
      </c>
      <c r="G458" s="3">
        <v>46252.233083535022</v>
      </c>
      <c r="H458">
        <v>5.1100000000000003</v>
      </c>
      <c r="I458" t="s">
        <v>3148</v>
      </c>
      <c r="J458" t="s">
        <v>3155</v>
      </c>
      <c r="K458" t="s">
        <v>3180</v>
      </c>
      <c r="L458" t="str">
        <f>_xlfn.XLOOKUP(C458,[1]!Table1[Shift_ID],[1]!Table1[Shift_ID])</f>
        <v>S03</v>
      </c>
      <c r="M458" t="str">
        <f>_xlfn.XLOOKUP(D458,[2]!Table1[Machine_ID],[2]!Table1[Machine_ID])</f>
        <v>M007</v>
      </c>
      <c r="N458" t="str">
        <f>_xlfn.XLOOKUP(E458,[3]Sheet1!$A$2:$A$391,[3]Sheet1!$A$2:$A$391)</f>
        <v>PO10031</v>
      </c>
    </row>
    <row r="459" spans="1:14" x14ac:dyDescent="0.2">
      <c r="A459" t="s">
        <v>468</v>
      </c>
      <c r="B459" s="2">
        <v>46251</v>
      </c>
      <c r="C459" t="s">
        <v>2939</v>
      </c>
      <c r="D459" t="s">
        <v>2949</v>
      </c>
      <c r="E459" t="s">
        <v>2981</v>
      </c>
      <c r="F459" s="3">
        <v>46251.992570955314</v>
      </c>
      <c r="G459" s="3">
        <v>46251.994132093438</v>
      </c>
      <c r="H459">
        <v>2.25</v>
      </c>
      <c r="I459" t="s">
        <v>3148</v>
      </c>
      <c r="J459" t="s">
        <v>3155</v>
      </c>
      <c r="K459" t="s">
        <v>3173</v>
      </c>
      <c r="L459" t="str">
        <f>_xlfn.XLOOKUP(C459,[1]!Table1[Shift_ID],[1]!Table1[Shift_ID])</f>
        <v>S03</v>
      </c>
      <c r="M459" t="str">
        <f>_xlfn.XLOOKUP(D459,[2]!Table1[Machine_ID],[2]!Table1[Machine_ID])</f>
        <v>M008</v>
      </c>
      <c r="N459" t="str">
        <f>_xlfn.XLOOKUP(E459,[3]Sheet1!$A$2:$A$391,[3]Sheet1!$A$2:$A$391)</f>
        <v>PO10031</v>
      </c>
    </row>
    <row r="460" spans="1:14" x14ac:dyDescent="0.2">
      <c r="A460" t="s">
        <v>469</v>
      </c>
      <c r="B460" s="2">
        <v>46251</v>
      </c>
      <c r="C460" t="s">
        <v>2939</v>
      </c>
      <c r="D460" t="s">
        <v>2949</v>
      </c>
      <c r="E460" t="s">
        <v>2981</v>
      </c>
      <c r="F460" s="3">
        <v>46252.049083444581</v>
      </c>
      <c r="G460" s="3">
        <v>46252.050647887183</v>
      </c>
      <c r="H460">
        <v>2.25</v>
      </c>
      <c r="I460" t="s">
        <v>3148</v>
      </c>
      <c r="J460" t="s">
        <v>3165</v>
      </c>
      <c r="K460" t="s">
        <v>3180</v>
      </c>
      <c r="L460" t="str">
        <f>_xlfn.XLOOKUP(C460,[1]!Table1[Shift_ID],[1]!Table1[Shift_ID])</f>
        <v>S03</v>
      </c>
      <c r="M460" t="str">
        <f>_xlfn.XLOOKUP(D460,[2]!Table1[Machine_ID],[2]!Table1[Machine_ID])</f>
        <v>M008</v>
      </c>
      <c r="N460" t="str">
        <f>_xlfn.XLOOKUP(E460,[3]Sheet1!$A$2:$A$391,[3]Sheet1!$A$2:$A$391)</f>
        <v>PO10031</v>
      </c>
    </row>
    <row r="461" spans="1:14" x14ac:dyDescent="0.2">
      <c r="A461" t="s">
        <v>470</v>
      </c>
      <c r="B461" s="2">
        <v>46251</v>
      </c>
      <c r="C461" t="s">
        <v>2939</v>
      </c>
      <c r="D461" t="s">
        <v>2949</v>
      </c>
      <c r="E461" t="s">
        <v>2981</v>
      </c>
      <c r="F461" s="3">
        <v>46252.136333797796</v>
      </c>
      <c r="G461" s="3">
        <v>46252.137695274527</v>
      </c>
      <c r="H461">
        <v>1.96</v>
      </c>
      <c r="I461" t="s">
        <v>3148</v>
      </c>
      <c r="J461" t="s">
        <v>3165</v>
      </c>
      <c r="K461" t="s">
        <v>3180</v>
      </c>
      <c r="L461" t="str">
        <f>_xlfn.XLOOKUP(C461,[1]!Table1[Shift_ID],[1]!Table1[Shift_ID])</f>
        <v>S03</v>
      </c>
      <c r="M461" t="str">
        <f>_xlfn.XLOOKUP(D461,[2]!Table1[Machine_ID],[2]!Table1[Machine_ID])</f>
        <v>M008</v>
      </c>
      <c r="N461" t="str">
        <f>_xlfn.XLOOKUP(E461,[3]Sheet1!$A$2:$A$391,[3]Sheet1!$A$2:$A$391)</f>
        <v>PO10031</v>
      </c>
    </row>
    <row r="462" spans="1:14" x14ac:dyDescent="0.2">
      <c r="A462" t="s">
        <v>471</v>
      </c>
      <c r="B462" s="2">
        <v>46251</v>
      </c>
      <c r="C462" t="s">
        <v>2939</v>
      </c>
      <c r="D462" t="s">
        <v>2949</v>
      </c>
      <c r="E462" t="s">
        <v>2981</v>
      </c>
      <c r="F462" s="3">
        <v>46252.199003501439</v>
      </c>
      <c r="G462" s="3">
        <v>46252.200364978169</v>
      </c>
      <c r="H462">
        <v>1.96</v>
      </c>
      <c r="I462" t="s">
        <v>3146</v>
      </c>
      <c r="J462" t="s">
        <v>3152</v>
      </c>
      <c r="K462" t="s">
        <v>3174</v>
      </c>
      <c r="L462" t="str">
        <f>_xlfn.XLOOKUP(C462,[1]!Table1[Shift_ID],[1]!Table1[Shift_ID])</f>
        <v>S03</v>
      </c>
      <c r="M462" t="str">
        <f>_xlfn.XLOOKUP(D462,[2]!Table1[Machine_ID],[2]!Table1[Machine_ID])</f>
        <v>M008</v>
      </c>
      <c r="N462" t="str">
        <f>_xlfn.XLOOKUP(E462,[3]Sheet1!$A$2:$A$391,[3]Sheet1!$A$2:$A$391)</f>
        <v>PO10031</v>
      </c>
    </row>
    <row r="463" spans="1:14" x14ac:dyDescent="0.2">
      <c r="A463" t="s">
        <v>472</v>
      </c>
      <c r="B463" s="2">
        <v>46251</v>
      </c>
      <c r="C463" t="s">
        <v>2940</v>
      </c>
      <c r="D463" t="s">
        <v>2942</v>
      </c>
      <c r="E463" t="s">
        <v>2982</v>
      </c>
      <c r="F463" s="3">
        <v>46251.421610442827</v>
      </c>
      <c r="G463" s="3">
        <v>46251.424627078763</v>
      </c>
      <c r="H463">
        <v>4.34</v>
      </c>
      <c r="I463" t="s">
        <v>3149</v>
      </c>
      <c r="J463" t="s">
        <v>3168</v>
      </c>
      <c r="K463" t="s">
        <v>3182</v>
      </c>
      <c r="L463" t="str">
        <f>_xlfn.XLOOKUP(C463,[1]!Table1[Shift_ID],[1]!Table1[Shift_ID])</f>
        <v>S01</v>
      </c>
      <c r="M463" t="str">
        <f>_xlfn.XLOOKUP(D463,[2]!Table1[Machine_ID],[2]!Table1[Machine_ID])</f>
        <v>M001</v>
      </c>
      <c r="N463" t="str">
        <f>_xlfn.XLOOKUP(E463,[3]Sheet1!$A$2:$A$391,[3]Sheet1!$A$2:$A$391)</f>
        <v>PO10032</v>
      </c>
    </row>
    <row r="464" spans="1:14" x14ac:dyDescent="0.2">
      <c r="A464" t="s">
        <v>473</v>
      </c>
      <c r="B464" s="2">
        <v>46251</v>
      </c>
      <c r="C464" t="s">
        <v>2940</v>
      </c>
      <c r="D464" t="s">
        <v>2942</v>
      </c>
      <c r="E464" t="s">
        <v>2982</v>
      </c>
      <c r="F464" s="3">
        <v>46251.454988536367</v>
      </c>
      <c r="G464" s="3">
        <v>46251.456856103126</v>
      </c>
      <c r="H464">
        <v>2.69</v>
      </c>
      <c r="I464" t="s">
        <v>3149</v>
      </c>
      <c r="J464" t="s">
        <v>3162</v>
      </c>
      <c r="K464" t="s">
        <v>3182</v>
      </c>
      <c r="L464" t="str">
        <f>_xlfn.XLOOKUP(C464,[1]!Table1[Shift_ID],[1]!Table1[Shift_ID])</f>
        <v>S01</v>
      </c>
      <c r="M464" t="str">
        <f>_xlfn.XLOOKUP(D464,[2]!Table1[Machine_ID],[2]!Table1[Machine_ID])</f>
        <v>M001</v>
      </c>
      <c r="N464" t="str">
        <f>_xlfn.XLOOKUP(E464,[3]Sheet1!$A$2:$A$391,[3]Sheet1!$A$2:$A$391)</f>
        <v>PO10032</v>
      </c>
    </row>
    <row r="465" spans="1:14" x14ac:dyDescent="0.2">
      <c r="A465" t="s">
        <v>474</v>
      </c>
      <c r="B465" s="2">
        <v>46251</v>
      </c>
      <c r="C465" t="s">
        <v>2940</v>
      </c>
      <c r="D465" t="s">
        <v>2943</v>
      </c>
      <c r="E465" t="s">
        <v>2982</v>
      </c>
      <c r="F465" s="3">
        <v>46251.319637208057</v>
      </c>
      <c r="G465" s="3">
        <v>46251.321385317649</v>
      </c>
      <c r="H465">
        <v>2.52</v>
      </c>
      <c r="I465" t="s">
        <v>3147</v>
      </c>
      <c r="J465" t="s">
        <v>3153</v>
      </c>
      <c r="K465" t="s">
        <v>3186</v>
      </c>
      <c r="L465" t="str">
        <f>_xlfn.XLOOKUP(C465,[1]!Table1[Shift_ID],[1]!Table1[Shift_ID])</f>
        <v>S01</v>
      </c>
      <c r="M465" t="str">
        <f>_xlfn.XLOOKUP(D465,[2]!Table1[Machine_ID],[2]!Table1[Machine_ID])</f>
        <v>M002</v>
      </c>
      <c r="N465" t="str">
        <f>_xlfn.XLOOKUP(E465,[3]Sheet1!$A$2:$A$391,[3]Sheet1!$A$2:$A$391)</f>
        <v>PO10032</v>
      </c>
    </row>
    <row r="466" spans="1:14" x14ac:dyDescent="0.2">
      <c r="A466" t="s">
        <v>475</v>
      </c>
      <c r="B466" s="2">
        <v>46251</v>
      </c>
      <c r="C466" t="s">
        <v>2940</v>
      </c>
      <c r="D466" t="s">
        <v>2943</v>
      </c>
      <c r="E466" t="s">
        <v>2982</v>
      </c>
      <c r="F466" s="3">
        <v>46251.347163959123</v>
      </c>
      <c r="G466" s="3">
        <v>46251.352229441531</v>
      </c>
      <c r="H466">
        <v>7.29</v>
      </c>
      <c r="I466" t="s">
        <v>3151</v>
      </c>
      <c r="J466" t="s">
        <v>3161</v>
      </c>
      <c r="K466" t="s">
        <v>3187</v>
      </c>
      <c r="L466" t="str">
        <f>_xlfn.XLOOKUP(C466,[1]!Table1[Shift_ID],[1]!Table1[Shift_ID])</f>
        <v>S01</v>
      </c>
      <c r="M466" t="str">
        <f>_xlfn.XLOOKUP(D466,[2]!Table1[Machine_ID],[2]!Table1[Machine_ID])</f>
        <v>M002</v>
      </c>
      <c r="N466" t="str">
        <f>_xlfn.XLOOKUP(E466,[3]Sheet1!$A$2:$A$391,[3]Sheet1!$A$2:$A$391)</f>
        <v>PO10032</v>
      </c>
    </row>
    <row r="467" spans="1:14" x14ac:dyDescent="0.2">
      <c r="A467" t="s">
        <v>476</v>
      </c>
      <c r="B467" s="2">
        <v>46251</v>
      </c>
      <c r="C467" t="s">
        <v>2940</v>
      </c>
      <c r="D467" t="s">
        <v>2943</v>
      </c>
      <c r="E467" t="s">
        <v>2982</v>
      </c>
      <c r="F467" s="3">
        <v>46251.51439821766</v>
      </c>
      <c r="G467" s="3">
        <v>46251.516146327252</v>
      </c>
      <c r="H467">
        <v>2.52</v>
      </c>
      <c r="I467" t="s">
        <v>3150</v>
      </c>
      <c r="J467" t="s">
        <v>3160</v>
      </c>
      <c r="K467" t="s">
        <v>3179</v>
      </c>
      <c r="L467" t="str">
        <f>_xlfn.XLOOKUP(C467,[1]!Table1[Shift_ID],[1]!Table1[Shift_ID])</f>
        <v>S01</v>
      </c>
      <c r="M467" t="str">
        <f>_xlfn.XLOOKUP(D467,[2]!Table1[Machine_ID],[2]!Table1[Machine_ID])</f>
        <v>M002</v>
      </c>
      <c r="N467" t="str">
        <f>_xlfn.XLOOKUP(E467,[3]Sheet1!$A$2:$A$391,[3]Sheet1!$A$2:$A$391)</f>
        <v>PO10032</v>
      </c>
    </row>
    <row r="468" spans="1:14" x14ac:dyDescent="0.2">
      <c r="A468" t="s">
        <v>477</v>
      </c>
      <c r="B468" s="2">
        <v>46251</v>
      </c>
      <c r="C468" t="s">
        <v>2940</v>
      </c>
      <c r="D468" t="s">
        <v>2944</v>
      </c>
      <c r="E468" t="s">
        <v>2982</v>
      </c>
      <c r="F468" s="3">
        <v>46251.378424492199</v>
      </c>
      <c r="G468" s="3">
        <v>46251.380305811297</v>
      </c>
      <c r="H468">
        <v>2.71</v>
      </c>
      <c r="I468" t="s">
        <v>3151</v>
      </c>
      <c r="J468" t="s">
        <v>3161</v>
      </c>
      <c r="K468" t="s">
        <v>3181</v>
      </c>
      <c r="L468" t="str">
        <f>_xlfn.XLOOKUP(C468,[1]!Table1[Shift_ID],[1]!Table1[Shift_ID])</f>
        <v>S01</v>
      </c>
      <c r="M468" t="str">
        <f>_xlfn.XLOOKUP(D468,[2]!Table1[Machine_ID],[2]!Table1[Machine_ID])</f>
        <v>M003</v>
      </c>
      <c r="N468" t="str">
        <f>_xlfn.XLOOKUP(E468,[3]Sheet1!$A$2:$A$391,[3]Sheet1!$A$2:$A$391)</f>
        <v>PO10032</v>
      </c>
    </row>
    <row r="469" spans="1:14" x14ac:dyDescent="0.2">
      <c r="A469" t="s">
        <v>478</v>
      </c>
      <c r="B469" s="2">
        <v>46251</v>
      </c>
      <c r="C469" t="s">
        <v>2940</v>
      </c>
      <c r="D469" t="s">
        <v>2944</v>
      </c>
      <c r="E469" t="s">
        <v>2982</v>
      </c>
      <c r="F469" s="3">
        <v>46251.542517048707</v>
      </c>
      <c r="G469" s="3">
        <v>46251.553318906357</v>
      </c>
      <c r="H469">
        <v>15.55</v>
      </c>
      <c r="I469" t="s">
        <v>3146</v>
      </c>
      <c r="J469" t="s">
        <v>3152</v>
      </c>
      <c r="K469" t="s">
        <v>3175</v>
      </c>
      <c r="L469" t="str">
        <f>_xlfn.XLOOKUP(C469,[1]!Table1[Shift_ID],[1]!Table1[Shift_ID])</f>
        <v>S01</v>
      </c>
      <c r="M469" t="str">
        <f>_xlfn.XLOOKUP(D469,[2]!Table1[Machine_ID],[2]!Table1[Machine_ID])</f>
        <v>M003</v>
      </c>
      <c r="N469" t="str">
        <f>_xlfn.XLOOKUP(E469,[3]Sheet1!$A$2:$A$391,[3]Sheet1!$A$2:$A$391)</f>
        <v>PO10032</v>
      </c>
    </row>
    <row r="470" spans="1:14" x14ac:dyDescent="0.2">
      <c r="A470" t="s">
        <v>479</v>
      </c>
      <c r="B470" s="2">
        <v>46251</v>
      </c>
      <c r="C470" t="s">
        <v>2940</v>
      </c>
      <c r="D470" t="s">
        <v>2945</v>
      </c>
      <c r="E470" t="s">
        <v>2982</v>
      </c>
      <c r="F470" s="3">
        <v>46251.482866778868</v>
      </c>
      <c r="G470" s="3">
        <v>46251.490096929039</v>
      </c>
      <c r="H470">
        <v>10.41</v>
      </c>
      <c r="I470" t="s">
        <v>3146</v>
      </c>
      <c r="J470" t="s">
        <v>3157</v>
      </c>
      <c r="K470" t="s">
        <v>3175</v>
      </c>
      <c r="L470" t="str">
        <f>_xlfn.XLOOKUP(C470,[1]!Table1[Shift_ID],[1]!Table1[Shift_ID])</f>
        <v>S01</v>
      </c>
      <c r="M470" t="str">
        <f>_xlfn.XLOOKUP(D470,[2]!Table1[Machine_ID],[2]!Table1[Machine_ID])</f>
        <v>M004</v>
      </c>
      <c r="N470" t="str">
        <f>_xlfn.XLOOKUP(E470,[3]Sheet1!$A$2:$A$391,[3]Sheet1!$A$2:$A$391)</f>
        <v>PO10032</v>
      </c>
    </row>
    <row r="471" spans="1:14" x14ac:dyDescent="0.2">
      <c r="A471" t="s">
        <v>480</v>
      </c>
      <c r="B471" s="2">
        <v>46251</v>
      </c>
      <c r="C471" t="s">
        <v>2940</v>
      </c>
      <c r="D471" t="s">
        <v>2946</v>
      </c>
      <c r="E471" t="s">
        <v>2982</v>
      </c>
      <c r="F471" s="3">
        <v>46251.486770747833</v>
      </c>
      <c r="G471" s="3">
        <v>46251.488537633013</v>
      </c>
      <c r="H471">
        <v>2.54</v>
      </c>
      <c r="I471" t="s">
        <v>3149</v>
      </c>
      <c r="J471" t="s">
        <v>3168</v>
      </c>
      <c r="K471" t="s">
        <v>3176</v>
      </c>
      <c r="L471" t="str">
        <f>_xlfn.XLOOKUP(C471,[1]!Table1[Shift_ID],[1]!Table1[Shift_ID])</f>
        <v>S01</v>
      </c>
      <c r="M471" t="str">
        <f>_xlfn.XLOOKUP(D471,[2]!Table1[Machine_ID],[2]!Table1[Machine_ID])</f>
        <v>M005</v>
      </c>
      <c r="N471" t="str">
        <f>_xlfn.XLOOKUP(E471,[3]Sheet1!$A$2:$A$391,[3]Sheet1!$A$2:$A$391)</f>
        <v>PO10032</v>
      </c>
    </row>
    <row r="472" spans="1:14" x14ac:dyDescent="0.2">
      <c r="A472" t="s">
        <v>481</v>
      </c>
      <c r="B472" s="2">
        <v>46251</v>
      </c>
      <c r="C472" t="s">
        <v>2940</v>
      </c>
      <c r="D472" t="s">
        <v>2946</v>
      </c>
      <c r="E472" t="s">
        <v>2982</v>
      </c>
      <c r="F472" s="3">
        <v>46251.562008772387</v>
      </c>
      <c r="G472" s="3">
        <v>46251.56677558583</v>
      </c>
      <c r="H472">
        <v>6.86</v>
      </c>
      <c r="I472" t="s">
        <v>3149</v>
      </c>
      <c r="J472" t="s">
        <v>3162</v>
      </c>
      <c r="K472" t="s">
        <v>3182</v>
      </c>
      <c r="L472" t="str">
        <f>_xlfn.XLOOKUP(C472,[1]!Table1[Shift_ID],[1]!Table1[Shift_ID])</f>
        <v>S01</v>
      </c>
      <c r="M472" t="str">
        <f>_xlfn.XLOOKUP(D472,[2]!Table1[Machine_ID],[2]!Table1[Machine_ID])</f>
        <v>M005</v>
      </c>
      <c r="N472" t="str">
        <f>_xlfn.XLOOKUP(E472,[3]Sheet1!$A$2:$A$391,[3]Sheet1!$A$2:$A$391)</f>
        <v>PO10032</v>
      </c>
    </row>
    <row r="473" spans="1:14" x14ac:dyDescent="0.2">
      <c r="A473" t="s">
        <v>482</v>
      </c>
      <c r="B473" s="2">
        <v>46251</v>
      </c>
      <c r="C473" t="s">
        <v>2940</v>
      </c>
      <c r="D473" t="s">
        <v>2947</v>
      </c>
      <c r="E473" t="s">
        <v>2982</v>
      </c>
      <c r="F473" s="3">
        <v>46251.280395173948</v>
      </c>
      <c r="G473" s="3">
        <v>46251.290934544377</v>
      </c>
      <c r="H473">
        <v>15.18</v>
      </c>
      <c r="I473" t="s">
        <v>3148</v>
      </c>
      <c r="J473" t="s">
        <v>3164</v>
      </c>
      <c r="K473" t="s">
        <v>3180</v>
      </c>
      <c r="L473" t="str">
        <f>_xlfn.XLOOKUP(C473,[1]!Table1[Shift_ID],[1]!Table1[Shift_ID])</f>
        <v>S01</v>
      </c>
      <c r="M473" t="str">
        <f>_xlfn.XLOOKUP(D473,[2]!Table1[Machine_ID],[2]!Table1[Machine_ID])</f>
        <v>M006</v>
      </c>
      <c r="N473" t="str">
        <f>_xlfn.XLOOKUP(E473,[3]Sheet1!$A$2:$A$391,[3]Sheet1!$A$2:$A$391)</f>
        <v>PO10032</v>
      </c>
    </row>
    <row r="474" spans="1:14" x14ac:dyDescent="0.2">
      <c r="A474" t="s">
        <v>483</v>
      </c>
      <c r="B474" s="2">
        <v>46251</v>
      </c>
      <c r="C474" t="s">
        <v>2940</v>
      </c>
      <c r="D474" t="s">
        <v>2947</v>
      </c>
      <c r="E474" t="s">
        <v>2982</v>
      </c>
      <c r="F474" s="3">
        <v>46251.496535107137</v>
      </c>
      <c r="G474" s="3">
        <v>46251.498779894559</v>
      </c>
      <c r="H474">
        <v>3.23</v>
      </c>
      <c r="I474" t="s">
        <v>3148</v>
      </c>
      <c r="J474" t="s">
        <v>3165</v>
      </c>
      <c r="K474" t="s">
        <v>3180</v>
      </c>
      <c r="L474" t="str">
        <f>_xlfn.XLOOKUP(C474,[1]!Table1[Shift_ID],[1]!Table1[Shift_ID])</f>
        <v>S01</v>
      </c>
      <c r="M474" t="str">
        <f>_xlfn.XLOOKUP(D474,[2]!Table1[Machine_ID],[2]!Table1[Machine_ID])</f>
        <v>M006</v>
      </c>
      <c r="N474" t="str">
        <f>_xlfn.XLOOKUP(E474,[3]Sheet1!$A$2:$A$391,[3]Sheet1!$A$2:$A$391)</f>
        <v>PO10032</v>
      </c>
    </row>
    <row r="475" spans="1:14" x14ac:dyDescent="0.2">
      <c r="A475" t="s">
        <v>484</v>
      </c>
      <c r="B475" s="2">
        <v>46251</v>
      </c>
      <c r="C475" t="s">
        <v>2940</v>
      </c>
      <c r="D475" t="s">
        <v>2947</v>
      </c>
      <c r="E475" t="s">
        <v>2982</v>
      </c>
      <c r="F475" s="3">
        <v>46251.553214235348</v>
      </c>
      <c r="G475" s="3">
        <v>46251.558342932083</v>
      </c>
      <c r="H475">
        <v>7.39</v>
      </c>
      <c r="I475" t="s">
        <v>3146</v>
      </c>
      <c r="J475" t="s">
        <v>3152</v>
      </c>
      <c r="K475" t="s">
        <v>3171</v>
      </c>
      <c r="L475" t="str">
        <f>_xlfn.XLOOKUP(C475,[1]!Table1[Shift_ID],[1]!Table1[Shift_ID])</f>
        <v>S01</v>
      </c>
      <c r="M475" t="str">
        <f>_xlfn.XLOOKUP(D475,[2]!Table1[Machine_ID],[2]!Table1[Machine_ID])</f>
        <v>M006</v>
      </c>
      <c r="N475" t="str">
        <f>_xlfn.XLOOKUP(E475,[3]Sheet1!$A$2:$A$391,[3]Sheet1!$A$2:$A$391)</f>
        <v>PO10032</v>
      </c>
    </row>
    <row r="476" spans="1:14" x14ac:dyDescent="0.2">
      <c r="A476" t="s">
        <v>485</v>
      </c>
      <c r="B476" s="2">
        <v>46251</v>
      </c>
      <c r="C476" t="s">
        <v>2940</v>
      </c>
      <c r="D476" t="s">
        <v>2947</v>
      </c>
      <c r="E476" t="s">
        <v>2982</v>
      </c>
      <c r="F476" s="3">
        <v>46251.555753658969</v>
      </c>
      <c r="G476" s="3">
        <v>46251.561389706119</v>
      </c>
      <c r="H476">
        <v>8.1199999999999992</v>
      </c>
      <c r="I476" t="s">
        <v>3147</v>
      </c>
      <c r="J476" t="s">
        <v>3167</v>
      </c>
      <c r="K476" t="s">
        <v>3186</v>
      </c>
      <c r="L476" t="str">
        <f>_xlfn.XLOOKUP(C476,[1]!Table1[Shift_ID],[1]!Table1[Shift_ID])</f>
        <v>S01</v>
      </c>
      <c r="M476" t="str">
        <f>_xlfn.XLOOKUP(D476,[2]!Table1[Machine_ID],[2]!Table1[Machine_ID])</f>
        <v>M006</v>
      </c>
      <c r="N476" t="str">
        <f>_xlfn.XLOOKUP(E476,[3]Sheet1!$A$2:$A$391,[3]Sheet1!$A$2:$A$391)</f>
        <v>PO10032</v>
      </c>
    </row>
    <row r="477" spans="1:14" x14ac:dyDescent="0.2">
      <c r="A477" t="s">
        <v>486</v>
      </c>
      <c r="B477" s="2">
        <v>46251</v>
      </c>
      <c r="C477" t="s">
        <v>2940</v>
      </c>
      <c r="D477" t="s">
        <v>2948</v>
      </c>
      <c r="E477" t="s">
        <v>2982</v>
      </c>
      <c r="F477" s="3">
        <v>46251.319715753561</v>
      </c>
      <c r="G477" s="3">
        <v>46251.32142590169</v>
      </c>
      <c r="H477">
        <v>2.46</v>
      </c>
      <c r="I477" t="s">
        <v>3148</v>
      </c>
      <c r="J477" t="s">
        <v>3164</v>
      </c>
      <c r="K477" t="s">
        <v>3173</v>
      </c>
      <c r="L477" t="str">
        <f>_xlfn.XLOOKUP(C477,[1]!Table1[Shift_ID],[1]!Table1[Shift_ID])</f>
        <v>S01</v>
      </c>
      <c r="M477" t="str">
        <f>_xlfn.XLOOKUP(D477,[2]!Table1[Machine_ID],[2]!Table1[Machine_ID])</f>
        <v>M007</v>
      </c>
      <c r="N477" t="str">
        <f>_xlfn.XLOOKUP(E477,[3]Sheet1!$A$2:$A$391,[3]Sheet1!$A$2:$A$391)</f>
        <v>PO10032</v>
      </c>
    </row>
    <row r="478" spans="1:14" x14ac:dyDescent="0.2">
      <c r="A478" t="s">
        <v>487</v>
      </c>
      <c r="B478" s="2">
        <v>46251</v>
      </c>
      <c r="C478" t="s">
        <v>2940</v>
      </c>
      <c r="D478" t="s">
        <v>2948</v>
      </c>
      <c r="E478" t="s">
        <v>2982</v>
      </c>
      <c r="F478" s="3">
        <v>46251.405423003052</v>
      </c>
      <c r="G478" s="3">
        <v>46251.411546187279</v>
      </c>
      <c r="H478">
        <v>8.82</v>
      </c>
      <c r="I478" t="s">
        <v>3149</v>
      </c>
      <c r="J478" t="s">
        <v>3158</v>
      </c>
      <c r="K478" t="s">
        <v>3176</v>
      </c>
      <c r="L478" t="str">
        <f>_xlfn.XLOOKUP(C478,[1]!Table1[Shift_ID],[1]!Table1[Shift_ID])</f>
        <v>S01</v>
      </c>
      <c r="M478" t="str">
        <f>_xlfn.XLOOKUP(D478,[2]!Table1[Machine_ID],[2]!Table1[Machine_ID])</f>
        <v>M007</v>
      </c>
      <c r="N478" t="str">
        <f>_xlfn.XLOOKUP(E478,[3]Sheet1!$A$2:$A$391,[3]Sheet1!$A$2:$A$391)</f>
        <v>PO10032</v>
      </c>
    </row>
    <row r="479" spans="1:14" x14ac:dyDescent="0.2">
      <c r="A479" t="s">
        <v>488</v>
      </c>
      <c r="B479" s="2">
        <v>46251</v>
      </c>
      <c r="C479" t="s">
        <v>2940</v>
      </c>
      <c r="D479" t="s">
        <v>2948</v>
      </c>
      <c r="E479" t="s">
        <v>2982</v>
      </c>
      <c r="F479" s="3">
        <v>46251.479659909412</v>
      </c>
      <c r="G479" s="3">
        <v>46251.481370057532</v>
      </c>
      <c r="H479">
        <v>2.46</v>
      </c>
      <c r="I479" t="s">
        <v>3150</v>
      </c>
      <c r="J479" t="s">
        <v>3159</v>
      </c>
      <c r="K479" t="s">
        <v>3178</v>
      </c>
      <c r="L479" t="str">
        <f>_xlfn.XLOOKUP(C479,[1]!Table1[Shift_ID],[1]!Table1[Shift_ID])</f>
        <v>S01</v>
      </c>
      <c r="M479" t="str">
        <f>_xlfn.XLOOKUP(D479,[2]!Table1[Machine_ID],[2]!Table1[Machine_ID])</f>
        <v>M007</v>
      </c>
      <c r="N479" t="str">
        <f>_xlfn.XLOOKUP(E479,[3]Sheet1!$A$2:$A$391,[3]Sheet1!$A$2:$A$391)</f>
        <v>PO10032</v>
      </c>
    </row>
    <row r="480" spans="1:14" x14ac:dyDescent="0.2">
      <c r="A480" t="s">
        <v>489</v>
      </c>
      <c r="B480" s="2">
        <v>46251</v>
      </c>
      <c r="C480" t="s">
        <v>2940</v>
      </c>
      <c r="D480" t="s">
        <v>2948</v>
      </c>
      <c r="E480" t="s">
        <v>2982</v>
      </c>
      <c r="F480" s="3">
        <v>46251.540362227963</v>
      </c>
      <c r="G480" s="3">
        <v>46251.542072376091</v>
      </c>
      <c r="H480">
        <v>2.46</v>
      </c>
      <c r="I480" t="s">
        <v>3146</v>
      </c>
      <c r="J480" t="s">
        <v>3156</v>
      </c>
      <c r="K480" t="s">
        <v>3174</v>
      </c>
      <c r="L480" t="str">
        <f>_xlfn.XLOOKUP(C480,[1]!Table1[Shift_ID],[1]!Table1[Shift_ID])</f>
        <v>S01</v>
      </c>
      <c r="M480" t="str">
        <f>_xlfn.XLOOKUP(D480,[2]!Table1[Machine_ID],[2]!Table1[Machine_ID])</f>
        <v>M007</v>
      </c>
      <c r="N480" t="str">
        <f>_xlfn.XLOOKUP(E480,[3]Sheet1!$A$2:$A$391,[3]Sheet1!$A$2:$A$391)</f>
        <v>PO10032</v>
      </c>
    </row>
    <row r="481" spans="1:14" x14ac:dyDescent="0.2">
      <c r="A481" t="s">
        <v>490</v>
      </c>
      <c r="B481" s="2">
        <v>46251</v>
      </c>
      <c r="C481" t="s">
        <v>2940</v>
      </c>
      <c r="D481" t="s">
        <v>2949</v>
      </c>
      <c r="E481" t="s">
        <v>2982</v>
      </c>
      <c r="F481" s="3">
        <v>46251.373023959517</v>
      </c>
      <c r="G481" s="3">
        <v>46251.380231005889</v>
      </c>
      <c r="H481">
        <v>10.38</v>
      </c>
      <c r="I481" t="s">
        <v>3147</v>
      </c>
      <c r="J481" t="s">
        <v>3154</v>
      </c>
      <c r="K481" t="s">
        <v>3185</v>
      </c>
      <c r="L481" t="str">
        <f>_xlfn.XLOOKUP(C481,[1]!Table1[Shift_ID],[1]!Table1[Shift_ID])</f>
        <v>S01</v>
      </c>
      <c r="M481" t="str">
        <f>_xlfn.XLOOKUP(D481,[2]!Table1[Machine_ID],[2]!Table1[Machine_ID])</f>
        <v>M008</v>
      </c>
      <c r="N481" t="str">
        <f>_xlfn.XLOOKUP(E481,[3]Sheet1!$A$2:$A$391,[3]Sheet1!$A$2:$A$391)</f>
        <v>PO10032</v>
      </c>
    </row>
    <row r="482" spans="1:14" x14ac:dyDescent="0.2">
      <c r="A482" t="s">
        <v>491</v>
      </c>
      <c r="B482" s="2">
        <v>46251</v>
      </c>
      <c r="C482" t="s">
        <v>2941</v>
      </c>
      <c r="D482" t="s">
        <v>2942</v>
      </c>
      <c r="E482" t="s">
        <v>2983</v>
      </c>
      <c r="F482" s="3">
        <v>46251.584463326813</v>
      </c>
      <c r="G482" s="3">
        <v>46251.581685549027</v>
      </c>
      <c r="H482">
        <v>3.6</v>
      </c>
      <c r="I482" t="s">
        <v>3146</v>
      </c>
      <c r="J482" t="s">
        <v>3156</v>
      </c>
      <c r="K482" t="s">
        <v>3174</v>
      </c>
      <c r="L482" t="str">
        <f>_xlfn.XLOOKUP(C482,[1]!Table1[Shift_ID],[1]!Table1[Shift_ID])</f>
        <v>S02</v>
      </c>
      <c r="M482" t="str">
        <f>_xlfn.XLOOKUP(D482,[2]!Table1[Machine_ID],[2]!Table1[Machine_ID])</f>
        <v>M001</v>
      </c>
      <c r="N482" t="str">
        <f>_xlfn.XLOOKUP(E482,[3]Sheet1!$A$2:$A$391,[3]Sheet1!$A$2:$A$391)</f>
        <v>PO10033</v>
      </c>
    </row>
    <row r="483" spans="1:14" x14ac:dyDescent="0.2">
      <c r="A483" t="s">
        <v>492</v>
      </c>
      <c r="B483" s="2">
        <v>46251</v>
      </c>
      <c r="C483" t="s">
        <v>2941</v>
      </c>
      <c r="D483" t="s">
        <v>2942</v>
      </c>
      <c r="E483" t="s">
        <v>2983</v>
      </c>
      <c r="F483" s="3">
        <v>46251.693443902303</v>
      </c>
      <c r="G483" s="3">
        <v>46251.695989724707</v>
      </c>
      <c r="H483">
        <v>3.67</v>
      </c>
      <c r="I483" t="s">
        <v>3149</v>
      </c>
      <c r="J483" t="s">
        <v>3162</v>
      </c>
      <c r="K483" t="s">
        <v>3176</v>
      </c>
      <c r="L483" t="str">
        <f>_xlfn.XLOOKUP(C483,[1]!Table1[Shift_ID],[1]!Table1[Shift_ID])</f>
        <v>S02</v>
      </c>
      <c r="M483" t="str">
        <f>_xlfn.XLOOKUP(D483,[2]!Table1[Machine_ID],[2]!Table1[Machine_ID])</f>
        <v>M001</v>
      </c>
      <c r="N483" t="str">
        <f>_xlfn.XLOOKUP(E483,[3]Sheet1!$A$2:$A$391,[3]Sheet1!$A$2:$A$391)</f>
        <v>PO10033</v>
      </c>
    </row>
    <row r="484" spans="1:14" x14ac:dyDescent="0.2">
      <c r="A484" t="s">
        <v>493</v>
      </c>
      <c r="B484" s="2">
        <v>46251</v>
      </c>
      <c r="C484" t="s">
        <v>2941</v>
      </c>
      <c r="D484" t="s">
        <v>2943</v>
      </c>
      <c r="E484" t="s">
        <v>2983</v>
      </c>
      <c r="F484" s="3">
        <v>46251.726493252012</v>
      </c>
      <c r="G484" s="3">
        <v>46251.727568814422</v>
      </c>
      <c r="H484">
        <v>1.55</v>
      </c>
      <c r="I484" t="s">
        <v>3147</v>
      </c>
      <c r="J484" t="s">
        <v>3154</v>
      </c>
      <c r="K484" t="s">
        <v>3185</v>
      </c>
      <c r="L484" t="str">
        <f>_xlfn.XLOOKUP(C484,[1]!Table1[Shift_ID],[1]!Table1[Shift_ID])</f>
        <v>S02</v>
      </c>
      <c r="M484" t="str">
        <f>_xlfn.XLOOKUP(D484,[2]!Table1[Machine_ID],[2]!Table1[Machine_ID])</f>
        <v>M002</v>
      </c>
      <c r="N484" t="str">
        <f>_xlfn.XLOOKUP(E484,[3]Sheet1!$A$2:$A$391,[3]Sheet1!$A$2:$A$391)</f>
        <v>PO10033</v>
      </c>
    </row>
    <row r="485" spans="1:14" x14ac:dyDescent="0.2">
      <c r="A485" t="s">
        <v>494</v>
      </c>
      <c r="B485" s="2">
        <v>46251</v>
      </c>
      <c r="C485" t="s">
        <v>2941</v>
      </c>
      <c r="D485" t="s">
        <v>2943</v>
      </c>
      <c r="E485" t="s">
        <v>2983</v>
      </c>
      <c r="F485" s="3">
        <v>46251.73282648575</v>
      </c>
      <c r="G485" s="3">
        <v>46251.734189004223</v>
      </c>
      <c r="H485">
        <v>1.96</v>
      </c>
      <c r="I485" t="s">
        <v>3150</v>
      </c>
      <c r="J485" t="s">
        <v>3159</v>
      </c>
      <c r="K485" t="s">
        <v>3178</v>
      </c>
      <c r="L485" t="str">
        <f>_xlfn.XLOOKUP(C485,[1]!Table1[Shift_ID],[1]!Table1[Shift_ID])</f>
        <v>S02</v>
      </c>
      <c r="M485" t="str">
        <f>_xlfn.XLOOKUP(D485,[2]!Table1[Machine_ID],[2]!Table1[Machine_ID])</f>
        <v>M002</v>
      </c>
      <c r="N485" t="str">
        <f>_xlfn.XLOOKUP(E485,[3]Sheet1!$A$2:$A$391,[3]Sheet1!$A$2:$A$391)</f>
        <v>PO10033</v>
      </c>
    </row>
    <row r="486" spans="1:14" x14ac:dyDescent="0.2">
      <c r="A486" t="s">
        <v>495</v>
      </c>
      <c r="B486" s="2">
        <v>46251</v>
      </c>
      <c r="C486" t="s">
        <v>2941</v>
      </c>
      <c r="D486" t="s">
        <v>2943</v>
      </c>
      <c r="E486" t="s">
        <v>2983</v>
      </c>
      <c r="F486" s="3">
        <v>46251.781528335538</v>
      </c>
      <c r="G486" s="3">
        <v>46251.782603897947</v>
      </c>
      <c r="H486">
        <v>1.55</v>
      </c>
      <c r="I486" t="s">
        <v>3149</v>
      </c>
      <c r="J486" t="s">
        <v>3162</v>
      </c>
      <c r="K486" t="s">
        <v>3184</v>
      </c>
      <c r="L486" t="str">
        <f>_xlfn.XLOOKUP(C486,[1]!Table1[Shift_ID],[1]!Table1[Shift_ID])</f>
        <v>S02</v>
      </c>
      <c r="M486" t="str">
        <f>_xlfn.XLOOKUP(D486,[2]!Table1[Machine_ID],[2]!Table1[Machine_ID])</f>
        <v>M002</v>
      </c>
      <c r="N486" t="str">
        <f>_xlfn.XLOOKUP(E486,[3]Sheet1!$A$2:$A$391,[3]Sheet1!$A$2:$A$391)</f>
        <v>PO10033</v>
      </c>
    </row>
    <row r="487" spans="1:14" x14ac:dyDescent="0.2">
      <c r="A487" t="s">
        <v>496</v>
      </c>
      <c r="B487" s="2">
        <v>46251</v>
      </c>
      <c r="C487" t="s">
        <v>2941</v>
      </c>
      <c r="D487" t="s">
        <v>2943</v>
      </c>
      <c r="E487" t="s">
        <v>2983</v>
      </c>
      <c r="F487" s="3">
        <v>46251.816379724783</v>
      </c>
      <c r="G487" s="3">
        <v>46251.817455287193</v>
      </c>
      <c r="H487">
        <v>1.55</v>
      </c>
      <c r="I487" t="s">
        <v>3148</v>
      </c>
      <c r="J487" t="s">
        <v>3155</v>
      </c>
      <c r="K487" t="s">
        <v>3173</v>
      </c>
      <c r="L487" t="str">
        <f>_xlfn.XLOOKUP(C487,[1]!Table1[Shift_ID],[1]!Table1[Shift_ID])</f>
        <v>S02</v>
      </c>
      <c r="M487" t="str">
        <f>_xlfn.XLOOKUP(D487,[2]!Table1[Machine_ID],[2]!Table1[Machine_ID])</f>
        <v>M002</v>
      </c>
      <c r="N487" t="str">
        <f>_xlfn.XLOOKUP(E487,[3]Sheet1!$A$2:$A$391,[3]Sheet1!$A$2:$A$391)</f>
        <v>PO10033</v>
      </c>
    </row>
    <row r="488" spans="1:14" x14ac:dyDescent="0.2">
      <c r="A488" t="s">
        <v>497</v>
      </c>
      <c r="B488" s="2">
        <v>46251</v>
      </c>
      <c r="C488" t="s">
        <v>2941</v>
      </c>
      <c r="D488" t="s">
        <v>2943</v>
      </c>
      <c r="E488" t="s">
        <v>2983</v>
      </c>
      <c r="F488" s="3">
        <v>46251.821271660046</v>
      </c>
      <c r="G488" s="3">
        <v>46251.822347222464</v>
      </c>
      <c r="H488">
        <v>1.55</v>
      </c>
      <c r="I488" t="s">
        <v>3149</v>
      </c>
      <c r="J488" t="s">
        <v>3162</v>
      </c>
      <c r="K488" t="s">
        <v>3184</v>
      </c>
      <c r="L488" t="str">
        <f>_xlfn.XLOOKUP(C488,[1]!Table1[Shift_ID],[1]!Table1[Shift_ID])</f>
        <v>S02</v>
      </c>
      <c r="M488" t="str">
        <f>_xlfn.XLOOKUP(D488,[2]!Table1[Machine_ID],[2]!Table1[Machine_ID])</f>
        <v>M002</v>
      </c>
      <c r="N488" t="str">
        <f>_xlfn.XLOOKUP(E488,[3]Sheet1!$A$2:$A$391,[3]Sheet1!$A$2:$A$391)</f>
        <v>PO10033</v>
      </c>
    </row>
    <row r="489" spans="1:14" x14ac:dyDescent="0.2">
      <c r="A489" t="s">
        <v>498</v>
      </c>
      <c r="B489" s="2">
        <v>46251</v>
      </c>
      <c r="C489" t="s">
        <v>2941</v>
      </c>
      <c r="D489" t="s">
        <v>2943</v>
      </c>
      <c r="E489" t="s">
        <v>2983</v>
      </c>
      <c r="F489" s="3">
        <v>46251.864379162937</v>
      </c>
      <c r="G489" s="3">
        <v>46251.865454725354</v>
      </c>
      <c r="H489">
        <v>1.55</v>
      </c>
      <c r="I489" t="s">
        <v>3151</v>
      </c>
      <c r="J489" t="s">
        <v>3169</v>
      </c>
      <c r="K489" t="s">
        <v>3187</v>
      </c>
      <c r="L489" t="str">
        <f>_xlfn.XLOOKUP(C489,[1]!Table1[Shift_ID],[1]!Table1[Shift_ID])</f>
        <v>S02</v>
      </c>
      <c r="M489" t="str">
        <f>_xlfn.XLOOKUP(D489,[2]!Table1[Machine_ID],[2]!Table1[Machine_ID])</f>
        <v>M002</v>
      </c>
      <c r="N489" t="str">
        <f>_xlfn.XLOOKUP(E489,[3]Sheet1!$A$2:$A$391,[3]Sheet1!$A$2:$A$391)</f>
        <v>PO10033</v>
      </c>
    </row>
    <row r="490" spans="1:14" x14ac:dyDescent="0.2">
      <c r="A490" t="s">
        <v>499</v>
      </c>
      <c r="B490" s="2">
        <v>46251</v>
      </c>
      <c r="C490" t="s">
        <v>2941</v>
      </c>
      <c r="D490" t="s">
        <v>2944</v>
      </c>
      <c r="E490" t="s">
        <v>2983</v>
      </c>
      <c r="F490" s="3">
        <v>46251.795885234642</v>
      </c>
      <c r="G490" s="3">
        <v>46251.807198286398</v>
      </c>
      <c r="H490">
        <v>16.29</v>
      </c>
      <c r="I490" t="s">
        <v>3148</v>
      </c>
      <c r="J490" t="s">
        <v>3165</v>
      </c>
      <c r="K490" t="s">
        <v>3180</v>
      </c>
      <c r="L490" t="str">
        <f>_xlfn.XLOOKUP(C490,[1]!Table1[Shift_ID],[1]!Table1[Shift_ID])</f>
        <v>S02</v>
      </c>
      <c r="M490" t="str">
        <f>_xlfn.XLOOKUP(D490,[2]!Table1[Machine_ID],[2]!Table1[Machine_ID])</f>
        <v>M003</v>
      </c>
      <c r="N490" t="str">
        <f>_xlfn.XLOOKUP(E490,[3]Sheet1!$A$2:$A$391,[3]Sheet1!$A$2:$A$391)</f>
        <v>PO10033</v>
      </c>
    </row>
    <row r="491" spans="1:14" x14ac:dyDescent="0.2">
      <c r="A491" t="s">
        <v>500</v>
      </c>
      <c r="B491" s="2">
        <v>46251</v>
      </c>
      <c r="C491" t="s">
        <v>2941</v>
      </c>
      <c r="D491" t="s">
        <v>2945</v>
      </c>
      <c r="E491" t="s">
        <v>2983</v>
      </c>
      <c r="F491" s="3">
        <v>46251.707307766272</v>
      </c>
      <c r="G491" s="3">
        <v>46251.708937464609</v>
      </c>
      <c r="H491">
        <v>2.35</v>
      </c>
      <c r="I491" t="s">
        <v>3149</v>
      </c>
      <c r="J491" t="s">
        <v>3162</v>
      </c>
      <c r="K491" t="s">
        <v>3184</v>
      </c>
      <c r="L491" t="str">
        <f>_xlfn.XLOOKUP(C491,[1]!Table1[Shift_ID],[1]!Table1[Shift_ID])</f>
        <v>S02</v>
      </c>
      <c r="M491" t="str">
        <f>_xlfn.XLOOKUP(D491,[2]!Table1[Machine_ID],[2]!Table1[Machine_ID])</f>
        <v>M004</v>
      </c>
      <c r="N491" t="str">
        <f>_xlfn.XLOOKUP(E491,[3]Sheet1!$A$2:$A$391,[3]Sheet1!$A$2:$A$391)</f>
        <v>PO10033</v>
      </c>
    </row>
    <row r="492" spans="1:14" x14ac:dyDescent="0.2">
      <c r="A492" t="s">
        <v>501</v>
      </c>
      <c r="B492" s="2">
        <v>46251</v>
      </c>
      <c r="C492" t="s">
        <v>2941</v>
      </c>
      <c r="D492" t="s">
        <v>2945</v>
      </c>
      <c r="E492" t="s">
        <v>2983</v>
      </c>
      <c r="F492" s="3">
        <v>46251.740289607893</v>
      </c>
      <c r="G492" s="3">
        <v>46251.741919306223</v>
      </c>
      <c r="H492">
        <v>2.35</v>
      </c>
      <c r="I492" t="s">
        <v>3146</v>
      </c>
      <c r="J492" t="s">
        <v>3152</v>
      </c>
      <c r="K492" t="s">
        <v>3171</v>
      </c>
      <c r="L492" t="str">
        <f>_xlfn.XLOOKUP(C492,[1]!Table1[Shift_ID],[1]!Table1[Shift_ID])</f>
        <v>S02</v>
      </c>
      <c r="M492" t="str">
        <f>_xlfn.XLOOKUP(D492,[2]!Table1[Machine_ID],[2]!Table1[Machine_ID])</f>
        <v>M004</v>
      </c>
      <c r="N492" t="str">
        <f>_xlfn.XLOOKUP(E492,[3]Sheet1!$A$2:$A$391,[3]Sheet1!$A$2:$A$391)</f>
        <v>PO10033</v>
      </c>
    </row>
    <row r="493" spans="1:14" x14ac:dyDescent="0.2">
      <c r="A493" t="s">
        <v>502</v>
      </c>
      <c r="B493" s="2">
        <v>46251</v>
      </c>
      <c r="C493" t="s">
        <v>2941</v>
      </c>
      <c r="D493" t="s">
        <v>2945</v>
      </c>
      <c r="E493" t="s">
        <v>2983</v>
      </c>
      <c r="F493" s="3">
        <v>46251.767663410967</v>
      </c>
      <c r="G493" s="3">
        <v>46251.769293109297</v>
      </c>
      <c r="H493">
        <v>2.35</v>
      </c>
      <c r="I493" t="s">
        <v>3146</v>
      </c>
      <c r="J493" t="s">
        <v>3152</v>
      </c>
      <c r="K493" t="s">
        <v>3171</v>
      </c>
      <c r="L493" t="str">
        <f>_xlfn.XLOOKUP(C493,[1]!Table1[Shift_ID],[1]!Table1[Shift_ID])</f>
        <v>S02</v>
      </c>
      <c r="M493" t="str">
        <f>_xlfn.XLOOKUP(D493,[2]!Table1[Machine_ID],[2]!Table1[Machine_ID])</f>
        <v>M004</v>
      </c>
      <c r="N493" t="str">
        <f>_xlfn.XLOOKUP(E493,[3]Sheet1!$A$2:$A$391,[3]Sheet1!$A$2:$A$391)</f>
        <v>PO10033</v>
      </c>
    </row>
    <row r="494" spans="1:14" x14ac:dyDescent="0.2">
      <c r="A494" t="s">
        <v>503</v>
      </c>
      <c r="B494" s="2">
        <v>46251</v>
      </c>
      <c r="C494" t="s">
        <v>2941</v>
      </c>
      <c r="D494" t="s">
        <v>2945</v>
      </c>
      <c r="E494" t="s">
        <v>2983</v>
      </c>
      <c r="F494" s="3">
        <v>46251.798855992463</v>
      </c>
      <c r="G494" s="3">
        <v>46251.800795351133</v>
      </c>
      <c r="H494">
        <v>2.79</v>
      </c>
      <c r="I494" t="s">
        <v>3149</v>
      </c>
      <c r="J494" t="s">
        <v>3162</v>
      </c>
      <c r="K494" t="s">
        <v>3182</v>
      </c>
      <c r="L494" t="str">
        <f>_xlfn.XLOOKUP(C494,[1]!Table1[Shift_ID],[1]!Table1[Shift_ID])</f>
        <v>S02</v>
      </c>
      <c r="M494" t="str">
        <f>_xlfn.XLOOKUP(D494,[2]!Table1[Machine_ID],[2]!Table1[Machine_ID])</f>
        <v>M004</v>
      </c>
      <c r="N494" t="str">
        <f>_xlfn.XLOOKUP(E494,[3]Sheet1!$A$2:$A$391,[3]Sheet1!$A$2:$A$391)</f>
        <v>PO10033</v>
      </c>
    </row>
    <row r="495" spans="1:14" x14ac:dyDescent="0.2">
      <c r="A495" t="s">
        <v>504</v>
      </c>
      <c r="B495" s="2">
        <v>46251</v>
      </c>
      <c r="C495" t="s">
        <v>2941</v>
      </c>
      <c r="D495" t="s">
        <v>2946</v>
      </c>
      <c r="E495" t="s">
        <v>2983</v>
      </c>
      <c r="F495" s="3">
        <v>46251.59641185229</v>
      </c>
      <c r="G495" s="3">
        <v>46251.599039729474</v>
      </c>
      <c r="H495">
        <v>3.78</v>
      </c>
      <c r="I495" t="s">
        <v>3149</v>
      </c>
      <c r="J495" t="s">
        <v>3162</v>
      </c>
      <c r="K495" t="s">
        <v>3176</v>
      </c>
      <c r="L495" t="str">
        <f>_xlfn.XLOOKUP(C495,[1]!Table1[Shift_ID],[1]!Table1[Shift_ID])</f>
        <v>S02</v>
      </c>
      <c r="M495" t="str">
        <f>_xlfn.XLOOKUP(D495,[2]!Table1[Machine_ID],[2]!Table1[Machine_ID])</f>
        <v>M005</v>
      </c>
      <c r="N495" t="str">
        <f>_xlfn.XLOOKUP(E495,[3]Sheet1!$A$2:$A$391,[3]Sheet1!$A$2:$A$391)</f>
        <v>PO10033</v>
      </c>
    </row>
    <row r="496" spans="1:14" x14ac:dyDescent="0.2">
      <c r="A496" t="s">
        <v>505</v>
      </c>
      <c r="B496" s="2">
        <v>46251</v>
      </c>
      <c r="C496" t="s">
        <v>2941</v>
      </c>
      <c r="D496" t="s">
        <v>2946</v>
      </c>
      <c r="E496" t="s">
        <v>2983</v>
      </c>
      <c r="F496" s="3">
        <v>46251.743999285529</v>
      </c>
      <c r="G496" s="3">
        <v>46251.748686891493</v>
      </c>
      <c r="H496">
        <v>6.75</v>
      </c>
      <c r="I496" t="s">
        <v>3149</v>
      </c>
      <c r="J496" t="s">
        <v>3168</v>
      </c>
      <c r="K496" t="s">
        <v>3176</v>
      </c>
      <c r="L496" t="str">
        <f>_xlfn.XLOOKUP(C496,[1]!Table1[Shift_ID],[1]!Table1[Shift_ID])</f>
        <v>S02</v>
      </c>
      <c r="M496" t="str">
        <f>_xlfn.XLOOKUP(D496,[2]!Table1[Machine_ID],[2]!Table1[Machine_ID])</f>
        <v>M005</v>
      </c>
      <c r="N496" t="str">
        <f>_xlfn.XLOOKUP(E496,[3]Sheet1!$A$2:$A$391,[3]Sheet1!$A$2:$A$391)</f>
        <v>PO10033</v>
      </c>
    </row>
    <row r="497" spans="1:14" x14ac:dyDescent="0.2">
      <c r="A497" t="s">
        <v>506</v>
      </c>
      <c r="B497" s="2">
        <v>46251</v>
      </c>
      <c r="C497" t="s">
        <v>2941</v>
      </c>
      <c r="D497" t="s">
        <v>2946</v>
      </c>
      <c r="E497" t="s">
        <v>2983</v>
      </c>
      <c r="F497" s="3">
        <v>46251.757244737113</v>
      </c>
      <c r="G497" s="3">
        <v>46251.759091649074</v>
      </c>
      <c r="H497">
        <v>2.66</v>
      </c>
      <c r="I497" t="s">
        <v>3149</v>
      </c>
      <c r="J497" t="s">
        <v>3158</v>
      </c>
      <c r="K497" t="s">
        <v>3182</v>
      </c>
      <c r="L497" t="str">
        <f>_xlfn.XLOOKUP(C497,[1]!Table1[Shift_ID],[1]!Table1[Shift_ID])</f>
        <v>S02</v>
      </c>
      <c r="M497" t="str">
        <f>_xlfn.XLOOKUP(D497,[2]!Table1[Machine_ID],[2]!Table1[Machine_ID])</f>
        <v>M005</v>
      </c>
      <c r="N497" t="str">
        <f>_xlfn.XLOOKUP(E497,[3]Sheet1!$A$2:$A$391,[3]Sheet1!$A$2:$A$391)</f>
        <v>PO10033</v>
      </c>
    </row>
    <row r="498" spans="1:14" x14ac:dyDescent="0.2">
      <c r="A498" t="s">
        <v>507</v>
      </c>
      <c r="B498" s="2">
        <v>46251</v>
      </c>
      <c r="C498" t="s">
        <v>2941</v>
      </c>
      <c r="D498" t="s">
        <v>2947</v>
      </c>
      <c r="E498" t="s">
        <v>2983</v>
      </c>
      <c r="F498" s="3">
        <v>46251.7864834914</v>
      </c>
      <c r="G498" s="3">
        <v>46251.81820238354</v>
      </c>
      <c r="H498">
        <v>45.68</v>
      </c>
      <c r="I498" t="s">
        <v>3151</v>
      </c>
      <c r="J498" t="s">
        <v>3161</v>
      </c>
      <c r="K498" t="s">
        <v>3188</v>
      </c>
      <c r="L498" t="str">
        <f>_xlfn.XLOOKUP(C498,[1]!Table1[Shift_ID],[1]!Table1[Shift_ID])</f>
        <v>S02</v>
      </c>
      <c r="M498" t="str">
        <f>_xlfn.XLOOKUP(D498,[2]!Table1[Machine_ID],[2]!Table1[Machine_ID])</f>
        <v>M006</v>
      </c>
      <c r="N498" t="str">
        <f>_xlfn.XLOOKUP(E498,[3]Sheet1!$A$2:$A$391,[3]Sheet1!$A$2:$A$391)</f>
        <v>PO10033</v>
      </c>
    </row>
    <row r="499" spans="1:14" x14ac:dyDescent="0.2">
      <c r="A499" t="s">
        <v>508</v>
      </c>
      <c r="B499" s="2">
        <v>46251</v>
      </c>
      <c r="C499" t="s">
        <v>2941</v>
      </c>
      <c r="D499" t="s">
        <v>2948</v>
      </c>
      <c r="E499" t="s">
        <v>2983</v>
      </c>
      <c r="F499" s="3">
        <v>46251.715562149118</v>
      </c>
      <c r="G499" s="3">
        <v>46251.718290437362</v>
      </c>
      <c r="H499">
        <v>3.93</v>
      </c>
      <c r="I499" t="s">
        <v>3149</v>
      </c>
      <c r="J499" t="s">
        <v>3168</v>
      </c>
      <c r="K499" t="s">
        <v>3184</v>
      </c>
      <c r="L499" t="str">
        <f>_xlfn.XLOOKUP(C499,[1]!Table1[Shift_ID],[1]!Table1[Shift_ID])</f>
        <v>S02</v>
      </c>
      <c r="M499" t="str">
        <f>_xlfn.XLOOKUP(D499,[2]!Table1[Machine_ID],[2]!Table1[Machine_ID])</f>
        <v>M007</v>
      </c>
      <c r="N499" t="str">
        <f>_xlfn.XLOOKUP(E499,[3]Sheet1!$A$2:$A$391,[3]Sheet1!$A$2:$A$391)</f>
        <v>PO10033</v>
      </c>
    </row>
    <row r="500" spans="1:14" x14ac:dyDescent="0.2">
      <c r="A500" t="s">
        <v>509</v>
      </c>
      <c r="B500" s="2">
        <v>46251</v>
      </c>
      <c r="C500" t="s">
        <v>2941</v>
      </c>
      <c r="D500" t="s">
        <v>2948</v>
      </c>
      <c r="E500" t="s">
        <v>2983</v>
      </c>
      <c r="F500" s="3">
        <v>46251.795402414427</v>
      </c>
      <c r="G500" s="3">
        <v>46251.804099563531</v>
      </c>
      <c r="H500">
        <v>12.52</v>
      </c>
      <c r="I500" t="s">
        <v>3150</v>
      </c>
      <c r="J500" t="s">
        <v>3160</v>
      </c>
      <c r="K500" t="s">
        <v>3177</v>
      </c>
      <c r="L500" t="str">
        <f>_xlfn.XLOOKUP(C500,[1]!Table1[Shift_ID],[1]!Table1[Shift_ID])</f>
        <v>S02</v>
      </c>
      <c r="M500" t="str">
        <f>_xlfn.XLOOKUP(D500,[2]!Table1[Machine_ID],[2]!Table1[Machine_ID])</f>
        <v>M007</v>
      </c>
      <c r="N500" t="str">
        <f>_xlfn.XLOOKUP(E500,[3]Sheet1!$A$2:$A$391,[3]Sheet1!$A$2:$A$391)</f>
        <v>PO10033</v>
      </c>
    </row>
    <row r="501" spans="1:14" x14ac:dyDescent="0.2">
      <c r="A501" t="s">
        <v>510</v>
      </c>
      <c r="B501" s="2">
        <v>46251</v>
      </c>
      <c r="C501" t="s">
        <v>2941</v>
      </c>
      <c r="D501" t="s">
        <v>2949</v>
      </c>
      <c r="E501" t="s">
        <v>2983</v>
      </c>
      <c r="F501" s="3">
        <v>46251.646383626023</v>
      </c>
      <c r="G501" s="3">
        <v>46251.647867587097</v>
      </c>
      <c r="H501">
        <v>2.14</v>
      </c>
      <c r="I501" t="s">
        <v>3148</v>
      </c>
      <c r="J501" t="s">
        <v>3164</v>
      </c>
      <c r="K501" t="s">
        <v>3183</v>
      </c>
      <c r="L501" t="str">
        <f>_xlfn.XLOOKUP(C501,[1]!Table1[Shift_ID],[1]!Table1[Shift_ID])</f>
        <v>S02</v>
      </c>
      <c r="M501" t="str">
        <f>_xlfn.XLOOKUP(D501,[2]!Table1[Machine_ID],[2]!Table1[Machine_ID])</f>
        <v>M008</v>
      </c>
      <c r="N501" t="str">
        <f>_xlfn.XLOOKUP(E501,[3]Sheet1!$A$2:$A$391,[3]Sheet1!$A$2:$A$391)</f>
        <v>PO10033</v>
      </c>
    </row>
    <row r="502" spans="1:14" x14ac:dyDescent="0.2">
      <c r="A502" t="s">
        <v>511</v>
      </c>
      <c r="B502" s="2">
        <v>46251</v>
      </c>
      <c r="C502" t="s">
        <v>2941</v>
      </c>
      <c r="D502" t="s">
        <v>2949</v>
      </c>
      <c r="E502" t="s">
        <v>2983</v>
      </c>
      <c r="F502" s="3">
        <v>46251.733392687463</v>
      </c>
      <c r="G502" s="3">
        <v>46251.734876648552</v>
      </c>
      <c r="H502">
        <v>2.14</v>
      </c>
      <c r="I502" t="s">
        <v>3148</v>
      </c>
      <c r="J502" t="s">
        <v>3165</v>
      </c>
      <c r="K502" t="s">
        <v>3180</v>
      </c>
      <c r="L502" t="str">
        <f>_xlfn.XLOOKUP(C502,[1]!Table1[Shift_ID],[1]!Table1[Shift_ID])</f>
        <v>S02</v>
      </c>
      <c r="M502" t="str">
        <f>_xlfn.XLOOKUP(D502,[2]!Table1[Machine_ID],[2]!Table1[Machine_ID])</f>
        <v>M008</v>
      </c>
      <c r="N502" t="str">
        <f>_xlfn.XLOOKUP(E502,[3]Sheet1!$A$2:$A$391,[3]Sheet1!$A$2:$A$391)</f>
        <v>PO10033</v>
      </c>
    </row>
    <row r="503" spans="1:14" x14ac:dyDescent="0.2">
      <c r="A503" t="s">
        <v>512</v>
      </c>
      <c r="B503" s="2">
        <v>46251</v>
      </c>
      <c r="C503" t="s">
        <v>2941</v>
      </c>
      <c r="D503" t="s">
        <v>2949</v>
      </c>
      <c r="E503" t="s">
        <v>2983</v>
      </c>
      <c r="F503" s="3">
        <v>46251.784082814273</v>
      </c>
      <c r="G503" s="3">
        <v>46251.787107831587</v>
      </c>
      <c r="H503">
        <v>4.3600000000000003</v>
      </c>
      <c r="I503" t="s">
        <v>3147</v>
      </c>
      <c r="J503" t="s">
        <v>3153</v>
      </c>
      <c r="K503" t="s">
        <v>3172</v>
      </c>
      <c r="L503" t="str">
        <f>_xlfn.XLOOKUP(C503,[1]!Table1[Shift_ID],[1]!Table1[Shift_ID])</f>
        <v>S02</v>
      </c>
      <c r="M503" t="str">
        <f>_xlfn.XLOOKUP(D503,[2]!Table1[Machine_ID],[2]!Table1[Machine_ID])</f>
        <v>M008</v>
      </c>
      <c r="N503" t="str">
        <f>_xlfn.XLOOKUP(E503,[3]Sheet1!$A$2:$A$391,[3]Sheet1!$A$2:$A$391)</f>
        <v>PO10033</v>
      </c>
    </row>
    <row r="504" spans="1:14" x14ac:dyDescent="0.2">
      <c r="A504" t="s">
        <v>513</v>
      </c>
      <c r="B504" s="2">
        <v>46252</v>
      </c>
      <c r="C504" t="s">
        <v>2939</v>
      </c>
      <c r="D504" t="s">
        <v>2942</v>
      </c>
      <c r="E504" t="s">
        <v>2984</v>
      </c>
      <c r="F504" s="3">
        <v>46253.153047004933</v>
      </c>
      <c r="G504" s="3">
        <v>46253.160078600027</v>
      </c>
      <c r="H504">
        <v>10.130000000000001</v>
      </c>
      <c r="I504" t="s">
        <v>3146</v>
      </c>
      <c r="J504" t="s">
        <v>3152</v>
      </c>
      <c r="K504" t="s">
        <v>3171</v>
      </c>
      <c r="L504" t="str">
        <f>_xlfn.XLOOKUP(C504,[1]!Table1[Shift_ID],[1]!Table1[Shift_ID])</f>
        <v>S03</v>
      </c>
      <c r="M504" t="str">
        <f>_xlfn.XLOOKUP(D504,[2]!Table1[Machine_ID],[2]!Table1[Machine_ID])</f>
        <v>M001</v>
      </c>
      <c r="N504" t="str">
        <f>_xlfn.XLOOKUP(E504,[3]Sheet1!$A$2:$A$391,[3]Sheet1!$A$2:$A$391)</f>
        <v>PO10034</v>
      </c>
    </row>
    <row r="505" spans="1:14" x14ac:dyDescent="0.2">
      <c r="A505" t="s">
        <v>514</v>
      </c>
      <c r="B505" s="2">
        <v>46252</v>
      </c>
      <c r="C505" t="s">
        <v>2939</v>
      </c>
      <c r="D505" t="s">
        <v>2943</v>
      </c>
      <c r="E505" t="s">
        <v>2984</v>
      </c>
      <c r="F505" s="3">
        <v>46252.9192207253</v>
      </c>
      <c r="G505" s="3">
        <v>46252.926030791037</v>
      </c>
      <c r="H505">
        <v>9.81</v>
      </c>
      <c r="I505" t="s">
        <v>3147</v>
      </c>
      <c r="J505" t="s">
        <v>3167</v>
      </c>
      <c r="K505" t="s">
        <v>3186</v>
      </c>
      <c r="L505" t="str">
        <f>_xlfn.XLOOKUP(C505,[1]!Table1[Shift_ID],[1]!Table1[Shift_ID])</f>
        <v>S03</v>
      </c>
      <c r="M505" t="str">
        <f>_xlfn.XLOOKUP(D505,[2]!Table1[Machine_ID],[2]!Table1[Machine_ID])</f>
        <v>M002</v>
      </c>
      <c r="N505" t="str">
        <f>_xlfn.XLOOKUP(E505,[3]Sheet1!$A$2:$A$391,[3]Sheet1!$A$2:$A$391)</f>
        <v>PO10034</v>
      </c>
    </row>
    <row r="506" spans="1:14" x14ac:dyDescent="0.2">
      <c r="A506" t="s">
        <v>515</v>
      </c>
      <c r="B506" s="2">
        <v>46252</v>
      </c>
      <c r="C506" t="s">
        <v>2939</v>
      </c>
      <c r="D506" t="s">
        <v>2944</v>
      </c>
      <c r="E506" t="s">
        <v>2984</v>
      </c>
      <c r="F506" s="3">
        <v>46252.955057075393</v>
      </c>
      <c r="G506" s="3">
        <v>46252.960372489237</v>
      </c>
      <c r="H506">
        <v>7.65</v>
      </c>
      <c r="I506" t="s">
        <v>3151</v>
      </c>
      <c r="J506" t="s">
        <v>3169</v>
      </c>
      <c r="K506" t="s">
        <v>3181</v>
      </c>
      <c r="L506" t="str">
        <f>_xlfn.XLOOKUP(C506,[1]!Table1[Shift_ID],[1]!Table1[Shift_ID])</f>
        <v>S03</v>
      </c>
      <c r="M506" t="str">
        <f>_xlfn.XLOOKUP(D506,[2]!Table1[Machine_ID],[2]!Table1[Machine_ID])</f>
        <v>M003</v>
      </c>
      <c r="N506" t="str">
        <f>_xlfn.XLOOKUP(E506,[3]Sheet1!$A$2:$A$391,[3]Sheet1!$A$2:$A$391)</f>
        <v>PO10034</v>
      </c>
    </row>
    <row r="507" spans="1:14" x14ac:dyDescent="0.2">
      <c r="A507" t="s">
        <v>516</v>
      </c>
      <c r="B507" s="2">
        <v>46252</v>
      </c>
      <c r="C507" t="s">
        <v>2939</v>
      </c>
      <c r="D507" t="s">
        <v>2944</v>
      </c>
      <c r="E507" t="s">
        <v>2984</v>
      </c>
      <c r="F507" s="3">
        <v>46253.040138509539</v>
      </c>
      <c r="G507" s="3">
        <v>46253.041884954888</v>
      </c>
      <c r="H507">
        <v>2.5099999999999998</v>
      </c>
      <c r="I507" t="s">
        <v>3148</v>
      </c>
      <c r="J507" t="s">
        <v>3155</v>
      </c>
      <c r="K507" t="s">
        <v>3180</v>
      </c>
      <c r="L507" t="str">
        <f>_xlfn.XLOOKUP(C507,[1]!Table1[Shift_ID],[1]!Table1[Shift_ID])</f>
        <v>S03</v>
      </c>
      <c r="M507" t="str">
        <f>_xlfn.XLOOKUP(D507,[2]!Table1[Machine_ID],[2]!Table1[Machine_ID])</f>
        <v>M003</v>
      </c>
      <c r="N507" t="str">
        <f>_xlfn.XLOOKUP(E507,[3]Sheet1!$A$2:$A$391,[3]Sheet1!$A$2:$A$391)</f>
        <v>PO10034</v>
      </c>
    </row>
    <row r="508" spans="1:14" x14ac:dyDescent="0.2">
      <c r="A508" t="s">
        <v>517</v>
      </c>
      <c r="B508" s="2">
        <v>46252</v>
      </c>
      <c r="C508" t="s">
        <v>2939</v>
      </c>
      <c r="D508" t="s">
        <v>2944</v>
      </c>
      <c r="E508" t="s">
        <v>2984</v>
      </c>
      <c r="F508" s="3">
        <v>46253.15098518374</v>
      </c>
      <c r="G508" s="3">
        <v>46253.152731629067</v>
      </c>
      <c r="H508">
        <v>2.5099999999999998</v>
      </c>
      <c r="I508" t="s">
        <v>3149</v>
      </c>
      <c r="J508" t="s">
        <v>3158</v>
      </c>
      <c r="K508" t="s">
        <v>3176</v>
      </c>
      <c r="L508" t="str">
        <f>_xlfn.XLOOKUP(C508,[1]!Table1[Shift_ID],[1]!Table1[Shift_ID])</f>
        <v>S03</v>
      </c>
      <c r="M508" t="str">
        <f>_xlfn.XLOOKUP(D508,[2]!Table1[Machine_ID],[2]!Table1[Machine_ID])</f>
        <v>M003</v>
      </c>
      <c r="N508" t="str">
        <f>_xlfn.XLOOKUP(E508,[3]Sheet1!$A$2:$A$391,[3]Sheet1!$A$2:$A$391)</f>
        <v>PO10034</v>
      </c>
    </row>
    <row r="509" spans="1:14" x14ac:dyDescent="0.2">
      <c r="A509" t="s">
        <v>518</v>
      </c>
      <c r="B509" s="2">
        <v>46252</v>
      </c>
      <c r="C509" t="s">
        <v>2939</v>
      </c>
      <c r="D509" t="s">
        <v>2945</v>
      </c>
      <c r="E509" t="s">
        <v>2984</v>
      </c>
      <c r="F509" s="3">
        <v>46253.178442554119</v>
      </c>
      <c r="G509" s="3">
        <v>46253.184920337313</v>
      </c>
      <c r="H509">
        <v>9.33</v>
      </c>
      <c r="I509" t="s">
        <v>3150</v>
      </c>
      <c r="J509" t="s">
        <v>3163</v>
      </c>
      <c r="K509" t="s">
        <v>3179</v>
      </c>
      <c r="L509" t="str">
        <f>_xlfn.XLOOKUP(C509,[1]!Table1[Shift_ID],[1]!Table1[Shift_ID])</f>
        <v>S03</v>
      </c>
      <c r="M509" t="str">
        <f>_xlfn.XLOOKUP(D509,[2]!Table1[Machine_ID],[2]!Table1[Machine_ID])</f>
        <v>M004</v>
      </c>
      <c r="N509" t="str">
        <f>_xlfn.XLOOKUP(E509,[3]Sheet1!$A$2:$A$391,[3]Sheet1!$A$2:$A$391)</f>
        <v>PO10034</v>
      </c>
    </row>
    <row r="510" spans="1:14" x14ac:dyDescent="0.2">
      <c r="A510" t="s">
        <v>519</v>
      </c>
      <c r="B510" s="2">
        <v>46252</v>
      </c>
      <c r="C510" t="s">
        <v>2939</v>
      </c>
      <c r="D510" t="s">
        <v>2946</v>
      </c>
      <c r="E510" t="s">
        <v>2984</v>
      </c>
      <c r="F510" s="3">
        <v>46252.919789201143</v>
      </c>
      <c r="G510" s="3">
        <v>46252.92159143796</v>
      </c>
      <c r="H510">
        <v>2.6</v>
      </c>
      <c r="I510" t="s">
        <v>3150</v>
      </c>
      <c r="J510" t="s">
        <v>3159</v>
      </c>
      <c r="K510" t="s">
        <v>3177</v>
      </c>
      <c r="L510" t="str">
        <f>_xlfn.XLOOKUP(C510,[1]!Table1[Shift_ID],[1]!Table1[Shift_ID])</f>
        <v>S03</v>
      </c>
      <c r="M510" t="str">
        <f>_xlfn.XLOOKUP(D510,[2]!Table1[Machine_ID],[2]!Table1[Machine_ID])</f>
        <v>M005</v>
      </c>
      <c r="N510" t="str">
        <f>_xlfn.XLOOKUP(E510,[3]Sheet1!$A$2:$A$391,[3]Sheet1!$A$2:$A$391)</f>
        <v>PO10034</v>
      </c>
    </row>
    <row r="511" spans="1:14" x14ac:dyDescent="0.2">
      <c r="A511" t="s">
        <v>520</v>
      </c>
      <c r="B511" s="2">
        <v>46252</v>
      </c>
      <c r="C511" t="s">
        <v>2939</v>
      </c>
      <c r="D511" t="s">
        <v>2946</v>
      </c>
      <c r="E511" t="s">
        <v>2984</v>
      </c>
      <c r="F511" s="3">
        <v>46253.11621294279</v>
      </c>
      <c r="G511" s="3">
        <v>46253.118546673752</v>
      </c>
      <c r="H511">
        <v>3.36</v>
      </c>
      <c r="I511" t="s">
        <v>3151</v>
      </c>
      <c r="J511" t="s">
        <v>3161</v>
      </c>
      <c r="K511" t="s">
        <v>3187</v>
      </c>
      <c r="L511" t="str">
        <f>_xlfn.XLOOKUP(C511,[1]!Table1[Shift_ID],[1]!Table1[Shift_ID])</f>
        <v>S03</v>
      </c>
      <c r="M511" t="str">
        <f>_xlfn.XLOOKUP(D511,[2]!Table1[Machine_ID],[2]!Table1[Machine_ID])</f>
        <v>M005</v>
      </c>
      <c r="N511" t="str">
        <f>_xlfn.XLOOKUP(E511,[3]Sheet1!$A$2:$A$391,[3]Sheet1!$A$2:$A$391)</f>
        <v>PO10034</v>
      </c>
    </row>
    <row r="512" spans="1:14" x14ac:dyDescent="0.2">
      <c r="A512" t="s">
        <v>521</v>
      </c>
      <c r="B512" s="2">
        <v>46252</v>
      </c>
      <c r="C512" t="s">
        <v>2939</v>
      </c>
      <c r="D512" t="s">
        <v>2946</v>
      </c>
      <c r="E512" t="s">
        <v>2984</v>
      </c>
      <c r="F512" s="3">
        <v>46253.118713799282</v>
      </c>
      <c r="G512" s="3">
        <v>46253.123073916911</v>
      </c>
      <c r="H512">
        <v>6.28</v>
      </c>
      <c r="I512" t="s">
        <v>3147</v>
      </c>
      <c r="J512" t="s">
        <v>3154</v>
      </c>
      <c r="K512" t="s">
        <v>3185</v>
      </c>
      <c r="L512" t="str">
        <f>_xlfn.XLOOKUP(C512,[1]!Table1[Shift_ID],[1]!Table1[Shift_ID])</f>
        <v>S03</v>
      </c>
      <c r="M512" t="str">
        <f>_xlfn.XLOOKUP(D512,[2]!Table1[Machine_ID],[2]!Table1[Machine_ID])</f>
        <v>M005</v>
      </c>
      <c r="N512" t="str">
        <f>_xlfn.XLOOKUP(E512,[3]Sheet1!$A$2:$A$391,[3]Sheet1!$A$2:$A$391)</f>
        <v>PO10034</v>
      </c>
    </row>
    <row r="513" spans="1:14" x14ac:dyDescent="0.2">
      <c r="A513" t="s">
        <v>522</v>
      </c>
      <c r="B513" s="2">
        <v>46252</v>
      </c>
      <c r="C513" t="s">
        <v>2939</v>
      </c>
      <c r="D513" t="s">
        <v>2947</v>
      </c>
      <c r="E513" t="s">
        <v>2984</v>
      </c>
      <c r="F513" s="3">
        <v>46252.981106840009</v>
      </c>
      <c r="G513" s="3">
        <v>46252.996325673863</v>
      </c>
      <c r="H513">
        <v>21.92</v>
      </c>
      <c r="I513" t="s">
        <v>3147</v>
      </c>
      <c r="J513" t="s">
        <v>3153</v>
      </c>
      <c r="K513" t="s">
        <v>3185</v>
      </c>
      <c r="L513" t="str">
        <f>_xlfn.XLOOKUP(C513,[1]!Table1[Shift_ID],[1]!Table1[Shift_ID])</f>
        <v>S03</v>
      </c>
      <c r="M513" t="str">
        <f>_xlfn.XLOOKUP(D513,[2]!Table1[Machine_ID],[2]!Table1[Machine_ID])</f>
        <v>M006</v>
      </c>
      <c r="N513" t="str">
        <f>_xlfn.XLOOKUP(E513,[3]Sheet1!$A$2:$A$391,[3]Sheet1!$A$2:$A$391)</f>
        <v>PO10034</v>
      </c>
    </row>
    <row r="514" spans="1:14" x14ac:dyDescent="0.2">
      <c r="A514" t="s">
        <v>523</v>
      </c>
      <c r="B514" s="2">
        <v>46252</v>
      </c>
      <c r="C514" t="s">
        <v>2939</v>
      </c>
      <c r="D514" t="s">
        <v>2947</v>
      </c>
      <c r="E514" t="s">
        <v>2984</v>
      </c>
      <c r="F514" s="3">
        <v>46253.027763874627</v>
      </c>
      <c r="G514" s="3">
        <v>46253.029761235222</v>
      </c>
      <c r="H514">
        <v>2.88</v>
      </c>
      <c r="I514" t="s">
        <v>3147</v>
      </c>
      <c r="J514" t="s">
        <v>3154</v>
      </c>
      <c r="K514" t="s">
        <v>3172</v>
      </c>
      <c r="L514" t="str">
        <f>_xlfn.XLOOKUP(C514,[1]!Table1[Shift_ID],[1]!Table1[Shift_ID])</f>
        <v>S03</v>
      </c>
      <c r="M514" t="str">
        <f>_xlfn.XLOOKUP(D514,[2]!Table1[Machine_ID],[2]!Table1[Machine_ID])</f>
        <v>M006</v>
      </c>
      <c r="N514" t="str">
        <f>_xlfn.XLOOKUP(E514,[3]Sheet1!$A$2:$A$391,[3]Sheet1!$A$2:$A$391)</f>
        <v>PO10034</v>
      </c>
    </row>
    <row r="515" spans="1:14" x14ac:dyDescent="0.2">
      <c r="A515" t="s">
        <v>524</v>
      </c>
      <c r="B515" s="2">
        <v>46252</v>
      </c>
      <c r="C515" t="s">
        <v>2939</v>
      </c>
      <c r="D515" t="s">
        <v>2947</v>
      </c>
      <c r="E515" t="s">
        <v>2984</v>
      </c>
      <c r="F515" s="3">
        <v>46253.194234636932</v>
      </c>
      <c r="G515" s="3">
        <v>46253.196920912138</v>
      </c>
      <c r="H515">
        <v>3.87</v>
      </c>
      <c r="I515" t="s">
        <v>3150</v>
      </c>
      <c r="J515" t="s">
        <v>3159</v>
      </c>
      <c r="K515" t="s">
        <v>3177</v>
      </c>
      <c r="L515" t="str">
        <f>_xlfn.XLOOKUP(C515,[1]!Table1[Shift_ID],[1]!Table1[Shift_ID])</f>
        <v>S03</v>
      </c>
      <c r="M515" t="str">
        <f>_xlfn.XLOOKUP(D515,[2]!Table1[Machine_ID],[2]!Table1[Machine_ID])</f>
        <v>M006</v>
      </c>
      <c r="N515" t="str">
        <f>_xlfn.XLOOKUP(E515,[3]Sheet1!$A$2:$A$391,[3]Sheet1!$A$2:$A$391)</f>
        <v>PO10034</v>
      </c>
    </row>
    <row r="516" spans="1:14" x14ac:dyDescent="0.2">
      <c r="A516" t="s">
        <v>525</v>
      </c>
      <c r="B516" s="2">
        <v>46252</v>
      </c>
      <c r="C516" t="s">
        <v>2939</v>
      </c>
      <c r="D516" t="s">
        <v>2948</v>
      </c>
      <c r="E516" t="s">
        <v>2984</v>
      </c>
      <c r="F516" s="3">
        <v>46253.013316849407</v>
      </c>
      <c r="G516" s="3">
        <v>46253.025637996958</v>
      </c>
      <c r="H516">
        <v>17.739999999999998</v>
      </c>
      <c r="I516" t="s">
        <v>3147</v>
      </c>
      <c r="J516" t="s">
        <v>3153</v>
      </c>
      <c r="K516" t="s">
        <v>3185</v>
      </c>
      <c r="L516" t="str">
        <f>_xlfn.XLOOKUP(C516,[1]!Table1[Shift_ID],[1]!Table1[Shift_ID])</f>
        <v>S03</v>
      </c>
      <c r="M516" t="str">
        <f>_xlfn.XLOOKUP(D516,[2]!Table1[Machine_ID],[2]!Table1[Machine_ID])</f>
        <v>M007</v>
      </c>
      <c r="N516" t="str">
        <f>_xlfn.XLOOKUP(E516,[3]Sheet1!$A$2:$A$391,[3]Sheet1!$A$2:$A$391)</f>
        <v>PO10034</v>
      </c>
    </row>
    <row r="517" spans="1:14" x14ac:dyDescent="0.2">
      <c r="A517" t="s">
        <v>526</v>
      </c>
      <c r="B517" s="2">
        <v>46252</v>
      </c>
      <c r="C517" t="s">
        <v>2939</v>
      </c>
      <c r="D517" t="s">
        <v>2949</v>
      </c>
      <c r="E517" t="s">
        <v>2984</v>
      </c>
      <c r="F517" s="3">
        <v>46252.950694091051</v>
      </c>
      <c r="G517" s="3">
        <v>46252.95786208177</v>
      </c>
      <c r="H517">
        <v>10.32</v>
      </c>
      <c r="I517" t="s">
        <v>3146</v>
      </c>
      <c r="J517" t="s">
        <v>3156</v>
      </c>
      <c r="K517" t="s">
        <v>3171</v>
      </c>
      <c r="L517" t="str">
        <f>_xlfn.XLOOKUP(C517,[1]!Table1[Shift_ID],[1]!Table1[Shift_ID])</f>
        <v>S03</v>
      </c>
      <c r="M517" t="str">
        <f>_xlfn.XLOOKUP(D517,[2]!Table1[Machine_ID],[2]!Table1[Machine_ID])</f>
        <v>M008</v>
      </c>
      <c r="N517" t="str">
        <f>_xlfn.XLOOKUP(E517,[3]Sheet1!$A$2:$A$391,[3]Sheet1!$A$2:$A$391)</f>
        <v>PO10034</v>
      </c>
    </row>
    <row r="518" spans="1:14" x14ac:dyDescent="0.2">
      <c r="A518" t="s">
        <v>527</v>
      </c>
      <c r="B518" s="2">
        <v>46252</v>
      </c>
      <c r="C518" t="s">
        <v>2940</v>
      </c>
      <c r="D518" t="s">
        <v>2942</v>
      </c>
      <c r="E518" t="s">
        <v>2985</v>
      </c>
      <c r="F518" s="3">
        <v>46252.563105300083</v>
      </c>
      <c r="G518" s="3">
        <v>46252.571258434153</v>
      </c>
      <c r="H518">
        <v>11.74</v>
      </c>
      <c r="I518" t="s">
        <v>3147</v>
      </c>
      <c r="J518" t="s">
        <v>3153</v>
      </c>
      <c r="K518" t="s">
        <v>3185</v>
      </c>
      <c r="L518" t="str">
        <f>_xlfn.XLOOKUP(C518,[1]!Table1[Shift_ID],[1]!Table1[Shift_ID])</f>
        <v>S01</v>
      </c>
      <c r="M518" t="str">
        <f>_xlfn.XLOOKUP(D518,[2]!Table1[Machine_ID],[2]!Table1[Machine_ID])</f>
        <v>M001</v>
      </c>
      <c r="N518" t="str">
        <f>_xlfn.XLOOKUP(E518,[3]Sheet1!$A$2:$A$391,[3]Sheet1!$A$2:$A$391)</f>
        <v>PO10035</v>
      </c>
    </row>
    <row r="519" spans="1:14" x14ac:dyDescent="0.2">
      <c r="A519" t="s">
        <v>528</v>
      </c>
      <c r="B519" s="2">
        <v>46252</v>
      </c>
      <c r="C519" t="s">
        <v>2940</v>
      </c>
      <c r="D519" t="s">
        <v>2943</v>
      </c>
      <c r="E519" t="s">
        <v>2985</v>
      </c>
      <c r="F519" s="3">
        <v>46252.463493702548</v>
      </c>
      <c r="G519" s="3">
        <v>46252.465430478529</v>
      </c>
      <c r="H519">
        <v>2.79</v>
      </c>
      <c r="I519" t="s">
        <v>3149</v>
      </c>
      <c r="J519" t="s">
        <v>3168</v>
      </c>
      <c r="K519" t="s">
        <v>3184</v>
      </c>
      <c r="L519" t="str">
        <f>_xlfn.XLOOKUP(C519,[1]!Table1[Shift_ID],[1]!Table1[Shift_ID])</f>
        <v>S01</v>
      </c>
      <c r="M519" t="str">
        <f>_xlfn.XLOOKUP(D519,[2]!Table1[Machine_ID],[2]!Table1[Machine_ID])</f>
        <v>M002</v>
      </c>
      <c r="N519" t="str">
        <f>_xlfn.XLOOKUP(E519,[3]Sheet1!$A$2:$A$391,[3]Sheet1!$A$2:$A$391)</f>
        <v>PO10035</v>
      </c>
    </row>
    <row r="520" spans="1:14" x14ac:dyDescent="0.2">
      <c r="A520" t="s">
        <v>529</v>
      </c>
      <c r="B520" s="2">
        <v>46252</v>
      </c>
      <c r="C520" t="s">
        <v>2940</v>
      </c>
      <c r="D520" t="s">
        <v>2943</v>
      </c>
      <c r="E520" t="s">
        <v>2985</v>
      </c>
      <c r="F520" s="3">
        <v>46252.472196419098</v>
      </c>
      <c r="G520" s="3">
        <v>46252.479311867108</v>
      </c>
      <c r="H520">
        <v>10.25</v>
      </c>
      <c r="I520" t="s">
        <v>3147</v>
      </c>
      <c r="J520" t="s">
        <v>3167</v>
      </c>
      <c r="K520" t="s">
        <v>3185</v>
      </c>
      <c r="L520" t="str">
        <f>_xlfn.XLOOKUP(C520,[1]!Table1[Shift_ID],[1]!Table1[Shift_ID])</f>
        <v>S01</v>
      </c>
      <c r="M520" t="str">
        <f>_xlfn.XLOOKUP(D520,[2]!Table1[Machine_ID],[2]!Table1[Machine_ID])</f>
        <v>M002</v>
      </c>
      <c r="N520" t="str">
        <f>_xlfn.XLOOKUP(E520,[3]Sheet1!$A$2:$A$391,[3]Sheet1!$A$2:$A$391)</f>
        <v>PO10035</v>
      </c>
    </row>
    <row r="521" spans="1:14" x14ac:dyDescent="0.2">
      <c r="A521" t="s">
        <v>530</v>
      </c>
      <c r="B521" s="2">
        <v>46252</v>
      </c>
      <c r="C521" t="s">
        <v>2940</v>
      </c>
      <c r="D521" t="s">
        <v>2944</v>
      </c>
      <c r="E521" t="s">
        <v>2985</v>
      </c>
      <c r="F521" s="3">
        <v>46252.434040826971</v>
      </c>
      <c r="G521" s="3">
        <v>46252.442337525579</v>
      </c>
      <c r="H521">
        <v>11.95</v>
      </c>
      <c r="I521" t="s">
        <v>3147</v>
      </c>
      <c r="J521" t="s">
        <v>3154</v>
      </c>
      <c r="K521" t="s">
        <v>3172</v>
      </c>
      <c r="L521" t="str">
        <f>_xlfn.XLOOKUP(C521,[1]!Table1[Shift_ID],[1]!Table1[Shift_ID])</f>
        <v>S01</v>
      </c>
      <c r="M521" t="str">
        <f>_xlfn.XLOOKUP(D521,[2]!Table1[Machine_ID],[2]!Table1[Machine_ID])</f>
        <v>M003</v>
      </c>
      <c r="N521" t="str">
        <f>_xlfn.XLOOKUP(E521,[3]Sheet1!$A$2:$A$391,[3]Sheet1!$A$2:$A$391)</f>
        <v>PO10035</v>
      </c>
    </row>
    <row r="522" spans="1:14" x14ac:dyDescent="0.2">
      <c r="A522" t="s">
        <v>531</v>
      </c>
      <c r="B522" s="2">
        <v>46252</v>
      </c>
      <c r="C522" t="s">
        <v>2940</v>
      </c>
      <c r="D522" t="s">
        <v>2944</v>
      </c>
      <c r="E522" t="s">
        <v>2985</v>
      </c>
      <c r="F522" s="3">
        <v>46252.498866715337</v>
      </c>
      <c r="G522" s="3">
        <v>46252.503381961833</v>
      </c>
      <c r="H522">
        <v>6.5</v>
      </c>
      <c r="I522" t="s">
        <v>3147</v>
      </c>
      <c r="J522" t="s">
        <v>3154</v>
      </c>
      <c r="K522" t="s">
        <v>3185</v>
      </c>
      <c r="L522" t="str">
        <f>_xlfn.XLOOKUP(C522,[1]!Table1[Shift_ID],[1]!Table1[Shift_ID])</f>
        <v>S01</v>
      </c>
      <c r="M522" t="str">
        <f>_xlfn.XLOOKUP(D522,[2]!Table1[Machine_ID],[2]!Table1[Machine_ID])</f>
        <v>M003</v>
      </c>
      <c r="N522" t="str">
        <f>_xlfn.XLOOKUP(E522,[3]Sheet1!$A$2:$A$391,[3]Sheet1!$A$2:$A$391)</f>
        <v>PO10035</v>
      </c>
    </row>
    <row r="523" spans="1:14" x14ac:dyDescent="0.2">
      <c r="A523" t="s">
        <v>532</v>
      </c>
      <c r="B523" s="2">
        <v>46252</v>
      </c>
      <c r="C523" t="s">
        <v>2940</v>
      </c>
      <c r="D523" t="s">
        <v>2945</v>
      </c>
      <c r="E523" t="s">
        <v>2985</v>
      </c>
      <c r="F523" s="3">
        <v>46252.455321630143</v>
      </c>
      <c r="G523" s="3">
        <v>46252.458775673113</v>
      </c>
      <c r="H523">
        <v>4.97</v>
      </c>
      <c r="I523" t="s">
        <v>3147</v>
      </c>
      <c r="J523" t="s">
        <v>3167</v>
      </c>
      <c r="K523" t="s">
        <v>3186</v>
      </c>
      <c r="L523" t="str">
        <f>_xlfn.XLOOKUP(C523,[1]!Table1[Shift_ID],[1]!Table1[Shift_ID])</f>
        <v>S01</v>
      </c>
      <c r="M523" t="str">
        <f>_xlfn.XLOOKUP(D523,[2]!Table1[Machine_ID],[2]!Table1[Machine_ID])</f>
        <v>M004</v>
      </c>
      <c r="N523" t="str">
        <f>_xlfn.XLOOKUP(E523,[3]Sheet1!$A$2:$A$391,[3]Sheet1!$A$2:$A$391)</f>
        <v>PO10035</v>
      </c>
    </row>
    <row r="524" spans="1:14" x14ac:dyDescent="0.2">
      <c r="A524" t="s">
        <v>533</v>
      </c>
      <c r="B524" s="2">
        <v>46252</v>
      </c>
      <c r="C524" t="s">
        <v>2940</v>
      </c>
      <c r="D524" t="s">
        <v>2945</v>
      </c>
      <c r="E524" t="s">
        <v>2985</v>
      </c>
      <c r="F524" s="3">
        <v>46252.525265233082</v>
      </c>
      <c r="G524" s="3">
        <v>46252.53140641105</v>
      </c>
      <c r="H524">
        <v>8.84</v>
      </c>
      <c r="I524" t="s">
        <v>3150</v>
      </c>
      <c r="J524" t="s">
        <v>3163</v>
      </c>
      <c r="K524" t="s">
        <v>3178</v>
      </c>
      <c r="L524" t="str">
        <f>_xlfn.XLOOKUP(C524,[1]!Table1[Shift_ID],[1]!Table1[Shift_ID])</f>
        <v>S01</v>
      </c>
      <c r="M524" t="str">
        <f>_xlfn.XLOOKUP(D524,[2]!Table1[Machine_ID],[2]!Table1[Machine_ID])</f>
        <v>M004</v>
      </c>
      <c r="N524" t="str">
        <f>_xlfn.XLOOKUP(E524,[3]Sheet1!$A$2:$A$391,[3]Sheet1!$A$2:$A$391)</f>
        <v>PO10035</v>
      </c>
    </row>
    <row r="525" spans="1:14" x14ac:dyDescent="0.2">
      <c r="A525" t="s">
        <v>534</v>
      </c>
      <c r="B525" s="2">
        <v>46252</v>
      </c>
      <c r="C525" t="s">
        <v>2940</v>
      </c>
      <c r="D525" t="s">
        <v>2946</v>
      </c>
      <c r="E525" t="s">
        <v>2985</v>
      </c>
      <c r="F525" s="3">
        <v>46252.282021226551</v>
      </c>
      <c r="G525" s="3">
        <v>46252.29335805896</v>
      </c>
      <c r="H525">
        <v>16.329999999999998</v>
      </c>
      <c r="I525" t="s">
        <v>3149</v>
      </c>
      <c r="J525" t="s">
        <v>3168</v>
      </c>
      <c r="K525" t="s">
        <v>3176</v>
      </c>
      <c r="L525" t="str">
        <f>_xlfn.XLOOKUP(C525,[1]!Table1[Shift_ID],[1]!Table1[Shift_ID])</f>
        <v>S01</v>
      </c>
      <c r="M525" t="str">
        <f>_xlfn.XLOOKUP(D525,[2]!Table1[Machine_ID],[2]!Table1[Machine_ID])</f>
        <v>M005</v>
      </c>
      <c r="N525" t="str">
        <f>_xlfn.XLOOKUP(E525,[3]Sheet1!$A$2:$A$391,[3]Sheet1!$A$2:$A$391)</f>
        <v>PO10035</v>
      </c>
    </row>
    <row r="526" spans="1:14" x14ac:dyDescent="0.2">
      <c r="A526" t="s">
        <v>535</v>
      </c>
      <c r="B526" s="2">
        <v>46252</v>
      </c>
      <c r="C526" t="s">
        <v>2940</v>
      </c>
      <c r="D526" t="s">
        <v>2947</v>
      </c>
      <c r="E526" t="s">
        <v>2985</v>
      </c>
      <c r="F526" s="3">
        <v>46252.406201872422</v>
      </c>
      <c r="G526" s="3">
        <v>46252.437743925831</v>
      </c>
      <c r="H526">
        <v>45.42</v>
      </c>
      <c r="I526" t="s">
        <v>3146</v>
      </c>
      <c r="J526" t="s">
        <v>3152</v>
      </c>
      <c r="K526" t="s">
        <v>3174</v>
      </c>
      <c r="L526" t="str">
        <f>_xlfn.XLOOKUP(C526,[1]!Table1[Shift_ID],[1]!Table1[Shift_ID])</f>
        <v>S01</v>
      </c>
      <c r="M526" t="str">
        <f>_xlfn.XLOOKUP(D526,[2]!Table1[Machine_ID],[2]!Table1[Machine_ID])</f>
        <v>M006</v>
      </c>
      <c r="N526" t="str">
        <f>_xlfn.XLOOKUP(E526,[3]Sheet1!$A$2:$A$391,[3]Sheet1!$A$2:$A$391)</f>
        <v>PO10035</v>
      </c>
    </row>
    <row r="527" spans="1:14" x14ac:dyDescent="0.2">
      <c r="A527" t="s">
        <v>536</v>
      </c>
      <c r="B527" s="2">
        <v>46252</v>
      </c>
      <c r="C527" t="s">
        <v>2940</v>
      </c>
      <c r="D527" t="s">
        <v>2948</v>
      </c>
      <c r="E527" t="s">
        <v>2985</v>
      </c>
      <c r="F527" s="3">
        <v>46252.477494077553</v>
      </c>
      <c r="G527" s="3">
        <v>46252.497237491712</v>
      </c>
      <c r="H527">
        <v>28.43</v>
      </c>
      <c r="I527" t="s">
        <v>3148</v>
      </c>
      <c r="J527" t="s">
        <v>3165</v>
      </c>
      <c r="K527" t="s">
        <v>3173</v>
      </c>
      <c r="L527" t="str">
        <f>_xlfn.XLOOKUP(C527,[1]!Table1[Shift_ID],[1]!Table1[Shift_ID])</f>
        <v>S01</v>
      </c>
      <c r="M527" t="str">
        <f>_xlfn.XLOOKUP(D527,[2]!Table1[Machine_ID],[2]!Table1[Machine_ID])</f>
        <v>M007</v>
      </c>
      <c r="N527" t="str">
        <f>_xlfn.XLOOKUP(E527,[3]Sheet1!$A$2:$A$391,[3]Sheet1!$A$2:$A$391)</f>
        <v>PO10035</v>
      </c>
    </row>
    <row r="528" spans="1:14" x14ac:dyDescent="0.2">
      <c r="A528" t="s">
        <v>537</v>
      </c>
      <c r="B528" s="2">
        <v>46252</v>
      </c>
      <c r="C528" t="s">
        <v>2940</v>
      </c>
      <c r="D528" t="s">
        <v>2949</v>
      </c>
      <c r="E528" t="s">
        <v>2985</v>
      </c>
      <c r="F528" s="3">
        <v>46252.35528112117</v>
      </c>
      <c r="G528" s="3">
        <v>46252.361762601548</v>
      </c>
      <c r="H528">
        <v>9.33</v>
      </c>
      <c r="I528" t="s">
        <v>3148</v>
      </c>
      <c r="J528" t="s">
        <v>3164</v>
      </c>
      <c r="K528" t="s">
        <v>3180</v>
      </c>
      <c r="L528" t="str">
        <f>_xlfn.XLOOKUP(C528,[1]!Table1[Shift_ID],[1]!Table1[Shift_ID])</f>
        <v>S01</v>
      </c>
      <c r="M528" t="str">
        <f>_xlfn.XLOOKUP(D528,[2]!Table1[Machine_ID],[2]!Table1[Machine_ID])</f>
        <v>M008</v>
      </c>
      <c r="N528" t="str">
        <f>_xlfn.XLOOKUP(E528,[3]Sheet1!$A$2:$A$391,[3]Sheet1!$A$2:$A$391)</f>
        <v>PO10035</v>
      </c>
    </row>
    <row r="529" spans="1:14" x14ac:dyDescent="0.2">
      <c r="A529" t="s">
        <v>538</v>
      </c>
      <c r="B529" s="2">
        <v>46252</v>
      </c>
      <c r="C529" t="s">
        <v>2941</v>
      </c>
      <c r="D529" t="s">
        <v>2942</v>
      </c>
      <c r="E529" t="s">
        <v>2986</v>
      </c>
      <c r="F529" s="3">
        <v>46252.644323780987</v>
      </c>
      <c r="G529" s="3">
        <v>46252.646838804947</v>
      </c>
      <c r="H529">
        <v>3.62</v>
      </c>
      <c r="I529" t="s">
        <v>3147</v>
      </c>
      <c r="J529" t="s">
        <v>3167</v>
      </c>
      <c r="K529" t="s">
        <v>3186</v>
      </c>
      <c r="L529" t="str">
        <f>_xlfn.XLOOKUP(C529,[1]!Table1[Shift_ID],[1]!Table1[Shift_ID])</f>
        <v>S02</v>
      </c>
      <c r="M529" t="str">
        <f>_xlfn.XLOOKUP(D529,[2]!Table1[Machine_ID],[2]!Table1[Machine_ID])</f>
        <v>M001</v>
      </c>
      <c r="N529" t="str">
        <f>_xlfn.XLOOKUP(E529,[3]Sheet1!$A$2:$A$391,[3]Sheet1!$A$2:$A$391)</f>
        <v>PO10036</v>
      </c>
    </row>
    <row r="530" spans="1:14" x14ac:dyDescent="0.2">
      <c r="A530" t="s">
        <v>539</v>
      </c>
      <c r="B530" s="2">
        <v>46252</v>
      </c>
      <c r="C530" t="s">
        <v>2941</v>
      </c>
      <c r="D530" t="s">
        <v>2942</v>
      </c>
      <c r="E530" t="s">
        <v>2986</v>
      </c>
      <c r="F530" s="3">
        <v>46252.652241254502</v>
      </c>
      <c r="G530" s="3">
        <v>46252.656582394673</v>
      </c>
      <c r="H530">
        <v>6.25</v>
      </c>
      <c r="I530" t="s">
        <v>3151</v>
      </c>
      <c r="J530" t="s">
        <v>3161</v>
      </c>
      <c r="K530" t="s">
        <v>3188</v>
      </c>
      <c r="L530" t="str">
        <f>_xlfn.XLOOKUP(C530,[1]!Table1[Shift_ID],[1]!Table1[Shift_ID])</f>
        <v>S02</v>
      </c>
      <c r="M530" t="str">
        <f>_xlfn.XLOOKUP(D530,[2]!Table1[Machine_ID],[2]!Table1[Machine_ID])</f>
        <v>M001</v>
      </c>
      <c r="N530" t="str">
        <f>_xlfn.XLOOKUP(E530,[3]Sheet1!$A$2:$A$391,[3]Sheet1!$A$2:$A$391)</f>
        <v>PO10036</v>
      </c>
    </row>
    <row r="531" spans="1:14" x14ac:dyDescent="0.2">
      <c r="A531" t="s">
        <v>540</v>
      </c>
      <c r="B531" s="2">
        <v>46252</v>
      </c>
      <c r="C531" t="s">
        <v>2941</v>
      </c>
      <c r="D531" t="s">
        <v>2943</v>
      </c>
      <c r="E531" t="s">
        <v>2986</v>
      </c>
      <c r="F531" s="3">
        <v>46252.705772584362</v>
      </c>
      <c r="G531" s="3">
        <v>46252.714244780487</v>
      </c>
      <c r="H531">
        <v>12.2</v>
      </c>
      <c r="I531" t="s">
        <v>3146</v>
      </c>
      <c r="J531" t="s">
        <v>3157</v>
      </c>
      <c r="K531" t="s">
        <v>3174</v>
      </c>
      <c r="L531" t="str">
        <f>_xlfn.XLOOKUP(C531,[1]!Table1[Shift_ID],[1]!Table1[Shift_ID])</f>
        <v>S02</v>
      </c>
      <c r="M531" t="str">
        <f>_xlfn.XLOOKUP(D531,[2]!Table1[Machine_ID],[2]!Table1[Machine_ID])</f>
        <v>M002</v>
      </c>
      <c r="N531" t="str">
        <f>_xlfn.XLOOKUP(E531,[3]Sheet1!$A$2:$A$391,[3]Sheet1!$A$2:$A$391)</f>
        <v>PO10036</v>
      </c>
    </row>
    <row r="532" spans="1:14" x14ac:dyDescent="0.2">
      <c r="A532" t="s">
        <v>541</v>
      </c>
      <c r="B532" s="2">
        <v>46252</v>
      </c>
      <c r="C532" t="s">
        <v>2941</v>
      </c>
      <c r="D532" t="s">
        <v>2944</v>
      </c>
      <c r="E532" t="s">
        <v>2986</v>
      </c>
      <c r="F532" s="3">
        <v>46252.838777223318</v>
      </c>
      <c r="G532" s="3">
        <v>46252.851989545918</v>
      </c>
      <c r="H532">
        <v>19.03</v>
      </c>
      <c r="I532" t="s">
        <v>3151</v>
      </c>
      <c r="J532" t="s">
        <v>3169</v>
      </c>
      <c r="K532" t="s">
        <v>3188</v>
      </c>
      <c r="L532" t="str">
        <f>_xlfn.XLOOKUP(C532,[1]!Table1[Shift_ID],[1]!Table1[Shift_ID])</f>
        <v>S02</v>
      </c>
      <c r="M532" t="str">
        <f>_xlfn.XLOOKUP(D532,[2]!Table1[Machine_ID],[2]!Table1[Machine_ID])</f>
        <v>M003</v>
      </c>
      <c r="N532" t="str">
        <f>_xlfn.XLOOKUP(E532,[3]Sheet1!$A$2:$A$391,[3]Sheet1!$A$2:$A$391)</f>
        <v>PO10036</v>
      </c>
    </row>
    <row r="533" spans="1:14" x14ac:dyDescent="0.2">
      <c r="A533" t="s">
        <v>542</v>
      </c>
      <c r="B533" s="2">
        <v>46252</v>
      </c>
      <c r="C533" t="s">
        <v>2941</v>
      </c>
      <c r="D533" t="s">
        <v>2945</v>
      </c>
      <c r="E533" t="s">
        <v>2986</v>
      </c>
      <c r="F533" s="3">
        <v>46252.85123154692</v>
      </c>
      <c r="G533" s="3">
        <v>46252.859152819372</v>
      </c>
      <c r="H533">
        <v>11.41</v>
      </c>
      <c r="I533" t="s">
        <v>3150</v>
      </c>
      <c r="J533" t="s">
        <v>3163</v>
      </c>
      <c r="K533" t="s">
        <v>3177</v>
      </c>
      <c r="L533" t="str">
        <f>_xlfn.XLOOKUP(C533,[1]!Table1[Shift_ID],[1]!Table1[Shift_ID])</f>
        <v>S02</v>
      </c>
      <c r="M533" t="str">
        <f>_xlfn.XLOOKUP(D533,[2]!Table1[Machine_ID],[2]!Table1[Machine_ID])</f>
        <v>M004</v>
      </c>
      <c r="N533" t="str">
        <f>_xlfn.XLOOKUP(E533,[3]Sheet1!$A$2:$A$391,[3]Sheet1!$A$2:$A$391)</f>
        <v>PO10036</v>
      </c>
    </row>
    <row r="534" spans="1:14" x14ac:dyDescent="0.2">
      <c r="A534" t="s">
        <v>543</v>
      </c>
      <c r="B534" s="2">
        <v>46252</v>
      </c>
      <c r="C534" t="s">
        <v>2941</v>
      </c>
      <c r="D534" t="s">
        <v>2946</v>
      </c>
      <c r="E534" t="s">
        <v>2986</v>
      </c>
      <c r="F534" s="3">
        <v>46252.639457331214</v>
      </c>
      <c r="G534" s="3">
        <v>46252.646160808159</v>
      </c>
      <c r="H534">
        <v>9.65</v>
      </c>
      <c r="I534" t="s">
        <v>3147</v>
      </c>
      <c r="J534" t="s">
        <v>3167</v>
      </c>
      <c r="K534" t="s">
        <v>3185</v>
      </c>
      <c r="L534" t="str">
        <f>_xlfn.XLOOKUP(C534,[1]!Table1[Shift_ID],[1]!Table1[Shift_ID])</f>
        <v>S02</v>
      </c>
      <c r="M534" t="str">
        <f>_xlfn.XLOOKUP(D534,[2]!Table1[Machine_ID],[2]!Table1[Machine_ID])</f>
        <v>M005</v>
      </c>
      <c r="N534" t="str">
        <f>_xlfn.XLOOKUP(E534,[3]Sheet1!$A$2:$A$391,[3]Sheet1!$A$2:$A$391)</f>
        <v>PO10036</v>
      </c>
    </row>
    <row r="535" spans="1:14" x14ac:dyDescent="0.2">
      <c r="A535" t="s">
        <v>544</v>
      </c>
      <c r="B535" s="2">
        <v>46252</v>
      </c>
      <c r="C535" t="s">
        <v>2941</v>
      </c>
      <c r="D535" t="s">
        <v>2946</v>
      </c>
      <c r="E535" t="s">
        <v>2986</v>
      </c>
      <c r="F535" s="3">
        <v>46252.839782401461</v>
      </c>
      <c r="G535" s="3">
        <v>46252.842949301586</v>
      </c>
      <c r="H535">
        <v>4.5599999999999996</v>
      </c>
      <c r="I535" t="s">
        <v>3150</v>
      </c>
      <c r="J535" t="s">
        <v>3166</v>
      </c>
      <c r="K535" t="s">
        <v>3178</v>
      </c>
      <c r="L535" t="str">
        <f>_xlfn.XLOOKUP(C535,[1]!Table1[Shift_ID],[1]!Table1[Shift_ID])</f>
        <v>S02</v>
      </c>
      <c r="M535" t="str">
        <f>_xlfn.XLOOKUP(D535,[2]!Table1[Machine_ID],[2]!Table1[Machine_ID])</f>
        <v>M005</v>
      </c>
      <c r="N535" t="str">
        <f>_xlfn.XLOOKUP(E535,[3]Sheet1!$A$2:$A$391,[3]Sheet1!$A$2:$A$391)</f>
        <v>PO10036</v>
      </c>
    </row>
    <row r="536" spans="1:14" x14ac:dyDescent="0.2">
      <c r="A536" t="s">
        <v>545</v>
      </c>
      <c r="B536" s="2">
        <v>46252</v>
      </c>
      <c r="C536" t="s">
        <v>2941</v>
      </c>
      <c r="D536" t="s">
        <v>2947</v>
      </c>
      <c r="E536" t="s">
        <v>2986</v>
      </c>
      <c r="F536" s="3">
        <v>46252.587458833703</v>
      </c>
      <c r="G536" s="3">
        <v>46252.604486070588</v>
      </c>
      <c r="H536">
        <v>24.52</v>
      </c>
      <c r="I536" t="s">
        <v>3146</v>
      </c>
      <c r="J536" t="s">
        <v>3157</v>
      </c>
      <c r="K536" t="s">
        <v>3171</v>
      </c>
      <c r="L536" t="str">
        <f>_xlfn.XLOOKUP(C536,[1]!Table1[Shift_ID],[1]!Table1[Shift_ID])</f>
        <v>S02</v>
      </c>
      <c r="M536" t="str">
        <f>_xlfn.XLOOKUP(D536,[2]!Table1[Machine_ID],[2]!Table1[Machine_ID])</f>
        <v>M006</v>
      </c>
      <c r="N536" t="str">
        <f>_xlfn.XLOOKUP(E536,[3]Sheet1!$A$2:$A$391,[3]Sheet1!$A$2:$A$391)</f>
        <v>PO10036</v>
      </c>
    </row>
    <row r="537" spans="1:14" x14ac:dyDescent="0.2">
      <c r="A537" t="s">
        <v>546</v>
      </c>
      <c r="B537" s="2">
        <v>46252</v>
      </c>
      <c r="C537" t="s">
        <v>2941</v>
      </c>
      <c r="D537" t="s">
        <v>2947</v>
      </c>
      <c r="E537" t="s">
        <v>2986</v>
      </c>
      <c r="F537" s="3">
        <v>46252.650283477044</v>
      </c>
      <c r="G537" s="3">
        <v>46252.65335734676</v>
      </c>
      <c r="H537">
        <v>4.43</v>
      </c>
      <c r="I537" t="s">
        <v>3147</v>
      </c>
      <c r="J537" t="s">
        <v>3167</v>
      </c>
      <c r="K537" t="s">
        <v>3172</v>
      </c>
      <c r="L537" t="str">
        <f>_xlfn.XLOOKUP(C537,[1]!Table1[Shift_ID],[1]!Table1[Shift_ID])</f>
        <v>S02</v>
      </c>
      <c r="M537" t="str">
        <f>_xlfn.XLOOKUP(D537,[2]!Table1[Machine_ID],[2]!Table1[Machine_ID])</f>
        <v>M006</v>
      </c>
      <c r="N537" t="str">
        <f>_xlfn.XLOOKUP(E537,[3]Sheet1!$A$2:$A$391,[3]Sheet1!$A$2:$A$391)</f>
        <v>PO10036</v>
      </c>
    </row>
    <row r="538" spans="1:14" x14ac:dyDescent="0.2">
      <c r="A538" t="s">
        <v>547</v>
      </c>
      <c r="B538" s="2">
        <v>46252</v>
      </c>
      <c r="C538" t="s">
        <v>2941</v>
      </c>
      <c r="D538" t="s">
        <v>2947</v>
      </c>
      <c r="E538" t="s">
        <v>2986</v>
      </c>
      <c r="F538" s="3">
        <v>46252.755251431903</v>
      </c>
      <c r="G538" s="3">
        <v>46252.757275638673</v>
      </c>
      <c r="H538">
        <v>2.91</v>
      </c>
      <c r="I538" t="s">
        <v>3149</v>
      </c>
      <c r="J538" t="s">
        <v>3168</v>
      </c>
      <c r="K538" t="s">
        <v>3184</v>
      </c>
      <c r="L538" t="str">
        <f>_xlfn.XLOOKUP(C538,[1]!Table1[Shift_ID],[1]!Table1[Shift_ID])</f>
        <v>S02</v>
      </c>
      <c r="M538" t="str">
        <f>_xlfn.XLOOKUP(D538,[2]!Table1[Machine_ID],[2]!Table1[Machine_ID])</f>
        <v>M006</v>
      </c>
      <c r="N538" t="str">
        <f>_xlfn.XLOOKUP(E538,[3]Sheet1!$A$2:$A$391,[3]Sheet1!$A$2:$A$391)</f>
        <v>PO10036</v>
      </c>
    </row>
    <row r="539" spans="1:14" x14ac:dyDescent="0.2">
      <c r="A539" t="s">
        <v>548</v>
      </c>
      <c r="B539" s="2">
        <v>46252</v>
      </c>
      <c r="C539" t="s">
        <v>2941</v>
      </c>
      <c r="D539" t="s">
        <v>2947</v>
      </c>
      <c r="E539" t="s">
        <v>2986</v>
      </c>
      <c r="F539" s="3">
        <v>46252.804808044602</v>
      </c>
      <c r="G539" s="3">
        <v>46252.806832251357</v>
      </c>
      <c r="H539">
        <v>2.91</v>
      </c>
      <c r="I539" t="s">
        <v>3151</v>
      </c>
      <c r="J539" t="s">
        <v>3161</v>
      </c>
      <c r="K539" t="s">
        <v>3188</v>
      </c>
      <c r="L539" t="str">
        <f>_xlfn.XLOOKUP(C539,[1]!Table1[Shift_ID],[1]!Table1[Shift_ID])</f>
        <v>S02</v>
      </c>
      <c r="M539" t="str">
        <f>_xlfn.XLOOKUP(D539,[2]!Table1[Machine_ID],[2]!Table1[Machine_ID])</f>
        <v>M006</v>
      </c>
      <c r="N539" t="str">
        <f>_xlfn.XLOOKUP(E539,[3]Sheet1!$A$2:$A$391,[3]Sheet1!$A$2:$A$391)</f>
        <v>PO10036</v>
      </c>
    </row>
    <row r="540" spans="1:14" x14ac:dyDescent="0.2">
      <c r="A540" t="s">
        <v>549</v>
      </c>
      <c r="B540" s="2">
        <v>46252</v>
      </c>
      <c r="C540" t="s">
        <v>2941</v>
      </c>
      <c r="D540" t="s">
        <v>2947</v>
      </c>
      <c r="E540" t="s">
        <v>2986</v>
      </c>
      <c r="F540" s="3">
        <v>46252.898690019887</v>
      </c>
      <c r="G540" s="3">
        <v>46252.903339225799</v>
      </c>
      <c r="H540">
        <v>6.69</v>
      </c>
      <c r="I540" t="s">
        <v>3146</v>
      </c>
      <c r="J540" t="s">
        <v>3157</v>
      </c>
      <c r="K540" t="s">
        <v>3174</v>
      </c>
      <c r="L540" t="str">
        <f>_xlfn.XLOOKUP(C540,[1]!Table1[Shift_ID],[1]!Table1[Shift_ID])</f>
        <v>S02</v>
      </c>
      <c r="M540" t="str">
        <f>_xlfn.XLOOKUP(D540,[2]!Table1[Machine_ID],[2]!Table1[Machine_ID])</f>
        <v>M006</v>
      </c>
      <c r="N540" t="str">
        <f>_xlfn.XLOOKUP(E540,[3]Sheet1!$A$2:$A$391,[3]Sheet1!$A$2:$A$391)</f>
        <v>PO10036</v>
      </c>
    </row>
    <row r="541" spans="1:14" x14ac:dyDescent="0.2">
      <c r="A541" t="s">
        <v>550</v>
      </c>
      <c r="B541" s="2">
        <v>46252</v>
      </c>
      <c r="C541" t="s">
        <v>2941</v>
      </c>
      <c r="D541" t="s">
        <v>2948</v>
      </c>
      <c r="E541" t="s">
        <v>2986</v>
      </c>
      <c r="F541" s="3">
        <v>46252.759659854317</v>
      </c>
      <c r="G541" s="3">
        <v>46252.767092283357</v>
      </c>
      <c r="H541">
        <v>10.7</v>
      </c>
      <c r="I541" t="s">
        <v>3150</v>
      </c>
      <c r="J541" t="s">
        <v>3160</v>
      </c>
      <c r="K541" t="s">
        <v>3177</v>
      </c>
      <c r="L541" t="str">
        <f>_xlfn.XLOOKUP(C541,[1]!Table1[Shift_ID],[1]!Table1[Shift_ID])</f>
        <v>S02</v>
      </c>
      <c r="M541" t="str">
        <f>_xlfn.XLOOKUP(D541,[2]!Table1[Machine_ID],[2]!Table1[Machine_ID])</f>
        <v>M007</v>
      </c>
      <c r="N541" t="str">
        <f>_xlfn.XLOOKUP(E541,[3]Sheet1!$A$2:$A$391,[3]Sheet1!$A$2:$A$391)</f>
        <v>PO10036</v>
      </c>
    </row>
    <row r="542" spans="1:14" x14ac:dyDescent="0.2">
      <c r="A542" t="s">
        <v>551</v>
      </c>
      <c r="B542" s="2">
        <v>46252</v>
      </c>
      <c r="C542" t="s">
        <v>2941</v>
      </c>
      <c r="D542" t="s">
        <v>2948</v>
      </c>
      <c r="E542" t="s">
        <v>2986</v>
      </c>
      <c r="F542" s="3">
        <v>46252.896500055263</v>
      </c>
      <c r="G542" s="3">
        <v>46252.904626939409</v>
      </c>
      <c r="H542">
        <v>11.7</v>
      </c>
      <c r="I542" t="s">
        <v>3149</v>
      </c>
      <c r="J542" t="s">
        <v>3158</v>
      </c>
      <c r="K542" t="s">
        <v>3182</v>
      </c>
      <c r="L542" t="str">
        <f>_xlfn.XLOOKUP(C542,[1]!Table1[Shift_ID],[1]!Table1[Shift_ID])</f>
        <v>S02</v>
      </c>
      <c r="M542" t="str">
        <f>_xlfn.XLOOKUP(D542,[2]!Table1[Machine_ID],[2]!Table1[Machine_ID])</f>
        <v>M007</v>
      </c>
      <c r="N542" t="str">
        <f>_xlfn.XLOOKUP(E542,[3]Sheet1!$A$2:$A$391,[3]Sheet1!$A$2:$A$391)</f>
        <v>PO10036</v>
      </c>
    </row>
    <row r="543" spans="1:14" x14ac:dyDescent="0.2">
      <c r="A543" t="s">
        <v>552</v>
      </c>
      <c r="B543" s="2">
        <v>46252</v>
      </c>
      <c r="C543" t="s">
        <v>2941</v>
      </c>
      <c r="D543" t="s">
        <v>2949</v>
      </c>
      <c r="E543" t="s">
        <v>2986</v>
      </c>
      <c r="F543" s="3">
        <v>46252.627205744277</v>
      </c>
      <c r="G543" s="3">
        <v>46252.628881796467</v>
      </c>
      <c r="H543">
        <v>2.41</v>
      </c>
      <c r="I543" t="s">
        <v>3147</v>
      </c>
      <c r="J543" t="s">
        <v>3167</v>
      </c>
      <c r="K543" t="s">
        <v>3186</v>
      </c>
      <c r="L543" t="str">
        <f>_xlfn.XLOOKUP(C543,[1]!Table1[Shift_ID],[1]!Table1[Shift_ID])</f>
        <v>S02</v>
      </c>
      <c r="M543" t="str">
        <f>_xlfn.XLOOKUP(D543,[2]!Table1[Machine_ID],[2]!Table1[Machine_ID])</f>
        <v>M008</v>
      </c>
      <c r="N543" t="str">
        <f>_xlfn.XLOOKUP(E543,[3]Sheet1!$A$2:$A$391,[3]Sheet1!$A$2:$A$391)</f>
        <v>PO10036</v>
      </c>
    </row>
    <row r="544" spans="1:14" x14ac:dyDescent="0.2">
      <c r="A544" t="s">
        <v>553</v>
      </c>
      <c r="B544" s="2">
        <v>46252</v>
      </c>
      <c r="C544" t="s">
        <v>2941</v>
      </c>
      <c r="D544" t="s">
        <v>2949</v>
      </c>
      <c r="E544" t="s">
        <v>2986</v>
      </c>
      <c r="F544" s="3">
        <v>46252.720078867649</v>
      </c>
      <c r="G544" s="3">
        <v>46252.725951655397</v>
      </c>
      <c r="H544">
        <v>8.4600000000000009</v>
      </c>
      <c r="I544" t="s">
        <v>3150</v>
      </c>
      <c r="J544" t="s">
        <v>3166</v>
      </c>
      <c r="K544" t="s">
        <v>3178</v>
      </c>
      <c r="L544" t="str">
        <f>_xlfn.XLOOKUP(C544,[1]!Table1[Shift_ID],[1]!Table1[Shift_ID])</f>
        <v>S02</v>
      </c>
      <c r="M544" t="str">
        <f>_xlfn.XLOOKUP(D544,[2]!Table1[Machine_ID],[2]!Table1[Machine_ID])</f>
        <v>M008</v>
      </c>
      <c r="N544" t="str">
        <f>_xlfn.XLOOKUP(E544,[3]Sheet1!$A$2:$A$391,[3]Sheet1!$A$2:$A$391)</f>
        <v>PO10036</v>
      </c>
    </row>
    <row r="545" spans="1:14" x14ac:dyDescent="0.2">
      <c r="A545" t="s">
        <v>554</v>
      </c>
      <c r="B545" s="2">
        <v>46253</v>
      </c>
      <c r="C545" t="s">
        <v>2939</v>
      </c>
      <c r="D545" t="s">
        <v>2942</v>
      </c>
      <c r="E545" t="s">
        <v>2987</v>
      </c>
      <c r="F545" s="3">
        <v>46254.051115795257</v>
      </c>
      <c r="G545" s="3">
        <v>46254.058396861459</v>
      </c>
      <c r="H545">
        <v>10.48</v>
      </c>
      <c r="I545" t="s">
        <v>3150</v>
      </c>
      <c r="J545" t="s">
        <v>3160</v>
      </c>
      <c r="K545" t="s">
        <v>3179</v>
      </c>
      <c r="L545" t="str">
        <f>_xlfn.XLOOKUP(C545,[1]!Table1[Shift_ID],[1]!Table1[Shift_ID])</f>
        <v>S03</v>
      </c>
      <c r="M545" t="str">
        <f>_xlfn.XLOOKUP(D545,[2]!Table1[Machine_ID],[2]!Table1[Machine_ID])</f>
        <v>M001</v>
      </c>
      <c r="N545" t="str">
        <f>_xlfn.XLOOKUP(E545,[3]Sheet1!$A$2:$A$391,[3]Sheet1!$A$2:$A$391)</f>
        <v>PO10037</v>
      </c>
    </row>
    <row r="546" spans="1:14" x14ac:dyDescent="0.2">
      <c r="A546" t="s">
        <v>555</v>
      </c>
      <c r="B546" s="2">
        <v>46253</v>
      </c>
      <c r="C546" t="s">
        <v>2939</v>
      </c>
      <c r="D546" t="s">
        <v>2943</v>
      </c>
      <c r="E546" t="s">
        <v>2987</v>
      </c>
      <c r="F546" s="3">
        <v>46253.952167729047</v>
      </c>
      <c r="G546" s="3">
        <v>46253.953643911133</v>
      </c>
      <c r="H546">
        <v>2.13</v>
      </c>
      <c r="I546" t="s">
        <v>3147</v>
      </c>
      <c r="J546" t="s">
        <v>3167</v>
      </c>
      <c r="K546" t="s">
        <v>3172</v>
      </c>
      <c r="L546" t="str">
        <f>_xlfn.XLOOKUP(C546,[1]!Table1[Shift_ID],[1]!Table1[Shift_ID])</f>
        <v>S03</v>
      </c>
      <c r="M546" t="str">
        <f>_xlfn.XLOOKUP(D546,[2]!Table1[Machine_ID],[2]!Table1[Machine_ID])</f>
        <v>M002</v>
      </c>
      <c r="N546" t="str">
        <f>_xlfn.XLOOKUP(E546,[3]Sheet1!$A$2:$A$391,[3]Sheet1!$A$2:$A$391)</f>
        <v>PO10037</v>
      </c>
    </row>
    <row r="547" spans="1:14" x14ac:dyDescent="0.2">
      <c r="A547" t="s">
        <v>556</v>
      </c>
      <c r="B547" s="2">
        <v>46253</v>
      </c>
      <c r="C547" t="s">
        <v>2939</v>
      </c>
      <c r="D547" t="s">
        <v>2943</v>
      </c>
      <c r="E547" t="s">
        <v>2987</v>
      </c>
      <c r="F547" s="3">
        <v>46254.030996774207</v>
      </c>
      <c r="G547" s="3">
        <v>46254.035997279367</v>
      </c>
      <c r="H547">
        <v>7.2</v>
      </c>
      <c r="I547" t="s">
        <v>3150</v>
      </c>
      <c r="J547" t="s">
        <v>3166</v>
      </c>
      <c r="K547" t="s">
        <v>3177</v>
      </c>
      <c r="L547" t="str">
        <f>_xlfn.XLOOKUP(C547,[1]!Table1[Shift_ID],[1]!Table1[Shift_ID])</f>
        <v>S03</v>
      </c>
      <c r="M547" t="str">
        <f>_xlfn.XLOOKUP(D547,[2]!Table1[Machine_ID],[2]!Table1[Machine_ID])</f>
        <v>M002</v>
      </c>
      <c r="N547" t="str">
        <f>_xlfn.XLOOKUP(E547,[3]Sheet1!$A$2:$A$391,[3]Sheet1!$A$2:$A$391)</f>
        <v>PO10037</v>
      </c>
    </row>
    <row r="548" spans="1:14" x14ac:dyDescent="0.2">
      <c r="A548" t="s">
        <v>557</v>
      </c>
      <c r="B548" s="2">
        <v>46253</v>
      </c>
      <c r="C548" t="s">
        <v>2939</v>
      </c>
      <c r="D548" t="s">
        <v>2943</v>
      </c>
      <c r="E548" t="s">
        <v>2987</v>
      </c>
      <c r="F548" s="3">
        <v>46254.167779702548</v>
      </c>
      <c r="G548" s="3">
        <v>46254.169255884619</v>
      </c>
      <c r="H548">
        <v>2.13</v>
      </c>
      <c r="I548" t="s">
        <v>3149</v>
      </c>
      <c r="J548" t="s">
        <v>3158</v>
      </c>
      <c r="K548" t="s">
        <v>3184</v>
      </c>
      <c r="L548" t="str">
        <f>_xlfn.XLOOKUP(C548,[1]!Table1[Shift_ID],[1]!Table1[Shift_ID])</f>
        <v>S03</v>
      </c>
      <c r="M548" t="str">
        <f>_xlfn.XLOOKUP(D548,[2]!Table1[Machine_ID],[2]!Table1[Machine_ID])</f>
        <v>M002</v>
      </c>
      <c r="N548" t="str">
        <f>_xlfn.XLOOKUP(E548,[3]Sheet1!$A$2:$A$391,[3]Sheet1!$A$2:$A$391)</f>
        <v>PO10037</v>
      </c>
    </row>
    <row r="549" spans="1:14" x14ac:dyDescent="0.2">
      <c r="A549" t="s">
        <v>558</v>
      </c>
      <c r="B549" s="2">
        <v>46253</v>
      </c>
      <c r="C549" t="s">
        <v>2939</v>
      </c>
      <c r="D549" t="s">
        <v>2943</v>
      </c>
      <c r="E549" t="s">
        <v>2987</v>
      </c>
      <c r="F549" s="3">
        <v>46254.232729095587</v>
      </c>
      <c r="G549" s="3">
        <v>46254.234459296131</v>
      </c>
      <c r="H549">
        <v>2.4900000000000002</v>
      </c>
      <c r="I549" t="s">
        <v>3149</v>
      </c>
      <c r="J549" t="s">
        <v>3158</v>
      </c>
      <c r="K549" t="s">
        <v>3184</v>
      </c>
      <c r="L549" t="str">
        <f>_xlfn.XLOOKUP(C549,[1]!Table1[Shift_ID],[1]!Table1[Shift_ID])</f>
        <v>S03</v>
      </c>
      <c r="M549" t="str">
        <f>_xlfn.XLOOKUP(D549,[2]!Table1[Machine_ID],[2]!Table1[Machine_ID])</f>
        <v>M002</v>
      </c>
      <c r="N549" t="str">
        <f>_xlfn.XLOOKUP(E549,[3]Sheet1!$A$2:$A$391,[3]Sheet1!$A$2:$A$391)</f>
        <v>PO10037</v>
      </c>
    </row>
    <row r="550" spans="1:14" x14ac:dyDescent="0.2">
      <c r="A550" t="s">
        <v>559</v>
      </c>
      <c r="B550" s="2">
        <v>46253</v>
      </c>
      <c r="C550" t="s">
        <v>2939</v>
      </c>
      <c r="D550" t="s">
        <v>2944</v>
      </c>
      <c r="E550" t="s">
        <v>2987</v>
      </c>
      <c r="F550" s="3">
        <v>46254.04609734346</v>
      </c>
      <c r="G550" s="3">
        <v>46254.048078904583</v>
      </c>
      <c r="H550">
        <v>2.85</v>
      </c>
      <c r="I550" t="s">
        <v>3151</v>
      </c>
      <c r="J550" t="s">
        <v>3169</v>
      </c>
      <c r="K550" t="s">
        <v>3181</v>
      </c>
      <c r="L550" t="str">
        <f>_xlfn.XLOOKUP(C550,[1]!Table1[Shift_ID],[1]!Table1[Shift_ID])</f>
        <v>S03</v>
      </c>
      <c r="M550" t="str">
        <f>_xlfn.XLOOKUP(D550,[2]!Table1[Machine_ID],[2]!Table1[Machine_ID])</f>
        <v>M003</v>
      </c>
      <c r="N550" t="str">
        <f>_xlfn.XLOOKUP(E550,[3]Sheet1!$A$2:$A$391,[3]Sheet1!$A$2:$A$391)</f>
        <v>PO10037</v>
      </c>
    </row>
    <row r="551" spans="1:14" x14ac:dyDescent="0.2">
      <c r="A551" t="s">
        <v>560</v>
      </c>
      <c r="B551" s="2">
        <v>46253</v>
      </c>
      <c r="C551" t="s">
        <v>2939</v>
      </c>
      <c r="D551" t="s">
        <v>2944</v>
      </c>
      <c r="E551" t="s">
        <v>2987</v>
      </c>
      <c r="F551" s="3">
        <v>46254.104262904897</v>
      </c>
      <c r="G551" s="3">
        <v>46254.116819117953</v>
      </c>
      <c r="H551">
        <v>18.079999999999998</v>
      </c>
      <c r="I551" t="s">
        <v>3146</v>
      </c>
      <c r="J551" t="s">
        <v>3152</v>
      </c>
      <c r="K551" t="s">
        <v>3171</v>
      </c>
      <c r="L551" t="str">
        <f>_xlfn.XLOOKUP(C551,[1]!Table1[Shift_ID],[1]!Table1[Shift_ID])</f>
        <v>S03</v>
      </c>
      <c r="M551" t="str">
        <f>_xlfn.XLOOKUP(D551,[2]!Table1[Machine_ID],[2]!Table1[Machine_ID])</f>
        <v>M003</v>
      </c>
      <c r="N551" t="str">
        <f>_xlfn.XLOOKUP(E551,[3]Sheet1!$A$2:$A$391,[3]Sheet1!$A$2:$A$391)</f>
        <v>PO10037</v>
      </c>
    </row>
    <row r="552" spans="1:14" x14ac:dyDescent="0.2">
      <c r="A552" t="s">
        <v>561</v>
      </c>
      <c r="B552" s="2">
        <v>46253</v>
      </c>
      <c r="C552" t="s">
        <v>2939</v>
      </c>
      <c r="D552" t="s">
        <v>2945</v>
      </c>
      <c r="E552" t="s">
        <v>2987</v>
      </c>
      <c r="F552" s="3">
        <v>46254.062041274083</v>
      </c>
      <c r="G552" s="3">
        <v>46254.069139703737</v>
      </c>
      <c r="H552">
        <v>10.220000000000001</v>
      </c>
      <c r="I552" t="s">
        <v>3149</v>
      </c>
      <c r="J552" t="s">
        <v>3158</v>
      </c>
      <c r="K552" t="s">
        <v>3182</v>
      </c>
      <c r="L552" t="str">
        <f>_xlfn.XLOOKUP(C552,[1]!Table1[Shift_ID],[1]!Table1[Shift_ID])</f>
        <v>S03</v>
      </c>
      <c r="M552" t="str">
        <f>_xlfn.XLOOKUP(D552,[2]!Table1[Machine_ID],[2]!Table1[Machine_ID])</f>
        <v>M004</v>
      </c>
      <c r="N552" t="str">
        <f>_xlfn.XLOOKUP(E552,[3]Sheet1!$A$2:$A$391,[3]Sheet1!$A$2:$A$391)</f>
        <v>PO10037</v>
      </c>
    </row>
    <row r="553" spans="1:14" x14ac:dyDescent="0.2">
      <c r="A553" t="s">
        <v>562</v>
      </c>
      <c r="B553" s="2">
        <v>46253</v>
      </c>
      <c r="C553" t="s">
        <v>2939</v>
      </c>
      <c r="D553" t="s">
        <v>2946</v>
      </c>
      <c r="E553" t="s">
        <v>2987</v>
      </c>
      <c r="F553" s="3">
        <v>46254.011813494617</v>
      </c>
      <c r="G553" s="3">
        <v>46254.013612714443</v>
      </c>
      <c r="H553">
        <v>2.59</v>
      </c>
      <c r="I553" t="s">
        <v>3146</v>
      </c>
      <c r="J553" t="s">
        <v>3157</v>
      </c>
      <c r="K553" t="s">
        <v>3175</v>
      </c>
      <c r="L553" t="str">
        <f>_xlfn.XLOOKUP(C553,[1]!Table1[Shift_ID],[1]!Table1[Shift_ID])</f>
        <v>S03</v>
      </c>
      <c r="M553" t="str">
        <f>_xlfn.XLOOKUP(D553,[2]!Table1[Machine_ID],[2]!Table1[Machine_ID])</f>
        <v>M005</v>
      </c>
      <c r="N553" t="str">
        <f>_xlfn.XLOOKUP(E553,[3]Sheet1!$A$2:$A$391,[3]Sheet1!$A$2:$A$391)</f>
        <v>PO10037</v>
      </c>
    </row>
    <row r="554" spans="1:14" x14ac:dyDescent="0.2">
      <c r="A554" t="s">
        <v>563</v>
      </c>
      <c r="B554" s="2">
        <v>46253</v>
      </c>
      <c r="C554" t="s">
        <v>2939</v>
      </c>
      <c r="D554" t="s">
        <v>2946</v>
      </c>
      <c r="E554" t="s">
        <v>2987</v>
      </c>
      <c r="F554" s="3">
        <v>46254.22787118722</v>
      </c>
      <c r="G554" s="3">
        <v>46254.229918289093</v>
      </c>
      <c r="H554">
        <v>2.95</v>
      </c>
      <c r="I554" t="s">
        <v>3149</v>
      </c>
      <c r="J554" t="s">
        <v>3158</v>
      </c>
      <c r="K554" t="s">
        <v>3176</v>
      </c>
      <c r="L554" t="str">
        <f>_xlfn.XLOOKUP(C554,[1]!Table1[Shift_ID],[1]!Table1[Shift_ID])</f>
        <v>S03</v>
      </c>
      <c r="M554" t="str">
        <f>_xlfn.XLOOKUP(D554,[2]!Table1[Machine_ID],[2]!Table1[Machine_ID])</f>
        <v>M005</v>
      </c>
      <c r="N554" t="str">
        <f>_xlfn.XLOOKUP(E554,[3]Sheet1!$A$2:$A$391,[3]Sheet1!$A$2:$A$391)</f>
        <v>PO10037</v>
      </c>
    </row>
    <row r="555" spans="1:14" x14ac:dyDescent="0.2">
      <c r="A555" t="s">
        <v>564</v>
      </c>
      <c r="B555" s="2">
        <v>46253</v>
      </c>
      <c r="C555" t="s">
        <v>2939</v>
      </c>
      <c r="D555" t="s">
        <v>2946</v>
      </c>
      <c r="E555" t="s">
        <v>2987</v>
      </c>
      <c r="F555" s="3">
        <v>46254.229298901293</v>
      </c>
      <c r="G555" s="3">
        <v>46254.234618056173</v>
      </c>
      <c r="H555">
        <v>7.66</v>
      </c>
      <c r="I555" t="s">
        <v>3146</v>
      </c>
      <c r="J555" t="s">
        <v>3157</v>
      </c>
      <c r="K555" t="s">
        <v>3171</v>
      </c>
      <c r="L555" t="str">
        <f>_xlfn.XLOOKUP(C555,[1]!Table1[Shift_ID],[1]!Table1[Shift_ID])</f>
        <v>S03</v>
      </c>
      <c r="M555" t="str">
        <f>_xlfn.XLOOKUP(D555,[2]!Table1[Machine_ID],[2]!Table1[Machine_ID])</f>
        <v>M005</v>
      </c>
      <c r="N555" t="str">
        <f>_xlfn.XLOOKUP(E555,[3]Sheet1!$A$2:$A$391,[3]Sheet1!$A$2:$A$391)</f>
        <v>PO10037</v>
      </c>
    </row>
    <row r="556" spans="1:14" x14ac:dyDescent="0.2">
      <c r="A556" t="s">
        <v>565</v>
      </c>
      <c r="B556" s="2">
        <v>46253</v>
      </c>
      <c r="C556" t="s">
        <v>2939</v>
      </c>
      <c r="D556" t="s">
        <v>2947</v>
      </c>
      <c r="E556" t="s">
        <v>2987</v>
      </c>
      <c r="F556" s="3">
        <v>46253.95953111603</v>
      </c>
      <c r="G556" s="3">
        <v>46253.966034600548</v>
      </c>
      <c r="H556">
        <v>9.3699999999999992</v>
      </c>
      <c r="I556" t="s">
        <v>3150</v>
      </c>
      <c r="J556" t="s">
        <v>3159</v>
      </c>
      <c r="K556" t="s">
        <v>3177</v>
      </c>
      <c r="L556" t="str">
        <f>_xlfn.XLOOKUP(C556,[1]!Table1[Shift_ID],[1]!Table1[Shift_ID])</f>
        <v>S03</v>
      </c>
      <c r="M556" t="str">
        <f>_xlfn.XLOOKUP(D556,[2]!Table1[Machine_ID],[2]!Table1[Machine_ID])</f>
        <v>M006</v>
      </c>
      <c r="N556" t="str">
        <f>_xlfn.XLOOKUP(E556,[3]Sheet1!$A$2:$A$391,[3]Sheet1!$A$2:$A$391)</f>
        <v>PO10037</v>
      </c>
    </row>
    <row r="557" spans="1:14" x14ac:dyDescent="0.2">
      <c r="A557" t="s">
        <v>566</v>
      </c>
      <c r="B557" s="2">
        <v>46253</v>
      </c>
      <c r="C557" t="s">
        <v>2939</v>
      </c>
      <c r="D557" t="s">
        <v>2947</v>
      </c>
      <c r="E557" t="s">
        <v>2987</v>
      </c>
      <c r="F557" s="3">
        <v>46254.027498107418</v>
      </c>
      <c r="G557" s="3">
        <v>46254.043532187432</v>
      </c>
      <c r="H557">
        <v>23.09</v>
      </c>
      <c r="I557" t="s">
        <v>3149</v>
      </c>
      <c r="J557" t="s">
        <v>3158</v>
      </c>
      <c r="K557" t="s">
        <v>3184</v>
      </c>
      <c r="L557" t="str">
        <f>_xlfn.XLOOKUP(C557,[1]!Table1[Shift_ID],[1]!Table1[Shift_ID])</f>
        <v>S03</v>
      </c>
      <c r="M557" t="str">
        <f>_xlfn.XLOOKUP(D557,[2]!Table1[Machine_ID],[2]!Table1[Machine_ID])</f>
        <v>M006</v>
      </c>
      <c r="N557" t="str">
        <f>_xlfn.XLOOKUP(E557,[3]Sheet1!$A$2:$A$391,[3]Sheet1!$A$2:$A$391)</f>
        <v>PO10037</v>
      </c>
    </row>
    <row r="558" spans="1:14" x14ac:dyDescent="0.2">
      <c r="A558" t="s">
        <v>567</v>
      </c>
      <c r="B558" s="2">
        <v>46253</v>
      </c>
      <c r="C558" t="s">
        <v>2939</v>
      </c>
      <c r="D558" t="s">
        <v>2947</v>
      </c>
      <c r="E558" t="s">
        <v>2987</v>
      </c>
      <c r="F558" s="3">
        <v>46254.07619824545</v>
      </c>
      <c r="G558" s="3">
        <v>46254.080128886439</v>
      </c>
      <c r="H558">
        <v>5.66</v>
      </c>
      <c r="I558" t="s">
        <v>3150</v>
      </c>
      <c r="J558" t="s">
        <v>3163</v>
      </c>
      <c r="K558" t="s">
        <v>3178</v>
      </c>
      <c r="L558" t="str">
        <f>_xlfn.XLOOKUP(C558,[1]!Table1[Shift_ID],[1]!Table1[Shift_ID])</f>
        <v>S03</v>
      </c>
      <c r="M558" t="str">
        <f>_xlfn.XLOOKUP(D558,[2]!Table1[Machine_ID],[2]!Table1[Machine_ID])</f>
        <v>M006</v>
      </c>
      <c r="N558" t="str">
        <f>_xlfn.XLOOKUP(E558,[3]Sheet1!$A$2:$A$391,[3]Sheet1!$A$2:$A$391)</f>
        <v>PO10037</v>
      </c>
    </row>
    <row r="559" spans="1:14" x14ac:dyDescent="0.2">
      <c r="A559" t="s">
        <v>568</v>
      </c>
      <c r="B559" s="2">
        <v>46253</v>
      </c>
      <c r="C559" t="s">
        <v>2939</v>
      </c>
      <c r="D559" t="s">
        <v>2948</v>
      </c>
      <c r="E559" t="s">
        <v>2987</v>
      </c>
      <c r="F559" s="3">
        <v>46254.192712375327</v>
      </c>
      <c r="G559" s="3">
        <v>46254.210745003416</v>
      </c>
      <c r="H559">
        <v>25.97</v>
      </c>
      <c r="I559" t="s">
        <v>3148</v>
      </c>
      <c r="J559" t="s">
        <v>3165</v>
      </c>
      <c r="K559" t="s">
        <v>3180</v>
      </c>
      <c r="L559" t="str">
        <f>_xlfn.XLOOKUP(C559,[1]!Table1[Shift_ID],[1]!Table1[Shift_ID])</f>
        <v>S03</v>
      </c>
      <c r="M559" t="str">
        <f>_xlfn.XLOOKUP(D559,[2]!Table1[Machine_ID],[2]!Table1[Machine_ID])</f>
        <v>M007</v>
      </c>
      <c r="N559" t="str">
        <f>_xlfn.XLOOKUP(E559,[3]Sheet1!$A$2:$A$391,[3]Sheet1!$A$2:$A$391)</f>
        <v>PO10037</v>
      </c>
    </row>
    <row r="560" spans="1:14" x14ac:dyDescent="0.2">
      <c r="A560" t="s">
        <v>569</v>
      </c>
      <c r="B560" s="2">
        <v>46253</v>
      </c>
      <c r="C560" t="s">
        <v>2939</v>
      </c>
      <c r="D560" t="s">
        <v>2949</v>
      </c>
      <c r="E560" t="s">
        <v>2987</v>
      </c>
      <c r="F560" s="3">
        <v>46254.029148189336</v>
      </c>
      <c r="G560" s="3">
        <v>46254.03407701831</v>
      </c>
      <c r="H560">
        <v>7.1</v>
      </c>
      <c r="I560" t="s">
        <v>3148</v>
      </c>
      <c r="J560" t="s">
        <v>3165</v>
      </c>
      <c r="K560" t="s">
        <v>3173</v>
      </c>
      <c r="L560" t="str">
        <f>_xlfn.XLOOKUP(C560,[1]!Table1[Shift_ID],[1]!Table1[Shift_ID])</f>
        <v>S03</v>
      </c>
      <c r="M560" t="str">
        <f>_xlfn.XLOOKUP(D560,[2]!Table1[Machine_ID],[2]!Table1[Machine_ID])</f>
        <v>M008</v>
      </c>
      <c r="N560" t="str">
        <f>_xlfn.XLOOKUP(E560,[3]Sheet1!$A$2:$A$391,[3]Sheet1!$A$2:$A$391)</f>
        <v>PO10037</v>
      </c>
    </row>
    <row r="561" spans="1:14" x14ac:dyDescent="0.2">
      <c r="A561" t="s">
        <v>570</v>
      </c>
      <c r="B561" s="2">
        <v>46253</v>
      </c>
      <c r="C561" t="s">
        <v>2940</v>
      </c>
      <c r="D561" t="s">
        <v>2942</v>
      </c>
      <c r="E561" t="s">
        <v>2988</v>
      </c>
      <c r="F561" s="3">
        <v>46253.334615952503</v>
      </c>
      <c r="G561" s="3">
        <v>46253.341022851921</v>
      </c>
      <c r="H561">
        <v>9.23</v>
      </c>
      <c r="I561" t="s">
        <v>3148</v>
      </c>
      <c r="J561" t="s">
        <v>3155</v>
      </c>
      <c r="K561" t="s">
        <v>3173</v>
      </c>
      <c r="L561" t="str">
        <f>_xlfn.XLOOKUP(C561,[1]!Table1[Shift_ID],[1]!Table1[Shift_ID])</f>
        <v>S01</v>
      </c>
      <c r="M561" t="str">
        <f>_xlfn.XLOOKUP(D561,[2]!Table1[Machine_ID],[2]!Table1[Machine_ID])</f>
        <v>M001</v>
      </c>
      <c r="N561" t="str">
        <f>_xlfn.XLOOKUP(E561,[3]Sheet1!$A$2:$A$391,[3]Sheet1!$A$2:$A$391)</f>
        <v>PO10038</v>
      </c>
    </row>
    <row r="562" spans="1:14" x14ac:dyDescent="0.2">
      <c r="A562" t="s">
        <v>571</v>
      </c>
      <c r="B562" s="2">
        <v>46253</v>
      </c>
      <c r="C562" t="s">
        <v>2940</v>
      </c>
      <c r="D562" t="s">
        <v>2943</v>
      </c>
      <c r="E562" t="s">
        <v>2988</v>
      </c>
      <c r="F562" s="3">
        <v>46253.440949508818</v>
      </c>
      <c r="G562" s="3">
        <v>46253.44796783472</v>
      </c>
      <c r="H562">
        <v>10.11</v>
      </c>
      <c r="I562" t="s">
        <v>3151</v>
      </c>
      <c r="J562" t="s">
        <v>3170</v>
      </c>
      <c r="K562" t="s">
        <v>3187</v>
      </c>
      <c r="L562" t="str">
        <f>_xlfn.XLOOKUP(C562,[1]!Table1[Shift_ID],[1]!Table1[Shift_ID])</f>
        <v>S01</v>
      </c>
      <c r="M562" t="str">
        <f>_xlfn.XLOOKUP(D562,[2]!Table1[Machine_ID],[2]!Table1[Machine_ID])</f>
        <v>M002</v>
      </c>
      <c r="N562" t="str">
        <f>_xlfn.XLOOKUP(E562,[3]Sheet1!$A$2:$A$391,[3]Sheet1!$A$2:$A$391)</f>
        <v>PO10038</v>
      </c>
    </row>
    <row r="563" spans="1:14" x14ac:dyDescent="0.2">
      <c r="A563" t="s">
        <v>572</v>
      </c>
      <c r="B563" s="2">
        <v>46253</v>
      </c>
      <c r="C563" t="s">
        <v>2940</v>
      </c>
      <c r="D563" t="s">
        <v>2944</v>
      </c>
      <c r="E563" t="s">
        <v>2988</v>
      </c>
      <c r="F563" s="3">
        <v>46253.250755939487</v>
      </c>
      <c r="G563" s="3">
        <v>46253.254069134753</v>
      </c>
      <c r="H563">
        <v>4.7699999999999996</v>
      </c>
      <c r="I563" t="s">
        <v>3147</v>
      </c>
      <c r="J563" t="s">
        <v>3153</v>
      </c>
      <c r="K563" t="s">
        <v>3172</v>
      </c>
      <c r="L563" t="str">
        <f>_xlfn.XLOOKUP(C563,[1]!Table1[Shift_ID],[1]!Table1[Shift_ID])</f>
        <v>S01</v>
      </c>
      <c r="M563" t="str">
        <f>_xlfn.XLOOKUP(D563,[2]!Table1[Machine_ID],[2]!Table1[Machine_ID])</f>
        <v>M003</v>
      </c>
      <c r="N563" t="str">
        <f>_xlfn.XLOOKUP(E563,[3]Sheet1!$A$2:$A$391,[3]Sheet1!$A$2:$A$391)</f>
        <v>PO10038</v>
      </c>
    </row>
    <row r="564" spans="1:14" x14ac:dyDescent="0.2">
      <c r="A564" t="s">
        <v>573</v>
      </c>
      <c r="B564" s="2">
        <v>46253</v>
      </c>
      <c r="C564" t="s">
        <v>2940</v>
      </c>
      <c r="D564" t="s">
        <v>2944</v>
      </c>
      <c r="E564" t="s">
        <v>2988</v>
      </c>
      <c r="F564" s="3">
        <v>46253.457470924157</v>
      </c>
      <c r="G564" s="3">
        <v>46253.465042462813</v>
      </c>
      <c r="H564">
        <v>10.9</v>
      </c>
      <c r="I564" t="s">
        <v>3147</v>
      </c>
      <c r="J564" t="s">
        <v>3167</v>
      </c>
      <c r="K564" t="s">
        <v>3172</v>
      </c>
      <c r="L564" t="str">
        <f>_xlfn.XLOOKUP(C564,[1]!Table1[Shift_ID],[1]!Table1[Shift_ID])</f>
        <v>S01</v>
      </c>
      <c r="M564" t="str">
        <f>_xlfn.XLOOKUP(D564,[2]!Table1[Machine_ID],[2]!Table1[Machine_ID])</f>
        <v>M003</v>
      </c>
      <c r="N564" t="str">
        <f>_xlfn.XLOOKUP(E564,[3]Sheet1!$A$2:$A$391,[3]Sheet1!$A$2:$A$391)</f>
        <v>PO10038</v>
      </c>
    </row>
    <row r="565" spans="1:14" x14ac:dyDescent="0.2">
      <c r="A565" t="s">
        <v>574</v>
      </c>
      <c r="B565" s="2">
        <v>46253</v>
      </c>
      <c r="C565" t="s">
        <v>2940</v>
      </c>
      <c r="D565" t="s">
        <v>2945</v>
      </c>
      <c r="E565" t="s">
        <v>2988</v>
      </c>
      <c r="F565" s="3">
        <v>46253.351107871691</v>
      </c>
      <c r="G565" s="3">
        <v>46253.358917550147</v>
      </c>
      <c r="H565">
        <v>11.25</v>
      </c>
      <c r="I565" t="s">
        <v>3149</v>
      </c>
      <c r="J565" t="s">
        <v>3158</v>
      </c>
      <c r="K565" t="s">
        <v>3182</v>
      </c>
      <c r="L565" t="str">
        <f>_xlfn.XLOOKUP(C565,[1]!Table1[Shift_ID],[1]!Table1[Shift_ID])</f>
        <v>S01</v>
      </c>
      <c r="M565" t="str">
        <f>_xlfn.XLOOKUP(D565,[2]!Table1[Machine_ID],[2]!Table1[Machine_ID])</f>
        <v>M004</v>
      </c>
      <c r="N565" t="str">
        <f>_xlfn.XLOOKUP(E565,[3]Sheet1!$A$2:$A$391,[3]Sheet1!$A$2:$A$391)</f>
        <v>PO10038</v>
      </c>
    </row>
    <row r="566" spans="1:14" x14ac:dyDescent="0.2">
      <c r="A566" t="s">
        <v>575</v>
      </c>
      <c r="B566" s="2">
        <v>46253</v>
      </c>
      <c r="C566" t="s">
        <v>2940</v>
      </c>
      <c r="D566" t="s">
        <v>2946</v>
      </c>
      <c r="E566" t="s">
        <v>2988</v>
      </c>
      <c r="F566" s="3">
        <v>46253.291959680602</v>
      </c>
      <c r="G566" s="3">
        <v>46253.296605194249</v>
      </c>
      <c r="H566">
        <v>6.69</v>
      </c>
      <c r="I566" t="s">
        <v>3149</v>
      </c>
      <c r="J566" t="s">
        <v>3158</v>
      </c>
      <c r="K566" t="s">
        <v>3184</v>
      </c>
      <c r="L566" t="str">
        <f>_xlfn.XLOOKUP(C566,[1]!Table1[Shift_ID],[1]!Table1[Shift_ID])</f>
        <v>S01</v>
      </c>
      <c r="M566" t="str">
        <f>_xlfn.XLOOKUP(D566,[2]!Table1[Machine_ID],[2]!Table1[Machine_ID])</f>
        <v>M005</v>
      </c>
      <c r="N566" t="str">
        <f>_xlfn.XLOOKUP(E566,[3]Sheet1!$A$2:$A$391,[3]Sheet1!$A$2:$A$391)</f>
        <v>PO10038</v>
      </c>
    </row>
    <row r="567" spans="1:14" x14ac:dyDescent="0.2">
      <c r="A567" t="s">
        <v>576</v>
      </c>
      <c r="B567" s="2">
        <v>46253</v>
      </c>
      <c r="C567" t="s">
        <v>2940</v>
      </c>
      <c r="D567" t="s">
        <v>2946</v>
      </c>
      <c r="E567" t="s">
        <v>2988</v>
      </c>
      <c r="F567" s="3">
        <v>46253.559385427441</v>
      </c>
      <c r="G567" s="3">
        <v>46253.561182241901</v>
      </c>
      <c r="H567">
        <v>2.59</v>
      </c>
      <c r="I567" t="s">
        <v>3149</v>
      </c>
      <c r="J567" t="s">
        <v>3162</v>
      </c>
      <c r="K567" t="s">
        <v>3176</v>
      </c>
      <c r="L567" t="str">
        <f>_xlfn.XLOOKUP(C567,[1]!Table1[Shift_ID],[1]!Table1[Shift_ID])</f>
        <v>S01</v>
      </c>
      <c r="M567" t="str">
        <f>_xlfn.XLOOKUP(D567,[2]!Table1[Machine_ID],[2]!Table1[Machine_ID])</f>
        <v>M005</v>
      </c>
      <c r="N567" t="str">
        <f>_xlfn.XLOOKUP(E567,[3]Sheet1!$A$2:$A$391,[3]Sheet1!$A$2:$A$391)</f>
        <v>PO10038</v>
      </c>
    </row>
    <row r="568" spans="1:14" x14ac:dyDescent="0.2">
      <c r="A568" t="s">
        <v>577</v>
      </c>
      <c r="B568" s="2">
        <v>46253</v>
      </c>
      <c r="C568" t="s">
        <v>2940</v>
      </c>
      <c r="D568" t="s">
        <v>2946</v>
      </c>
      <c r="E568" t="s">
        <v>2988</v>
      </c>
      <c r="F568" s="3">
        <v>46253.56725479602</v>
      </c>
      <c r="G568" s="3">
        <v>46253.569150533272</v>
      </c>
      <c r="H568">
        <v>2.73</v>
      </c>
      <c r="I568" t="s">
        <v>3147</v>
      </c>
      <c r="J568" t="s">
        <v>3153</v>
      </c>
      <c r="K568" t="s">
        <v>3185</v>
      </c>
      <c r="L568" t="str">
        <f>_xlfn.XLOOKUP(C568,[1]!Table1[Shift_ID],[1]!Table1[Shift_ID])</f>
        <v>S01</v>
      </c>
      <c r="M568" t="str">
        <f>_xlfn.XLOOKUP(D568,[2]!Table1[Machine_ID],[2]!Table1[Machine_ID])</f>
        <v>M005</v>
      </c>
      <c r="N568" t="str">
        <f>_xlfn.XLOOKUP(E568,[3]Sheet1!$A$2:$A$391,[3]Sheet1!$A$2:$A$391)</f>
        <v>PO10038</v>
      </c>
    </row>
    <row r="569" spans="1:14" x14ac:dyDescent="0.2">
      <c r="A569" t="s">
        <v>578</v>
      </c>
      <c r="B569" s="2">
        <v>46253</v>
      </c>
      <c r="C569" t="s">
        <v>2940</v>
      </c>
      <c r="D569" t="s">
        <v>2947</v>
      </c>
      <c r="E569" t="s">
        <v>2988</v>
      </c>
      <c r="F569" s="3">
        <v>46253.264513500173</v>
      </c>
      <c r="G569" s="3">
        <v>46253.267555804501</v>
      </c>
      <c r="H569">
        <v>4.38</v>
      </c>
      <c r="I569" t="s">
        <v>3148</v>
      </c>
      <c r="J569" t="s">
        <v>3164</v>
      </c>
      <c r="K569" t="s">
        <v>3173</v>
      </c>
      <c r="L569" t="str">
        <f>_xlfn.XLOOKUP(C569,[1]!Table1[Shift_ID],[1]!Table1[Shift_ID])</f>
        <v>S01</v>
      </c>
      <c r="M569" t="str">
        <f>_xlfn.XLOOKUP(D569,[2]!Table1[Machine_ID],[2]!Table1[Machine_ID])</f>
        <v>M006</v>
      </c>
      <c r="N569" t="str">
        <f>_xlfn.XLOOKUP(E569,[3]Sheet1!$A$2:$A$391,[3]Sheet1!$A$2:$A$391)</f>
        <v>PO10038</v>
      </c>
    </row>
    <row r="570" spans="1:14" x14ac:dyDescent="0.2">
      <c r="A570" t="s">
        <v>579</v>
      </c>
      <c r="B570" s="2">
        <v>46253</v>
      </c>
      <c r="C570" t="s">
        <v>2940</v>
      </c>
      <c r="D570" t="s">
        <v>2947</v>
      </c>
      <c r="E570" t="s">
        <v>2988</v>
      </c>
      <c r="F570" s="3">
        <v>46253.358834587198</v>
      </c>
      <c r="G570" s="3">
        <v>46253.363117793568</v>
      </c>
      <c r="H570">
        <v>6.17</v>
      </c>
      <c r="I570" t="s">
        <v>3150</v>
      </c>
      <c r="J570" t="s">
        <v>3159</v>
      </c>
      <c r="K570" t="s">
        <v>3177</v>
      </c>
      <c r="L570" t="str">
        <f>_xlfn.XLOOKUP(C570,[1]!Table1[Shift_ID],[1]!Table1[Shift_ID])</f>
        <v>S01</v>
      </c>
      <c r="M570" t="str">
        <f>_xlfn.XLOOKUP(D570,[2]!Table1[Machine_ID],[2]!Table1[Machine_ID])</f>
        <v>M006</v>
      </c>
      <c r="N570" t="str">
        <f>_xlfn.XLOOKUP(E570,[3]Sheet1!$A$2:$A$391,[3]Sheet1!$A$2:$A$391)</f>
        <v>PO10038</v>
      </c>
    </row>
    <row r="571" spans="1:14" x14ac:dyDescent="0.2">
      <c r="A571" t="s">
        <v>580</v>
      </c>
      <c r="B571" s="2">
        <v>46253</v>
      </c>
      <c r="C571" t="s">
        <v>2940</v>
      </c>
      <c r="D571" t="s">
        <v>2947</v>
      </c>
      <c r="E571" t="s">
        <v>2988</v>
      </c>
      <c r="F571" s="3">
        <v>46253.381630778567</v>
      </c>
      <c r="G571" s="3">
        <v>46253.388777140928</v>
      </c>
      <c r="H571">
        <v>10.29</v>
      </c>
      <c r="I571" t="s">
        <v>3150</v>
      </c>
      <c r="J571" t="s">
        <v>3166</v>
      </c>
      <c r="K571" t="s">
        <v>3178</v>
      </c>
      <c r="L571" t="str">
        <f>_xlfn.XLOOKUP(C571,[1]!Table1[Shift_ID],[1]!Table1[Shift_ID])</f>
        <v>S01</v>
      </c>
      <c r="M571" t="str">
        <f>_xlfn.XLOOKUP(D571,[2]!Table1[Machine_ID],[2]!Table1[Machine_ID])</f>
        <v>M006</v>
      </c>
      <c r="N571" t="str">
        <f>_xlfn.XLOOKUP(E571,[3]Sheet1!$A$2:$A$391,[3]Sheet1!$A$2:$A$391)</f>
        <v>PO10038</v>
      </c>
    </row>
    <row r="572" spans="1:14" x14ac:dyDescent="0.2">
      <c r="A572" t="s">
        <v>581</v>
      </c>
      <c r="B572" s="2">
        <v>46253</v>
      </c>
      <c r="C572" t="s">
        <v>2940</v>
      </c>
      <c r="D572" t="s">
        <v>2947</v>
      </c>
      <c r="E572" t="s">
        <v>2988</v>
      </c>
      <c r="F572" s="3">
        <v>46253.418850837203</v>
      </c>
      <c r="G572" s="3">
        <v>46253.426070807793</v>
      </c>
      <c r="H572">
        <v>10.4</v>
      </c>
      <c r="I572" t="s">
        <v>3147</v>
      </c>
      <c r="J572" t="s">
        <v>3167</v>
      </c>
      <c r="K572" t="s">
        <v>3185</v>
      </c>
      <c r="L572" t="str">
        <f>_xlfn.XLOOKUP(C572,[1]!Table1[Shift_ID],[1]!Table1[Shift_ID])</f>
        <v>S01</v>
      </c>
      <c r="M572" t="str">
        <f>_xlfn.XLOOKUP(D572,[2]!Table1[Machine_ID],[2]!Table1[Machine_ID])</f>
        <v>M006</v>
      </c>
      <c r="N572" t="str">
        <f>_xlfn.XLOOKUP(E572,[3]Sheet1!$A$2:$A$391,[3]Sheet1!$A$2:$A$391)</f>
        <v>PO10038</v>
      </c>
    </row>
    <row r="573" spans="1:14" x14ac:dyDescent="0.2">
      <c r="A573" t="s">
        <v>582</v>
      </c>
      <c r="B573" s="2">
        <v>46253</v>
      </c>
      <c r="C573" t="s">
        <v>2940</v>
      </c>
      <c r="D573" t="s">
        <v>2947</v>
      </c>
      <c r="E573" t="s">
        <v>2988</v>
      </c>
      <c r="F573" s="3">
        <v>46253.563841019983</v>
      </c>
      <c r="G573" s="3">
        <v>46253.565809800137</v>
      </c>
      <c r="H573">
        <v>2.84</v>
      </c>
      <c r="I573" t="s">
        <v>3147</v>
      </c>
      <c r="J573" t="s">
        <v>3154</v>
      </c>
      <c r="K573" t="s">
        <v>3186</v>
      </c>
      <c r="L573" t="str">
        <f>_xlfn.XLOOKUP(C573,[1]!Table1[Shift_ID],[1]!Table1[Shift_ID])</f>
        <v>S01</v>
      </c>
      <c r="M573" t="str">
        <f>_xlfn.XLOOKUP(D573,[2]!Table1[Machine_ID],[2]!Table1[Machine_ID])</f>
        <v>M006</v>
      </c>
      <c r="N573" t="str">
        <f>_xlfn.XLOOKUP(E573,[3]Sheet1!$A$2:$A$391,[3]Sheet1!$A$2:$A$391)</f>
        <v>PO10038</v>
      </c>
    </row>
    <row r="574" spans="1:14" x14ac:dyDescent="0.2">
      <c r="A574" t="s">
        <v>583</v>
      </c>
      <c r="B574" s="2">
        <v>46253</v>
      </c>
      <c r="C574" t="s">
        <v>2940</v>
      </c>
      <c r="D574" t="s">
        <v>2948</v>
      </c>
      <c r="E574" t="s">
        <v>2988</v>
      </c>
      <c r="F574" s="3">
        <v>46253.31450590257</v>
      </c>
      <c r="G574" s="3">
        <v>46253.316400614603</v>
      </c>
      <c r="H574">
        <v>2.73</v>
      </c>
      <c r="I574" t="s">
        <v>3147</v>
      </c>
      <c r="J574" t="s">
        <v>3154</v>
      </c>
      <c r="K574" t="s">
        <v>3185</v>
      </c>
      <c r="L574" t="str">
        <f>_xlfn.XLOOKUP(C574,[1]!Table1[Shift_ID],[1]!Table1[Shift_ID])</f>
        <v>S01</v>
      </c>
      <c r="M574" t="str">
        <f>_xlfn.XLOOKUP(D574,[2]!Table1[Machine_ID],[2]!Table1[Machine_ID])</f>
        <v>M007</v>
      </c>
      <c r="N574" t="str">
        <f>_xlfn.XLOOKUP(E574,[3]Sheet1!$A$2:$A$391,[3]Sheet1!$A$2:$A$391)</f>
        <v>PO10038</v>
      </c>
    </row>
    <row r="575" spans="1:14" x14ac:dyDescent="0.2">
      <c r="A575" t="s">
        <v>584</v>
      </c>
      <c r="B575" s="2">
        <v>46253</v>
      </c>
      <c r="C575" t="s">
        <v>2940</v>
      </c>
      <c r="D575" t="s">
        <v>2948</v>
      </c>
      <c r="E575" t="s">
        <v>2988</v>
      </c>
      <c r="F575" s="3">
        <v>46253.476930639939</v>
      </c>
      <c r="G575" s="3">
        <v>46253.479521638437</v>
      </c>
      <c r="H575">
        <v>3.73</v>
      </c>
      <c r="I575" t="s">
        <v>3147</v>
      </c>
      <c r="J575" t="s">
        <v>3154</v>
      </c>
      <c r="K575" t="s">
        <v>3186</v>
      </c>
      <c r="L575" t="str">
        <f>_xlfn.XLOOKUP(C575,[1]!Table1[Shift_ID],[1]!Table1[Shift_ID])</f>
        <v>S01</v>
      </c>
      <c r="M575" t="str">
        <f>_xlfn.XLOOKUP(D575,[2]!Table1[Machine_ID],[2]!Table1[Machine_ID])</f>
        <v>M007</v>
      </c>
      <c r="N575" t="str">
        <f>_xlfn.XLOOKUP(E575,[3]Sheet1!$A$2:$A$391,[3]Sheet1!$A$2:$A$391)</f>
        <v>PO10038</v>
      </c>
    </row>
    <row r="576" spans="1:14" x14ac:dyDescent="0.2">
      <c r="A576" t="s">
        <v>585</v>
      </c>
      <c r="B576" s="2">
        <v>46253</v>
      </c>
      <c r="C576" t="s">
        <v>2940</v>
      </c>
      <c r="D576" t="s">
        <v>2948</v>
      </c>
      <c r="E576" t="s">
        <v>2988</v>
      </c>
      <c r="F576" s="3">
        <v>46253.511094329253</v>
      </c>
      <c r="G576" s="3">
        <v>46253.517774705651</v>
      </c>
      <c r="H576">
        <v>9.6199999999999992</v>
      </c>
      <c r="I576" t="s">
        <v>3150</v>
      </c>
      <c r="J576" t="s">
        <v>3163</v>
      </c>
      <c r="K576" t="s">
        <v>3177</v>
      </c>
      <c r="L576" t="str">
        <f>_xlfn.XLOOKUP(C576,[1]!Table1[Shift_ID],[1]!Table1[Shift_ID])</f>
        <v>S01</v>
      </c>
      <c r="M576" t="str">
        <f>_xlfn.XLOOKUP(D576,[2]!Table1[Machine_ID],[2]!Table1[Machine_ID])</f>
        <v>M007</v>
      </c>
      <c r="N576" t="str">
        <f>_xlfn.XLOOKUP(E576,[3]Sheet1!$A$2:$A$391,[3]Sheet1!$A$2:$A$391)</f>
        <v>PO10038</v>
      </c>
    </row>
    <row r="577" spans="1:14" x14ac:dyDescent="0.2">
      <c r="A577" t="s">
        <v>586</v>
      </c>
      <c r="B577" s="2">
        <v>46253</v>
      </c>
      <c r="C577" t="s">
        <v>2940</v>
      </c>
      <c r="D577" t="s">
        <v>2949</v>
      </c>
      <c r="E577" t="s">
        <v>2988</v>
      </c>
      <c r="F577" s="3">
        <v>46253.471167164731</v>
      </c>
      <c r="G577" s="3">
        <v>46253.476122169843</v>
      </c>
      <c r="H577">
        <v>7.14</v>
      </c>
      <c r="I577" t="s">
        <v>3149</v>
      </c>
      <c r="J577" t="s">
        <v>3168</v>
      </c>
      <c r="K577" t="s">
        <v>3176</v>
      </c>
      <c r="L577" t="str">
        <f>_xlfn.XLOOKUP(C577,[1]!Table1[Shift_ID],[1]!Table1[Shift_ID])</f>
        <v>S01</v>
      </c>
      <c r="M577" t="str">
        <f>_xlfn.XLOOKUP(D577,[2]!Table1[Machine_ID],[2]!Table1[Machine_ID])</f>
        <v>M008</v>
      </c>
      <c r="N577" t="str">
        <f>_xlfn.XLOOKUP(E577,[3]Sheet1!$A$2:$A$391,[3]Sheet1!$A$2:$A$391)</f>
        <v>PO10038</v>
      </c>
    </row>
    <row r="578" spans="1:14" x14ac:dyDescent="0.2">
      <c r="A578" t="s">
        <v>587</v>
      </c>
      <c r="B578" s="2">
        <v>46253</v>
      </c>
      <c r="C578" t="s">
        <v>2941</v>
      </c>
      <c r="D578" t="s">
        <v>2942</v>
      </c>
      <c r="E578" t="s">
        <v>2989</v>
      </c>
      <c r="F578" s="3">
        <v>46253.595507286132</v>
      </c>
      <c r="G578" s="3">
        <v>46253.597220954667</v>
      </c>
      <c r="H578">
        <v>2.4700000000000002</v>
      </c>
      <c r="I578" t="s">
        <v>3151</v>
      </c>
      <c r="J578" t="s">
        <v>3169</v>
      </c>
      <c r="K578" t="s">
        <v>3187</v>
      </c>
      <c r="L578" t="str">
        <f>_xlfn.XLOOKUP(C578,[1]!Table1[Shift_ID],[1]!Table1[Shift_ID])</f>
        <v>S02</v>
      </c>
      <c r="M578" t="str">
        <f>_xlfn.XLOOKUP(D578,[2]!Table1[Machine_ID],[2]!Table1[Machine_ID])</f>
        <v>M001</v>
      </c>
      <c r="N578" t="str">
        <f>_xlfn.XLOOKUP(E578,[3]Sheet1!$A$2:$A$391,[3]Sheet1!$A$2:$A$391)</f>
        <v>PO10039</v>
      </c>
    </row>
    <row r="579" spans="1:14" x14ac:dyDescent="0.2">
      <c r="A579" t="s">
        <v>588</v>
      </c>
      <c r="B579" s="2">
        <v>46253</v>
      </c>
      <c r="C579" t="s">
        <v>2941</v>
      </c>
      <c r="D579" t="s">
        <v>2942</v>
      </c>
      <c r="E579" t="s">
        <v>2989</v>
      </c>
      <c r="F579" s="3">
        <v>46253.786888574243</v>
      </c>
      <c r="G579" s="3">
        <v>46253.788602242763</v>
      </c>
      <c r="H579">
        <v>2.4700000000000002</v>
      </c>
      <c r="I579" t="s">
        <v>3149</v>
      </c>
      <c r="J579" t="s">
        <v>3162</v>
      </c>
      <c r="K579" t="s">
        <v>3184</v>
      </c>
      <c r="L579" t="str">
        <f>_xlfn.XLOOKUP(C579,[1]!Table1[Shift_ID],[1]!Table1[Shift_ID])</f>
        <v>S02</v>
      </c>
      <c r="M579" t="str">
        <f>_xlfn.XLOOKUP(D579,[2]!Table1[Machine_ID],[2]!Table1[Machine_ID])</f>
        <v>M001</v>
      </c>
      <c r="N579" t="str">
        <f>_xlfn.XLOOKUP(E579,[3]Sheet1!$A$2:$A$391,[3]Sheet1!$A$2:$A$391)</f>
        <v>PO10039</v>
      </c>
    </row>
    <row r="580" spans="1:14" x14ac:dyDescent="0.2">
      <c r="A580" t="s">
        <v>589</v>
      </c>
      <c r="B580" s="2">
        <v>46253</v>
      </c>
      <c r="C580" t="s">
        <v>2941</v>
      </c>
      <c r="D580" t="s">
        <v>2942</v>
      </c>
      <c r="E580" t="s">
        <v>2989</v>
      </c>
      <c r="F580" s="3">
        <v>46253.797643587677</v>
      </c>
      <c r="G580" s="3">
        <v>46253.800586979029</v>
      </c>
      <c r="H580">
        <v>4.24</v>
      </c>
      <c r="I580" t="s">
        <v>3146</v>
      </c>
      <c r="J580" t="s">
        <v>3157</v>
      </c>
      <c r="K580" t="s">
        <v>3171</v>
      </c>
      <c r="L580" t="str">
        <f>_xlfn.XLOOKUP(C580,[1]!Table1[Shift_ID],[1]!Table1[Shift_ID])</f>
        <v>S02</v>
      </c>
      <c r="M580" t="str">
        <f>_xlfn.XLOOKUP(D580,[2]!Table1[Machine_ID],[2]!Table1[Machine_ID])</f>
        <v>M001</v>
      </c>
      <c r="N580" t="str">
        <f>_xlfn.XLOOKUP(E580,[3]Sheet1!$A$2:$A$391,[3]Sheet1!$A$2:$A$391)</f>
        <v>PO10039</v>
      </c>
    </row>
    <row r="581" spans="1:14" x14ac:dyDescent="0.2">
      <c r="A581" t="s">
        <v>590</v>
      </c>
      <c r="B581" s="2">
        <v>46253</v>
      </c>
      <c r="C581" t="s">
        <v>2941</v>
      </c>
      <c r="D581" t="s">
        <v>2943</v>
      </c>
      <c r="E581" t="s">
        <v>2989</v>
      </c>
      <c r="F581" s="3">
        <v>46253.661054452561</v>
      </c>
      <c r="G581" s="3">
        <v>46253.66210960145</v>
      </c>
      <c r="H581">
        <v>1.52</v>
      </c>
      <c r="I581" t="s">
        <v>3149</v>
      </c>
      <c r="J581" t="s">
        <v>3158</v>
      </c>
      <c r="K581" t="s">
        <v>3176</v>
      </c>
      <c r="L581" t="str">
        <f>_xlfn.XLOOKUP(C581,[1]!Table1[Shift_ID],[1]!Table1[Shift_ID])</f>
        <v>S02</v>
      </c>
      <c r="M581" t="str">
        <f>_xlfn.XLOOKUP(D581,[2]!Table1[Machine_ID],[2]!Table1[Machine_ID])</f>
        <v>M002</v>
      </c>
      <c r="N581" t="str">
        <f>_xlfn.XLOOKUP(E581,[3]Sheet1!$A$2:$A$391,[3]Sheet1!$A$2:$A$391)</f>
        <v>PO10039</v>
      </c>
    </row>
    <row r="582" spans="1:14" x14ac:dyDescent="0.2">
      <c r="A582" t="s">
        <v>591</v>
      </c>
      <c r="B582" s="2">
        <v>46253</v>
      </c>
      <c r="C582" t="s">
        <v>2941</v>
      </c>
      <c r="D582" t="s">
        <v>2943</v>
      </c>
      <c r="E582" t="s">
        <v>2989</v>
      </c>
      <c r="F582" s="3">
        <v>46253.683535912744</v>
      </c>
      <c r="G582" s="3">
        <v>46253.684591061632</v>
      </c>
      <c r="H582">
        <v>1.52</v>
      </c>
      <c r="I582" t="s">
        <v>3150</v>
      </c>
      <c r="J582" t="s">
        <v>3166</v>
      </c>
      <c r="K582" t="s">
        <v>3179</v>
      </c>
      <c r="L582" t="str">
        <f>_xlfn.XLOOKUP(C582,[1]!Table1[Shift_ID],[1]!Table1[Shift_ID])</f>
        <v>S02</v>
      </c>
      <c r="M582" t="str">
        <f>_xlfn.XLOOKUP(D582,[2]!Table1[Machine_ID],[2]!Table1[Machine_ID])</f>
        <v>M002</v>
      </c>
      <c r="N582" t="str">
        <f>_xlfn.XLOOKUP(E582,[3]Sheet1!$A$2:$A$391,[3]Sheet1!$A$2:$A$391)</f>
        <v>PO10039</v>
      </c>
    </row>
    <row r="583" spans="1:14" x14ac:dyDescent="0.2">
      <c r="A583" t="s">
        <v>592</v>
      </c>
      <c r="B583" s="2">
        <v>46253</v>
      </c>
      <c r="C583" t="s">
        <v>2941</v>
      </c>
      <c r="D583" t="s">
        <v>2943</v>
      </c>
      <c r="E583" t="s">
        <v>2989</v>
      </c>
      <c r="F583" s="3">
        <v>46253.723948697538</v>
      </c>
      <c r="G583" s="3">
        <v>46253.725003846434</v>
      </c>
      <c r="H583">
        <v>1.52</v>
      </c>
      <c r="I583" t="s">
        <v>3147</v>
      </c>
      <c r="J583" t="s">
        <v>3153</v>
      </c>
      <c r="K583" t="s">
        <v>3186</v>
      </c>
      <c r="L583" t="str">
        <f>_xlfn.XLOOKUP(C583,[1]!Table1[Shift_ID],[1]!Table1[Shift_ID])</f>
        <v>S02</v>
      </c>
      <c r="M583" t="str">
        <f>_xlfn.XLOOKUP(D583,[2]!Table1[Machine_ID],[2]!Table1[Machine_ID])</f>
        <v>M002</v>
      </c>
      <c r="N583" t="str">
        <f>_xlfn.XLOOKUP(E583,[3]Sheet1!$A$2:$A$391,[3]Sheet1!$A$2:$A$391)</f>
        <v>PO10039</v>
      </c>
    </row>
    <row r="584" spans="1:14" x14ac:dyDescent="0.2">
      <c r="A584" t="s">
        <v>593</v>
      </c>
      <c r="B584" s="2">
        <v>46253</v>
      </c>
      <c r="C584" t="s">
        <v>2941</v>
      </c>
      <c r="D584" t="s">
        <v>2943</v>
      </c>
      <c r="E584" t="s">
        <v>2989</v>
      </c>
      <c r="F584" s="3">
        <v>46253.756806327583</v>
      </c>
      <c r="G584" s="3">
        <v>46253.757861476472</v>
      </c>
      <c r="H584">
        <v>1.52</v>
      </c>
      <c r="I584" t="s">
        <v>3147</v>
      </c>
      <c r="J584" t="s">
        <v>3154</v>
      </c>
      <c r="K584" t="s">
        <v>3185</v>
      </c>
      <c r="L584" t="str">
        <f>_xlfn.XLOOKUP(C584,[1]!Table1[Shift_ID],[1]!Table1[Shift_ID])</f>
        <v>S02</v>
      </c>
      <c r="M584" t="str">
        <f>_xlfn.XLOOKUP(D584,[2]!Table1[Machine_ID],[2]!Table1[Machine_ID])</f>
        <v>M002</v>
      </c>
      <c r="N584" t="str">
        <f>_xlfn.XLOOKUP(E584,[3]Sheet1!$A$2:$A$391,[3]Sheet1!$A$2:$A$391)</f>
        <v>PO10039</v>
      </c>
    </row>
    <row r="585" spans="1:14" x14ac:dyDescent="0.2">
      <c r="A585" t="s">
        <v>594</v>
      </c>
      <c r="B585" s="2">
        <v>46253</v>
      </c>
      <c r="C585" t="s">
        <v>2941</v>
      </c>
      <c r="D585" t="s">
        <v>2943</v>
      </c>
      <c r="E585" t="s">
        <v>2989</v>
      </c>
      <c r="F585" s="3">
        <v>46253.776515895981</v>
      </c>
      <c r="G585" s="3">
        <v>46253.778750211219</v>
      </c>
      <c r="H585">
        <v>3.22</v>
      </c>
      <c r="I585" t="s">
        <v>3150</v>
      </c>
      <c r="J585" t="s">
        <v>3159</v>
      </c>
      <c r="K585" t="s">
        <v>3179</v>
      </c>
      <c r="L585" t="str">
        <f>_xlfn.XLOOKUP(C585,[1]!Table1[Shift_ID],[1]!Table1[Shift_ID])</f>
        <v>S02</v>
      </c>
      <c r="M585" t="str">
        <f>_xlfn.XLOOKUP(D585,[2]!Table1[Machine_ID],[2]!Table1[Machine_ID])</f>
        <v>M002</v>
      </c>
      <c r="N585" t="str">
        <f>_xlfn.XLOOKUP(E585,[3]Sheet1!$A$2:$A$391,[3]Sheet1!$A$2:$A$391)</f>
        <v>PO10039</v>
      </c>
    </row>
    <row r="586" spans="1:14" x14ac:dyDescent="0.2">
      <c r="A586" t="s">
        <v>595</v>
      </c>
      <c r="B586" s="2">
        <v>46253</v>
      </c>
      <c r="C586" t="s">
        <v>2941</v>
      </c>
      <c r="D586" t="s">
        <v>2943</v>
      </c>
      <c r="E586" t="s">
        <v>2989</v>
      </c>
      <c r="F586" s="3">
        <v>46253.795571204457</v>
      </c>
      <c r="G586" s="3">
        <v>46253.79662635336</v>
      </c>
      <c r="H586">
        <v>1.52</v>
      </c>
      <c r="I586" t="s">
        <v>3150</v>
      </c>
      <c r="J586" t="s">
        <v>3166</v>
      </c>
      <c r="K586" t="s">
        <v>3179</v>
      </c>
      <c r="L586" t="str">
        <f>_xlfn.XLOOKUP(C586,[1]!Table1[Shift_ID],[1]!Table1[Shift_ID])</f>
        <v>S02</v>
      </c>
      <c r="M586" t="str">
        <f>_xlfn.XLOOKUP(D586,[2]!Table1[Machine_ID],[2]!Table1[Machine_ID])</f>
        <v>M002</v>
      </c>
      <c r="N586" t="str">
        <f>_xlfn.XLOOKUP(E586,[3]Sheet1!$A$2:$A$391,[3]Sheet1!$A$2:$A$391)</f>
        <v>PO10039</v>
      </c>
    </row>
    <row r="587" spans="1:14" x14ac:dyDescent="0.2">
      <c r="A587" t="s">
        <v>596</v>
      </c>
      <c r="B587" s="2">
        <v>46253</v>
      </c>
      <c r="C587" t="s">
        <v>2941</v>
      </c>
      <c r="D587" t="s">
        <v>2944</v>
      </c>
      <c r="E587" t="s">
        <v>2989</v>
      </c>
      <c r="F587" s="3">
        <v>46253.705640466331</v>
      </c>
      <c r="G587" s="3">
        <v>46253.707990648159</v>
      </c>
      <c r="H587">
        <v>3.38</v>
      </c>
      <c r="I587" t="s">
        <v>3148</v>
      </c>
      <c r="J587" t="s">
        <v>3155</v>
      </c>
      <c r="K587" t="s">
        <v>3183</v>
      </c>
      <c r="L587" t="str">
        <f>_xlfn.XLOOKUP(C587,[1]!Table1[Shift_ID],[1]!Table1[Shift_ID])</f>
        <v>S02</v>
      </c>
      <c r="M587" t="str">
        <f>_xlfn.XLOOKUP(D587,[2]!Table1[Machine_ID],[2]!Table1[Machine_ID])</f>
        <v>M003</v>
      </c>
      <c r="N587" t="str">
        <f>_xlfn.XLOOKUP(E587,[3]Sheet1!$A$2:$A$391,[3]Sheet1!$A$2:$A$391)</f>
        <v>PO10039</v>
      </c>
    </row>
    <row r="588" spans="1:14" x14ac:dyDescent="0.2">
      <c r="A588" t="s">
        <v>597</v>
      </c>
      <c r="B588" s="2">
        <v>46253</v>
      </c>
      <c r="C588" t="s">
        <v>2941</v>
      </c>
      <c r="D588" t="s">
        <v>2944</v>
      </c>
      <c r="E588" t="s">
        <v>2989</v>
      </c>
      <c r="F588" s="3">
        <v>46253.740867606182</v>
      </c>
      <c r="G588" s="3">
        <v>46253.748181597271</v>
      </c>
      <c r="H588">
        <v>10.53</v>
      </c>
      <c r="I588" t="s">
        <v>3150</v>
      </c>
      <c r="J588" t="s">
        <v>3159</v>
      </c>
      <c r="K588" t="s">
        <v>3177</v>
      </c>
      <c r="L588" t="str">
        <f>_xlfn.XLOOKUP(C588,[1]!Table1[Shift_ID],[1]!Table1[Shift_ID])</f>
        <v>S02</v>
      </c>
      <c r="M588" t="str">
        <f>_xlfn.XLOOKUP(D588,[2]!Table1[Machine_ID],[2]!Table1[Machine_ID])</f>
        <v>M003</v>
      </c>
      <c r="N588" t="str">
        <f>_xlfn.XLOOKUP(E588,[3]Sheet1!$A$2:$A$391,[3]Sheet1!$A$2:$A$391)</f>
        <v>PO10039</v>
      </c>
    </row>
    <row r="589" spans="1:14" x14ac:dyDescent="0.2">
      <c r="A589" t="s">
        <v>598</v>
      </c>
      <c r="B589" s="2">
        <v>46253</v>
      </c>
      <c r="C589" t="s">
        <v>2941</v>
      </c>
      <c r="D589" t="s">
        <v>2944</v>
      </c>
      <c r="E589" t="s">
        <v>2989</v>
      </c>
      <c r="F589" s="3">
        <v>46253.896721494377</v>
      </c>
      <c r="G589" s="3">
        <v>46253.899796831873</v>
      </c>
      <c r="H589">
        <v>4.43</v>
      </c>
      <c r="I589" t="s">
        <v>3150</v>
      </c>
      <c r="J589" t="s">
        <v>3166</v>
      </c>
      <c r="K589" t="s">
        <v>3177</v>
      </c>
      <c r="L589" t="str">
        <f>_xlfn.XLOOKUP(C589,[1]!Table1[Shift_ID],[1]!Table1[Shift_ID])</f>
        <v>S02</v>
      </c>
      <c r="M589" t="str">
        <f>_xlfn.XLOOKUP(D589,[2]!Table1[Machine_ID],[2]!Table1[Machine_ID])</f>
        <v>M003</v>
      </c>
      <c r="N589" t="str">
        <f>_xlfn.XLOOKUP(E589,[3]Sheet1!$A$2:$A$391,[3]Sheet1!$A$2:$A$391)</f>
        <v>PO10039</v>
      </c>
    </row>
    <row r="590" spans="1:14" x14ac:dyDescent="0.2">
      <c r="A590" t="s">
        <v>599</v>
      </c>
      <c r="B590" s="2">
        <v>46253</v>
      </c>
      <c r="C590" t="s">
        <v>2941</v>
      </c>
      <c r="D590" t="s">
        <v>2945</v>
      </c>
      <c r="E590" t="s">
        <v>2989</v>
      </c>
      <c r="F590" s="3">
        <v>46253.588779901133</v>
      </c>
      <c r="G590" s="3">
        <v>46253.590359297428</v>
      </c>
      <c r="H590">
        <v>2.27</v>
      </c>
      <c r="I590" t="s">
        <v>3151</v>
      </c>
      <c r="J590" t="s">
        <v>3161</v>
      </c>
      <c r="K590" t="s">
        <v>3181</v>
      </c>
      <c r="L590" t="str">
        <f>_xlfn.XLOOKUP(C590,[1]!Table1[Shift_ID],[1]!Table1[Shift_ID])</f>
        <v>S02</v>
      </c>
      <c r="M590" t="str">
        <f>_xlfn.XLOOKUP(D590,[2]!Table1[Machine_ID],[2]!Table1[Machine_ID])</f>
        <v>M004</v>
      </c>
      <c r="N590" t="str">
        <f>_xlfn.XLOOKUP(E590,[3]Sheet1!$A$2:$A$391,[3]Sheet1!$A$2:$A$391)</f>
        <v>PO10039</v>
      </c>
    </row>
    <row r="591" spans="1:14" x14ac:dyDescent="0.2">
      <c r="A591" t="s">
        <v>600</v>
      </c>
      <c r="B591" s="2">
        <v>46253</v>
      </c>
      <c r="C591" t="s">
        <v>2941</v>
      </c>
      <c r="D591" t="s">
        <v>2945</v>
      </c>
      <c r="E591" t="s">
        <v>2989</v>
      </c>
      <c r="F591" s="3">
        <v>46253.608041025873</v>
      </c>
      <c r="G591" s="3">
        <v>46253.609213254516</v>
      </c>
      <c r="H591">
        <v>1.69</v>
      </c>
      <c r="I591" t="s">
        <v>3149</v>
      </c>
      <c r="J591" t="s">
        <v>3168</v>
      </c>
      <c r="K591" t="s">
        <v>3184</v>
      </c>
      <c r="L591" t="str">
        <f>_xlfn.XLOOKUP(C591,[1]!Table1[Shift_ID],[1]!Table1[Shift_ID])</f>
        <v>S02</v>
      </c>
      <c r="M591" t="str">
        <f>_xlfn.XLOOKUP(D591,[2]!Table1[Machine_ID],[2]!Table1[Machine_ID])</f>
        <v>M004</v>
      </c>
      <c r="N591" t="str">
        <f>_xlfn.XLOOKUP(E591,[3]Sheet1!$A$2:$A$391,[3]Sheet1!$A$2:$A$391)</f>
        <v>PO10039</v>
      </c>
    </row>
    <row r="592" spans="1:14" x14ac:dyDescent="0.2">
      <c r="A592" t="s">
        <v>601</v>
      </c>
      <c r="B592" s="2">
        <v>46253</v>
      </c>
      <c r="C592" t="s">
        <v>2941</v>
      </c>
      <c r="D592" t="s">
        <v>2945</v>
      </c>
      <c r="E592" t="s">
        <v>2989</v>
      </c>
      <c r="F592" s="3">
        <v>46253.700400944261</v>
      </c>
      <c r="G592" s="3">
        <v>46253.701573172897</v>
      </c>
      <c r="H592">
        <v>1.69</v>
      </c>
      <c r="I592" t="s">
        <v>3151</v>
      </c>
      <c r="J592" t="s">
        <v>3169</v>
      </c>
      <c r="K592" t="s">
        <v>3188</v>
      </c>
      <c r="L592" t="str">
        <f>_xlfn.XLOOKUP(C592,[1]!Table1[Shift_ID],[1]!Table1[Shift_ID])</f>
        <v>S02</v>
      </c>
      <c r="M592" t="str">
        <f>_xlfn.XLOOKUP(D592,[2]!Table1[Machine_ID],[2]!Table1[Machine_ID])</f>
        <v>M004</v>
      </c>
      <c r="N592" t="str">
        <f>_xlfn.XLOOKUP(E592,[3]Sheet1!$A$2:$A$391,[3]Sheet1!$A$2:$A$391)</f>
        <v>PO10039</v>
      </c>
    </row>
    <row r="593" spans="1:14" x14ac:dyDescent="0.2">
      <c r="A593" t="s">
        <v>602</v>
      </c>
      <c r="B593" s="2">
        <v>46253</v>
      </c>
      <c r="C593" t="s">
        <v>2941</v>
      </c>
      <c r="D593" t="s">
        <v>2945</v>
      </c>
      <c r="E593" t="s">
        <v>2989</v>
      </c>
      <c r="F593" s="3">
        <v>46253.752624057423</v>
      </c>
      <c r="G593" s="3">
        <v>46253.753796286073</v>
      </c>
      <c r="H593">
        <v>1.69</v>
      </c>
      <c r="I593" t="s">
        <v>3149</v>
      </c>
      <c r="J593" t="s">
        <v>3158</v>
      </c>
      <c r="K593" t="s">
        <v>3176</v>
      </c>
      <c r="L593" t="str">
        <f>_xlfn.XLOOKUP(C593,[1]!Table1[Shift_ID],[1]!Table1[Shift_ID])</f>
        <v>S02</v>
      </c>
      <c r="M593" t="str">
        <f>_xlfn.XLOOKUP(D593,[2]!Table1[Machine_ID],[2]!Table1[Machine_ID])</f>
        <v>M004</v>
      </c>
      <c r="N593" t="str">
        <f>_xlfn.XLOOKUP(E593,[3]Sheet1!$A$2:$A$391,[3]Sheet1!$A$2:$A$391)</f>
        <v>PO10039</v>
      </c>
    </row>
    <row r="594" spans="1:14" x14ac:dyDescent="0.2">
      <c r="A594" t="s">
        <v>603</v>
      </c>
      <c r="B594" s="2">
        <v>46253</v>
      </c>
      <c r="C594" t="s">
        <v>2941</v>
      </c>
      <c r="D594" t="s">
        <v>2945</v>
      </c>
      <c r="E594" t="s">
        <v>2989</v>
      </c>
      <c r="F594" s="3">
        <v>46253.891569327163</v>
      </c>
      <c r="G594" s="3">
        <v>46253.892741555821</v>
      </c>
      <c r="H594">
        <v>1.69</v>
      </c>
      <c r="I594" t="s">
        <v>3147</v>
      </c>
      <c r="J594" t="s">
        <v>3153</v>
      </c>
      <c r="K594" t="s">
        <v>3172</v>
      </c>
      <c r="L594" t="str">
        <f>_xlfn.XLOOKUP(C594,[1]!Table1[Shift_ID],[1]!Table1[Shift_ID])</f>
        <v>S02</v>
      </c>
      <c r="M594" t="str">
        <f>_xlfn.XLOOKUP(D594,[2]!Table1[Machine_ID],[2]!Table1[Machine_ID])</f>
        <v>M004</v>
      </c>
      <c r="N594" t="str">
        <f>_xlfn.XLOOKUP(E594,[3]Sheet1!$A$2:$A$391,[3]Sheet1!$A$2:$A$391)</f>
        <v>PO10039</v>
      </c>
    </row>
    <row r="595" spans="1:14" x14ac:dyDescent="0.2">
      <c r="A595" t="s">
        <v>604</v>
      </c>
      <c r="B595" s="2">
        <v>46253</v>
      </c>
      <c r="C595" t="s">
        <v>2941</v>
      </c>
      <c r="D595" t="s">
        <v>2946</v>
      </c>
      <c r="E595" t="s">
        <v>2989</v>
      </c>
      <c r="F595" s="3">
        <v>46253.824231360762</v>
      </c>
      <c r="G595" s="3">
        <v>46253.832765498017</v>
      </c>
      <c r="H595">
        <v>12.29</v>
      </c>
      <c r="I595" t="s">
        <v>3149</v>
      </c>
      <c r="J595" t="s">
        <v>3168</v>
      </c>
      <c r="K595" t="s">
        <v>3184</v>
      </c>
      <c r="L595" t="str">
        <f>_xlfn.XLOOKUP(C595,[1]!Table1[Shift_ID],[1]!Table1[Shift_ID])</f>
        <v>S02</v>
      </c>
      <c r="M595" t="str">
        <f>_xlfn.XLOOKUP(D595,[2]!Table1[Machine_ID],[2]!Table1[Machine_ID])</f>
        <v>M005</v>
      </c>
      <c r="N595" t="str">
        <f>_xlfn.XLOOKUP(E595,[3]Sheet1!$A$2:$A$391,[3]Sheet1!$A$2:$A$391)</f>
        <v>PO10039</v>
      </c>
    </row>
    <row r="596" spans="1:14" x14ac:dyDescent="0.2">
      <c r="A596" t="s">
        <v>605</v>
      </c>
      <c r="B596" s="2">
        <v>46253</v>
      </c>
      <c r="C596" t="s">
        <v>2941</v>
      </c>
      <c r="D596" t="s">
        <v>2947</v>
      </c>
      <c r="E596" t="s">
        <v>2989</v>
      </c>
      <c r="F596" s="3">
        <v>46253.866957523933</v>
      </c>
      <c r="G596" s="3">
        <v>46253.891808937718</v>
      </c>
      <c r="H596">
        <v>35.79</v>
      </c>
      <c r="I596" t="s">
        <v>3149</v>
      </c>
      <c r="J596" t="s">
        <v>3158</v>
      </c>
      <c r="K596" t="s">
        <v>3182</v>
      </c>
      <c r="L596" t="str">
        <f>_xlfn.XLOOKUP(C596,[1]!Table1[Shift_ID],[1]!Table1[Shift_ID])</f>
        <v>S02</v>
      </c>
      <c r="M596" t="str">
        <f>_xlfn.XLOOKUP(D596,[2]!Table1[Machine_ID],[2]!Table1[Machine_ID])</f>
        <v>M006</v>
      </c>
      <c r="N596" t="str">
        <f>_xlfn.XLOOKUP(E596,[3]Sheet1!$A$2:$A$391,[3]Sheet1!$A$2:$A$391)</f>
        <v>PO10039</v>
      </c>
    </row>
    <row r="597" spans="1:14" x14ac:dyDescent="0.2">
      <c r="A597" t="s">
        <v>606</v>
      </c>
      <c r="B597" s="2">
        <v>46253</v>
      </c>
      <c r="C597" t="s">
        <v>2941</v>
      </c>
      <c r="D597" t="s">
        <v>2948</v>
      </c>
      <c r="E597" t="s">
        <v>2989</v>
      </c>
      <c r="F597" s="3">
        <v>46253.59369027293</v>
      </c>
      <c r="G597" s="3">
        <v>46253.609647305842</v>
      </c>
      <c r="H597">
        <v>22.98</v>
      </c>
      <c r="I597" t="s">
        <v>3149</v>
      </c>
      <c r="J597" t="s">
        <v>3162</v>
      </c>
      <c r="K597" t="s">
        <v>3182</v>
      </c>
      <c r="L597" t="str">
        <f>_xlfn.XLOOKUP(C597,[1]!Table1[Shift_ID],[1]!Table1[Shift_ID])</f>
        <v>S02</v>
      </c>
      <c r="M597" t="str">
        <f>_xlfn.XLOOKUP(D597,[2]!Table1[Machine_ID],[2]!Table1[Machine_ID])</f>
        <v>M007</v>
      </c>
      <c r="N597" t="str">
        <f>_xlfn.XLOOKUP(E597,[3]Sheet1!$A$2:$A$391,[3]Sheet1!$A$2:$A$391)</f>
        <v>PO10039</v>
      </c>
    </row>
    <row r="598" spans="1:14" x14ac:dyDescent="0.2">
      <c r="A598" t="s">
        <v>607</v>
      </c>
      <c r="B598" s="2">
        <v>46253</v>
      </c>
      <c r="C598" t="s">
        <v>2941</v>
      </c>
      <c r="D598" t="s">
        <v>2949</v>
      </c>
      <c r="E598" t="s">
        <v>2989</v>
      </c>
      <c r="F598" s="3">
        <v>46253.753963678537</v>
      </c>
      <c r="G598" s="3">
        <v>46253.759625328079</v>
      </c>
      <c r="H598">
        <v>8.15</v>
      </c>
      <c r="I598" t="s">
        <v>3150</v>
      </c>
      <c r="J598" t="s">
        <v>3159</v>
      </c>
      <c r="K598" t="s">
        <v>3179</v>
      </c>
      <c r="L598" t="str">
        <f>_xlfn.XLOOKUP(C598,[1]!Table1[Shift_ID],[1]!Table1[Shift_ID])</f>
        <v>S02</v>
      </c>
      <c r="M598" t="str">
        <f>_xlfn.XLOOKUP(D598,[2]!Table1[Machine_ID],[2]!Table1[Machine_ID])</f>
        <v>M008</v>
      </c>
      <c r="N598" t="str">
        <f>_xlfn.XLOOKUP(E598,[3]Sheet1!$A$2:$A$391,[3]Sheet1!$A$2:$A$391)</f>
        <v>PO10039</v>
      </c>
    </row>
    <row r="599" spans="1:14" x14ac:dyDescent="0.2">
      <c r="A599" t="s">
        <v>608</v>
      </c>
      <c r="B599" s="2">
        <v>46254</v>
      </c>
      <c r="C599" t="s">
        <v>2939</v>
      </c>
      <c r="D599" t="s">
        <v>2942</v>
      </c>
      <c r="E599" t="s">
        <v>2990</v>
      </c>
      <c r="F599" s="3">
        <v>46255.0183499134</v>
      </c>
      <c r="G599" s="3">
        <v>46255.022172109988</v>
      </c>
      <c r="H599">
        <v>5.5</v>
      </c>
      <c r="I599" t="s">
        <v>3150</v>
      </c>
      <c r="J599" t="s">
        <v>3159</v>
      </c>
      <c r="K599" t="s">
        <v>3178</v>
      </c>
      <c r="L599" t="str">
        <f>_xlfn.XLOOKUP(C599,[1]!Table1[Shift_ID],[1]!Table1[Shift_ID])</f>
        <v>S03</v>
      </c>
      <c r="M599" t="str">
        <f>_xlfn.XLOOKUP(D599,[2]!Table1[Machine_ID],[2]!Table1[Machine_ID])</f>
        <v>M001</v>
      </c>
      <c r="N599" t="str">
        <f>_xlfn.XLOOKUP(E599,[3]Sheet1!$A$2:$A$391,[3]Sheet1!$A$2:$A$391)</f>
        <v>PO10040</v>
      </c>
    </row>
    <row r="600" spans="1:14" x14ac:dyDescent="0.2">
      <c r="A600" t="s">
        <v>609</v>
      </c>
      <c r="B600" s="2">
        <v>46254</v>
      </c>
      <c r="C600" t="s">
        <v>2939</v>
      </c>
      <c r="D600" t="s">
        <v>2942</v>
      </c>
      <c r="E600" t="s">
        <v>2990</v>
      </c>
      <c r="F600" s="3">
        <v>46255.027047605166</v>
      </c>
      <c r="G600" s="3">
        <v>46255.02903068337</v>
      </c>
      <c r="H600">
        <v>2.86</v>
      </c>
      <c r="I600" t="s">
        <v>3151</v>
      </c>
      <c r="J600" t="s">
        <v>3170</v>
      </c>
      <c r="K600" t="s">
        <v>3188</v>
      </c>
      <c r="L600" t="str">
        <f>_xlfn.XLOOKUP(C600,[1]!Table1[Shift_ID],[1]!Table1[Shift_ID])</f>
        <v>S03</v>
      </c>
      <c r="M600" t="str">
        <f>_xlfn.XLOOKUP(D600,[2]!Table1[Machine_ID],[2]!Table1[Machine_ID])</f>
        <v>M001</v>
      </c>
      <c r="N600" t="str">
        <f>_xlfn.XLOOKUP(E600,[3]Sheet1!$A$2:$A$391,[3]Sheet1!$A$2:$A$391)</f>
        <v>PO10040</v>
      </c>
    </row>
    <row r="601" spans="1:14" x14ac:dyDescent="0.2">
      <c r="A601" t="s">
        <v>610</v>
      </c>
      <c r="B601" s="2">
        <v>46254</v>
      </c>
      <c r="C601" t="s">
        <v>2939</v>
      </c>
      <c r="D601" t="s">
        <v>2943</v>
      </c>
      <c r="E601" t="s">
        <v>2990</v>
      </c>
      <c r="F601" s="3">
        <v>46255.04966911213</v>
      </c>
      <c r="G601" s="3">
        <v>46255.057093611817</v>
      </c>
      <c r="H601">
        <v>10.69</v>
      </c>
      <c r="I601" t="s">
        <v>3151</v>
      </c>
      <c r="J601" t="s">
        <v>3161</v>
      </c>
      <c r="K601" t="s">
        <v>3181</v>
      </c>
      <c r="L601" t="str">
        <f>_xlfn.XLOOKUP(C601,[1]!Table1[Shift_ID],[1]!Table1[Shift_ID])</f>
        <v>S03</v>
      </c>
      <c r="M601" t="str">
        <f>_xlfn.XLOOKUP(D601,[2]!Table1[Machine_ID],[2]!Table1[Machine_ID])</f>
        <v>M002</v>
      </c>
      <c r="N601" t="str">
        <f>_xlfn.XLOOKUP(E601,[3]Sheet1!$A$2:$A$391,[3]Sheet1!$A$2:$A$391)</f>
        <v>PO10040</v>
      </c>
    </row>
    <row r="602" spans="1:14" x14ac:dyDescent="0.2">
      <c r="A602" t="s">
        <v>611</v>
      </c>
      <c r="B602" s="2">
        <v>46254</v>
      </c>
      <c r="C602" t="s">
        <v>2939</v>
      </c>
      <c r="D602" t="s">
        <v>2944</v>
      </c>
      <c r="E602" t="s">
        <v>2990</v>
      </c>
      <c r="F602" s="3">
        <v>46255.149476958832</v>
      </c>
      <c r="G602" s="3">
        <v>46255.159989174768</v>
      </c>
      <c r="H602">
        <v>15.14</v>
      </c>
      <c r="I602" t="s">
        <v>3147</v>
      </c>
      <c r="J602" t="s">
        <v>3153</v>
      </c>
      <c r="K602" t="s">
        <v>3186</v>
      </c>
      <c r="L602" t="str">
        <f>_xlfn.XLOOKUP(C602,[1]!Table1[Shift_ID],[1]!Table1[Shift_ID])</f>
        <v>S03</v>
      </c>
      <c r="M602" t="str">
        <f>_xlfn.XLOOKUP(D602,[2]!Table1[Machine_ID],[2]!Table1[Machine_ID])</f>
        <v>M003</v>
      </c>
      <c r="N602" t="str">
        <f>_xlfn.XLOOKUP(E602,[3]Sheet1!$A$2:$A$391,[3]Sheet1!$A$2:$A$391)</f>
        <v>PO10040</v>
      </c>
    </row>
    <row r="603" spans="1:14" x14ac:dyDescent="0.2">
      <c r="A603" t="s">
        <v>612</v>
      </c>
      <c r="B603" s="2">
        <v>46254</v>
      </c>
      <c r="C603" t="s">
        <v>2939</v>
      </c>
      <c r="D603" t="s">
        <v>2944</v>
      </c>
      <c r="E603" t="s">
        <v>2990</v>
      </c>
      <c r="F603" s="3">
        <v>46255.189712368207</v>
      </c>
      <c r="G603" s="3">
        <v>46255.193353566901</v>
      </c>
      <c r="H603">
        <v>5.24</v>
      </c>
      <c r="I603" t="s">
        <v>3150</v>
      </c>
      <c r="J603" t="s">
        <v>3160</v>
      </c>
      <c r="K603" t="s">
        <v>3179</v>
      </c>
      <c r="L603" t="str">
        <f>_xlfn.XLOOKUP(C603,[1]!Table1[Shift_ID],[1]!Table1[Shift_ID])</f>
        <v>S03</v>
      </c>
      <c r="M603" t="str">
        <f>_xlfn.XLOOKUP(D603,[2]!Table1[Machine_ID],[2]!Table1[Machine_ID])</f>
        <v>M003</v>
      </c>
      <c r="N603" t="str">
        <f>_xlfn.XLOOKUP(E603,[3]Sheet1!$A$2:$A$391,[3]Sheet1!$A$2:$A$391)</f>
        <v>PO10040</v>
      </c>
    </row>
    <row r="604" spans="1:14" x14ac:dyDescent="0.2">
      <c r="A604" t="s">
        <v>613</v>
      </c>
      <c r="B604" s="2">
        <v>46254</v>
      </c>
      <c r="C604" t="s">
        <v>2939</v>
      </c>
      <c r="D604" t="s">
        <v>2945</v>
      </c>
      <c r="E604" t="s">
        <v>2990</v>
      </c>
      <c r="F604" s="3">
        <v>46255.135110161711</v>
      </c>
      <c r="G604" s="3">
        <v>46255.143019729003</v>
      </c>
      <c r="H604">
        <v>11.39</v>
      </c>
      <c r="I604" t="s">
        <v>3147</v>
      </c>
      <c r="J604" t="s">
        <v>3154</v>
      </c>
      <c r="K604" t="s">
        <v>3186</v>
      </c>
      <c r="L604" t="str">
        <f>_xlfn.XLOOKUP(C604,[1]!Table1[Shift_ID],[1]!Table1[Shift_ID])</f>
        <v>S03</v>
      </c>
      <c r="M604" t="str">
        <f>_xlfn.XLOOKUP(D604,[2]!Table1[Machine_ID],[2]!Table1[Machine_ID])</f>
        <v>M004</v>
      </c>
      <c r="N604" t="str">
        <f>_xlfn.XLOOKUP(E604,[3]Sheet1!$A$2:$A$391,[3]Sheet1!$A$2:$A$391)</f>
        <v>PO10040</v>
      </c>
    </row>
    <row r="605" spans="1:14" x14ac:dyDescent="0.2">
      <c r="A605" t="s">
        <v>614</v>
      </c>
      <c r="B605" s="2">
        <v>46254</v>
      </c>
      <c r="C605" t="s">
        <v>2939</v>
      </c>
      <c r="D605" t="s">
        <v>2946</v>
      </c>
      <c r="E605" t="s">
        <v>2990</v>
      </c>
      <c r="F605" s="3">
        <v>46255.015617181321</v>
      </c>
      <c r="G605" s="3">
        <v>46255.02037232677</v>
      </c>
      <c r="H605">
        <v>6.85</v>
      </c>
      <c r="I605" t="s">
        <v>3147</v>
      </c>
      <c r="J605" t="s">
        <v>3167</v>
      </c>
      <c r="K605" t="s">
        <v>3186</v>
      </c>
      <c r="L605" t="str">
        <f>_xlfn.XLOOKUP(C605,[1]!Table1[Shift_ID],[1]!Table1[Shift_ID])</f>
        <v>S03</v>
      </c>
      <c r="M605" t="str">
        <f>_xlfn.XLOOKUP(D605,[2]!Table1[Machine_ID],[2]!Table1[Machine_ID])</f>
        <v>M005</v>
      </c>
      <c r="N605" t="str">
        <f>_xlfn.XLOOKUP(E605,[3]Sheet1!$A$2:$A$391,[3]Sheet1!$A$2:$A$391)</f>
        <v>PO10040</v>
      </c>
    </row>
    <row r="606" spans="1:14" x14ac:dyDescent="0.2">
      <c r="A606" t="s">
        <v>615</v>
      </c>
      <c r="B606" s="2">
        <v>46254</v>
      </c>
      <c r="C606" t="s">
        <v>2939</v>
      </c>
      <c r="D606" t="s">
        <v>2946</v>
      </c>
      <c r="E606" t="s">
        <v>2990</v>
      </c>
      <c r="F606" s="3">
        <v>46255.201658057173</v>
      </c>
      <c r="G606" s="3">
        <v>46255.2035040216</v>
      </c>
      <c r="H606">
        <v>2.66</v>
      </c>
      <c r="I606" t="s">
        <v>3149</v>
      </c>
      <c r="J606" t="s">
        <v>3158</v>
      </c>
      <c r="K606" t="s">
        <v>3176</v>
      </c>
      <c r="L606" t="str">
        <f>_xlfn.XLOOKUP(C606,[1]!Table1[Shift_ID],[1]!Table1[Shift_ID])</f>
        <v>S03</v>
      </c>
      <c r="M606" t="str">
        <f>_xlfn.XLOOKUP(D606,[2]!Table1[Machine_ID],[2]!Table1[Machine_ID])</f>
        <v>M005</v>
      </c>
      <c r="N606" t="str">
        <f>_xlfn.XLOOKUP(E606,[3]Sheet1!$A$2:$A$391,[3]Sheet1!$A$2:$A$391)</f>
        <v>PO10040</v>
      </c>
    </row>
    <row r="607" spans="1:14" x14ac:dyDescent="0.2">
      <c r="A607" t="s">
        <v>616</v>
      </c>
      <c r="B607" s="2">
        <v>46254</v>
      </c>
      <c r="C607" t="s">
        <v>2939</v>
      </c>
      <c r="D607" t="s">
        <v>2947</v>
      </c>
      <c r="E607" t="s">
        <v>2990</v>
      </c>
      <c r="F607" s="3">
        <v>46254.958272828248</v>
      </c>
      <c r="G607" s="3">
        <v>46254.980007065147</v>
      </c>
      <c r="H607">
        <v>31.3</v>
      </c>
      <c r="I607" t="s">
        <v>3147</v>
      </c>
      <c r="J607" t="s">
        <v>3153</v>
      </c>
      <c r="K607" t="s">
        <v>3172</v>
      </c>
      <c r="L607" t="str">
        <f>_xlfn.XLOOKUP(C607,[1]!Table1[Shift_ID],[1]!Table1[Shift_ID])</f>
        <v>S03</v>
      </c>
      <c r="M607" t="str">
        <f>_xlfn.XLOOKUP(D607,[2]!Table1[Machine_ID],[2]!Table1[Machine_ID])</f>
        <v>M006</v>
      </c>
      <c r="N607" t="str">
        <f>_xlfn.XLOOKUP(E607,[3]Sheet1!$A$2:$A$391,[3]Sheet1!$A$2:$A$391)</f>
        <v>PO10040</v>
      </c>
    </row>
    <row r="608" spans="1:14" x14ac:dyDescent="0.2">
      <c r="A608" t="s">
        <v>617</v>
      </c>
      <c r="B608" s="2">
        <v>46254</v>
      </c>
      <c r="C608" t="s">
        <v>2939</v>
      </c>
      <c r="D608" t="s">
        <v>2947</v>
      </c>
      <c r="E608" t="s">
        <v>2990</v>
      </c>
      <c r="F608" s="3">
        <v>46254.98278771824</v>
      </c>
      <c r="G608" s="3">
        <v>46254.985836074491</v>
      </c>
      <c r="H608">
        <v>4.3899999999999997</v>
      </c>
      <c r="I608" t="s">
        <v>3150</v>
      </c>
      <c r="J608" t="s">
        <v>3166</v>
      </c>
      <c r="K608" t="s">
        <v>3178</v>
      </c>
      <c r="L608" t="str">
        <f>_xlfn.XLOOKUP(C608,[1]!Table1[Shift_ID],[1]!Table1[Shift_ID])</f>
        <v>S03</v>
      </c>
      <c r="M608" t="str">
        <f>_xlfn.XLOOKUP(D608,[2]!Table1[Machine_ID],[2]!Table1[Machine_ID])</f>
        <v>M006</v>
      </c>
      <c r="N608" t="str">
        <f>_xlfn.XLOOKUP(E608,[3]Sheet1!$A$2:$A$391,[3]Sheet1!$A$2:$A$391)</f>
        <v>PO10040</v>
      </c>
    </row>
    <row r="609" spans="1:14" x14ac:dyDescent="0.2">
      <c r="A609" t="s">
        <v>618</v>
      </c>
      <c r="B609" s="2">
        <v>46254</v>
      </c>
      <c r="C609" t="s">
        <v>2939</v>
      </c>
      <c r="D609" t="s">
        <v>2947</v>
      </c>
      <c r="E609" t="s">
        <v>2990</v>
      </c>
      <c r="F609" s="3">
        <v>46255.149920376563</v>
      </c>
      <c r="G609" s="3">
        <v>46255.158856009977</v>
      </c>
      <c r="H609">
        <v>12.87</v>
      </c>
      <c r="I609" t="s">
        <v>3150</v>
      </c>
      <c r="J609" t="s">
        <v>3163</v>
      </c>
      <c r="K609" t="s">
        <v>3178</v>
      </c>
      <c r="L609" t="str">
        <f>_xlfn.XLOOKUP(C609,[1]!Table1[Shift_ID],[1]!Table1[Shift_ID])</f>
        <v>S03</v>
      </c>
      <c r="M609" t="str">
        <f>_xlfn.XLOOKUP(D609,[2]!Table1[Machine_ID],[2]!Table1[Machine_ID])</f>
        <v>M006</v>
      </c>
      <c r="N609" t="str">
        <f>_xlfn.XLOOKUP(E609,[3]Sheet1!$A$2:$A$391,[3]Sheet1!$A$2:$A$391)</f>
        <v>PO10040</v>
      </c>
    </row>
    <row r="610" spans="1:14" x14ac:dyDescent="0.2">
      <c r="A610" t="s">
        <v>619</v>
      </c>
      <c r="B610" s="2">
        <v>46254</v>
      </c>
      <c r="C610" t="s">
        <v>2939</v>
      </c>
      <c r="D610" t="s">
        <v>2948</v>
      </c>
      <c r="E610" t="s">
        <v>2990</v>
      </c>
      <c r="F610" s="3">
        <v>46255.069307545033</v>
      </c>
      <c r="G610" s="3">
        <v>46255.075340045958</v>
      </c>
      <c r="H610">
        <v>8.69</v>
      </c>
      <c r="I610" t="s">
        <v>3146</v>
      </c>
      <c r="J610" t="s">
        <v>3157</v>
      </c>
      <c r="K610" t="s">
        <v>3174</v>
      </c>
      <c r="L610" t="str">
        <f>_xlfn.XLOOKUP(C610,[1]!Table1[Shift_ID],[1]!Table1[Shift_ID])</f>
        <v>S03</v>
      </c>
      <c r="M610" t="str">
        <f>_xlfn.XLOOKUP(D610,[2]!Table1[Machine_ID],[2]!Table1[Machine_ID])</f>
        <v>M007</v>
      </c>
      <c r="N610" t="str">
        <f>_xlfn.XLOOKUP(E610,[3]Sheet1!$A$2:$A$391,[3]Sheet1!$A$2:$A$391)</f>
        <v>PO10040</v>
      </c>
    </row>
    <row r="611" spans="1:14" x14ac:dyDescent="0.2">
      <c r="A611" t="s">
        <v>620</v>
      </c>
      <c r="B611" s="2">
        <v>46254</v>
      </c>
      <c r="C611" t="s">
        <v>2939</v>
      </c>
      <c r="D611" t="s">
        <v>2948</v>
      </c>
      <c r="E611" t="s">
        <v>2990</v>
      </c>
      <c r="F611" s="3">
        <v>46255.135028956523</v>
      </c>
      <c r="G611" s="3">
        <v>46255.142484188749</v>
      </c>
      <c r="H611">
        <v>10.74</v>
      </c>
      <c r="I611" t="s">
        <v>3148</v>
      </c>
      <c r="J611" t="s">
        <v>3164</v>
      </c>
      <c r="K611" t="s">
        <v>3173</v>
      </c>
      <c r="L611" t="str">
        <f>_xlfn.XLOOKUP(C611,[1]!Table1[Shift_ID],[1]!Table1[Shift_ID])</f>
        <v>S03</v>
      </c>
      <c r="M611" t="str">
        <f>_xlfn.XLOOKUP(D611,[2]!Table1[Machine_ID],[2]!Table1[Machine_ID])</f>
        <v>M007</v>
      </c>
      <c r="N611" t="str">
        <f>_xlfn.XLOOKUP(E611,[3]Sheet1!$A$2:$A$391,[3]Sheet1!$A$2:$A$391)</f>
        <v>PO10040</v>
      </c>
    </row>
    <row r="612" spans="1:14" x14ac:dyDescent="0.2">
      <c r="A612" t="s">
        <v>621</v>
      </c>
      <c r="B612" s="2">
        <v>46254</v>
      </c>
      <c r="C612" t="s">
        <v>2939</v>
      </c>
      <c r="D612" t="s">
        <v>2949</v>
      </c>
      <c r="E612" t="s">
        <v>2990</v>
      </c>
      <c r="F612" s="3">
        <v>46255.071854654678</v>
      </c>
      <c r="G612" s="3">
        <v>46255.074851640456</v>
      </c>
      <c r="H612">
        <v>4.32</v>
      </c>
      <c r="I612" t="s">
        <v>3149</v>
      </c>
      <c r="J612" t="s">
        <v>3162</v>
      </c>
      <c r="K612" t="s">
        <v>3182</v>
      </c>
      <c r="L612" t="str">
        <f>_xlfn.XLOOKUP(C612,[1]!Table1[Shift_ID],[1]!Table1[Shift_ID])</f>
        <v>S03</v>
      </c>
      <c r="M612" t="str">
        <f>_xlfn.XLOOKUP(D612,[2]!Table1[Machine_ID],[2]!Table1[Machine_ID])</f>
        <v>M008</v>
      </c>
      <c r="N612" t="str">
        <f>_xlfn.XLOOKUP(E612,[3]Sheet1!$A$2:$A$391,[3]Sheet1!$A$2:$A$391)</f>
        <v>PO10040</v>
      </c>
    </row>
    <row r="613" spans="1:14" x14ac:dyDescent="0.2">
      <c r="A613" t="s">
        <v>622</v>
      </c>
      <c r="B613" s="2">
        <v>46254</v>
      </c>
      <c r="C613" t="s">
        <v>2939</v>
      </c>
      <c r="D613" t="s">
        <v>2949</v>
      </c>
      <c r="E613" t="s">
        <v>2990</v>
      </c>
      <c r="F613" s="3">
        <v>46255.17897502648</v>
      </c>
      <c r="G613" s="3">
        <v>46255.180792065592</v>
      </c>
      <c r="H613">
        <v>2.62</v>
      </c>
      <c r="I613" t="s">
        <v>3147</v>
      </c>
      <c r="J613" t="s">
        <v>3167</v>
      </c>
      <c r="K613" t="s">
        <v>3172</v>
      </c>
      <c r="L613" t="str">
        <f>_xlfn.XLOOKUP(C613,[1]!Table1[Shift_ID],[1]!Table1[Shift_ID])</f>
        <v>S03</v>
      </c>
      <c r="M613" t="str">
        <f>_xlfn.XLOOKUP(D613,[2]!Table1[Machine_ID],[2]!Table1[Machine_ID])</f>
        <v>M008</v>
      </c>
      <c r="N613" t="str">
        <f>_xlfn.XLOOKUP(E613,[3]Sheet1!$A$2:$A$391,[3]Sheet1!$A$2:$A$391)</f>
        <v>PO10040</v>
      </c>
    </row>
    <row r="614" spans="1:14" x14ac:dyDescent="0.2">
      <c r="A614" t="s">
        <v>623</v>
      </c>
      <c r="B614" s="2">
        <v>46254</v>
      </c>
      <c r="C614" t="s">
        <v>2940</v>
      </c>
      <c r="D614" t="s">
        <v>2942</v>
      </c>
      <c r="E614" t="s">
        <v>2991</v>
      </c>
      <c r="F614" s="3">
        <v>46254.572535127802</v>
      </c>
      <c r="G614" s="3">
        <v>46254.578075513498</v>
      </c>
      <c r="H614">
        <v>7.98</v>
      </c>
      <c r="I614" t="s">
        <v>3150</v>
      </c>
      <c r="J614" t="s">
        <v>3159</v>
      </c>
      <c r="K614" t="s">
        <v>3179</v>
      </c>
      <c r="L614" t="str">
        <f>_xlfn.XLOOKUP(C614,[1]!Table1[Shift_ID],[1]!Table1[Shift_ID])</f>
        <v>S01</v>
      </c>
      <c r="M614" t="str">
        <f>_xlfn.XLOOKUP(D614,[2]!Table1[Machine_ID],[2]!Table1[Machine_ID])</f>
        <v>M001</v>
      </c>
      <c r="N614" t="str">
        <f>_xlfn.XLOOKUP(E614,[3]Sheet1!$A$2:$A$391,[3]Sheet1!$A$2:$A$391)</f>
        <v>PO10041</v>
      </c>
    </row>
    <row r="615" spans="1:14" x14ac:dyDescent="0.2">
      <c r="A615" t="s">
        <v>624</v>
      </c>
      <c r="B615" s="2">
        <v>46254</v>
      </c>
      <c r="C615" t="s">
        <v>2940</v>
      </c>
      <c r="D615" t="s">
        <v>2943</v>
      </c>
      <c r="E615" t="s">
        <v>2991</v>
      </c>
      <c r="F615" s="3">
        <v>46254.322548556724</v>
      </c>
      <c r="G615" s="3">
        <v>46254.330339055567</v>
      </c>
      <c r="H615">
        <v>11.22</v>
      </c>
      <c r="I615" t="s">
        <v>3146</v>
      </c>
      <c r="J615" t="s">
        <v>3156</v>
      </c>
      <c r="K615" t="s">
        <v>3171</v>
      </c>
      <c r="L615" t="str">
        <f>_xlfn.XLOOKUP(C615,[1]!Table1[Shift_ID],[1]!Table1[Shift_ID])</f>
        <v>S01</v>
      </c>
      <c r="M615" t="str">
        <f>_xlfn.XLOOKUP(D615,[2]!Table1[Machine_ID],[2]!Table1[Machine_ID])</f>
        <v>M002</v>
      </c>
      <c r="N615" t="str">
        <f>_xlfn.XLOOKUP(E615,[3]Sheet1!$A$2:$A$391,[3]Sheet1!$A$2:$A$391)</f>
        <v>PO10041</v>
      </c>
    </row>
    <row r="616" spans="1:14" x14ac:dyDescent="0.2">
      <c r="A616" t="s">
        <v>625</v>
      </c>
      <c r="B616" s="2">
        <v>46254</v>
      </c>
      <c r="C616" t="s">
        <v>2940</v>
      </c>
      <c r="D616" t="s">
        <v>2943</v>
      </c>
      <c r="E616" t="s">
        <v>2991</v>
      </c>
      <c r="F616" s="3">
        <v>46254.334099089712</v>
      </c>
      <c r="G616" s="3">
        <v>46254.335975152178</v>
      </c>
      <c r="H616">
        <v>2.7</v>
      </c>
      <c r="I616" t="s">
        <v>3150</v>
      </c>
      <c r="J616" t="s">
        <v>3166</v>
      </c>
      <c r="K616" t="s">
        <v>3179</v>
      </c>
      <c r="L616" t="str">
        <f>_xlfn.XLOOKUP(C616,[1]!Table1[Shift_ID],[1]!Table1[Shift_ID])</f>
        <v>S01</v>
      </c>
      <c r="M616" t="str">
        <f>_xlfn.XLOOKUP(D616,[2]!Table1[Machine_ID],[2]!Table1[Machine_ID])</f>
        <v>M002</v>
      </c>
      <c r="N616" t="str">
        <f>_xlfn.XLOOKUP(E616,[3]Sheet1!$A$2:$A$391,[3]Sheet1!$A$2:$A$391)</f>
        <v>PO10041</v>
      </c>
    </row>
    <row r="617" spans="1:14" x14ac:dyDescent="0.2">
      <c r="A617" t="s">
        <v>626</v>
      </c>
      <c r="B617" s="2">
        <v>46254</v>
      </c>
      <c r="C617" t="s">
        <v>2940</v>
      </c>
      <c r="D617" t="s">
        <v>2944</v>
      </c>
      <c r="E617" t="s">
        <v>2991</v>
      </c>
      <c r="F617" s="3">
        <v>46254.38408580704</v>
      </c>
      <c r="G617" s="3">
        <v>46254.396949599613</v>
      </c>
      <c r="H617">
        <v>18.52</v>
      </c>
      <c r="I617" t="s">
        <v>3148</v>
      </c>
      <c r="J617" t="s">
        <v>3155</v>
      </c>
      <c r="K617" t="s">
        <v>3173</v>
      </c>
      <c r="L617" t="str">
        <f>_xlfn.XLOOKUP(C617,[1]!Table1[Shift_ID],[1]!Table1[Shift_ID])</f>
        <v>S01</v>
      </c>
      <c r="M617" t="str">
        <f>_xlfn.XLOOKUP(D617,[2]!Table1[Machine_ID],[2]!Table1[Machine_ID])</f>
        <v>M003</v>
      </c>
      <c r="N617" t="str">
        <f>_xlfn.XLOOKUP(E617,[3]Sheet1!$A$2:$A$391,[3]Sheet1!$A$2:$A$391)</f>
        <v>PO10041</v>
      </c>
    </row>
    <row r="618" spans="1:14" x14ac:dyDescent="0.2">
      <c r="A618" t="s">
        <v>627</v>
      </c>
      <c r="B618" s="2">
        <v>46254</v>
      </c>
      <c r="C618" t="s">
        <v>2940</v>
      </c>
      <c r="D618" t="s">
        <v>2945</v>
      </c>
      <c r="E618" t="s">
        <v>2991</v>
      </c>
      <c r="F618" s="3">
        <v>46254.298369014468</v>
      </c>
      <c r="G618" s="3">
        <v>46254.30520050686</v>
      </c>
      <c r="H618">
        <v>9.84</v>
      </c>
      <c r="I618" t="s">
        <v>3149</v>
      </c>
      <c r="J618" t="s">
        <v>3162</v>
      </c>
      <c r="K618" t="s">
        <v>3182</v>
      </c>
      <c r="L618" t="str">
        <f>_xlfn.XLOOKUP(C618,[1]!Table1[Shift_ID],[1]!Table1[Shift_ID])</f>
        <v>S01</v>
      </c>
      <c r="M618" t="str">
        <f>_xlfn.XLOOKUP(D618,[2]!Table1[Machine_ID],[2]!Table1[Machine_ID])</f>
        <v>M004</v>
      </c>
      <c r="N618" t="str">
        <f>_xlfn.XLOOKUP(E618,[3]Sheet1!$A$2:$A$391,[3]Sheet1!$A$2:$A$391)</f>
        <v>PO10041</v>
      </c>
    </row>
    <row r="619" spans="1:14" x14ac:dyDescent="0.2">
      <c r="A619" t="s">
        <v>628</v>
      </c>
      <c r="B619" s="2">
        <v>46254</v>
      </c>
      <c r="C619" t="s">
        <v>2940</v>
      </c>
      <c r="D619" t="s">
        <v>2946</v>
      </c>
      <c r="E619" t="s">
        <v>2991</v>
      </c>
      <c r="F619" s="3">
        <v>46254.4856056606</v>
      </c>
      <c r="G619" s="3">
        <v>46254.492527109032</v>
      </c>
      <c r="H619">
        <v>9.9700000000000006</v>
      </c>
      <c r="I619" t="s">
        <v>3150</v>
      </c>
      <c r="J619" t="s">
        <v>3166</v>
      </c>
      <c r="K619" t="s">
        <v>3177</v>
      </c>
      <c r="L619" t="str">
        <f>_xlfn.XLOOKUP(C619,[1]!Table1[Shift_ID],[1]!Table1[Shift_ID])</f>
        <v>S01</v>
      </c>
      <c r="M619" t="str">
        <f>_xlfn.XLOOKUP(D619,[2]!Table1[Machine_ID],[2]!Table1[Machine_ID])</f>
        <v>M005</v>
      </c>
      <c r="N619" t="str">
        <f>_xlfn.XLOOKUP(E619,[3]Sheet1!$A$2:$A$391,[3]Sheet1!$A$2:$A$391)</f>
        <v>PO10041</v>
      </c>
    </row>
    <row r="620" spans="1:14" x14ac:dyDescent="0.2">
      <c r="A620" t="s">
        <v>629</v>
      </c>
      <c r="B620" s="2">
        <v>46254</v>
      </c>
      <c r="C620" t="s">
        <v>2940</v>
      </c>
      <c r="D620" t="s">
        <v>2947</v>
      </c>
      <c r="E620" t="s">
        <v>2991</v>
      </c>
      <c r="F620" s="3">
        <v>46254.308786709407</v>
      </c>
      <c r="G620" s="3">
        <v>46254.320575996178</v>
      </c>
      <c r="H620">
        <v>16.98</v>
      </c>
      <c r="I620" t="s">
        <v>3150</v>
      </c>
      <c r="J620" t="s">
        <v>3159</v>
      </c>
      <c r="K620" t="s">
        <v>3177</v>
      </c>
      <c r="L620" t="str">
        <f>_xlfn.XLOOKUP(C620,[1]!Table1[Shift_ID],[1]!Table1[Shift_ID])</f>
        <v>S01</v>
      </c>
      <c r="M620" t="str">
        <f>_xlfn.XLOOKUP(D620,[2]!Table1[Machine_ID],[2]!Table1[Machine_ID])</f>
        <v>M006</v>
      </c>
      <c r="N620" t="str">
        <f>_xlfn.XLOOKUP(E620,[3]Sheet1!$A$2:$A$391,[3]Sheet1!$A$2:$A$391)</f>
        <v>PO10041</v>
      </c>
    </row>
    <row r="621" spans="1:14" x14ac:dyDescent="0.2">
      <c r="A621" t="s">
        <v>630</v>
      </c>
      <c r="B621" s="2">
        <v>46254</v>
      </c>
      <c r="C621" t="s">
        <v>2940</v>
      </c>
      <c r="D621" t="s">
        <v>2947</v>
      </c>
      <c r="E621" t="s">
        <v>2991</v>
      </c>
      <c r="F621" s="3">
        <v>46254.378652220606</v>
      </c>
      <c r="G621" s="3">
        <v>46254.39446345935</v>
      </c>
      <c r="H621">
        <v>22.77</v>
      </c>
      <c r="I621" t="s">
        <v>3149</v>
      </c>
      <c r="J621" t="s">
        <v>3162</v>
      </c>
      <c r="K621" t="s">
        <v>3184</v>
      </c>
      <c r="L621" t="str">
        <f>_xlfn.XLOOKUP(C621,[1]!Table1[Shift_ID],[1]!Table1[Shift_ID])</f>
        <v>S01</v>
      </c>
      <c r="M621" t="str">
        <f>_xlfn.XLOOKUP(D621,[2]!Table1[Machine_ID],[2]!Table1[Machine_ID])</f>
        <v>M006</v>
      </c>
      <c r="N621" t="str">
        <f>_xlfn.XLOOKUP(E621,[3]Sheet1!$A$2:$A$391,[3]Sheet1!$A$2:$A$391)</f>
        <v>PO10041</v>
      </c>
    </row>
    <row r="622" spans="1:14" x14ac:dyDescent="0.2">
      <c r="A622" t="s">
        <v>631</v>
      </c>
      <c r="B622" s="2">
        <v>46254</v>
      </c>
      <c r="C622" t="s">
        <v>2940</v>
      </c>
      <c r="D622" t="s">
        <v>2948</v>
      </c>
      <c r="E622" t="s">
        <v>2991</v>
      </c>
      <c r="F622" s="3">
        <v>46254.256933195044</v>
      </c>
      <c r="G622" s="3">
        <v>46254.26401568648</v>
      </c>
      <c r="H622">
        <v>10.199999999999999</v>
      </c>
      <c r="I622" t="s">
        <v>3148</v>
      </c>
      <c r="J622" t="s">
        <v>3164</v>
      </c>
      <c r="K622" t="s">
        <v>3173</v>
      </c>
      <c r="L622" t="str">
        <f>_xlfn.XLOOKUP(C622,[1]!Table1[Shift_ID],[1]!Table1[Shift_ID])</f>
        <v>S01</v>
      </c>
      <c r="M622" t="str">
        <f>_xlfn.XLOOKUP(D622,[2]!Table1[Machine_ID],[2]!Table1[Machine_ID])</f>
        <v>M007</v>
      </c>
      <c r="N622" t="str">
        <f>_xlfn.XLOOKUP(E622,[3]Sheet1!$A$2:$A$391,[3]Sheet1!$A$2:$A$391)</f>
        <v>PO10041</v>
      </c>
    </row>
    <row r="623" spans="1:14" x14ac:dyDescent="0.2">
      <c r="A623" t="s">
        <v>632</v>
      </c>
      <c r="B623" s="2">
        <v>46254</v>
      </c>
      <c r="C623" t="s">
        <v>2940</v>
      </c>
      <c r="D623" t="s">
        <v>2948</v>
      </c>
      <c r="E623" t="s">
        <v>2991</v>
      </c>
      <c r="F623" s="3">
        <v>46254.422231404802</v>
      </c>
      <c r="G623" s="3">
        <v>46254.42412169373</v>
      </c>
      <c r="H623">
        <v>2.72</v>
      </c>
      <c r="I623" t="s">
        <v>3150</v>
      </c>
      <c r="J623" t="s">
        <v>3159</v>
      </c>
      <c r="K623" t="s">
        <v>3178</v>
      </c>
      <c r="L623" t="str">
        <f>_xlfn.XLOOKUP(C623,[1]!Table1[Shift_ID],[1]!Table1[Shift_ID])</f>
        <v>S01</v>
      </c>
      <c r="M623" t="str">
        <f>_xlfn.XLOOKUP(D623,[2]!Table1[Machine_ID],[2]!Table1[Machine_ID])</f>
        <v>M007</v>
      </c>
      <c r="N623" t="str">
        <f>_xlfn.XLOOKUP(E623,[3]Sheet1!$A$2:$A$391,[3]Sheet1!$A$2:$A$391)</f>
        <v>PO10041</v>
      </c>
    </row>
    <row r="624" spans="1:14" x14ac:dyDescent="0.2">
      <c r="A624" t="s">
        <v>633</v>
      </c>
      <c r="B624" s="2">
        <v>46254</v>
      </c>
      <c r="C624" t="s">
        <v>2940</v>
      </c>
      <c r="D624" t="s">
        <v>2948</v>
      </c>
      <c r="E624" t="s">
        <v>2991</v>
      </c>
      <c r="F624" s="3">
        <v>46254.537699314787</v>
      </c>
      <c r="G624" s="3">
        <v>46254.539635458299</v>
      </c>
      <c r="H624">
        <v>2.79</v>
      </c>
      <c r="I624" t="s">
        <v>3150</v>
      </c>
      <c r="J624" t="s">
        <v>3160</v>
      </c>
      <c r="K624" t="s">
        <v>3179</v>
      </c>
      <c r="L624" t="str">
        <f>_xlfn.XLOOKUP(C624,[1]!Table1[Shift_ID],[1]!Table1[Shift_ID])</f>
        <v>S01</v>
      </c>
      <c r="M624" t="str">
        <f>_xlfn.XLOOKUP(D624,[2]!Table1[Machine_ID],[2]!Table1[Machine_ID])</f>
        <v>M007</v>
      </c>
      <c r="N624" t="str">
        <f>_xlfn.XLOOKUP(E624,[3]Sheet1!$A$2:$A$391,[3]Sheet1!$A$2:$A$391)</f>
        <v>PO10041</v>
      </c>
    </row>
    <row r="625" spans="1:14" x14ac:dyDescent="0.2">
      <c r="A625" t="s">
        <v>634</v>
      </c>
      <c r="B625" s="2">
        <v>46254</v>
      </c>
      <c r="C625" t="s">
        <v>2940</v>
      </c>
      <c r="D625" t="s">
        <v>2949</v>
      </c>
      <c r="E625" t="s">
        <v>2991</v>
      </c>
      <c r="F625" s="3">
        <v>46254.33425954487</v>
      </c>
      <c r="G625" s="3">
        <v>46254.33902847243</v>
      </c>
      <c r="H625">
        <v>6.87</v>
      </c>
      <c r="I625" t="s">
        <v>3147</v>
      </c>
      <c r="J625" t="s">
        <v>3153</v>
      </c>
      <c r="K625" t="s">
        <v>3186</v>
      </c>
      <c r="L625" t="str">
        <f>_xlfn.XLOOKUP(C625,[1]!Table1[Shift_ID],[1]!Table1[Shift_ID])</f>
        <v>S01</v>
      </c>
      <c r="M625" t="str">
        <f>_xlfn.XLOOKUP(D625,[2]!Table1[Machine_ID],[2]!Table1[Machine_ID])</f>
        <v>M008</v>
      </c>
      <c r="N625" t="str">
        <f>_xlfn.XLOOKUP(E625,[3]Sheet1!$A$2:$A$391,[3]Sheet1!$A$2:$A$391)</f>
        <v>PO10041</v>
      </c>
    </row>
    <row r="626" spans="1:14" x14ac:dyDescent="0.2">
      <c r="A626" t="s">
        <v>635</v>
      </c>
      <c r="B626" s="2">
        <v>46254</v>
      </c>
      <c r="C626" t="s">
        <v>2941</v>
      </c>
      <c r="D626" t="s">
        <v>2942</v>
      </c>
      <c r="E626" t="s">
        <v>2992</v>
      </c>
      <c r="F626" s="3">
        <v>46254.743252661632</v>
      </c>
      <c r="G626" s="3">
        <v>46254.751197951889</v>
      </c>
      <c r="H626">
        <v>11.44</v>
      </c>
      <c r="I626" t="s">
        <v>3146</v>
      </c>
      <c r="J626" t="s">
        <v>3157</v>
      </c>
      <c r="K626" t="s">
        <v>3171</v>
      </c>
      <c r="L626" t="str">
        <f>_xlfn.XLOOKUP(C626,[1]!Table1[Shift_ID],[1]!Table1[Shift_ID])</f>
        <v>S02</v>
      </c>
      <c r="M626" t="str">
        <f>_xlfn.XLOOKUP(D626,[2]!Table1[Machine_ID],[2]!Table1[Machine_ID])</f>
        <v>M001</v>
      </c>
      <c r="N626" t="str">
        <f>_xlfn.XLOOKUP(E626,[3]Sheet1!$A$2:$A$391,[3]Sheet1!$A$2:$A$391)</f>
        <v>PO10042</v>
      </c>
    </row>
    <row r="627" spans="1:14" x14ac:dyDescent="0.2">
      <c r="A627" t="s">
        <v>636</v>
      </c>
      <c r="B627" s="2">
        <v>46254</v>
      </c>
      <c r="C627" t="s">
        <v>2941</v>
      </c>
      <c r="D627" t="s">
        <v>2943</v>
      </c>
      <c r="E627" t="s">
        <v>2992</v>
      </c>
      <c r="F627" s="3">
        <v>46254.712718866584</v>
      </c>
      <c r="G627" s="3">
        <v>46254.721442363712</v>
      </c>
      <c r="H627">
        <v>12.56</v>
      </c>
      <c r="I627" t="s">
        <v>3147</v>
      </c>
      <c r="J627" t="s">
        <v>3167</v>
      </c>
      <c r="K627" t="s">
        <v>3172</v>
      </c>
      <c r="L627" t="str">
        <f>_xlfn.XLOOKUP(C627,[1]!Table1[Shift_ID],[1]!Table1[Shift_ID])</f>
        <v>S02</v>
      </c>
      <c r="M627" t="str">
        <f>_xlfn.XLOOKUP(D627,[2]!Table1[Machine_ID],[2]!Table1[Machine_ID])</f>
        <v>M002</v>
      </c>
      <c r="N627" t="str">
        <f>_xlfn.XLOOKUP(E627,[3]Sheet1!$A$2:$A$391,[3]Sheet1!$A$2:$A$391)</f>
        <v>PO10042</v>
      </c>
    </row>
    <row r="628" spans="1:14" x14ac:dyDescent="0.2">
      <c r="A628" t="s">
        <v>637</v>
      </c>
      <c r="B628" s="2">
        <v>46254</v>
      </c>
      <c r="C628" t="s">
        <v>2941</v>
      </c>
      <c r="D628" t="s">
        <v>2944</v>
      </c>
      <c r="E628" t="s">
        <v>2992</v>
      </c>
      <c r="F628" s="3">
        <v>46254.740591720307</v>
      </c>
      <c r="G628" s="3">
        <v>46254.754030245524</v>
      </c>
      <c r="H628">
        <v>19.350000000000001</v>
      </c>
      <c r="I628" t="s">
        <v>3147</v>
      </c>
      <c r="J628" t="s">
        <v>3153</v>
      </c>
      <c r="K628" t="s">
        <v>3186</v>
      </c>
      <c r="L628" t="str">
        <f>_xlfn.XLOOKUP(C628,[1]!Table1[Shift_ID],[1]!Table1[Shift_ID])</f>
        <v>S02</v>
      </c>
      <c r="M628" t="str">
        <f>_xlfn.XLOOKUP(D628,[2]!Table1[Machine_ID],[2]!Table1[Machine_ID])</f>
        <v>M003</v>
      </c>
      <c r="N628" t="str">
        <f>_xlfn.XLOOKUP(E628,[3]Sheet1!$A$2:$A$391,[3]Sheet1!$A$2:$A$391)</f>
        <v>PO10042</v>
      </c>
    </row>
    <row r="629" spans="1:14" x14ac:dyDescent="0.2">
      <c r="A629" t="s">
        <v>638</v>
      </c>
      <c r="B629" s="2">
        <v>46254</v>
      </c>
      <c r="C629" t="s">
        <v>2941</v>
      </c>
      <c r="D629" t="s">
        <v>2945</v>
      </c>
      <c r="E629" t="s">
        <v>2992</v>
      </c>
      <c r="F629" s="3">
        <v>46254.777195635033</v>
      </c>
      <c r="G629" s="3">
        <v>46254.787184282948</v>
      </c>
      <c r="H629">
        <v>14.38</v>
      </c>
      <c r="I629" t="s">
        <v>3148</v>
      </c>
      <c r="J629" t="s">
        <v>3165</v>
      </c>
      <c r="K629" t="s">
        <v>3183</v>
      </c>
      <c r="L629" t="str">
        <f>_xlfn.XLOOKUP(C629,[1]!Table1[Shift_ID],[1]!Table1[Shift_ID])</f>
        <v>S02</v>
      </c>
      <c r="M629" t="str">
        <f>_xlfn.XLOOKUP(D629,[2]!Table1[Machine_ID],[2]!Table1[Machine_ID])</f>
        <v>M004</v>
      </c>
      <c r="N629" t="str">
        <f>_xlfn.XLOOKUP(E629,[3]Sheet1!$A$2:$A$391,[3]Sheet1!$A$2:$A$391)</f>
        <v>PO10042</v>
      </c>
    </row>
    <row r="630" spans="1:14" x14ac:dyDescent="0.2">
      <c r="A630" t="s">
        <v>639</v>
      </c>
      <c r="B630" s="2">
        <v>46254</v>
      </c>
      <c r="C630" t="s">
        <v>2941</v>
      </c>
      <c r="D630" t="s">
        <v>2946</v>
      </c>
      <c r="E630" t="s">
        <v>2992</v>
      </c>
      <c r="F630" s="3">
        <v>46254.870853460372</v>
      </c>
      <c r="G630" s="3">
        <v>46254.881102799547</v>
      </c>
      <c r="H630">
        <v>14.76</v>
      </c>
      <c r="I630" t="s">
        <v>3147</v>
      </c>
      <c r="J630" t="s">
        <v>3167</v>
      </c>
      <c r="K630" t="s">
        <v>3186</v>
      </c>
      <c r="L630" t="str">
        <f>_xlfn.XLOOKUP(C630,[1]!Table1[Shift_ID],[1]!Table1[Shift_ID])</f>
        <v>S02</v>
      </c>
      <c r="M630" t="str">
        <f>_xlfn.XLOOKUP(D630,[2]!Table1[Machine_ID],[2]!Table1[Machine_ID])</f>
        <v>M005</v>
      </c>
      <c r="N630" t="str">
        <f>_xlfn.XLOOKUP(E630,[3]Sheet1!$A$2:$A$391,[3]Sheet1!$A$2:$A$391)</f>
        <v>PO10042</v>
      </c>
    </row>
    <row r="631" spans="1:14" x14ac:dyDescent="0.2">
      <c r="A631" t="s">
        <v>640</v>
      </c>
      <c r="B631" s="2">
        <v>46254</v>
      </c>
      <c r="C631" t="s">
        <v>2941</v>
      </c>
      <c r="D631" t="s">
        <v>2947</v>
      </c>
      <c r="E631" t="s">
        <v>2992</v>
      </c>
      <c r="F631" s="3">
        <v>46254.684332980163</v>
      </c>
      <c r="G631" s="3">
        <v>46254.686302970462</v>
      </c>
      <c r="H631">
        <v>2.84</v>
      </c>
      <c r="I631" t="s">
        <v>3150</v>
      </c>
      <c r="J631" t="s">
        <v>3160</v>
      </c>
      <c r="K631" t="s">
        <v>3178</v>
      </c>
      <c r="L631" t="str">
        <f>_xlfn.XLOOKUP(C631,[1]!Table1[Shift_ID],[1]!Table1[Shift_ID])</f>
        <v>S02</v>
      </c>
      <c r="M631" t="str">
        <f>_xlfn.XLOOKUP(D631,[2]!Table1[Machine_ID],[2]!Table1[Machine_ID])</f>
        <v>M006</v>
      </c>
      <c r="N631" t="str">
        <f>_xlfn.XLOOKUP(E631,[3]Sheet1!$A$2:$A$391,[3]Sheet1!$A$2:$A$391)</f>
        <v>PO10042</v>
      </c>
    </row>
    <row r="632" spans="1:14" x14ac:dyDescent="0.2">
      <c r="A632" t="s">
        <v>641</v>
      </c>
      <c r="B632" s="2">
        <v>46254</v>
      </c>
      <c r="C632" t="s">
        <v>2941</v>
      </c>
      <c r="D632" t="s">
        <v>2947</v>
      </c>
      <c r="E632" t="s">
        <v>2992</v>
      </c>
      <c r="F632" s="3">
        <v>46254.685040244629</v>
      </c>
      <c r="G632" s="3">
        <v>46254.687010234928</v>
      </c>
      <c r="H632">
        <v>2.84</v>
      </c>
      <c r="I632" t="s">
        <v>3150</v>
      </c>
      <c r="J632" t="s">
        <v>3159</v>
      </c>
      <c r="K632" t="s">
        <v>3178</v>
      </c>
      <c r="L632" t="str">
        <f>_xlfn.XLOOKUP(C632,[1]!Table1[Shift_ID],[1]!Table1[Shift_ID])</f>
        <v>S02</v>
      </c>
      <c r="M632" t="str">
        <f>_xlfn.XLOOKUP(D632,[2]!Table1[Machine_ID],[2]!Table1[Machine_ID])</f>
        <v>M006</v>
      </c>
      <c r="N632" t="str">
        <f>_xlfn.XLOOKUP(E632,[3]Sheet1!$A$2:$A$391,[3]Sheet1!$A$2:$A$391)</f>
        <v>PO10042</v>
      </c>
    </row>
    <row r="633" spans="1:14" x14ac:dyDescent="0.2">
      <c r="A633" t="s">
        <v>642</v>
      </c>
      <c r="B633" s="2">
        <v>46254</v>
      </c>
      <c r="C633" t="s">
        <v>2941</v>
      </c>
      <c r="D633" t="s">
        <v>2947</v>
      </c>
      <c r="E633" t="s">
        <v>2992</v>
      </c>
      <c r="F633" s="3">
        <v>46254.749076012711</v>
      </c>
      <c r="G633" s="3">
        <v>46254.755499227249</v>
      </c>
      <c r="H633">
        <v>9.25</v>
      </c>
      <c r="I633" t="s">
        <v>3149</v>
      </c>
      <c r="J633" t="s">
        <v>3168</v>
      </c>
      <c r="K633" t="s">
        <v>3176</v>
      </c>
      <c r="L633" t="str">
        <f>_xlfn.XLOOKUP(C633,[1]!Table1[Shift_ID],[1]!Table1[Shift_ID])</f>
        <v>S02</v>
      </c>
      <c r="M633" t="str">
        <f>_xlfn.XLOOKUP(D633,[2]!Table1[Machine_ID],[2]!Table1[Machine_ID])</f>
        <v>M006</v>
      </c>
      <c r="N633" t="str">
        <f>_xlfn.XLOOKUP(E633,[3]Sheet1!$A$2:$A$391,[3]Sheet1!$A$2:$A$391)</f>
        <v>PO10042</v>
      </c>
    </row>
    <row r="634" spans="1:14" x14ac:dyDescent="0.2">
      <c r="A634" t="s">
        <v>643</v>
      </c>
      <c r="B634" s="2">
        <v>46254</v>
      </c>
      <c r="C634" t="s">
        <v>2941</v>
      </c>
      <c r="D634" t="s">
        <v>2947</v>
      </c>
      <c r="E634" t="s">
        <v>2992</v>
      </c>
      <c r="F634" s="3">
        <v>46254.77026746612</v>
      </c>
      <c r="G634" s="3">
        <v>46254.780586170687</v>
      </c>
      <c r="H634">
        <v>14.86</v>
      </c>
      <c r="I634" t="s">
        <v>3150</v>
      </c>
      <c r="J634" t="s">
        <v>3159</v>
      </c>
      <c r="K634" t="s">
        <v>3179</v>
      </c>
      <c r="L634" t="str">
        <f>_xlfn.XLOOKUP(C634,[1]!Table1[Shift_ID],[1]!Table1[Shift_ID])</f>
        <v>S02</v>
      </c>
      <c r="M634" t="str">
        <f>_xlfn.XLOOKUP(D634,[2]!Table1[Machine_ID],[2]!Table1[Machine_ID])</f>
        <v>M006</v>
      </c>
      <c r="N634" t="str">
        <f>_xlfn.XLOOKUP(E634,[3]Sheet1!$A$2:$A$391,[3]Sheet1!$A$2:$A$391)</f>
        <v>PO10042</v>
      </c>
    </row>
    <row r="635" spans="1:14" x14ac:dyDescent="0.2">
      <c r="A635" t="s">
        <v>644</v>
      </c>
      <c r="B635" s="2">
        <v>46254</v>
      </c>
      <c r="C635" t="s">
        <v>2941</v>
      </c>
      <c r="D635" t="s">
        <v>2947</v>
      </c>
      <c r="E635" t="s">
        <v>2992</v>
      </c>
      <c r="F635" s="3">
        <v>46254.816410809697</v>
      </c>
      <c r="G635" s="3">
        <v>46254.820403768252</v>
      </c>
      <c r="H635">
        <v>5.75</v>
      </c>
      <c r="I635" t="s">
        <v>3150</v>
      </c>
      <c r="J635" t="s">
        <v>3159</v>
      </c>
      <c r="K635" t="s">
        <v>3178</v>
      </c>
      <c r="L635" t="str">
        <f>_xlfn.XLOOKUP(C635,[1]!Table1[Shift_ID],[1]!Table1[Shift_ID])</f>
        <v>S02</v>
      </c>
      <c r="M635" t="str">
        <f>_xlfn.XLOOKUP(D635,[2]!Table1[Machine_ID],[2]!Table1[Machine_ID])</f>
        <v>M006</v>
      </c>
      <c r="N635" t="str">
        <f>_xlfn.XLOOKUP(E635,[3]Sheet1!$A$2:$A$391,[3]Sheet1!$A$2:$A$391)</f>
        <v>PO10042</v>
      </c>
    </row>
    <row r="636" spans="1:14" x14ac:dyDescent="0.2">
      <c r="A636" t="s">
        <v>645</v>
      </c>
      <c r="B636" s="2">
        <v>46254</v>
      </c>
      <c r="C636" t="s">
        <v>2941</v>
      </c>
      <c r="D636" t="s">
        <v>2948</v>
      </c>
      <c r="E636" t="s">
        <v>2992</v>
      </c>
      <c r="F636" s="3">
        <v>46254.707547969432</v>
      </c>
      <c r="G636" s="3">
        <v>46254.709479538476</v>
      </c>
      <c r="H636">
        <v>2.78</v>
      </c>
      <c r="I636" t="s">
        <v>3150</v>
      </c>
      <c r="J636" t="s">
        <v>3166</v>
      </c>
      <c r="K636" t="s">
        <v>3177</v>
      </c>
      <c r="L636" t="str">
        <f>_xlfn.XLOOKUP(C636,[1]!Table1[Shift_ID],[1]!Table1[Shift_ID])</f>
        <v>S02</v>
      </c>
      <c r="M636" t="str">
        <f>_xlfn.XLOOKUP(D636,[2]!Table1[Machine_ID],[2]!Table1[Machine_ID])</f>
        <v>M007</v>
      </c>
      <c r="N636" t="str">
        <f>_xlfn.XLOOKUP(E636,[3]Sheet1!$A$2:$A$391,[3]Sheet1!$A$2:$A$391)</f>
        <v>PO10042</v>
      </c>
    </row>
    <row r="637" spans="1:14" x14ac:dyDescent="0.2">
      <c r="A637" t="s">
        <v>646</v>
      </c>
      <c r="B637" s="2">
        <v>46254</v>
      </c>
      <c r="C637" t="s">
        <v>2941</v>
      </c>
      <c r="D637" t="s">
        <v>2948</v>
      </c>
      <c r="E637" t="s">
        <v>2992</v>
      </c>
      <c r="F637" s="3">
        <v>46254.798817913434</v>
      </c>
      <c r="G637" s="3">
        <v>46254.800749482478</v>
      </c>
      <c r="H637">
        <v>2.78</v>
      </c>
      <c r="I637" t="s">
        <v>3147</v>
      </c>
      <c r="J637" t="s">
        <v>3154</v>
      </c>
      <c r="K637" t="s">
        <v>3172</v>
      </c>
      <c r="L637" t="str">
        <f>_xlfn.XLOOKUP(C637,[1]!Table1[Shift_ID],[1]!Table1[Shift_ID])</f>
        <v>S02</v>
      </c>
      <c r="M637" t="str">
        <f>_xlfn.XLOOKUP(D637,[2]!Table1[Machine_ID],[2]!Table1[Machine_ID])</f>
        <v>M007</v>
      </c>
      <c r="N637" t="str">
        <f>_xlfn.XLOOKUP(E637,[3]Sheet1!$A$2:$A$391,[3]Sheet1!$A$2:$A$391)</f>
        <v>PO10042</v>
      </c>
    </row>
    <row r="638" spans="1:14" x14ac:dyDescent="0.2">
      <c r="A638" t="s">
        <v>647</v>
      </c>
      <c r="B638" s="2">
        <v>46254</v>
      </c>
      <c r="C638" t="s">
        <v>2941</v>
      </c>
      <c r="D638" t="s">
        <v>2948</v>
      </c>
      <c r="E638" t="s">
        <v>2992</v>
      </c>
      <c r="F638" s="3">
        <v>46254.824891221033</v>
      </c>
      <c r="G638" s="3">
        <v>46254.830248635721</v>
      </c>
      <c r="H638">
        <v>7.71</v>
      </c>
      <c r="I638" t="s">
        <v>3148</v>
      </c>
      <c r="J638" t="s">
        <v>3165</v>
      </c>
      <c r="K638" t="s">
        <v>3183</v>
      </c>
      <c r="L638" t="str">
        <f>_xlfn.XLOOKUP(C638,[1]!Table1[Shift_ID],[1]!Table1[Shift_ID])</f>
        <v>S02</v>
      </c>
      <c r="M638" t="str">
        <f>_xlfn.XLOOKUP(D638,[2]!Table1[Machine_ID],[2]!Table1[Machine_ID])</f>
        <v>M007</v>
      </c>
      <c r="N638" t="str">
        <f>_xlfn.XLOOKUP(E638,[3]Sheet1!$A$2:$A$391,[3]Sheet1!$A$2:$A$391)</f>
        <v>PO10042</v>
      </c>
    </row>
    <row r="639" spans="1:14" x14ac:dyDescent="0.2">
      <c r="A639" t="s">
        <v>648</v>
      </c>
      <c r="B639" s="2">
        <v>46254</v>
      </c>
      <c r="C639" t="s">
        <v>2941</v>
      </c>
      <c r="D639" t="s">
        <v>2948</v>
      </c>
      <c r="E639" t="s">
        <v>2992</v>
      </c>
      <c r="F639" s="3">
        <v>46254.84796712199</v>
      </c>
      <c r="G639" s="3">
        <v>46254.853866157027</v>
      </c>
      <c r="H639">
        <v>8.49</v>
      </c>
      <c r="I639" t="s">
        <v>3148</v>
      </c>
      <c r="J639" t="s">
        <v>3164</v>
      </c>
      <c r="K639" t="s">
        <v>3180</v>
      </c>
      <c r="L639" t="str">
        <f>_xlfn.XLOOKUP(C639,[1]!Table1[Shift_ID],[1]!Table1[Shift_ID])</f>
        <v>S02</v>
      </c>
      <c r="M639" t="str">
        <f>_xlfn.XLOOKUP(D639,[2]!Table1[Machine_ID],[2]!Table1[Machine_ID])</f>
        <v>M007</v>
      </c>
      <c r="N639" t="str">
        <f>_xlfn.XLOOKUP(E639,[3]Sheet1!$A$2:$A$391,[3]Sheet1!$A$2:$A$391)</f>
        <v>PO10042</v>
      </c>
    </row>
    <row r="640" spans="1:14" x14ac:dyDescent="0.2">
      <c r="A640" t="s">
        <v>649</v>
      </c>
      <c r="B640" s="2">
        <v>46254</v>
      </c>
      <c r="C640" t="s">
        <v>2941</v>
      </c>
      <c r="D640" t="s">
        <v>2948</v>
      </c>
      <c r="E640" t="s">
        <v>2992</v>
      </c>
      <c r="F640" s="3">
        <v>46254.847984697211</v>
      </c>
      <c r="G640" s="3">
        <v>46254.850642993457</v>
      </c>
      <c r="H640">
        <v>3.83</v>
      </c>
      <c r="I640" t="s">
        <v>3150</v>
      </c>
      <c r="J640" t="s">
        <v>3159</v>
      </c>
      <c r="K640" t="s">
        <v>3178</v>
      </c>
      <c r="L640" t="str">
        <f>_xlfn.XLOOKUP(C640,[1]!Table1[Shift_ID],[1]!Table1[Shift_ID])</f>
        <v>S02</v>
      </c>
      <c r="M640" t="str">
        <f>_xlfn.XLOOKUP(D640,[2]!Table1[Machine_ID],[2]!Table1[Machine_ID])</f>
        <v>M007</v>
      </c>
      <c r="N640" t="str">
        <f>_xlfn.XLOOKUP(E640,[3]Sheet1!$A$2:$A$391,[3]Sheet1!$A$2:$A$391)</f>
        <v>PO10042</v>
      </c>
    </row>
    <row r="641" spans="1:14" x14ac:dyDescent="0.2">
      <c r="A641" t="s">
        <v>650</v>
      </c>
      <c r="B641" s="2">
        <v>46254</v>
      </c>
      <c r="C641" t="s">
        <v>2941</v>
      </c>
      <c r="D641" t="s">
        <v>2949</v>
      </c>
      <c r="E641" t="s">
        <v>2992</v>
      </c>
      <c r="F641" s="3">
        <v>46254.680084162581</v>
      </c>
      <c r="G641" s="3">
        <v>46254.687979554212</v>
      </c>
      <c r="H641">
        <v>11.37</v>
      </c>
      <c r="I641" t="s">
        <v>3148</v>
      </c>
      <c r="J641" t="s">
        <v>3164</v>
      </c>
      <c r="K641" t="s">
        <v>3183</v>
      </c>
      <c r="L641" t="str">
        <f>_xlfn.XLOOKUP(C641,[1]!Table1[Shift_ID],[1]!Table1[Shift_ID])</f>
        <v>S02</v>
      </c>
      <c r="M641" t="str">
        <f>_xlfn.XLOOKUP(D641,[2]!Table1[Machine_ID],[2]!Table1[Machine_ID])</f>
        <v>M008</v>
      </c>
      <c r="N641" t="str">
        <f>_xlfn.XLOOKUP(E641,[3]Sheet1!$A$2:$A$391,[3]Sheet1!$A$2:$A$391)</f>
        <v>PO10042</v>
      </c>
    </row>
    <row r="642" spans="1:14" x14ac:dyDescent="0.2">
      <c r="A642" t="s">
        <v>651</v>
      </c>
      <c r="B642" s="2">
        <v>46255</v>
      </c>
      <c r="C642" t="s">
        <v>2939</v>
      </c>
      <c r="D642" t="s">
        <v>2942</v>
      </c>
      <c r="E642" t="s">
        <v>2993</v>
      </c>
      <c r="F642" s="3">
        <v>46255.928184100063</v>
      </c>
      <c r="G642" s="3">
        <v>46255.932971030008</v>
      </c>
      <c r="H642">
        <v>6.89</v>
      </c>
      <c r="I642" t="s">
        <v>3149</v>
      </c>
      <c r="J642" t="s">
        <v>3162</v>
      </c>
      <c r="K642" t="s">
        <v>3182</v>
      </c>
      <c r="L642" t="str">
        <f>_xlfn.XLOOKUP(C642,[1]!Table1[Shift_ID],[1]!Table1[Shift_ID])</f>
        <v>S03</v>
      </c>
      <c r="M642" t="str">
        <f>_xlfn.XLOOKUP(D642,[2]!Table1[Machine_ID],[2]!Table1[Machine_ID])</f>
        <v>M001</v>
      </c>
      <c r="N642" t="str">
        <f>_xlfn.XLOOKUP(E642,[3]Sheet1!$A$2:$A$391,[3]Sheet1!$A$2:$A$391)</f>
        <v>PO10043</v>
      </c>
    </row>
    <row r="643" spans="1:14" x14ac:dyDescent="0.2">
      <c r="A643" t="s">
        <v>652</v>
      </c>
      <c r="B643" s="2">
        <v>46255</v>
      </c>
      <c r="C643" t="s">
        <v>2939</v>
      </c>
      <c r="D643" t="s">
        <v>2943</v>
      </c>
      <c r="E643" t="s">
        <v>2993</v>
      </c>
      <c r="F643" s="3">
        <v>46255.933738908563</v>
      </c>
      <c r="G643" s="3">
        <v>46255.93557624492</v>
      </c>
      <c r="H643">
        <v>2.65</v>
      </c>
      <c r="I643" t="s">
        <v>3148</v>
      </c>
      <c r="J643" t="s">
        <v>3165</v>
      </c>
      <c r="K643" t="s">
        <v>3180</v>
      </c>
      <c r="L643" t="str">
        <f>_xlfn.XLOOKUP(C643,[1]!Table1[Shift_ID],[1]!Table1[Shift_ID])</f>
        <v>S03</v>
      </c>
      <c r="M643" t="str">
        <f>_xlfn.XLOOKUP(D643,[2]!Table1[Machine_ID],[2]!Table1[Machine_ID])</f>
        <v>M002</v>
      </c>
      <c r="N643" t="str">
        <f>_xlfn.XLOOKUP(E643,[3]Sheet1!$A$2:$A$391,[3]Sheet1!$A$2:$A$391)</f>
        <v>PO10043</v>
      </c>
    </row>
    <row r="644" spans="1:14" x14ac:dyDescent="0.2">
      <c r="A644" t="s">
        <v>653</v>
      </c>
      <c r="B644" s="2">
        <v>46255</v>
      </c>
      <c r="C644" t="s">
        <v>2939</v>
      </c>
      <c r="D644" t="s">
        <v>2943</v>
      </c>
      <c r="E644" t="s">
        <v>2993</v>
      </c>
      <c r="F644" s="3">
        <v>46255.999018158873</v>
      </c>
      <c r="G644" s="3">
        <v>46256.004185744263</v>
      </c>
      <c r="H644">
        <v>7.44</v>
      </c>
      <c r="I644" t="s">
        <v>3150</v>
      </c>
      <c r="J644" t="s">
        <v>3166</v>
      </c>
      <c r="K644" t="s">
        <v>3177</v>
      </c>
      <c r="L644" t="str">
        <f>_xlfn.XLOOKUP(C644,[1]!Table1[Shift_ID],[1]!Table1[Shift_ID])</f>
        <v>S03</v>
      </c>
      <c r="M644" t="str">
        <f>_xlfn.XLOOKUP(D644,[2]!Table1[Machine_ID],[2]!Table1[Machine_ID])</f>
        <v>M002</v>
      </c>
      <c r="N644" t="str">
        <f>_xlfn.XLOOKUP(E644,[3]Sheet1!$A$2:$A$391,[3]Sheet1!$A$2:$A$391)</f>
        <v>PO10043</v>
      </c>
    </row>
    <row r="645" spans="1:14" x14ac:dyDescent="0.2">
      <c r="A645" t="s">
        <v>654</v>
      </c>
      <c r="B645" s="2">
        <v>46255</v>
      </c>
      <c r="C645" t="s">
        <v>2939</v>
      </c>
      <c r="D645" t="s">
        <v>2944</v>
      </c>
      <c r="E645" t="s">
        <v>2993</v>
      </c>
      <c r="F645" s="3">
        <v>46256.182697955177</v>
      </c>
      <c r="G645" s="3">
        <v>46256.184741547811</v>
      </c>
      <c r="H645">
        <v>2.94</v>
      </c>
      <c r="I645" t="s">
        <v>3146</v>
      </c>
      <c r="J645" t="s">
        <v>3156</v>
      </c>
      <c r="K645" t="s">
        <v>3174</v>
      </c>
      <c r="L645" t="str">
        <f>_xlfn.XLOOKUP(C645,[1]!Table1[Shift_ID],[1]!Table1[Shift_ID])</f>
        <v>S03</v>
      </c>
      <c r="M645" t="str">
        <f>_xlfn.XLOOKUP(D645,[2]!Table1[Machine_ID],[2]!Table1[Machine_ID])</f>
        <v>M003</v>
      </c>
      <c r="N645" t="str">
        <f>_xlfn.XLOOKUP(E645,[3]Sheet1!$A$2:$A$391,[3]Sheet1!$A$2:$A$391)</f>
        <v>PO10043</v>
      </c>
    </row>
    <row r="646" spans="1:14" x14ac:dyDescent="0.2">
      <c r="A646" t="s">
        <v>655</v>
      </c>
      <c r="B646" s="2">
        <v>46255</v>
      </c>
      <c r="C646" t="s">
        <v>2939</v>
      </c>
      <c r="D646" t="s">
        <v>2944</v>
      </c>
      <c r="E646" t="s">
        <v>2993</v>
      </c>
      <c r="F646" s="3">
        <v>46256.223041454563</v>
      </c>
      <c r="G646" s="3">
        <v>46256.229409992149</v>
      </c>
      <c r="H646">
        <v>9.17</v>
      </c>
      <c r="I646" t="s">
        <v>3147</v>
      </c>
      <c r="J646" t="s">
        <v>3167</v>
      </c>
      <c r="K646" t="s">
        <v>3185</v>
      </c>
      <c r="L646" t="str">
        <f>_xlfn.XLOOKUP(C646,[1]!Table1[Shift_ID],[1]!Table1[Shift_ID])</f>
        <v>S03</v>
      </c>
      <c r="M646" t="str">
        <f>_xlfn.XLOOKUP(D646,[2]!Table1[Machine_ID],[2]!Table1[Machine_ID])</f>
        <v>M003</v>
      </c>
      <c r="N646" t="str">
        <f>_xlfn.XLOOKUP(E646,[3]Sheet1!$A$2:$A$391,[3]Sheet1!$A$2:$A$391)</f>
        <v>PO10043</v>
      </c>
    </row>
    <row r="647" spans="1:14" x14ac:dyDescent="0.2">
      <c r="A647" t="s">
        <v>656</v>
      </c>
      <c r="B647" s="2">
        <v>46255</v>
      </c>
      <c r="C647" t="s">
        <v>2939</v>
      </c>
      <c r="D647" t="s">
        <v>2945</v>
      </c>
      <c r="E647" t="s">
        <v>2993</v>
      </c>
      <c r="F647" s="3">
        <v>46256.067453670898</v>
      </c>
      <c r="G647" s="3">
        <v>46256.075671548591</v>
      </c>
      <c r="H647">
        <v>11.83</v>
      </c>
      <c r="I647" t="s">
        <v>3147</v>
      </c>
      <c r="J647" t="s">
        <v>3154</v>
      </c>
      <c r="K647" t="s">
        <v>3185</v>
      </c>
      <c r="L647" t="str">
        <f>_xlfn.XLOOKUP(C647,[1]!Table1[Shift_ID],[1]!Table1[Shift_ID])</f>
        <v>S03</v>
      </c>
      <c r="M647" t="str">
        <f>_xlfn.XLOOKUP(D647,[2]!Table1[Machine_ID],[2]!Table1[Machine_ID])</f>
        <v>M004</v>
      </c>
      <c r="N647" t="str">
        <f>_xlfn.XLOOKUP(E647,[3]Sheet1!$A$2:$A$391,[3]Sheet1!$A$2:$A$391)</f>
        <v>PO10043</v>
      </c>
    </row>
    <row r="648" spans="1:14" x14ac:dyDescent="0.2">
      <c r="A648" t="s">
        <v>657</v>
      </c>
      <c r="B648" s="2">
        <v>46255</v>
      </c>
      <c r="C648" t="s">
        <v>2939</v>
      </c>
      <c r="D648" t="s">
        <v>2946</v>
      </c>
      <c r="E648" t="s">
        <v>2993</v>
      </c>
      <c r="F648" s="3">
        <v>46255.968050026953</v>
      </c>
      <c r="G648" s="3">
        <v>46255.973794826466</v>
      </c>
      <c r="H648">
        <v>8.27</v>
      </c>
      <c r="I648" t="s">
        <v>3146</v>
      </c>
      <c r="J648" t="s">
        <v>3152</v>
      </c>
      <c r="K648" t="s">
        <v>3175</v>
      </c>
      <c r="L648" t="str">
        <f>_xlfn.XLOOKUP(C648,[1]!Table1[Shift_ID],[1]!Table1[Shift_ID])</f>
        <v>S03</v>
      </c>
      <c r="M648" t="str">
        <f>_xlfn.XLOOKUP(D648,[2]!Table1[Machine_ID],[2]!Table1[Machine_ID])</f>
        <v>M005</v>
      </c>
      <c r="N648" t="str">
        <f>_xlfn.XLOOKUP(E648,[3]Sheet1!$A$2:$A$391,[3]Sheet1!$A$2:$A$391)</f>
        <v>PO10043</v>
      </c>
    </row>
    <row r="649" spans="1:14" x14ac:dyDescent="0.2">
      <c r="A649" t="s">
        <v>658</v>
      </c>
      <c r="B649" s="2">
        <v>46255</v>
      </c>
      <c r="C649" t="s">
        <v>2939</v>
      </c>
      <c r="D649" t="s">
        <v>2946</v>
      </c>
      <c r="E649" t="s">
        <v>2993</v>
      </c>
      <c r="F649" s="3">
        <v>46256.219390943748</v>
      </c>
      <c r="G649" s="3">
        <v>46256.221018626551</v>
      </c>
      <c r="H649">
        <v>2.34</v>
      </c>
      <c r="I649" t="s">
        <v>3149</v>
      </c>
      <c r="J649" t="s">
        <v>3158</v>
      </c>
      <c r="K649" t="s">
        <v>3184</v>
      </c>
      <c r="L649" t="str">
        <f>_xlfn.XLOOKUP(C649,[1]!Table1[Shift_ID],[1]!Table1[Shift_ID])</f>
        <v>S03</v>
      </c>
      <c r="M649" t="str">
        <f>_xlfn.XLOOKUP(D649,[2]!Table1[Machine_ID],[2]!Table1[Machine_ID])</f>
        <v>M005</v>
      </c>
      <c r="N649" t="str">
        <f>_xlfn.XLOOKUP(E649,[3]Sheet1!$A$2:$A$391,[3]Sheet1!$A$2:$A$391)</f>
        <v>PO10043</v>
      </c>
    </row>
    <row r="650" spans="1:14" x14ac:dyDescent="0.2">
      <c r="A650" t="s">
        <v>659</v>
      </c>
      <c r="B650" s="2">
        <v>46255</v>
      </c>
      <c r="C650" t="s">
        <v>2939</v>
      </c>
      <c r="D650" t="s">
        <v>2947</v>
      </c>
      <c r="E650" t="s">
        <v>2993</v>
      </c>
      <c r="F650" s="3">
        <v>46256.215487979673</v>
      </c>
      <c r="G650" s="3">
        <v>46256.236020693883</v>
      </c>
      <c r="H650">
        <v>29.57</v>
      </c>
      <c r="I650" t="s">
        <v>3150</v>
      </c>
      <c r="J650" t="s">
        <v>3160</v>
      </c>
      <c r="K650" t="s">
        <v>3179</v>
      </c>
      <c r="L650" t="str">
        <f>_xlfn.XLOOKUP(C650,[1]!Table1[Shift_ID],[1]!Table1[Shift_ID])</f>
        <v>S03</v>
      </c>
      <c r="M650" t="str">
        <f>_xlfn.XLOOKUP(D650,[2]!Table1[Machine_ID],[2]!Table1[Machine_ID])</f>
        <v>M006</v>
      </c>
      <c r="N650" t="str">
        <f>_xlfn.XLOOKUP(E650,[3]Sheet1!$A$2:$A$391,[3]Sheet1!$A$2:$A$391)</f>
        <v>PO10043</v>
      </c>
    </row>
    <row r="651" spans="1:14" x14ac:dyDescent="0.2">
      <c r="A651" t="s">
        <v>660</v>
      </c>
      <c r="B651" s="2">
        <v>46255</v>
      </c>
      <c r="C651" t="s">
        <v>2939</v>
      </c>
      <c r="D651" t="s">
        <v>2948</v>
      </c>
      <c r="E651" t="s">
        <v>2993</v>
      </c>
      <c r="F651" s="3">
        <v>46255.998916918943</v>
      </c>
      <c r="G651" s="3">
        <v>46256.003298626681</v>
      </c>
      <c r="H651">
        <v>6.31</v>
      </c>
      <c r="I651" t="s">
        <v>3149</v>
      </c>
      <c r="J651" t="s">
        <v>3158</v>
      </c>
      <c r="K651" t="s">
        <v>3184</v>
      </c>
      <c r="L651" t="str">
        <f>_xlfn.XLOOKUP(C651,[1]!Table1[Shift_ID],[1]!Table1[Shift_ID])</f>
        <v>S03</v>
      </c>
      <c r="M651" t="str">
        <f>_xlfn.XLOOKUP(D651,[2]!Table1[Machine_ID],[2]!Table1[Machine_ID])</f>
        <v>M007</v>
      </c>
      <c r="N651" t="str">
        <f>_xlfn.XLOOKUP(E651,[3]Sheet1!$A$2:$A$391,[3]Sheet1!$A$2:$A$391)</f>
        <v>PO10043</v>
      </c>
    </row>
    <row r="652" spans="1:14" x14ac:dyDescent="0.2">
      <c r="A652" t="s">
        <v>661</v>
      </c>
      <c r="B652" s="2">
        <v>46255</v>
      </c>
      <c r="C652" t="s">
        <v>2939</v>
      </c>
      <c r="D652" t="s">
        <v>2948</v>
      </c>
      <c r="E652" t="s">
        <v>2993</v>
      </c>
      <c r="F652" s="3">
        <v>46256.200662161304</v>
      </c>
      <c r="G652" s="3">
        <v>46256.206374017318</v>
      </c>
      <c r="H652">
        <v>8.23</v>
      </c>
      <c r="I652" t="s">
        <v>3147</v>
      </c>
      <c r="J652" t="s">
        <v>3167</v>
      </c>
      <c r="K652" t="s">
        <v>3172</v>
      </c>
      <c r="L652" t="str">
        <f>_xlfn.XLOOKUP(C652,[1]!Table1[Shift_ID],[1]!Table1[Shift_ID])</f>
        <v>S03</v>
      </c>
      <c r="M652" t="str">
        <f>_xlfn.XLOOKUP(D652,[2]!Table1[Machine_ID],[2]!Table1[Machine_ID])</f>
        <v>M007</v>
      </c>
      <c r="N652" t="str">
        <f>_xlfn.XLOOKUP(E652,[3]Sheet1!$A$2:$A$391,[3]Sheet1!$A$2:$A$391)</f>
        <v>PO10043</v>
      </c>
    </row>
    <row r="653" spans="1:14" x14ac:dyDescent="0.2">
      <c r="A653" t="s">
        <v>662</v>
      </c>
      <c r="B653" s="2">
        <v>46255</v>
      </c>
      <c r="C653" t="s">
        <v>2939</v>
      </c>
      <c r="D653" t="s">
        <v>2949</v>
      </c>
      <c r="E653" t="s">
        <v>2993</v>
      </c>
      <c r="F653" s="3">
        <v>46255.967338713133</v>
      </c>
      <c r="G653" s="3">
        <v>46255.970436292948</v>
      </c>
      <c r="H653">
        <v>4.46</v>
      </c>
      <c r="I653" t="s">
        <v>3146</v>
      </c>
      <c r="J653" t="s">
        <v>3157</v>
      </c>
      <c r="K653" t="s">
        <v>3175</v>
      </c>
      <c r="L653" t="str">
        <f>_xlfn.XLOOKUP(C653,[1]!Table1[Shift_ID],[1]!Table1[Shift_ID])</f>
        <v>S03</v>
      </c>
      <c r="M653" t="str">
        <f>_xlfn.XLOOKUP(D653,[2]!Table1[Machine_ID],[2]!Table1[Machine_ID])</f>
        <v>M008</v>
      </c>
      <c r="N653" t="str">
        <f>_xlfn.XLOOKUP(E653,[3]Sheet1!$A$2:$A$391,[3]Sheet1!$A$2:$A$391)</f>
        <v>PO10043</v>
      </c>
    </row>
    <row r="654" spans="1:14" x14ac:dyDescent="0.2">
      <c r="A654" t="s">
        <v>663</v>
      </c>
      <c r="B654" s="2">
        <v>46255</v>
      </c>
      <c r="C654" t="s">
        <v>2939</v>
      </c>
      <c r="D654" t="s">
        <v>2949</v>
      </c>
      <c r="E654" t="s">
        <v>2993</v>
      </c>
      <c r="F654" s="3">
        <v>46256.222012467093</v>
      </c>
      <c r="G654" s="3">
        <v>46256.223663758137</v>
      </c>
      <c r="H654">
        <v>2.38</v>
      </c>
      <c r="I654" t="s">
        <v>3147</v>
      </c>
      <c r="J654" t="s">
        <v>3167</v>
      </c>
      <c r="K654" t="s">
        <v>3185</v>
      </c>
      <c r="L654" t="str">
        <f>_xlfn.XLOOKUP(C654,[1]!Table1[Shift_ID],[1]!Table1[Shift_ID])</f>
        <v>S03</v>
      </c>
      <c r="M654" t="str">
        <f>_xlfn.XLOOKUP(D654,[2]!Table1[Machine_ID],[2]!Table1[Machine_ID])</f>
        <v>M008</v>
      </c>
      <c r="N654" t="str">
        <f>_xlfn.XLOOKUP(E654,[3]Sheet1!$A$2:$A$391,[3]Sheet1!$A$2:$A$391)</f>
        <v>PO10043</v>
      </c>
    </row>
    <row r="655" spans="1:14" x14ac:dyDescent="0.2">
      <c r="A655" t="s">
        <v>664</v>
      </c>
      <c r="B655" s="2">
        <v>46255</v>
      </c>
      <c r="C655" t="s">
        <v>2940</v>
      </c>
      <c r="D655" t="s">
        <v>2942</v>
      </c>
      <c r="E655" t="s">
        <v>2994</v>
      </c>
      <c r="F655" s="3">
        <v>46255.347263774333</v>
      </c>
      <c r="G655" s="3">
        <v>46255.349884985197</v>
      </c>
      <c r="H655">
        <v>3.77</v>
      </c>
      <c r="I655" t="s">
        <v>3148</v>
      </c>
      <c r="J655" t="s">
        <v>3155</v>
      </c>
      <c r="K655" t="s">
        <v>3180</v>
      </c>
      <c r="L655" t="str">
        <f>_xlfn.XLOOKUP(C655,[1]!Table1[Shift_ID],[1]!Table1[Shift_ID])</f>
        <v>S01</v>
      </c>
      <c r="M655" t="str">
        <f>_xlfn.XLOOKUP(D655,[2]!Table1[Machine_ID],[2]!Table1[Machine_ID])</f>
        <v>M001</v>
      </c>
      <c r="N655" t="str">
        <f>_xlfn.XLOOKUP(E655,[3]Sheet1!$A$2:$A$391,[3]Sheet1!$A$2:$A$391)</f>
        <v>PO10044</v>
      </c>
    </row>
    <row r="656" spans="1:14" x14ac:dyDescent="0.2">
      <c r="A656" t="s">
        <v>665</v>
      </c>
      <c r="B656" s="2">
        <v>46255</v>
      </c>
      <c r="C656" t="s">
        <v>2940</v>
      </c>
      <c r="D656" t="s">
        <v>2942</v>
      </c>
      <c r="E656" t="s">
        <v>2994</v>
      </c>
      <c r="F656" s="3">
        <v>46255.476640996138</v>
      </c>
      <c r="G656" s="3">
        <v>46255.478673756123</v>
      </c>
      <c r="H656">
        <v>2.93</v>
      </c>
      <c r="I656" t="s">
        <v>3149</v>
      </c>
      <c r="J656" t="s">
        <v>3162</v>
      </c>
      <c r="K656" t="s">
        <v>3176</v>
      </c>
      <c r="L656" t="str">
        <f>_xlfn.XLOOKUP(C656,[1]!Table1[Shift_ID],[1]!Table1[Shift_ID])</f>
        <v>S01</v>
      </c>
      <c r="M656" t="str">
        <f>_xlfn.XLOOKUP(D656,[2]!Table1[Machine_ID],[2]!Table1[Machine_ID])</f>
        <v>M001</v>
      </c>
      <c r="N656" t="str">
        <f>_xlfn.XLOOKUP(E656,[3]Sheet1!$A$2:$A$391,[3]Sheet1!$A$2:$A$391)</f>
        <v>PO10044</v>
      </c>
    </row>
    <row r="657" spans="1:14" x14ac:dyDescent="0.2">
      <c r="A657" t="s">
        <v>666</v>
      </c>
      <c r="B657" s="2">
        <v>46255</v>
      </c>
      <c r="C657" t="s">
        <v>2940</v>
      </c>
      <c r="D657" t="s">
        <v>2942</v>
      </c>
      <c r="E657" t="s">
        <v>2994</v>
      </c>
      <c r="F657" s="3">
        <v>46255.551399044612</v>
      </c>
      <c r="G657" s="3">
        <v>46255.553808438279</v>
      </c>
      <c r="H657">
        <v>3.47</v>
      </c>
      <c r="I657" t="s">
        <v>3146</v>
      </c>
      <c r="J657" t="s">
        <v>3156</v>
      </c>
      <c r="K657" t="s">
        <v>3171</v>
      </c>
      <c r="L657" t="str">
        <f>_xlfn.XLOOKUP(C657,[1]!Table1[Shift_ID],[1]!Table1[Shift_ID])</f>
        <v>S01</v>
      </c>
      <c r="M657" t="str">
        <f>_xlfn.XLOOKUP(D657,[2]!Table1[Machine_ID],[2]!Table1[Machine_ID])</f>
        <v>M001</v>
      </c>
      <c r="N657" t="str">
        <f>_xlfn.XLOOKUP(E657,[3]Sheet1!$A$2:$A$391,[3]Sheet1!$A$2:$A$391)</f>
        <v>PO10044</v>
      </c>
    </row>
    <row r="658" spans="1:14" x14ac:dyDescent="0.2">
      <c r="A658" t="s">
        <v>667</v>
      </c>
      <c r="B658" s="2">
        <v>46255</v>
      </c>
      <c r="C658" t="s">
        <v>2940</v>
      </c>
      <c r="D658" t="s">
        <v>2943</v>
      </c>
      <c r="E658" t="s">
        <v>2994</v>
      </c>
      <c r="F658" s="3">
        <v>46255.283287265003</v>
      </c>
      <c r="G658" s="3">
        <v>46255.292752160647</v>
      </c>
      <c r="H658">
        <v>13.63</v>
      </c>
      <c r="I658" t="s">
        <v>3148</v>
      </c>
      <c r="J658" t="s">
        <v>3165</v>
      </c>
      <c r="K658" t="s">
        <v>3180</v>
      </c>
      <c r="L658" t="str">
        <f>_xlfn.XLOOKUP(C658,[1]!Table1[Shift_ID],[1]!Table1[Shift_ID])</f>
        <v>S01</v>
      </c>
      <c r="M658" t="str">
        <f>_xlfn.XLOOKUP(D658,[2]!Table1[Machine_ID],[2]!Table1[Machine_ID])</f>
        <v>M002</v>
      </c>
      <c r="N658" t="str">
        <f>_xlfn.XLOOKUP(E658,[3]Sheet1!$A$2:$A$391,[3]Sheet1!$A$2:$A$391)</f>
        <v>PO10044</v>
      </c>
    </row>
    <row r="659" spans="1:14" x14ac:dyDescent="0.2">
      <c r="A659" t="s">
        <v>668</v>
      </c>
      <c r="B659" s="2">
        <v>46255</v>
      </c>
      <c r="C659" t="s">
        <v>2940</v>
      </c>
      <c r="D659" t="s">
        <v>2944</v>
      </c>
      <c r="E659" t="s">
        <v>2994</v>
      </c>
      <c r="F659" s="3">
        <v>46255.361486944013</v>
      </c>
      <c r="G659" s="3">
        <v>46255.372889529848</v>
      </c>
      <c r="H659">
        <v>16.420000000000002</v>
      </c>
      <c r="I659" t="s">
        <v>3148</v>
      </c>
      <c r="J659" t="s">
        <v>3155</v>
      </c>
      <c r="K659" t="s">
        <v>3183</v>
      </c>
      <c r="L659" t="str">
        <f>_xlfn.XLOOKUP(C659,[1]!Table1[Shift_ID],[1]!Table1[Shift_ID])</f>
        <v>S01</v>
      </c>
      <c r="M659" t="str">
        <f>_xlfn.XLOOKUP(D659,[2]!Table1[Machine_ID],[2]!Table1[Machine_ID])</f>
        <v>M003</v>
      </c>
      <c r="N659" t="str">
        <f>_xlfn.XLOOKUP(E659,[3]Sheet1!$A$2:$A$391,[3]Sheet1!$A$2:$A$391)</f>
        <v>PO10044</v>
      </c>
    </row>
    <row r="660" spans="1:14" x14ac:dyDescent="0.2">
      <c r="A660" t="s">
        <v>669</v>
      </c>
      <c r="B660" s="2">
        <v>46255</v>
      </c>
      <c r="C660" t="s">
        <v>2940</v>
      </c>
      <c r="D660" t="s">
        <v>2945</v>
      </c>
      <c r="E660" t="s">
        <v>2994</v>
      </c>
      <c r="F660" s="3">
        <v>46255.303877918763</v>
      </c>
      <c r="G660" s="3">
        <v>46255.305259055684</v>
      </c>
      <c r="H660">
        <v>1.99</v>
      </c>
      <c r="I660" t="s">
        <v>3149</v>
      </c>
      <c r="J660" t="s">
        <v>3158</v>
      </c>
      <c r="K660" t="s">
        <v>3182</v>
      </c>
      <c r="L660" t="str">
        <f>_xlfn.XLOOKUP(C660,[1]!Table1[Shift_ID],[1]!Table1[Shift_ID])</f>
        <v>S01</v>
      </c>
      <c r="M660" t="str">
        <f>_xlfn.XLOOKUP(D660,[2]!Table1[Machine_ID],[2]!Table1[Machine_ID])</f>
        <v>M004</v>
      </c>
      <c r="N660" t="str">
        <f>_xlfn.XLOOKUP(E660,[3]Sheet1!$A$2:$A$391,[3]Sheet1!$A$2:$A$391)</f>
        <v>PO10044</v>
      </c>
    </row>
    <row r="661" spans="1:14" x14ac:dyDescent="0.2">
      <c r="A661" t="s">
        <v>670</v>
      </c>
      <c r="B661" s="2">
        <v>46255</v>
      </c>
      <c r="C661" t="s">
        <v>2940</v>
      </c>
      <c r="D661" t="s">
        <v>2945</v>
      </c>
      <c r="E661" t="s">
        <v>2994</v>
      </c>
      <c r="F661" s="3">
        <v>46255.389350145211</v>
      </c>
      <c r="G661" s="3">
        <v>46255.391741842534</v>
      </c>
      <c r="H661">
        <v>3.44</v>
      </c>
      <c r="I661" t="s">
        <v>3147</v>
      </c>
      <c r="J661" t="s">
        <v>3167</v>
      </c>
      <c r="K661" t="s">
        <v>3186</v>
      </c>
      <c r="L661" t="str">
        <f>_xlfn.XLOOKUP(C661,[1]!Table1[Shift_ID],[1]!Table1[Shift_ID])</f>
        <v>S01</v>
      </c>
      <c r="M661" t="str">
        <f>_xlfn.XLOOKUP(D661,[2]!Table1[Machine_ID],[2]!Table1[Machine_ID])</f>
        <v>M004</v>
      </c>
      <c r="N661" t="str">
        <f>_xlfn.XLOOKUP(E661,[3]Sheet1!$A$2:$A$391,[3]Sheet1!$A$2:$A$391)</f>
        <v>PO10044</v>
      </c>
    </row>
    <row r="662" spans="1:14" x14ac:dyDescent="0.2">
      <c r="A662" t="s">
        <v>671</v>
      </c>
      <c r="B662" s="2">
        <v>46255</v>
      </c>
      <c r="C662" t="s">
        <v>2940</v>
      </c>
      <c r="D662" t="s">
        <v>2945</v>
      </c>
      <c r="E662" t="s">
        <v>2994</v>
      </c>
      <c r="F662" s="3">
        <v>46255.41289554994</v>
      </c>
      <c r="G662" s="3">
        <v>46255.414276686854</v>
      </c>
      <c r="H662">
        <v>1.99</v>
      </c>
      <c r="I662" t="s">
        <v>3147</v>
      </c>
      <c r="J662" t="s">
        <v>3167</v>
      </c>
      <c r="K662" t="s">
        <v>3185</v>
      </c>
      <c r="L662" t="str">
        <f>_xlfn.XLOOKUP(C662,[1]!Table1[Shift_ID],[1]!Table1[Shift_ID])</f>
        <v>S01</v>
      </c>
      <c r="M662" t="str">
        <f>_xlfn.XLOOKUP(D662,[2]!Table1[Machine_ID],[2]!Table1[Machine_ID])</f>
        <v>M004</v>
      </c>
      <c r="N662" t="str">
        <f>_xlfn.XLOOKUP(E662,[3]Sheet1!$A$2:$A$391,[3]Sheet1!$A$2:$A$391)</f>
        <v>PO10044</v>
      </c>
    </row>
    <row r="663" spans="1:14" x14ac:dyDescent="0.2">
      <c r="A663" t="s">
        <v>672</v>
      </c>
      <c r="B663" s="2">
        <v>46255</v>
      </c>
      <c r="C663" t="s">
        <v>2940</v>
      </c>
      <c r="D663" t="s">
        <v>2945</v>
      </c>
      <c r="E663" t="s">
        <v>2994</v>
      </c>
      <c r="F663" s="3">
        <v>46255.432332149852</v>
      </c>
      <c r="G663" s="3">
        <v>46255.433713286759</v>
      </c>
      <c r="H663">
        <v>1.99</v>
      </c>
      <c r="I663" t="s">
        <v>3149</v>
      </c>
      <c r="J663" t="s">
        <v>3168</v>
      </c>
      <c r="K663" t="s">
        <v>3184</v>
      </c>
      <c r="L663" t="str">
        <f>_xlfn.XLOOKUP(C663,[1]!Table1[Shift_ID],[1]!Table1[Shift_ID])</f>
        <v>S01</v>
      </c>
      <c r="M663" t="str">
        <f>_xlfn.XLOOKUP(D663,[2]!Table1[Machine_ID],[2]!Table1[Machine_ID])</f>
        <v>M004</v>
      </c>
      <c r="N663" t="str">
        <f>_xlfn.XLOOKUP(E663,[3]Sheet1!$A$2:$A$391,[3]Sheet1!$A$2:$A$391)</f>
        <v>PO10044</v>
      </c>
    </row>
    <row r="664" spans="1:14" x14ac:dyDescent="0.2">
      <c r="A664" t="s">
        <v>673</v>
      </c>
      <c r="B664" s="2">
        <v>46255</v>
      </c>
      <c r="C664" t="s">
        <v>2940</v>
      </c>
      <c r="D664" t="s">
        <v>2946</v>
      </c>
      <c r="E664" t="s">
        <v>2994</v>
      </c>
      <c r="F664" s="3">
        <v>46255.365895444033</v>
      </c>
      <c r="G664" s="3">
        <v>46255.376737925573</v>
      </c>
      <c r="H664">
        <v>15.61</v>
      </c>
      <c r="I664" t="s">
        <v>3149</v>
      </c>
      <c r="J664" t="s">
        <v>3168</v>
      </c>
      <c r="K664" t="s">
        <v>3184</v>
      </c>
      <c r="L664" t="str">
        <f>_xlfn.XLOOKUP(C664,[1]!Table1[Shift_ID],[1]!Table1[Shift_ID])</f>
        <v>S01</v>
      </c>
      <c r="M664" t="str">
        <f>_xlfn.XLOOKUP(D664,[2]!Table1[Machine_ID],[2]!Table1[Machine_ID])</f>
        <v>M005</v>
      </c>
      <c r="N664" t="str">
        <f>_xlfn.XLOOKUP(E664,[3]Sheet1!$A$2:$A$391,[3]Sheet1!$A$2:$A$391)</f>
        <v>PO10044</v>
      </c>
    </row>
    <row r="665" spans="1:14" x14ac:dyDescent="0.2">
      <c r="A665" t="s">
        <v>674</v>
      </c>
      <c r="B665" s="2">
        <v>46255</v>
      </c>
      <c r="C665" t="s">
        <v>2940</v>
      </c>
      <c r="D665" t="s">
        <v>2947</v>
      </c>
      <c r="E665" t="s">
        <v>2994</v>
      </c>
      <c r="F665" s="3">
        <v>46255.333809762633</v>
      </c>
      <c r="G665" s="3">
        <v>46255.349952586912</v>
      </c>
      <c r="H665">
        <v>23.25</v>
      </c>
      <c r="I665" t="s">
        <v>3147</v>
      </c>
      <c r="J665" t="s">
        <v>3153</v>
      </c>
      <c r="K665" t="s">
        <v>3185</v>
      </c>
      <c r="L665" t="str">
        <f>_xlfn.XLOOKUP(C665,[1]!Table1[Shift_ID],[1]!Table1[Shift_ID])</f>
        <v>S01</v>
      </c>
      <c r="M665" t="str">
        <f>_xlfn.XLOOKUP(D665,[2]!Table1[Machine_ID],[2]!Table1[Machine_ID])</f>
        <v>M006</v>
      </c>
      <c r="N665" t="str">
        <f>_xlfn.XLOOKUP(E665,[3]Sheet1!$A$2:$A$391,[3]Sheet1!$A$2:$A$391)</f>
        <v>PO10044</v>
      </c>
    </row>
    <row r="666" spans="1:14" x14ac:dyDescent="0.2">
      <c r="A666" t="s">
        <v>675</v>
      </c>
      <c r="B666" s="2">
        <v>46255</v>
      </c>
      <c r="C666" t="s">
        <v>2940</v>
      </c>
      <c r="D666" t="s">
        <v>2947</v>
      </c>
      <c r="E666" t="s">
        <v>2994</v>
      </c>
      <c r="F666" s="3">
        <v>46255.538589214942</v>
      </c>
      <c r="G666" s="3">
        <v>46255.548709430521</v>
      </c>
      <c r="H666">
        <v>14.57</v>
      </c>
      <c r="I666" t="s">
        <v>3147</v>
      </c>
      <c r="J666" t="s">
        <v>3154</v>
      </c>
      <c r="K666" t="s">
        <v>3172</v>
      </c>
      <c r="L666" t="str">
        <f>_xlfn.XLOOKUP(C666,[1]!Table1[Shift_ID],[1]!Table1[Shift_ID])</f>
        <v>S01</v>
      </c>
      <c r="M666" t="str">
        <f>_xlfn.XLOOKUP(D666,[2]!Table1[Machine_ID],[2]!Table1[Machine_ID])</f>
        <v>M006</v>
      </c>
      <c r="N666" t="str">
        <f>_xlfn.XLOOKUP(E666,[3]Sheet1!$A$2:$A$391,[3]Sheet1!$A$2:$A$391)</f>
        <v>PO10044</v>
      </c>
    </row>
    <row r="667" spans="1:14" x14ac:dyDescent="0.2">
      <c r="A667" t="s">
        <v>676</v>
      </c>
      <c r="B667" s="2">
        <v>46255</v>
      </c>
      <c r="C667" t="s">
        <v>2940</v>
      </c>
      <c r="D667" t="s">
        <v>2948</v>
      </c>
      <c r="E667" t="s">
        <v>2994</v>
      </c>
      <c r="F667" s="3">
        <v>46255.291404814678</v>
      </c>
      <c r="G667" s="3">
        <v>46255.308606506878</v>
      </c>
      <c r="H667">
        <v>24.77</v>
      </c>
      <c r="I667" t="s">
        <v>3146</v>
      </c>
      <c r="J667" t="s">
        <v>3157</v>
      </c>
      <c r="K667" t="s">
        <v>3171</v>
      </c>
      <c r="L667" t="str">
        <f>_xlfn.XLOOKUP(C667,[1]!Table1[Shift_ID],[1]!Table1[Shift_ID])</f>
        <v>S01</v>
      </c>
      <c r="M667" t="str">
        <f>_xlfn.XLOOKUP(D667,[2]!Table1[Machine_ID],[2]!Table1[Machine_ID])</f>
        <v>M007</v>
      </c>
      <c r="N667" t="str">
        <f>_xlfn.XLOOKUP(E667,[3]Sheet1!$A$2:$A$391,[3]Sheet1!$A$2:$A$391)</f>
        <v>PO10044</v>
      </c>
    </row>
    <row r="668" spans="1:14" x14ac:dyDescent="0.2">
      <c r="A668" t="s">
        <v>677</v>
      </c>
      <c r="B668" s="2">
        <v>46255</v>
      </c>
      <c r="C668" t="s">
        <v>2940</v>
      </c>
      <c r="D668" t="s">
        <v>2949</v>
      </c>
      <c r="E668" t="s">
        <v>2994</v>
      </c>
      <c r="F668" s="3">
        <v>46255.33025978411</v>
      </c>
      <c r="G668" s="3">
        <v>46255.338528468412</v>
      </c>
      <c r="H668">
        <v>11.91</v>
      </c>
      <c r="I668" t="s">
        <v>3148</v>
      </c>
      <c r="J668" t="s">
        <v>3165</v>
      </c>
      <c r="K668" t="s">
        <v>3180</v>
      </c>
      <c r="L668" t="str">
        <f>_xlfn.XLOOKUP(C668,[1]!Table1[Shift_ID],[1]!Table1[Shift_ID])</f>
        <v>S01</v>
      </c>
      <c r="M668" t="str">
        <f>_xlfn.XLOOKUP(D668,[2]!Table1[Machine_ID],[2]!Table1[Machine_ID])</f>
        <v>M008</v>
      </c>
      <c r="N668" t="str">
        <f>_xlfn.XLOOKUP(E668,[3]Sheet1!$A$2:$A$391,[3]Sheet1!$A$2:$A$391)</f>
        <v>PO10044</v>
      </c>
    </row>
    <row r="669" spans="1:14" x14ac:dyDescent="0.2">
      <c r="A669" t="s">
        <v>678</v>
      </c>
      <c r="B669" s="2">
        <v>46255</v>
      </c>
      <c r="C669" t="s">
        <v>2941</v>
      </c>
      <c r="D669" t="s">
        <v>2942</v>
      </c>
      <c r="E669" t="s">
        <v>2995</v>
      </c>
      <c r="F669" s="3">
        <v>46255.66414521249</v>
      </c>
      <c r="G669" s="3">
        <v>46255.668590774781</v>
      </c>
      <c r="H669">
        <v>6.4</v>
      </c>
      <c r="I669" t="s">
        <v>3150</v>
      </c>
      <c r="J669" t="s">
        <v>3159</v>
      </c>
      <c r="K669" t="s">
        <v>3177</v>
      </c>
      <c r="L669" t="str">
        <f>_xlfn.XLOOKUP(C669,[1]!Table1[Shift_ID],[1]!Table1[Shift_ID])</f>
        <v>S02</v>
      </c>
      <c r="M669" t="str">
        <f>_xlfn.XLOOKUP(D669,[2]!Table1[Machine_ID],[2]!Table1[Machine_ID])</f>
        <v>M001</v>
      </c>
      <c r="N669" t="str">
        <f>_xlfn.XLOOKUP(E669,[3]Sheet1!$A$2:$A$391,[3]Sheet1!$A$2:$A$391)</f>
        <v>PO10045</v>
      </c>
    </row>
    <row r="670" spans="1:14" x14ac:dyDescent="0.2">
      <c r="A670" t="s">
        <v>679</v>
      </c>
      <c r="B670" s="2">
        <v>46255</v>
      </c>
      <c r="C670" t="s">
        <v>2941</v>
      </c>
      <c r="D670" t="s">
        <v>2942</v>
      </c>
      <c r="E670" t="s">
        <v>2995</v>
      </c>
      <c r="F670" s="3">
        <v>46255.733046892732</v>
      </c>
      <c r="G670" s="3">
        <v>46255.734660345843</v>
      </c>
      <c r="H670">
        <v>2.3199999999999998</v>
      </c>
      <c r="I670" t="s">
        <v>3151</v>
      </c>
      <c r="J670" t="s">
        <v>3161</v>
      </c>
      <c r="K670" t="s">
        <v>3188</v>
      </c>
      <c r="L670" t="str">
        <f>_xlfn.XLOOKUP(C670,[1]!Table1[Shift_ID],[1]!Table1[Shift_ID])</f>
        <v>S02</v>
      </c>
      <c r="M670" t="str">
        <f>_xlfn.XLOOKUP(D670,[2]!Table1[Machine_ID],[2]!Table1[Machine_ID])</f>
        <v>M001</v>
      </c>
      <c r="N670" t="str">
        <f>_xlfn.XLOOKUP(E670,[3]Sheet1!$A$2:$A$391,[3]Sheet1!$A$2:$A$391)</f>
        <v>PO10045</v>
      </c>
    </row>
    <row r="671" spans="1:14" x14ac:dyDescent="0.2">
      <c r="A671" t="s">
        <v>680</v>
      </c>
      <c r="B671" s="2">
        <v>46255</v>
      </c>
      <c r="C671" t="s">
        <v>2941</v>
      </c>
      <c r="D671" t="s">
        <v>2943</v>
      </c>
      <c r="E671" t="s">
        <v>2995</v>
      </c>
      <c r="F671" s="3">
        <v>46255.794522362259</v>
      </c>
      <c r="G671" s="3">
        <v>46255.801031268333</v>
      </c>
      <c r="H671">
        <v>9.3699999999999992</v>
      </c>
      <c r="I671" t="s">
        <v>3151</v>
      </c>
      <c r="J671" t="s">
        <v>3161</v>
      </c>
      <c r="K671" t="s">
        <v>3187</v>
      </c>
      <c r="L671" t="str">
        <f>_xlfn.XLOOKUP(C671,[1]!Table1[Shift_ID],[1]!Table1[Shift_ID])</f>
        <v>S02</v>
      </c>
      <c r="M671" t="str">
        <f>_xlfn.XLOOKUP(D671,[2]!Table1[Machine_ID],[2]!Table1[Machine_ID])</f>
        <v>M002</v>
      </c>
      <c r="N671" t="str">
        <f>_xlfn.XLOOKUP(E671,[3]Sheet1!$A$2:$A$391,[3]Sheet1!$A$2:$A$391)</f>
        <v>PO10045</v>
      </c>
    </row>
    <row r="672" spans="1:14" x14ac:dyDescent="0.2">
      <c r="A672" t="s">
        <v>681</v>
      </c>
      <c r="B672" s="2">
        <v>46255</v>
      </c>
      <c r="C672" t="s">
        <v>2941</v>
      </c>
      <c r="D672" t="s">
        <v>2943</v>
      </c>
      <c r="E672" t="s">
        <v>2995</v>
      </c>
      <c r="F672" s="3">
        <v>46255.820698994859</v>
      </c>
      <c r="G672" s="3">
        <v>46255.82227089064</v>
      </c>
      <c r="H672">
        <v>2.2599999999999998</v>
      </c>
      <c r="I672" t="s">
        <v>3149</v>
      </c>
      <c r="J672" t="s">
        <v>3168</v>
      </c>
      <c r="K672" t="s">
        <v>3182</v>
      </c>
      <c r="L672" t="str">
        <f>_xlfn.XLOOKUP(C672,[1]!Table1[Shift_ID],[1]!Table1[Shift_ID])</f>
        <v>S02</v>
      </c>
      <c r="M672" t="str">
        <f>_xlfn.XLOOKUP(D672,[2]!Table1[Machine_ID],[2]!Table1[Machine_ID])</f>
        <v>M002</v>
      </c>
      <c r="N672" t="str">
        <f>_xlfn.XLOOKUP(E672,[3]Sheet1!$A$2:$A$391,[3]Sheet1!$A$2:$A$391)</f>
        <v>PO10045</v>
      </c>
    </row>
    <row r="673" spans="1:14" x14ac:dyDescent="0.2">
      <c r="A673" t="s">
        <v>682</v>
      </c>
      <c r="B673" s="2">
        <v>46255</v>
      </c>
      <c r="C673" t="s">
        <v>2941</v>
      </c>
      <c r="D673" t="s">
        <v>2943</v>
      </c>
      <c r="E673" t="s">
        <v>2995</v>
      </c>
      <c r="F673" s="3">
        <v>46255.854498374007</v>
      </c>
      <c r="G673" s="3">
        <v>46255.856070269801</v>
      </c>
      <c r="H673">
        <v>2.2599999999999998</v>
      </c>
      <c r="I673" t="s">
        <v>3150</v>
      </c>
      <c r="J673" t="s">
        <v>3160</v>
      </c>
      <c r="K673" t="s">
        <v>3179</v>
      </c>
      <c r="L673" t="str">
        <f>_xlfn.XLOOKUP(C673,[1]!Table1[Shift_ID],[1]!Table1[Shift_ID])</f>
        <v>S02</v>
      </c>
      <c r="M673" t="str">
        <f>_xlfn.XLOOKUP(D673,[2]!Table1[Machine_ID],[2]!Table1[Machine_ID])</f>
        <v>M002</v>
      </c>
      <c r="N673" t="str">
        <f>_xlfn.XLOOKUP(E673,[3]Sheet1!$A$2:$A$391,[3]Sheet1!$A$2:$A$391)</f>
        <v>PO10045</v>
      </c>
    </row>
    <row r="674" spans="1:14" x14ac:dyDescent="0.2">
      <c r="A674" t="s">
        <v>683</v>
      </c>
      <c r="B674" s="2">
        <v>46255</v>
      </c>
      <c r="C674" t="s">
        <v>2941</v>
      </c>
      <c r="D674" t="s">
        <v>2943</v>
      </c>
      <c r="E674" t="s">
        <v>2995</v>
      </c>
      <c r="F674" s="3">
        <v>46255.881901200293</v>
      </c>
      <c r="G674" s="3">
        <v>46255.883473096073</v>
      </c>
      <c r="H674">
        <v>2.2599999999999998</v>
      </c>
      <c r="I674" t="s">
        <v>3151</v>
      </c>
      <c r="J674" t="s">
        <v>3161</v>
      </c>
      <c r="K674" t="s">
        <v>3181</v>
      </c>
      <c r="L674" t="str">
        <f>_xlfn.XLOOKUP(C674,[1]!Table1[Shift_ID],[1]!Table1[Shift_ID])</f>
        <v>S02</v>
      </c>
      <c r="M674" t="str">
        <f>_xlfn.XLOOKUP(D674,[2]!Table1[Machine_ID],[2]!Table1[Machine_ID])</f>
        <v>M002</v>
      </c>
      <c r="N674" t="str">
        <f>_xlfn.XLOOKUP(E674,[3]Sheet1!$A$2:$A$391,[3]Sheet1!$A$2:$A$391)</f>
        <v>PO10045</v>
      </c>
    </row>
    <row r="675" spans="1:14" x14ac:dyDescent="0.2">
      <c r="A675" t="s">
        <v>684</v>
      </c>
      <c r="B675" s="2">
        <v>46255</v>
      </c>
      <c r="C675" t="s">
        <v>2941</v>
      </c>
      <c r="D675" t="s">
        <v>2944</v>
      </c>
      <c r="E675" t="s">
        <v>2995</v>
      </c>
      <c r="F675" s="3">
        <v>46255.812268030568</v>
      </c>
      <c r="G675" s="3">
        <v>46255.821641997427</v>
      </c>
      <c r="H675">
        <v>13.5</v>
      </c>
      <c r="I675" t="s">
        <v>3150</v>
      </c>
      <c r="J675" t="s">
        <v>3163</v>
      </c>
      <c r="K675" t="s">
        <v>3177</v>
      </c>
      <c r="L675" t="str">
        <f>_xlfn.XLOOKUP(C675,[1]!Table1[Shift_ID],[1]!Table1[Shift_ID])</f>
        <v>S02</v>
      </c>
      <c r="M675" t="str">
        <f>_xlfn.XLOOKUP(D675,[2]!Table1[Machine_ID],[2]!Table1[Machine_ID])</f>
        <v>M003</v>
      </c>
      <c r="N675" t="str">
        <f>_xlfn.XLOOKUP(E675,[3]Sheet1!$A$2:$A$391,[3]Sheet1!$A$2:$A$391)</f>
        <v>PO10045</v>
      </c>
    </row>
    <row r="676" spans="1:14" x14ac:dyDescent="0.2">
      <c r="A676" t="s">
        <v>685</v>
      </c>
      <c r="B676" s="2">
        <v>46255</v>
      </c>
      <c r="C676" t="s">
        <v>2941</v>
      </c>
      <c r="D676" t="s">
        <v>2945</v>
      </c>
      <c r="E676" t="s">
        <v>2995</v>
      </c>
      <c r="F676" s="3">
        <v>46255.848201596877</v>
      </c>
      <c r="G676" s="3">
        <v>46255.854977009469</v>
      </c>
      <c r="H676">
        <v>9.76</v>
      </c>
      <c r="I676" t="s">
        <v>3147</v>
      </c>
      <c r="J676" t="s">
        <v>3153</v>
      </c>
      <c r="K676" t="s">
        <v>3185</v>
      </c>
      <c r="L676" t="str">
        <f>_xlfn.XLOOKUP(C676,[1]!Table1[Shift_ID],[1]!Table1[Shift_ID])</f>
        <v>S02</v>
      </c>
      <c r="M676" t="str">
        <f>_xlfn.XLOOKUP(D676,[2]!Table1[Machine_ID],[2]!Table1[Machine_ID])</f>
        <v>M004</v>
      </c>
      <c r="N676" t="str">
        <f>_xlfn.XLOOKUP(E676,[3]Sheet1!$A$2:$A$391,[3]Sheet1!$A$2:$A$391)</f>
        <v>PO10045</v>
      </c>
    </row>
    <row r="677" spans="1:14" x14ac:dyDescent="0.2">
      <c r="A677" t="s">
        <v>686</v>
      </c>
      <c r="B677" s="2">
        <v>46255</v>
      </c>
      <c r="C677" t="s">
        <v>2941</v>
      </c>
      <c r="D677" t="s">
        <v>2946</v>
      </c>
      <c r="E677" t="s">
        <v>2995</v>
      </c>
      <c r="F677" s="3">
        <v>46255.840606564147</v>
      </c>
      <c r="G677" s="3">
        <v>46255.845081999709</v>
      </c>
      <c r="H677">
        <v>6.44</v>
      </c>
      <c r="I677" t="s">
        <v>3151</v>
      </c>
      <c r="J677" t="s">
        <v>3170</v>
      </c>
      <c r="K677" t="s">
        <v>3188</v>
      </c>
      <c r="L677" t="str">
        <f>_xlfn.XLOOKUP(C677,[1]!Table1[Shift_ID],[1]!Table1[Shift_ID])</f>
        <v>S02</v>
      </c>
      <c r="M677" t="str">
        <f>_xlfn.XLOOKUP(D677,[2]!Table1[Machine_ID],[2]!Table1[Machine_ID])</f>
        <v>M005</v>
      </c>
      <c r="N677" t="str">
        <f>_xlfn.XLOOKUP(E677,[3]Sheet1!$A$2:$A$391,[3]Sheet1!$A$2:$A$391)</f>
        <v>PO10045</v>
      </c>
    </row>
    <row r="678" spans="1:14" x14ac:dyDescent="0.2">
      <c r="A678" t="s">
        <v>687</v>
      </c>
      <c r="B678" s="2">
        <v>46255</v>
      </c>
      <c r="C678" t="s">
        <v>2941</v>
      </c>
      <c r="D678" t="s">
        <v>2946</v>
      </c>
      <c r="E678" t="s">
        <v>2995</v>
      </c>
      <c r="F678" s="3">
        <v>46255.867769657649</v>
      </c>
      <c r="G678" s="3">
        <v>46255.870428485599</v>
      </c>
      <c r="H678">
        <v>3.83</v>
      </c>
      <c r="I678" t="s">
        <v>3148</v>
      </c>
      <c r="J678" t="s">
        <v>3165</v>
      </c>
      <c r="K678" t="s">
        <v>3183</v>
      </c>
      <c r="L678" t="str">
        <f>_xlfn.XLOOKUP(C678,[1]!Table1[Shift_ID],[1]!Table1[Shift_ID])</f>
        <v>S02</v>
      </c>
      <c r="M678" t="str">
        <f>_xlfn.XLOOKUP(D678,[2]!Table1[Machine_ID],[2]!Table1[Machine_ID])</f>
        <v>M005</v>
      </c>
      <c r="N678" t="str">
        <f>_xlfn.XLOOKUP(E678,[3]Sheet1!$A$2:$A$391,[3]Sheet1!$A$2:$A$391)</f>
        <v>PO10045</v>
      </c>
    </row>
    <row r="679" spans="1:14" x14ac:dyDescent="0.2">
      <c r="A679" t="s">
        <v>688</v>
      </c>
      <c r="B679" s="2">
        <v>46255</v>
      </c>
      <c r="C679" t="s">
        <v>2941</v>
      </c>
      <c r="D679" t="s">
        <v>2947</v>
      </c>
      <c r="E679" t="s">
        <v>2995</v>
      </c>
      <c r="F679" s="3">
        <v>46255.647981468494</v>
      </c>
      <c r="G679" s="3">
        <v>46255.653400559277</v>
      </c>
      <c r="H679">
        <v>7.8</v>
      </c>
      <c r="I679" t="s">
        <v>3149</v>
      </c>
      <c r="J679" t="s">
        <v>3162</v>
      </c>
      <c r="K679" t="s">
        <v>3184</v>
      </c>
      <c r="L679" t="str">
        <f>_xlfn.XLOOKUP(C679,[1]!Table1[Shift_ID],[1]!Table1[Shift_ID])</f>
        <v>S02</v>
      </c>
      <c r="M679" t="str">
        <f>_xlfn.XLOOKUP(D679,[2]!Table1[Machine_ID],[2]!Table1[Machine_ID])</f>
        <v>M006</v>
      </c>
      <c r="N679" t="str">
        <f>_xlfn.XLOOKUP(E679,[3]Sheet1!$A$2:$A$391,[3]Sheet1!$A$2:$A$391)</f>
        <v>PO10045</v>
      </c>
    </row>
    <row r="680" spans="1:14" x14ac:dyDescent="0.2">
      <c r="A680" t="s">
        <v>689</v>
      </c>
      <c r="B680" s="2">
        <v>46255</v>
      </c>
      <c r="C680" t="s">
        <v>2941</v>
      </c>
      <c r="D680" t="s">
        <v>2947</v>
      </c>
      <c r="E680" t="s">
        <v>2995</v>
      </c>
      <c r="F680" s="3">
        <v>46255.70991186484</v>
      </c>
      <c r="G680" s="3">
        <v>46255.717817053912</v>
      </c>
      <c r="H680">
        <v>11.38</v>
      </c>
      <c r="I680" t="s">
        <v>3147</v>
      </c>
      <c r="J680" t="s">
        <v>3167</v>
      </c>
      <c r="K680" t="s">
        <v>3172</v>
      </c>
      <c r="L680" t="str">
        <f>_xlfn.XLOOKUP(C680,[1]!Table1[Shift_ID],[1]!Table1[Shift_ID])</f>
        <v>S02</v>
      </c>
      <c r="M680" t="str">
        <f>_xlfn.XLOOKUP(D680,[2]!Table1[Machine_ID],[2]!Table1[Machine_ID])</f>
        <v>M006</v>
      </c>
      <c r="N680" t="str">
        <f>_xlfn.XLOOKUP(E680,[3]Sheet1!$A$2:$A$391,[3]Sheet1!$A$2:$A$391)</f>
        <v>PO10045</v>
      </c>
    </row>
    <row r="681" spans="1:14" x14ac:dyDescent="0.2">
      <c r="A681" t="s">
        <v>690</v>
      </c>
      <c r="B681" s="2">
        <v>46255</v>
      </c>
      <c r="C681" t="s">
        <v>2941</v>
      </c>
      <c r="D681" t="s">
        <v>2947</v>
      </c>
      <c r="E681" t="s">
        <v>2995</v>
      </c>
      <c r="F681" s="3">
        <v>46255.734874053443</v>
      </c>
      <c r="G681" s="3">
        <v>46255.740768961638</v>
      </c>
      <c r="H681">
        <v>8.49</v>
      </c>
      <c r="I681" t="s">
        <v>3148</v>
      </c>
      <c r="J681" t="s">
        <v>3155</v>
      </c>
      <c r="K681" t="s">
        <v>3183</v>
      </c>
      <c r="L681" t="str">
        <f>_xlfn.XLOOKUP(C681,[1]!Table1[Shift_ID],[1]!Table1[Shift_ID])</f>
        <v>S02</v>
      </c>
      <c r="M681" t="str">
        <f>_xlfn.XLOOKUP(D681,[2]!Table1[Machine_ID],[2]!Table1[Machine_ID])</f>
        <v>M006</v>
      </c>
      <c r="N681" t="str">
        <f>_xlfn.XLOOKUP(E681,[3]Sheet1!$A$2:$A$391,[3]Sheet1!$A$2:$A$391)</f>
        <v>PO10045</v>
      </c>
    </row>
    <row r="682" spans="1:14" x14ac:dyDescent="0.2">
      <c r="A682" t="s">
        <v>691</v>
      </c>
      <c r="B682" s="2">
        <v>46255</v>
      </c>
      <c r="C682" t="s">
        <v>2941</v>
      </c>
      <c r="D682" t="s">
        <v>2947</v>
      </c>
      <c r="E682" t="s">
        <v>2995</v>
      </c>
      <c r="F682" s="3">
        <v>46255.872072825863</v>
      </c>
      <c r="G682" s="3">
        <v>46255.882185509152</v>
      </c>
      <c r="H682">
        <v>14.56</v>
      </c>
      <c r="I682" t="s">
        <v>3146</v>
      </c>
      <c r="J682" t="s">
        <v>3152</v>
      </c>
      <c r="K682" t="s">
        <v>3174</v>
      </c>
      <c r="L682" t="str">
        <f>_xlfn.XLOOKUP(C682,[1]!Table1[Shift_ID],[1]!Table1[Shift_ID])</f>
        <v>S02</v>
      </c>
      <c r="M682" t="str">
        <f>_xlfn.XLOOKUP(D682,[2]!Table1[Machine_ID],[2]!Table1[Machine_ID])</f>
        <v>M006</v>
      </c>
      <c r="N682" t="str">
        <f>_xlfn.XLOOKUP(E682,[3]Sheet1!$A$2:$A$391,[3]Sheet1!$A$2:$A$391)</f>
        <v>PO10045</v>
      </c>
    </row>
    <row r="683" spans="1:14" x14ac:dyDescent="0.2">
      <c r="A683" t="s">
        <v>692</v>
      </c>
      <c r="B683" s="2">
        <v>46255</v>
      </c>
      <c r="C683" t="s">
        <v>2941</v>
      </c>
      <c r="D683" t="s">
        <v>2948</v>
      </c>
      <c r="E683" t="s">
        <v>2995</v>
      </c>
      <c r="F683" s="3">
        <v>46255.78895315199</v>
      </c>
      <c r="G683" s="3">
        <v>46255.790808490718</v>
      </c>
      <c r="H683">
        <v>2.67</v>
      </c>
      <c r="I683" t="s">
        <v>3149</v>
      </c>
      <c r="J683" t="s">
        <v>3162</v>
      </c>
      <c r="K683" t="s">
        <v>3176</v>
      </c>
      <c r="L683" t="str">
        <f>_xlfn.XLOOKUP(C683,[1]!Table1[Shift_ID],[1]!Table1[Shift_ID])</f>
        <v>S02</v>
      </c>
      <c r="M683" t="str">
        <f>_xlfn.XLOOKUP(D683,[2]!Table1[Machine_ID],[2]!Table1[Machine_ID])</f>
        <v>M007</v>
      </c>
      <c r="N683" t="str">
        <f>_xlfn.XLOOKUP(E683,[3]Sheet1!$A$2:$A$391,[3]Sheet1!$A$2:$A$391)</f>
        <v>PO10045</v>
      </c>
    </row>
    <row r="684" spans="1:14" x14ac:dyDescent="0.2">
      <c r="A684" t="s">
        <v>693</v>
      </c>
      <c r="B684" s="2">
        <v>46255</v>
      </c>
      <c r="C684" t="s">
        <v>2941</v>
      </c>
      <c r="D684" t="s">
        <v>2948</v>
      </c>
      <c r="E684" t="s">
        <v>2995</v>
      </c>
      <c r="F684" s="3">
        <v>46255.83550530918</v>
      </c>
      <c r="G684" s="3">
        <v>46255.848002927029</v>
      </c>
      <c r="H684">
        <v>18</v>
      </c>
      <c r="I684" t="s">
        <v>3148</v>
      </c>
      <c r="J684" t="s">
        <v>3164</v>
      </c>
      <c r="K684" t="s">
        <v>3180</v>
      </c>
      <c r="L684" t="str">
        <f>_xlfn.XLOOKUP(C684,[1]!Table1[Shift_ID],[1]!Table1[Shift_ID])</f>
        <v>S02</v>
      </c>
      <c r="M684" t="str">
        <f>_xlfn.XLOOKUP(D684,[2]!Table1[Machine_ID],[2]!Table1[Machine_ID])</f>
        <v>M007</v>
      </c>
      <c r="N684" t="str">
        <f>_xlfn.XLOOKUP(E684,[3]Sheet1!$A$2:$A$391,[3]Sheet1!$A$2:$A$391)</f>
        <v>PO10045</v>
      </c>
    </row>
    <row r="685" spans="1:14" x14ac:dyDescent="0.2">
      <c r="A685" t="s">
        <v>694</v>
      </c>
      <c r="B685" s="2">
        <v>46255</v>
      </c>
      <c r="C685" t="s">
        <v>2941</v>
      </c>
      <c r="D685" t="s">
        <v>2949</v>
      </c>
      <c r="E685" t="s">
        <v>2995</v>
      </c>
      <c r="F685" s="3">
        <v>46255.689757925473</v>
      </c>
      <c r="G685" s="3">
        <v>46255.697918700171</v>
      </c>
      <c r="H685">
        <v>11.75</v>
      </c>
      <c r="I685" t="s">
        <v>3148</v>
      </c>
      <c r="J685" t="s">
        <v>3165</v>
      </c>
      <c r="K685" t="s">
        <v>3183</v>
      </c>
      <c r="L685" t="str">
        <f>_xlfn.XLOOKUP(C685,[1]!Table1[Shift_ID],[1]!Table1[Shift_ID])</f>
        <v>S02</v>
      </c>
      <c r="M685" t="str">
        <f>_xlfn.XLOOKUP(D685,[2]!Table1[Machine_ID],[2]!Table1[Machine_ID])</f>
        <v>M008</v>
      </c>
      <c r="N685" t="str">
        <f>_xlfn.XLOOKUP(E685,[3]Sheet1!$A$2:$A$391,[3]Sheet1!$A$2:$A$391)</f>
        <v>PO10045</v>
      </c>
    </row>
    <row r="686" spans="1:14" x14ac:dyDescent="0.2">
      <c r="A686" t="s">
        <v>695</v>
      </c>
      <c r="B686" s="2">
        <v>46258</v>
      </c>
      <c r="C686" t="s">
        <v>2939</v>
      </c>
      <c r="D686" t="s">
        <v>2942</v>
      </c>
      <c r="E686" t="s">
        <v>2996</v>
      </c>
      <c r="F686" s="3">
        <v>46259.135509660176</v>
      </c>
      <c r="G686" s="3">
        <v>46259.141923798277</v>
      </c>
      <c r="H686">
        <v>9.24</v>
      </c>
      <c r="I686" t="s">
        <v>3150</v>
      </c>
      <c r="J686" t="s">
        <v>3160</v>
      </c>
      <c r="K686" t="s">
        <v>3179</v>
      </c>
      <c r="L686" t="str">
        <f>_xlfn.XLOOKUP(C686,[1]!Table1[Shift_ID],[1]!Table1[Shift_ID])</f>
        <v>S03</v>
      </c>
      <c r="M686" t="str">
        <f>_xlfn.XLOOKUP(D686,[2]!Table1[Machine_ID],[2]!Table1[Machine_ID])</f>
        <v>M001</v>
      </c>
      <c r="N686" t="str">
        <f>_xlfn.XLOOKUP(E686,[3]Sheet1!$A$2:$A$391,[3]Sheet1!$A$2:$A$391)</f>
        <v>PO10046</v>
      </c>
    </row>
    <row r="687" spans="1:14" x14ac:dyDescent="0.2">
      <c r="A687" t="s">
        <v>696</v>
      </c>
      <c r="B687" s="2">
        <v>46258</v>
      </c>
      <c r="C687" t="s">
        <v>2939</v>
      </c>
      <c r="D687" t="s">
        <v>2943</v>
      </c>
      <c r="E687" t="s">
        <v>2996</v>
      </c>
      <c r="F687" s="3">
        <v>46258.954357803843</v>
      </c>
      <c r="G687" s="3">
        <v>46258.962713736968</v>
      </c>
      <c r="H687">
        <v>12.03</v>
      </c>
      <c r="I687" t="s">
        <v>3149</v>
      </c>
      <c r="J687" t="s">
        <v>3158</v>
      </c>
      <c r="K687" t="s">
        <v>3182</v>
      </c>
      <c r="L687" t="str">
        <f>_xlfn.XLOOKUP(C687,[1]!Table1[Shift_ID],[1]!Table1[Shift_ID])</f>
        <v>S03</v>
      </c>
      <c r="M687" t="str">
        <f>_xlfn.XLOOKUP(D687,[2]!Table1[Machine_ID],[2]!Table1[Machine_ID])</f>
        <v>M002</v>
      </c>
      <c r="N687" t="str">
        <f>_xlfn.XLOOKUP(E687,[3]Sheet1!$A$2:$A$391,[3]Sheet1!$A$2:$A$391)</f>
        <v>PO10046</v>
      </c>
    </row>
    <row r="688" spans="1:14" x14ac:dyDescent="0.2">
      <c r="A688" t="s">
        <v>697</v>
      </c>
      <c r="B688" s="2">
        <v>46258</v>
      </c>
      <c r="C688" t="s">
        <v>2939</v>
      </c>
      <c r="D688" t="s">
        <v>2944</v>
      </c>
      <c r="E688" t="s">
        <v>2996</v>
      </c>
      <c r="F688" s="3">
        <v>46258.987004972441</v>
      </c>
      <c r="G688" s="3">
        <v>46258.99070788551</v>
      </c>
      <c r="H688">
        <v>5.33</v>
      </c>
      <c r="I688" t="s">
        <v>3147</v>
      </c>
      <c r="J688" t="s">
        <v>3167</v>
      </c>
      <c r="K688" t="s">
        <v>3185</v>
      </c>
      <c r="L688" t="str">
        <f>_xlfn.XLOOKUP(C688,[1]!Table1[Shift_ID],[1]!Table1[Shift_ID])</f>
        <v>S03</v>
      </c>
      <c r="M688" t="str">
        <f>_xlfn.XLOOKUP(D688,[2]!Table1[Machine_ID],[2]!Table1[Machine_ID])</f>
        <v>M003</v>
      </c>
      <c r="N688" t="str">
        <f>_xlfn.XLOOKUP(E688,[3]Sheet1!$A$2:$A$391,[3]Sheet1!$A$2:$A$391)</f>
        <v>PO10046</v>
      </c>
    </row>
    <row r="689" spans="1:14" x14ac:dyDescent="0.2">
      <c r="A689" t="s">
        <v>698</v>
      </c>
      <c r="B689" s="2">
        <v>46258</v>
      </c>
      <c r="C689" t="s">
        <v>2939</v>
      </c>
      <c r="D689" t="s">
        <v>2944</v>
      </c>
      <c r="E689" t="s">
        <v>2996</v>
      </c>
      <c r="F689" s="3">
        <v>46259.227362510901</v>
      </c>
      <c r="G689" s="3">
        <v>46259.232777496967</v>
      </c>
      <c r="H689">
        <v>7.8</v>
      </c>
      <c r="I689" t="s">
        <v>3147</v>
      </c>
      <c r="J689" t="s">
        <v>3167</v>
      </c>
      <c r="K689" t="s">
        <v>3172</v>
      </c>
      <c r="L689" t="str">
        <f>_xlfn.XLOOKUP(C689,[1]!Table1[Shift_ID],[1]!Table1[Shift_ID])</f>
        <v>S03</v>
      </c>
      <c r="M689" t="str">
        <f>_xlfn.XLOOKUP(D689,[2]!Table1[Machine_ID],[2]!Table1[Machine_ID])</f>
        <v>M003</v>
      </c>
      <c r="N689" t="str">
        <f>_xlfn.XLOOKUP(E689,[3]Sheet1!$A$2:$A$391,[3]Sheet1!$A$2:$A$391)</f>
        <v>PO10046</v>
      </c>
    </row>
    <row r="690" spans="1:14" x14ac:dyDescent="0.2">
      <c r="A690" t="s">
        <v>699</v>
      </c>
      <c r="B690" s="2">
        <v>46258</v>
      </c>
      <c r="C690" t="s">
        <v>2939</v>
      </c>
      <c r="D690" t="s">
        <v>2945</v>
      </c>
      <c r="E690" t="s">
        <v>2996</v>
      </c>
      <c r="F690" s="3">
        <v>46259.087810010707</v>
      </c>
      <c r="G690" s="3">
        <v>46259.089432960027</v>
      </c>
      <c r="H690">
        <v>2.34</v>
      </c>
      <c r="I690" t="s">
        <v>3147</v>
      </c>
      <c r="J690" t="s">
        <v>3153</v>
      </c>
      <c r="K690" t="s">
        <v>3186</v>
      </c>
      <c r="L690" t="str">
        <f>_xlfn.XLOOKUP(C690,[1]!Table1[Shift_ID],[1]!Table1[Shift_ID])</f>
        <v>S03</v>
      </c>
      <c r="M690" t="str">
        <f>_xlfn.XLOOKUP(D690,[2]!Table1[Machine_ID],[2]!Table1[Machine_ID])</f>
        <v>M004</v>
      </c>
      <c r="N690" t="str">
        <f>_xlfn.XLOOKUP(E690,[3]Sheet1!$A$2:$A$391,[3]Sheet1!$A$2:$A$391)</f>
        <v>PO10046</v>
      </c>
    </row>
    <row r="691" spans="1:14" x14ac:dyDescent="0.2">
      <c r="A691" t="s">
        <v>700</v>
      </c>
      <c r="B691" s="2">
        <v>46258</v>
      </c>
      <c r="C691" t="s">
        <v>2939</v>
      </c>
      <c r="D691" t="s">
        <v>2945</v>
      </c>
      <c r="E691" t="s">
        <v>2996</v>
      </c>
      <c r="F691" s="3">
        <v>46259.21975391719</v>
      </c>
      <c r="G691" s="3">
        <v>46259.224181651021</v>
      </c>
      <c r="H691">
        <v>6.38</v>
      </c>
      <c r="I691" t="s">
        <v>3149</v>
      </c>
      <c r="J691" t="s">
        <v>3162</v>
      </c>
      <c r="K691" t="s">
        <v>3176</v>
      </c>
      <c r="L691" t="str">
        <f>_xlfn.XLOOKUP(C691,[1]!Table1[Shift_ID],[1]!Table1[Shift_ID])</f>
        <v>S03</v>
      </c>
      <c r="M691" t="str">
        <f>_xlfn.XLOOKUP(D691,[2]!Table1[Machine_ID],[2]!Table1[Machine_ID])</f>
        <v>M004</v>
      </c>
      <c r="N691" t="str">
        <f>_xlfn.XLOOKUP(E691,[3]Sheet1!$A$2:$A$391,[3]Sheet1!$A$2:$A$391)</f>
        <v>PO10046</v>
      </c>
    </row>
    <row r="692" spans="1:14" x14ac:dyDescent="0.2">
      <c r="A692" t="s">
        <v>701</v>
      </c>
      <c r="B692" s="2">
        <v>46258</v>
      </c>
      <c r="C692" t="s">
        <v>2939</v>
      </c>
      <c r="D692" t="s">
        <v>2946</v>
      </c>
      <c r="E692" t="s">
        <v>2996</v>
      </c>
      <c r="F692" s="3">
        <v>46259.20100528295</v>
      </c>
      <c r="G692" s="3">
        <v>46259.208014876247</v>
      </c>
      <c r="H692">
        <v>10.09</v>
      </c>
      <c r="I692" t="s">
        <v>3148</v>
      </c>
      <c r="J692" t="s">
        <v>3165</v>
      </c>
      <c r="K692" t="s">
        <v>3183</v>
      </c>
      <c r="L692" t="str">
        <f>_xlfn.XLOOKUP(C692,[1]!Table1[Shift_ID],[1]!Table1[Shift_ID])</f>
        <v>S03</v>
      </c>
      <c r="M692" t="str">
        <f>_xlfn.XLOOKUP(D692,[2]!Table1[Machine_ID],[2]!Table1[Machine_ID])</f>
        <v>M005</v>
      </c>
      <c r="N692" t="str">
        <f>_xlfn.XLOOKUP(E692,[3]Sheet1!$A$2:$A$391,[3]Sheet1!$A$2:$A$391)</f>
        <v>PO10046</v>
      </c>
    </row>
    <row r="693" spans="1:14" x14ac:dyDescent="0.2">
      <c r="A693" t="s">
        <v>702</v>
      </c>
      <c r="B693" s="2">
        <v>46258</v>
      </c>
      <c r="C693" t="s">
        <v>2939</v>
      </c>
      <c r="D693" t="s">
        <v>2947</v>
      </c>
      <c r="E693" t="s">
        <v>2996</v>
      </c>
      <c r="F693" s="3">
        <v>46259.197203276941</v>
      </c>
      <c r="G693" s="3">
        <v>46259.225092762732</v>
      </c>
      <c r="H693">
        <v>40.159999999999997</v>
      </c>
      <c r="I693" t="s">
        <v>3150</v>
      </c>
      <c r="J693" t="s">
        <v>3166</v>
      </c>
      <c r="K693" t="s">
        <v>3177</v>
      </c>
      <c r="L693" t="str">
        <f>_xlfn.XLOOKUP(C693,[1]!Table1[Shift_ID],[1]!Table1[Shift_ID])</f>
        <v>S03</v>
      </c>
      <c r="M693" t="str">
        <f>_xlfn.XLOOKUP(D693,[2]!Table1[Machine_ID],[2]!Table1[Machine_ID])</f>
        <v>M006</v>
      </c>
      <c r="N693" t="str">
        <f>_xlfn.XLOOKUP(E693,[3]Sheet1!$A$2:$A$391,[3]Sheet1!$A$2:$A$391)</f>
        <v>PO10046</v>
      </c>
    </row>
    <row r="694" spans="1:14" x14ac:dyDescent="0.2">
      <c r="A694" t="s">
        <v>703</v>
      </c>
      <c r="B694" s="2">
        <v>46258</v>
      </c>
      <c r="C694" t="s">
        <v>2939</v>
      </c>
      <c r="D694" t="s">
        <v>2948</v>
      </c>
      <c r="E694" t="s">
        <v>2996</v>
      </c>
      <c r="F694" s="3">
        <v>46259.078485517814</v>
      </c>
      <c r="G694" s="3">
        <v>46259.090791204762</v>
      </c>
      <c r="H694">
        <v>17.72</v>
      </c>
      <c r="I694" t="s">
        <v>3150</v>
      </c>
      <c r="J694" t="s">
        <v>3159</v>
      </c>
      <c r="K694" t="s">
        <v>3179</v>
      </c>
      <c r="L694" t="str">
        <f>_xlfn.XLOOKUP(C694,[1]!Table1[Shift_ID],[1]!Table1[Shift_ID])</f>
        <v>S03</v>
      </c>
      <c r="M694" t="str">
        <f>_xlfn.XLOOKUP(D694,[2]!Table1[Machine_ID],[2]!Table1[Machine_ID])</f>
        <v>M007</v>
      </c>
      <c r="N694" t="str">
        <f>_xlfn.XLOOKUP(E694,[3]Sheet1!$A$2:$A$391,[3]Sheet1!$A$2:$A$391)</f>
        <v>PO10046</v>
      </c>
    </row>
    <row r="695" spans="1:14" x14ac:dyDescent="0.2">
      <c r="A695" t="s">
        <v>704</v>
      </c>
      <c r="B695" s="2">
        <v>46258</v>
      </c>
      <c r="C695" t="s">
        <v>2939</v>
      </c>
      <c r="D695" t="s">
        <v>2949</v>
      </c>
      <c r="E695" t="s">
        <v>2996</v>
      </c>
      <c r="F695" s="3">
        <v>46259.044059472821</v>
      </c>
      <c r="G695" s="3">
        <v>46259.05073534228</v>
      </c>
      <c r="H695">
        <v>9.61</v>
      </c>
      <c r="I695" t="s">
        <v>3148</v>
      </c>
      <c r="J695" t="s">
        <v>3164</v>
      </c>
      <c r="K695" t="s">
        <v>3183</v>
      </c>
      <c r="L695" t="str">
        <f>_xlfn.XLOOKUP(C695,[1]!Table1[Shift_ID],[1]!Table1[Shift_ID])</f>
        <v>S03</v>
      </c>
      <c r="M695" t="str">
        <f>_xlfn.XLOOKUP(D695,[2]!Table1[Machine_ID],[2]!Table1[Machine_ID])</f>
        <v>M008</v>
      </c>
      <c r="N695" t="str">
        <f>_xlfn.XLOOKUP(E695,[3]Sheet1!$A$2:$A$391,[3]Sheet1!$A$2:$A$391)</f>
        <v>PO10046</v>
      </c>
    </row>
    <row r="696" spans="1:14" x14ac:dyDescent="0.2">
      <c r="A696" t="s">
        <v>705</v>
      </c>
      <c r="B696" s="2">
        <v>46258</v>
      </c>
      <c r="C696" t="s">
        <v>2940</v>
      </c>
      <c r="D696" t="s">
        <v>2942</v>
      </c>
      <c r="E696" t="s">
        <v>2997</v>
      </c>
      <c r="F696" s="3">
        <v>46258.403892538758</v>
      </c>
      <c r="G696" s="3">
        <v>46258.40950945457</v>
      </c>
      <c r="H696">
        <v>8.09</v>
      </c>
      <c r="I696" t="s">
        <v>3150</v>
      </c>
      <c r="J696" t="s">
        <v>3166</v>
      </c>
      <c r="K696" t="s">
        <v>3179</v>
      </c>
      <c r="L696" t="str">
        <f>_xlfn.XLOOKUP(C696,[1]!Table1[Shift_ID],[1]!Table1[Shift_ID])</f>
        <v>S01</v>
      </c>
      <c r="M696" t="str">
        <f>_xlfn.XLOOKUP(D696,[2]!Table1[Machine_ID],[2]!Table1[Machine_ID])</f>
        <v>M001</v>
      </c>
      <c r="N696" t="str">
        <f>_xlfn.XLOOKUP(E696,[3]Sheet1!$A$2:$A$391,[3]Sheet1!$A$2:$A$391)</f>
        <v>PO10047</v>
      </c>
    </row>
    <row r="697" spans="1:14" x14ac:dyDescent="0.2">
      <c r="A697" t="s">
        <v>706</v>
      </c>
      <c r="B697" s="2">
        <v>46258</v>
      </c>
      <c r="C697" t="s">
        <v>2940</v>
      </c>
      <c r="D697" t="s">
        <v>2943</v>
      </c>
      <c r="E697" t="s">
        <v>2997</v>
      </c>
      <c r="F697" s="3">
        <v>46258.386098557428</v>
      </c>
      <c r="G697" s="3">
        <v>46258.388182906587</v>
      </c>
      <c r="H697">
        <v>3</v>
      </c>
      <c r="I697" t="s">
        <v>3149</v>
      </c>
      <c r="J697" t="s">
        <v>3162</v>
      </c>
      <c r="K697" t="s">
        <v>3176</v>
      </c>
      <c r="L697" t="str">
        <f>_xlfn.XLOOKUP(C697,[1]!Table1[Shift_ID],[1]!Table1[Shift_ID])</f>
        <v>S01</v>
      </c>
      <c r="M697" t="str">
        <f>_xlfn.XLOOKUP(D697,[2]!Table1[Machine_ID],[2]!Table1[Machine_ID])</f>
        <v>M002</v>
      </c>
      <c r="N697" t="str">
        <f>_xlfn.XLOOKUP(E697,[3]Sheet1!$A$2:$A$391,[3]Sheet1!$A$2:$A$391)</f>
        <v>PO10047</v>
      </c>
    </row>
    <row r="698" spans="1:14" x14ac:dyDescent="0.2">
      <c r="A698" t="s">
        <v>707</v>
      </c>
      <c r="B698" s="2">
        <v>46258</v>
      </c>
      <c r="C698" t="s">
        <v>2940</v>
      </c>
      <c r="D698" t="s">
        <v>2943</v>
      </c>
      <c r="E698" t="s">
        <v>2997</v>
      </c>
      <c r="F698" s="3">
        <v>46258.506787041282</v>
      </c>
      <c r="G698" s="3">
        <v>46258.508818975992</v>
      </c>
      <c r="H698">
        <v>2.93</v>
      </c>
      <c r="I698" t="s">
        <v>3149</v>
      </c>
      <c r="J698" t="s">
        <v>3168</v>
      </c>
      <c r="K698" t="s">
        <v>3184</v>
      </c>
      <c r="L698" t="str">
        <f>_xlfn.XLOOKUP(C698,[1]!Table1[Shift_ID],[1]!Table1[Shift_ID])</f>
        <v>S01</v>
      </c>
      <c r="M698" t="str">
        <f>_xlfn.XLOOKUP(D698,[2]!Table1[Machine_ID],[2]!Table1[Machine_ID])</f>
        <v>M002</v>
      </c>
      <c r="N698" t="str">
        <f>_xlfn.XLOOKUP(E698,[3]Sheet1!$A$2:$A$391,[3]Sheet1!$A$2:$A$391)</f>
        <v>PO10047</v>
      </c>
    </row>
    <row r="699" spans="1:14" x14ac:dyDescent="0.2">
      <c r="A699" t="s">
        <v>708</v>
      </c>
      <c r="B699" s="2">
        <v>46258</v>
      </c>
      <c r="C699" t="s">
        <v>2940</v>
      </c>
      <c r="D699" t="s">
        <v>2943</v>
      </c>
      <c r="E699" t="s">
        <v>2997</v>
      </c>
      <c r="F699" s="3">
        <v>46258.571816041251</v>
      </c>
      <c r="G699" s="3">
        <v>46258.574975378273</v>
      </c>
      <c r="H699">
        <v>4.55</v>
      </c>
      <c r="I699" t="s">
        <v>3146</v>
      </c>
      <c r="J699" t="s">
        <v>3152</v>
      </c>
      <c r="K699" t="s">
        <v>3174</v>
      </c>
      <c r="L699" t="str">
        <f>_xlfn.XLOOKUP(C699,[1]!Table1[Shift_ID],[1]!Table1[Shift_ID])</f>
        <v>S01</v>
      </c>
      <c r="M699" t="str">
        <f>_xlfn.XLOOKUP(D699,[2]!Table1[Machine_ID],[2]!Table1[Machine_ID])</f>
        <v>M002</v>
      </c>
      <c r="N699" t="str">
        <f>_xlfn.XLOOKUP(E699,[3]Sheet1!$A$2:$A$391,[3]Sheet1!$A$2:$A$391)</f>
        <v>PO10047</v>
      </c>
    </row>
    <row r="700" spans="1:14" x14ac:dyDescent="0.2">
      <c r="A700" t="s">
        <v>709</v>
      </c>
      <c r="B700" s="2">
        <v>46258</v>
      </c>
      <c r="C700" t="s">
        <v>2940</v>
      </c>
      <c r="D700" t="s">
        <v>2944</v>
      </c>
      <c r="E700" t="s">
        <v>2997</v>
      </c>
      <c r="F700" s="3">
        <v>46258.284942883467</v>
      </c>
      <c r="G700" s="3">
        <v>46258.286737029492</v>
      </c>
      <c r="H700">
        <v>2.58</v>
      </c>
      <c r="I700" t="s">
        <v>3150</v>
      </c>
      <c r="J700" t="s">
        <v>3160</v>
      </c>
      <c r="K700" t="s">
        <v>3177</v>
      </c>
      <c r="L700" t="str">
        <f>_xlfn.XLOOKUP(C700,[1]!Table1[Shift_ID],[1]!Table1[Shift_ID])</f>
        <v>S01</v>
      </c>
      <c r="M700" t="str">
        <f>_xlfn.XLOOKUP(D700,[2]!Table1[Machine_ID],[2]!Table1[Machine_ID])</f>
        <v>M003</v>
      </c>
      <c r="N700" t="str">
        <f>_xlfn.XLOOKUP(E700,[3]Sheet1!$A$2:$A$391,[3]Sheet1!$A$2:$A$391)</f>
        <v>PO10047</v>
      </c>
    </row>
    <row r="701" spans="1:14" x14ac:dyDescent="0.2">
      <c r="A701" t="s">
        <v>710</v>
      </c>
      <c r="B701" s="2">
        <v>46258</v>
      </c>
      <c r="C701" t="s">
        <v>2940</v>
      </c>
      <c r="D701" t="s">
        <v>2944</v>
      </c>
      <c r="E701" t="s">
        <v>2997</v>
      </c>
      <c r="F701" s="3">
        <v>46258.377253205188</v>
      </c>
      <c r="G701" s="3">
        <v>46258.384997860732</v>
      </c>
      <c r="H701">
        <v>11.15</v>
      </c>
      <c r="I701" t="s">
        <v>3150</v>
      </c>
      <c r="J701" t="s">
        <v>3159</v>
      </c>
      <c r="K701" t="s">
        <v>3178</v>
      </c>
      <c r="L701" t="str">
        <f>_xlfn.XLOOKUP(C701,[1]!Table1[Shift_ID],[1]!Table1[Shift_ID])</f>
        <v>S01</v>
      </c>
      <c r="M701" t="str">
        <f>_xlfn.XLOOKUP(D701,[2]!Table1[Machine_ID],[2]!Table1[Machine_ID])</f>
        <v>M003</v>
      </c>
      <c r="N701" t="str">
        <f>_xlfn.XLOOKUP(E701,[3]Sheet1!$A$2:$A$391,[3]Sheet1!$A$2:$A$391)</f>
        <v>PO10047</v>
      </c>
    </row>
    <row r="702" spans="1:14" x14ac:dyDescent="0.2">
      <c r="A702" t="s">
        <v>711</v>
      </c>
      <c r="B702" s="2">
        <v>46258</v>
      </c>
      <c r="C702" t="s">
        <v>2940</v>
      </c>
      <c r="D702" t="s">
        <v>2944</v>
      </c>
      <c r="E702" t="s">
        <v>2997</v>
      </c>
      <c r="F702" s="3">
        <v>46258.433544923428</v>
      </c>
      <c r="G702" s="3">
        <v>46258.43533906943</v>
      </c>
      <c r="H702">
        <v>2.58</v>
      </c>
      <c r="I702" t="s">
        <v>3149</v>
      </c>
      <c r="J702" t="s">
        <v>3162</v>
      </c>
      <c r="K702" t="s">
        <v>3184</v>
      </c>
      <c r="L702" t="str">
        <f>_xlfn.XLOOKUP(C702,[1]!Table1[Shift_ID],[1]!Table1[Shift_ID])</f>
        <v>S01</v>
      </c>
      <c r="M702" t="str">
        <f>_xlfn.XLOOKUP(D702,[2]!Table1[Machine_ID],[2]!Table1[Machine_ID])</f>
        <v>M003</v>
      </c>
      <c r="N702" t="str">
        <f>_xlfn.XLOOKUP(E702,[3]Sheet1!$A$2:$A$391,[3]Sheet1!$A$2:$A$391)</f>
        <v>PO10047</v>
      </c>
    </row>
    <row r="703" spans="1:14" x14ac:dyDescent="0.2">
      <c r="A703" t="s">
        <v>712</v>
      </c>
      <c r="B703" s="2">
        <v>46258</v>
      </c>
      <c r="C703" t="s">
        <v>2940</v>
      </c>
      <c r="D703" t="s">
        <v>2945</v>
      </c>
      <c r="E703" t="s">
        <v>2997</v>
      </c>
      <c r="F703" s="3">
        <v>46258.479181486357</v>
      </c>
      <c r="G703" s="3">
        <v>46258.486693297258</v>
      </c>
      <c r="H703">
        <v>10.82</v>
      </c>
      <c r="I703" t="s">
        <v>3148</v>
      </c>
      <c r="J703" t="s">
        <v>3165</v>
      </c>
      <c r="K703" t="s">
        <v>3180</v>
      </c>
      <c r="L703" t="str">
        <f>_xlfn.XLOOKUP(C703,[1]!Table1[Shift_ID],[1]!Table1[Shift_ID])</f>
        <v>S01</v>
      </c>
      <c r="M703" t="str">
        <f>_xlfn.XLOOKUP(D703,[2]!Table1[Machine_ID],[2]!Table1[Machine_ID])</f>
        <v>M004</v>
      </c>
      <c r="N703" t="str">
        <f>_xlfn.XLOOKUP(E703,[3]Sheet1!$A$2:$A$391,[3]Sheet1!$A$2:$A$391)</f>
        <v>PO10047</v>
      </c>
    </row>
    <row r="704" spans="1:14" x14ac:dyDescent="0.2">
      <c r="A704" t="s">
        <v>713</v>
      </c>
      <c r="B704" s="2">
        <v>46258</v>
      </c>
      <c r="C704" t="s">
        <v>2940</v>
      </c>
      <c r="D704" t="s">
        <v>2946</v>
      </c>
      <c r="E704" t="s">
        <v>2997</v>
      </c>
      <c r="F704" s="3">
        <v>46258.256884874267</v>
      </c>
      <c r="G704" s="3">
        <v>46258.262392931123</v>
      </c>
      <c r="H704">
        <v>7.93</v>
      </c>
      <c r="I704" t="s">
        <v>3150</v>
      </c>
      <c r="J704" t="s">
        <v>3160</v>
      </c>
      <c r="K704" t="s">
        <v>3179</v>
      </c>
      <c r="L704" t="str">
        <f>_xlfn.XLOOKUP(C704,[1]!Table1[Shift_ID],[1]!Table1[Shift_ID])</f>
        <v>S01</v>
      </c>
      <c r="M704" t="str">
        <f>_xlfn.XLOOKUP(D704,[2]!Table1[Machine_ID],[2]!Table1[Machine_ID])</f>
        <v>M005</v>
      </c>
      <c r="N704" t="str">
        <f>_xlfn.XLOOKUP(E704,[3]Sheet1!$A$2:$A$391,[3]Sheet1!$A$2:$A$391)</f>
        <v>PO10047</v>
      </c>
    </row>
    <row r="705" spans="1:14" x14ac:dyDescent="0.2">
      <c r="A705" t="s">
        <v>714</v>
      </c>
      <c r="B705" s="2">
        <v>46258</v>
      </c>
      <c r="C705" t="s">
        <v>2940</v>
      </c>
      <c r="D705" t="s">
        <v>2946</v>
      </c>
      <c r="E705" t="s">
        <v>2997</v>
      </c>
      <c r="F705" s="3">
        <v>46258.270626998717</v>
      </c>
      <c r="G705" s="3">
        <v>46258.274352888708</v>
      </c>
      <c r="H705">
        <v>5.37</v>
      </c>
      <c r="I705" t="s">
        <v>3149</v>
      </c>
      <c r="J705" t="s">
        <v>3162</v>
      </c>
      <c r="K705" t="s">
        <v>3184</v>
      </c>
      <c r="L705" t="str">
        <f>_xlfn.XLOOKUP(C705,[1]!Table1[Shift_ID],[1]!Table1[Shift_ID])</f>
        <v>S01</v>
      </c>
      <c r="M705" t="str">
        <f>_xlfn.XLOOKUP(D705,[2]!Table1[Machine_ID],[2]!Table1[Machine_ID])</f>
        <v>M005</v>
      </c>
      <c r="N705" t="str">
        <f>_xlfn.XLOOKUP(E705,[3]Sheet1!$A$2:$A$391,[3]Sheet1!$A$2:$A$391)</f>
        <v>PO10047</v>
      </c>
    </row>
    <row r="706" spans="1:14" x14ac:dyDescent="0.2">
      <c r="A706" t="s">
        <v>715</v>
      </c>
      <c r="B706" s="2">
        <v>46258</v>
      </c>
      <c r="C706" t="s">
        <v>2940</v>
      </c>
      <c r="D706" t="s">
        <v>2947</v>
      </c>
      <c r="E706" t="s">
        <v>2997</v>
      </c>
      <c r="F706" s="3">
        <v>46258.439896642973</v>
      </c>
      <c r="G706" s="3">
        <v>46258.458415227811</v>
      </c>
      <c r="H706">
        <v>26.67</v>
      </c>
      <c r="I706" t="s">
        <v>3146</v>
      </c>
      <c r="J706" t="s">
        <v>3152</v>
      </c>
      <c r="K706" t="s">
        <v>3171</v>
      </c>
      <c r="L706" t="str">
        <f>_xlfn.XLOOKUP(C706,[1]!Table1[Shift_ID],[1]!Table1[Shift_ID])</f>
        <v>S01</v>
      </c>
      <c r="M706" t="str">
        <f>_xlfn.XLOOKUP(D706,[2]!Table1[Machine_ID],[2]!Table1[Machine_ID])</f>
        <v>M006</v>
      </c>
      <c r="N706" t="str">
        <f>_xlfn.XLOOKUP(E706,[3]Sheet1!$A$2:$A$391,[3]Sheet1!$A$2:$A$391)</f>
        <v>PO10047</v>
      </c>
    </row>
    <row r="707" spans="1:14" x14ac:dyDescent="0.2">
      <c r="A707" t="s">
        <v>716</v>
      </c>
      <c r="B707" s="2">
        <v>46258</v>
      </c>
      <c r="C707" t="s">
        <v>2940</v>
      </c>
      <c r="D707" t="s">
        <v>2947</v>
      </c>
      <c r="E707" t="s">
        <v>2997</v>
      </c>
      <c r="F707" s="3">
        <v>46258.477492128877</v>
      </c>
      <c r="G707" s="3">
        <v>46258.48519418588</v>
      </c>
      <c r="H707">
        <v>11.09</v>
      </c>
      <c r="I707" t="s">
        <v>3149</v>
      </c>
      <c r="J707" t="s">
        <v>3162</v>
      </c>
      <c r="K707" t="s">
        <v>3184</v>
      </c>
      <c r="L707" t="str">
        <f>_xlfn.XLOOKUP(C707,[1]!Table1[Shift_ID],[1]!Table1[Shift_ID])</f>
        <v>S01</v>
      </c>
      <c r="M707" t="str">
        <f>_xlfn.XLOOKUP(D707,[2]!Table1[Machine_ID],[2]!Table1[Machine_ID])</f>
        <v>M006</v>
      </c>
      <c r="N707" t="str">
        <f>_xlfn.XLOOKUP(E707,[3]Sheet1!$A$2:$A$391,[3]Sheet1!$A$2:$A$391)</f>
        <v>PO10047</v>
      </c>
    </row>
    <row r="708" spans="1:14" x14ac:dyDescent="0.2">
      <c r="A708" t="s">
        <v>717</v>
      </c>
      <c r="B708" s="2">
        <v>46258</v>
      </c>
      <c r="C708" t="s">
        <v>2940</v>
      </c>
      <c r="D708" t="s">
        <v>2948</v>
      </c>
      <c r="E708" t="s">
        <v>2997</v>
      </c>
      <c r="F708" s="3">
        <v>46258.267541147667</v>
      </c>
      <c r="G708" s="3">
        <v>46258.269431834167</v>
      </c>
      <c r="H708">
        <v>2.72</v>
      </c>
      <c r="I708" t="s">
        <v>3147</v>
      </c>
      <c r="J708" t="s">
        <v>3153</v>
      </c>
      <c r="K708" t="s">
        <v>3172</v>
      </c>
      <c r="L708" t="str">
        <f>_xlfn.XLOOKUP(C708,[1]!Table1[Shift_ID],[1]!Table1[Shift_ID])</f>
        <v>S01</v>
      </c>
      <c r="M708" t="str">
        <f>_xlfn.XLOOKUP(D708,[2]!Table1[Machine_ID],[2]!Table1[Machine_ID])</f>
        <v>M007</v>
      </c>
      <c r="N708" t="str">
        <f>_xlfn.XLOOKUP(E708,[3]Sheet1!$A$2:$A$391,[3]Sheet1!$A$2:$A$391)</f>
        <v>PO10047</v>
      </c>
    </row>
    <row r="709" spans="1:14" x14ac:dyDescent="0.2">
      <c r="A709" t="s">
        <v>718</v>
      </c>
      <c r="B709" s="2">
        <v>46258</v>
      </c>
      <c r="C709" t="s">
        <v>2940</v>
      </c>
      <c r="D709" t="s">
        <v>2948</v>
      </c>
      <c r="E709" t="s">
        <v>2997</v>
      </c>
      <c r="F709" s="3">
        <v>46258.268572521803</v>
      </c>
      <c r="G709" s="3">
        <v>46258.274117464898</v>
      </c>
      <c r="H709">
        <v>7.98</v>
      </c>
      <c r="I709" t="s">
        <v>3147</v>
      </c>
      <c r="J709" t="s">
        <v>3154</v>
      </c>
      <c r="K709" t="s">
        <v>3185</v>
      </c>
      <c r="L709" t="str">
        <f>_xlfn.XLOOKUP(C709,[1]!Table1[Shift_ID],[1]!Table1[Shift_ID])</f>
        <v>S01</v>
      </c>
      <c r="M709" t="str">
        <f>_xlfn.XLOOKUP(D709,[2]!Table1[Machine_ID],[2]!Table1[Machine_ID])</f>
        <v>M007</v>
      </c>
      <c r="N709" t="str">
        <f>_xlfn.XLOOKUP(E709,[3]Sheet1!$A$2:$A$391,[3]Sheet1!$A$2:$A$391)</f>
        <v>PO10047</v>
      </c>
    </row>
    <row r="710" spans="1:14" x14ac:dyDescent="0.2">
      <c r="A710" t="s">
        <v>719</v>
      </c>
      <c r="B710" s="2">
        <v>46258</v>
      </c>
      <c r="C710" t="s">
        <v>2940</v>
      </c>
      <c r="D710" t="s">
        <v>2948</v>
      </c>
      <c r="E710" t="s">
        <v>2997</v>
      </c>
      <c r="F710" s="3">
        <v>46258.362417106378</v>
      </c>
      <c r="G710" s="3">
        <v>46258.370180054822</v>
      </c>
      <c r="H710">
        <v>11.18</v>
      </c>
      <c r="I710" t="s">
        <v>3150</v>
      </c>
      <c r="J710" t="s">
        <v>3163</v>
      </c>
      <c r="K710" t="s">
        <v>3179</v>
      </c>
      <c r="L710" t="str">
        <f>_xlfn.XLOOKUP(C710,[1]!Table1[Shift_ID],[1]!Table1[Shift_ID])</f>
        <v>S01</v>
      </c>
      <c r="M710" t="str">
        <f>_xlfn.XLOOKUP(D710,[2]!Table1[Machine_ID],[2]!Table1[Machine_ID])</f>
        <v>M007</v>
      </c>
      <c r="N710" t="str">
        <f>_xlfn.XLOOKUP(E710,[3]Sheet1!$A$2:$A$391,[3]Sheet1!$A$2:$A$391)</f>
        <v>PO10047</v>
      </c>
    </row>
    <row r="711" spans="1:14" x14ac:dyDescent="0.2">
      <c r="A711" t="s">
        <v>720</v>
      </c>
      <c r="B711" s="2">
        <v>46258</v>
      </c>
      <c r="C711" t="s">
        <v>2940</v>
      </c>
      <c r="D711" t="s">
        <v>2949</v>
      </c>
      <c r="E711" t="s">
        <v>2997</v>
      </c>
      <c r="F711" s="3">
        <v>46258.485447292172</v>
      </c>
      <c r="G711" s="3">
        <v>46258.492337805888</v>
      </c>
      <c r="H711">
        <v>9.92</v>
      </c>
      <c r="I711" t="s">
        <v>3148</v>
      </c>
      <c r="J711" t="s">
        <v>3155</v>
      </c>
      <c r="K711" t="s">
        <v>3173</v>
      </c>
      <c r="L711" t="str">
        <f>_xlfn.XLOOKUP(C711,[1]!Table1[Shift_ID],[1]!Table1[Shift_ID])</f>
        <v>S01</v>
      </c>
      <c r="M711" t="str">
        <f>_xlfn.XLOOKUP(D711,[2]!Table1[Machine_ID],[2]!Table1[Machine_ID])</f>
        <v>M008</v>
      </c>
      <c r="N711" t="str">
        <f>_xlfn.XLOOKUP(E711,[3]Sheet1!$A$2:$A$391,[3]Sheet1!$A$2:$A$391)</f>
        <v>PO10047</v>
      </c>
    </row>
    <row r="712" spans="1:14" x14ac:dyDescent="0.2">
      <c r="A712" t="s">
        <v>721</v>
      </c>
      <c r="B712" s="2">
        <v>46258</v>
      </c>
      <c r="C712" t="s">
        <v>2941</v>
      </c>
      <c r="D712" t="s">
        <v>2942</v>
      </c>
      <c r="E712" t="s">
        <v>2998</v>
      </c>
      <c r="F712" s="3">
        <v>46258.878451045901</v>
      </c>
      <c r="G712" s="3">
        <v>46258.884972544212</v>
      </c>
      <c r="H712">
        <v>9.39</v>
      </c>
      <c r="I712" t="s">
        <v>3151</v>
      </c>
      <c r="J712" t="s">
        <v>3169</v>
      </c>
      <c r="K712" t="s">
        <v>3187</v>
      </c>
      <c r="L712" t="str">
        <f>_xlfn.XLOOKUP(C712,[1]!Table1[Shift_ID],[1]!Table1[Shift_ID])</f>
        <v>S02</v>
      </c>
      <c r="M712" t="str">
        <f>_xlfn.XLOOKUP(D712,[2]!Table1[Machine_ID],[2]!Table1[Machine_ID])</f>
        <v>M001</v>
      </c>
      <c r="N712" t="str">
        <f>_xlfn.XLOOKUP(E712,[3]Sheet1!$A$2:$A$391,[3]Sheet1!$A$2:$A$391)</f>
        <v>PO10048</v>
      </c>
    </row>
    <row r="713" spans="1:14" x14ac:dyDescent="0.2">
      <c r="A713" t="s">
        <v>722</v>
      </c>
      <c r="B713" s="2">
        <v>46258</v>
      </c>
      <c r="C713" t="s">
        <v>2941</v>
      </c>
      <c r="D713" t="s">
        <v>2943</v>
      </c>
      <c r="E713" t="s">
        <v>2998</v>
      </c>
      <c r="F713" s="3">
        <v>46258.599463893886</v>
      </c>
      <c r="G713" s="3">
        <v>46258.608284753667</v>
      </c>
      <c r="H713">
        <v>12.7</v>
      </c>
      <c r="I713" t="s">
        <v>3149</v>
      </c>
      <c r="J713" t="s">
        <v>3162</v>
      </c>
      <c r="K713" t="s">
        <v>3176</v>
      </c>
      <c r="L713" t="str">
        <f>_xlfn.XLOOKUP(C713,[1]!Table1[Shift_ID],[1]!Table1[Shift_ID])</f>
        <v>S02</v>
      </c>
      <c r="M713" t="str">
        <f>_xlfn.XLOOKUP(D713,[2]!Table1[Machine_ID],[2]!Table1[Machine_ID])</f>
        <v>M002</v>
      </c>
      <c r="N713" t="str">
        <f>_xlfn.XLOOKUP(E713,[3]Sheet1!$A$2:$A$391,[3]Sheet1!$A$2:$A$391)</f>
        <v>PO10048</v>
      </c>
    </row>
    <row r="714" spans="1:14" x14ac:dyDescent="0.2">
      <c r="A714" t="s">
        <v>723</v>
      </c>
      <c r="B714" s="2">
        <v>46258</v>
      </c>
      <c r="C714" t="s">
        <v>2941</v>
      </c>
      <c r="D714" t="s">
        <v>2944</v>
      </c>
      <c r="E714" t="s">
        <v>2998</v>
      </c>
      <c r="F714" s="3">
        <v>46258.64196172564</v>
      </c>
      <c r="G714" s="3">
        <v>46258.643817248543</v>
      </c>
      <c r="H714">
        <v>2.67</v>
      </c>
      <c r="I714" t="s">
        <v>3147</v>
      </c>
      <c r="J714" t="s">
        <v>3167</v>
      </c>
      <c r="K714" t="s">
        <v>3186</v>
      </c>
      <c r="L714" t="str">
        <f>_xlfn.XLOOKUP(C714,[1]!Table1[Shift_ID],[1]!Table1[Shift_ID])</f>
        <v>S02</v>
      </c>
      <c r="M714" t="str">
        <f>_xlfn.XLOOKUP(D714,[2]!Table1[Machine_ID],[2]!Table1[Machine_ID])</f>
        <v>M003</v>
      </c>
      <c r="N714" t="str">
        <f>_xlfn.XLOOKUP(E714,[3]Sheet1!$A$2:$A$391,[3]Sheet1!$A$2:$A$391)</f>
        <v>PO10048</v>
      </c>
    </row>
    <row r="715" spans="1:14" x14ac:dyDescent="0.2">
      <c r="A715" t="s">
        <v>724</v>
      </c>
      <c r="B715" s="2">
        <v>46258</v>
      </c>
      <c r="C715" t="s">
        <v>2941</v>
      </c>
      <c r="D715" t="s">
        <v>2944</v>
      </c>
      <c r="E715" t="s">
        <v>2998</v>
      </c>
      <c r="F715" s="3">
        <v>46258.675252690176</v>
      </c>
      <c r="G715" s="3">
        <v>46258.678004313588</v>
      </c>
      <c r="H715">
        <v>3.96</v>
      </c>
      <c r="I715" t="s">
        <v>3150</v>
      </c>
      <c r="J715" t="s">
        <v>3160</v>
      </c>
      <c r="K715" t="s">
        <v>3178</v>
      </c>
      <c r="L715" t="str">
        <f>_xlfn.XLOOKUP(C715,[1]!Table1[Shift_ID],[1]!Table1[Shift_ID])</f>
        <v>S02</v>
      </c>
      <c r="M715" t="str">
        <f>_xlfn.XLOOKUP(D715,[2]!Table1[Machine_ID],[2]!Table1[Machine_ID])</f>
        <v>M003</v>
      </c>
      <c r="N715" t="str">
        <f>_xlfn.XLOOKUP(E715,[3]Sheet1!$A$2:$A$391,[3]Sheet1!$A$2:$A$391)</f>
        <v>PO10048</v>
      </c>
    </row>
    <row r="716" spans="1:14" x14ac:dyDescent="0.2">
      <c r="A716" t="s">
        <v>725</v>
      </c>
      <c r="B716" s="2">
        <v>46258</v>
      </c>
      <c r="C716" t="s">
        <v>2941</v>
      </c>
      <c r="D716" t="s">
        <v>2944</v>
      </c>
      <c r="E716" t="s">
        <v>2998</v>
      </c>
      <c r="F716" s="3">
        <v>46258.735080576073</v>
      </c>
      <c r="G716" s="3">
        <v>46258.740222479952</v>
      </c>
      <c r="H716">
        <v>7.4</v>
      </c>
      <c r="I716" t="s">
        <v>3147</v>
      </c>
      <c r="J716" t="s">
        <v>3154</v>
      </c>
      <c r="K716" t="s">
        <v>3186</v>
      </c>
      <c r="L716" t="str">
        <f>_xlfn.XLOOKUP(C716,[1]!Table1[Shift_ID],[1]!Table1[Shift_ID])</f>
        <v>S02</v>
      </c>
      <c r="M716" t="str">
        <f>_xlfn.XLOOKUP(D716,[2]!Table1[Machine_ID],[2]!Table1[Machine_ID])</f>
        <v>M003</v>
      </c>
      <c r="N716" t="str">
        <f>_xlfn.XLOOKUP(E716,[3]Sheet1!$A$2:$A$391,[3]Sheet1!$A$2:$A$391)</f>
        <v>PO10048</v>
      </c>
    </row>
    <row r="717" spans="1:14" x14ac:dyDescent="0.2">
      <c r="A717" t="s">
        <v>726</v>
      </c>
      <c r="B717" s="2">
        <v>46258</v>
      </c>
      <c r="C717" t="s">
        <v>2941</v>
      </c>
      <c r="D717" t="s">
        <v>2945</v>
      </c>
      <c r="E717" t="s">
        <v>2998</v>
      </c>
      <c r="F717" s="3">
        <v>46258.670360426979</v>
      </c>
      <c r="G717" s="3">
        <v>46258.678343791733</v>
      </c>
      <c r="H717">
        <v>11.5</v>
      </c>
      <c r="I717" t="s">
        <v>3151</v>
      </c>
      <c r="J717" t="s">
        <v>3170</v>
      </c>
      <c r="K717" t="s">
        <v>3188</v>
      </c>
      <c r="L717" t="str">
        <f>_xlfn.XLOOKUP(C717,[1]!Table1[Shift_ID],[1]!Table1[Shift_ID])</f>
        <v>S02</v>
      </c>
      <c r="M717" t="str">
        <f>_xlfn.XLOOKUP(D717,[2]!Table1[Machine_ID],[2]!Table1[Machine_ID])</f>
        <v>M004</v>
      </c>
      <c r="N717" t="str">
        <f>_xlfn.XLOOKUP(E717,[3]Sheet1!$A$2:$A$391,[3]Sheet1!$A$2:$A$391)</f>
        <v>PO10048</v>
      </c>
    </row>
    <row r="718" spans="1:14" x14ac:dyDescent="0.2">
      <c r="A718" t="s">
        <v>727</v>
      </c>
      <c r="B718" s="2">
        <v>46258</v>
      </c>
      <c r="C718" t="s">
        <v>2941</v>
      </c>
      <c r="D718" t="s">
        <v>2946</v>
      </c>
      <c r="E718" t="s">
        <v>2998</v>
      </c>
      <c r="F718" s="3">
        <v>46258.694567618317</v>
      </c>
      <c r="G718" s="3">
        <v>46258.697168650127</v>
      </c>
      <c r="H718">
        <v>3.75</v>
      </c>
      <c r="I718" t="s">
        <v>3149</v>
      </c>
      <c r="J718" t="s">
        <v>3168</v>
      </c>
      <c r="K718" t="s">
        <v>3176</v>
      </c>
      <c r="L718" t="str">
        <f>_xlfn.XLOOKUP(C718,[1]!Table1[Shift_ID],[1]!Table1[Shift_ID])</f>
        <v>S02</v>
      </c>
      <c r="M718" t="str">
        <f>_xlfn.XLOOKUP(D718,[2]!Table1[Machine_ID],[2]!Table1[Machine_ID])</f>
        <v>M005</v>
      </c>
      <c r="N718" t="str">
        <f>_xlfn.XLOOKUP(E718,[3]Sheet1!$A$2:$A$391,[3]Sheet1!$A$2:$A$391)</f>
        <v>PO10048</v>
      </c>
    </row>
    <row r="719" spans="1:14" x14ac:dyDescent="0.2">
      <c r="A719" t="s">
        <v>728</v>
      </c>
      <c r="B719" s="2">
        <v>46258</v>
      </c>
      <c r="C719" t="s">
        <v>2941</v>
      </c>
      <c r="D719" t="s">
        <v>2946</v>
      </c>
      <c r="E719" t="s">
        <v>2998</v>
      </c>
      <c r="F719" s="3">
        <v>46258.752003621252</v>
      </c>
      <c r="G719" s="3">
        <v>46258.756542095878</v>
      </c>
      <c r="H719">
        <v>6.54</v>
      </c>
      <c r="I719" t="s">
        <v>3149</v>
      </c>
      <c r="J719" t="s">
        <v>3158</v>
      </c>
      <c r="K719" t="s">
        <v>3182</v>
      </c>
      <c r="L719" t="str">
        <f>_xlfn.XLOOKUP(C719,[1]!Table1[Shift_ID],[1]!Table1[Shift_ID])</f>
        <v>S02</v>
      </c>
      <c r="M719" t="str">
        <f>_xlfn.XLOOKUP(D719,[2]!Table1[Machine_ID],[2]!Table1[Machine_ID])</f>
        <v>M005</v>
      </c>
      <c r="N719" t="str">
        <f>_xlfn.XLOOKUP(E719,[3]Sheet1!$A$2:$A$391,[3]Sheet1!$A$2:$A$391)</f>
        <v>PO10048</v>
      </c>
    </row>
    <row r="720" spans="1:14" x14ac:dyDescent="0.2">
      <c r="A720" t="s">
        <v>729</v>
      </c>
      <c r="B720" s="2">
        <v>46258</v>
      </c>
      <c r="C720" t="s">
        <v>2941</v>
      </c>
      <c r="D720" t="s">
        <v>2947</v>
      </c>
      <c r="E720" t="s">
        <v>2998</v>
      </c>
      <c r="F720" s="3">
        <v>46258.794032585363</v>
      </c>
      <c r="G720" s="3">
        <v>46258.821994788777</v>
      </c>
      <c r="H720">
        <v>40.270000000000003</v>
      </c>
      <c r="I720" t="s">
        <v>3148</v>
      </c>
      <c r="J720" t="s">
        <v>3155</v>
      </c>
      <c r="K720" t="s">
        <v>3183</v>
      </c>
      <c r="L720" t="str">
        <f>_xlfn.XLOOKUP(C720,[1]!Table1[Shift_ID],[1]!Table1[Shift_ID])</f>
        <v>S02</v>
      </c>
      <c r="M720" t="str">
        <f>_xlfn.XLOOKUP(D720,[2]!Table1[Machine_ID],[2]!Table1[Machine_ID])</f>
        <v>M006</v>
      </c>
      <c r="N720" t="str">
        <f>_xlfn.XLOOKUP(E720,[3]Sheet1!$A$2:$A$391,[3]Sheet1!$A$2:$A$391)</f>
        <v>PO10048</v>
      </c>
    </row>
    <row r="721" spans="1:14" x14ac:dyDescent="0.2">
      <c r="A721" t="s">
        <v>730</v>
      </c>
      <c r="B721" s="2">
        <v>46258</v>
      </c>
      <c r="C721" t="s">
        <v>2941</v>
      </c>
      <c r="D721" t="s">
        <v>2948</v>
      </c>
      <c r="E721" t="s">
        <v>2998</v>
      </c>
      <c r="F721" s="3">
        <v>46258.857736378319</v>
      </c>
      <c r="G721" s="3">
        <v>46258.871844131318</v>
      </c>
      <c r="H721">
        <v>20.32</v>
      </c>
      <c r="I721" t="s">
        <v>3148</v>
      </c>
      <c r="J721" t="s">
        <v>3155</v>
      </c>
      <c r="K721" t="s">
        <v>3173</v>
      </c>
      <c r="L721" t="str">
        <f>_xlfn.XLOOKUP(C721,[1]!Table1[Shift_ID],[1]!Table1[Shift_ID])</f>
        <v>S02</v>
      </c>
      <c r="M721" t="str">
        <f>_xlfn.XLOOKUP(D721,[2]!Table1[Machine_ID],[2]!Table1[Machine_ID])</f>
        <v>M007</v>
      </c>
      <c r="N721" t="str">
        <f>_xlfn.XLOOKUP(E721,[3]Sheet1!$A$2:$A$391,[3]Sheet1!$A$2:$A$391)</f>
        <v>PO10048</v>
      </c>
    </row>
    <row r="722" spans="1:14" x14ac:dyDescent="0.2">
      <c r="A722" t="s">
        <v>731</v>
      </c>
      <c r="B722" s="2">
        <v>46258</v>
      </c>
      <c r="C722" t="s">
        <v>2941</v>
      </c>
      <c r="D722" t="s">
        <v>2949</v>
      </c>
      <c r="E722" t="s">
        <v>2998</v>
      </c>
      <c r="F722" s="3">
        <v>46258.783499561338</v>
      </c>
      <c r="G722" s="3">
        <v>46258.788578071653</v>
      </c>
      <c r="H722">
        <v>7.31</v>
      </c>
      <c r="I722" t="s">
        <v>3148</v>
      </c>
      <c r="J722" t="s">
        <v>3155</v>
      </c>
      <c r="K722" t="s">
        <v>3173</v>
      </c>
      <c r="L722" t="str">
        <f>_xlfn.XLOOKUP(C722,[1]!Table1[Shift_ID],[1]!Table1[Shift_ID])</f>
        <v>S02</v>
      </c>
      <c r="M722" t="str">
        <f>_xlfn.XLOOKUP(D722,[2]!Table1[Machine_ID],[2]!Table1[Machine_ID])</f>
        <v>M008</v>
      </c>
      <c r="N722" t="str">
        <f>_xlfn.XLOOKUP(E722,[3]Sheet1!$A$2:$A$391,[3]Sheet1!$A$2:$A$391)</f>
        <v>PO10048</v>
      </c>
    </row>
    <row r="723" spans="1:14" x14ac:dyDescent="0.2">
      <c r="A723" t="s">
        <v>732</v>
      </c>
      <c r="B723" s="2">
        <v>46259</v>
      </c>
      <c r="C723" t="s">
        <v>2939</v>
      </c>
      <c r="D723" t="s">
        <v>2942</v>
      </c>
      <c r="E723" t="s">
        <v>2999</v>
      </c>
      <c r="F723" s="3">
        <v>46260.113152046099</v>
      </c>
      <c r="G723" s="3">
        <v>46260.118321596368</v>
      </c>
      <c r="H723">
        <v>7.44</v>
      </c>
      <c r="I723" t="s">
        <v>3151</v>
      </c>
      <c r="J723" t="s">
        <v>3169</v>
      </c>
      <c r="K723" t="s">
        <v>3187</v>
      </c>
      <c r="L723" t="str">
        <f>_xlfn.XLOOKUP(C723,[1]!Table1[Shift_ID],[1]!Table1[Shift_ID])</f>
        <v>S03</v>
      </c>
      <c r="M723" t="str">
        <f>_xlfn.XLOOKUP(D723,[2]!Table1[Machine_ID],[2]!Table1[Machine_ID])</f>
        <v>M001</v>
      </c>
      <c r="N723" t="str">
        <f>_xlfn.XLOOKUP(E723,[3]Sheet1!$A$2:$A$391,[3]Sheet1!$A$2:$A$391)</f>
        <v>PO10049</v>
      </c>
    </row>
    <row r="724" spans="1:14" x14ac:dyDescent="0.2">
      <c r="A724" t="s">
        <v>733</v>
      </c>
      <c r="B724" s="2">
        <v>46259</v>
      </c>
      <c r="C724" t="s">
        <v>2939</v>
      </c>
      <c r="D724" t="s">
        <v>2943</v>
      </c>
      <c r="E724" t="s">
        <v>2999</v>
      </c>
      <c r="F724" s="3">
        <v>46260.141774153133</v>
      </c>
      <c r="G724" s="3">
        <v>46260.150187624713</v>
      </c>
      <c r="H724">
        <v>12.12</v>
      </c>
      <c r="I724" t="s">
        <v>3149</v>
      </c>
      <c r="J724" t="s">
        <v>3168</v>
      </c>
      <c r="K724" t="s">
        <v>3182</v>
      </c>
      <c r="L724" t="str">
        <f>_xlfn.XLOOKUP(C724,[1]!Table1[Shift_ID],[1]!Table1[Shift_ID])</f>
        <v>S03</v>
      </c>
      <c r="M724" t="str">
        <f>_xlfn.XLOOKUP(D724,[2]!Table1[Machine_ID],[2]!Table1[Machine_ID])</f>
        <v>M002</v>
      </c>
      <c r="N724" t="str">
        <f>_xlfn.XLOOKUP(E724,[3]Sheet1!$A$2:$A$391,[3]Sheet1!$A$2:$A$391)</f>
        <v>PO10049</v>
      </c>
    </row>
    <row r="725" spans="1:14" x14ac:dyDescent="0.2">
      <c r="A725" t="s">
        <v>734</v>
      </c>
      <c r="B725" s="2">
        <v>46259</v>
      </c>
      <c r="C725" t="s">
        <v>2939</v>
      </c>
      <c r="D725" t="s">
        <v>2944</v>
      </c>
      <c r="E725" t="s">
        <v>2999</v>
      </c>
      <c r="F725" s="3">
        <v>46260.214775283537</v>
      </c>
      <c r="G725" s="3">
        <v>46260.225936579482</v>
      </c>
      <c r="H725">
        <v>16.07</v>
      </c>
      <c r="I725" t="s">
        <v>3146</v>
      </c>
      <c r="J725" t="s">
        <v>3152</v>
      </c>
      <c r="K725" t="s">
        <v>3175</v>
      </c>
      <c r="L725" t="str">
        <f>_xlfn.XLOOKUP(C725,[1]!Table1[Shift_ID],[1]!Table1[Shift_ID])</f>
        <v>S03</v>
      </c>
      <c r="M725" t="str">
        <f>_xlfn.XLOOKUP(D725,[2]!Table1[Machine_ID],[2]!Table1[Machine_ID])</f>
        <v>M003</v>
      </c>
      <c r="N725" t="str">
        <f>_xlfn.XLOOKUP(E725,[3]Sheet1!$A$2:$A$391,[3]Sheet1!$A$2:$A$391)</f>
        <v>PO10049</v>
      </c>
    </row>
    <row r="726" spans="1:14" x14ac:dyDescent="0.2">
      <c r="A726" t="s">
        <v>735</v>
      </c>
      <c r="B726" s="2">
        <v>46259</v>
      </c>
      <c r="C726" t="s">
        <v>2939</v>
      </c>
      <c r="D726" t="s">
        <v>2945</v>
      </c>
      <c r="E726" t="s">
        <v>2999</v>
      </c>
      <c r="F726" s="3">
        <v>46260.026356991402</v>
      </c>
      <c r="G726" s="3">
        <v>46260.032890692913</v>
      </c>
      <c r="H726">
        <v>9.41</v>
      </c>
      <c r="I726" t="s">
        <v>3149</v>
      </c>
      <c r="J726" t="s">
        <v>3158</v>
      </c>
      <c r="K726" t="s">
        <v>3176</v>
      </c>
      <c r="L726" t="str">
        <f>_xlfn.XLOOKUP(C726,[1]!Table1[Shift_ID],[1]!Table1[Shift_ID])</f>
        <v>S03</v>
      </c>
      <c r="M726" t="str">
        <f>_xlfn.XLOOKUP(D726,[2]!Table1[Machine_ID],[2]!Table1[Machine_ID])</f>
        <v>M004</v>
      </c>
      <c r="N726" t="str">
        <f>_xlfn.XLOOKUP(E726,[3]Sheet1!$A$2:$A$391,[3]Sheet1!$A$2:$A$391)</f>
        <v>PO10049</v>
      </c>
    </row>
    <row r="727" spans="1:14" x14ac:dyDescent="0.2">
      <c r="A727" t="s">
        <v>736</v>
      </c>
      <c r="B727" s="2">
        <v>46259</v>
      </c>
      <c r="C727" t="s">
        <v>2939</v>
      </c>
      <c r="D727" t="s">
        <v>2946</v>
      </c>
      <c r="E727" t="s">
        <v>2999</v>
      </c>
      <c r="F727" s="3">
        <v>46260.025360577478</v>
      </c>
      <c r="G727" s="3">
        <v>46260.028364104997</v>
      </c>
      <c r="H727">
        <v>4.33</v>
      </c>
      <c r="I727" t="s">
        <v>3148</v>
      </c>
      <c r="J727" t="s">
        <v>3165</v>
      </c>
      <c r="K727" t="s">
        <v>3173</v>
      </c>
      <c r="L727" t="str">
        <f>_xlfn.XLOOKUP(C727,[1]!Table1[Shift_ID],[1]!Table1[Shift_ID])</f>
        <v>S03</v>
      </c>
      <c r="M727" t="str">
        <f>_xlfn.XLOOKUP(D727,[2]!Table1[Machine_ID],[2]!Table1[Machine_ID])</f>
        <v>M005</v>
      </c>
      <c r="N727" t="str">
        <f>_xlfn.XLOOKUP(E727,[3]Sheet1!$A$2:$A$391,[3]Sheet1!$A$2:$A$391)</f>
        <v>PO10049</v>
      </c>
    </row>
    <row r="728" spans="1:14" x14ac:dyDescent="0.2">
      <c r="A728" t="s">
        <v>737</v>
      </c>
      <c r="B728" s="2">
        <v>46259</v>
      </c>
      <c r="C728" t="s">
        <v>2939</v>
      </c>
      <c r="D728" t="s">
        <v>2946</v>
      </c>
      <c r="E728" t="s">
        <v>2999</v>
      </c>
      <c r="F728" s="3">
        <v>46260.045214815022</v>
      </c>
      <c r="G728" s="3">
        <v>46260.046806505503</v>
      </c>
      <c r="H728">
        <v>2.29</v>
      </c>
      <c r="I728" t="s">
        <v>3147</v>
      </c>
      <c r="J728" t="s">
        <v>3154</v>
      </c>
      <c r="K728" t="s">
        <v>3185</v>
      </c>
      <c r="L728" t="str">
        <f>_xlfn.XLOOKUP(C728,[1]!Table1[Shift_ID],[1]!Table1[Shift_ID])</f>
        <v>S03</v>
      </c>
      <c r="M728" t="str">
        <f>_xlfn.XLOOKUP(D728,[2]!Table1[Machine_ID],[2]!Table1[Machine_ID])</f>
        <v>M005</v>
      </c>
      <c r="N728" t="str">
        <f>_xlfn.XLOOKUP(E728,[3]Sheet1!$A$2:$A$391,[3]Sheet1!$A$2:$A$391)</f>
        <v>PO10049</v>
      </c>
    </row>
    <row r="729" spans="1:14" x14ac:dyDescent="0.2">
      <c r="A729" t="s">
        <v>738</v>
      </c>
      <c r="B729" s="2">
        <v>46259</v>
      </c>
      <c r="C729" t="s">
        <v>2939</v>
      </c>
      <c r="D729" t="s">
        <v>2946</v>
      </c>
      <c r="E729" t="s">
        <v>2999</v>
      </c>
      <c r="F729" s="3">
        <v>46260.128745782931</v>
      </c>
      <c r="G729" s="3">
        <v>46260.130878662152</v>
      </c>
      <c r="H729">
        <v>3.07</v>
      </c>
      <c r="I729" t="s">
        <v>3149</v>
      </c>
      <c r="J729" t="s">
        <v>3168</v>
      </c>
      <c r="K729" t="s">
        <v>3184</v>
      </c>
      <c r="L729" t="str">
        <f>_xlfn.XLOOKUP(C729,[1]!Table1[Shift_ID],[1]!Table1[Shift_ID])</f>
        <v>S03</v>
      </c>
      <c r="M729" t="str">
        <f>_xlfn.XLOOKUP(D729,[2]!Table1[Machine_ID],[2]!Table1[Machine_ID])</f>
        <v>M005</v>
      </c>
      <c r="N729" t="str">
        <f>_xlfn.XLOOKUP(E729,[3]Sheet1!$A$2:$A$391,[3]Sheet1!$A$2:$A$391)</f>
        <v>PO10049</v>
      </c>
    </row>
    <row r="730" spans="1:14" x14ac:dyDescent="0.2">
      <c r="A730" t="s">
        <v>739</v>
      </c>
      <c r="B730" s="2">
        <v>46259</v>
      </c>
      <c r="C730" t="s">
        <v>2939</v>
      </c>
      <c r="D730" t="s">
        <v>2947</v>
      </c>
      <c r="E730" t="s">
        <v>2999</v>
      </c>
      <c r="F730" s="3">
        <v>46259.921940836073</v>
      </c>
      <c r="G730" s="3">
        <v>46259.924145433353</v>
      </c>
      <c r="H730">
        <v>3.17</v>
      </c>
      <c r="I730" t="s">
        <v>3146</v>
      </c>
      <c r="J730" t="s">
        <v>3157</v>
      </c>
      <c r="K730" t="s">
        <v>3171</v>
      </c>
      <c r="L730" t="str">
        <f>_xlfn.XLOOKUP(C730,[1]!Table1[Shift_ID],[1]!Table1[Shift_ID])</f>
        <v>S03</v>
      </c>
      <c r="M730" t="str">
        <f>_xlfn.XLOOKUP(D730,[2]!Table1[Machine_ID],[2]!Table1[Machine_ID])</f>
        <v>M006</v>
      </c>
      <c r="N730" t="str">
        <f>_xlfn.XLOOKUP(E730,[3]Sheet1!$A$2:$A$391,[3]Sheet1!$A$2:$A$391)</f>
        <v>PO10049</v>
      </c>
    </row>
    <row r="731" spans="1:14" x14ac:dyDescent="0.2">
      <c r="A731" t="s">
        <v>740</v>
      </c>
      <c r="B731" s="2">
        <v>46259</v>
      </c>
      <c r="C731" t="s">
        <v>2939</v>
      </c>
      <c r="D731" t="s">
        <v>2947</v>
      </c>
      <c r="E731" t="s">
        <v>2999</v>
      </c>
      <c r="F731" s="3">
        <v>46260.046917466461</v>
      </c>
      <c r="G731" s="3">
        <v>46260.059306191019</v>
      </c>
      <c r="H731">
        <v>17.84</v>
      </c>
      <c r="I731" t="s">
        <v>3150</v>
      </c>
      <c r="J731" t="s">
        <v>3163</v>
      </c>
      <c r="K731" t="s">
        <v>3179</v>
      </c>
      <c r="L731" t="str">
        <f>_xlfn.XLOOKUP(C731,[1]!Table1[Shift_ID],[1]!Table1[Shift_ID])</f>
        <v>S03</v>
      </c>
      <c r="M731" t="str">
        <f>_xlfn.XLOOKUP(D731,[2]!Table1[Machine_ID],[2]!Table1[Machine_ID])</f>
        <v>M006</v>
      </c>
      <c r="N731" t="str">
        <f>_xlfn.XLOOKUP(E731,[3]Sheet1!$A$2:$A$391,[3]Sheet1!$A$2:$A$391)</f>
        <v>PO10049</v>
      </c>
    </row>
    <row r="732" spans="1:14" x14ac:dyDescent="0.2">
      <c r="A732" t="s">
        <v>741</v>
      </c>
      <c r="B732" s="2">
        <v>46259</v>
      </c>
      <c r="C732" t="s">
        <v>2939</v>
      </c>
      <c r="D732" t="s">
        <v>2947</v>
      </c>
      <c r="E732" t="s">
        <v>2999</v>
      </c>
      <c r="F732" s="3">
        <v>46260.133696888937</v>
      </c>
      <c r="G732" s="3">
        <v>46260.140004379507</v>
      </c>
      <c r="H732">
        <v>9.08</v>
      </c>
      <c r="I732" t="s">
        <v>3150</v>
      </c>
      <c r="J732" t="s">
        <v>3159</v>
      </c>
      <c r="K732" t="s">
        <v>3177</v>
      </c>
      <c r="L732" t="str">
        <f>_xlfn.XLOOKUP(C732,[1]!Table1[Shift_ID],[1]!Table1[Shift_ID])</f>
        <v>S03</v>
      </c>
      <c r="M732" t="str">
        <f>_xlfn.XLOOKUP(D732,[2]!Table1[Machine_ID],[2]!Table1[Machine_ID])</f>
        <v>M006</v>
      </c>
      <c r="N732" t="str">
        <f>_xlfn.XLOOKUP(E732,[3]Sheet1!$A$2:$A$391,[3]Sheet1!$A$2:$A$391)</f>
        <v>PO10049</v>
      </c>
    </row>
    <row r="733" spans="1:14" x14ac:dyDescent="0.2">
      <c r="A733" t="s">
        <v>742</v>
      </c>
      <c r="B733" s="2">
        <v>46259</v>
      </c>
      <c r="C733" t="s">
        <v>2939</v>
      </c>
      <c r="D733" t="s">
        <v>2948</v>
      </c>
      <c r="E733" t="s">
        <v>2999</v>
      </c>
      <c r="F733" s="3">
        <v>46259.955619413056</v>
      </c>
      <c r="G733" s="3">
        <v>46259.966845111572</v>
      </c>
      <c r="H733">
        <v>16.170000000000002</v>
      </c>
      <c r="I733" t="s">
        <v>3150</v>
      </c>
      <c r="J733" t="s">
        <v>3163</v>
      </c>
      <c r="K733" t="s">
        <v>3179</v>
      </c>
      <c r="L733" t="str">
        <f>_xlfn.XLOOKUP(C733,[1]!Table1[Shift_ID],[1]!Table1[Shift_ID])</f>
        <v>S03</v>
      </c>
      <c r="M733" t="str">
        <f>_xlfn.XLOOKUP(D733,[2]!Table1[Machine_ID],[2]!Table1[Machine_ID])</f>
        <v>M007</v>
      </c>
      <c r="N733" t="str">
        <f>_xlfn.XLOOKUP(E733,[3]Sheet1!$A$2:$A$391,[3]Sheet1!$A$2:$A$391)</f>
        <v>PO10049</v>
      </c>
    </row>
    <row r="734" spans="1:14" x14ac:dyDescent="0.2">
      <c r="A734" t="s">
        <v>743</v>
      </c>
      <c r="B734" s="2">
        <v>46259</v>
      </c>
      <c r="C734" t="s">
        <v>2939</v>
      </c>
      <c r="D734" t="s">
        <v>2949</v>
      </c>
      <c r="E734" t="s">
        <v>2999</v>
      </c>
      <c r="F734" s="3">
        <v>46259.951649875176</v>
      </c>
      <c r="G734" s="3">
        <v>46259.955496316077</v>
      </c>
      <c r="H734">
        <v>5.54</v>
      </c>
      <c r="I734" t="s">
        <v>3150</v>
      </c>
      <c r="J734" t="s">
        <v>3159</v>
      </c>
      <c r="K734" t="s">
        <v>3179</v>
      </c>
      <c r="L734" t="str">
        <f>_xlfn.XLOOKUP(C734,[1]!Table1[Shift_ID],[1]!Table1[Shift_ID])</f>
        <v>S03</v>
      </c>
      <c r="M734" t="str">
        <f>_xlfn.XLOOKUP(D734,[2]!Table1[Machine_ID],[2]!Table1[Machine_ID])</f>
        <v>M008</v>
      </c>
      <c r="N734" t="str">
        <f>_xlfn.XLOOKUP(E734,[3]Sheet1!$A$2:$A$391,[3]Sheet1!$A$2:$A$391)</f>
        <v>PO10049</v>
      </c>
    </row>
    <row r="735" spans="1:14" x14ac:dyDescent="0.2">
      <c r="A735" t="s">
        <v>744</v>
      </c>
      <c r="B735" s="2">
        <v>46259</v>
      </c>
      <c r="C735" t="s">
        <v>2939</v>
      </c>
      <c r="D735" t="s">
        <v>2949</v>
      </c>
      <c r="E735" t="s">
        <v>2999</v>
      </c>
      <c r="F735" s="3">
        <v>46259.970628572948</v>
      </c>
      <c r="G735" s="3">
        <v>46259.971986504926</v>
      </c>
      <c r="H735">
        <v>1.96</v>
      </c>
      <c r="I735" t="s">
        <v>3148</v>
      </c>
      <c r="J735" t="s">
        <v>3164</v>
      </c>
      <c r="K735" t="s">
        <v>3180</v>
      </c>
      <c r="L735" t="str">
        <f>_xlfn.XLOOKUP(C735,[1]!Table1[Shift_ID],[1]!Table1[Shift_ID])</f>
        <v>S03</v>
      </c>
      <c r="M735" t="str">
        <f>_xlfn.XLOOKUP(D735,[2]!Table1[Machine_ID],[2]!Table1[Machine_ID])</f>
        <v>M008</v>
      </c>
      <c r="N735" t="str">
        <f>_xlfn.XLOOKUP(E735,[3]Sheet1!$A$2:$A$391,[3]Sheet1!$A$2:$A$391)</f>
        <v>PO10049</v>
      </c>
    </row>
    <row r="736" spans="1:14" x14ac:dyDescent="0.2">
      <c r="A736" t="s">
        <v>745</v>
      </c>
      <c r="B736" s="2">
        <v>46259</v>
      </c>
      <c r="C736" t="s">
        <v>2939</v>
      </c>
      <c r="D736" t="s">
        <v>2949</v>
      </c>
      <c r="E736" t="s">
        <v>2999</v>
      </c>
      <c r="F736" s="3">
        <v>46260.012155877062</v>
      </c>
      <c r="G736" s="3">
        <v>46260.013513809041</v>
      </c>
      <c r="H736">
        <v>1.96</v>
      </c>
      <c r="I736" t="s">
        <v>3147</v>
      </c>
      <c r="J736" t="s">
        <v>3167</v>
      </c>
      <c r="K736" t="s">
        <v>3172</v>
      </c>
      <c r="L736" t="str">
        <f>_xlfn.XLOOKUP(C736,[1]!Table1[Shift_ID],[1]!Table1[Shift_ID])</f>
        <v>S03</v>
      </c>
      <c r="M736" t="str">
        <f>_xlfn.XLOOKUP(D736,[2]!Table1[Machine_ID],[2]!Table1[Machine_ID])</f>
        <v>M008</v>
      </c>
      <c r="N736" t="str">
        <f>_xlfn.XLOOKUP(E736,[3]Sheet1!$A$2:$A$391,[3]Sheet1!$A$2:$A$391)</f>
        <v>PO10049</v>
      </c>
    </row>
    <row r="737" spans="1:14" x14ac:dyDescent="0.2">
      <c r="A737" t="s">
        <v>746</v>
      </c>
      <c r="B737" s="2">
        <v>46259</v>
      </c>
      <c r="C737" t="s">
        <v>2940</v>
      </c>
      <c r="D737" t="s">
        <v>2942</v>
      </c>
      <c r="E737" t="s">
        <v>3000</v>
      </c>
      <c r="F737" s="3">
        <v>46259.441535307807</v>
      </c>
      <c r="G737" s="3">
        <v>46259.447777737718</v>
      </c>
      <c r="H737">
        <v>8.99</v>
      </c>
      <c r="I737" t="s">
        <v>3149</v>
      </c>
      <c r="J737" t="s">
        <v>3168</v>
      </c>
      <c r="K737" t="s">
        <v>3176</v>
      </c>
      <c r="L737" t="str">
        <f>_xlfn.XLOOKUP(C737,[1]!Table1[Shift_ID],[1]!Table1[Shift_ID])</f>
        <v>S01</v>
      </c>
      <c r="M737" t="str">
        <f>_xlfn.XLOOKUP(D737,[2]!Table1[Machine_ID],[2]!Table1[Machine_ID])</f>
        <v>M001</v>
      </c>
      <c r="N737" t="str">
        <f>_xlfn.XLOOKUP(E737,[3]Sheet1!$A$2:$A$391,[3]Sheet1!$A$2:$A$391)</f>
        <v>PO10050</v>
      </c>
    </row>
    <row r="738" spans="1:14" x14ac:dyDescent="0.2">
      <c r="A738" t="s">
        <v>747</v>
      </c>
      <c r="B738" s="2">
        <v>46259</v>
      </c>
      <c r="C738" t="s">
        <v>2940</v>
      </c>
      <c r="D738" t="s">
        <v>2943</v>
      </c>
      <c r="E738" t="s">
        <v>3000</v>
      </c>
      <c r="F738" s="3">
        <v>46259.273442360252</v>
      </c>
      <c r="G738" s="3">
        <v>46259.281335772946</v>
      </c>
      <c r="H738">
        <v>11.37</v>
      </c>
      <c r="I738" t="s">
        <v>3149</v>
      </c>
      <c r="J738" t="s">
        <v>3158</v>
      </c>
      <c r="K738" t="s">
        <v>3182</v>
      </c>
      <c r="L738" t="str">
        <f>_xlfn.XLOOKUP(C738,[1]!Table1[Shift_ID],[1]!Table1[Shift_ID])</f>
        <v>S01</v>
      </c>
      <c r="M738" t="str">
        <f>_xlfn.XLOOKUP(D738,[2]!Table1[Machine_ID],[2]!Table1[Machine_ID])</f>
        <v>M002</v>
      </c>
      <c r="N738" t="str">
        <f>_xlfn.XLOOKUP(E738,[3]Sheet1!$A$2:$A$391,[3]Sheet1!$A$2:$A$391)</f>
        <v>PO10050</v>
      </c>
    </row>
    <row r="739" spans="1:14" x14ac:dyDescent="0.2">
      <c r="A739" t="s">
        <v>748</v>
      </c>
      <c r="B739" s="2">
        <v>46259</v>
      </c>
      <c r="C739" t="s">
        <v>2940</v>
      </c>
      <c r="D739" t="s">
        <v>2944</v>
      </c>
      <c r="E739" t="s">
        <v>3000</v>
      </c>
      <c r="F739" s="3">
        <v>46259.271822077448</v>
      </c>
      <c r="G739" s="3">
        <v>46259.274544881417</v>
      </c>
      <c r="H739">
        <v>3.92</v>
      </c>
      <c r="I739" t="s">
        <v>3146</v>
      </c>
      <c r="J739" t="s">
        <v>3156</v>
      </c>
      <c r="K739" t="s">
        <v>3175</v>
      </c>
      <c r="L739" t="str">
        <f>_xlfn.XLOOKUP(C739,[1]!Table1[Shift_ID],[1]!Table1[Shift_ID])</f>
        <v>S01</v>
      </c>
      <c r="M739" t="str">
        <f>_xlfn.XLOOKUP(D739,[2]!Table1[Machine_ID],[2]!Table1[Machine_ID])</f>
        <v>M003</v>
      </c>
      <c r="N739" t="str">
        <f>_xlfn.XLOOKUP(E739,[3]Sheet1!$A$2:$A$391,[3]Sheet1!$A$2:$A$391)</f>
        <v>PO10050</v>
      </c>
    </row>
    <row r="740" spans="1:14" x14ac:dyDescent="0.2">
      <c r="A740" t="s">
        <v>749</v>
      </c>
      <c r="B740" s="2">
        <v>46259</v>
      </c>
      <c r="C740" t="s">
        <v>2940</v>
      </c>
      <c r="D740" t="s">
        <v>2944</v>
      </c>
      <c r="E740" t="s">
        <v>3000</v>
      </c>
      <c r="F740" s="3">
        <v>46259.36061001433</v>
      </c>
      <c r="G740" s="3">
        <v>46259.368225444348</v>
      </c>
      <c r="H740">
        <v>10.97</v>
      </c>
      <c r="I740" t="s">
        <v>3148</v>
      </c>
      <c r="J740" t="s">
        <v>3155</v>
      </c>
      <c r="K740" t="s">
        <v>3173</v>
      </c>
      <c r="L740" t="str">
        <f>_xlfn.XLOOKUP(C740,[1]!Table1[Shift_ID],[1]!Table1[Shift_ID])</f>
        <v>S01</v>
      </c>
      <c r="M740" t="str">
        <f>_xlfn.XLOOKUP(D740,[2]!Table1[Machine_ID],[2]!Table1[Machine_ID])</f>
        <v>M003</v>
      </c>
      <c r="N740" t="str">
        <f>_xlfn.XLOOKUP(E740,[3]Sheet1!$A$2:$A$391,[3]Sheet1!$A$2:$A$391)</f>
        <v>PO10050</v>
      </c>
    </row>
    <row r="741" spans="1:14" x14ac:dyDescent="0.2">
      <c r="A741" t="s">
        <v>750</v>
      </c>
      <c r="B741" s="2">
        <v>46259</v>
      </c>
      <c r="C741" t="s">
        <v>2940</v>
      </c>
      <c r="D741" t="s">
        <v>2944</v>
      </c>
      <c r="E741" t="s">
        <v>3000</v>
      </c>
      <c r="F741" s="3">
        <v>46259.389187660207</v>
      </c>
      <c r="G741" s="3">
        <v>46259.391157828533</v>
      </c>
      <c r="H741">
        <v>2.84</v>
      </c>
      <c r="I741" t="s">
        <v>3147</v>
      </c>
      <c r="J741" t="s">
        <v>3154</v>
      </c>
      <c r="K741" t="s">
        <v>3186</v>
      </c>
      <c r="L741" t="str">
        <f>_xlfn.XLOOKUP(C741,[1]!Table1[Shift_ID],[1]!Table1[Shift_ID])</f>
        <v>S01</v>
      </c>
      <c r="M741" t="str">
        <f>_xlfn.XLOOKUP(D741,[2]!Table1[Machine_ID],[2]!Table1[Machine_ID])</f>
        <v>M003</v>
      </c>
      <c r="N741" t="str">
        <f>_xlfn.XLOOKUP(E741,[3]Sheet1!$A$2:$A$391,[3]Sheet1!$A$2:$A$391)</f>
        <v>PO10050</v>
      </c>
    </row>
    <row r="742" spans="1:14" x14ac:dyDescent="0.2">
      <c r="A742" t="s">
        <v>751</v>
      </c>
      <c r="B742" s="2">
        <v>46259</v>
      </c>
      <c r="C742" t="s">
        <v>2940</v>
      </c>
      <c r="D742" t="s">
        <v>2945</v>
      </c>
      <c r="E742" t="s">
        <v>3000</v>
      </c>
      <c r="F742" s="3">
        <v>46259.321921548391</v>
      </c>
      <c r="G742" s="3">
        <v>46259.326669028982</v>
      </c>
      <c r="H742">
        <v>6.84</v>
      </c>
      <c r="I742" t="s">
        <v>3149</v>
      </c>
      <c r="J742" t="s">
        <v>3158</v>
      </c>
      <c r="K742" t="s">
        <v>3184</v>
      </c>
      <c r="L742" t="str">
        <f>_xlfn.XLOOKUP(C742,[1]!Table1[Shift_ID],[1]!Table1[Shift_ID])</f>
        <v>S01</v>
      </c>
      <c r="M742" t="str">
        <f>_xlfn.XLOOKUP(D742,[2]!Table1[Machine_ID],[2]!Table1[Machine_ID])</f>
        <v>M004</v>
      </c>
      <c r="N742" t="str">
        <f>_xlfn.XLOOKUP(E742,[3]Sheet1!$A$2:$A$391,[3]Sheet1!$A$2:$A$391)</f>
        <v>PO10050</v>
      </c>
    </row>
    <row r="743" spans="1:14" x14ac:dyDescent="0.2">
      <c r="A743" t="s">
        <v>752</v>
      </c>
      <c r="B743" s="2">
        <v>46259</v>
      </c>
      <c r="C743" t="s">
        <v>2940</v>
      </c>
      <c r="D743" t="s">
        <v>2945</v>
      </c>
      <c r="E743" t="s">
        <v>3000</v>
      </c>
      <c r="F743" s="3">
        <v>46259.520789030154</v>
      </c>
      <c r="G743" s="3">
        <v>46259.524108456717</v>
      </c>
      <c r="H743">
        <v>4.78</v>
      </c>
      <c r="I743" t="s">
        <v>3147</v>
      </c>
      <c r="J743" t="s">
        <v>3154</v>
      </c>
      <c r="K743" t="s">
        <v>3185</v>
      </c>
      <c r="L743" t="str">
        <f>_xlfn.XLOOKUP(C743,[1]!Table1[Shift_ID],[1]!Table1[Shift_ID])</f>
        <v>S01</v>
      </c>
      <c r="M743" t="str">
        <f>_xlfn.XLOOKUP(D743,[2]!Table1[Machine_ID],[2]!Table1[Machine_ID])</f>
        <v>M004</v>
      </c>
      <c r="N743" t="str">
        <f>_xlfn.XLOOKUP(E743,[3]Sheet1!$A$2:$A$391,[3]Sheet1!$A$2:$A$391)</f>
        <v>PO10050</v>
      </c>
    </row>
    <row r="744" spans="1:14" x14ac:dyDescent="0.2">
      <c r="A744" t="s">
        <v>753</v>
      </c>
      <c r="B744" s="2">
        <v>46259</v>
      </c>
      <c r="C744" t="s">
        <v>2940</v>
      </c>
      <c r="D744" t="s">
        <v>2946</v>
      </c>
      <c r="E744" t="s">
        <v>3000</v>
      </c>
      <c r="F744" s="3">
        <v>46259.311161011668</v>
      </c>
      <c r="G744" s="3">
        <v>46259.318418939503</v>
      </c>
      <c r="H744">
        <v>10.45</v>
      </c>
      <c r="I744" t="s">
        <v>3148</v>
      </c>
      <c r="J744" t="s">
        <v>3164</v>
      </c>
      <c r="K744" t="s">
        <v>3183</v>
      </c>
      <c r="L744" t="str">
        <f>_xlfn.XLOOKUP(C744,[1]!Table1[Shift_ID],[1]!Table1[Shift_ID])</f>
        <v>S01</v>
      </c>
      <c r="M744" t="str">
        <f>_xlfn.XLOOKUP(D744,[2]!Table1[Machine_ID],[2]!Table1[Machine_ID])</f>
        <v>M005</v>
      </c>
      <c r="N744" t="str">
        <f>_xlfn.XLOOKUP(E744,[3]Sheet1!$A$2:$A$391,[3]Sheet1!$A$2:$A$391)</f>
        <v>PO10050</v>
      </c>
    </row>
    <row r="745" spans="1:14" x14ac:dyDescent="0.2">
      <c r="A745" t="s">
        <v>754</v>
      </c>
      <c r="B745" s="2">
        <v>46259</v>
      </c>
      <c r="C745" t="s">
        <v>2940</v>
      </c>
      <c r="D745" t="s">
        <v>2947</v>
      </c>
      <c r="E745" t="s">
        <v>3000</v>
      </c>
      <c r="F745" s="3">
        <v>46259.54048651646</v>
      </c>
      <c r="G745" s="3">
        <v>46259.542379137631</v>
      </c>
      <c r="H745">
        <v>2.73</v>
      </c>
      <c r="I745" t="s">
        <v>3146</v>
      </c>
      <c r="J745" t="s">
        <v>3156</v>
      </c>
      <c r="K745" t="s">
        <v>3171</v>
      </c>
      <c r="L745" t="str">
        <f>_xlfn.XLOOKUP(C745,[1]!Table1[Shift_ID],[1]!Table1[Shift_ID])</f>
        <v>S01</v>
      </c>
      <c r="M745" t="str">
        <f>_xlfn.XLOOKUP(D745,[2]!Table1[Machine_ID],[2]!Table1[Machine_ID])</f>
        <v>M006</v>
      </c>
      <c r="N745" t="str">
        <f>_xlfn.XLOOKUP(E745,[3]Sheet1!$A$2:$A$391,[3]Sheet1!$A$2:$A$391)</f>
        <v>PO10050</v>
      </c>
    </row>
    <row r="746" spans="1:14" x14ac:dyDescent="0.2">
      <c r="A746" t="s">
        <v>755</v>
      </c>
      <c r="B746" s="2">
        <v>46259</v>
      </c>
      <c r="C746" t="s">
        <v>2940</v>
      </c>
      <c r="D746" t="s">
        <v>2947</v>
      </c>
      <c r="E746" t="s">
        <v>3000</v>
      </c>
      <c r="F746" s="3">
        <v>46259.567844587327</v>
      </c>
      <c r="G746" s="3">
        <v>46259.583333333343</v>
      </c>
      <c r="H746">
        <v>22.3</v>
      </c>
      <c r="I746" t="s">
        <v>3149</v>
      </c>
      <c r="J746" t="s">
        <v>3158</v>
      </c>
      <c r="K746" t="s">
        <v>3184</v>
      </c>
      <c r="L746" t="str">
        <f>_xlfn.XLOOKUP(C746,[1]!Table1[Shift_ID],[1]!Table1[Shift_ID])</f>
        <v>S01</v>
      </c>
      <c r="M746" t="str">
        <f>_xlfn.XLOOKUP(D746,[2]!Table1[Machine_ID],[2]!Table1[Machine_ID])</f>
        <v>M006</v>
      </c>
      <c r="N746" t="str">
        <f>_xlfn.XLOOKUP(E746,[3]Sheet1!$A$2:$A$391,[3]Sheet1!$A$2:$A$391)</f>
        <v>PO10050</v>
      </c>
    </row>
    <row r="747" spans="1:14" x14ac:dyDescent="0.2">
      <c r="A747" t="s">
        <v>756</v>
      </c>
      <c r="B747" s="2">
        <v>46259</v>
      </c>
      <c r="C747" t="s">
        <v>2940</v>
      </c>
      <c r="D747" t="s">
        <v>2948</v>
      </c>
      <c r="E747" t="s">
        <v>3000</v>
      </c>
      <c r="F747" s="3">
        <v>46259.267274892489</v>
      </c>
      <c r="G747" s="3">
        <v>46259.282259938889</v>
      </c>
      <c r="H747">
        <v>21.58</v>
      </c>
      <c r="I747" t="s">
        <v>3148</v>
      </c>
      <c r="J747" t="s">
        <v>3155</v>
      </c>
      <c r="K747" t="s">
        <v>3173</v>
      </c>
      <c r="L747" t="str">
        <f>_xlfn.XLOOKUP(C747,[1]!Table1[Shift_ID],[1]!Table1[Shift_ID])</f>
        <v>S01</v>
      </c>
      <c r="M747" t="str">
        <f>_xlfn.XLOOKUP(D747,[2]!Table1[Machine_ID],[2]!Table1[Machine_ID])</f>
        <v>M007</v>
      </c>
      <c r="N747" t="str">
        <f>_xlfn.XLOOKUP(E747,[3]Sheet1!$A$2:$A$391,[3]Sheet1!$A$2:$A$391)</f>
        <v>PO10050</v>
      </c>
    </row>
    <row r="748" spans="1:14" x14ac:dyDescent="0.2">
      <c r="A748" t="s">
        <v>757</v>
      </c>
      <c r="B748" s="2">
        <v>46259</v>
      </c>
      <c r="C748" t="s">
        <v>2940</v>
      </c>
      <c r="D748" t="s">
        <v>2949</v>
      </c>
      <c r="E748" t="s">
        <v>3000</v>
      </c>
      <c r="F748" s="3">
        <v>46259.393560279859</v>
      </c>
      <c r="G748" s="3">
        <v>46259.397993513783</v>
      </c>
      <c r="H748">
        <v>6.38</v>
      </c>
      <c r="I748" t="s">
        <v>3148</v>
      </c>
      <c r="J748" t="s">
        <v>3165</v>
      </c>
      <c r="K748" t="s">
        <v>3180</v>
      </c>
      <c r="L748" t="str">
        <f>_xlfn.XLOOKUP(C748,[1]!Table1[Shift_ID],[1]!Table1[Shift_ID])</f>
        <v>S01</v>
      </c>
      <c r="M748" t="str">
        <f>_xlfn.XLOOKUP(D748,[2]!Table1[Machine_ID],[2]!Table1[Machine_ID])</f>
        <v>M008</v>
      </c>
      <c r="N748" t="str">
        <f>_xlfn.XLOOKUP(E748,[3]Sheet1!$A$2:$A$391,[3]Sheet1!$A$2:$A$391)</f>
        <v>PO10050</v>
      </c>
    </row>
    <row r="749" spans="1:14" x14ac:dyDescent="0.2">
      <c r="A749" t="s">
        <v>758</v>
      </c>
      <c r="B749" s="2">
        <v>46259</v>
      </c>
      <c r="C749" t="s">
        <v>2941</v>
      </c>
      <c r="D749" t="s">
        <v>2942</v>
      </c>
      <c r="E749" t="s">
        <v>3001</v>
      </c>
      <c r="F749" s="3">
        <v>46259.790616838247</v>
      </c>
      <c r="G749" s="3">
        <v>46259.797138075483</v>
      </c>
      <c r="H749">
        <v>9.39</v>
      </c>
      <c r="I749" t="s">
        <v>3151</v>
      </c>
      <c r="J749" t="s">
        <v>3170</v>
      </c>
      <c r="K749" t="s">
        <v>3181</v>
      </c>
      <c r="L749" t="str">
        <f>_xlfn.XLOOKUP(C749,[1]!Table1[Shift_ID],[1]!Table1[Shift_ID])</f>
        <v>S02</v>
      </c>
      <c r="M749" t="str">
        <f>_xlfn.XLOOKUP(D749,[2]!Table1[Machine_ID],[2]!Table1[Machine_ID])</f>
        <v>M001</v>
      </c>
      <c r="N749" t="str">
        <f>_xlfn.XLOOKUP(E749,[3]Sheet1!$A$2:$A$391,[3]Sheet1!$A$2:$A$391)</f>
        <v>PO10051</v>
      </c>
    </row>
    <row r="750" spans="1:14" x14ac:dyDescent="0.2">
      <c r="A750" t="s">
        <v>759</v>
      </c>
      <c r="B750" s="2">
        <v>46259</v>
      </c>
      <c r="C750" t="s">
        <v>2941</v>
      </c>
      <c r="D750" t="s">
        <v>2943</v>
      </c>
      <c r="E750" t="s">
        <v>3001</v>
      </c>
      <c r="F750" s="3">
        <v>46259.817650001292</v>
      </c>
      <c r="G750" s="3">
        <v>46259.826139965327</v>
      </c>
      <c r="H750">
        <v>12.23</v>
      </c>
      <c r="I750" t="s">
        <v>3149</v>
      </c>
      <c r="J750" t="s">
        <v>3168</v>
      </c>
      <c r="K750" t="s">
        <v>3182</v>
      </c>
      <c r="L750" t="str">
        <f>_xlfn.XLOOKUP(C750,[1]!Table1[Shift_ID],[1]!Table1[Shift_ID])</f>
        <v>S02</v>
      </c>
      <c r="M750" t="str">
        <f>_xlfn.XLOOKUP(D750,[2]!Table1[Machine_ID],[2]!Table1[Machine_ID])</f>
        <v>M002</v>
      </c>
      <c r="N750" t="str">
        <f>_xlfn.XLOOKUP(E750,[3]Sheet1!$A$2:$A$391,[3]Sheet1!$A$2:$A$391)</f>
        <v>PO10051</v>
      </c>
    </row>
    <row r="751" spans="1:14" x14ac:dyDescent="0.2">
      <c r="A751" t="s">
        <v>760</v>
      </c>
      <c r="B751" s="2">
        <v>46259</v>
      </c>
      <c r="C751" t="s">
        <v>2941</v>
      </c>
      <c r="D751" t="s">
        <v>2944</v>
      </c>
      <c r="E751" t="s">
        <v>3001</v>
      </c>
      <c r="F751" s="3">
        <v>46259.588977102903</v>
      </c>
      <c r="G751" s="3">
        <v>46259.592782093518</v>
      </c>
      <c r="H751">
        <v>5.48</v>
      </c>
      <c r="I751" t="s">
        <v>3150</v>
      </c>
      <c r="J751" t="s">
        <v>3159</v>
      </c>
      <c r="K751" t="s">
        <v>3178</v>
      </c>
      <c r="L751" t="str">
        <f>_xlfn.XLOOKUP(C751,[1]!Table1[Shift_ID],[1]!Table1[Shift_ID])</f>
        <v>S02</v>
      </c>
      <c r="M751" t="str">
        <f>_xlfn.XLOOKUP(D751,[2]!Table1[Machine_ID],[2]!Table1[Machine_ID])</f>
        <v>M003</v>
      </c>
      <c r="N751" t="str">
        <f>_xlfn.XLOOKUP(E751,[3]Sheet1!$A$2:$A$391,[3]Sheet1!$A$2:$A$391)</f>
        <v>PO10051</v>
      </c>
    </row>
    <row r="752" spans="1:14" x14ac:dyDescent="0.2">
      <c r="A752" t="s">
        <v>761</v>
      </c>
      <c r="B752" s="2">
        <v>46259</v>
      </c>
      <c r="C752" t="s">
        <v>2941</v>
      </c>
      <c r="D752" t="s">
        <v>2944</v>
      </c>
      <c r="E752" t="s">
        <v>3001</v>
      </c>
      <c r="F752" s="3">
        <v>46259.860666902758</v>
      </c>
      <c r="G752" s="3">
        <v>46259.864101902647</v>
      </c>
      <c r="H752">
        <v>4.95</v>
      </c>
      <c r="I752" t="s">
        <v>3150</v>
      </c>
      <c r="J752" t="s">
        <v>3160</v>
      </c>
      <c r="K752" t="s">
        <v>3177</v>
      </c>
      <c r="L752" t="str">
        <f>_xlfn.XLOOKUP(C752,[1]!Table1[Shift_ID],[1]!Table1[Shift_ID])</f>
        <v>S02</v>
      </c>
      <c r="M752" t="str">
        <f>_xlfn.XLOOKUP(D752,[2]!Table1[Machine_ID],[2]!Table1[Machine_ID])</f>
        <v>M003</v>
      </c>
      <c r="N752" t="str">
        <f>_xlfn.XLOOKUP(E752,[3]Sheet1!$A$2:$A$391,[3]Sheet1!$A$2:$A$391)</f>
        <v>PO10051</v>
      </c>
    </row>
    <row r="753" spans="1:14" x14ac:dyDescent="0.2">
      <c r="A753" t="s">
        <v>762</v>
      </c>
      <c r="B753" s="2">
        <v>46259</v>
      </c>
      <c r="C753" t="s">
        <v>2941</v>
      </c>
      <c r="D753" t="s">
        <v>2945</v>
      </c>
      <c r="E753" t="s">
        <v>3001</v>
      </c>
      <c r="F753" s="3">
        <v>46259.803458023402</v>
      </c>
      <c r="G753" s="3">
        <v>46259.810527090747</v>
      </c>
      <c r="H753">
        <v>10.18</v>
      </c>
      <c r="I753" t="s">
        <v>3146</v>
      </c>
      <c r="J753" t="s">
        <v>3157</v>
      </c>
      <c r="K753" t="s">
        <v>3175</v>
      </c>
      <c r="L753" t="str">
        <f>_xlfn.XLOOKUP(C753,[1]!Table1[Shift_ID],[1]!Table1[Shift_ID])</f>
        <v>S02</v>
      </c>
      <c r="M753" t="str">
        <f>_xlfn.XLOOKUP(D753,[2]!Table1[Machine_ID],[2]!Table1[Machine_ID])</f>
        <v>M004</v>
      </c>
      <c r="N753" t="str">
        <f>_xlfn.XLOOKUP(E753,[3]Sheet1!$A$2:$A$391,[3]Sheet1!$A$2:$A$391)</f>
        <v>PO10051</v>
      </c>
    </row>
    <row r="754" spans="1:14" x14ac:dyDescent="0.2">
      <c r="A754" t="s">
        <v>763</v>
      </c>
      <c r="B754" s="2">
        <v>46259</v>
      </c>
      <c r="C754" t="s">
        <v>2941</v>
      </c>
      <c r="D754" t="s">
        <v>2946</v>
      </c>
      <c r="E754" t="s">
        <v>3001</v>
      </c>
      <c r="F754" s="3">
        <v>46259.689111339343</v>
      </c>
      <c r="G754" s="3">
        <v>46259.697452120658</v>
      </c>
      <c r="H754">
        <v>12.01</v>
      </c>
      <c r="I754" t="s">
        <v>3151</v>
      </c>
      <c r="J754" t="s">
        <v>3161</v>
      </c>
      <c r="K754" t="s">
        <v>3188</v>
      </c>
      <c r="L754" t="str">
        <f>_xlfn.XLOOKUP(C754,[1]!Table1[Shift_ID],[1]!Table1[Shift_ID])</f>
        <v>S02</v>
      </c>
      <c r="M754" t="str">
        <f>_xlfn.XLOOKUP(D754,[2]!Table1[Machine_ID],[2]!Table1[Machine_ID])</f>
        <v>M005</v>
      </c>
      <c r="N754" t="str">
        <f>_xlfn.XLOOKUP(E754,[3]Sheet1!$A$2:$A$391,[3]Sheet1!$A$2:$A$391)</f>
        <v>PO10051</v>
      </c>
    </row>
    <row r="755" spans="1:14" x14ac:dyDescent="0.2">
      <c r="A755" t="s">
        <v>764</v>
      </c>
      <c r="B755" s="2">
        <v>46259</v>
      </c>
      <c r="C755" t="s">
        <v>2941</v>
      </c>
      <c r="D755" t="s">
        <v>2947</v>
      </c>
      <c r="E755" t="s">
        <v>3001</v>
      </c>
      <c r="F755" s="3">
        <v>46259.6289977337</v>
      </c>
      <c r="G755" s="3">
        <v>46259.631990974442</v>
      </c>
      <c r="H755">
        <v>4.3099999999999996</v>
      </c>
      <c r="I755" t="s">
        <v>3149</v>
      </c>
      <c r="J755" t="s">
        <v>3162</v>
      </c>
      <c r="K755" t="s">
        <v>3184</v>
      </c>
      <c r="L755" t="str">
        <f>_xlfn.XLOOKUP(C755,[1]!Table1[Shift_ID],[1]!Table1[Shift_ID])</f>
        <v>S02</v>
      </c>
      <c r="M755" t="str">
        <f>_xlfn.XLOOKUP(D755,[2]!Table1[Machine_ID],[2]!Table1[Machine_ID])</f>
        <v>M006</v>
      </c>
      <c r="N755" t="str">
        <f>_xlfn.XLOOKUP(E755,[3]Sheet1!$A$2:$A$391,[3]Sheet1!$A$2:$A$391)</f>
        <v>PO10051</v>
      </c>
    </row>
    <row r="756" spans="1:14" x14ac:dyDescent="0.2">
      <c r="A756" t="s">
        <v>765</v>
      </c>
      <c r="B756" s="2">
        <v>46259</v>
      </c>
      <c r="C756" t="s">
        <v>2941</v>
      </c>
      <c r="D756" t="s">
        <v>2947</v>
      </c>
      <c r="E756" t="s">
        <v>3001</v>
      </c>
      <c r="F756" s="3">
        <v>46259.666104963493</v>
      </c>
      <c r="G756" s="3">
        <v>46259.667878012209</v>
      </c>
      <c r="H756">
        <v>2.5499999999999998</v>
      </c>
      <c r="I756" t="s">
        <v>3147</v>
      </c>
      <c r="J756" t="s">
        <v>3153</v>
      </c>
      <c r="K756" t="s">
        <v>3172</v>
      </c>
      <c r="L756" t="str">
        <f>_xlfn.XLOOKUP(C756,[1]!Table1[Shift_ID],[1]!Table1[Shift_ID])</f>
        <v>S02</v>
      </c>
      <c r="M756" t="str">
        <f>_xlfn.XLOOKUP(D756,[2]!Table1[Machine_ID],[2]!Table1[Machine_ID])</f>
        <v>M006</v>
      </c>
      <c r="N756" t="str">
        <f>_xlfn.XLOOKUP(E756,[3]Sheet1!$A$2:$A$391,[3]Sheet1!$A$2:$A$391)</f>
        <v>PO10051</v>
      </c>
    </row>
    <row r="757" spans="1:14" x14ac:dyDescent="0.2">
      <c r="A757" t="s">
        <v>766</v>
      </c>
      <c r="B757" s="2">
        <v>46259</v>
      </c>
      <c r="C757" t="s">
        <v>2941</v>
      </c>
      <c r="D757" t="s">
        <v>2947</v>
      </c>
      <c r="E757" t="s">
        <v>3001</v>
      </c>
      <c r="F757" s="3">
        <v>46259.845227200327</v>
      </c>
      <c r="G757" s="3">
        <v>46259.84700024905</v>
      </c>
      <c r="H757">
        <v>2.5499999999999998</v>
      </c>
      <c r="I757" t="s">
        <v>3148</v>
      </c>
      <c r="J757" t="s">
        <v>3155</v>
      </c>
      <c r="K757" t="s">
        <v>3180</v>
      </c>
      <c r="L757" t="str">
        <f>_xlfn.XLOOKUP(C757,[1]!Table1[Shift_ID],[1]!Table1[Shift_ID])</f>
        <v>S02</v>
      </c>
      <c r="M757" t="str">
        <f>_xlfn.XLOOKUP(D757,[2]!Table1[Machine_ID],[2]!Table1[Machine_ID])</f>
        <v>M006</v>
      </c>
      <c r="N757" t="str">
        <f>_xlfn.XLOOKUP(E757,[3]Sheet1!$A$2:$A$391,[3]Sheet1!$A$2:$A$391)</f>
        <v>PO10051</v>
      </c>
    </row>
    <row r="758" spans="1:14" x14ac:dyDescent="0.2">
      <c r="A758" t="s">
        <v>767</v>
      </c>
      <c r="B758" s="2">
        <v>46259</v>
      </c>
      <c r="C758" t="s">
        <v>2941</v>
      </c>
      <c r="D758" t="s">
        <v>2947</v>
      </c>
      <c r="E758" t="s">
        <v>3001</v>
      </c>
      <c r="F758" s="3">
        <v>46259.908913677697</v>
      </c>
      <c r="G758" s="3">
        <v>46259.916666666657</v>
      </c>
      <c r="H758">
        <v>11.16</v>
      </c>
      <c r="I758" t="s">
        <v>3148</v>
      </c>
      <c r="J758" t="s">
        <v>3165</v>
      </c>
      <c r="K758" t="s">
        <v>3183</v>
      </c>
      <c r="L758" t="str">
        <f>_xlfn.XLOOKUP(C758,[1]!Table1[Shift_ID],[1]!Table1[Shift_ID])</f>
        <v>S02</v>
      </c>
      <c r="M758" t="str">
        <f>_xlfn.XLOOKUP(D758,[2]!Table1[Machine_ID],[2]!Table1[Machine_ID])</f>
        <v>M006</v>
      </c>
      <c r="N758" t="str">
        <f>_xlfn.XLOOKUP(E758,[3]Sheet1!$A$2:$A$391,[3]Sheet1!$A$2:$A$391)</f>
        <v>PO10051</v>
      </c>
    </row>
    <row r="759" spans="1:14" x14ac:dyDescent="0.2">
      <c r="A759" t="s">
        <v>768</v>
      </c>
      <c r="B759" s="2">
        <v>46259</v>
      </c>
      <c r="C759" t="s">
        <v>2941</v>
      </c>
      <c r="D759" t="s">
        <v>2948</v>
      </c>
      <c r="E759" t="s">
        <v>3001</v>
      </c>
      <c r="F759" s="3">
        <v>46259.649455476407</v>
      </c>
      <c r="G759" s="3">
        <v>46259.651347418578</v>
      </c>
      <c r="H759">
        <v>2.72</v>
      </c>
      <c r="I759" t="s">
        <v>3150</v>
      </c>
      <c r="J759" t="s">
        <v>3159</v>
      </c>
      <c r="K759" t="s">
        <v>3179</v>
      </c>
      <c r="L759" t="str">
        <f>_xlfn.XLOOKUP(C759,[1]!Table1[Shift_ID],[1]!Table1[Shift_ID])</f>
        <v>S02</v>
      </c>
      <c r="M759" t="str">
        <f>_xlfn.XLOOKUP(D759,[2]!Table1[Machine_ID],[2]!Table1[Machine_ID])</f>
        <v>M007</v>
      </c>
      <c r="N759" t="str">
        <f>_xlfn.XLOOKUP(E759,[3]Sheet1!$A$2:$A$391,[3]Sheet1!$A$2:$A$391)</f>
        <v>PO10051</v>
      </c>
    </row>
    <row r="760" spans="1:14" x14ac:dyDescent="0.2">
      <c r="A760" t="s">
        <v>769</v>
      </c>
      <c r="B760" s="2">
        <v>46259</v>
      </c>
      <c r="C760" t="s">
        <v>2941</v>
      </c>
      <c r="D760" t="s">
        <v>2948</v>
      </c>
      <c r="E760" t="s">
        <v>3001</v>
      </c>
      <c r="F760" s="3">
        <v>46259.673354991552</v>
      </c>
      <c r="G760" s="3">
        <v>46259.675246933723</v>
      </c>
      <c r="H760">
        <v>2.72</v>
      </c>
      <c r="I760" t="s">
        <v>3150</v>
      </c>
      <c r="J760" t="s">
        <v>3159</v>
      </c>
      <c r="K760" t="s">
        <v>3177</v>
      </c>
      <c r="L760" t="str">
        <f>_xlfn.XLOOKUP(C760,[1]!Table1[Shift_ID],[1]!Table1[Shift_ID])</f>
        <v>S02</v>
      </c>
      <c r="M760" t="str">
        <f>_xlfn.XLOOKUP(D760,[2]!Table1[Machine_ID],[2]!Table1[Machine_ID])</f>
        <v>M007</v>
      </c>
      <c r="N760" t="str">
        <f>_xlfn.XLOOKUP(E760,[3]Sheet1!$A$2:$A$391,[3]Sheet1!$A$2:$A$391)</f>
        <v>PO10051</v>
      </c>
    </row>
    <row r="761" spans="1:14" x14ac:dyDescent="0.2">
      <c r="A761" t="s">
        <v>770</v>
      </c>
      <c r="B761" s="2">
        <v>46259</v>
      </c>
      <c r="C761" t="s">
        <v>2941</v>
      </c>
      <c r="D761" t="s">
        <v>2948</v>
      </c>
      <c r="E761" t="s">
        <v>3001</v>
      </c>
      <c r="F761" s="3">
        <v>46259.726031033853</v>
      </c>
      <c r="G761" s="3">
        <v>46259.733622336622</v>
      </c>
      <c r="H761">
        <v>10.93</v>
      </c>
      <c r="I761" t="s">
        <v>3147</v>
      </c>
      <c r="J761" t="s">
        <v>3167</v>
      </c>
      <c r="K761" t="s">
        <v>3172</v>
      </c>
      <c r="L761" t="str">
        <f>_xlfn.XLOOKUP(C761,[1]!Table1[Shift_ID],[1]!Table1[Shift_ID])</f>
        <v>S02</v>
      </c>
      <c r="M761" t="str">
        <f>_xlfn.XLOOKUP(D761,[2]!Table1[Machine_ID],[2]!Table1[Machine_ID])</f>
        <v>M007</v>
      </c>
      <c r="N761" t="str">
        <f>_xlfn.XLOOKUP(E761,[3]Sheet1!$A$2:$A$391,[3]Sheet1!$A$2:$A$391)</f>
        <v>PO10051</v>
      </c>
    </row>
    <row r="762" spans="1:14" x14ac:dyDescent="0.2">
      <c r="A762" t="s">
        <v>771</v>
      </c>
      <c r="B762" s="2">
        <v>46259</v>
      </c>
      <c r="C762" t="s">
        <v>2941</v>
      </c>
      <c r="D762" t="s">
        <v>2948</v>
      </c>
      <c r="E762" t="s">
        <v>3001</v>
      </c>
      <c r="F762" s="3">
        <v>46259.859550147907</v>
      </c>
      <c r="G762" s="3">
        <v>46259.861442090078</v>
      </c>
      <c r="H762">
        <v>2.72</v>
      </c>
      <c r="I762" t="s">
        <v>3148</v>
      </c>
      <c r="J762" t="s">
        <v>3155</v>
      </c>
      <c r="K762" t="s">
        <v>3180</v>
      </c>
      <c r="L762" t="str">
        <f>_xlfn.XLOOKUP(C762,[1]!Table1[Shift_ID],[1]!Table1[Shift_ID])</f>
        <v>S02</v>
      </c>
      <c r="M762" t="str">
        <f>_xlfn.XLOOKUP(D762,[2]!Table1[Machine_ID],[2]!Table1[Machine_ID])</f>
        <v>M007</v>
      </c>
      <c r="N762" t="str">
        <f>_xlfn.XLOOKUP(E762,[3]Sheet1!$A$2:$A$391,[3]Sheet1!$A$2:$A$391)</f>
        <v>PO10051</v>
      </c>
    </row>
    <row r="763" spans="1:14" x14ac:dyDescent="0.2">
      <c r="A763" t="s">
        <v>772</v>
      </c>
      <c r="B763" s="2">
        <v>46259</v>
      </c>
      <c r="C763" t="s">
        <v>2941</v>
      </c>
      <c r="D763" t="s">
        <v>2949</v>
      </c>
      <c r="E763" t="s">
        <v>3001</v>
      </c>
      <c r="F763" s="3">
        <v>46259.590400278168</v>
      </c>
      <c r="G763" s="3">
        <v>46259.595487975457</v>
      </c>
      <c r="H763">
        <v>7.33</v>
      </c>
      <c r="I763" t="s">
        <v>3147</v>
      </c>
      <c r="J763" t="s">
        <v>3154</v>
      </c>
      <c r="K763" t="s">
        <v>3185</v>
      </c>
      <c r="L763" t="str">
        <f>_xlfn.XLOOKUP(C763,[1]!Table1[Shift_ID],[1]!Table1[Shift_ID])</f>
        <v>S02</v>
      </c>
      <c r="M763" t="str">
        <f>_xlfn.XLOOKUP(D763,[2]!Table1[Machine_ID],[2]!Table1[Machine_ID])</f>
        <v>M008</v>
      </c>
      <c r="N763" t="str">
        <f>_xlfn.XLOOKUP(E763,[3]Sheet1!$A$2:$A$391,[3]Sheet1!$A$2:$A$391)</f>
        <v>PO10051</v>
      </c>
    </row>
    <row r="764" spans="1:14" x14ac:dyDescent="0.2">
      <c r="A764" t="s">
        <v>773</v>
      </c>
      <c r="B764" s="2">
        <v>46259</v>
      </c>
      <c r="C764" t="s">
        <v>2941</v>
      </c>
      <c r="D764" t="s">
        <v>2949</v>
      </c>
      <c r="E764" t="s">
        <v>3001</v>
      </c>
      <c r="F764" s="3">
        <v>46259.864602097266</v>
      </c>
      <c r="G764" s="3">
        <v>46259.866237818816</v>
      </c>
      <c r="H764">
        <v>2.36</v>
      </c>
      <c r="I764" t="s">
        <v>3149</v>
      </c>
      <c r="J764" t="s">
        <v>3162</v>
      </c>
      <c r="K764" t="s">
        <v>3184</v>
      </c>
      <c r="L764" t="str">
        <f>_xlfn.XLOOKUP(C764,[1]!Table1[Shift_ID],[1]!Table1[Shift_ID])</f>
        <v>S02</v>
      </c>
      <c r="M764" t="str">
        <f>_xlfn.XLOOKUP(D764,[2]!Table1[Machine_ID],[2]!Table1[Machine_ID])</f>
        <v>M008</v>
      </c>
      <c r="N764" t="str">
        <f>_xlfn.XLOOKUP(E764,[3]Sheet1!$A$2:$A$391,[3]Sheet1!$A$2:$A$391)</f>
        <v>PO10051</v>
      </c>
    </row>
    <row r="765" spans="1:14" x14ac:dyDescent="0.2">
      <c r="A765" t="s">
        <v>774</v>
      </c>
      <c r="B765" s="2">
        <v>46260</v>
      </c>
      <c r="C765" t="s">
        <v>2939</v>
      </c>
      <c r="D765" t="s">
        <v>2942</v>
      </c>
      <c r="E765" t="s">
        <v>3002</v>
      </c>
      <c r="F765" s="3">
        <v>46261.194928320023</v>
      </c>
      <c r="G765" s="3">
        <v>46261.200553254057</v>
      </c>
      <c r="H765">
        <v>8.1</v>
      </c>
      <c r="I765" t="s">
        <v>3151</v>
      </c>
      <c r="J765" t="s">
        <v>3161</v>
      </c>
      <c r="K765" t="s">
        <v>3188</v>
      </c>
      <c r="L765" t="str">
        <f>_xlfn.XLOOKUP(C765,[1]!Table1[Shift_ID],[1]!Table1[Shift_ID])</f>
        <v>S03</v>
      </c>
      <c r="M765" t="str">
        <f>_xlfn.XLOOKUP(D765,[2]!Table1[Machine_ID],[2]!Table1[Machine_ID])</f>
        <v>M001</v>
      </c>
      <c r="N765" t="str">
        <f>_xlfn.XLOOKUP(E765,[3]Sheet1!$A$2:$A$391,[3]Sheet1!$A$2:$A$391)</f>
        <v>PO10052</v>
      </c>
    </row>
    <row r="766" spans="1:14" x14ac:dyDescent="0.2">
      <c r="A766" t="s">
        <v>775</v>
      </c>
      <c r="B766" s="2">
        <v>46260</v>
      </c>
      <c r="C766" t="s">
        <v>2939</v>
      </c>
      <c r="D766" t="s">
        <v>2943</v>
      </c>
      <c r="E766" t="s">
        <v>3002</v>
      </c>
      <c r="F766" s="3">
        <v>46261.138072747868</v>
      </c>
      <c r="G766" s="3">
        <v>46261.141615275148</v>
      </c>
      <c r="H766">
        <v>5.0999999999999996</v>
      </c>
      <c r="I766" t="s">
        <v>3146</v>
      </c>
      <c r="J766" t="s">
        <v>3157</v>
      </c>
      <c r="K766" t="s">
        <v>3171</v>
      </c>
      <c r="L766" t="str">
        <f>_xlfn.XLOOKUP(C766,[1]!Table1[Shift_ID],[1]!Table1[Shift_ID])</f>
        <v>S03</v>
      </c>
      <c r="M766" t="str">
        <f>_xlfn.XLOOKUP(D766,[2]!Table1[Machine_ID],[2]!Table1[Machine_ID])</f>
        <v>M002</v>
      </c>
      <c r="N766" t="str">
        <f>_xlfn.XLOOKUP(E766,[3]Sheet1!$A$2:$A$391,[3]Sheet1!$A$2:$A$391)</f>
        <v>PO10052</v>
      </c>
    </row>
    <row r="767" spans="1:14" x14ac:dyDescent="0.2">
      <c r="A767" t="s">
        <v>776</v>
      </c>
      <c r="B767" s="2">
        <v>46260</v>
      </c>
      <c r="C767" t="s">
        <v>2939</v>
      </c>
      <c r="D767" t="s">
        <v>2943</v>
      </c>
      <c r="E767" t="s">
        <v>3002</v>
      </c>
      <c r="F767" s="3">
        <v>46261.192798975433</v>
      </c>
      <c r="G767" s="3">
        <v>46261.197836961779</v>
      </c>
      <c r="H767">
        <v>7.25</v>
      </c>
      <c r="I767" t="s">
        <v>3147</v>
      </c>
      <c r="J767" t="s">
        <v>3167</v>
      </c>
      <c r="K767" t="s">
        <v>3172</v>
      </c>
      <c r="L767" t="str">
        <f>_xlfn.XLOOKUP(C767,[1]!Table1[Shift_ID],[1]!Table1[Shift_ID])</f>
        <v>S03</v>
      </c>
      <c r="M767" t="str">
        <f>_xlfn.XLOOKUP(D767,[2]!Table1[Machine_ID],[2]!Table1[Machine_ID])</f>
        <v>M002</v>
      </c>
      <c r="N767" t="str">
        <f>_xlfn.XLOOKUP(E767,[3]Sheet1!$A$2:$A$391,[3]Sheet1!$A$2:$A$391)</f>
        <v>PO10052</v>
      </c>
    </row>
    <row r="768" spans="1:14" x14ac:dyDescent="0.2">
      <c r="A768" t="s">
        <v>777</v>
      </c>
      <c r="B768" s="2">
        <v>46260</v>
      </c>
      <c r="C768" t="s">
        <v>2939</v>
      </c>
      <c r="D768" t="s">
        <v>2944</v>
      </c>
      <c r="E768" t="s">
        <v>3002</v>
      </c>
      <c r="F768" s="3">
        <v>46261.023041366469</v>
      </c>
      <c r="G768" s="3">
        <v>46261.034785389238</v>
      </c>
      <c r="H768">
        <v>16.91</v>
      </c>
      <c r="I768" t="s">
        <v>3147</v>
      </c>
      <c r="J768" t="s">
        <v>3154</v>
      </c>
      <c r="K768" t="s">
        <v>3185</v>
      </c>
      <c r="L768" t="str">
        <f>_xlfn.XLOOKUP(C768,[1]!Table1[Shift_ID],[1]!Table1[Shift_ID])</f>
        <v>S03</v>
      </c>
      <c r="M768" t="str">
        <f>_xlfn.XLOOKUP(D768,[2]!Table1[Machine_ID],[2]!Table1[Machine_ID])</f>
        <v>M003</v>
      </c>
      <c r="N768" t="str">
        <f>_xlfn.XLOOKUP(E768,[3]Sheet1!$A$2:$A$391,[3]Sheet1!$A$2:$A$391)</f>
        <v>PO10052</v>
      </c>
    </row>
    <row r="769" spans="1:14" x14ac:dyDescent="0.2">
      <c r="A769" t="s">
        <v>778</v>
      </c>
      <c r="B769" s="2">
        <v>46260</v>
      </c>
      <c r="C769" t="s">
        <v>2939</v>
      </c>
      <c r="D769" t="s">
        <v>2945</v>
      </c>
      <c r="E769" t="s">
        <v>3002</v>
      </c>
      <c r="F769" s="3">
        <v>46261.182186254649</v>
      </c>
      <c r="G769" s="3">
        <v>46261.190566603851</v>
      </c>
      <c r="H769">
        <v>12.07</v>
      </c>
      <c r="I769" t="s">
        <v>3147</v>
      </c>
      <c r="J769" t="s">
        <v>3153</v>
      </c>
      <c r="K769" t="s">
        <v>3185</v>
      </c>
      <c r="L769" t="str">
        <f>_xlfn.XLOOKUP(C769,[1]!Table1[Shift_ID],[1]!Table1[Shift_ID])</f>
        <v>S03</v>
      </c>
      <c r="M769" t="str">
        <f>_xlfn.XLOOKUP(D769,[2]!Table1[Machine_ID],[2]!Table1[Machine_ID])</f>
        <v>M004</v>
      </c>
      <c r="N769" t="str">
        <f>_xlfn.XLOOKUP(E769,[3]Sheet1!$A$2:$A$391,[3]Sheet1!$A$2:$A$391)</f>
        <v>PO10052</v>
      </c>
    </row>
    <row r="770" spans="1:14" x14ac:dyDescent="0.2">
      <c r="A770" t="s">
        <v>779</v>
      </c>
      <c r="B770" s="2">
        <v>46260</v>
      </c>
      <c r="C770" t="s">
        <v>2939</v>
      </c>
      <c r="D770" t="s">
        <v>2946</v>
      </c>
      <c r="E770" t="s">
        <v>3002</v>
      </c>
      <c r="F770" s="3">
        <v>46260.922416255693</v>
      </c>
      <c r="G770" s="3">
        <v>46260.929637253219</v>
      </c>
      <c r="H770">
        <v>10.4</v>
      </c>
      <c r="I770" t="s">
        <v>3150</v>
      </c>
      <c r="J770" t="s">
        <v>3163</v>
      </c>
      <c r="K770" t="s">
        <v>3178</v>
      </c>
      <c r="L770" t="str">
        <f>_xlfn.XLOOKUP(C770,[1]!Table1[Shift_ID],[1]!Table1[Shift_ID])</f>
        <v>S03</v>
      </c>
      <c r="M770" t="str">
        <f>_xlfn.XLOOKUP(D770,[2]!Table1[Machine_ID],[2]!Table1[Machine_ID])</f>
        <v>M005</v>
      </c>
      <c r="N770" t="str">
        <f>_xlfn.XLOOKUP(E770,[3]Sheet1!$A$2:$A$391,[3]Sheet1!$A$2:$A$391)</f>
        <v>PO10052</v>
      </c>
    </row>
    <row r="771" spans="1:14" x14ac:dyDescent="0.2">
      <c r="A771" t="s">
        <v>780</v>
      </c>
      <c r="B771" s="2">
        <v>46260</v>
      </c>
      <c r="C771" t="s">
        <v>2939</v>
      </c>
      <c r="D771" t="s">
        <v>2946</v>
      </c>
      <c r="E771" t="s">
        <v>3002</v>
      </c>
      <c r="F771" s="3">
        <v>46261.182675529097</v>
      </c>
      <c r="G771" s="3">
        <v>46261.184502657037</v>
      </c>
      <c r="H771">
        <v>2.63</v>
      </c>
      <c r="I771" t="s">
        <v>3146</v>
      </c>
      <c r="J771" t="s">
        <v>3152</v>
      </c>
      <c r="K771" t="s">
        <v>3174</v>
      </c>
      <c r="L771" t="str">
        <f>_xlfn.XLOOKUP(C771,[1]!Table1[Shift_ID],[1]!Table1[Shift_ID])</f>
        <v>S03</v>
      </c>
      <c r="M771" t="str">
        <f>_xlfn.XLOOKUP(D771,[2]!Table1[Machine_ID],[2]!Table1[Machine_ID])</f>
        <v>M005</v>
      </c>
      <c r="N771" t="str">
        <f>_xlfn.XLOOKUP(E771,[3]Sheet1!$A$2:$A$391,[3]Sheet1!$A$2:$A$391)</f>
        <v>PO10052</v>
      </c>
    </row>
    <row r="772" spans="1:14" x14ac:dyDescent="0.2">
      <c r="A772" t="s">
        <v>781</v>
      </c>
      <c r="B772" s="2">
        <v>46260</v>
      </c>
      <c r="C772" t="s">
        <v>2939</v>
      </c>
      <c r="D772" t="s">
        <v>2947</v>
      </c>
      <c r="E772" t="s">
        <v>3002</v>
      </c>
      <c r="F772" s="3">
        <v>46261.011827217531</v>
      </c>
      <c r="G772" s="3">
        <v>46261.03763422124</v>
      </c>
      <c r="H772">
        <v>37.159999999999997</v>
      </c>
      <c r="I772" t="s">
        <v>3149</v>
      </c>
      <c r="J772" t="s">
        <v>3158</v>
      </c>
      <c r="K772" t="s">
        <v>3184</v>
      </c>
      <c r="L772" t="str">
        <f>_xlfn.XLOOKUP(C772,[1]!Table1[Shift_ID],[1]!Table1[Shift_ID])</f>
        <v>S03</v>
      </c>
      <c r="M772" t="str">
        <f>_xlfn.XLOOKUP(D772,[2]!Table1[Machine_ID],[2]!Table1[Machine_ID])</f>
        <v>M006</v>
      </c>
      <c r="N772" t="str">
        <f>_xlfn.XLOOKUP(E772,[3]Sheet1!$A$2:$A$391,[3]Sheet1!$A$2:$A$391)</f>
        <v>PO10052</v>
      </c>
    </row>
    <row r="773" spans="1:14" x14ac:dyDescent="0.2">
      <c r="A773" t="s">
        <v>782</v>
      </c>
      <c r="B773" s="2">
        <v>46260</v>
      </c>
      <c r="C773" t="s">
        <v>2939</v>
      </c>
      <c r="D773" t="s">
        <v>2947</v>
      </c>
      <c r="E773" t="s">
        <v>3002</v>
      </c>
      <c r="F773" s="3">
        <v>46261.108273044621</v>
      </c>
      <c r="G773" s="3">
        <v>46261.110343385219</v>
      </c>
      <c r="H773">
        <v>2.98</v>
      </c>
      <c r="I773" t="s">
        <v>3147</v>
      </c>
      <c r="J773" t="s">
        <v>3153</v>
      </c>
      <c r="K773" t="s">
        <v>3186</v>
      </c>
      <c r="L773" t="str">
        <f>_xlfn.XLOOKUP(C773,[1]!Table1[Shift_ID],[1]!Table1[Shift_ID])</f>
        <v>S03</v>
      </c>
      <c r="M773" t="str">
        <f>_xlfn.XLOOKUP(D773,[2]!Table1[Machine_ID],[2]!Table1[Machine_ID])</f>
        <v>M006</v>
      </c>
      <c r="N773" t="str">
        <f>_xlfn.XLOOKUP(E773,[3]Sheet1!$A$2:$A$391,[3]Sheet1!$A$2:$A$391)</f>
        <v>PO10052</v>
      </c>
    </row>
    <row r="774" spans="1:14" x14ac:dyDescent="0.2">
      <c r="A774" t="s">
        <v>783</v>
      </c>
      <c r="B774" s="2">
        <v>46260</v>
      </c>
      <c r="C774" t="s">
        <v>2939</v>
      </c>
      <c r="D774" t="s">
        <v>2948</v>
      </c>
      <c r="E774" t="s">
        <v>3002</v>
      </c>
      <c r="F774" s="3">
        <v>46260.956356744027</v>
      </c>
      <c r="G774" s="3">
        <v>46260.95966798623</v>
      </c>
      <c r="H774">
        <v>4.7699999999999996</v>
      </c>
      <c r="I774" t="s">
        <v>3147</v>
      </c>
      <c r="J774" t="s">
        <v>3153</v>
      </c>
      <c r="K774" t="s">
        <v>3185</v>
      </c>
      <c r="L774" t="str">
        <f>_xlfn.XLOOKUP(C774,[1]!Table1[Shift_ID],[1]!Table1[Shift_ID])</f>
        <v>S03</v>
      </c>
      <c r="M774" t="str">
        <f>_xlfn.XLOOKUP(D774,[2]!Table1[Machine_ID],[2]!Table1[Machine_ID])</f>
        <v>M007</v>
      </c>
      <c r="N774" t="str">
        <f>_xlfn.XLOOKUP(E774,[3]Sheet1!$A$2:$A$391,[3]Sheet1!$A$2:$A$391)</f>
        <v>PO10052</v>
      </c>
    </row>
    <row r="775" spans="1:14" x14ac:dyDescent="0.2">
      <c r="A775" t="s">
        <v>784</v>
      </c>
      <c r="B775" s="2">
        <v>46260</v>
      </c>
      <c r="C775" t="s">
        <v>2939</v>
      </c>
      <c r="D775" t="s">
        <v>2948</v>
      </c>
      <c r="E775" t="s">
        <v>3002</v>
      </c>
      <c r="F775" s="3">
        <v>46261.024883982929</v>
      </c>
      <c r="G775" s="3">
        <v>46261.040677661433</v>
      </c>
      <c r="H775">
        <v>22.74</v>
      </c>
      <c r="I775" t="s">
        <v>3147</v>
      </c>
      <c r="J775" t="s">
        <v>3153</v>
      </c>
      <c r="K775" t="s">
        <v>3186</v>
      </c>
      <c r="L775" t="str">
        <f>_xlfn.XLOOKUP(C775,[1]!Table1[Shift_ID],[1]!Table1[Shift_ID])</f>
        <v>S03</v>
      </c>
      <c r="M775" t="str">
        <f>_xlfn.XLOOKUP(D775,[2]!Table1[Machine_ID],[2]!Table1[Machine_ID])</f>
        <v>M007</v>
      </c>
      <c r="N775" t="str">
        <f>_xlfn.XLOOKUP(E775,[3]Sheet1!$A$2:$A$391,[3]Sheet1!$A$2:$A$391)</f>
        <v>PO10052</v>
      </c>
    </row>
    <row r="776" spans="1:14" x14ac:dyDescent="0.2">
      <c r="A776" t="s">
        <v>785</v>
      </c>
      <c r="B776" s="2">
        <v>46260</v>
      </c>
      <c r="C776" t="s">
        <v>2939</v>
      </c>
      <c r="D776" t="s">
        <v>2949</v>
      </c>
      <c r="E776" t="s">
        <v>3002</v>
      </c>
      <c r="F776" s="3">
        <v>46260.947406686828</v>
      </c>
      <c r="G776" s="3">
        <v>46260.949310016658</v>
      </c>
      <c r="H776">
        <v>2.74</v>
      </c>
      <c r="I776" t="s">
        <v>3147</v>
      </c>
      <c r="J776" t="s">
        <v>3153</v>
      </c>
      <c r="K776" t="s">
        <v>3185</v>
      </c>
      <c r="L776" t="str">
        <f>_xlfn.XLOOKUP(C776,[1]!Table1[Shift_ID],[1]!Table1[Shift_ID])</f>
        <v>S03</v>
      </c>
      <c r="M776" t="str">
        <f>_xlfn.XLOOKUP(D776,[2]!Table1[Machine_ID],[2]!Table1[Machine_ID])</f>
        <v>M008</v>
      </c>
      <c r="N776" t="str">
        <f>_xlfn.XLOOKUP(E776,[3]Sheet1!$A$2:$A$391,[3]Sheet1!$A$2:$A$391)</f>
        <v>PO10052</v>
      </c>
    </row>
    <row r="777" spans="1:14" x14ac:dyDescent="0.2">
      <c r="A777" t="s">
        <v>786</v>
      </c>
      <c r="B777" s="2">
        <v>46260</v>
      </c>
      <c r="C777" t="s">
        <v>2939</v>
      </c>
      <c r="D777" t="s">
        <v>2949</v>
      </c>
      <c r="E777" t="s">
        <v>3002</v>
      </c>
      <c r="F777" s="3">
        <v>46260.992973565</v>
      </c>
      <c r="G777" s="3">
        <v>46260.998337375779</v>
      </c>
      <c r="H777">
        <v>7.72</v>
      </c>
      <c r="I777" t="s">
        <v>3148</v>
      </c>
      <c r="J777" t="s">
        <v>3155</v>
      </c>
      <c r="K777" t="s">
        <v>3183</v>
      </c>
      <c r="L777" t="str">
        <f>_xlfn.XLOOKUP(C777,[1]!Table1[Shift_ID],[1]!Table1[Shift_ID])</f>
        <v>S03</v>
      </c>
      <c r="M777" t="str">
        <f>_xlfn.XLOOKUP(D777,[2]!Table1[Machine_ID],[2]!Table1[Machine_ID])</f>
        <v>M008</v>
      </c>
      <c r="N777" t="str">
        <f>_xlfn.XLOOKUP(E777,[3]Sheet1!$A$2:$A$391,[3]Sheet1!$A$2:$A$391)</f>
        <v>PO10052</v>
      </c>
    </row>
    <row r="778" spans="1:14" x14ac:dyDescent="0.2">
      <c r="A778" t="s">
        <v>787</v>
      </c>
      <c r="B778" s="2">
        <v>46260</v>
      </c>
      <c r="C778" t="s">
        <v>2940</v>
      </c>
      <c r="D778" t="s">
        <v>2942</v>
      </c>
      <c r="E778" t="s">
        <v>3003</v>
      </c>
      <c r="F778" s="3">
        <v>46260.550562829361</v>
      </c>
      <c r="G778" s="3">
        <v>46260.558090833118</v>
      </c>
      <c r="H778">
        <v>10.84</v>
      </c>
      <c r="I778" t="s">
        <v>3151</v>
      </c>
      <c r="J778" t="s">
        <v>3170</v>
      </c>
      <c r="K778" t="s">
        <v>3188</v>
      </c>
      <c r="L778" t="str">
        <f>_xlfn.XLOOKUP(C778,[1]!Table1[Shift_ID],[1]!Table1[Shift_ID])</f>
        <v>S01</v>
      </c>
      <c r="M778" t="str">
        <f>_xlfn.XLOOKUP(D778,[2]!Table1[Machine_ID],[2]!Table1[Machine_ID])</f>
        <v>M001</v>
      </c>
      <c r="N778" t="str">
        <f>_xlfn.XLOOKUP(E778,[3]Sheet1!$A$2:$A$391,[3]Sheet1!$A$2:$A$391)</f>
        <v>PO10053</v>
      </c>
    </row>
    <row r="779" spans="1:14" x14ac:dyDescent="0.2">
      <c r="A779" t="s">
        <v>788</v>
      </c>
      <c r="B779" s="2">
        <v>46260</v>
      </c>
      <c r="C779" t="s">
        <v>2940</v>
      </c>
      <c r="D779" t="s">
        <v>2943</v>
      </c>
      <c r="E779" t="s">
        <v>3003</v>
      </c>
      <c r="F779" s="3">
        <v>46260.408664103583</v>
      </c>
      <c r="G779" s="3">
        <v>46260.41309699999</v>
      </c>
      <c r="H779">
        <v>6.38</v>
      </c>
      <c r="I779" t="s">
        <v>3147</v>
      </c>
      <c r="J779" t="s">
        <v>3167</v>
      </c>
      <c r="K779" t="s">
        <v>3172</v>
      </c>
      <c r="L779" t="str">
        <f>_xlfn.XLOOKUP(C779,[1]!Table1[Shift_ID],[1]!Table1[Shift_ID])</f>
        <v>S01</v>
      </c>
      <c r="M779" t="str">
        <f>_xlfn.XLOOKUP(D779,[2]!Table1[Machine_ID],[2]!Table1[Machine_ID])</f>
        <v>M002</v>
      </c>
      <c r="N779" t="str">
        <f>_xlfn.XLOOKUP(E779,[3]Sheet1!$A$2:$A$391,[3]Sheet1!$A$2:$A$391)</f>
        <v>PO10053</v>
      </c>
    </row>
    <row r="780" spans="1:14" x14ac:dyDescent="0.2">
      <c r="A780" t="s">
        <v>789</v>
      </c>
      <c r="B780" s="2">
        <v>46260</v>
      </c>
      <c r="C780" t="s">
        <v>2940</v>
      </c>
      <c r="D780" t="s">
        <v>2943</v>
      </c>
      <c r="E780" t="s">
        <v>3003</v>
      </c>
      <c r="F780" s="3">
        <v>46260.467374826243</v>
      </c>
      <c r="G780" s="3">
        <v>46260.472936472033</v>
      </c>
      <c r="H780">
        <v>8.01</v>
      </c>
      <c r="I780" t="s">
        <v>3147</v>
      </c>
      <c r="J780" t="s">
        <v>3154</v>
      </c>
      <c r="K780" t="s">
        <v>3185</v>
      </c>
      <c r="L780" t="str">
        <f>_xlfn.XLOOKUP(C780,[1]!Table1[Shift_ID],[1]!Table1[Shift_ID])</f>
        <v>S01</v>
      </c>
      <c r="M780" t="str">
        <f>_xlfn.XLOOKUP(D780,[2]!Table1[Machine_ID],[2]!Table1[Machine_ID])</f>
        <v>M002</v>
      </c>
      <c r="N780" t="str">
        <f>_xlfn.XLOOKUP(E780,[3]Sheet1!$A$2:$A$391,[3]Sheet1!$A$2:$A$391)</f>
        <v>PO10053</v>
      </c>
    </row>
    <row r="781" spans="1:14" x14ac:dyDescent="0.2">
      <c r="A781" t="s">
        <v>790</v>
      </c>
      <c r="B781" s="2">
        <v>46260</v>
      </c>
      <c r="C781" t="s">
        <v>2940</v>
      </c>
      <c r="D781" t="s">
        <v>2944</v>
      </c>
      <c r="E781" t="s">
        <v>3003</v>
      </c>
      <c r="F781" s="3">
        <v>46260.273412267023</v>
      </c>
      <c r="G781" s="3">
        <v>46260.284120766213</v>
      </c>
      <c r="H781">
        <v>15.42</v>
      </c>
      <c r="I781" t="s">
        <v>3147</v>
      </c>
      <c r="J781" t="s">
        <v>3153</v>
      </c>
      <c r="K781" t="s">
        <v>3185</v>
      </c>
      <c r="L781" t="str">
        <f>_xlfn.XLOOKUP(C781,[1]!Table1[Shift_ID],[1]!Table1[Shift_ID])</f>
        <v>S01</v>
      </c>
      <c r="M781" t="str">
        <f>_xlfn.XLOOKUP(D781,[2]!Table1[Machine_ID],[2]!Table1[Machine_ID])</f>
        <v>M003</v>
      </c>
      <c r="N781" t="str">
        <f>_xlfn.XLOOKUP(E781,[3]Sheet1!$A$2:$A$391,[3]Sheet1!$A$2:$A$391)</f>
        <v>PO10053</v>
      </c>
    </row>
    <row r="782" spans="1:14" x14ac:dyDescent="0.2">
      <c r="A782" t="s">
        <v>791</v>
      </c>
      <c r="B782" s="2">
        <v>46260</v>
      </c>
      <c r="C782" t="s">
        <v>2940</v>
      </c>
      <c r="D782" t="s">
        <v>2945</v>
      </c>
      <c r="E782" t="s">
        <v>3003</v>
      </c>
      <c r="F782" s="3">
        <v>46260.425046953242</v>
      </c>
      <c r="G782" s="3">
        <v>46260.426839283697</v>
      </c>
      <c r="H782">
        <v>2.58</v>
      </c>
      <c r="I782" t="s">
        <v>3150</v>
      </c>
      <c r="J782" t="s">
        <v>3166</v>
      </c>
      <c r="K782" t="s">
        <v>3178</v>
      </c>
      <c r="L782" t="str">
        <f>_xlfn.XLOOKUP(C782,[1]!Table1[Shift_ID],[1]!Table1[Shift_ID])</f>
        <v>S01</v>
      </c>
      <c r="M782" t="str">
        <f>_xlfn.XLOOKUP(D782,[2]!Table1[Machine_ID],[2]!Table1[Machine_ID])</f>
        <v>M004</v>
      </c>
      <c r="N782" t="str">
        <f>_xlfn.XLOOKUP(E782,[3]Sheet1!$A$2:$A$391,[3]Sheet1!$A$2:$A$391)</f>
        <v>PO10053</v>
      </c>
    </row>
    <row r="783" spans="1:14" x14ac:dyDescent="0.2">
      <c r="A783" t="s">
        <v>792</v>
      </c>
      <c r="B783" s="2">
        <v>46260</v>
      </c>
      <c r="C783" t="s">
        <v>2940</v>
      </c>
      <c r="D783" t="s">
        <v>2945</v>
      </c>
      <c r="E783" t="s">
        <v>3003</v>
      </c>
      <c r="F783" s="3">
        <v>46260.443211878912</v>
      </c>
      <c r="G783" s="3">
        <v>46260.449293340447</v>
      </c>
      <c r="H783">
        <v>8.76</v>
      </c>
      <c r="I783" t="s">
        <v>3147</v>
      </c>
      <c r="J783" t="s">
        <v>3154</v>
      </c>
      <c r="K783" t="s">
        <v>3172</v>
      </c>
      <c r="L783" t="str">
        <f>_xlfn.XLOOKUP(C783,[1]!Table1[Shift_ID],[1]!Table1[Shift_ID])</f>
        <v>S01</v>
      </c>
      <c r="M783" t="str">
        <f>_xlfn.XLOOKUP(D783,[2]!Table1[Machine_ID],[2]!Table1[Machine_ID])</f>
        <v>M004</v>
      </c>
      <c r="N783" t="str">
        <f>_xlfn.XLOOKUP(E783,[3]Sheet1!$A$2:$A$391,[3]Sheet1!$A$2:$A$391)</f>
        <v>PO10053</v>
      </c>
    </row>
    <row r="784" spans="1:14" x14ac:dyDescent="0.2">
      <c r="A784" t="s">
        <v>793</v>
      </c>
      <c r="B784" s="2">
        <v>46260</v>
      </c>
      <c r="C784" t="s">
        <v>2940</v>
      </c>
      <c r="D784" t="s">
        <v>2946</v>
      </c>
      <c r="E784" t="s">
        <v>3003</v>
      </c>
      <c r="F784" s="3">
        <v>46260.357276463314</v>
      </c>
      <c r="G784" s="3">
        <v>46260.363575902396</v>
      </c>
      <c r="H784">
        <v>9.07</v>
      </c>
      <c r="I784" t="s">
        <v>3150</v>
      </c>
      <c r="J784" t="s">
        <v>3163</v>
      </c>
      <c r="K784" t="s">
        <v>3178</v>
      </c>
      <c r="L784" t="str">
        <f>_xlfn.XLOOKUP(C784,[1]!Table1[Shift_ID],[1]!Table1[Shift_ID])</f>
        <v>S01</v>
      </c>
      <c r="M784" t="str">
        <f>_xlfn.XLOOKUP(D784,[2]!Table1[Machine_ID],[2]!Table1[Machine_ID])</f>
        <v>M005</v>
      </c>
      <c r="N784" t="str">
        <f>_xlfn.XLOOKUP(E784,[3]Sheet1!$A$2:$A$391,[3]Sheet1!$A$2:$A$391)</f>
        <v>PO10053</v>
      </c>
    </row>
    <row r="785" spans="1:14" x14ac:dyDescent="0.2">
      <c r="A785" t="s">
        <v>794</v>
      </c>
      <c r="B785" s="2">
        <v>46260</v>
      </c>
      <c r="C785" t="s">
        <v>2940</v>
      </c>
      <c r="D785" t="s">
        <v>2947</v>
      </c>
      <c r="E785" t="s">
        <v>3003</v>
      </c>
      <c r="F785" s="3">
        <v>46260.261231411991</v>
      </c>
      <c r="G785" s="3">
        <v>46260.263264103887</v>
      </c>
      <c r="H785">
        <v>2.93</v>
      </c>
      <c r="I785" t="s">
        <v>3149</v>
      </c>
      <c r="J785" t="s">
        <v>3162</v>
      </c>
      <c r="K785" t="s">
        <v>3176</v>
      </c>
      <c r="L785" t="str">
        <f>_xlfn.XLOOKUP(C785,[1]!Table1[Shift_ID],[1]!Table1[Shift_ID])</f>
        <v>S01</v>
      </c>
      <c r="M785" t="str">
        <f>_xlfn.XLOOKUP(D785,[2]!Table1[Machine_ID],[2]!Table1[Machine_ID])</f>
        <v>M006</v>
      </c>
      <c r="N785" t="str">
        <f>_xlfn.XLOOKUP(E785,[3]Sheet1!$A$2:$A$391,[3]Sheet1!$A$2:$A$391)</f>
        <v>PO10053</v>
      </c>
    </row>
    <row r="786" spans="1:14" x14ac:dyDescent="0.2">
      <c r="A786" t="s">
        <v>795</v>
      </c>
      <c r="B786" s="2">
        <v>46260</v>
      </c>
      <c r="C786" t="s">
        <v>2940</v>
      </c>
      <c r="D786" t="s">
        <v>2947</v>
      </c>
      <c r="E786" t="s">
        <v>3003</v>
      </c>
      <c r="F786" s="3">
        <v>46260.412785977453</v>
      </c>
      <c r="G786" s="3">
        <v>46260.429477684222</v>
      </c>
      <c r="H786">
        <v>24.04</v>
      </c>
      <c r="I786" t="s">
        <v>3150</v>
      </c>
      <c r="J786" t="s">
        <v>3159</v>
      </c>
      <c r="K786" t="s">
        <v>3179</v>
      </c>
      <c r="L786" t="str">
        <f>_xlfn.XLOOKUP(C786,[1]!Table1[Shift_ID],[1]!Table1[Shift_ID])</f>
        <v>S01</v>
      </c>
      <c r="M786" t="str">
        <f>_xlfn.XLOOKUP(D786,[2]!Table1[Machine_ID],[2]!Table1[Machine_ID])</f>
        <v>M006</v>
      </c>
      <c r="N786" t="str">
        <f>_xlfn.XLOOKUP(E786,[3]Sheet1!$A$2:$A$391,[3]Sheet1!$A$2:$A$391)</f>
        <v>PO10053</v>
      </c>
    </row>
    <row r="787" spans="1:14" x14ac:dyDescent="0.2">
      <c r="A787" t="s">
        <v>796</v>
      </c>
      <c r="B787" s="2">
        <v>46260</v>
      </c>
      <c r="C787" t="s">
        <v>2940</v>
      </c>
      <c r="D787" t="s">
        <v>2947</v>
      </c>
      <c r="E787" t="s">
        <v>3003</v>
      </c>
      <c r="F787" s="3">
        <v>46260.54857133617</v>
      </c>
      <c r="G787" s="3">
        <v>46260.556009574007</v>
      </c>
      <c r="H787">
        <v>10.71</v>
      </c>
      <c r="I787" t="s">
        <v>3150</v>
      </c>
      <c r="J787" t="s">
        <v>3160</v>
      </c>
      <c r="K787" t="s">
        <v>3179</v>
      </c>
      <c r="L787" t="str">
        <f>_xlfn.XLOOKUP(C787,[1]!Table1[Shift_ID],[1]!Table1[Shift_ID])</f>
        <v>S01</v>
      </c>
      <c r="M787" t="str">
        <f>_xlfn.XLOOKUP(D787,[2]!Table1[Machine_ID],[2]!Table1[Machine_ID])</f>
        <v>M006</v>
      </c>
      <c r="N787" t="str">
        <f>_xlfn.XLOOKUP(E787,[3]Sheet1!$A$2:$A$391,[3]Sheet1!$A$2:$A$391)</f>
        <v>PO10053</v>
      </c>
    </row>
    <row r="788" spans="1:14" x14ac:dyDescent="0.2">
      <c r="A788" t="s">
        <v>797</v>
      </c>
      <c r="B788" s="2">
        <v>46260</v>
      </c>
      <c r="C788" t="s">
        <v>2940</v>
      </c>
      <c r="D788" t="s">
        <v>2948</v>
      </c>
      <c r="E788" t="s">
        <v>3003</v>
      </c>
      <c r="F788" s="3">
        <v>46260.253344704332</v>
      </c>
      <c r="G788" s="3">
        <v>46260.266634352833</v>
      </c>
      <c r="H788">
        <v>19.14</v>
      </c>
      <c r="I788" t="s">
        <v>3147</v>
      </c>
      <c r="J788" t="s">
        <v>3167</v>
      </c>
      <c r="K788" t="s">
        <v>3172</v>
      </c>
      <c r="L788" t="str">
        <f>_xlfn.XLOOKUP(C788,[1]!Table1[Shift_ID],[1]!Table1[Shift_ID])</f>
        <v>S01</v>
      </c>
      <c r="M788" t="str">
        <f>_xlfn.XLOOKUP(D788,[2]!Table1[Machine_ID],[2]!Table1[Machine_ID])</f>
        <v>M007</v>
      </c>
      <c r="N788" t="str">
        <f>_xlfn.XLOOKUP(E788,[3]Sheet1!$A$2:$A$391,[3]Sheet1!$A$2:$A$391)</f>
        <v>PO10053</v>
      </c>
    </row>
    <row r="789" spans="1:14" x14ac:dyDescent="0.2">
      <c r="A789" t="s">
        <v>798</v>
      </c>
      <c r="B789" s="2">
        <v>46260</v>
      </c>
      <c r="C789" t="s">
        <v>2940</v>
      </c>
      <c r="D789" t="s">
        <v>2949</v>
      </c>
      <c r="E789" t="s">
        <v>3003</v>
      </c>
      <c r="F789" s="3">
        <v>46260.386997512971</v>
      </c>
      <c r="G789" s="3">
        <v>46260.394192103573</v>
      </c>
      <c r="H789">
        <v>10.36</v>
      </c>
      <c r="I789" t="s">
        <v>3146</v>
      </c>
      <c r="J789" t="s">
        <v>3152</v>
      </c>
      <c r="K789" t="s">
        <v>3174</v>
      </c>
      <c r="L789" t="str">
        <f>_xlfn.XLOOKUP(C789,[1]!Table1[Shift_ID],[1]!Table1[Shift_ID])</f>
        <v>S01</v>
      </c>
      <c r="M789" t="str">
        <f>_xlfn.XLOOKUP(D789,[2]!Table1[Machine_ID],[2]!Table1[Machine_ID])</f>
        <v>M008</v>
      </c>
      <c r="N789" t="str">
        <f>_xlfn.XLOOKUP(E789,[3]Sheet1!$A$2:$A$391,[3]Sheet1!$A$2:$A$391)</f>
        <v>PO10053</v>
      </c>
    </row>
    <row r="790" spans="1:14" x14ac:dyDescent="0.2">
      <c r="A790" t="s">
        <v>799</v>
      </c>
      <c r="B790" s="2">
        <v>46260</v>
      </c>
      <c r="C790" t="s">
        <v>2941</v>
      </c>
      <c r="D790" t="s">
        <v>2942</v>
      </c>
      <c r="E790" t="s">
        <v>3004</v>
      </c>
      <c r="F790" s="3">
        <v>46260.722364635032</v>
      </c>
      <c r="G790" s="3">
        <v>46260.727150066283</v>
      </c>
      <c r="H790">
        <v>6.89</v>
      </c>
      <c r="I790" t="s">
        <v>3150</v>
      </c>
      <c r="J790" t="s">
        <v>3166</v>
      </c>
      <c r="K790" t="s">
        <v>3177</v>
      </c>
      <c r="L790" t="str">
        <f>_xlfn.XLOOKUP(C790,[1]!Table1[Shift_ID],[1]!Table1[Shift_ID])</f>
        <v>S02</v>
      </c>
      <c r="M790" t="str">
        <f>_xlfn.XLOOKUP(D790,[2]!Table1[Machine_ID],[2]!Table1[Machine_ID])</f>
        <v>M001</v>
      </c>
      <c r="N790" t="str">
        <f>_xlfn.XLOOKUP(E790,[3]Sheet1!$A$2:$A$391,[3]Sheet1!$A$2:$A$391)</f>
        <v>PO10054</v>
      </c>
    </row>
    <row r="791" spans="1:14" x14ac:dyDescent="0.2">
      <c r="A791" t="s">
        <v>800</v>
      </c>
      <c r="B791" s="2">
        <v>46260</v>
      </c>
      <c r="C791" t="s">
        <v>2941</v>
      </c>
      <c r="D791" t="s">
        <v>2943</v>
      </c>
      <c r="E791" t="s">
        <v>3004</v>
      </c>
      <c r="F791" s="3">
        <v>46260.649298082797</v>
      </c>
      <c r="G791" s="3">
        <v>46260.652200435092</v>
      </c>
      <c r="H791">
        <v>4.18</v>
      </c>
      <c r="I791" t="s">
        <v>3147</v>
      </c>
      <c r="J791" t="s">
        <v>3167</v>
      </c>
      <c r="K791" t="s">
        <v>3185</v>
      </c>
      <c r="L791" t="str">
        <f>_xlfn.XLOOKUP(C791,[1]!Table1[Shift_ID],[1]!Table1[Shift_ID])</f>
        <v>S02</v>
      </c>
      <c r="M791" t="str">
        <f>_xlfn.XLOOKUP(D791,[2]!Table1[Machine_ID],[2]!Table1[Machine_ID])</f>
        <v>M002</v>
      </c>
      <c r="N791" t="str">
        <f>_xlfn.XLOOKUP(E791,[3]Sheet1!$A$2:$A$391,[3]Sheet1!$A$2:$A$391)</f>
        <v>PO10054</v>
      </c>
    </row>
    <row r="792" spans="1:14" x14ac:dyDescent="0.2">
      <c r="A792" t="s">
        <v>801</v>
      </c>
      <c r="B792" s="2">
        <v>46260</v>
      </c>
      <c r="C792" t="s">
        <v>2941</v>
      </c>
      <c r="D792" t="s">
        <v>2943</v>
      </c>
      <c r="E792" t="s">
        <v>3004</v>
      </c>
      <c r="F792" s="3">
        <v>46260.663823151757</v>
      </c>
      <c r="G792" s="3">
        <v>46260.670189667922</v>
      </c>
      <c r="H792">
        <v>9.17</v>
      </c>
      <c r="I792" t="s">
        <v>3148</v>
      </c>
      <c r="J792" t="s">
        <v>3165</v>
      </c>
      <c r="K792" t="s">
        <v>3180</v>
      </c>
      <c r="L792" t="str">
        <f>_xlfn.XLOOKUP(C792,[1]!Table1[Shift_ID],[1]!Table1[Shift_ID])</f>
        <v>S02</v>
      </c>
      <c r="M792" t="str">
        <f>_xlfn.XLOOKUP(D792,[2]!Table1[Machine_ID],[2]!Table1[Machine_ID])</f>
        <v>M002</v>
      </c>
      <c r="N792" t="str">
        <f>_xlfn.XLOOKUP(E792,[3]Sheet1!$A$2:$A$391,[3]Sheet1!$A$2:$A$391)</f>
        <v>PO10054</v>
      </c>
    </row>
    <row r="793" spans="1:14" x14ac:dyDescent="0.2">
      <c r="A793" t="s">
        <v>802</v>
      </c>
      <c r="B793" s="2">
        <v>46260</v>
      </c>
      <c r="C793" t="s">
        <v>2941</v>
      </c>
      <c r="D793" t="s">
        <v>2944</v>
      </c>
      <c r="E793" t="s">
        <v>3004</v>
      </c>
      <c r="F793" s="3">
        <v>46260.677687482763</v>
      </c>
      <c r="G793" s="3">
        <v>46260.679564051701</v>
      </c>
      <c r="H793">
        <v>2.7</v>
      </c>
      <c r="I793" t="s">
        <v>3149</v>
      </c>
      <c r="J793" t="s">
        <v>3168</v>
      </c>
      <c r="K793" t="s">
        <v>3176</v>
      </c>
      <c r="L793" t="str">
        <f>_xlfn.XLOOKUP(C793,[1]!Table1[Shift_ID],[1]!Table1[Shift_ID])</f>
        <v>S02</v>
      </c>
      <c r="M793" t="str">
        <f>_xlfn.XLOOKUP(D793,[2]!Table1[Machine_ID],[2]!Table1[Machine_ID])</f>
        <v>M003</v>
      </c>
      <c r="N793" t="str">
        <f>_xlfn.XLOOKUP(E793,[3]Sheet1!$A$2:$A$391,[3]Sheet1!$A$2:$A$391)</f>
        <v>PO10054</v>
      </c>
    </row>
    <row r="794" spans="1:14" x14ac:dyDescent="0.2">
      <c r="A794" t="s">
        <v>803</v>
      </c>
      <c r="B794" s="2">
        <v>46260</v>
      </c>
      <c r="C794" t="s">
        <v>2941</v>
      </c>
      <c r="D794" t="s">
        <v>2944</v>
      </c>
      <c r="E794" t="s">
        <v>3004</v>
      </c>
      <c r="F794" s="3">
        <v>46260.832866525227</v>
      </c>
      <c r="G794" s="3">
        <v>46260.839173036911</v>
      </c>
      <c r="H794">
        <v>9.08</v>
      </c>
      <c r="I794" t="s">
        <v>3150</v>
      </c>
      <c r="J794" t="s">
        <v>3163</v>
      </c>
      <c r="K794" t="s">
        <v>3177</v>
      </c>
      <c r="L794" t="str">
        <f>_xlfn.XLOOKUP(C794,[1]!Table1[Shift_ID],[1]!Table1[Shift_ID])</f>
        <v>S02</v>
      </c>
      <c r="M794" t="str">
        <f>_xlfn.XLOOKUP(D794,[2]!Table1[Machine_ID],[2]!Table1[Machine_ID])</f>
        <v>M003</v>
      </c>
      <c r="N794" t="str">
        <f>_xlfn.XLOOKUP(E794,[3]Sheet1!$A$2:$A$391,[3]Sheet1!$A$2:$A$391)</f>
        <v>PO10054</v>
      </c>
    </row>
    <row r="795" spans="1:14" x14ac:dyDescent="0.2">
      <c r="A795" t="s">
        <v>804</v>
      </c>
      <c r="B795" s="2">
        <v>46260</v>
      </c>
      <c r="C795" t="s">
        <v>2941</v>
      </c>
      <c r="D795" t="s">
        <v>2945</v>
      </c>
      <c r="E795" t="s">
        <v>3004</v>
      </c>
      <c r="F795" s="3">
        <v>46260.699137230768</v>
      </c>
      <c r="G795" s="3">
        <v>46260.705060417757</v>
      </c>
      <c r="H795">
        <v>8.5299999999999994</v>
      </c>
      <c r="I795" t="s">
        <v>3147</v>
      </c>
      <c r="J795" t="s">
        <v>3154</v>
      </c>
      <c r="K795" t="s">
        <v>3172</v>
      </c>
      <c r="L795" t="str">
        <f>_xlfn.XLOOKUP(C795,[1]!Table1[Shift_ID],[1]!Table1[Shift_ID])</f>
        <v>S02</v>
      </c>
      <c r="M795" t="str">
        <f>_xlfn.XLOOKUP(D795,[2]!Table1[Machine_ID],[2]!Table1[Machine_ID])</f>
        <v>M004</v>
      </c>
      <c r="N795" t="str">
        <f>_xlfn.XLOOKUP(E795,[3]Sheet1!$A$2:$A$391,[3]Sheet1!$A$2:$A$391)</f>
        <v>PO10054</v>
      </c>
    </row>
    <row r="796" spans="1:14" x14ac:dyDescent="0.2">
      <c r="A796" t="s">
        <v>805</v>
      </c>
      <c r="B796" s="2">
        <v>46260</v>
      </c>
      <c r="C796" t="s">
        <v>2941</v>
      </c>
      <c r="D796" t="s">
        <v>2946</v>
      </c>
      <c r="E796" t="s">
        <v>3004</v>
      </c>
      <c r="F796" s="3">
        <v>46260.82309951428</v>
      </c>
      <c r="G796" s="3">
        <v>46260.831964706224</v>
      </c>
      <c r="H796">
        <v>12.77</v>
      </c>
      <c r="I796" t="s">
        <v>3147</v>
      </c>
      <c r="J796" t="s">
        <v>3167</v>
      </c>
      <c r="K796" t="s">
        <v>3186</v>
      </c>
      <c r="L796" t="str">
        <f>_xlfn.XLOOKUP(C796,[1]!Table1[Shift_ID],[1]!Table1[Shift_ID])</f>
        <v>S02</v>
      </c>
      <c r="M796" t="str">
        <f>_xlfn.XLOOKUP(D796,[2]!Table1[Machine_ID],[2]!Table1[Machine_ID])</f>
        <v>M005</v>
      </c>
      <c r="N796" t="str">
        <f>_xlfn.XLOOKUP(E796,[3]Sheet1!$A$2:$A$391,[3]Sheet1!$A$2:$A$391)</f>
        <v>PO10054</v>
      </c>
    </row>
    <row r="797" spans="1:14" x14ac:dyDescent="0.2">
      <c r="A797" t="s">
        <v>806</v>
      </c>
      <c r="B797" s="2">
        <v>46260</v>
      </c>
      <c r="C797" t="s">
        <v>2941</v>
      </c>
      <c r="D797" t="s">
        <v>2947</v>
      </c>
      <c r="E797" t="s">
        <v>3004</v>
      </c>
      <c r="F797" s="3">
        <v>46260.59487791406</v>
      </c>
      <c r="G797" s="3">
        <v>46260.597206369552</v>
      </c>
      <c r="H797">
        <v>3.35</v>
      </c>
      <c r="I797" t="s">
        <v>3149</v>
      </c>
      <c r="J797" t="s">
        <v>3162</v>
      </c>
      <c r="K797" t="s">
        <v>3184</v>
      </c>
      <c r="L797" t="str">
        <f>_xlfn.XLOOKUP(C797,[1]!Table1[Shift_ID],[1]!Table1[Shift_ID])</f>
        <v>S02</v>
      </c>
      <c r="M797" t="str">
        <f>_xlfn.XLOOKUP(D797,[2]!Table1[Machine_ID],[2]!Table1[Machine_ID])</f>
        <v>M006</v>
      </c>
      <c r="N797" t="str">
        <f>_xlfn.XLOOKUP(E797,[3]Sheet1!$A$2:$A$391,[3]Sheet1!$A$2:$A$391)</f>
        <v>PO10054</v>
      </c>
    </row>
    <row r="798" spans="1:14" x14ac:dyDescent="0.2">
      <c r="A798" t="s">
        <v>807</v>
      </c>
      <c r="B798" s="2">
        <v>46260</v>
      </c>
      <c r="C798" t="s">
        <v>2941</v>
      </c>
      <c r="D798" t="s">
        <v>2947</v>
      </c>
      <c r="E798" t="s">
        <v>3004</v>
      </c>
      <c r="F798" s="3">
        <v>46260.685451329897</v>
      </c>
      <c r="G798" s="3">
        <v>46260.687939380281</v>
      </c>
      <c r="H798">
        <v>3.58</v>
      </c>
      <c r="I798" t="s">
        <v>3146</v>
      </c>
      <c r="J798" t="s">
        <v>3156</v>
      </c>
      <c r="K798" t="s">
        <v>3174</v>
      </c>
      <c r="L798" t="str">
        <f>_xlfn.XLOOKUP(C798,[1]!Table1[Shift_ID],[1]!Table1[Shift_ID])</f>
        <v>S02</v>
      </c>
      <c r="M798" t="str">
        <f>_xlfn.XLOOKUP(D798,[2]!Table1[Machine_ID],[2]!Table1[Machine_ID])</f>
        <v>M006</v>
      </c>
      <c r="N798" t="str">
        <f>_xlfn.XLOOKUP(E798,[3]Sheet1!$A$2:$A$391,[3]Sheet1!$A$2:$A$391)</f>
        <v>PO10054</v>
      </c>
    </row>
    <row r="799" spans="1:14" x14ac:dyDescent="0.2">
      <c r="A799" t="s">
        <v>808</v>
      </c>
      <c r="B799" s="2">
        <v>46260</v>
      </c>
      <c r="C799" t="s">
        <v>2941</v>
      </c>
      <c r="D799" t="s">
        <v>2947</v>
      </c>
      <c r="E799" t="s">
        <v>3004</v>
      </c>
      <c r="F799" s="3">
        <v>46260.846904073776</v>
      </c>
      <c r="G799" s="3">
        <v>46260.85338522587</v>
      </c>
      <c r="H799">
        <v>9.33</v>
      </c>
      <c r="I799" t="s">
        <v>3150</v>
      </c>
      <c r="J799" t="s">
        <v>3166</v>
      </c>
      <c r="K799" t="s">
        <v>3178</v>
      </c>
      <c r="L799" t="str">
        <f>_xlfn.XLOOKUP(C799,[1]!Table1[Shift_ID],[1]!Table1[Shift_ID])</f>
        <v>S02</v>
      </c>
      <c r="M799" t="str">
        <f>_xlfn.XLOOKUP(D799,[2]!Table1[Machine_ID],[2]!Table1[Machine_ID])</f>
        <v>M006</v>
      </c>
      <c r="N799" t="str">
        <f>_xlfn.XLOOKUP(E799,[3]Sheet1!$A$2:$A$391,[3]Sheet1!$A$2:$A$391)</f>
        <v>PO10054</v>
      </c>
    </row>
    <row r="800" spans="1:14" x14ac:dyDescent="0.2">
      <c r="A800" t="s">
        <v>809</v>
      </c>
      <c r="B800" s="2">
        <v>46260</v>
      </c>
      <c r="C800" t="s">
        <v>2941</v>
      </c>
      <c r="D800" t="s">
        <v>2947</v>
      </c>
      <c r="E800" t="s">
        <v>3004</v>
      </c>
      <c r="F800" s="3">
        <v>46260.905178844187</v>
      </c>
      <c r="G800" s="3">
        <v>46260.913194164234</v>
      </c>
      <c r="H800">
        <v>11.54</v>
      </c>
      <c r="I800" t="s">
        <v>3147</v>
      </c>
      <c r="J800" t="s">
        <v>3167</v>
      </c>
      <c r="K800" t="s">
        <v>3172</v>
      </c>
      <c r="L800" t="str">
        <f>_xlfn.XLOOKUP(C800,[1]!Table1[Shift_ID],[1]!Table1[Shift_ID])</f>
        <v>S02</v>
      </c>
      <c r="M800" t="str">
        <f>_xlfn.XLOOKUP(D800,[2]!Table1[Machine_ID],[2]!Table1[Machine_ID])</f>
        <v>M006</v>
      </c>
      <c r="N800" t="str">
        <f>_xlfn.XLOOKUP(E800,[3]Sheet1!$A$2:$A$391,[3]Sheet1!$A$2:$A$391)</f>
        <v>PO10054</v>
      </c>
    </row>
    <row r="801" spans="1:14" x14ac:dyDescent="0.2">
      <c r="A801" t="s">
        <v>810</v>
      </c>
      <c r="B801" s="2">
        <v>46260</v>
      </c>
      <c r="C801" t="s">
        <v>2941</v>
      </c>
      <c r="D801" t="s">
        <v>2948</v>
      </c>
      <c r="E801" t="s">
        <v>3004</v>
      </c>
      <c r="F801" s="3">
        <v>46260.607637973633</v>
      </c>
      <c r="G801" s="3">
        <v>46260.620242031458</v>
      </c>
      <c r="H801">
        <v>18.149999999999999</v>
      </c>
      <c r="I801" t="s">
        <v>3150</v>
      </c>
      <c r="J801" t="s">
        <v>3159</v>
      </c>
      <c r="K801" t="s">
        <v>3178</v>
      </c>
      <c r="L801" t="str">
        <f>_xlfn.XLOOKUP(C801,[1]!Table1[Shift_ID],[1]!Table1[Shift_ID])</f>
        <v>S02</v>
      </c>
      <c r="M801" t="str">
        <f>_xlfn.XLOOKUP(D801,[2]!Table1[Machine_ID],[2]!Table1[Machine_ID])</f>
        <v>M007</v>
      </c>
      <c r="N801" t="str">
        <f>_xlfn.XLOOKUP(E801,[3]Sheet1!$A$2:$A$391,[3]Sheet1!$A$2:$A$391)</f>
        <v>PO10054</v>
      </c>
    </row>
    <row r="802" spans="1:14" x14ac:dyDescent="0.2">
      <c r="A802" t="s">
        <v>811</v>
      </c>
      <c r="B802" s="2">
        <v>46260</v>
      </c>
      <c r="C802" t="s">
        <v>2941</v>
      </c>
      <c r="D802" t="s">
        <v>2949</v>
      </c>
      <c r="E802" t="s">
        <v>3004</v>
      </c>
      <c r="F802" s="3">
        <v>46260.6939292034</v>
      </c>
      <c r="G802" s="3">
        <v>46260.699895229089</v>
      </c>
      <c r="H802">
        <v>8.59</v>
      </c>
      <c r="I802" t="s">
        <v>3150</v>
      </c>
      <c r="J802" t="s">
        <v>3163</v>
      </c>
      <c r="K802" t="s">
        <v>3179</v>
      </c>
      <c r="L802" t="str">
        <f>_xlfn.XLOOKUP(C802,[1]!Table1[Shift_ID],[1]!Table1[Shift_ID])</f>
        <v>S02</v>
      </c>
      <c r="M802" t="str">
        <f>_xlfn.XLOOKUP(D802,[2]!Table1[Machine_ID],[2]!Table1[Machine_ID])</f>
        <v>M008</v>
      </c>
      <c r="N802" t="str">
        <f>_xlfn.XLOOKUP(E802,[3]Sheet1!$A$2:$A$391,[3]Sheet1!$A$2:$A$391)</f>
        <v>PO10054</v>
      </c>
    </row>
    <row r="803" spans="1:14" x14ac:dyDescent="0.2">
      <c r="A803" t="s">
        <v>812</v>
      </c>
      <c r="B803" s="2">
        <v>46261</v>
      </c>
      <c r="C803" t="s">
        <v>2939</v>
      </c>
      <c r="D803" t="s">
        <v>2942</v>
      </c>
      <c r="E803" t="s">
        <v>3005</v>
      </c>
      <c r="F803" s="3">
        <v>46261.978359567103</v>
      </c>
      <c r="G803" s="3">
        <v>46261.983805024603</v>
      </c>
      <c r="H803">
        <v>7.84</v>
      </c>
      <c r="I803" t="s">
        <v>3149</v>
      </c>
      <c r="J803" t="s">
        <v>3162</v>
      </c>
      <c r="K803" t="s">
        <v>3182</v>
      </c>
      <c r="L803" t="str">
        <f>_xlfn.XLOOKUP(C803,[1]!Table1[Shift_ID],[1]!Table1[Shift_ID])</f>
        <v>S03</v>
      </c>
      <c r="M803" t="str">
        <f>_xlfn.XLOOKUP(D803,[2]!Table1[Machine_ID],[2]!Table1[Machine_ID])</f>
        <v>M001</v>
      </c>
      <c r="N803" t="str">
        <f>_xlfn.XLOOKUP(E803,[3]Sheet1!$A$2:$A$391,[3]Sheet1!$A$2:$A$391)</f>
        <v>PO10055</v>
      </c>
    </row>
    <row r="804" spans="1:14" x14ac:dyDescent="0.2">
      <c r="A804" t="s">
        <v>813</v>
      </c>
      <c r="B804" s="2">
        <v>46261</v>
      </c>
      <c r="C804" t="s">
        <v>2939</v>
      </c>
      <c r="D804" t="s">
        <v>2943</v>
      </c>
      <c r="E804" t="s">
        <v>3005</v>
      </c>
      <c r="F804" s="3">
        <v>46261.942086195151</v>
      </c>
      <c r="G804" s="3">
        <v>46261.945273878562</v>
      </c>
      <c r="H804">
        <v>4.59</v>
      </c>
      <c r="I804" t="s">
        <v>3150</v>
      </c>
      <c r="J804" t="s">
        <v>3163</v>
      </c>
      <c r="K804" t="s">
        <v>3179</v>
      </c>
      <c r="L804" t="str">
        <f>_xlfn.XLOOKUP(C804,[1]!Table1[Shift_ID],[1]!Table1[Shift_ID])</f>
        <v>S03</v>
      </c>
      <c r="M804" t="str">
        <f>_xlfn.XLOOKUP(D804,[2]!Table1[Machine_ID],[2]!Table1[Machine_ID])</f>
        <v>M002</v>
      </c>
      <c r="N804" t="str">
        <f>_xlfn.XLOOKUP(E804,[3]Sheet1!$A$2:$A$391,[3]Sheet1!$A$2:$A$391)</f>
        <v>PO10055</v>
      </c>
    </row>
    <row r="805" spans="1:14" x14ac:dyDescent="0.2">
      <c r="A805" t="s">
        <v>814</v>
      </c>
      <c r="B805" s="2">
        <v>46261</v>
      </c>
      <c r="C805" t="s">
        <v>2939</v>
      </c>
      <c r="D805" t="s">
        <v>2943</v>
      </c>
      <c r="E805" t="s">
        <v>3005</v>
      </c>
      <c r="F805" s="3">
        <v>46262.226263203302</v>
      </c>
      <c r="G805" s="3">
        <v>46262.231067401197</v>
      </c>
      <c r="H805">
        <v>6.92</v>
      </c>
      <c r="I805" t="s">
        <v>3151</v>
      </c>
      <c r="J805" t="s">
        <v>3169</v>
      </c>
      <c r="K805" t="s">
        <v>3188</v>
      </c>
      <c r="L805" t="str">
        <f>_xlfn.XLOOKUP(C805,[1]!Table1[Shift_ID],[1]!Table1[Shift_ID])</f>
        <v>S03</v>
      </c>
      <c r="M805" t="str">
        <f>_xlfn.XLOOKUP(D805,[2]!Table1[Machine_ID],[2]!Table1[Machine_ID])</f>
        <v>M002</v>
      </c>
      <c r="N805" t="str">
        <f>_xlfn.XLOOKUP(E805,[3]Sheet1!$A$2:$A$391,[3]Sheet1!$A$2:$A$391)</f>
        <v>PO10055</v>
      </c>
    </row>
    <row r="806" spans="1:14" x14ac:dyDescent="0.2">
      <c r="A806" t="s">
        <v>815</v>
      </c>
      <c r="B806" s="2">
        <v>46261</v>
      </c>
      <c r="C806" t="s">
        <v>2939</v>
      </c>
      <c r="D806" t="s">
        <v>2944</v>
      </c>
      <c r="E806" t="s">
        <v>3005</v>
      </c>
      <c r="F806" s="3">
        <v>46261.969908337007</v>
      </c>
      <c r="G806" s="3">
        <v>46261.971519091283</v>
      </c>
      <c r="H806">
        <v>2.3199999999999998</v>
      </c>
      <c r="I806" t="s">
        <v>3146</v>
      </c>
      <c r="J806" t="s">
        <v>3156</v>
      </c>
      <c r="K806" t="s">
        <v>3174</v>
      </c>
      <c r="L806" t="str">
        <f>_xlfn.XLOOKUP(C806,[1]!Table1[Shift_ID],[1]!Table1[Shift_ID])</f>
        <v>S03</v>
      </c>
      <c r="M806" t="str">
        <f>_xlfn.XLOOKUP(D806,[2]!Table1[Machine_ID],[2]!Table1[Machine_ID])</f>
        <v>M003</v>
      </c>
      <c r="N806" t="str">
        <f>_xlfn.XLOOKUP(E806,[3]Sheet1!$A$2:$A$391,[3]Sheet1!$A$2:$A$391)</f>
        <v>PO10055</v>
      </c>
    </row>
    <row r="807" spans="1:14" x14ac:dyDescent="0.2">
      <c r="A807" t="s">
        <v>816</v>
      </c>
      <c r="B807" s="2">
        <v>46261</v>
      </c>
      <c r="C807" t="s">
        <v>2939</v>
      </c>
      <c r="D807" t="s">
        <v>2944</v>
      </c>
      <c r="E807" t="s">
        <v>3005</v>
      </c>
      <c r="F807" s="3">
        <v>46262.11934784778</v>
      </c>
      <c r="G807" s="3">
        <v>46262.124386952892</v>
      </c>
      <c r="H807">
        <v>7.26</v>
      </c>
      <c r="I807" t="s">
        <v>3147</v>
      </c>
      <c r="J807" t="s">
        <v>3154</v>
      </c>
      <c r="K807" t="s">
        <v>3172</v>
      </c>
      <c r="L807" t="str">
        <f>_xlfn.XLOOKUP(C807,[1]!Table1[Shift_ID],[1]!Table1[Shift_ID])</f>
        <v>S03</v>
      </c>
      <c r="M807" t="str">
        <f>_xlfn.XLOOKUP(D807,[2]!Table1[Machine_ID],[2]!Table1[Machine_ID])</f>
        <v>M003</v>
      </c>
      <c r="N807" t="str">
        <f>_xlfn.XLOOKUP(E807,[3]Sheet1!$A$2:$A$391,[3]Sheet1!$A$2:$A$391)</f>
        <v>PO10055</v>
      </c>
    </row>
    <row r="808" spans="1:14" x14ac:dyDescent="0.2">
      <c r="A808" t="s">
        <v>817</v>
      </c>
      <c r="B808" s="2">
        <v>46261</v>
      </c>
      <c r="C808" t="s">
        <v>2939</v>
      </c>
      <c r="D808" t="s">
        <v>2944</v>
      </c>
      <c r="E808" t="s">
        <v>3005</v>
      </c>
      <c r="F808" s="3">
        <v>46262.231631313807</v>
      </c>
      <c r="G808" s="3">
        <v>46262.233242068069</v>
      </c>
      <c r="H808">
        <v>2.3199999999999998</v>
      </c>
      <c r="I808" t="s">
        <v>3150</v>
      </c>
      <c r="J808" t="s">
        <v>3163</v>
      </c>
      <c r="K808" t="s">
        <v>3177</v>
      </c>
      <c r="L808" t="str">
        <f>_xlfn.XLOOKUP(C808,[1]!Table1[Shift_ID],[1]!Table1[Shift_ID])</f>
        <v>S03</v>
      </c>
      <c r="M808" t="str">
        <f>_xlfn.XLOOKUP(D808,[2]!Table1[Machine_ID],[2]!Table1[Machine_ID])</f>
        <v>M003</v>
      </c>
      <c r="N808" t="str">
        <f>_xlfn.XLOOKUP(E808,[3]Sheet1!$A$2:$A$391,[3]Sheet1!$A$2:$A$391)</f>
        <v>PO10055</v>
      </c>
    </row>
    <row r="809" spans="1:14" x14ac:dyDescent="0.2">
      <c r="A809" t="s">
        <v>818</v>
      </c>
      <c r="B809" s="2">
        <v>46261</v>
      </c>
      <c r="C809" t="s">
        <v>2939</v>
      </c>
      <c r="D809" t="s">
        <v>2945</v>
      </c>
      <c r="E809" t="s">
        <v>3005</v>
      </c>
      <c r="F809" s="3">
        <v>46262.051614664408</v>
      </c>
      <c r="G809" s="3">
        <v>46262.057076711761</v>
      </c>
      <c r="H809">
        <v>7.87</v>
      </c>
      <c r="I809" t="s">
        <v>3149</v>
      </c>
      <c r="J809" t="s">
        <v>3158</v>
      </c>
      <c r="K809" t="s">
        <v>3176</v>
      </c>
      <c r="L809" t="str">
        <f>_xlfn.XLOOKUP(C809,[1]!Table1[Shift_ID],[1]!Table1[Shift_ID])</f>
        <v>S03</v>
      </c>
      <c r="M809" t="str">
        <f>_xlfn.XLOOKUP(D809,[2]!Table1[Machine_ID],[2]!Table1[Machine_ID])</f>
        <v>M004</v>
      </c>
      <c r="N809" t="str">
        <f>_xlfn.XLOOKUP(E809,[3]Sheet1!$A$2:$A$391,[3]Sheet1!$A$2:$A$391)</f>
        <v>PO10055</v>
      </c>
    </row>
    <row r="810" spans="1:14" x14ac:dyDescent="0.2">
      <c r="A810" t="s">
        <v>819</v>
      </c>
      <c r="B810" s="2">
        <v>46261</v>
      </c>
      <c r="C810" t="s">
        <v>2939</v>
      </c>
      <c r="D810" t="s">
        <v>2946</v>
      </c>
      <c r="E810" t="s">
        <v>3005</v>
      </c>
      <c r="F810" s="3">
        <v>46261.93194351573</v>
      </c>
      <c r="G810" s="3">
        <v>46261.941003512722</v>
      </c>
      <c r="H810">
        <v>13.05</v>
      </c>
      <c r="I810" t="s">
        <v>3151</v>
      </c>
      <c r="J810" t="s">
        <v>3161</v>
      </c>
      <c r="K810" t="s">
        <v>3188</v>
      </c>
      <c r="L810" t="str">
        <f>_xlfn.XLOOKUP(C810,[1]!Table1[Shift_ID],[1]!Table1[Shift_ID])</f>
        <v>S03</v>
      </c>
      <c r="M810" t="str">
        <f>_xlfn.XLOOKUP(D810,[2]!Table1[Machine_ID],[2]!Table1[Machine_ID])</f>
        <v>M005</v>
      </c>
      <c r="N810" t="str">
        <f>_xlfn.XLOOKUP(E810,[3]Sheet1!$A$2:$A$391,[3]Sheet1!$A$2:$A$391)</f>
        <v>PO10055</v>
      </c>
    </row>
    <row r="811" spans="1:14" x14ac:dyDescent="0.2">
      <c r="A811" t="s">
        <v>820</v>
      </c>
      <c r="B811" s="2">
        <v>46261</v>
      </c>
      <c r="C811" t="s">
        <v>2939</v>
      </c>
      <c r="D811" t="s">
        <v>2947</v>
      </c>
      <c r="E811" t="s">
        <v>3005</v>
      </c>
      <c r="F811" s="3">
        <v>46261.926600372382</v>
      </c>
      <c r="G811" s="3">
        <v>46261.929923592092</v>
      </c>
      <c r="H811">
        <v>4.79</v>
      </c>
      <c r="I811" t="s">
        <v>3150</v>
      </c>
      <c r="J811" t="s">
        <v>3159</v>
      </c>
      <c r="K811" t="s">
        <v>3179</v>
      </c>
      <c r="L811" t="str">
        <f>_xlfn.XLOOKUP(C811,[1]!Table1[Shift_ID],[1]!Table1[Shift_ID])</f>
        <v>S03</v>
      </c>
      <c r="M811" t="str">
        <f>_xlfn.XLOOKUP(D811,[2]!Table1[Machine_ID],[2]!Table1[Machine_ID])</f>
        <v>M006</v>
      </c>
      <c r="N811" t="str">
        <f>_xlfn.XLOOKUP(E811,[3]Sheet1!$A$2:$A$391,[3]Sheet1!$A$2:$A$391)</f>
        <v>PO10055</v>
      </c>
    </row>
    <row r="812" spans="1:14" x14ac:dyDescent="0.2">
      <c r="A812" t="s">
        <v>821</v>
      </c>
      <c r="B812" s="2">
        <v>46261</v>
      </c>
      <c r="C812" t="s">
        <v>2939</v>
      </c>
      <c r="D812" t="s">
        <v>2947</v>
      </c>
      <c r="E812" t="s">
        <v>3005</v>
      </c>
      <c r="F812" s="3">
        <v>46262.182627280512</v>
      </c>
      <c r="G812" s="3">
        <v>46262.193330562914</v>
      </c>
      <c r="H812">
        <v>15.41</v>
      </c>
      <c r="I812" t="s">
        <v>3149</v>
      </c>
      <c r="J812" t="s">
        <v>3162</v>
      </c>
      <c r="K812" t="s">
        <v>3176</v>
      </c>
      <c r="L812" t="str">
        <f>_xlfn.XLOOKUP(C812,[1]!Table1[Shift_ID],[1]!Table1[Shift_ID])</f>
        <v>S03</v>
      </c>
      <c r="M812" t="str">
        <f>_xlfn.XLOOKUP(D812,[2]!Table1[Machine_ID],[2]!Table1[Machine_ID])</f>
        <v>M006</v>
      </c>
      <c r="N812" t="str">
        <f>_xlfn.XLOOKUP(E812,[3]Sheet1!$A$2:$A$391,[3]Sheet1!$A$2:$A$391)</f>
        <v>PO10055</v>
      </c>
    </row>
    <row r="813" spans="1:14" x14ac:dyDescent="0.2">
      <c r="A813" t="s">
        <v>822</v>
      </c>
      <c r="B813" s="2">
        <v>46261</v>
      </c>
      <c r="C813" t="s">
        <v>2939</v>
      </c>
      <c r="D813" t="s">
        <v>2947</v>
      </c>
      <c r="E813" t="s">
        <v>3005</v>
      </c>
      <c r="F813" s="3">
        <v>46262.197711358647</v>
      </c>
      <c r="G813" s="3">
        <v>46262.213488403337</v>
      </c>
      <c r="H813">
        <v>22.72</v>
      </c>
      <c r="I813" t="s">
        <v>3149</v>
      </c>
      <c r="J813" t="s">
        <v>3168</v>
      </c>
      <c r="K813" t="s">
        <v>3182</v>
      </c>
      <c r="L813" t="str">
        <f>_xlfn.XLOOKUP(C813,[1]!Table1[Shift_ID],[1]!Table1[Shift_ID])</f>
        <v>S03</v>
      </c>
      <c r="M813" t="str">
        <f>_xlfn.XLOOKUP(D813,[2]!Table1[Machine_ID],[2]!Table1[Machine_ID])</f>
        <v>M006</v>
      </c>
      <c r="N813" t="str">
        <f>_xlfn.XLOOKUP(E813,[3]Sheet1!$A$2:$A$391,[3]Sheet1!$A$2:$A$391)</f>
        <v>PO10055</v>
      </c>
    </row>
    <row r="814" spans="1:14" x14ac:dyDescent="0.2">
      <c r="A814" t="s">
        <v>823</v>
      </c>
      <c r="B814" s="2">
        <v>46261</v>
      </c>
      <c r="C814" t="s">
        <v>2939</v>
      </c>
      <c r="D814" t="s">
        <v>2948</v>
      </c>
      <c r="E814" t="s">
        <v>3005</v>
      </c>
      <c r="F814" s="3">
        <v>46262.184224079188</v>
      </c>
      <c r="G814" s="3">
        <v>46262.199051550713</v>
      </c>
      <c r="H814">
        <v>21.35</v>
      </c>
      <c r="I814" t="s">
        <v>3150</v>
      </c>
      <c r="J814" t="s">
        <v>3160</v>
      </c>
      <c r="K814" t="s">
        <v>3178</v>
      </c>
      <c r="L814" t="str">
        <f>_xlfn.XLOOKUP(C814,[1]!Table1[Shift_ID],[1]!Table1[Shift_ID])</f>
        <v>S03</v>
      </c>
      <c r="M814" t="str">
        <f>_xlfn.XLOOKUP(D814,[2]!Table1[Machine_ID],[2]!Table1[Machine_ID])</f>
        <v>M007</v>
      </c>
      <c r="N814" t="str">
        <f>_xlfn.XLOOKUP(E814,[3]Sheet1!$A$2:$A$391,[3]Sheet1!$A$2:$A$391)</f>
        <v>PO10055</v>
      </c>
    </row>
    <row r="815" spans="1:14" x14ac:dyDescent="0.2">
      <c r="A815" t="s">
        <v>824</v>
      </c>
      <c r="B815" s="2">
        <v>46261</v>
      </c>
      <c r="C815" t="s">
        <v>2939</v>
      </c>
      <c r="D815" t="s">
        <v>2949</v>
      </c>
      <c r="E815" t="s">
        <v>3005</v>
      </c>
      <c r="F815" s="3">
        <v>46262.205782150442</v>
      </c>
      <c r="G815" s="3">
        <v>46262.211265390251</v>
      </c>
      <c r="H815">
        <v>7.9</v>
      </c>
      <c r="I815" t="s">
        <v>3149</v>
      </c>
      <c r="J815" t="s">
        <v>3162</v>
      </c>
      <c r="K815" t="s">
        <v>3184</v>
      </c>
      <c r="L815" t="str">
        <f>_xlfn.XLOOKUP(C815,[1]!Table1[Shift_ID],[1]!Table1[Shift_ID])</f>
        <v>S03</v>
      </c>
      <c r="M815" t="str">
        <f>_xlfn.XLOOKUP(D815,[2]!Table1[Machine_ID],[2]!Table1[Machine_ID])</f>
        <v>M008</v>
      </c>
      <c r="N815" t="str">
        <f>_xlfn.XLOOKUP(E815,[3]Sheet1!$A$2:$A$391,[3]Sheet1!$A$2:$A$391)</f>
        <v>PO10055</v>
      </c>
    </row>
    <row r="816" spans="1:14" x14ac:dyDescent="0.2">
      <c r="A816" t="s">
        <v>825</v>
      </c>
      <c r="B816" s="2">
        <v>46261</v>
      </c>
      <c r="C816" t="s">
        <v>2940</v>
      </c>
      <c r="D816" t="s">
        <v>2942</v>
      </c>
      <c r="E816" t="s">
        <v>3006</v>
      </c>
      <c r="F816" s="3">
        <v>46261.279939379303</v>
      </c>
      <c r="G816" s="3">
        <v>46261.285950170372</v>
      </c>
      <c r="H816">
        <v>8.66</v>
      </c>
      <c r="I816" t="s">
        <v>3147</v>
      </c>
      <c r="J816" t="s">
        <v>3167</v>
      </c>
      <c r="K816" t="s">
        <v>3186</v>
      </c>
      <c r="L816" t="str">
        <f>_xlfn.XLOOKUP(C816,[1]!Table1[Shift_ID],[1]!Table1[Shift_ID])</f>
        <v>S01</v>
      </c>
      <c r="M816" t="str">
        <f>_xlfn.XLOOKUP(D816,[2]!Table1[Machine_ID],[2]!Table1[Machine_ID])</f>
        <v>M001</v>
      </c>
      <c r="N816" t="str">
        <f>_xlfn.XLOOKUP(E816,[3]Sheet1!$A$2:$A$391,[3]Sheet1!$A$2:$A$391)</f>
        <v>PO10056</v>
      </c>
    </row>
    <row r="817" spans="1:14" x14ac:dyDescent="0.2">
      <c r="A817" t="s">
        <v>826</v>
      </c>
      <c r="B817" s="2">
        <v>46261</v>
      </c>
      <c r="C817" t="s">
        <v>2940</v>
      </c>
      <c r="D817" t="s">
        <v>2943</v>
      </c>
      <c r="E817" t="s">
        <v>3006</v>
      </c>
      <c r="F817" s="3">
        <v>46261.332309938167</v>
      </c>
      <c r="G817" s="3">
        <v>46261.336112893237</v>
      </c>
      <c r="H817">
        <v>5.48</v>
      </c>
      <c r="I817" t="s">
        <v>3148</v>
      </c>
      <c r="J817" t="s">
        <v>3164</v>
      </c>
      <c r="K817" t="s">
        <v>3173</v>
      </c>
      <c r="L817" t="str">
        <f>_xlfn.XLOOKUP(C817,[1]!Table1[Shift_ID],[1]!Table1[Shift_ID])</f>
        <v>S01</v>
      </c>
      <c r="M817" t="str">
        <f>_xlfn.XLOOKUP(D817,[2]!Table1[Machine_ID],[2]!Table1[Machine_ID])</f>
        <v>M002</v>
      </c>
      <c r="N817" t="str">
        <f>_xlfn.XLOOKUP(E817,[3]Sheet1!$A$2:$A$391,[3]Sheet1!$A$2:$A$391)</f>
        <v>PO10056</v>
      </c>
    </row>
    <row r="818" spans="1:14" x14ac:dyDescent="0.2">
      <c r="A818" t="s">
        <v>827</v>
      </c>
      <c r="B818" s="2">
        <v>46261</v>
      </c>
      <c r="C818" t="s">
        <v>2940</v>
      </c>
      <c r="D818" t="s">
        <v>2943</v>
      </c>
      <c r="E818" t="s">
        <v>3006</v>
      </c>
      <c r="F818" s="3">
        <v>46261.380454790131</v>
      </c>
      <c r="G818" s="3">
        <v>46261.382428205397</v>
      </c>
      <c r="H818">
        <v>2.84</v>
      </c>
      <c r="I818" t="s">
        <v>3151</v>
      </c>
      <c r="J818" t="s">
        <v>3170</v>
      </c>
      <c r="K818" t="s">
        <v>3188</v>
      </c>
      <c r="L818" t="str">
        <f>_xlfn.XLOOKUP(C818,[1]!Table1[Shift_ID],[1]!Table1[Shift_ID])</f>
        <v>S01</v>
      </c>
      <c r="M818" t="str">
        <f>_xlfn.XLOOKUP(D818,[2]!Table1[Machine_ID],[2]!Table1[Machine_ID])</f>
        <v>M002</v>
      </c>
      <c r="N818" t="str">
        <f>_xlfn.XLOOKUP(E818,[3]Sheet1!$A$2:$A$391,[3]Sheet1!$A$2:$A$391)</f>
        <v>PO10056</v>
      </c>
    </row>
    <row r="819" spans="1:14" x14ac:dyDescent="0.2">
      <c r="A819" t="s">
        <v>828</v>
      </c>
      <c r="B819" s="2">
        <v>46261</v>
      </c>
      <c r="C819" t="s">
        <v>2940</v>
      </c>
      <c r="D819" t="s">
        <v>2943</v>
      </c>
      <c r="E819" t="s">
        <v>3006</v>
      </c>
      <c r="F819" s="3">
        <v>46261.409893447657</v>
      </c>
      <c r="G819" s="3">
        <v>46261.413303858673</v>
      </c>
      <c r="H819">
        <v>4.91</v>
      </c>
      <c r="I819" t="s">
        <v>3149</v>
      </c>
      <c r="J819" t="s">
        <v>3162</v>
      </c>
      <c r="K819" t="s">
        <v>3176</v>
      </c>
      <c r="L819" t="str">
        <f>_xlfn.XLOOKUP(C819,[1]!Table1[Shift_ID],[1]!Table1[Shift_ID])</f>
        <v>S01</v>
      </c>
      <c r="M819" t="str">
        <f>_xlfn.XLOOKUP(D819,[2]!Table1[Machine_ID],[2]!Table1[Machine_ID])</f>
        <v>M002</v>
      </c>
      <c r="N819" t="str">
        <f>_xlfn.XLOOKUP(E819,[3]Sheet1!$A$2:$A$391,[3]Sheet1!$A$2:$A$391)</f>
        <v>PO10056</v>
      </c>
    </row>
    <row r="820" spans="1:14" x14ac:dyDescent="0.2">
      <c r="A820" t="s">
        <v>829</v>
      </c>
      <c r="B820" s="2">
        <v>46261</v>
      </c>
      <c r="C820" t="s">
        <v>2940</v>
      </c>
      <c r="D820" t="s">
        <v>2943</v>
      </c>
      <c r="E820" t="s">
        <v>3006</v>
      </c>
      <c r="F820" s="3">
        <v>46261.4880652172</v>
      </c>
      <c r="G820" s="3">
        <v>46261.490189426491</v>
      </c>
      <c r="H820">
        <v>3.06</v>
      </c>
      <c r="I820" t="s">
        <v>3149</v>
      </c>
      <c r="J820" t="s">
        <v>3168</v>
      </c>
      <c r="K820" t="s">
        <v>3182</v>
      </c>
      <c r="L820" t="str">
        <f>_xlfn.XLOOKUP(C820,[1]!Table1[Shift_ID],[1]!Table1[Shift_ID])</f>
        <v>S01</v>
      </c>
      <c r="M820" t="str">
        <f>_xlfn.XLOOKUP(D820,[2]!Table1[Machine_ID],[2]!Table1[Machine_ID])</f>
        <v>M002</v>
      </c>
      <c r="N820" t="str">
        <f>_xlfn.XLOOKUP(E820,[3]Sheet1!$A$2:$A$391,[3]Sheet1!$A$2:$A$391)</f>
        <v>PO10056</v>
      </c>
    </row>
    <row r="821" spans="1:14" x14ac:dyDescent="0.2">
      <c r="A821" t="s">
        <v>830</v>
      </c>
      <c r="B821" s="2">
        <v>46261</v>
      </c>
      <c r="C821" t="s">
        <v>2940</v>
      </c>
      <c r="D821" t="s">
        <v>2944</v>
      </c>
      <c r="E821" t="s">
        <v>3006</v>
      </c>
      <c r="F821" s="3">
        <v>46261.417941995038</v>
      </c>
      <c r="G821" s="3">
        <v>46261.42816576016</v>
      </c>
      <c r="H821">
        <v>14.72</v>
      </c>
      <c r="I821" t="s">
        <v>3151</v>
      </c>
      <c r="J821" t="s">
        <v>3170</v>
      </c>
      <c r="K821" t="s">
        <v>3181</v>
      </c>
      <c r="L821" t="str">
        <f>_xlfn.XLOOKUP(C821,[1]!Table1[Shift_ID],[1]!Table1[Shift_ID])</f>
        <v>S01</v>
      </c>
      <c r="M821" t="str">
        <f>_xlfn.XLOOKUP(D821,[2]!Table1[Machine_ID],[2]!Table1[Machine_ID])</f>
        <v>M003</v>
      </c>
      <c r="N821" t="str">
        <f>_xlfn.XLOOKUP(E821,[3]Sheet1!$A$2:$A$391,[3]Sheet1!$A$2:$A$391)</f>
        <v>PO10056</v>
      </c>
    </row>
    <row r="822" spans="1:14" x14ac:dyDescent="0.2">
      <c r="A822" t="s">
        <v>831</v>
      </c>
      <c r="B822" s="2">
        <v>46261</v>
      </c>
      <c r="C822" t="s">
        <v>2940</v>
      </c>
      <c r="D822" t="s">
        <v>2945</v>
      </c>
      <c r="E822" t="s">
        <v>3006</v>
      </c>
      <c r="F822" s="3">
        <v>46261.287078079178</v>
      </c>
      <c r="G822" s="3">
        <v>46261.297812414559</v>
      </c>
      <c r="H822">
        <v>15.46</v>
      </c>
      <c r="I822" t="s">
        <v>3149</v>
      </c>
      <c r="J822" t="s">
        <v>3162</v>
      </c>
      <c r="K822" t="s">
        <v>3176</v>
      </c>
      <c r="L822" t="str">
        <f>_xlfn.XLOOKUP(C822,[1]!Table1[Shift_ID],[1]!Table1[Shift_ID])</f>
        <v>S01</v>
      </c>
      <c r="M822" t="str">
        <f>_xlfn.XLOOKUP(D822,[2]!Table1[Machine_ID],[2]!Table1[Machine_ID])</f>
        <v>M004</v>
      </c>
      <c r="N822" t="str">
        <f>_xlfn.XLOOKUP(E822,[3]Sheet1!$A$2:$A$391,[3]Sheet1!$A$2:$A$391)</f>
        <v>PO10056</v>
      </c>
    </row>
    <row r="823" spans="1:14" x14ac:dyDescent="0.2">
      <c r="A823" t="s">
        <v>832</v>
      </c>
      <c r="B823" s="2">
        <v>46261</v>
      </c>
      <c r="C823" t="s">
        <v>2940</v>
      </c>
      <c r="D823" t="s">
        <v>2946</v>
      </c>
      <c r="E823" t="s">
        <v>3006</v>
      </c>
      <c r="F823" s="3">
        <v>46261.45344211351</v>
      </c>
      <c r="G823" s="3">
        <v>46261.456817539001</v>
      </c>
      <c r="H823">
        <v>4.8600000000000003</v>
      </c>
      <c r="I823" t="s">
        <v>3149</v>
      </c>
      <c r="J823" t="s">
        <v>3168</v>
      </c>
      <c r="K823" t="s">
        <v>3184</v>
      </c>
      <c r="L823" t="str">
        <f>_xlfn.XLOOKUP(C823,[1]!Table1[Shift_ID],[1]!Table1[Shift_ID])</f>
        <v>S01</v>
      </c>
      <c r="M823" t="str">
        <f>_xlfn.XLOOKUP(D823,[2]!Table1[Machine_ID],[2]!Table1[Machine_ID])</f>
        <v>M005</v>
      </c>
      <c r="N823" t="str">
        <f>_xlfn.XLOOKUP(E823,[3]Sheet1!$A$2:$A$391,[3]Sheet1!$A$2:$A$391)</f>
        <v>PO10056</v>
      </c>
    </row>
    <row r="824" spans="1:14" x14ac:dyDescent="0.2">
      <c r="A824" t="s">
        <v>833</v>
      </c>
      <c r="B824" s="2">
        <v>46261</v>
      </c>
      <c r="C824" t="s">
        <v>2940</v>
      </c>
      <c r="D824" t="s">
        <v>2946</v>
      </c>
      <c r="E824" t="s">
        <v>3006</v>
      </c>
      <c r="F824" s="3">
        <v>46261.531585907687</v>
      </c>
      <c r="G824" s="3">
        <v>46261.536037800142</v>
      </c>
      <c r="H824">
        <v>6.41</v>
      </c>
      <c r="I824" t="s">
        <v>3147</v>
      </c>
      <c r="J824" t="s">
        <v>3154</v>
      </c>
      <c r="K824" t="s">
        <v>3172</v>
      </c>
      <c r="L824" t="str">
        <f>_xlfn.XLOOKUP(C824,[1]!Table1[Shift_ID],[1]!Table1[Shift_ID])</f>
        <v>S01</v>
      </c>
      <c r="M824" t="str">
        <f>_xlfn.XLOOKUP(D824,[2]!Table1[Machine_ID],[2]!Table1[Machine_ID])</f>
        <v>M005</v>
      </c>
      <c r="N824" t="str">
        <f>_xlfn.XLOOKUP(E824,[3]Sheet1!$A$2:$A$391,[3]Sheet1!$A$2:$A$391)</f>
        <v>PO10056</v>
      </c>
    </row>
    <row r="825" spans="1:14" x14ac:dyDescent="0.2">
      <c r="A825" t="s">
        <v>834</v>
      </c>
      <c r="B825" s="2">
        <v>46261</v>
      </c>
      <c r="C825" t="s">
        <v>2940</v>
      </c>
      <c r="D825" t="s">
        <v>2946</v>
      </c>
      <c r="E825" t="s">
        <v>3006</v>
      </c>
      <c r="F825" s="3">
        <v>46261.552954759944</v>
      </c>
      <c r="G825" s="3">
        <v>46261.555501011862</v>
      </c>
      <c r="H825">
        <v>3.67</v>
      </c>
      <c r="I825" t="s">
        <v>3150</v>
      </c>
      <c r="J825" t="s">
        <v>3159</v>
      </c>
      <c r="K825" t="s">
        <v>3178</v>
      </c>
      <c r="L825" t="str">
        <f>_xlfn.XLOOKUP(C825,[1]!Table1[Shift_ID],[1]!Table1[Shift_ID])</f>
        <v>S01</v>
      </c>
      <c r="M825" t="str">
        <f>_xlfn.XLOOKUP(D825,[2]!Table1[Machine_ID],[2]!Table1[Machine_ID])</f>
        <v>M005</v>
      </c>
      <c r="N825" t="str">
        <f>_xlfn.XLOOKUP(E825,[3]Sheet1!$A$2:$A$391,[3]Sheet1!$A$2:$A$391)</f>
        <v>PO10056</v>
      </c>
    </row>
    <row r="826" spans="1:14" x14ac:dyDescent="0.2">
      <c r="A826" t="s">
        <v>835</v>
      </c>
      <c r="B826" s="2">
        <v>46261</v>
      </c>
      <c r="C826" t="s">
        <v>2940</v>
      </c>
      <c r="D826" t="s">
        <v>2947</v>
      </c>
      <c r="E826" t="s">
        <v>3006</v>
      </c>
      <c r="F826" s="3">
        <v>46261.342937273803</v>
      </c>
      <c r="G826" s="3">
        <v>46261.375251381432</v>
      </c>
      <c r="H826">
        <v>46.53</v>
      </c>
      <c r="I826" t="s">
        <v>3150</v>
      </c>
      <c r="J826" t="s">
        <v>3166</v>
      </c>
      <c r="K826" t="s">
        <v>3177</v>
      </c>
      <c r="L826" t="str">
        <f>_xlfn.XLOOKUP(C826,[1]!Table1[Shift_ID],[1]!Table1[Shift_ID])</f>
        <v>S01</v>
      </c>
      <c r="M826" t="str">
        <f>_xlfn.XLOOKUP(D826,[2]!Table1[Machine_ID],[2]!Table1[Machine_ID])</f>
        <v>M006</v>
      </c>
      <c r="N826" t="str">
        <f>_xlfn.XLOOKUP(E826,[3]Sheet1!$A$2:$A$391,[3]Sheet1!$A$2:$A$391)</f>
        <v>PO10056</v>
      </c>
    </row>
    <row r="827" spans="1:14" x14ac:dyDescent="0.2">
      <c r="A827" t="s">
        <v>836</v>
      </c>
      <c r="B827" s="2">
        <v>46261</v>
      </c>
      <c r="C827" t="s">
        <v>2940</v>
      </c>
      <c r="D827" t="s">
        <v>2948</v>
      </c>
      <c r="E827" t="s">
        <v>3006</v>
      </c>
      <c r="F827" s="3">
        <v>46261.396482350683</v>
      </c>
      <c r="G827" s="3">
        <v>46261.398349499897</v>
      </c>
      <c r="H827">
        <v>2.69</v>
      </c>
      <c r="I827" t="s">
        <v>3148</v>
      </c>
      <c r="J827" t="s">
        <v>3165</v>
      </c>
      <c r="K827" t="s">
        <v>3183</v>
      </c>
      <c r="L827" t="str">
        <f>_xlfn.XLOOKUP(C827,[1]!Table1[Shift_ID],[1]!Table1[Shift_ID])</f>
        <v>S01</v>
      </c>
      <c r="M827" t="str">
        <f>_xlfn.XLOOKUP(D827,[2]!Table1[Machine_ID],[2]!Table1[Machine_ID])</f>
        <v>M007</v>
      </c>
      <c r="N827" t="str">
        <f>_xlfn.XLOOKUP(E827,[3]Sheet1!$A$2:$A$391,[3]Sheet1!$A$2:$A$391)</f>
        <v>PO10056</v>
      </c>
    </row>
    <row r="828" spans="1:14" x14ac:dyDescent="0.2">
      <c r="A828" t="s">
        <v>837</v>
      </c>
      <c r="B828" s="2">
        <v>46261</v>
      </c>
      <c r="C828" t="s">
        <v>2940</v>
      </c>
      <c r="D828" t="s">
        <v>2948</v>
      </c>
      <c r="E828" t="s">
        <v>3006</v>
      </c>
      <c r="F828" s="3">
        <v>46261.505842905797</v>
      </c>
      <c r="G828" s="3">
        <v>46261.516433105709</v>
      </c>
      <c r="H828">
        <v>15.25</v>
      </c>
      <c r="I828" t="s">
        <v>3148</v>
      </c>
      <c r="J828" t="s">
        <v>3165</v>
      </c>
      <c r="K828" t="s">
        <v>3173</v>
      </c>
      <c r="L828" t="str">
        <f>_xlfn.XLOOKUP(C828,[1]!Table1[Shift_ID],[1]!Table1[Shift_ID])</f>
        <v>S01</v>
      </c>
      <c r="M828" t="str">
        <f>_xlfn.XLOOKUP(D828,[2]!Table1[Machine_ID],[2]!Table1[Machine_ID])</f>
        <v>M007</v>
      </c>
      <c r="N828" t="str">
        <f>_xlfn.XLOOKUP(E828,[3]Sheet1!$A$2:$A$391,[3]Sheet1!$A$2:$A$391)</f>
        <v>PO10056</v>
      </c>
    </row>
    <row r="829" spans="1:14" x14ac:dyDescent="0.2">
      <c r="A829" t="s">
        <v>838</v>
      </c>
      <c r="B829" s="2">
        <v>46261</v>
      </c>
      <c r="C829" t="s">
        <v>2940</v>
      </c>
      <c r="D829" t="s">
        <v>2949</v>
      </c>
      <c r="E829" t="s">
        <v>3006</v>
      </c>
      <c r="F829" s="3">
        <v>46261.360457611147</v>
      </c>
      <c r="G829" s="3">
        <v>46261.366456662501</v>
      </c>
      <c r="H829">
        <v>8.64</v>
      </c>
      <c r="I829" t="s">
        <v>3148</v>
      </c>
      <c r="J829" t="s">
        <v>3155</v>
      </c>
      <c r="K829" t="s">
        <v>3173</v>
      </c>
      <c r="L829" t="str">
        <f>_xlfn.XLOOKUP(C829,[1]!Table1[Shift_ID],[1]!Table1[Shift_ID])</f>
        <v>S01</v>
      </c>
      <c r="M829" t="str">
        <f>_xlfn.XLOOKUP(D829,[2]!Table1[Machine_ID],[2]!Table1[Machine_ID])</f>
        <v>M008</v>
      </c>
      <c r="N829" t="str">
        <f>_xlfn.XLOOKUP(E829,[3]Sheet1!$A$2:$A$391,[3]Sheet1!$A$2:$A$391)</f>
        <v>PO10056</v>
      </c>
    </row>
    <row r="830" spans="1:14" x14ac:dyDescent="0.2">
      <c r="A830" t="s">
        <v>839</v>
      </c>
      <c r="B830" s="2">
        <v>46261</v>
      </c>
      <c r="C830" t="s">
        <v>2941</v>
      </c>
      <c r="D830" t="s">
        <v>2942</v>
      </c>
      <c r="E830" t="s">
        <v>3007</v>
      </c>
      <c r="F830" s="3">
        <v>46261.852440379909</v>
      </c>
      <c r="G830" s="3">
        <v>46261.860569305078</v>
      </c>
      <c r="H830">
        <v>11.71</v>
      </c>
      <c r="I830" t="s">
        <v>3148</v>
      </c>
      <c r="J830" t="s">
        <v>3165</v>
      </c>
      <c r="K830" t="s">
        <v>3173</v>
      </c>
      <c r="L830" t="str">
        <f>_xlfn.XLOOKUP(C830,[1]!Table1[Shift_ID],[1]!Table1[Shift_ID])</f>
        <v>S02</v>
      </c>
      <c r="M830" t="str">
        <f>_xlfn.XLOOKUP(D830,[2]!Table1[Machine_ID],[2]!Table1[Machine_ID])</f>
        <v>M001</v>
      </c>
      <c r="N830" t="str">
        <f>_xlfn.XLOOKUP(E830,[3]Sheet1!$A$2:$A$391,[3]Sheet1!$A$2:$A$391)</f>
        <v>PO10057</v>
      </c>
    </row>
    <row r="831" spans="1:14" x14ac:dyDescent="0.2">
      <c r="A831" t="s">
        <v>840</v>
      </c>
      <c r="B831" s="2">
        <v>46261</v>
      </c>
      <c r="C831" t="s">
        <v>2941</v>
      </c>
      <c r="D831" t="s">
        <v>2943</v>
      </c>
      <c r="E831" t="s">
        <v>3007</v>
      </c>
      <c r="F831" s="3">
        <v>46261.756235334709</v>
      </c>
      <c r="G831" s="3">
        <v>46261.766259591714</v>
      </c>
      <c r="H831">
        <v>14.43</v>
      </c>
      <c r="I831" t="s">
        <v>3150</v>
      </c>
      <c r="J831" t="s">
        <v>3163</v>
      </c>
      <c r="K831" t="s">
        <v>3178</v>
      </c>
      <c r="L831" t="str">
        <f>_xlfn.XLOOKUP(C831,[1]!Table1[Shift_ID],[1]!Table1[Shift_ID])</f>
        <v>S02</v>
      </c>
      <c r="M831" t="str">
        <f>_xlfn.XLOOKUP(D831,[2]!Table1[Machine_ID],[2]!Table1[Machine_ID])</f>
        <v>M002</v>
      </c>
      <c r="N831" t="str">
        <f>_xlfn.XLOOKUP(E831,[3]Sheet1!$A$2:$A$391,[3]Sheet1!$A$2:$A$391)</f>
        <v>PO10057</v>
      </c>
    </row>
    <row r="832" spans="1:14" x14ac:dyDescent="0.2">
      <c r="A832" t="s">
        <v>841</v>
      </c>
      <c r="B832" s="2">
        <v>46261</v>
      </c>
      <c r="C832" t="s">
        <v>2941</v>
      </c>
      <c r="D832" t="s">
        <v>2944</v>
      </c>
      <c r="E832" t="s">
        <v>3007</v>
      </c>
      <c r="F832" s="3">
        <v>46261.762740627892</v>
      </c>
      <c r="G832" s="3">
        <v>46261.776652228007</v>
      </c>
      <c r="H832">
        <v>20.03</v>
      </c>
      <c r="I832" t="s">
        <v>3148</v>
      </c>
      <c r="J832" t="s">
        <v>3165</v>
      </c>
      <c r="K832" t="s">
        <v>3183</v>
      </c>
      <c r="L832" t="str">
        <f>_xlfn.XLOOKUP(C832,[1]!Table1[Shift_ID],[1]!Table1[Shift_ID])</f>
        <v>S02</v>
      </c>
      <c r="M832" t="str">
        <f>_xlfn.XLOOKUP(D832,[2]!Table1[Machine_ID],[2]!Table1[Machine_ID])</f>
        <v>M003</v>
      </c>
      <c r="N832" t="str">
        <f>_xlfn.XLOOKUP(E832,[3]Sheet1!$A$2:$A$391,[3]Sheet1!$A$2:$A$391)</f>
        <v>PO10057</v>
      </c>
    </row>
    <row r="833" spans="1:14" x14ac:dyDescent="0.2">
      <c r="A833" t="s">
        <v>842</v>
      </c>
      <c r="B833" s="2">
        <v>46261</v>
      </c>
      <c r="C833" t="s">
        <v>2941</v>
      </c>
      <c r="D833" t="s">
        <v>2945</v>
      </c>
      <c r="E833" t="s">
        <v>3007</v>
      </c>
      <c r="F833" s="3">
        <v>46261.643829364679</v>
      </c>
      <c r="G833" s="3">
        <v>46261.652809485036</v>
      </c>
      <c r="H833">
        <v>12.93</v>
      </c>
      <c r="I833" t="s">
        <v>3147</v>
      </c>
      <c r="J833" t="s">
        <v>3167</v>
      </c>
      <c r="K833" t="s">
        <v>3186</v>
      </c>
      <c r="L833" t="str">
        <f>_xlfn.XLOOKUP(C833,[1]!Table1[Shift_ID],[1]!Table1[Shift_ID])</f>
        <v>S02</v>
      </c>
      <c r="M833" t="str">
        <f>_xlfn.XLOOKUP(D833,[2]!Table1[Machine_ID],[2]!Table1[Machine_ID])</f>
        <v>M004</v>
      </c>
      <c r="N833" t="str">
        <f>_xlfn.XLOOKUP(E833,[3]Sheet1!$A$2:$A$391,[3]Sheet1!$A$2:$A$391)</f>
        <v>PO10057</v>
      </c>
    </row>
    <row r="834" spans="1:14" x14ac:dyDescent="0.2">
      <c r="A834" t="s">
        <v>843</v>
      </c>
      <c r="B834" s="2">
        <v>46261</v>
      </c>
      <c r="C834" t="s">
        <v>2941</v>
      </c>
      <c r="D834" t="s">
        <v>2946</v>
      </c>
      <c r="E834" t="s">
        <v>3007</v>
      </c>
      <c r="F834" s="3">
        <v>46261.71804401456</v>
      </c>
      <c r="G834" s="3">
        <v>46261.721424214753</v>
      </c>
      <c r="H834">
        <v>4.87</v>
      </c>
      <c r="I834" t="s">
        <v>3149</v>
      </c>
      <c r="J834" t="s">
        <v>3168</v>
      </c>
      <c r="K834" t="s">
        <v>3176</v>
      </c>
      <c r="L834" t="str">
        <f>_xlfn.XLOOKUP(C834,[1]!Table1[Shift_ID],[1]!Table1[Shift_ID])</f>
        <v>S02</v>
      </c>
      <c r="M834" t="str">
        <f>_xlfn.XLOOKUP(D834,[2]!Table1[Machine_ID],[2]!Table1[Machine_ID])</f>
        <v>M005</v>
      </c>
      <c r="N834" t="str">
        <f>_xlfn.XLOOKUP(E834,[3]Sheet1!$A$2:$A$391,[3]Sheet1!$A$2:$A$391)</f>
        <v>PO10057</v>
      </c>
    </row>
    <row r="835" spans="1:14" x14ac:dyDescent="0.2">
      <c r="A835" t="s">
        <v>844</v>
      </c>
      <c r="B835" s="2">
        <v>46261</v>
      </c>
      <c r="C835" t="s">
        <v>2941</v>
      </c>
      <c r="D835" t="s">
        <v>2946</v>
      </c>
      <c r="E835" t="s">
        <v>3007</v>
      </c>
      <c r="F835" s="3">
        <v>46261.747566155929</v>
      </c>
      <c r="G835" s="3">
        <v>46261.75155035546</v>
      </c>
      <c r="H835">
        <v>5.74</v>
      </c>
      <c r="I835" t="s">
        <v>3150</v>
      </c>
      <c r="J835" t="s">
        <v>3163</v>
      </c>
      <c r="K835" t="s">
        <v>3177</v>
      </c>
      <c r="L835" t="str">
        <f>_xlfn.XLOOKUP(C835,[1]!Table1[Shift_ID],[1]!Table1[Shift_ID])</f>
        <v>S02</v>
      </c>
      <c r="M835" t="str">
        <f>_xlfn.XLOOKUP(D835,[2]!Table1[Machine_ID],[2]!Table1[Machine_ID])</f>
        <v>M005</v>
      </c>
      <c r="N835" t="str">
        <f>_xlfn.XLOOKUP(E835,[3]Sheet1!$A$2:$A$391,[3]Sheet1!$A$2:$A$391)</f>
        <v>PO10057</v>
      </c>
    </row>
    <row r="836" spans="1:14" x14ac:dyDescent="0.2">
      <c r="A836" t="s">
        <v>845</v>
      </c>
      <c r="B836" s="2">
        <v>46261</v>
      </c>
      <c r="C836" t="s">
        <v>2941</v>
      </c>
      <c r="D836" t="s">
        <v>2946</v>
      </c>
      <c r="E836" t="s">
        <v>3007</v>
      </c>
      <c r="F836" s="3">
        <v>46261.84055351089</v>
      </c>
      <c r="G836" s="3">
        <v>46261.84284986338</v>
      </c>
      <c r="H836">
        <v>3.31</v>
      </c>
      <c r="I836" t="s">
        <v>3150</v>
      </c>
      <c r="J836" t="s">
        <v>3160</v>
      </c>
      <c r="K836" t="s">
        <v>3179</v>
      </c>
      <c r="L836" t="str">
        <f>_xlfn.XLOOKUP(C836,[1]!Table1[Shift_ID],[1]!Table1[Shift_ID])</f>
        <v>S02</v>
      </c>
      <c r="M836" t="str">
        <f>_xlfn.XLOOKUP(D836,[2]!Table1[Machine_ID],[2]!Table1[Machine_ID])</f>
        <v>M005</v>
      </c>
      <c r="N836" t="str">
        <f>_xlfn.XLOOKUP(E836,[3]Sheet1!$A$2:$A$391,[3]Sheet1!$A$2:$A$391)</f>
        <v>PO10057</v>
      </c>
    </row>
    <row r="837" spans="1:14" x14ac:dyDescent="0.2">
      <c r="A837" t="s">
        <v>846</v>
      </c>
      <c r="B837" s="2">
        <v>46261</v>
      </c>
      <c r="C837" t="s">
        <v>2941</v>
      </c>
      <c r="D837" t="s">
        <v>2947</v>
      </c>
      <c r="E837" t="s">
        <v>3007</v>
      </c>
      <c r="F837" s="3">
        <v>46261.866183149112</v>
      </c>
      <c r="G837" s="3">
        <v>46261.889225298582</v>
      </c>
      <c r="H837">
        <v>33.18</v>
      </c>
      <c r="I837" t="s">
        <v>3149</v>
      </c>
      <c r="J837" t="s">
        <v>3168</v>
      </c>
      <c r="K837" t="s">
        <v>3182</v>
      </c>
      <c r="L837" t="str">
        <f>_xlfn.XLOOKUP(C837,[1]!Table1[Shift_ID],[1]!Table1[Shift_ID])</f>
        <v>S02</v>
      </c>
      <c r="M837" t="str">
        <f>_xlfn.XLOOKUP(D837,[2]!Table1[Machine_ID],[2]!Table1[Machine_ID])</f>
        <v>M006</v>
      </c>
      <c r="N837" t="str">
        <f>_xlfn.XLOOKUP(E837,[3]Sheet1!$A$2:$A$391,[3]Sheet1!$A$2:$A$391)</f>
        <v>PO10057</v>
      </c>
    </row>
    <row r="838" spans="1:14" x14ac:dyDescent="0.2">
      <c r="A838" t="s">
        <v>847</v>
      </c>
      <c r="B838" s="2">
        <v>46261</v>
      </c>
      <c r="C838" t="s">
        <v>2941</v>
      </c>
      <c r="D838" t="s">
        <v>2948</v>
      </c>
      <c r="E838" t="s">
        <v>3007</v>
      </c>
      <c r="F838" s="3">
        <v>46261.738075999318</v>
      </c>
      <c r="G838" s="3">
        <v>46261.751577149073</v>
      </c>
      <c r="H838">
        <v>19.440000000000001</v>
      </c>
      <c r="I838" t="s">
        <v>3146</v>
      </c>
      <c r="J838" t="s">
        <v>3152</v>
      </c>
      <c r="K838" t="s">
        <v>3175</v>
      </c>
      <c r="L838" t="str">
        <f>_xlfn.XLOOKUP(C838,[1]!Table1[Shift_ID],[1]!Table1[Shift_ID])</f>
        <v>S02</v>
      </c>
      <c r="M838" t="str">
        <f>_xlfn.XLOOKUP(D838,[2]!Table1[Machine_ID],[2]!Table1[Machine_ID])</f>
        <v>M007</v>
      </c>
      <c r="N838" t="str">
        <f>_xlfn.XLOOKUP(E838,[3]Sheet1!$A$2:$A$391,[3]Sheet1!$A$2:$A$391)</f>
        <v>PO10057</v>
      </c>
    </row>
    <row r="839" spans="1:14" x14ac:dyDescent="0.2">
      <c r="A839" t="s">
        <v>848</v>
      </c>
      <c r="B839" s="2">
        <v>46261</v>
      </c>
      <c r="C839" t="s">
        <v>2941</v>
      </c>
      <c r="D839" t="s">
        <v>2949</v>
      </c>
      <c r="E839" t="s">
        <v>3007</v>
      </c>
      <c r="F839" s="3">
        <v>46261.586923371899</v>
      </c>
      <c r="G839" s="3">
        <v>46261.590500658283</v>
      </c>
      <c r="H839">
        <v>5.15</v>
      </c>
      <c r="I839" t="s">
        <v>3149</v>
      </c>
      <c r="J839" t="s">
        <v>3162</v>
      </c>
      <c r="K839" t="s">
        <v>3176</v>
      </c>
      <c r="L839" t="str">
        <f>_xlfn.XLOOKUP(C839,[1]!Table1[Shift_ID],[1]!Table1[Shift_ID])</f>
        <v>S02</v>
      </c>
      <c r="M839" t="str">
        <f>_xlfn.XLOOKUP(D839,[2]!Table1[Machine_ID],[2]!Table1[Machine_ID])</f>
        <v>M008</v>
      </c>
      <c r="N839" t="str">
        <f>_xlfn.XLOOKUP(E839,[3]Sheet1!$A$2:$A$391,[3]Sheet1!$A$2:$A$391)</f>
        <v>PO10057</v>
      </c>
    </row>
    <row r="840" spans="1:14" x14ac:dyDescent="0.2">
      <c r="A840" t="s">
        <v>849</v>
      </c>
      <c r="B840" s="2">
        <v>46261</v>
      </c>
      <c r="C840" t="s">
        <v>2941</v>
      </c>
      <c r="D840" t="s">
        <v>2949</v>
      </c>
      <c r="E840" t="s">
        <v>3007</v>
      </c>
      <c r="F840" s="3">
        <v>46261.595131397713</v>
      </c>
      <c r="G840" s="3">
        <v>46261.597873648483</v>
      </c>
      <c r="H840">
        <v>3.95</v>
      </c>
      <c r="I840" t="s">
        <v>3146</v>
      </c>
      <c r="J840" t="s">
        <v>3157</v>
      </c>
      <c r="K840" t="s">
        <v>3171</v>
      </c>
      <c r="L840" t="str">
        <f>_xlfn.XLOOKUP(C840,[1]!Table1[Shift_ID],[1]!Table1[Shift_ID])</f>
        <v>S02</v>
      </c>
      <c r="M840" t="str">
        <f>_xlfn.XLOOKUP(D840,[2]!Table1[Machine_ID],[2]!Table1[Machine_ID])</f>
        <v>M008</v>
      </c>
      <c r="N840" t="str">
        <f>_xlfn.XLOOKUP(E840,[3]Sheet1!$A$2:$A$391,[3]Sheet1!$A$2:$A$391)</f>
        <v>PO10057</v>
      </c>
    </row>
    <row r="841" spans="1:14" x14ac:dyDescent="0.2">
      <c r="A841" t="s">
        <v>850</v>
      </c>
      <c r="B841" s="2">
        <v>46262</v>
      </c>
      <c r="C841" t="s">
        <v>2939</v>
      </c>
      <c r="D841" t="s">
        <v>2942</v>
      </c>
      <c r="E841" t="s">
        <v>3008</v>
      </c>
      <c r="F841" s="3">
        <v>46263.127031303738</v>
      </c>
      <c r="G841" s="3">
        <v>46263.134232337317</v>
      </c>
      <c r="H841">
        <v>10.37</v>
      </c>
      <c r="I841" t="s">
        <v>3149</v>
      </c>
      <c r="J841" t="s">
        <v>3168</v>
      </c>
      <c r="K841" t="s">
        <v>3182</v>
      </c>
      <c r="L841" t="str">
        <f>_xlfn.XLOOKUP(C841,[1]!Table1[Shift_ID],[1]!Table1[Shift_ID])</f>
        <v>S03</v>
      </c>
      <c r="M841" t="str">
        <f>_xlfn.XLOOKUP(D841,[2]!Table1[Machine_ID],[2]!Table1[Machine_ID])</f>
        <v>M001</v>
      </c>
      <c r="N841" t="str">
        <f>_xlfn.XLOOKUP(E841,[3]Sheet1!$A$2:$A$391,[3]Sheet1!$A$2:$A$391)</f>
        <v>PO10058</v>
      </c>
    </row>
    <row r="842" spans="1:14" x14ac:dyDescent="0.2">
      <c r="A842" t="s">
        <v>851</v>
      </c>
      <c r="B842" s="2">
        <v>46262</v>
      </c>
      <c r="C842" t="s">
        <v>2939</v>
      </c>
      <c r="D842" t="s">
        <v>2943</v>
      </c>
      <c r="E842" t="s">
        <v>3008</v>
      </c>
      <c r="F842" s="3">
        <v>46263.185017118703</v>
      </c>
      <c r="G842" s="3">
        <v>46263.188124647197</v>
      </c>
      <c r="H842">
        <v>4.47</v>
      </c>
      <c r="I842" t="s">
        <v>3149</v>
      </c>
      <c r="J842" t="s">
        <v>3168</v>
      </c>
      <c r="K842" t="s">
        <v>3184</v>
      </c>
      <c r="L842" t="str">
        <f>_xlfn.XLOOKUP(C842,[1]!Table1[Shift_ID],[1]!Table1[Shift_ID])</f>
        <v>S03</v>
      </c>
      <c r="M842" t="str">
        <f>_xlfn.XLOOKUP(D842,[2]!Table1[Machine_ID],[2]!Table1[Machine_ID])</f>
        <v>M002</v>
      </c>
      <c r="N842" t="str">
        <f>_xlfn.XLOOKUP(E842,[3]Sheet1!$A$2:$A$391,[3]Sheet1!$A$2:$A$391)</f>
        <v>PO10058</v>
      </c>
    </row>
    <row r="843" spans="1:14" x14ac:dyDescent="0.2">
      <c r="A843" t="s">
        <v>852</v>
      </c>
      <c r="B843" s="2">
        <v>46262</v>
      </c>
      <c r="C843" t="s">
        <v>2939</v>
      </c>
      <c r="D843" t="s">
        <v>2943</v>
      </c>
      <c r="E843" t="s">
        <v>3008</v>
      </c>
      <c r="F843" s="3">
        <v>46263.203354644582</v>
      </c>
      <c r="G843" s="3">
        <v>46263.209229441272</v>
      </c>
      <c r="H843">
        <v>8.4600000000000009</v>
      </c>
      <c r="I843" t="s">
        <v>3150</v>
      </c>
      <c r="J843" t="s">
        <v>3160</v>
      </c>
      <c r="K843" t="s">
        <v>3179</v>
      </c>
      <c r="L843" t="str">
        <f>_xlfn.XLOOKUP(C843,[1]!Table1[Shift_ID],[1]!Table1[Shift_ID])</f>
        <v>S03</v>
      </c>
      <c r="M843" t="str">
        <f>_xlfn.XLOOKUP(D843,[2]!Table1[Machine_ID],[2]!Table1[Machine_ID])</f>
        <v>M002</v>
      </c>
      <c r="N843" t="str">
        <f>_xlfn.XLOOKUP(E843,[3]Sheet1!$A$2:$A$391,[3]Sheet1!$A$2:$A$391)</f>
        <v>PO10058</v>
      </c>
    </row>
    <row r="844" spans="1:14" x14ac:dyDescent="0.2">
      <c r="A844" t="s">
        <v>853</v>
      </c>
      <c r="B844" s="2">
        <v>46262</v>
      </c>
      <c r="C844" t="s">
        <v>2939</v>
      </c>
      <c r="D844" t="s">
        <v>2944</v>
      </c>
      <c r="E844" t="s">
        <v>3008</v>
      </c>
      <c r="F844" s="3">
        <v>46263.156971928627</v>
      </c>
      <c r="G844" s="3">
        <v>46263.163266930707</v>
      </c>
      <c r="H844">
        <v>9.06</v>
      </c>
      <c r="I844" t="s">
        <v>3151</v>
      </c>
      <c r="J844" t="s">
        <v>3161</v>
      </c>
      <c r="K844" t="s">
        <v>3188</v>
      </c>
      <c r="L844" t="str">
        <f>_xlfn.XLOOKUP(C844,[1]!Table1[Shift_ID],[1]!Table1[Shift_ID])</f>
        <v>S03</v>
      </c>
      <c r="M844" t="str">
        <f>_xlfn.XLOOKUP(D844,[2]!Table1[Machine_ID],[2]!Table1[Machine_ID])</f>
        <v>M003</v>
      </c>
      <c r="N844" t="str">
        <f>_xlfn.XLOOKUP(E844,[3]Sheet1!$A$2:$A$391,[3]Sheet1!$A$2:$A$391)</f>
        <v>PO10058</v>
      </c>
    </row>
    <row r="845" spans="1:14" x14ac:dyDescent="0.2">
      <c r="A845" t="s">
        <v>854</v>
      </c>
      <c r="B845" s="2">
        <v>46262</v>
      </c>
      <c r="C845" t="s">
        <v>2939</v>
      </c>
      <c r="D845" t="s">
        <v>2944</v>
      </c>
      <c r="E845" t="s">
        <v>3008</v>
      </c>
      <c r="F845" s="3">
        <v>46263.222068124232</v>
      </c>
      <c r="G845" s="3">
        <v>46263.228324660289</v>
      </c>
      <c r="H845">
        <v>9.01</v>
      </c>
      <c r="I845" t="s">
        <v>3147</v>
      </c>
      <c r="J845" t="s">
        <v>3167</v>
      </c>
      <c r="K845" t="s">
        <v>3172</v>
      </c>
      <c r="L845" t="str">
        <f>_xlfn.XLOOKUP(C845,[1]!Table1[Shift_ID],[1]!Table1[Shift_ID])</f>
        <v>S03</v>
      </c>
      <c r="M845" t="str">
        <f>_xlfn.XLOOKUP(D845,[2]!Table1[Machine_ID],[2]!Table1[Machine_ID])</f>
        <v>M003</v>
      </c>
      <c r="N845" t="str">
        <f>_xlfn.XLOOKUP(E845,[3]Sheet1!$A$2:$A$391,[3]Sheet1!$A$2:$A$391)</f>
        <v>PO10058</v>
      </c>
    </row>
    <row r="846" spans="1:14" x14ac:dyDescent="0.2">
      <c r="A846" t="s">
        <v>855</v>
      </c>
      <c r="B846" s="2">
        <v>46262</v>
      </c>
      <c r="C846" t="s">
        <v>2939</v>
      </c>
      <c r="D846" t="s">
        <v>2945</v>
      </c>
      <c r="E846" t="s">
        <v>3008</v>
      </c>
      <c r="F846" s="3">
        <v>46263.174100060511</v>
      </c>
      <c r="G846" s="3">
        <v>46263.184679781603</v>
      </c>
      <c r="H846">
        <v>15.23</v>
      </c>
      <c r="I846" t="s">
        <v>3150</v>
      </c>
      <c r="J846" t="s">
        <v>3163</v>
      </c>
      <c r="K846" t="s">
        <v>3179</v>
      </c>
      <c r="L846" t="str">
        <f>_xlfn.XLOOKUP(C846,[1]!Table1[Shift_ID],[1]!Table1[Shift_ID])</f>
        <v>S03</v>
      </c>
      <c r="M846" t="str">
        <f>_xlfn.XLOOKUP(D846,[2]!Table1[Machine_ID],[2]!Table1[Machine_ID])</f>
        <v>M004</v>
      </c>
      <c r="N846" t="str">
        <f>_xlfn.XLOOKUP(E846,[3]Sheet1!$A$2:$A$391,[3]Sheet1!$A$2:$A$391)</f>
        <v>PO10058</v>
      </c>
    </row>
    <row r="847" spans="1:14" x14ac:dyDescent="0.2">
      <c r="A847" t="s">
        <v>856</v>
      </c>
      <c r="B847" s="2">
        <v>46262</v>
      </c>
      <c r="C847" t="s">
        <v>2939</v>
      </c>
      <c r="D847" t="s">
        <v>2946</v>
      </c>
      <c r="E847" t="s">
        <v>3008</v>
      </c>
      <c r="F847" s="3">
        <v>46262.950115243482</v>
      </c>
      <c r="G847" s="3">
        <v>46262.957721429178</v>
      </c>
      <c r="H847">
        <v>10.95</v>
      </c>
      <c r="I847" t="s">
        <v>3147</v>
      </c>
      <c r="J847" t="s">
        <v>3153</v>
      </c>
      <c r="K847" t="s">
        <v>3172</v>
      </c>
      <c r="L847" t="str">
        <f>_xlfn.XLOOKUP(C847,[1]!Table1[Shift_ID],[1]!Table1[Shift_ID])</f>
        <v>S03</v>
      </c>
      <c r="M847" t="str">
        <f>_xlfn.XLOOKUP(D847,[2]!Table1[Machine_ID],[2]!Table1[Machine_ID])</f>
        <v>M005</v>
      </c>
      <c r="N847" t="str">
        <f>_xlfn.XLOOKUP(E847,[3]Sheet1!$A$2:$A$391,[3]Sheet1!$A$2:$A$391)</f>
        <v>PO10058</v>
      </c>
    </row>
    <row r="848" spans="1:14" x14ac:dyDescent="0.2">
      <c r="A848" t="s">
        <v>857</v>
      </c>
      <c r="B848" s="2">
        <v>46262</v>
      </c>
      <c r="C848" t="s">
        <v>2939</v>
      </c>
      <c r="D848" t="s">
        <v>2947</v>
      </c>
      <c r="E848" t="s">
        <v>3008</v>
      </c>
      <c r="F848" s="3">
        <v>46262.943221402144</v>
      </c>
      <c r="G848" s="3">
        <v>46262.947274757367</v>
      </c>
      <c r="H848">
        <v>5.84</v>
      </c>
      <c r="I848" t="s">
        <v>3151</v>
      </c>
      <c r="J848" t="s">
        <v>3161</v>
      </c>
      <c r="K848" t="s">
        <v>3188</v>
      </c>
      <c r="L848" t="str">
        <f>_xlfn.XLOOKUP(C848,[1]!Table1[Shift_ID],[1]!Table1[Shift_ID])</f>
        <v>S03</v>
      </c>
      <c r="M848" t="str">
        <f>_xlfn.XLOOKUP(D848,[2]!Table1[Machine_ID],[2]!Table1[Machine_ID])</f>
        <v>M006</v>
      </c>
      <c r="N848" t="str">
        <f>_xlfn.XLOOKUP(E848,[3]Sheet1!$A$2:$A$391,[3]Sheet1!$A$2:$A$391)</f>
        <v>PO10058</v>
      </c>
    </row>
    <row r="849" spans="1:14" x14ac:dyDescent="0.2">
      <c r="A849" t="s">
        <v>858</v>
      </c>
      <c r="B849" s="2">
        <v>46262</v>
      </c>
      <c r="C849" t="s">
        <v>2939</v>
      </c>
      <c r="D849" t="s">
        <v>2947</v>
      </c>
      <c r="E849" t="s">
        <v>3008</v>
      </c>
      <c r="F849" s="3">
        <v>46262.958794433762</v>
      </c>
      <c r="G849" s="3">
        <v>46262.962431188047</v>
      </c>
      <c r="H849">
        <v>5.24</v>
      </c>
      <c r="I849" t="s">
        <v>3150</v>
      </c>
      <c r="J849" t="s">
        <v>3163</v>
      </c>
      <c r="K849" t="s">
        <v>3179</v>
      </c>
      <c r="L849" t="str">
        <f>_xlfn.XLOOKUP(C849,[1]!Table1[Shift_ID],[1]!Table1[Shift_ID])</f>
        <v>S03</v>
      </c>
      <c r="M849" t="str">
        <f>_xlfn.XLOOKUP(D849,[2]!Table1[Machine_ID],[2]!Table1[Machine_ID])</f>
        <v>M006</v>
      </c>
      <c r="N849" t="str">
        <f>_xlfn.XLOOKUP(E849,[3]Sheet1!$A$2:$A$391,[3]Sheet1!$A$2:$A$391)</f>
        <v>PO10058</v>
      </c>
    </row>
    <row r="850" spans="1:14" x14ac:dyDescent="0.2">
      <c r="A850" t="s">
        <v>859</v>
      </c>
      <c r="B850" s="2">
        <v>46262</v>
      </c>
      <c r="C850" t="s">
        <v>2939</v>
      </c>
      <c r="D850" t="s">
        <v>2947</v>
      </c>
      <c r="E850" t="s">
        <v>3008</v>
      </c>
      <c r="F850" s="3">
        <v>46262.99386104595</v>
      </c>
      <c r="G850" s="3">
        <v>46263.005572650982</v>
      </c>
      <c r="H850">
        <v>16.86</v>
      </c>
      <c r="I850" t="s">
        <v>3150</v>
      </c>
      <c r="J850" t="s">
        <v>3166</v>
      </c>
      <c r="K850" t="s">
        <v>3178</v>
      </c>
      <c r="L850" t="str">
        <f>_xlfn.XLOOKUP(C850,[1]!Table1[Shift_ID],[1]!Table1[Shift_ID])</f>
        <v>S03</v>
      </c>
      <c r="M850" t="str">
        <f>_xlfn.XLOOKUP(D850,[2]!Table1[Machine_ID],[2]!Table1[Machine_ID])</f>
        <v>M006</v>
      </c>
      <c r="N850" t="str">
        <f>_xlfn.XLOOKUP(E850,[3]Sheet1!$A$2:$A$391,[3]Sheet1!$A$2:$A$391)</f>
        <v>PO10058</v>
      </c>
    </row>
    <row r="851" spans="1:14" x14ac:dyDescent="0.2">
      <c r="A851" t="s">
        <v>860</v>
      </c>
      <c r="B851" s="2">
        <v>46262</v>
      </c>
      <c r="C851" t="s">
        <v>2939</v>
      </c>
      <c r="D851" t="s">
        <v>2947</v>
      </c>
      <c r="E851" t="s">
        <v>3008</v>
      </c>
      <c r="F851" s="3">
        <v>46263.013829430252</v>
      </c>
      <c r="G851" s="3">
        <v>46263.020253828647</v>
      </c>
      <c r="H851">
        <v>9.25</v>
      </c>
      <c r="I851" t="s">
        <v>3150</v>
      </c>
      <c r="J851" t="s">
        <v>3166</v>
      </c>
      <c r="K851" t="s">
        <v>3179</v>
      </c>
      <c r="L851" t="str">
        <f>_xlfn.XLOOKUP(C851,[1]!Table1[Shift_ID],[1]!Table1[Shift_ID])</f>
        <v>S03</v>
      </c>
      <c r="M851" t="str">
        <f>_xlfn.XLOOKUP(D851,[2]!Table1[Machine_ID],[2]!Table1[Machine_ID])</f>
        <v>M006</v>
      </c>
      <c r="N851" t="str">
        <f>_xlfn.XLOOKUP(E851,[3]Sheet1!$A$2:$A$391,[3]Sheet1!$A$2:$A$391)</f>
        <v>PO10058</v>
      </c>
    </row>
    <row r="852" spans="1:14" x14ac:dyDescent="0.2">
      <c r="A852" t="s">
        <v>861</v>
      </c>
      <c r="B852" s="2">
        <v>46262</v>
      </c>
      <c r="C852" t="s">
        <v>2939</v>
      </c>
      <c r="D852" t="s">
        <v>2948</v>
      </c>
      <c r="E852" t="s">
        <v>3008</v>
      </c>
      <c r="F852" s="3">
        <v>46263.012448399153</v>
      </c>
      <c r="G852" s="3">
        <v>46263.027539438153</v>
      </c>
      <c r="H852">
        <v>21.73</v>
      </c>
      <c r="I852" t="s">
        <v>3150</v>
      </c>
      <c r="J852" t="s">
        <v>3159</v>
      </c>
      <c r="K852" t="s">
        <v>3177</v>
      </c>
      <c r="L852" t="str">
        <f>_xlfn.XLOOKUP(C852,[1]!Table1[Shift_ID],[1]!Table1[Shift_ID])</f>
        <v>S03</v>
      </c>
      <c r="M852" t="str">
        <f>_xlfn.XLOOKUP(D852,[2]!Table1[Machine_ID],[2]!Table1[Machine_ID])</f>
        <v>M007</v>
      </c>
      <c r="N852" t="str">
        <f>_xlfn.XLOOKUP(E852,[3]Sheet1!$A$2:$A$391,[3]Sheet1!$A$2:$A$391)</f>
        <v>PO10058</v>
      </c>
    </row>
    <row r="853" spans="1:14" x14ac:dyDescent="0.2">
      <c r="A853" t="s">
        <v>862</v>
      </c>
      <c r="B853" s="2">
        <v>46262</v>
      </c>
      <c r="C853" t="s">
        <v>2939</v>
      </c>
      <c r="D853" t="s">
        <v>2948</v>
      </c>
      <c r="E853" t="s">
        <v>3008</v>
      </c>
      <c r="F853" s="3">
        <v>46263.191098672083</v>
      </c>
      <c r="G853" s="3">
        <v>46263.193908861031</v>
      </c>
      <c r="H853">
        <v>4.05</v>
      </c>
      <c r="I853" t="s">
        <v>3151</v>
      </c>
      <c r="J853" t="s">
        <v>3170</v>
      </c>
      <c r="K853" t="s">
        <v>3188</v>
      </c>
      <c r="L853" t="str">
        <f>_xlfn.XLOOKUP(C853,[1]!Table1[Shift_ID],[1]!Table1[Shift_ID])</f>
        <v>S03</v>
      </c>
      <c r="M853" t="str">
        <f>_xlfn.XLOOKUP(D853,[2]!Table1[Machine_ID],[2]!Table1[Machine_ID])</f>
        <v>M007</v>
      </c>
      <c r="N853" t="str">
        <f>_xlfn.XLOOKUP(E853,[3]Sheet1!$A$2:$A$391,[3]Sheet1!$A$2:$A$391)</f>
        <v>PO10058</v>
      </c>
    </row>
    <row r="854" spans="1:14" x14ac:dyDescent="0.2">
      <c r="A854" t="s">
        <v>863</v>
      </c>
      <c r="B854" s="2">
        <v>46262</v>
      </c>
      <c r="C854" t="s">
        <v>2939</v>
      </c>
      <c r="D854" t="s">
        <v>2948</v>
      </c>
      <c r="E854" t="s">
        <v>3008</v>
      </c>
      <c r="F854" s="3">
        <v>46263.226989776311</v>
      </c>
      <c r="G854" s="3">
        <v>46263.228882069903</v>
      </c>
      <c r="H854">
        <v>2.72</v>
      </c>
      <c r="I854" t="s">
        <v>3148</v>
      </c>
      <c r="J854" t="s">
        <v>3164</v>
      </c>
      <c r="K854" t="s">
        <v>3173</v>
      </c>
      <c r="L854" t="str">
        <f>_xlfn.XLOOKUP(C854,[1]!Table1[Shift_ID],[1]!Table1[Shift_ID])</f>
        <v>S03</v>
      </c>
      <c r="M854" t="str">
        <f>_xlfn.XLOOKUP(D854,[2]!Table1[Machine_ID],[2]!Table1[Machine_ID])</f>
        <v>M007</v>
      </c>
      <c r="N854" t="str">
        <f>_xlfn.XLOOKUP(E854,[3]Sheet1!$A$2:$A$391,[3]Sheet1!$A$2:$A$391)</f>
        <v>PO10058</v>
      </c>
    </row>
    <row r="855" spans="1:14" x14ac:dyDescent="0.2">
      <c r="A855" t="s">
        <v>864</v>
      </c>
      <c r="B855" s="2">
        <v>46262</v>
      </c>
      <c r="C855" t="s">
        <v>2939</v>
      </c>
      <c r="D855" t="s">
        <v>2949</v>
      </c>
      <c r="E855" t="s">
        <v>3008</v>
      </c>
      <c r="F855" s="3">
        <v>46263.052724042398</v>
      </c>
      <c r="G855" s="3">
        <v>46263.060271861294</v>
      </c>
      <c r="H855">
        <v>10.87</v>
      </c>
      <c r="I855" t="s">
        <v>3148</v>
      </c>
      <c r="J855" t="s">
        <v>3164</v>
      </c>
      <c r="K855" t="s">
        <v>3180</v>
      </c>
      <c r="L855" t="str">
        <f>_xlfn.XLOOKUP(C855,[1]!Table1[Shift_ID],[1]!Table1[Shift_ID])</f>
        <v>S03</v>
      </c>
      <c r="M855" t="str">
        <f>_xlfn.XLOOKUP(D855,[2]!Table1[Machine_ID],[2]!Table1[Machine_ID])</f>
        <v>M008</v>
      </c>
      <c r="N855" t="str">
        <f>_xlfn.XLOOKUP(E855,[3]Sheet1!$A$2:$A$391,[3]Sheet1!$A$2:$A$391)</f>
        <v>PO10058</v>
      </c>
    </row>
    <row r="856" spans="1:14" x14ac:dyDescent="0.2">
      <c r="A856" t="s">
        <v>865</v>
      </c>
      <c r="B856" s="2">
        <v>46262</v>
      </c>
      <c r="C856" t="s">
        <v>2940</v>
      </c>
      <c r="D856" t="s">
        <v>2942</v>
      </c>
      <c r="E856" t="s">
        <v>3009</v>
      </c>
      <c r="F856" s="3">
        <v>46262.358271690842</v>
      </c>
      <c r="G856" s="3">
        <v>46262.361101458358</v>
      </c>
      <c r="H856">
        <v>4.07</v>
      </c>
      <c r="I856" t="s">
        <v>3149</v>
      </c>
      <c r="J856" t="s">
        <v>3158</v>
      </c>
      <c r="K856" t="s">
        <v>3176</v>
      </c>
      <c r="L856" t="str">
        <f>_xlfn.XLOOKUP(C856,[1]!Table1[Shift_ID],[1]!Table1[Shift_ID])</f>
        <v>S01</v>
      </c>
      <c r="M856" t="str">
        <f>_xlfn.XLOOKUP(D856,[2]!Table1[Machine_ID],[2]!Table1[Machine_ID])</f>
        <v>M001</v>
      </c>
      <c r="N856" t="str">
        <f>_xlfn.XLOOKUP(E856,[3]Sheet1!$A$2:$A$391,[3]Sheet1!$A$2:$A$391)</f>
        <v>PO10059</v>
      </c>
    </row>
    <row r="857" spans="1:14" x14ac:dyDescent="0.2">
      <c r="A857" t="s">
        <v>866</v>
      </c>
      <c r="B857" s="2">
        <v>46262</v>
      </c>
      <c r="C857" t="s">
        <v>2940</v>
      </c>
      <c r="D857" t="s">
        <v>2942</v>
      </c>
      <c r="E857" t="s">
        <v>3009</v>
      </c>
      <c r="F857" s="3">
        <v>46262.546681989101</v>
      </c>
      <c r="G857" s="3">
        <v>46262.549342417231</v>
      </c>
      <c r="H857">
        <v>3.83</v>
      </c>
      <c r="I857" t="s">
        <v>3147</v>
      </c>
      <c r="J857" t="s">
        <v>3154</v>
      </c>
      <c r="K857" t="s">
        <v>3185</v>
      </c>
      <c r="L857" t="str">
        <f>_xlfn.XLOOKUP(C857,[1]!Table1[Shift_ID],[1]!Table1[Shift_ID])</f>
        <v>S01</v>
      </c>
      <c r="M857" t="str">
        <f>_xlfn.XLOOKUP(D857,[2]!Table1[Machine_ID],[2]!Table1[Machine_ID])</f>
        <v>M001</v>
      </c>
      <c r="N857" t="str">
        <f>_xlfn.XLOOKUP(E857,[3]Sheet1!$A$2:$A$391,[3]Sheet1!$A$2:$A$391)</f>
        <v>PO10059</v>
      </c>
    </row>
    <row r="858" spans="1:14" x14ac:dyDescent="0.2">
      <c r="A858" t="s">
        <v>867</v>
      </c>
      <c r="B858" s="2">
        <v>46262</v>
      </c>
      <c r="C858" t="s">
        <v>2940</v>
      </c>
      <c r="D858" t="s">
        <v>2943</v>
      </c>
      <c r="E858" t="s">
        <v>3009</v>
      </c>
      <c r="F858" s="3">
        <v>46262.332769729321</v>
      </c>
      <c r="G858" s="3">
        <v>46262.335873880729</v>
      </c>
      <c r="H858">
        <v>4.47</v>
      </c>
      <c r="I858" t="s">
        <v>3148</v>
      </c>
      <c r="J858" t="s">
        <v>3165</v>
      </c>
      <c r="K858" t="s">
        <v>3180</v>
      </c>
      <c r="L858" t="str">
        <f>_xlfn.XLOOKUP(C858,[1]!Table1[Shift_ID],[1]!Table1[Shift_ID])</f>
        <v>S01</v>
      </c>
      <c r="M858" t="str">
        <f>_xlfn.XLOOKUP(D858,[2]!Table1[Machine_ID],[2]!Table1[Machine_ID])</f>
        <v>M002</v>
      </c>
      <c r="N858" t="str">
        <f>_xlfn.XLOOKUP(E858,[3]Sheet1!$A$2:$A$391,[3]Sheet1!$A$2:$A$391)</f>
        <v>PO10059</v>
      </c>
    </row>
    <row r="859" spans="1:14" x14ac:dyDescent="0.2">
      <c r="A859" t="s">
        <v>868</v>
      </c>
      <c r="B859" s="2">
        <v>46262</v>
      </c>
      <c r="C859" t="s">
        <v>2940</v>
      </c>
      <c r="D859" t="s">
        <v>2943</v>
      </c>
      <c r="E859" t="s">
        <v>3009</v>
      </c>
      <c r="F859" s="3">
        <v>46262.380583198632</v>
      </c>
      <c r="G859" s="3">
        <v>46262.381745747269</v>
      </c>
      <c r="H859">
        <v>1.67</v>
      </c>
      <c r="I859" t="s">
        <v>3147</v>
      </c>
      <c r="J859" t="s">
        <v>3153</v>
      </c>
      <c r="K859" t="s">
        <v>3185</v>
      </c>
      <c r="L859" t="str">
        <f>_xlfn.XLOOKUP(C859,[1]!Table1[Shift_ID],[1]!Table1[Shift_ID])</f>
        <v>S01</v>
      </c>
      <c r="M859" t="str">
        <f>_xlfn.XLOOKUP(D859,[2]!Table1[Machine_ID],[2]!Table1[Machine_ID])</f>
        <v>M002</v>
      </c>
      <c r="N859" t="str">
        <f>_xlfn.XLOOKUP(E859,[3]Sheet1!$A$2:$A$391,[3]Sheet1!$A$2:$A$391)</f>
        <v>PO10059</v>
      </c>
    </row>
    <row r="860" spans="1:14" x14ac:dyDescent="0.2">
      <c r="A860" t="s">
        <v>869</v>
      </c>
      <c r="B860" s="2">
        <v>46262</v>
      </c>
      <c r="C860" t="s">
        <v>2940</v>
      </c>
      <c r="D860" t="s">
        <v>2943</v>
      </c>
      <c r="E860" t="s">
        <v>3009</v>
      </c>
      <c r="F860" s="3">
        <v>46262.391910288672</v>
      </c>
      <c r="G860" s="3">
        <v>46262.393072837323</v>
      </c>
      <c r="H860">
        <v>1.67</v>
      </c>
      <c r="I860" t="s">
        <v>3146</v>
      </c>
      <c r="J860" t="s">
        <v>3157</v>
      </c>
      <c r="K860" t="s">
        <v>3174</v>
      </c>
      <c r="L860" t="str">
        <f>_xlfn.XLOOKUP(C860,[1]!Table1[Shift_ID],[1]!Table1[Shift_ID])</f>
        <v>S01</v>
      </c>
      <c r="M860" t="str">
        <f>_xlfn.XLOOKUP(D860,[2]!Table1[Machine_ID],[2]!Table1[Machine_ID])</f>
        <v>M002</v>
      </c>
      <c r="N860" t="str">
        <f>_xlfn.XLOOKUP(E860,[3]Sheet1!$A$2:$A$391,[3]Sheet1!$A$2:$A$391)</f>
        <v>PO10059</v>
      </c>
    </row>
    <row r="861" spans="1:14" x14ac:dyDescent="0.2">
      <c r="A861" t="s">
        <v>870</v>
      </c>
      <c r="B861" s="2">
        <v>46262</v>
      </c>
      <c r="C861" t="s">
        <v>2940</v>
      </c>
      <c r="D861" t="s">
        <v>2943</v>
      </c>
      <c r="E861" t="s">
        <v>3009</v>
      </c>
      <c r="F861" s="3">
        <v>46262.419238104769</v>
      </c>
      <c r="G861" s="3">
        <v>46262.420400653413</v>
      </c>
      <c r="H861">
        <v>1.67</v>
      </c>
      <c r="I861" t="s">
        <v>3151</v>
      </c>
      <c r="J861" t="s">
        <v>3161</v>
      </c>
      <c r="K861" t="s">
        <v>3187</v>
      </c>
      <c r="L861" t="str">
        <f>_xlfn.XLOOKUP(C861,[1]!Table1[Shift_ID],[1]!Table1[Shift_ID])</f>
        <v>S01</v>
      </c>
      <c r="M861" t="str">
        <f>_xlfn.XLOOKUP(D861,[2]!Table1[Machine_ID],[2]!Table1[Machine_ID])</f>
        <v>M002</v>
      </c>
      <c r="N861" t="str">
        <f>_xlfn.XLOOKUP(E861,[3]Sheet1!$A$2:$A$391,[3]Sheet1!$A$2:$A$391)</f>
        <v>PO10059</v>
      </c>
    </row>
    <row r="862" spans="1:14" x14ac:dyDescent="0.2">
      <c r="A862" t="s">
        <v>871</v>
      </c>
      <c r="B862" s="2">
        <v>46262</v>
      </c>
      <c r="C862" t="s">
        <v>2940</v>
      </c>
      <c r="D862" t="s">
        <v>2943</v>
      </c>
      <c r="E862" t="s">
        <v>3009</v>
      </c>
      <c r="F862" s="3">
        <v>46262.466607205854</v>
      </c>
      <c r="G862" s="3">
        <v>46262.467769754483</v>
      </c>
      <c r="H862">
        <v>1.67</v>
      </c>
      <c r="I862" t="s">
        <v>3148</v>
      </c>
      <c r="J862" t="s">
        <v>3164</v>
      </c>
      <c r="K862" t="s">
        <v>3183</v>
      </c>
      <c r="L862" t="str">
        <f>_xlfn.XLOOKUP(C862,[1]!Table1[Shift_ID],[1]!Table1[Shift_ID])</f>
        <v>S01</v>
      </c>
      <c r="M862" t="str">
        <f>_xlfn.XLOOKUP(D862,[2]!Table1[Machine_ID],[2]!Table1[Machine_ID])</f>
        <v>M002</v>
      </c>
      <c r="N862" t="str">
        <f>_xlfn.XLOOKUP(E862,[3]Sheet1!$A$2:$A$391,[3]Sheet1!$A$2:$A$391)</f>
        <v>PO10059</v>
      </c>
    </row>
    <row r="863" spans="1:14" x14ac:dyDescent="0.2">
      <c r="A863" t="s">
        <v>872</v>
      </c>
      <c r="B863" s="2">
        <v>46262</v>
      </c>
      <c r="C863" t="s">
        <v>2940</v>
      </c>
      <c r="D863" t="s">
        <v>2944</v>
      </c>
      <c r="E863" t="s">
        <v>3009</v>
      </c>
      <c r="F863" s="3">
        <v>46262.546840259667</v>
      </c>
      <c r="G863" s="3">
        <v>46262.559376692167</v>
      </c>
      <c r="H863">
        <v>18.05</v>
      </c>
      <c r="I863" t="s">
        <v>3147</v>
      </c>
      <c r="J863" t="s">
        <v>3167</v>
      </c>
      <c r="K863" t="s">
        <v>3185</v>
      </c>
      <c r="L863" t="str">
        <f>_xlfn.XLOOKUP(C863,[1]!Table1[Shift_ID],[1]!Table1[Shift_ID])</f>
        <v>S01</v>
      </c>
      <c r="M863" t="str">
        <f>_xlfn.XLOOKUP(D863,[2]!Table1[Machine_ID],[2]!Table1[Machine_ID])</f>
        <v>M003</v>
      </c>
      <c r="N863" t="str">
        <f>_xlfn.XLOOKUP(E863,[3]Sheet1!$A$2:$A$391,[3]Sheet1!$A$2:$A$391)</f>
        <v>PO10059</v>
      </c>
    </row>
    <row r="864" spans="1:14" x14ac:dyDescent="0.2">
      <c r="A864" t="s">
        <v>873</v>
      </c>
      <c r="B864" s="2">
        <v>46262</v>
      </c>
      <c r="C864" t="s">
        <v>2940</v>
      </c>
      <c r="D864" t="s">
        <v>2945</v>
      </c>
      <c r="E864" t="s">
        <v>3009</v>
      </c>
      <c r="F864" s="3">
        <v>46262.47045545627</v>
      </c>
      <c r="G864" s="3">
        <v>46262.477446127188</v>
      </c>
      <c r="H864">
        <v>10.07</v>
      </c>
      <c r="I864" t="s">
        <v>3151</v>
      </c>
      <c r="J864" t="s">
        <v>3170</v>
      </c>
      <c r="K864" t="s">
        <v>3187</v>
      </c>
      <c r="L864" t="str">
        <f>_xlfn.XLOOKUP(C864,[1]!Table1[Shift_ID],[1]!Table1[Shift_ID])</f>
        <v>S01</v>
      </c>
      <c r="M864" t="str">
        <f>_xlfn.XLOOKUP(D864,[2]!Table1[Machine_ID],[2]!Table1[Machine_ID])</f>
        <v>M004</v>
      </c>
      <c r="N864" t="str">
        <f>_xlfn.XLOOKUP(E864,[3]Sheet1!$A$2:$A$391,[3]Sheet1!$A$2:$A$391)</f>
        <v>PO10059</v>
      </c>
    </row>
    <row r="865" spans="1:14" x14ac:dyDescent="0.2">
      <c r="A865" t="s">
        <v>874</v>
      </c>
      <c r="B865" s="2">
        <v>46262</v>
      </c>
      <c r="C865" t="s">
        <v>2940</v>
      </c>
      <c r="D865" t="s">
        <v>2946</v>
      </c>
      <c r="E865" t="s">
        <v>3009</v>
      </c>
      <c r="F865" s="3">
        <v>46262.30217477031</v>
      </c>
      <c r="G865" s="3">
        <v>46262.303861002569</v>
      </c>
      <c r="H865">
        <v>2.4300000000000002</v>
      </c>
      <c r="I865" t="s">
        <v>3147</v>
      </c>
      <c r="J865" t="s">
        <v>3154</v>
      </c>
      <c r="K865" t="s">
        <v>3172</v>
      </c>
      <c r="L865" t="str">
        <f>_xlfn.XLOOKUP(C865,[1]!Table1[Shift_ID],[1]!Table1[Shift_ID])</f>
        <v>S01</v>
      </c>
      <c r="M865" t="str">
        <f>_xlfn.XLOOKUP(D865,[2]!Table1[Machine_ID],[2]!Table1[Machine_ID])</f>
        <v>M005</v>
      </c>
      <c r="N865" t="str">
        <f>_xlfn.XLOOKUP(E865,[3]Sheet1!$A$2:$A$391,[3]Sheet1!$A$2:$A$391)</f>
        <v>PO10059</v>
      </c>
    </row>
    <row r="866" spans="1:14" x14ac:dyDescent="0.2">
      <c r="A866" t="s">
        <v>875</v>
      </c>
      <c r="B866" s="2">
        <v>46262</v>
      </c>
      <c r="C866" t="s">
        <v>2940</v>
      </c>
      <c r="D866" t="s">
        <v>2946</v>
      </c>
      <c r="E866" t="s">
        <v>3009</v>
      </c>
      <c r="F866" s="3">
        <v>46262.400654874917</v>
      </c>
      <c r="G866" s="3">
        <v>46262.406402022927</v>
      </c>
      <c r="H866">
        <v>8.2799999999999994</v>
      </c>
      <c r="I866" t="s">
        <v>3148</v>
      </c>
      <c r="J866" t="s">
        <v>3164</v>
      </c>
      <c r="K866" t="s">
        <v>3180</v>
      </c>
      <c r="L866" t="str">
        <f>_xlfn.XLOOKUP(C866,[1]!Table1[Shift_ID],[1]!Table1[Shift_ID])</f>
        <v>S01</v>
      </c>
      <c r="M866" t="str">
        <f>_xlfn.XLOOKUP(D866,[2]!Table1[Machine_ID],[2]!Table1[Machine_ID])</f>
        <v>M005</v>
      </c>
      <c r="N866" t="str">
        <f>_xlfn.XLOOKUP(E866,[3]Sheet1!$A$2:$A$391,[3]Sheet1!$A$2:$A$391)</f>
        <v>PO10059</v>
      </c>
    </row>
    <row r="867" spans="1:14" x14ac:dyDescent="0.2">
      <c r="A867" t="s">
        <v>876</v>
      </c>
      <c r="B867" s="2">
        <v>46262</v>
      </c>
      <c r="C867" t="s">
        <v>2940</v>
      </c>
      <c r="D867" t="s">
        <v>2947</v>
      </c>
      <c r="E867" t="s">
        <v>3009</v>
      </c>
      <c r="F867" s="3">
        <v>46262.444796567317</v>
      </c>
      <c r="G867" s="3">
        <v>46262.454856562683</v>
      </c>
      <c r="H867">
        <v>14.49</v>
      </c>
      <c r="I867" t="s">
        <v>3149</v>
      </c>
      <c r="J867" t="s">
        <v>3168</v>
      </c>
      <c r="K867" t="s">
        <v>3176</v>
      </c>
      <c r="L867" t="str">
        <f>_xlfn.XLOOKUP(C867,[1]!Table1[Shift_ID],[1]!Table1[Shift_ID])</f>
        <v>S01</v>
      </c>
      <c r="M867" t="str">
        <f>_xlfn.XLOOKUP(D867,[2]!Table1[Machine_ID],[2]!Table1[Machine_ID])</f>
        <v>M006</v>
      </c>
      <c r="N867" t="str">
        <f>_xlfn.XLOOKUP(E867,[3]Sheet1!$A$2:$A$391,[3]Sheet1!$A$2:$A$391)</f>
        <v>PO10059</v>
      </c>
    </row>
    <row r="868" spans="1:14" x14ac:dyDescent="0.2">
      <c r="A868" t="s">
        <v>877</v>
      </c>
      <c r="B868" s="2">
        <v>46262</v>
      </c>
      <c r="C868" t="s">
        <v>2940</v>
      </c>
      <c r="D868" t="s">
        <v>2947</v>
      </c>
      <c r="E868" t="s">
        <v>3009</v>
      </c>
      <c r="F868" s="3">
        <v>46262.500115204777</v>
      </c>
      <c r="G868" s="3">
        <v>46262.508167882457</v>
      </c>
      <c r="H868">
        <v>11.6</v>
      </c>
      <c r="I868" t="s">
        <v>3150</v>
      </c>
      <c r="J868" t="s">
        <v>3160</v>
      </c>
      <c r="K868" t="s">
        <v>3179</v>
      </c>
      <c r="L868" t="str">
        <f>_xlfn.XLOOKUP(C868,[1]!Table1[Shift_ID],[1]!Table1[Shift_ID])</f>
        <v>S01</v>
      </c>
      <c r="M868" t="str">
        <f>_xlfn.XLOOKUP(D868,[2]!Table1[Machine_ID],[2]!Table1[Machine_ID])</f>
        <v>M006</v>
      </c>
      <c r="N868" t="str">
        <f>_xlfn.XLOOKUP(E868,[3]Sheet1!$A$2:$A$391,[3]Sheet1!$A$2:$A$391)</f>
        <v>PO10059</v>
      </c>
    </row>
    <row r="869" spans="1:14" x14ac:dyDescent="0.2">
      <c r="A869" t="s">
        <v>878</v>
      </c>
      <c r="B869" s="2">
        <v>46262</v>
      </c>
      <c r="C869" t="s">
        <v>2940</v>
      </c>
      <c r="D869" t="s">
        <v>2947</v>
      </c>
      <c r="E869" t="s">
        <v>3009</v>
      </c>
      <c r="F869" s="3">
        <v>46262.542894553233</v>
      </c>
      <c r="G869" s="3">
        <v>46262.544946479211</v>
      </c>
      <c r="H869">
        <v>2.95</v>
      </c>
      <c r="I869" t="s">
        <v>3148</v>
      </c>
      <c r="J869" t="s">
        <v>3155</v>
      </c>
      <c r="K869" t="s">
        <v>3173</v>
      </c>
      <c r="L869" t="str">
        <f>_xlfn.XLOOKUP(C869,[1]!Table1[Shift_ID],[1]!Table1[Shift_ID])</f>
        <v>S01</v>
      </c>
      <c r="M869" t="str">
        <f>_xlfn.XLOOKUP(D869,[2]!Table1[Machine_ID],[2]!Table1[Machine_ID])</f>
        <v>M006</v>
      </c>
      <c r="N869" t="str">
        <f>_xlfn.XLOOKUP(E869,[3]Sheet1!$A$2:$A$391,[3]Sheet1!$A$2:$A$391)</f>
        <v>PO10059</v>
      </c>
    </row>
    <row r="870" spans="1:14" x14ac:dyDescent="0.2">
      <c r="A870" t="s">
        <v>879</v>
      </c>
      <c r="B870" s="2">
        <v>46262</v>
      </c>
      <c r="C870" t="s">
        <v>2940</v>
      </c>
      <c r="D870" t="s">
        <v>2948</v>
      </c>
      <c r="E870" t="s">
        <v>3009</v>
      </c>
      <c r="F870" s="3">
        <v>46262.507317348383</v>
      </c>
      <c r="G870" s="3">
        <v>46262.517605972382</v>
      </c>
      <c r="H870">
        <v>14.82</v>
      </c>
      <c r="I870" t="s">
        <v>3146</v>
      </c>
      <c r="J870" t="s">
        <v>3156</v>
      </c>
      <c r="K870" t="s">
        <v>3174</v>
      </c>
      <c r="L870" t="str">
        <f>_xlfn.XLOOKUP(C870,[1]!Table1[Shift_ID],[1]!Table1[Shift_ID])</f>
        <v>S01</v>
      </c>
      <c r="M870" t="str">
        <f>_xlfn.XLOOKUP(D870,[2]!Table1[Machine_ID],[2]!Table1[Machine_ID])</f>
        <v>M007</v>
      </c>
      <c r="N870" t="str">
        <f>_xlfn.XLOOKUP(E870,[3]Sheet1!$A$2:$A$391,[3]Sheet1!$A$2:$A$391)</f>
        <v>PO10059</v>
      </c>
    </row>
    <row r="871" spans="1:14" x14ac:dyDescent="0.2">
      <c r="A871" t="s">
        <v>880</v>
      </c>
      <c r="B871" s="2">
        <v>46262</v>
      </c>
      <c r="C871" t="s">
        <v>2940</v>
      </c>
      <c r="D871" t="s">
        <v>2949</v>
      </c>
      <c r="E871" t="s">
        <v>3009</v>
      </c>
      <c r="F871" s="3">
        <v>46262.375181505107</v>
      </c>
      <c r="G871" s="3">
        <v>46262.381973475312</v>
      </c>
      <c r="H871">
        <v>9.7799999999999994</v>
      </c>
      <c r="I871" t="s">
        <v>3148</v>
      </c>
      <c r="J871" t="s">
        <v>3164</v>
      </c>
      <c r="K871" t="s">
        <v>3183</v>
      </c>
      <c r="L871" t="str">
        <f>_xlfn.XLOOKUP(C871,[1]!Table1[Shift_ID],[1]!Table1[Shift_ID])</f>
        <v>S01</v>
      </c>
      <c r="M871" t="str">
        <f>_xlfn.XLOOKUP(D871,[2]!Table1[Machine_ID],[2]!Table1[Machine_ID])</f>
        <v>M008</v>
      </c>
      <c r="N871" t="str">
        <f>_xlfn.XLOOKUP(E871,[3]Sheet1!$A$2:$A$391,[3]Sheet1!$A$2:$A$391)</f>
        <v>PO10059</v>
      </c>
    </row>
    <row r="872" spans="1:14" x14ac:dyDescent="0.2">
      <c r="A872" t="s">
        <v>881</v>
      </c>
      <c r="B872" s="2">
        <v>46262</v>
      </c>
      <c r="C872" t="s">
        <v>2941</v>
      </c>
      <c r="D872" t="s">
        <v>2942</v>
      </c>
      <c r="E872" t="s">
        <v>3010</v>
      </c>
      <c r="F872" s="3">
        <v>46262.746215333427</v>
      </c>
      <c r="G872" s="3">
        <v>46262.753225656459</v>
      </c>
      <c r="H872">
        <v>10.09</v>
      </c>
      <c r="I872" t="s">
        <v>3151</v>
      </c>
      <c r="J872" t="s">
        <v>3169</v>
      </c>
      <c r="K872" t="s">
        <v>3187</v>
      </c>
      <c r="L872" t="str">
        <f>_xlfn.XLOOKUP(C872,[1]!Table1[Shift_ID],[1]!Table1[Shift_ID])</f>
        <v>S02</v>
      </c>
      <c r="M872" t="str">
        <f>_xlfn.XLOOKUP(D872,[2]!Table1[Machine_ID],[2]!Table1[Machine_ID])</f>
        <v>M001</v>
      </c>
      <c r="N872" t="str">
        <f>_xlfn.XLOOKUP(E872,[3]Sheet1!$A$2:$A$391,[3]Sheet1!$A$2:$A$391)</f>
        <v>PO10060</v>
      </c>
    </row>
    <row r="873" spans="1:14" x14ac:dyDescent="0.2">
      <c r="A873" t="s">
        <v>882</v>
      </c>
      <c r="B873" s="2">
        <v>46262</v>
      </c>
      <c r="C873" t="s">
        <v>2941</v>
      </c>
      <c r="D873" t="s">
        <v>2943</v>
      </c>
      <c r="E873" t="s">
        <v>3010</v>
      </c>
      <c r="F873" s="3">
        <v>46262.829740463123</v>
      </c>
      <c r="G873" s="3">
        <v>46262.83903994353</v>
      </c>
      <c r="H873">
        <v>13.39</v>
      </c>
      <c r="I873" t="s">
        <v>3151</v>
      </c>
      <c r="J873" t="s">
        <v>3169</v>
      </c>
      <c r="K873" t="s">
        <v>3181</v>
      </c>
      <c r="L873" t="str">
        <f>_xlfn.XLOOKUP(C873,[1]!Table1[Shift_ID],[1]!Table1[Shift_ID])</f>
        <v>S02</v>
      </c>
      <c r="M873" t="str">
        <f>_xlfn.XLOOKUP(D873,[2]!Table1[Machine_ID],[2]!Table1[Machine_ID])</f>
        <v>M002</v>
      </c>
      <c r="N873" t="str">
        <f>_xlfn.XLOOKUP(E873,[3]Sheet1!$A$2:$A$391,[3]Sheet1!$A$2:$A$391)</f>
        <v>PO10060</v>
      </c>
    </row>
    <row r="874" spans="1:14" x14ac:dyDescent="0.2">
      <c r="A874" t="s">
        <v>883</v>
      </c>
      <c r="B874" s="2">
        <v>46262</v>
      </c>
      <c r="C874" t="s">
        <v>2941</v>
      </c>
      <c r="D874" t="s">
        <v>2944</v>
      </c>
      <c r="E874" t="s">
        <v>3010</v>
      </c>
      <c r="F874" s="3">
        <v>46262.619292160773</v>
      </c>
      <c r="G874" s="3">
        <v>46262.629369588853</v>
      </c>
      <c r="H874">
        <v>14.51</v>
      </c>
      <c r="I874" t="s">
        <v>3151</v>
      </c>
      <c r="J874" t="s">
        <v>3169</v>
      </c>
      <c r="K874" t="s">
        <v>3188</v>
      </c>
      <c r="L874" t="str">
        <f>_xlfn.XLOOKUP(C874,[1]!Table1[Shift_ID],[1]!Table1[Shift_ID])</f>
        <v>S02</v>
      </c>
      <c r="M874" t="str">
        <f>_xlfn.XLOOKUP(D874,[2]!Table1[Machine_ID],[2]!Table1[Machine_ID])</f>
        <v>M003</v>
      </c>
      <c r="N874" t="str">
        <f>_xlfn.XLOOKUP(E874,[3]Sheet1!$A$2:$A$391,[3]Sheet1!$A$2:$A$391)</f>
        <v>PO10060</v>
      </c>
    </row>
    <row r="875" spans="1:14" x14ac:dyDescent="0.2">
      <c r="A875" t="s">
        <v>884</v>
      </c>
      <c r="B875" s="2">
        <v>46262</v>
      </c>
      <c r="C875" t="s">
        <v>2941</v>
      </c>
      <c r="D875" t="s">
        <v>2944</v>
      </c>
      <c r="E875" t="s">
        <v>3010</v>
      </c>
      <c r="F875" s="3">
        <v>46262.87602629351</v>
      </c>
      <c r="G875" s="3">
        <v>46262.879873883459</v>
      </c>
      <c r="H875">
        <v>5.54</v>
      </c>
      <c r="I875" t="s">
        <v>3147</v>
      </c>
      <c r="J875" t="s">
        <v>3167</v>
      </c>
      <c r="K875" t="s">
        <v>3186</v>
      </c>
      <c r="L875" t="str">
        <f>_xlfn.XLOOKUP(C875,[1]!Table1[Shift_ID],[1]!Table1[Shift_ID])</f>
        <v>S02</v>
      </c>
      <c r="M875" t="str">
        <f>_xlfn.XLOOKUP(D875,[2]!Table1[Machine_ID],[2]!Table1[Machine_ID])</f>
        <v>M003</v>
      </c>
      <c r="N875" t="str">
        <f>_xlfn.XLOOKUP(E875,[3]Sheet1!$A$2:$A$391,[3]Sheet1!$A$2:$A$391)</f>
        <v>PO10060</v>
      </c>
    </row>
    <row r="876" spans="1:14" x14ac:dyDescent="0.2">
      <c r="A876" t="s">
        <v>885</v>
      </c>
      <c r="B876" s="2">
        <v>46262</v>
      </c>
      <c r="C876" t="s">
        <v>2941</v>
      </c>
      <c r="D876" t="s">
        <v>2945</v>
      </c>
      <c r="E876" t="s">
        <v>3010</v>
      </c>
      <c r="F876" s="3">
        <v>46262.651810564887</v>
      </c>
      <c r="G876" s="3">
        <v>46262.65451757588</v>
      </c>
      <c r="H876">
        <v>3.9</v>
      </c>
      <c r="I876" t="s">
        <v>3149</v>
      </c>
      <c r="J876" t="s">
        <v>3168</v>
      </c>
      <c r="K876" t="s">
        <v>3184</v>
      </c>
      <c r="L876" t="str">
        <f>_xlfn.XLOOKUP(C876,[1]!Table1[Shift_ID],[1]!Table1[Shift_ID])</f>
        <v>S02</v>
      </c>
      <c r="M876" t="str">
        <f>_xlfn.XLOOKUP(D876,[2]!Table1[Machine_ID],[2]!Table1[Machine_ID])</f>
        <v>M004</v>
      </c>
      <c r="N876" t="str">
        <f>_xlfn.XLOOKUP(E876,[3]Sheet1!$A$2:$A$391,[3]Sheet1!$A$2:$A$391)</f>
        <v>PO10060</v>
      </c>
    </row>
    <row r="877" spans="1:14" x14ac:dyDescent="0.2">
      <c r="A877" t="s">
        <v>886</v>
      </c>
      <c r="B877" s="2">
        <v>46262</v>
      </c>
      <c r="C877" t="s">
        <v>2941</v>
      </c>
      <c r="D877" t="s">
        <v>2945</v>
      </c>
      <c r="E877" t="s">
        <v>3010</v>
      </c>
      <c r="F877" s="3">
        <v>46262.675836604758</v>
      </c>
      <c r="G877" s="3">
        <v>46262.677856363283</v>
      </c>
      <c r="H877">
        <v>2.91</v>
      </c>
      <c r="I877" t="s">
        <v>3150</v>
      </c>
      <c r="J877" t="s">
        <v>3159</v>
      </c>
      <c r="K877" t="s">
        <v>3177</v>
      </c>
      <c r="L877" t="str">
        <f>_xlfn.XLOOKUP(C877,[1]!Table1[Shift_ID],[1]!Table1[Shift_ID])</f>
        <v>S02</v>
      </c>
      <c r="M877" t="str">
        <f>_xlfn.XLOOKUP(D877,[2]!Table1[Machine_ID],[2]!Table1[Machine_ID])</f>
        <v>M004</v>
      </c>
      <c r="N877" t="str">
        <f>_xlfn.XLOOKUP(E877,[3]Sheet1!$A$2:$A$391,[3]Sheet1!$A$2:$A$391)</f>
        <v>PO10060</v>
      </c>
    </row>
    <row r="878" spans="1:14" x14ac:dyDescent="0.2">
      <c r="A878" t="s">
        <v>887</v>
      </c>
      <c r="B878" s="2">
        <v>46262</v>
      </c>
      <c r="C878" t="s">
        <v>2941</v>
      </c>
      <c r="D878" t="s">
        <v>2945</v>
      </c>
      <c r="E878" t="s">
        <v>3010</v>
      </c>
      <c r="F878" s="3">
        <v>46262.862646025038</v>
      </c>
      <c r="G878" s="3">
        <v>46262.864805859783</v>
      </c>
      <c r="H878">
        <v>3.11</v>
      </c>
      <c r="I878" t="s">
        <v>3151</v>
      </c>
      <c r="J878" t="s">
        <v>3169</v>
      </c>
      <c r="K878" t="s">
        <v>3188</v>
      </c>
      <c r="L878" t="str">
        <f>_xlfn.XLOOKUP(C878,[1]!Table1[Shift_ID],[1]!Table1[Shift_ID])</f>
        <v>S02</v>
      </c>
      <c r="M878" t="str">
        <f>_xlfn.XLOOKUP(D878,[2]!Table1[Machine_ID],[2]!Table1[Machine_ID])</f>
        <v>M004</v>
      </c>
      <c r="N878" t="str">
        <f>_xlfn.XLOOKUP(E878,[3]Sheet1!$A$2:$A$391,[3]Sheet1!$A$2:$A$391)</f>
        <v>PO10060</v>
      </c>
    </row>
    <row r="879" spans="1:14" x14ac:dyDescent="0.2">
      <c r="A879" t="s">
        <v>888</v>
      </c>
      <c r="B879" s="2">
        <v>46262</v>
      </c>
      <c r="C879" t="s">
        <v>2941</v>
      </c>
      <c r="D879" t="s">
        <v>2946</v>
      </c>
      <c r="E879" t="s">
        <v>3010</v>
      </c>
      <c r="F879" s="3">
        <v>46262.903615059418</v>
      </c>
      <c r="G879" s="3">
        <v>46262.905767714758</v>
      </c>
      <c r="H879">
        <v>3.1</v>
      </c>
      <c r="I879" t="s">
        <v>3149</v>
      </c>
      <c r="J879" t="s">
        <v>3162</v>
      </c>
      <c r="K879" t="s">
        <v>3184</v>
      </c>
      <c r="L879" t="str">
        <f>_xlfn.XLOOKUP(C879,[1]!Table1[Shift_ID],[1]!Table1[Shift_ID])</f>
        <v>S02</v>
      </c>
      <c r="M879" t="str">
        <f>_xlfn.XLOOKUP(D879,[2]!Table1[Machine_ID],[2]!Table1[Machine_ID])</f>
        <v>M005</v>
      </c>
      <c r="N879" t="str">
        <f>_xlfn.XLOOKUP(E879,[3]Sheet1!$A$2:$A$391,[3]Sheet1!$A$2:$A$391)</f>
        <v>PO10060</v>
      </c>
    </row>
    <row r="880" spans="1:14" x14ac:dyDescent="0.2">
      <c r="A880" t="s">
        <v>889</v>
      </c>
      <c r="B880" s="2">
        <v>46262</v>
      </c>
      <c r="C880" t="s">
        <v>2941</v>
      </c>
      <c r="D880" t="s">
        <v>2946</v>
      </c>
      <c r="E880" t="s">
        <v>3010</v>
      </c>
      <c r="F880" s="3">
        <v>46262.90757277712</v>
      </c>
      <c r="G880" s="3">
        <v>46262.913962314473</v>
      </c>
      <c r="H880">
        <v>9.1999999999999993</v>
      </c>
      <c r="I880" t="s">
        <v>3146</v>
      </c>
      <c r="J880" t="s">
        <v>3157</v>
      </c>
      <c r="K880" t="s">
        <v>3171</v>
      </c>
      <c r="L880" t="str">
        <f>_xlfn.XLOOKUP(C880,[1]!Table1[Shift_ID],[1]!Table1[Shift_ID])</f>
        <v>S02</v>
      </c>
      <c r="M880" t="str">
        <f>_xlfn.XLOOKUP(D880,[2]!Table1[Machine_ID],[2]!Table1[Machine_ID])</f>
        <v>M005</v>
      </c>
      <c r="N880" t="str">
        <f>_xlfn.XLOOKUP(E880,[3]Sheet1!$A$2:$A$391,[3]Sheet1!$A$2:$A$391)</f>
        <v>PO10060</v>
      </c>
    </row>
    <row r="881" spans="1:14" x14ac:dyDescent="0.2">
      <c r="A881" t="s">
        <v>890</v>
      </c>
      <c r="B881" s="2">
        <v>46262</v>
      </c>
      <c r="C881" t="s">
        <v>2941</v>
      </c>
      <c r="D881" t="s">
        <v>2947</v>
      </c>
      <c r="E881" t="s">
        <v>3010</v>
      </c>
      <c r="F881" s="3">
        <v>46262.855027948797</v>
      </c>
      <c r="G881" s="3">
        <v>46262.886205943963</v>
      </c>
      <c r="H881">
        <v>44.9</v>
      </c>
      <c r="I881" t="s">
        <v>3146</v>
      </c>
      <c r="J881" t="s">
        <v>3152</v>
      </c>
      <c r="K881" t="s">
        <v>3174</v>
      </c>
      <c r="L881" t="str">
        <f>_xlfn.XLOOKUP(C881,[1]!Table1[Shift_ID],[1]!Table1[Shift_ID])</f>
        <v>S02</v>
      </c>
      <c r="M881" t="str">
        <f>_xlfn.XLOOKUP(D881,[2]!Table1[Machine_ID],[2]!Table1[Machine_ID])</f>
        <v>M006</v>
      </c>
      <c r="N881" t="str">
        <f>_xlfn.XLOOKUP(E881,[3]Sheet1!$A$2:$A$391,[3]Sheet1!$A$2:$A$391)</f>
        <v>PO10060</v>
      </c>
    </row>
    <row r="882" spans="1:14" x14ac:dyDescent="0.2">
      <c r="A882" t="s">
        <v>891</v>
      </c>
      <c r="B882" s="2">
        <v>46262</v>
      </c>
      <c r="C882" t="s">
        <v>2941</v>
      </c>
      <c r="D882" t="s">
        <v>2948</v>
      </c>
      <c r="E882" t="s">
        <v>3010</v>
      </c>
      <c r="F882" s="3">
        <v>46262.60515364242</v>
      </c>
      <c r="G882" s="3">
        <v>46262.610873320213</v>
      </c>
      <c r="H882">
        <v>8.24</v>
      </c>
      <c r="I882" t="s">
        <v>3148</v>
      </c>
      <c r="J882" t="s">
        <v>3164</v>
      </c>
      <c r="K882" t="s">
        <v>3173</v>
      </c>
      <c r="L882" t="str">
        <f>_xlfn.XLOOKUP(C882,[1]!Table1[Shift_ID],[1]!Table1[Shift_ID])</f>
        <v>S02</v>
      </c>
      <c r="M882" t="str">
        <f>_xlfn.XLOOKUP(D882,[2]!Table1[Machine_ID],[2]!Table1[Machine_ID])</f>
        <v>M007</v>
      </c>
      <c r="N882" t="str">
        <f>_xlfn.XLOOKUP(E882,[3]Sheet1!$A$2:$A$391,[3]Sheet1!$A$2:$A$391)</f>
        <v>PO10060</v>
      </c>
    </row>
    <row r="883" spans="1:14" x14ac:dyDescent="0.2">
      <c r="A883" t="s">
        <v>892</v>
      </c>
      <c r="B883" s="2">
        <v>46262</v>
      </c>
      <c r="C883" t="s">
        <v>2941</v>
      </c>
      <c r="D883" t="s">
        <v>2948</v>
      </c>
      <c r="E883" t="s">
        <v>3010</v>
      </c>
      <c r="F883" s="3">
        <v>46262.695349808433</v>
      </c>
      <c r="G883" s="3">
        <v>46262.701968185247</v>
      </c>
      <c r="H883">
        <v>9.5299999999999994</v>
      </c>
      <c r="I883" t="s">
        <v>3147</v>
      </c>
      <c r="J883" t="s">
        <v>3167</v>
      </c>
      <c r="K883" t="s">
        <v>3186</v>
      </c>
      <c r="L883" t="str">
        <f>_xlfn.XLOOKUP(C883,[1]!Table1[Shift_ID],[1]!Table1[Shift_ID])</f>
        <v>S02</v>
      </c>
      <c r="M883" t="str">
        <f>_xlfn.XLOOKUP(D883,[2]!Table1[Machine_ID],[2]!Table1[Machine_ID])</f>
        <v>M007</v>
      </c>
      <c r="N883" t="str">
        <f>_xlfn.XLOOKUP(E883,[3]Sheet1!$A$2:$A$391,[3]Sheet1!$A$2:$A$391)</f>
        <v>PO10060</v>
      </c>
    </row>
    <row r="884" spans="1:14" x14ac:dyDescent="0.2">
      <c r="A884" t="s">
        <v>893</v>
      </c>
      <c r="B884" s="2">
        <v>46262</v>
      </c>
      <c r="C884" t="s">
        <v>2941</v>
      </c>
      <c r="D884" t="s">
        <v>2948</v>
      </c>
      <c r="E884" t="s">
        <v>3010</v>
      </c>
      <c r="F884" s="3">
        <v>46262.859011635453</v>
      </c>
      <c r="G884" s="3">
        <v>46262.860893978803</v>
      </c>
      <c r="H884">
        <v>2.71</v>
      </c>
      <c r="I884" t="s">
        <v>3147</v>
      </c>
      <c r="J884" t="s">
        <v>3154</v>
      </c>
      <c r="K884" t="s">
        <v>3172</v>
      </c>
      <c r="L884" t="str">
        <f>_xlfn.XLOOKUP(C884,[1]!Table1[Shift_ID],[1]!Table1[Shift_ID])</f>
        <v>S02</v>
      </c>
      <c r="M884" t="str">
        <f>_xlfn.XLOOKUP(D884,[2]!Table1[Machine_ID],[2]!Table1[Machine_ID])</f>
        <v>M007</v>
      </c>
      <c r="N884" t="str">
        <f>_xlfn.XLOOKUP(E884,[3]Sheet1!$A$2:$A$391,[3]Sheet1!$A$2:$A$391)</f>
        <v>PO10060</v>
      </c>
    </row>
    <row r="885" spans="1:14" x14ac:dyDescent="0.2">
      <c r="A885" t="s">
        <v>894</v>
      </c>
      <c r="B885" s="2">
        <v>46262</v>
      </c>
      <c r="C885" t="s">
        <v>2941</v>
      </c>
      <c r="D885" t="s">
        <v>2949</v>
      </c>
      <c r="E885" t="s">
        <v>3010</v>
      </c>
      <c r="F885" s="3">
        <v>46262.625226592398</v>
      </c>
      <c r="G885" s="3">
        <v>46262.630659371323</v>
      </c>
      <c r="H885">
        <v>7.82</v>
      </c>
      <c r="I885" t="s">
        <v>3149</v>
      </c>
      <c r="J885" t="s">
        <v>3162</v>
      </c>
      <c r="K885" t="s">
        <v>3184</v>
      </c>
      <c r="L885" t="str">
        <f>_xlfn.XLOOKUP(C885,[1]!Table1[Shift_ID],[1]!Table1[Shift_ID])</f>
        <v>S02</v>
      </c>
      <c r="M885" t="str">
        <f>_xlfn.XLOOKUP(D885,[2]!Table1[Machine_ID],[2]!Table1[Machine_ID])</f>
        <v>M008</v>
      </c>
      <c r="N885" t="str">
        <f>_xlfn.XLOOKUP(E885,[3]Sheet1!$A$2:$A$391,[3]Sheet1!$A$2:$A$391)</f>
        <v>PO10060</v>
      </c>
    </row>
    <row r="886" spans="1:14" x14ac:dyDescent="0.2">
      <c r="A886" t="s">
        <v>895</v>
      </c>
      <c r="B886" s="2">
        <v>46262</v>
      </c>
      <c r="C886" t="s">
        <v>2941</v>
      </c>
      <c r="D886" t="s">
        <v>2949</v>
      </c>
      <c r="E886" t="s">
        <v>3010</v>
      </c>
      <c r="F886" s="3">
        <v>46262.830638947387</v>
      </c>
      <c r="G886" s="3">
        <v>46262.832859118877</v>
      </c>
      <c r="H886">
        <v>3.2</v>
      </c>
      <c r="I886" t="s">
        <v>3146</v>
      </c>
      <c r="J886" t="s">
        <v>3157</v>
      </c>
      <c r="K886" t="s">
        <v>3174</v>
      </c>
      <c r="L886" t="str">
        <f>_xlfn.XLOOKUP(C886,[1]!Table1[Shift_ID],[1]!Table1[Shift_ID])</f>
        <v>S02</v>
      </c>
      <c r="M886" t="str">
        <f>_xlfn.XLOOKUP(D886,[2]!Table1[Machine_ID],[2]!Table1[Machine_ID])</f>
        <v>M008</v>
      </c>
      <c r="N886" t="str">
        <f>_xlfn.XLOOKUP(E886,[3]Sheet1!$A$2:$A$391,[3]Sheet1!$A$2:$A$391)</f>
        <v>PO10060</v>
      </c>
    </row>
    <row r="887" spans="1:14" x14ac:dyDescent="0.2">
      <c r="A887" t="s">
        <v>896</v>
      </c>
      <c r="B887" s="2">
        <v>46265</v>
      </c>
      <c r="C887" t="s">
        <v>2939</v>
      </c>
      <c r="D887" t="s">
        <v>2942</v>
      </c>
      <c r="E887" t="s">
        <v>3011</v>
      </c>
      <c r="F887" s="3">
        <v>46266.128116100452</v>
      </c>
      <c r="G887" s="3">
        <v>46266.130124726427</v>
      </c>
      <c r="H887">
        <v>2.89</v>
      </c>
      <c r="I887" t="s">
        <v>3146</v>
      </c>
      <c r="J887" t="s">
        <v>3157</v>
      </c>
      <c r="K887" t="s">
        <v>3175</v>
      </c>
      <c r="L887" t="str">
        <f>_xlfn.XLOOKUP(C887,[1]!Table1[Shift_ID],[1]!Table1[Shift_ID])</f>
        <v>S03</v>
      </c>
      <c r="M887" t="str">
        <f>_xlfn.XLOOKUP(D887,[2]!Table1[Machine_ID],[2]!Table1[Machine_ID])</f>
        <v>M001</v>
      </c>
      <c r="N887" t="str">
        <f>_xlfn.XLOOKUP(E887,[3]Sheet1!$A$2:$A$391,[3]Sheet1!$A$2:$A$391)</f>
        <v>PO10061</v>
      </c>
    </row>
    <row r="888" spans="1:14" x14ac:dyDescent="0.2">
      <c r="A888" t="s">
        <v>897</v>
      </c>
      <c r="B888" s="2">
        <v>46265</v>
      </c>
      <c r="C888" t="s">
        <v>2939</v>
      </c>
      <c r="D888" t="s">
        <v>2942</v>
      </c>
      <c r="E888" t="s">
        <v>3011</v>
      </c>
      <c r="F888" s="3">
        <v>46266.238992062034</v>
      </c>
      <c r="G888" s="3">
        <v>46266.243063262817</v>
      </c>
      <c r="H888">
        <v>5.86</v>
      </c>
      <c r="I888" t="s">
        <v>3149</v>
      </c>
      <c r="J888" t="s">
        <v>3168</v>
      </c>
      <c r="K888" t="s">
        <v>3176</v>
      </c>
      <c r="L888" t="str">
        <f>_xlfn.XLOOKUP(C888,[1]!Table1[Shift_ID],[1]!Table1[Shift_ID])</f>
        <v>S03</v>
      </c>
      <c r="M888" t="str">
        <f>_xlfn.XLOOKUP(D888,[2]!Table1[Machine_ID],[2]!Table1[Machine_ID])</f>
        <v>M001</v>
      </c>
      <c r="N888" t="str">
        <f>_xlfn.XLOOKUP(E888,[3]Sheet1!$A$2:$A$391,[3]Sheet1!$A$2:$A$391)</f>
        <v>PO10061</v>
      </c>
    </row>
    <row r="889" spans="1:14" x14ac:dyDescent="0.2">
      <c r="A889" t="s">
        <v>898</v>
      </c>
      <c r="B889" s="2">
        <v>46265</v>
      </c>
      <c r="C889" t="s">
        <v>2939</v>
      </c>
      <c r="D889" t="s">
        <v>2943</v>
      </c>
      <c r="E889" t="s">
        <v>3011</v>
      </c>
      <c r="F889" s="3">
        <v>46265.995806624327</v>
      </c>
      <c r="G889" s="3">
        <v>46266.00043555101</v>
      </c>
      <c r="H889">
        <v>6.67</v>
      </c>
      <c r="I889" t="s">
        <v>3150</v>
      </c>
      <c r="J889" t="s">
        <v>3163</v>
      </c>
      <c r="K889" t="s">
        <v>3179</v>
      </c>
      <c r="L889" t="str">
        <f>_xlfn.XLOOKUP(C889,[1]!Table1[Shift_ID],[1]!Table1[Shift_ID])</f>
        <v>S03</v>
      </c>
      <c r="M889" t="str">
        <f>_xlfn.XLOOKUP(D889,[2]!Table1[Machine_ID],[2]!Table1[Machine_ID])</f>
        <v>M002</v>
      </c>
      <c r="N889" t="str">
        <f>_xlfn.XLOOKUP(E889,[3]Sheet1!$A$2:$A$391,[3]Sheet1!$A$2:$A$391)</f>
        <v>PO10061</v>
      </c>
    </row>
    <row r="890" spans="1:14" x14ac:dyDescent="0.2">
      <c r="A890" t="s">
        <v>899</v>
      </c>
      <c r="B890" s="2">
        <v>46265</v>
      </c>
      <c r="C890" t="s">
        <v>2939</v>
      </c>
      <c r="D890" t="s">
        <v>2943</v>
      </c>
      <c r="E890" t="s">
        <v>3011</v>
      </c>
      <c r="F890" s="3">
        <v>46266.058374281238</v>
      </c>
      <c r="G890" s="3">
        <v>46266.060392243067</v>
      </c>
      <c r="H890">
        <v>2.91</v>
      </c>
      <c r="I890" t="s">
        <v>3150</v>
      </c>
      <c r="J890" t="s">
        <v>3159</v>
      </c>
      <c r="K890" t="s">
        <v>3177</v>
      </c>
      <c r="L890" t="str">
        <f>_xlfn.XLOOKUP(C890,[1]!Table1[Shift_ID],[1]!Table1[Shift_ID])</f>
        <v>S03</v>
      </c>
      <c r="M890" t="str">
        <f>_xlfn.XLOOKUP(D890,[2]!Table1[Machine_ID],[2]!Table1[Machine_ID])</f>
        <v>M002</v>
      </c>
      <c r="N890" t="str">
        <f>_xlfn.XLOOKUP(E890,[3]Sheet1!$A$2:$A$391,[3]Sheet1!$A$2:$A$391)</f>
        <v>PO10061</v>
      </c>
    </row>
    <row r="891" spans="1:14" x14ac:dyDescent="0.2">
      <c r="A891" t="s">
        <v>900</v>
      </c>
      <c r="B891" s="2">
        <v>46265</v>
      </c>
      <c r="C891" t="s">
        <v>2939</v>
      </c>
      <c r="D891" t="s">
        <v>2944</v>
      </c>
      <c r="E891" t="s">
        <v>3011</v>
      </c>
      <c r="F891" s="3">
        <v>46266.15525635067</v>
      </c>
      <c r="G891" s="3">
        <v>46266.166419330533</v>
      </c>
      <c r="H891">
        <v>16.07</v>
      </c>
      <c r="I891" t="s">
        <v>3150</v>
      </c>
      <c r="J891" t="s">
        <v>3166</v>
      </c>
      <c r="K891" t="s">
        <v>3177</v>
      </c>
      <c r="L891" t="str">
        <f>_xlfn.XLOOKUP(C891,[1]!Table1[Shift_ID],[1]!Table1[Shift_ID])</f>
        <v>S03</v>
      </c>
      <c r="M891" t="str">
        <f>_xlfn.XLOOKUP(D891,[2]!Table1[Machine_ID],[2]!Table1[Machine_ID])</f>
        <v>M003</v>
      </c>
      <c r="N891" t="str">
        <f>_xlfn.XLOOKUP(E891,[3]Sheet1!$A$2:$A$391,[3]Sheet1!$A$2:$A$391)</f>
        <v>PO10061</v>
      </c>
    </row>
    <row r="892" spans="1:14" x14ac:dyDescent="0.2">
      <c r="A892" t="s">
        <v>901</v>
      </c>
      <c r="B892" s="2">
        <v>46265</v>
      </c>
      <c r="C892" t="s">
        <v>2939</v>
      </c>
      <c r="D892" t="s">
        <v>2945</v>
      </c>
      <c r="E892" t="s">
        <v>3011</v>
      </c>
      <c r="F892" s="3">
        <v>46266.115579070043</v>
      </c>
      <c r="G892" s="3">
        <v>46266.12301282354</v>
      </c>
      <c r="H892">
        <v>10.7</v>
      </c>
      <c r="I892" t="s">
        <v>3150</v>
      </c>
      <c r="J892" t="s">
        <v>3163</v>
      </c>
      <c r="K892" t="s">
        <v>3177</v>
      </c>
      <c r="L892" t="str">
        <f>_xlfn.XLOOKUP(C892,[1]!Table1[Shift_ID],[1]!Table1[Shift_ID])</f>
        <v>S03</v>
      </c>
      <c r="M892" t="str">
        <f>_xlfn.XLOOKUP(D892,[2]!Table1[Machine_ID],[2]!Table1[Machine_ID])</f>
        <v>M004</v>
      </c>
      <c r="N892" t="str">
        <f>_xlfn.XLOOKUP(E892,[3]Sheet1!$A$2:$A$391,[3]Sheet1!$A$2:$A$391)</f>
        <v>PO10061</v>
      </c>
    </row>
    <row r="893" spans="1:14" x14ac:dyDescent="0.2">
      <c r="A893" t="s">
        <v>902</v>
      </c>
      <c r="B893" s="2">
        <v>46265</v>
      </c>
      <c r="C893" t="s">
        <v>2939</v>
      </c>
      <c r="D893" t="s">
        <v>2946</v>
      </c>
      <c r="E893" t="s">
        <v>3011</v>
      </c>
      <c r="F893" s="3">
        <v>46265.956535026096</v>
      </c>
      <c r="G893" s="3">
        <v>46265.964849060241</v>
      </c>
      <c r="H893">
        <v>11.97</v>
      </c>
      <c r="I893" t="s">
        <v>3147</v>
      </c>
      <c r="J893" t="s">
        <v>3154</v>
      </c>
      <c r="K893" t="s">
        <v>3185</v>
      </c>
      <c r="L893" t="str">
        <f>_xlfn.XLOOKUP(C893,[1]!Table1[Shift_ID],[1]!Table1[Shift_ID])</f>
        <v>S03</v>
      </c>
      <c r="M893" t="str">
        <f>_xlfn.XLOOKUP(D893,[2]!Table1[Machine_ID],[2]!Table1[Machine_ID])</f>
        <v>M005</v>
      </c>
      <c r="N893" t="str">
        <f>_xlfn.XLOOKUP(E893,[3]Sheet1!$A$2:$A$391,[3]Sheet1!$A$2:$A$391)</f>
        <v>PO10061</v>
      </c>
    </row>
    <row r="894" spans="1:14" x14ac:dyDescent="0.2">
      <c r="A894" t="s">
        <v>903</v>
      </c>
      <c r="B894" s="2">
        <v>46265</v>
      </c>
      <c r="C894" t="s">
        <v>2939</v>
      </c>
      <c r="D894" t="s">
        <v>2947</v>
      </c>
      <c r="E894" t="s">
        <v>3011</v>
      </c>
      <c r="F894" s="3">
        <v>46265.982956509273</v>
      </c>
      <c r="G894" s="3">
        <v>46265.994621341422</v>
      </c>
      <c r="H894">
        <v>16.8</v>
      </c>
      <c r="I894" t="s">
        <v>3150</v>
      </c>
      <c r="J894" t="s">
        <v>3160</v>
      </c>
      <c r="K894" t="s">
        <v>3177</v>
      </c>
      <c r="L894" t="str">
        <f>_xlfn.XLOOKUP(C894,[1]!Table1[Shift_ID],[1]!Table1[Shift_ID])</f>
        <v>S03</v>
      </c>
      <c r="M894" t="str">
        <f>_xlfn.XLOOKUP(D894,[2]!Table1[Machine_ID],[2]!Table1[Machine_ID])</f>
        <v>M006</v>
      </c>
      <c r="N894" t="str">
        <f>_xlfn.XLOOKUP(E894,[3]Sheet1!$A$2:$A$391,[3]Sheet1!$A$2:$A$391)</f>
        <v>PO10061</v>
      </c>
    </row>
    <row r="895" spans="1:14" x14ac:dyDescent="0.2">
      <c r="A895" t="s">
        <v>904</v>
      </c>
      <c r="B895" s="2">
        <v>46265</v>
      </c>
      <c r="C895" t="s">
        <v>2939</v>
      </c>
      <c r="D895" t="s">
        <v>2947</v>
      </c>
      <c r="E895" t="s">
        <v>3011</v>
      </c>
      <c r="F895" s="3">
        <v>46266.005867819862</v>
      </c>
      <c r="G895" s="3">
        <v>46266.007655798887</v>
      </c>
      <c r="H895">
        <v>2.57</v>
      </c>
      <c r="I895" t="s">
        <v>3150</v>
      </c>
      <c r="J895" t="s">
        <v>3159</v>
      </c>
      <c r="K895" t="s">
        <v>3179</v>
      </c>
      <c r="L895" t="str">
        <f>_xlfn.XLOOKUP(C895,[1]!Table1[Shift_ID],[1]!Table1[Shift_ID])</f>
        <v>S03</v>
      </c>
      <c r="M895" t="str">
        <f>_xlfn.XLOOKUP(D895,[2]!Table1[Machine_ID],[2]!Table1[Machine_ID])</f>
        <v>M006</v>
      </c>
      <c r="N895" t="str">
        <f>_xlfn.XLOOKUP(E895,[3]Sheet1!$A$2:$A$391,[3]Sheet1!$A$2:$A$391)</f>
        <v>PO10061</v>
      </c>
    </row>
    <row r="896" spans="1:14" x14ac:dyDescent="0.2">
      <c r="A896" t="s">
        <v>905</v>
      </c>
      <c r="B896" s="2">
        <v>46265</v>
      </c>
      <c r="C896" t="s">
        <v>2939</v>
      </c>
      <c r="D896" t="s">
        <v>2947</v>
      </c>
      <c r="E896" t="s">
        <v>3011</v>
      </c>
      <c r="F896" s="3">
        <v>46266.101635207597</v>
      </c>
      <c r="G896" s="3">
        <v>46266.103423186629</v>
      </c>
      <c r="H896">
        <v>2.57</v>
      </c>
      <c r="I896" t="s">
        <v>3148</v>
      </c>
      <c r="J896" t="s">
        <v>3164</v>
      </c>
      <c r="K896" t="s">
        <v>3173</v>
      </c>
      <c r="L896" t="str">
        <f>_xlfn.XLOOKUP(C896,[1]!Table1[Shift_ID],[1]!Table1[Shift_ID])</f>
        <v>S03</v>
      </c>
      <c r="M896" t="str">
        <f>_xlfn.XLOOKUP(D896,[2]!Table1[Machine_ID],[2]!Table1[Machine_ID])</f>
        <v>M006</v>
      </c>
      <c r="N896" t="str">
        <f>_xlfn.XLOOKUP(E896,[3]Sheet1!$A$2:$A$391,[3]Sheet1!$A$2:$A$391)</f>
        <v>PO10061</v>
      </c>
    </row>
    <row r="897" spans="1:14" x14ac:dyDescent="0.2">
      <c r="A897" t="s">
        <v>906</v>
      </c>
      <c r="B897" s="2">
        <v>46265</v>
      </c>
      <c r="C897" t="s">
        <v>2939</v>
      </c>
      <c r="D897" t="s">
        <v>2947</v>
      </c>
      <c r="E897" t="s">
        <v>3011</v>
      </c>
      <c r="F897" s="3">
        <v>46266.124053497842</v>
      </c>
      <c r="G897" s="3">
        <v>46266.125841476867</v>
      </c>
      <c r="H897">
        <v>2.57</v>
      </c>
      <c r="I897" t="s">
        <v>3146</v>
      </c>
      <c r="J897" t="s">
        <v>3157</v>
      </c>
      <c r="K897" t="s">
        <v>3174</v>
      </c>
      <c r="L897" t="str">
        <f>_xlfn.XLOOKUP(C897,[1]!Table1[Shift_ID],[1]!Table1[Shift_ID])</f>
        <v>S03</v>
      </c>
      <c r="M897" t="str">
        <f>_xlfn.XLOOKUP(D897,[2]!Table1[Machine_ID],[2]!Table1[Machine_ID])</f>
        <v>M006</v>
      </c>
      <c r="N897" t="str">
        <f>_xlfn.XLOOKUP(E897,[3]Sheet1!$A$2:$A$391,[3]Sheet1!$A$2:$A$391)</f>
        <v>PO10061</v>
      </c>
    </row>
    <row r="898" spans="1:14" x14ac:dyDescent="0.2">
      <c r="A898" t="s">
        <v>907</v>
      </c>
      <c r="B898" s="2">
        <v>46265</v>
      </c>
      <c r="C898" t="s">
        <v>2939</v>
      </c>
      <c r="D898" t="s">
        <v>2947</v>
      </c>
      <c r="E898" t="s">
        <v>3011</v>
      </c>
      <c r="F898" s="3">
        <v>46266.23612358221</v>
      </c>
      <c r="G898" s="3">
        <v>46266.241278388487</v>
      </c>
      <c r="H898">
        <v>7.42</v>
      </c>
      <c r="I898" t="s">
        <v>3148</v>
      </c>
      <c r="J898" t="s">
        <v>3155</v>
      </c>
      <c r="K898" t="s">
        <v>3180</v>
      </c>
      <c r="L898" t="str">
        <f>_xlfn.XLOOKUP(C898,[1]!Table1[Shift_ID],[1]!Table1[Shift_ID])</f>
        <v>S03</v>
      </c>
      <c r="M898" t="str">
        <f>_xlfn.XLOOKUP(D898,[2]!Table1[Machine_ID],[2]!Table1[Machine_ID])</f>
        <v>M006</v>
      </c>
      <c r="N898" t="str">
        <f>_xlfn.XLOOKUP(E898,[3]Sheet1!$A$2:$A$391,[3]Sheet1!$A$2:$A$391)</f>
        <v>PO10061</v>
      </c>
    </row>
    <row r="899" spans="1:14" x14ac:dyDescent="0.2">
      <c r="A899" t="s">
        <v>908</v>
      </c>
      <c r="B899" s="2">
        <v>46265</v>
      </c>
      <c r="C899" t="s">
        <v>2939</v>
      </c>
      <c r="D899" t="s">
        <v>2948</v>
      </c>
      <c r="E899" t="s">
        <v>3011</v>
      </c>
      <c r="F899" s="3">
        <v>46266.005586159226</v>
      </c>
      <c r="G899" s="3">
        <v>46266.007677526832</v>
      </c>
      <c r="H899">
        <v>3.01</v>
      </c>
      <c r="I899" t="s">
        <v>3147</v>
      </c>
      <c r="J899" t="s">
        <v>3154</v>
      </c>
      <c r="K899" t="s">
        <v>3172</v>
      </c>
      <c r="L899" t="str">
        <f>_xlfn.XLOOKUP(C899,[1]!Table1[Shift_ID],[1]!Table1[Shift_ID])</f>
        <v>S03</v>
      </c>
      <c r="M899" t="str">
        <f>_xlfn.XLOOKUP(D899,[2]!Table1[Machine_ID],[2]!Table1[Machine_ID])</f>
        <v>M007</v>
      </c>
      <c r="N899" t="str">
        <f>_xlfn.XLOOKUP(E899,[3]Sheet1!$A$2:$A$391,[3]Sheet1!$A$2:$A$391)</f>
        <v>PO10061</v>
      </c>
    </row>
    <row r="900" spans="1:14" x14ac:dyDescent="0.2">
      <c r="A900" t="s">
        <v>909</v>
      </c>
      <c r="B900" s="2">
        <v>46265</v>
      </c>
      <c r="C900" t="s">
        <v>2939</v>
      </c>
      <c r="D900" t="s">
        <v>2948</v>
      </c>
      <c r="E900" t="s">
        <v>3011</v>
      </c>
      <c r="F900" s="3">
        <v>46266.236387532233</v>
      </c>
      <c r="G900" s="3">
        <v>46266.246228680939</v>
      </c>
      <c r="H900">
        <v>14.17</v>
      </c>
      <c r="I900" t="s">
        <v>3150</v>
      </c>
      <c r="J900" t="s">
        <v>3159</v>
      </c>
      <c r="K900" t="s">
        <v>3177</v>
      </c>
      <c r="L900" t="str">
        <f>_xlfn.XLOOKUP(C900,[1]!Table1[Shift_ID],[1]!Table1[Shift_ID])</f>
        <v>S03</v>
      </c>
      <c r="M900" t="str">
        <f>_xlfn.XLOOKUP(D900,[2]!Table1[Machine_ID],[2]!Table1[Machine_ID])</f>
        <v>M007</v>
      </c>
      <c r="N900" t="str">
        <f>_xlfn.XLOOKUP(E900,[3]Sheet1!$A$2:$A$391,[3]Sheet1!$A$2:$A$391)</f>
        <v>PO10061</v>
      </c>
    </row>
    <row r="901" spans="1:14" x14ac:dyDescent="0.2">
      <c r="A901" t="s">
        <v>910</v>
      </c>
      <c r="B901" s="2">
        <v>46265</v>
      </c>
      <c r="C901" t="s">
        <v>2939</v>
      </c>
      <c r="D901" t="s">
        <v>2949</v>
      </c>
      <c r="E901" t="s">
        <v>3011</v>
      </c>
      <c r="F901" s="3">
        <v>46266.180851841491</v>
      </c>
      <c r="G901" s="3">
        <v>46266.186535723187</v>
      </c>
      <c r="H901">
        <v>8.18</v>
      </c>
      <c r="I901" t="s">
        <v>3150</v>
      </c>
      <c r="J901" t="s">
        <v>3166</v>
      </c>
      <c r="K901" t="s">
        <v>3177</v>
      </c>
      <c r="L901" t="str">
        <f>_xlfn.XLOOKUP(C901,[1]!Table1[Shift_ID],[1]!Table1[Shift_ID])</f>
        <v>S03</v>
      </c>
      <c r="M901" t="str">
        <f>_xlfn.XLOOKUP(D901,[2]!Table1[Machine_ID],[2]!Table1[Machine_ID])</f>
        <v>M008</v>
      </c>
      <c r="N901" t="str">
        <f>_xlfn.XLOOKUP(E901,[3]Sheet1!$A$2:$A$391,[3]Sheet1!$A$2:$A$391)</f>
        <v>PO10061</v>
      </c>
    </row>
    <row r="902" spans="1:14" x14ac:dyDescent="0.2">
      <c r="A902" t="s">
        <v>911</v>
      </c>
      <c r="B902" s="2">
        <v>46265</v>
      </c>
      <c r="C902" t="s">
        <v>2940</v>
      </c>
      <c r="D902" t="s">
        <v>2942</v>
      </c>
      <c r="E902" t="s">
        <v>3012</v>
      </c>
      <c r="F902" s="3">
        <v>46265.313836028487</v>
      </c>
      <c r="G902" s="3">
        <v>46265.319286354403</v>
      </c>
      <c r="H902">
        <v>7.85</v>
      </c>
      <c r="I902" t="s">
        <v>3147</v>
      </c>
      <c r="J902" t="s">
        <v>3154</v>
      </c>
      <c r="K902" t="s">
        <v>3172</v>
      </c>
      <c r="L902" t="str">
        <f>_xlfn.XLOOKUP(C902,[1]!Table1[Shift_ID],[1]!Table1[Shift_ID])</f>
        <v>S01</v>
      </c>
      <c r="M902" t="str">
        <f>_xlfn.XLOOKUP(D902,[2]!Table1[Machine_ID],[2]!Table1[Machine_ID])</f>
        <v>M001</v>
      </c>
      <c r="N902" t="str">
        <f>_xlfn.XLOOKUP(E902,[3]Sheet1!$A$2:$A$391,[3]Sheet1!$A$2:$A$391)</f>
        <v>PO10062</v>
      </c>
    </row>
    <row r="903" spans="1:14" x14ac:dyDescent="0.2">
      <c r="A903" t="s">
        <v>912</v>
      </c>
      <c r="B903" s="2">
        <v>46265</v>
      </c>
      <c r="C903" t="s">
        <v>2940</v>
      </c>
      <c r="D903" t="s">
        <v>2943</v>
      </c>
      <c r="E903" t="s">
        <v>3012</v>
      </c>
      <c r="F903" s="3">
        <v>46265.559065460016</v>
      </c>
      <c r="G903" s="3">
        <v>46265.566045634077</v>
      </c>
      <c r="H903">
        <v>10.050000000000001</v>
      </c>
      <c r="I903" t="s">
        <v>3147</v>
      </c>
      <c r="J903" t="s">
        <v>3167</v>
      </c>
      <c r="K903" t="s">
        <v>3185</v>
      </c>
      <c r="L903" t="str">
        <f>_xlfn.XLOOKUP(C903,[1]!Table1[Shift_ID],[1]!Table1[Shift_ID])</f>
        <v>S01</v>
      </c>
      <c r="M903" t="str">
        <f>_xlfn.XLOOKUP(D903,[2]!Table1[Machine_ID],[2]!Table1[Machine_ID])</f>
        <v>M002</v>
      </c>
      <c r="N903" t="str">
        <f>_xlfn.XLOOKUP(E903,[3]Sheet1!$A$2:$A$391,[3]Sheet1!$A$2:$A$391)</f>
        <v>PO10062</v>
      </c>
    </row>
    <row r="904" spans="1:14" x14ac:dyDescent="0.2">
      <c r="A904" t="s">
        <v>913</v>
      </c>
      <c r="B904" s="2">
        <v>46265</v>
      </c>
      <c r="C904" t="s">
        <v>2940</v>
      </c>
      <c r="D904" t="s">
        <v>2944</v>
      </c>
      <c r="E904" t="s">
        <v>3012</v>
      </c>
      <c r="F904" s="3">
        <v>46265.396525241529</v>
      </c>
      <c r="G904" s="3">
        <v>46265.407597883022</v>
      </c>
      <c r="H904">
        <v>15.94</v>
      </c>
      <c r="I904" t="s">
        <v>3147</v>
      </c>
      <c r="J904" t="s">
        <v>3153</v>
      </c>
      <c r="K904" t="s">
        <v>3185</v>
      </c>
      <c r="L904" t="str">
        <f>_xlfn.XLOOKUP(C904,[1]!Table1[Shift_ID],[1]!Table1[Shift_ID])</f>
        <v>S01</v>
      </c>
      <c r="M904" t="str">
        <f>_xlfn.XLOOKUP(D904,[2]!Table1[Machine_ID],[2]!Table1[Machine_ID])</f>
        <v>M003</v>
      </c>
      <c r="N904" t="str">
        <f>_xlfn.XLOOKUP(E904,[3]Sheet1!$A$2:$A$391,[3]Sheet1!$A$2:$A$391)</f>
        <v>PO10062</v>
      </c>
    </row>
    <row r="905" spans="1:14" x14ac:dyDescent="0.2">
      <c r="A905" t="s">
        <v>914</v>
      </c>
      <c r="B905" s="2">
        <v>46265</v>
      </c>
      <c r="C905" t="s">
        <v>2940</v>
      </c>
      <c r="D905" t="s">
        <v>2945</v>
      </c>
      <c r="E905" t="s">
        <v>3012</v>
      </c>
      <c r="F905" s="3">
        <v>46265.319833167167</v>
      </c>
      <c r="G905" s="3">
        <v>46265.327107517784</v>
      </c>
      <c r="H905">
        <v>10.48</v>
      </c>
      <c r="I905" t="s">
        <v>3147</v>
      </c>
      <c r="J905" t="s">
        <v>3167</v>
      </c>
      <c r="K905" t="s">
        <v>3185</v>
      </c>
      <c r="L905" t="str">
        <f>_xlfn.XLOOKUP(C905,[1]!Table1[Shift_ID],[1]!Table1[Shift_ID])</f>
        <v>S01</v>
      </c>
      <c r="M905" t="str">
        <f>_xlfn.XLOOKUP(D905,[2]!Table1[Machine_ID],[2]!Table1[Machine_ID])</f>
        <v>M004</v>
      </c>
      <c r="N905" t="str">
        <f>_xlfn.XLOOKUP(E905,[3]Sheet1!$A$2:$A$391,[3]Sheet1!$A$2:$A$391)</f>
        <v>PO10062</v>
      </c>
    </row>
    <row r="906" spans="1:14" x14ac:dyDescent="0.2">
      <c r="A906" t="s">
        <v>915</v>
      </c>
      <c r="B906" s="2">
        <v>46265</v>
      </c>
      <c r="C906" t="s">
        <v>2940</v>
      </c>
      <c r="D906" t="s">
        <v>2946</v>
      </c>
      <c r="E906" t="s">
        <v>3012</v>
      </c>
      <c r="F906" s="3">
        <v>46265.438475133029</v>
      </c>
      <c r="G906" s="3">
        <v>46265.447823126728</v>
      </c>
      <c r="H906">
        <v>13.46</v>
      </c>
      <c r="I906" t="s">
        <v>3148</v>
      </c>
      <c r="J906" t="s">
        <v>3155</v>
      </c>
      <c r="K906" t="s">
        <v>3173</v>
      </c>
      <c r="L906" t="str">
        <f>_xlfn.XLOOKUP(C906,[1]!Table1[Shift_ID],[1]!Table1[Shift_ID])</f>
        <v>S01</v>
      </c>
      <c r="M906" t="str">
        <f>_xlfn.XLOOKUP(D906,[2]!Table1[Machine_ID],[2]!Table1[Machine_ID])</f>
        <v>M005</v>
      </c>
      <c r="N906" t="str">
        <f>_xlfn.XLOOKUP(E906,[3]Sheet1!$A$2:$A$391,[3]Sheet1!$A$2:$A$391)</f>
        <v>PO10062</v>
      </c>
    </row>
    <row r="907" spans="1:14" x14ac:dyDescent="0.2">
      <c r="A907" t="s">
        <v>916</v>
      </c>
      <c r="B907" s="2">
        <v>46265</v>
      </c>
      <c r="C907" t="s">
        <v>2940</v>
      </c>
      <c r="D907" t="s">
        <v>2947</v>
      </c>
      <c r="E907" t="s">
        <v>3012</v>
      </c>
      <c r="F907" s="3">
        <v>46265.298140446583</v>
      </c>
      <c r="G907" s="3">
        <v>46265.303798454574</v>
      </c>
      <c r="H907">
        <v>8.15</v>
      </c>
      <c r="I907" t="s">
        <v>3150</v>
      </c>
      <c r="J907" t="s">
        <v>3159</v>
      </c>
      <c r="K907" t="s">
        <v>3179</v>
      </c>
      <c r="L907" t="str">
        <f>_xlfn.XLOOKUP(C907,[1]!Table1[Shift_ID],[1]!Table1[Shift_ID])</f>
        <v>S01</v>
      </c>
      <c r="M907" t="str">
        <f>_xlfn.XLOOKUP(D907,[2]!Table1[Machine_ID],[2]!Table1[Machine_ID])</f>
        <v>M006</v>
      </c>
      <c r="N907" t="str">
        <f>_xlfn.XLOOKUP(E907,[3]Sheet1!$A$2:$A$391,[3]Sheet1!$A$2:$A$391)</f>
        <v>PO10062</v>
      </c>
    </row>
    <row r="908" spans="1:14" x14ac:dyDescent="0.2">
      <c r="A908" t="s">
        <v>917</v>
      </c>
      <c r="B908" s="2">
        <v>46265</v>
      </c>
      <c r="C908" t="s">
        <v>2940</v>
      </c>
      <c r="D908" t="s">
        <v>2947</v>
      </c>
      <c r="E908" t="s">
        <v>3012</v>
      </c>
      <c r="F908" s="3">
        <v>46265.513660408171</v>
      </c>
      <c r="G908" s="3">
        <v>46265.53069826663</v>
      </c>
      <c r="H908">
        <v>24.53</v>
      </c>
      <c r="I908" t="s">
        <v>3147</v>
      </c>
      <c r="J908" t="s">
        <v>3153</v>
      </c>
      <c r="K908" t="s">
        <v>3186</v>
      </c>
      <c r="L908" t="str">
        <f>_xlfn.XLOOKUP(C908,[1]!Table1[Shift_ID],[1]!Table1[Shift_ID])</f>
        <v>S01</v>
      </c>
      <c r="M908" t="str">
        <f>_xlfn.XLOOKUP(D908,[2]!Table1[Machine_ID],[2]!Table1[Machine_ID])</f>
        <v>M006</v>
      </c>
      <c r="N908" t="str">
        <f>_xlfn.XLOOKUP(E908,[3]Sheet1!$A$2:$A$391,[3]Sheet1!$A$2:$A$391)</f>
        <v>PO10062</v>
      </c>
    </row>
    <row r="909" spans="1:14" x14ac:dyDescent="0.2">
      <c r="A909" t="s">
        <v>918</v>
      </c>
      <c r="B909" s="2">
        <v>46265</v>
      </c>
      <c r="C909" t="s">
        <v>2940</v>
      </c>
      <c r="D909" t="s">
        <v>2948</v>
      </c>
      <c r="E909" t="s">
        <v>3012</v>
      </c>
      <c r="F909" s="3">
        <v>46265.485735910857</v>
      </c>
      <c r="G909" s="3">
        <v>46265.487925590161</v>
      </c>
      <c r="H909">
        <v>3.15</v>
      </c>
      <c r="I909" t="s">
        <v>3147</v>
      </c>
      <c r="J909" t="s">
        <v>3154</v>
      </c>
      <c r="K909" t="s">
        <v>3172</v>
      </c>
      <c r="L909" t="str">
        <f>_xlfn.XLOOKUP(C909,[1]!Table1[Shift_ID],[1]!Table1[Shift_ID])</f>
        <v>S01</v>
      </c>
      <c r="M909" t="str">
        <f>_xlfn.XLOOKUP(D909,[2]!Table1[Machine_ID],[2]!Table1[Machine_ID])</f>
        <v>M007</v>
      </c>
      <c r="N909" t="str">
        <f>_xlfn.XLOOKUP(E909,[3]Sheet1!$A$2:$A$391,[3]Sheet1!$A$2:$A$391)</f>
        <v>PO10062</v>
      </c>
    </row>
    <row r="910" spans="1:14" x14ac:dyDescent="0.2">
      <c r="A910" t="s">
        <v>919</v>
      </c>
      <c r="B910" s="2">
        <v>46265</v>
      </c>
      <c r="C910" t="s">
        <v>2940</v>
      </c>
      <c r="D910" t="s">
        <v>2948</v>
      </c>
      <c r="E910" t="s">
        <v>3012</v>
      </c>
      <c r="F910" s="3">
        <v>46265.555861716173</v>
      </c>
      <c r="G910" s="3">
        <v>46265.567305073448</v>
      </c>
      <c r="H910">
        <v>16.48</v>
      </c>
      <c r="I910" t="s">
        <v>3148</v>
      </c>
      <c r="J910" t="s">
        <v>3165</v>
      </c>
      <c r="K910" t="s">
        <v>3173</v>
      </c>
      <c r="L910" t="str">
        <f>_xlfn.XLOOKUP(C910,[1]!Table1[Shift_ID],[1]!Table1[Shift_ID])</f>
        <v>S01</v>
      </c>
      <c r="M910" t="str">
        <f>_xlfn.XLOOKUP(D910,[2]!Table1[Machine_ID],[2]!Table1[Machine_ID])</f>
        <v>M007</v>
      </c>
      <c r="N910" t="str">
        <f>_xlfn.XLOOKUP(E910,[3]Sheet1!$A$2:$A$391,[3]Sheet1!$A$2:$A$391)</f>
        <v>PO10062</v>
      </c>
    </row>
    <row r="911" spans="1:14" x14ac:dyDescent="0.2">
      <c r="A911" t="s">
        <v>920</v>
      </c>
      <c r="B911" s="2">
        <v>46265</v>
      </c>
      <c r="C911" t="s">
        <v>2940</v>
      </c>
      <c r="D911" t="s">
        <v>2949</v>
      </c>
      <c r="E911" t="s">
        <v>3012</v>
      </c>
      <c r="F911" s="3">
        <v>46265.48214366044</v>
      </c>
      <c r="G911" s="3">
        <v>46265.487100411847</v>
      </c>
      <c r="H911">
        <v>7.14</v>
      </c>
      <c r="I911" t="s">
        <v>3147</v>
      </c>
      <c r="J911" t="s">
        <v>3153</v>
      </c>
      <c r="K911" t="s">
        <v>3185</v>
      </c>
      <c r="L911" t="str">
        <f>_xlfn.XLOOKUP(C911,[1]!Table1[Shift_ID],[1]!Table1[Shift_ID])</f>
        <v>S01</v>
      </c>
      <c r="M911" t="str">
        <f>_xlfn.XLOOKUP(D911,[2]!Table1[Machine_ID],[2]!Table1[Machine_ID])</f>
        <v>M008</v>
      </c>
      <c r="N911" t="str">
        <f>_xlfn.XLOOKUP(E911,[3]Sheet1!$A$2:$A$391,[3]Sheet1!$A$2:$A$391)</f>
        <v>PO10062</v>
      </c>
    </row>
    <row r="912" spans="1:14" x14ac:dyDescent="0.2">
      <c r="A912" t="s">
        <v>921</v>
      </c>
      <c r="B912" s="2">
        <v>46265</v>
      </c>
      <c r="C912" t="s">
        <v>2941</v>
      </c>
      <c r="D912" t="s">
        <v>2942</v>
      </c>
      <c r="E912" t="s">
        <v>3013</v>
      </c>
      <c r="F912" s="3">
        <v>46265.58741095617</v>
      </c>
      <c r="G912" s="3">
        <v>46265.589143174271</v>
      </c>
      <c r="H912">
        <v>2.4900000000000002</v>
      </c>
      <c r="I912" t="s">
        <v>3151</v>
      </c>
      <c r="J912" t="s">
        <v>3169</v>
      </c>
      <c r="K912" t="s">
        <v>3181</v>
      </c>
      <c r="L912" t="str">
        <f>_xlfn.XLOOKUP(C912,[1]!Table1[Shift_ID],[1]!Table1[Shift_ID])</f>
        <v>S02</v>
      </c>
      <c r="M912" t="str">
        <f>_xlfn.XLOOKUP(D912,[2]!Table1[Machine_ID],[2]!Table1[Machine_ID])</f>
        <v>M001</v>
      </c>
      <c r="N912" t="str">
        <f>_xlfn.XLOOKUP(E912,[3]Sheet1!$A$2:$A$391,[3]Sheet1!$A$2:$A$391)</f>
        <v>PO10063</v>
      </c>
    </row>
    <row r="913" spans="1:14" x14ac:dyDescent="0.2">
      <c r="A913" t="s">
        <v>922</v>
      </c>
      <c r="B913" s="2">
        <v>46265</v>
      </c>
      <c r="C913" t="s">
        <v>2941</v>
      </c>
      <c r="D913" t="s">
        <v>2942</v>
      </c>
      <c r="E913" t="s">
        <v>3013</v>
      </c>
      <c r="F913" s="3">
        <v>46265.627018883133</v>
      </c>
      <c r="G913" s="3">
        <v>46265.632823121807</v>
      </c>
      <c r="H913">
        <v>8.36</v>
      </c>
      <c r="I913" t="s">
        <v>3151</v>
      </c>
      <c r="J913" t="s">
        <v>3161</v>
      </c>
      <c r="K913" t="s">
        <v>3187</v>
      </c>
      <c r="L913" t="str">
        <f>_xlfn.XLOOKUP(C913,[1]!Table1[Shift_ID],[1]!Table1[Shift_ID])</f>
        <v>S02</v>
      </c>
      <c r="M913" t="str">
        <f>_xlfn.XLOOKUP(D913,[2]!Table1[Machine_ID],[2]!Table1[Machine_ID])</f>
        <v>M001</v>
      </c>
      <c r="N913" t="str">
        <f>_xlfn.XLOOKUP(E913,[3]Sheet1!$A$2:$A$391,[3]Sheet1!$A$2:$A$391)</f>
        <v>PO10063</v>
      </c>
    </row>
    <row r="914" spans="1:14" x14ac:dyDescent="0.2">
      <c r="A914" t="s">
        <v>923</v>
      </c>
      <c r="B914" s="2">
        <v>46265</v>
      </c>
      <c r="C914" t="s">
        <v>2941</v>
      </c>
      <c r="D914" t="s">
        <v>2943</v>
      </c>
      <c r="E914" t="s">
        <v>3013</v>
      </c>
      <c r="F914" s="3">
        <v>46265.609556355877</v>
      </c>
      <c r="G914" s="3">
        <v>46265.61993989101</v>
      </c>
      <c r="H914">
        <v>14.95</v>
      </c>
      <c r="I914" t="s">
        <v>3147</v>
      </c>
      <c r="J914" t="s">
        <v>3153</v>
      </c>
      <c r="K914" t="s">
        <v>3186</v>
      </c>
      <c r="L914" t="str">
        <f>_xlfn.XLOOKUP(C914,[1]!Table1[Shift_ID],[1]!Table1[Shift_ID])</f>
        <v>S02</v>
      </c>
      <c r="M914" t="str">
        <f>_xlfn.XLOOKUP(D914,[2]!Table1[Machine_ID],[2]!Table1[Machine_ID])</f>
        <v>M002</v>
      </c>
      <c r="N914" t="str">
        <f>_xlfn.XLOOKUP(E914,[3]Sheet1!$A$2:$A$391,[3]Sheet1!$A$2:$A$391)</f>
        <v>PO10063</v>
      </c>
    </row>
    <row r="915" spans="1:14" x14ac:dyDescent="0.2">
      <c r="A915" t="s">
        <v>924</v>
      </c>
      <c r="B915" s="2">
        <v>46265</v>
      </c>
      <c r="C915" t="s">
        <v>2941</v>
      </c>
      <c r="D915" t="s">
        <v>2944</v>
      </c>
      <c r="E915" t="s">
        <v>3013</v>
      </c>
      <c r="F915" s="3">
        <v>46265.731354929638</v>
      </c>
      <c r="G915" s="3">
        <v>46265.733413159083</v>
      </c>
      <c r="H915">
        <v>2.96</v>
      </c>
      <c r="I915" t="s">
        <v>3147</v>
      </c>
      <c r="J915" t="s">
        <v>3167</v>
      </c>
      <c r="K915" t="s">
        <v>3172</v>
      </c>
      <c r="L915" t="str">
        <f>_xlfn.XLOOKUP(C915,[1]!Table1[Shift_ID],[1]!Table1[Shift_ID])</f>
        <v>S02</v>
      </c>
      <c r="M915" t="str">
        <f>_xlfn.XLOOKUP(D915,[2]!Table1[Machine_ID],[2]!Table1[Machine_ID])</f>
        <v>M003</v>
      </c>
      <c r="N915" t="str">
        <f>_xlfn.XLOOKUP(E915,[3]Sheet1!$A$2:$A$391,[3]Sheet1!$A$2:$A$391)</f>
        <v>PO10063</v>
      </c>
    </row>
    <row r="916" spans="1:14" x14ac:dyDescent="0.2">
      <c r="A916" t="s">
        <v>925</v>
      </c>
      <c r="B916" s="2">
        <v>46265</v>
      </c>
      <c r="C916" t="s">
        <v>2941</v>
      </c>
      <c r="D916" t="s">
        <v>2944</v>
      </c>
      <c r="E916" t="s">
        <v>3013</v>
      </c>
      <c r="F916" s="3">
        <v>46265.833971703512</v>
      </c>
      <c r="G916" s="3">
        <v>46265.842151424513</v>
      </c>
      <c r="H916">
        <v>11.78</v>
      </c>
      <c r="I916" t="s">
        <v>3147</v>
      </c>
      <c r="J916" t="s">
        <v>3154</v>
      </c>
      <c r="K916" t="s">
        <v>3172</v>
      </c>
      <c r="L916" t="str">
        <f>_xlfn.XLOOKUP(C916,[1]!Table1[Shift_ID],[1]!Table1[Shift_ID])</f>
        <v>S02</v>
      </c>
      <c r="M916" t="str">
        <f>_xlfn.XLOOKUP(D916,[2]!Table1[Machine_ID],[2]!Table1[Machine_ID])</f>
        <v>M003</v>
      </c>
      <c r="N916" t="str">
        <f>_xlfn.XLOOKUP(E916,[3]Sheet1!$A$2:$A$391,[3]Sheet1!$A$2:$A$391)</f>
        <v>PO10063</v>
      </c>
    </row>
    <row r="917" spans="1:14" x14ac:dyDescent="0.2">
      <c r="A917" t="s">
        <v>926</v>
      </c>
      <c r="B917" s="2">
        <v>46265</v>
      </c>
      <c r="C917" t="s">
        <v>2941</v>
      </c>
      <c r="D917" t="s">
        <v>2944</v>
      </c>
      <c r="E917" t="s">
        <v>3013</v>
      </c>
      <c r="F917" s="3">
        <v>46265.851007225683</v>
      </c>
      <c r="G917" s="3">
        <v>46265.855913334934</v>
      </c>
      <c r="H917">
        <v>7.06</v>
      </c>
      <c r="I917" t="s">
        <v>3149</v>
      </c>
      <c r="J917" t="s">
        <v>3158</v>
      </c>
      <c r="K917" t="s">
        <v>3182</v>
      </c>
      <c r="L917" t="str">
        <f>_xlfn.XLOOKUP(C917,[1]!Table1[Shift_ID],[1]!Table1[Shift_ID])</f>
        <v>S02</v>
      </c>
      <c r="M917" t="str">
        <f>_xlfn.XLOOKUP(D917,[2]!Table1[Machine_ID],[2]!Table1[Machine_ID])</f>
        <v>M003</v>
      </c>
      <c r="N917" t="str">
        <f>_xlfn.XLOOKUP(E917,[3]Sheet1!$A$2:$A$391,[3]Sheet1!$A$2:$A$391)</f>
        <v>PO10063</v>
      </c>
    </row>
    <row r="918" spans="1:14" x14ac:dyDescent="0.2">
      <c r="A918" t="s">
        <v>927</v>
      </c>
      <c r="B918" s="2">
        <v>46265</v>
      </c>
      <c r="C918" t="s">
        <v>2941</v>
      </c>
      <c r="D918" t="s">
        <v>2945</v>
      </c>
      <c r="E918" t="s">
        <v>3013</v>
      </c>
      <c r="F918" s="3">
        <v>46265.690038669287</v>
      </c>
      <c r="G918" s="3">
        <v>46265.692786547821</v>
      </c>
      <c r="H918">
        <v>3.96</v>
      </c>
      <c r="I918" t="s">
        <v>3147</v>
      </c>
      <c r="J918" t="s">
        <v>3154</v>
      </c>
      <c r="K918" t="s">
        <v>3172</v>
      </c>
      <c r="L918" t="str">
        <f>_xlfn.XLOOKUP(C918,[1]!Table1[Shift_ID],[1]!Table1[Shift_ID])</f>
        <v>S02</v>
      </c>
      <c r="M918" t="str">
        <f>_xlfn.XLOOKUP(D918,[2]!Table1[Machine_ID],[2]!Table1[Machine_ID])</f>
        <v>M004</v>
      </c>
      <c r="N918" t="str">
        <f>_xlfn.XLOOKUP(E918,[3]Sheet1!$A$2:$A$391,[3]Sheet1!$A$2:$A$391)</f>
        <v>PO10063</v>
      </c>
    </row>
    <row r="919" spans="1:14" x14ac:dyDescent="0.2">
      <c r="A919" t="s">
        <v>928</v>
      </c>
      <c r="B919" s="2">
        <v>46265</v>
      </c>
      <c r="C919" t="s">
        <v>2941</v>
      </c>
      <c r="D919" t="s">
        <v>2945</v>
      </c>
      <c r="E919" t="s">
        <v>3013</v>
      </c>
      <c r="F919" s="3">
        <v>46265.723487667878</v>
      </c>
      <c r="G919" s="3">
        <v>46265.725108490587</v>
      </c>
      <c r="H919">
        <v>2.33</v>
      </c>
      <c r="I919" t="s">
        <v>3149</v>
      </c>
      <c r="J919" t="s">
        <v>3158</v>
      </c>
      <c r="K919" t="s">
        <v>3184</v>
      </c>
      <c r="L919" t="str">
        <f>_xlfn.XLOOKUP(C919,[1]!Table1[Shift_ID],[1]!Table1[Shift_ID])</f>
        <v>S02</v>
      </c>
      <c r="M919" t="str">
        <f>_xlfn.XLOOKUP(D919,[2]!Table1[Machine_ID],[2]!Table1[Machine_ID])</f>
        <v>M004</v>
      </c>
      <c r="N919" t="str">
        <f>_xlfn.XLOOKUP(E919,[3]Sheet1!$A$2:$A$391,[3]Sheet1!$A$2:$A$391)</f>
        <v>PO10063</v>
      </c>
    </row>
    <row r="920" spans="1:14" x14ac:dyDescent="0.2">
      <c r="A920" t="s">
        <v>929</v>
      </c>
      <c r="B920" s="2">
        <v>46265</v>
      </c>
      <c r="C920" t="s">
        <v>2941</v>
      </c>
      <c r="D920" t="s">
        <v>2945</v>
      </c>
      <c r="E920" t="s">
        <v>3013</v>
      </c>
      <c r="F920" s="3">
        <v>46265.852894672258</v>
      </c>
      <c r="G920" s="3">
        <v>46265.856484568692</v>
      </c>
      <c r="H920">
        <v>5.17</v>
      </c>
      <c r="I920" t="s">
        <v>3151</v>
      </c>
      <c r="J920" t="s">
        <v>3169</v>
      </c>
      <c r="K920" t="s">
        <v>3187</v>
      </c>
      <c r="L920" t="str">
        <f>_xlfn.XLOOKUP(C920,[1]!Table1[Shift_ID],[1]!Table1[Shift_ID])</f>
        <v>S02</v>
      </c>
      <c r="M920" t="str">
        <f>_xlfn.XLOOKUP(D920,[2]!Table1[Machine_ID],[2]!Table1[Machine_ID])</f>
        <v>M004</v>
      </c>
      <c r="N920" t="str">
        <f>_xlfn.XLOOKUP(E920,[3]Sheet1!$A$2:$A$391,[3]Sheet1!$A$2:$A$391)</f>
        <v>PO10063</v>
      </c>
    </row>
    <row r="921" spans="1:14" x14ac:dyDescent="0.2">
      <c r="A921" t="s">
        <v>930</v>
      </c>
      <c r="B921" s="2">
        <v>46265</v>
      </c>
      <c r="C921" t="s">
        <v>2941</v>
      </c>
      <c r="D921" t="s">
        <v>2945</v>
      </c>
      <c r="E921" t="s">
        <v>3013</v>
      </c>
      <c r="F921" s="3">
        <v>46265.898379277271</v>
      </c>
      <c r="G921" s="3">
        <v>46265.900000099988</v>
      </c>
      <c r="H921">
        <v>2.33</v>
      </c>
      <c r="I921" t="s">
        <v>3147</v>
      </c>
      <c r="J921" t="s">
        <v>3154</v>
      </c>
      <c r="K921" t="s">
        <v>3172</v>
      </c>
      <c r="L921" t="str">
        <f>_xlfn.XLOOKUP(C921,[1]!Table1[Shift_ID],[1]!Table1[Shift_ID])</f>
        <v>S02</v>
      </c>
      <c r="M921" t="str">
        <f>_xlfn.XLOOKUP(D921,[2]!Table1[Machine_ID],[2]!Table1[Machine_ID])</f>
        <v>M004</v>
      </c>
      <c r="N921" t="str">
        <f>_xlfn.XLOOKUP(E921,[3]Sheet1!$A$2:$A$391,[3]Sheet1!$A$2:$A$391)</f>
        <v>PO10063</v>
      </c>
    </row>
    <row r="922" spans="1:14" x14ac:dyDescent="0.2">
      <c r="A922" t="s">
        <v>931</v>
      </c>
      <c r="B922" s="2">
        <v>46265</v>
      </c>
      <c r="C922" t="s">
        <v>2941</v>
      </c>
      <c r="D922" t="s">
        <v>2946</v>
      </c>
      <c r="E922" t="s">
        <v>3013</v>
      </c>
      <c r="F922" s="3">
        <v>46265.671488603541</v>
      </c>
      <c r="G922" s="3">
        <v>46265.674954358321</v>
      </c>
      <c r="H922">
        <v>4.99</v>
      </c>
      <c r="I922" t="s">
        <v>3149</v>
      </c>
      <c r="J922" t="s">
        <v>3162</v>
      </c>
      <c r="K922" t="s">
        <v>3176</v>
      </c>
      <c r="L922" t="str">
        <f>_xlfn.XLOOKUP(C922,[1]!Table1[Shift_ID],[1]!Table1[Shift_ID])</f>
        <v>S02</v>
      </c>
      <c r="M922" t="str">
        <f>_xlfn.XLOOKUP(D922,[2]!Table1[Machine_ID],[2]!Table1[Machine_ID])</f>
        <v>M005</v>
      </c>
      <c r="N922" t="str">
        <f>_xlfn.XLOOKUP(E922,[3]Sheet1!$A$2:$A$391,[3]Sheet1!$A$2:$A$391)</f>
        <v>PO10063</v>
      </c>
    </row>
    <row r="923" spans="1:14" x14ac:dyDescent="0.2">
      <c r="A923" t="s">
        <v>932</v>
      </c>
      <c r="B923" s="2">
        <v>46265</v>
      </c>
      <c r="C923" t="s">
        <v>2941</v>
      </c>
      <c r="D923" t="s">
        <v>2946</v>
      </c>
      <c r="E923" t="s">
        <v>3013</v>
      </c>
      <c r="F923" s="3">
        <v>46265.818919205667</v>
      </c>
      <c r="G923" s="3">
        <v>46265.824002202353</v>
      </c>
      <c r="H923">
        <v>7.32</v>
      </c>
      <c r="I923" t="s">
        <v>3147</v>
      </c>
      <c r="J923" t="s">
        <v>3167</v>
      </c>
      <c r="K923" t="s">
        <v>3172</v>
      </c>
      <c r="L923" t="str">
        <f>_xlfn.XLOOKUP(C923,[1]!Table1[Shift_ID],[1]!Table1[Shift_ID])</f>
        <v>S02</v>
      </c>
      <c r="M923" t="str">
        <f>_xlfn.XLOOKUP(D923,[2]!Table1[Machine_ID],[2]!Table1[Machine_ID])</f>
        <v>M005</v>
      </c>
      <c r="N923" t="str">
        <f>_xlfn.XLOOKUP(E923,[3]Sheet1!$A$2:$A$391,[3]Sheet1!$A$2:$A$391)</f>
        <v>PO10063</v>
      </c>
    </row>
    <row r="924" spans="1:14" x14ac:dyDescent="0.2">
      <c r="A924" t="s">
        <v>933</v>
      </c>
      <c r="B924" s="2">
        <v>46265</v>
      </c>
      <c r="C924" t="s">
        <v>2941</v>
      </c>
      <c r="D924" t="s">
        <v>2947</v>
      </c>
      <c r="E924" t="s">
        <v>3013</v>
      </c>
      <c r="F924" s="3">
        <v>46265.760438078447</v>
      </c>
      <c r="G924" s="3">
        <v>46265.780768750119</v>
      </c>
      <c r="H924">
        <v>29.28</v>
      </c>
      <c r="I924" t="s">
        <v>3150</v>
      </c>
      <c r="J924" t="s">
        <v>3166</v>
      </c>
      <c r="K924" t="s">
        <v>3179</v>
      </c>
      <c r="L924" t="str">
        <f>_xlfn.XLOOKUP(C924,[1]!Table1[Shift_ID],[1]!Table1[Shift_ID])</f>
        <v>S02</v>
      </c>
      <c r="M924" t="str">
        <f>_xlfn.XLOOKUP(D924,[2]!Table1[Machine_ID],[2]!Table1[Machine_ID])</f>
        <v>M006</v>
      </c>
      <c r="N924" t="str">
        <f>_xlfn.XLOOKUP(E924,[3]Sheet1!$A$2:$A$391,[3]Sheet1!$A$2:$A$391)</f>
        <v>PO10063</v>
      </c>
    </row>
    <row r="925" spans="1:14" x14ac:dyDescent="0.2">
      <c r="A925" t="s">
        <v>934</v>
      </c>
      <c r="B925" s="2">
        <v>46265</v>
      </c>
      <c r="C925" t="s">
        <v>2941</v>
      </c>
      <c r="D925" t="s">
        <v>2947</v>
      </c>
      <c r="E925" t="s">
        <v>3013</v>
      </c>
      <c r="F925" s="3">
        <v>46265.779812001318</v>
      </c>
      <c r="G925" s="3">
        <v>46265.787479796178</v>
      </c>
      <c r="H925">
        <v>11.04</v>
      </c>
      <c r="I925" t="s">
        <v>3146</v>
      </c>
      <c r="J925" t="s">
        <v>3157</v>
      </c>
      <c r="K925" t="s">
        <v>3171</v>
      </c>
      <c r="L925" t="str">
        <f>_xlfn.XLOOKUP(C925,[1]!Table1[Shift_ID],[1]!Table1[Shift_ID])</f>
        <v>S02</v>
      </c>
      <c r="M925" t="str">
        <f>_xlfn.XLOOKUP(D925,[2]!Table1[Machine_ID],[2]!Table1[Machine_ID])</f>
        <v>M006</v>
      </c>
      <c r="N925" t="str">
        <f>_xlfn.XLOOKUP(E925,[3]Sheet1!$A$2:$A$391,[3]Sheet1!$A$2:$A$391)</f>
        <v>PO10063</v>
      </c>
    </row>
    <row r="926" spans="1:14" x14ac:dyDescent="0.2">
      <c r="A926" t="s">
        <v>935</v>
      </c>
      <c r="B926" s="2">
        <v>46265</v>
      </c>
      <c r="C926" t="s">
        <v>2941</v>
      </c>
      <c r="D926" t="s">
        <v>2948</v>
      </c>
      <c r="E926" t="s">
        <v>3013</v>
      </c>
      <c r="F926" s="3">
        <v>46265.642669174696</v>
      </c>
      <c r="G926" s="3">
        <v>46265.644714096197</v>
      </c>
      <c r="H926">
        <v>2.94</v>
      </c>
      <c r="I926" t="s">
        <v>3147</v>
      </c>
      <c r="J926" t="s">
        <v>3153</v>
      </c>
      <c r="K926" t="s">
        <v>3186</v>
      </c>
      <c r="L926" t="str">
        <f>_xlfn.XLOOKUP(C926,[1]!Table1[Shift_ID],[1]!Table1[Shift_ID])</f>
        <v>S02</v>
      </c>
      <c r="M926" t="str">
        <f>_xlfn.XLOOKUP(D926,[2]!Table1[Machine_ID],[2]!Table1[Machine_ID])</f>
        <v>M007</v>
      </c>
      <c r="N926" t="str">
        <f>_xlfn.XLOOKUP(E926,[3]Sheet1!$A$2:$A$391,[3]Sheet1!$A$2:$A$391)</f>
        <v>PO10063</v>
      </c>
    </row>
    <row r="927" spans="1:14" x14ac:dyDescent="0.2">
      <c r="A927" t="s">
        <v>936</v>
      </c>
      <c r="B927" s="2">
        <v>46265</v>
      </c>
      <c r="C927" t="s">
        <v>2941</v>
      </c>
      <c r="D927" t="s">
        <v>2948</v>
      </c>
      <c r="E927" t="s">
        <v>3013</v>
      </c>
      <c r="F927" s="3">
        <v>46265.81143529377</v>
      </c>
      <c r="G927" s="3">
        <v>46265.828757736148</v>
      </c>
      <c r="H927">
        <v>24.94</v>
      </c>
      <c r="I927" t="s">
        <v>3150</v>
      </c>
      <c r="J927" t="s">
        <v>3160</v>
      </c>
      <c r="K927" t="s">
        <v>3179</v>
      </c>
      <c r="L927" t="str">
        <f>_xlfn.XLOOKUP(C927,[1]!Table1[Shift_ID],[1]!Table1[Shift_ID])</f>
        <v>S02</v>
      </c>
      <c r="M927" t="str">
        <f>_xlfn.XLOOKUP(D927,[2]!Table1[Machine_ID],[2]!Table1[Machine_ID])</f>
        <v>M007</v>
      </c>
      <c r="N927" t="str">
        <f>_xlfn.XLOOKUP(E927,[3]Sheet1!$A$2:$A$391,[3]Sheet1!$A$2:$A$391)</f>
        <v>PO10063</v>
      </c>
    </row>
    <row r="928" spans="1:14" x14ac:dyDescent="0.2">
      <c r="A928" t="s">
        <v>937</v>
      </c>
      <c r="B928" s="2">
        <v>46265</v>
      </c>
      <c r="C928" t="s">
        <v>2941</v>
      </c>
      <c r="D928" t="s">
        <v>2949</v>
      </c>
      <c r="E928" t="s">
        <v>3013</v>
      </c>
      <c r="F928" s="3">
        <v>46265.70508835472</v>
      </c>
      <c r="G928" s="3">
        <v>46265.71226229368</v>
      </c>
      <c r="H928">
        <v>10.33</v>
      </c>
      <c r="I928" t="s">
        <v>3148</v>
      </c>
      <c r="J928" t="s">
        <v>3164</v>
      </c>
      <c r="K928" t="s">
        <v>3180</v>
      </c>
      <c r="L928" t="str">
        <f>_xlfn.XLOOKUP(C928,[1]!Table1[Shift_ID],[1]!Table1[Shift_ID])</f>
        <v>S02</v>
      </c>
      <c r="M928" t="str">
        <f>_xlfn.XLOOKUP(D928,[2]!Table1[Machine_ID],[2]!Table1[Machine_ID])</f>
        <v>M008</v>
      </c>
      <c r="N928" t="str">
        <f>_xlfn.XLOOKUP(E928,[3]Sheet1!$A$2:$A$391,[3]Sheet1!$A$2:$A$391)</f>
        <v>PO10063</v>
      </c>
    </row>
    <row r="929" spans="1:14" x14ac:dyDescent="0.2">
      <c r="A929" t="s">
        <v>938</v>
      </c>
      <c r="B929" s="2">
        <v>46266</v>
      </c>
      <c r="C929" t="s">
        <v>2939</v>
      </c>
      <c r="D929" t="s">
        <v>2942</v>
      </c>
      <c r="E929" t="s">
        <v>3014</v>
      </c>
      <c r="F929" s="3">
        <v>46266.937448877943</v>
      </c>
      <c r="G929" s="3">
        <v>46266.944189821807</v>
      </c>
      <c r="H929">
        <v>9.7100000000000009</v>
      </c>
      <c r="I929" t="s">
        <v>3147</v>
      </c>
      <c r="J929" t="s">
        <v>3167</v>
      </c>
      <c r="K929" t="s">
        <v>3186</v>
      </c>
      <c r="L929" t="str">
        <f>_xlfn.XLOOKUP(C929,[1]!Table1[Shift_ID],[1]!Table1[Shift_ID])</f>
        <v>S03</v>
      </c>
      <c r="M929" t="str">
        <f>_xlfn.XLOOKUP(D929,[2]!Table1[Machine_ID],[2]!Table1[Machine_ID])</f>
        <v>M001</v>
      </c>
      <c r="N929" t="str">
        <f>_xlfn.XLOOKUP(E929,[3]Sheet1!$A$2:$A$391,[3]Sheet1!$A$2:$A$391)</f>
        <v>PO10064</v>
      </c>
    </row>
    <row r="930" spans="1:14" x14ac:dyDescent="0.2">
      <c r="A930" t="s">
        <v>939</v>
      </c>
      <c r="B930" s="2">
        <v>46266</v>
      </c>
      <c r="C930" t="s">
        <v>2939</v>
      </c>
      <c r="D930" t="s">
        <v>2943</v>
      </c>
      <c r="E930" t="s">
        <v>3014</v>
      </c>
      <c r="F930" s="3">
        <v>46267.219822420477</v>
      </c>
      <c r="G930" s="3">
        <v>46267.228428330993</v>
      </c>
      <c r="H930">
        <v>12.39</v>
      </c>
      <c r="I930" t="s">
        <v>3150</v>
      </c>
      <c r="J930" t="s">
        <v>3166</v>
      </c>
      <c r="K930" t="s">
        <v>3177</v>
      </c>
      <c r="L930" t="str">
        <f>_xlfn.XLOOKUP(C930,[1]!Table1[Shift_ID],[1]!Table1[Shift_ID])</f>
        <v>S03</v>
      </c>
      <c r="M930" t="str">
        <f>_xlfn.XLOOKUP(D930,[2]!Table1[Machine_ID],[2]!Table1[Machine_ID])</f>
        <v>M002</v>
      </c>
      <c r="N930" t="str">
        <f>_xlfn.XLOOKUP(E930,[3]Sheet1!$A$2:$A$391,[3]Sheet1!$A$2:$A$391)</f>
        <v>PO10064</v>
      </c>
    </row>
    <row r="931" spans="1:14" x14ac:dyDescent="0.2">
      <c r="A931" t="s">
        <v>940</v>
      </c>
      <c r="B931" s="2">
        <v>46266</v>
      </c>
      <c r="C931" t="s">
        <v>2939</v>
      </c>
      <c r="D931" t="s">
        <v>2944</v>
      </c>
      <c r="E931" t="s">
        <v>3014</v>
      </c>
      <c r="F931" s="3">
        <v>46267.102622512371</v>
      </c>
      <c r="G931" s="3">
        <v>46267.113772971657</v>
      </c>
      <c r="H931">
        <v>16.059999999999999</v>
      </c>
      <c r="I931" t="s">
        <v>3150</v>
      </c>
      <c r="J931" t="s">
        <v>3166</v>
      </c>
      <c r="K931" t="s">
        <v>3178</v>
      </c>
      <c r="L931" t="str">
        <f>_xlfn.XLOOKUP(C931,[1]!Table1[Shift_ID],[1]!Table1[Shift_ID])</f>
        <v>S03</v>
      </c>
      <c r="M931" t="str">
        <f>_xlfn.XLOOKUP(D931,[2]!Table1[Machine_ID],[2]!Table1[Machine_ID])</f>
        <v>M003</v>
      </c>
      <c r="N931" t="str">
        <f>_xlfn.XLOOKUP(E931,[3]Sheet1!$A$2:$A$391,[3]Sheet1!$A$2:$A$391)</f>
        <v>PO10064</v>
      </c>
    </row>
    <row r="932" spans="1:14" x14ac:dyDescent="0.2">
      <c r="A932" t="s">
        <v>941</v>
      </c>
      <c r="B932" s="2">
        <v>46266</v>
      </c>
      <c r="C932" t="s">
        <v>2939</v>
      </c>
      <c r="D932" t="s">
        <v>2945</v>
      </c>
      <c r="E932" t="s">
        <v>3014</v>
      </c>
      <c r="F932" s="3">
        <v>46266.939661055287</v>
      </c>
      <c r="G932" s="3">
        <v>46266.941373883747</v>
      </c>
      <c r="H932">
        <v>2.4700000000000002</v>
      </c>
      <c r="I932" t="s">
        <v>3151</v>
      </c>
      <c r="J932" t="s">
        <v>3161</v>
      </c>
      <c r="K932" t="s">
        <v>3187</v>
      </c>
      <c r="L932" t="str">
        <f>_xlfn.XLOOKUP(C932,[1]!Table1[Shift_ID],[1]!Table1[Shift_ID])</f>
        <v>S03</v>
      </c>
      <c r="M932" t="str">
        <f>_xlfn.XLOOKUP(D932,[2]!Table1[Machine_ID],[2]!Table1[Machine_ID])</f>
        <v>M004</v>
      </c>
      <c r="N932" t="str">
        <f>_xlfn.XLOOKUP(E932,[3]Sheet1!$A$2:$A$391,[3]Sheet1!$A$2:$A$391)</f>
        <v>PO10064</v>
      </c>
    </row>
    <row r="933" spans="1:14" x14ac:dyDescent="0.2">
      <c r="A933" t="s">
        <v>942</v>
      </c>
      <c r="B933" s="2">
        <v>46266</v>
      </c>
      <c r="C933" t="s">
        <v>2939</v>
      </c>
      <c r="D933" t="s">
        <v>2945</v>
      </c>
      <c r="E933" t="s">
        <v>3014</v>
      </c>
      <c r="F933" s="3">
        <v>46267.036172322223</v>
      </c>
      <c r="G933" s="3">
        <v>46267.038373400428</v>
      </c>
      <c r="H933">
        <v>3.17</v>
      </c>
      <c r="I933" t="s">
        <v>3150</v>
      </c>
      <c r="J933" t="s">
        <v>3163</v>
      </c>
      <c r="K933" t="s">
        <v>3179</v>
      </c>
      <c r="L933" t="str">
        <f>_xlfn.XLOOKUP(C933,[1]!Table1[Shift_ID],[1]!Table1[Shift_ID])</f>
        <v>S03</v>
      </c>
      <c r="M933" t="str">
        <f>_xlfn.XLOOKUP(D933,[2]!Table1[Machine_ID],[2]!Table1[Machine_ID])</f>
        <v>M004</v>
      </c>
      <c r="N933" t="str">
        <f>_xlfn.XLOOKUP(E933,[3]Sheet1!$A$2:$A$391,[3]Sheet1!$A$2:$A$391)</f>
        <v>PO10064</v>
      </c>
    </row>
    <row r="934" spans="1:14" x14ac:dyDescent="0.2">
      <c r="A934" t="s">
        <v>943</v>
      </c>
      <c r="B934" s="2">
        <v>46266</v>
      </c>
      <c r="C934" t="s">
        <v>2939</v>
      </c>
      <c r="D934" t="s">
        <v>2945</v>
      </c>
      <c r="E934" t="s">
        <v>3014</v>
      </c>
      <c r="F934" s="3">
        <v>46267.128898156552</v>
      </c>
      <c r="G934" s="3">
        <v>46267.131706806467</v>
      </c>
      <c r="H934">
        <v>4.04</v>
      </c>
      <c r="I934" t="s">
        <v>3149</v>
      </c>
      <c r="J934" t="s">
        <v>3162</v>
      </c>
      <c r="K934" t="s">
        <v>3182</v>
      </c>
      <c r="L934" t="str">
        <f>_xlfn.XLOOKUP(C934,[1]!Table1[Shift_ID],[1]!Table1[Shift_ID])</f>
        <v>S03</v>
      </c>
      <c r="M934" t="str">
        <f>_xlfn.XLOOKUP(D934,[2]!Table1[Machine_ID],[2]!Table1[Machine_ID])</f>
        <v>M004</v>
      </c>
      <c r="N934" t="str">
        <f>_xlfn.XLOOKUP(E934,[3]Sheet1!$A$2:$A$391,[3]Sheet1!$A$2:$A$391)</f>
        <v>PO10064</v>
      </c>
    </row>
    <row r="935" spans="1:14" x14ac:dyDescent="0.2">
      <c r="A935" t="s">
        <v>944</v>
      </c>
      <c r="B935" s="2">
        <v>46266</v>
      </c>
      <c r="C935" t="s">
        <v>2939</v>
      </c>
      <c r="D935" t="s">
        <v>2945</v>
      </c>
      <c r="E935" t="s">
        <v>3014</v>
      </c>
      <c r="F935" s="3">
        <v>46267.193434859968</v>
      </c>
      <c r="G935" s="3">
        <v>46267.195147688428</v>
      </c>
      <c r="H935">
        <v>2.4700000000000002</v>
      </c>
      <c r="I935" t="s">
        <v>3150</v>
      </c>
      <c r="J935" t="s">
        <v>3163</v>
      </c>
      <c r="K935" t="s">
        <v>3177</v>
      </c>
      <c r="L935" t="str">
        <f>_xlfn.XLOOKUP(C935,[1]!Table1[Shift_ID],[1]!Table1[Shift_ID])</f>
        <v>S03</v>
      </c>
      <c r="M935" t="str">
        <f>_xlfn.XLOOKUP(D935,[2]!Table1[Machine_ID],[2]!Table1[Machine_ID])</f>
        <v>M004</v>
      </c>
      <c r="N935" t="str">
        <f>_xlfn.XLOOKUP(E935,[3]Sheet1!$A$2:$A$391,[3]Sheet1!$A$2:$A$391)</f>
        <v>PO10064</v>
      </c>
    </row>
    <row r="936" spans="1:14" x14ac:dyDescent="0.2">
      <c r="A936" t="s">
        <v>945</v>
      </c>
      <c r="B936" s="2">
        <v>46266</v>
      </c>
      <c r="C936" t="s">
        <v>2939</v>
      </c>
      <c r="D936" t="s">
        <v>2946</v>
      </c>
      <c r="E936" t="s">
        <v>3014</v>
      </c>
      <c r="F936" s="3">
        <v>46267.082539550291</v>
      </c>
      <c r="G936" s="3">
        <v>46267.084508903783</v>
      </c>
      <c r="H936">
        <v>2.84</v>
      </c>
      <c r="I936" t="s">
        <v>3150</v>
      </c>
      <c r="J936" t="s">
        <v>3166</v>
      </c>
      <c r="K936" t="s">
        <v>3179</v>
      </c>
      <c r="L936" t="str">
        <f>_xlfn.XLOOKUP(C936,[1]!Table1[Shift_ID],[1]!Table1[Shift_ID])</f>
        <v>S03</v>
      </c>
      <c r="M936" t="str">
        <f>_xlfn.XLOOKUP(D936,[2]!Table1[Machine_ID],[2]!Table1[Machine_ID])</f>
        <v>M005</v>
      </c>
      <c r="N936" t="str">
        <f>_xlfn.XLOOKUP(E936,[3]Sheet1!$A$2:$A$391,[3]Sheet1!$A$2:$A$391)</f>
        <v>PO10064</v>
      </c>
    </row>
    <row r="937" spans="1:14" x14ac:dyDescent="0.2">
      <c r="A937" t="s">
        <v>946</v>
      </c>
      <c r="B937" s="2">
        <v>46266</v>
      </c>
      <c r="C937" t="s">
        <v>2939</v>
      </c>
      <c r="D937" t="s">
        <v>2946</v>
      </c>
      <c r="E937" t="s">
        <v>3014</v>
      </c>
      <c r="F937" s="3">
        <v>46267.161682578182</v>
      </c>
      <c r="G937" s="3">
        <v>46267.163651931667</v>
      </c>
      <c r="H937">
        <v>2.84</v>
      </c>
      <c r="I937" t="s">
        <v>3148</v>
      </c>
      <c r="J937" t="s">
        <v>3164</v>
      </c>
      <c r="K937" t="s">
        <v>3173</v>
      </c>
      <c r="L937" t="str">
        <f>_xlfn.XLOOKUP(C937,[1]!Table1[Shift_ID],[1]!Table1[Shift_ID])</f>
        <v>S03</v>
      </c>
      <c r="M937" t="str">
        <f>_xlfn.XLOOKUP(D937,[2]!Table1[Machine_ID],[2]!Table1[Machine_ID])</f>
        <v>M005</v>
      </c>
      <c r="N937" t="str">
        <f>_xlfn.XLOOKUP(E937,[3]Sheet1!$A$2:$A$391,[3]Sheet1!$A$2:$A$391)</f>
        <v>PO10064</v>
      </c>
    </row>
    <row r="938" spans="1:14" x14ac:dyDescent="0.2">
      <c r="A938" t="s">
        <v>947</v>
      </c>
      <c r="B938" s="2">
        <v>46266</v>
      </c>
      <c r="C938" t="s">
        <v>2939</v>
      </c>
      <c r="D938" t="s">
        <v>2946</v>
      </c>
      <c r="E938" t="s">
        <v>3014</v>
      </c>
      <c r="F938" s="3">
        <v>46267.176112809007</v>
      </c>
      <c r="G938" s="3">
        <v>46267.18257591009</v>
      </c>
      <c r="H938">
        <v>9.31</v>
      </c>
      <c r="I938" t="s">
        <v>3147</v>
      </c>
      <c r="J938" t="s">
        <v>3153</v>
      </c>
      <c r="K938" t="s">
        <v>3172</v>
      </c>
      <c r="L938" t="str">
        <f>_xlfn.XLOOKUP(C938,[1]!Table1[Shift_ID],[1]!Table1[Shift_ID])</f>
        <v>S03</v>
      </c>
      <c r="M938" t="str">
        <f>_xlfn.XLOOKUP(D938,[2]!Table1[Machine_ID],[2]!Table1[Machine_ID])</f>
        <v>M005</v>
      </c>
      <c r="N938" t="str">
        <f>_xlfn.XLOOKUP(E938,[3]Sheet1!$A$2:$A$391,[3]Sheet1!$A$2:$A$391)</f>
        <v>PO10064</v>
      </c>
    </row>
    <row r="939" spans="1:14" x14ac:dyDescent="0.2">
      <c r="A939" t="s">
        <v>948</v>
      </c>
      <c r="B939" s="2">
        <v>46266</v>
      </c>
      <c r="C939" t="s">
        <v>2939</v>
      </c>
      <c r="D939" t="s">
        <v>2947</v>
      </c>
      <c r="E939" t="s">
        <v>3014</v>
      </c>
      <c r="F939" s="3">
        <v>46266.970938702703</v>
      </c>
      <c r="G939" s="3">
        <v>46266.988785719361</v>
      </c>
      <c r="H939">
        <v>25.7</v>
      </c>
      <c r="I939" t="s">
        <v>3150</v>
      </c>
      <c r="J939" t="s">
        <v>3160</v>
      </c>
      <c r="K939" t="s">
        <v>3179</v>
      </c>
      <c r="L939" t="str">
        <f>_xlfn.XLOOKUP(C939,[1]!Table1[Shift_ID],[1]!Table1[Shift_ID])</f>
        <v>S03</v>
      </c>
      <c r="M939" t="str">
        <f>_xlfn.XLOOKUP(D939,[2]!Table1[Machine_ID],[2]!Table1[Machine_ID])</f>
        <v>M006</v>
      </c>
      <c r="N939" t="str">
        <f>_xlfn.XLOOKUP(E939,[3]Sheet1!$A$2:$A$391,[3]Sheet1!$A$2:$A$391)</f>
        <v>PO10064</v>
      </c>
    </row>
    <row r="940" spans="1:14" x14ac:dyDescent="0.2">
      <c r="A940" t="s">
        <v>949</v>
      </c>
      <c r="B940" s="2">
        <v>46266</v>
      </c>
      <c r="C940" t="s">
        <v>2939</v>
      </c>
      <c r="D940" t="s">
        <v>2947</v>
      </c>
      <c r="E940" t="s">
        <v>3014</v>
      </c>
      <c r="F940" s="3">
        <v>46267.026891576657</v>
      </c>
      <c r="G940" s="3">
        <v>46267.036732551518</v>
      </c>
      <c r="H940">
        <v>14.17</v>
      </c>
      <c r="I940" t="s">
        <v>3149</v>
      </c>
      <c r="J940" t="s">
        <v>3168</v>
      </c>
      <c r="K940" t="s">
        <v>3182</v>
      </c>
      <c r="L940" t="str">
        <f>_xlfn.XLOOKUP(C940,[1]!Table1[Shift_ID],[1]!Table1[Shift_ID])</f>
        <v>S03</v>
      </c>
      <c r="M940" t="str">
        <f>_xlfn.XLOOKUP(D940,[2]!Table1[Machine_ID],[2]!Table1[Machine_ID])</f>
        <v>M006</v>
      </c>
      <c r="N940" t="str">
        <f>_xlfn.XLOOKUP(E940,[3]Sheet1!$A$2:$A$391,[3]Sheet1!$A$2:$A$391)</f>
        <v>PO10064</v>
      </c>
    </row>
    <row r="941" spans="1:14" x14ac:dyDescent="0.2">
      <c r="A941" t="s">
        <v>950</v>
      </c>
      <c r="B941" s="2">
        <v>46266</v>
      </c>
      <c r="C941" t="s">
        <v>2939</v>
      </c>
      <c r="D941" t="s">
        <v>2947</v>
      </c>
      <c r="E941" t="s">
        <v>3014</v>
      </c>
      <c r="F941" s="3">
        <v>46267.063807946099</v>
      </c>
      <c r="G941" s="3">
        <v>46267.068733125583</v>
      </c>
      <c r="H941">
        <v>7.09</v>
      </c>
      <c r="I941" t="s">
        <v>3149</v>
      </c>
      <c r="J941" t="s">
        <v>3162</v>
      </c>
      <c r="K941" t="s">
        <v>3176</v>
      </c>
      <c r="L941" t="str">
        <f>_xlfn.XLOOKUP(C941,[1]!Table1[Shift_ID],[1]!Table1[Shift_ID])</f>
        <v>S03</v>
      </c>
      <c r="M941" t="str">
        <f>_xlfn.XLOOKUP(D941,[2]!Table1[Machine_ID],[2]!Table1[Machine_ID])</f>
        <v>M006</v>
      </c>
      <c r="N941" t="str">
        <f>_xlfn.XLOOKUP(E941,[3]Sheet1!$A$2:$A$391,[3]Sheet1!$A$2:$A$391)</f>
        <v>PO10064</v>
      </c>
    </row>
    <row r="942" spans="1:14" x14ac:dyDescent="0.2">
      <c r="A942" t="s">
        <v>951</v>
      </c>
      <c r="B942" s="2">
        <v>46266</v>
      </c>
      <c r="C942" t="s">
        <v>2939</v>
      </c>
      <c r="D942" t="s">
        <v>2948</v>
      </c>
      <c r="E942" t="s">
        <v>3014</v>
      </c>
      <c r="F942" s="3">
        <v>46266.9798833694</v>
      </c>
      <c r="G942" s="3">
        <v>46266.986134157472</v>
      </c>
      <c r="H942">
        <v>9</v>
      </c>
      <c r="I942" t="s">
        <v>3150</v>
      </c>
      <c r="J942" t="s">
        <v>3166</v>
      </c>
      <c r="K942" t="s">
        <v>3177</v>
      </c>
      <c r="L942" t="str">
        <f>_xlfn.XLOOKUP(C942,[1]!Table1[Shift_ID],[1]!Table1[Shift_ID])</f>
        <v>S03</v>
      </c>
      <c r="M942" t="str">
        <f>_xlfn.XLOOKUP(D942,[2]!Table1[Machine_ID],[2]!Table1[Machine_ID])</f>
        <v>M007</v>
      </c>
      <c r="N942" t="str">
        <f>_xlfn.XLOOKUP(E942,[3]Sheet1!$A$2:$A$391,[3]Sheet1!$A$2:$A$391)</f>
        <v>PO10064</v>
      </c>
    </row>
    <row r="943" spans="1:14" x14ac:dyDescent="0.2">
      <c r="A943" t="s">
        <v>952</v>
      </c>
      <c r="B943" s="2">
        <v>46266</v>
      </c>
      <c r="C943" t="s">
        <v>2939</v>
      </c>
      <c r="D943" t="s">
        <v>2948</v>
      </c>
      <c r="E943" t="s">
        <v>3014</v>
      </c>
      <c r="F943" s="3">
        <v>46267.027593163497</v>
      </c>
      <c r="G943" s="3">
        <v>46267.03751948772</v>
      </c>
      <c r="H943">
        <v>14.29</v>
      </c>
      <c r="I943" t="s">
        <v>3148</v>
      </c>
      <c r="J943" t="s">
        <v>3155</v>
      </c>
      <c r="K943" t="s">
        <v>3180</v>
      </c>
      <c r="L943" t="str">
        <f>_xlfn.XLOOKUP(C943,[1]!Table1[Shift_ID],[1]!Table1[Shift_ID])</f>
        <v>S03</v>
      </c>
      <c r="M943" t="str">
        <f>_xlfn.XLOOKUP(D943,[2]!Table1[Machine_ID],[2]!Table1[Machine_ID])</f>
        <v>M007</v>
      </c>
      <c r="N943" t="str">
        <f>_xlfn.XLOOKUP(E943,[3]Sheet1!$A$2:$A$391,[3]Sheet1!$A$2:$A$391)</f>
        <v>PO10064</v>
      </c>
    </row>
    <row r="944" spans="1:14" x14ac:dyDescent="0.2">
      <c r="A944" t="s">
        <v>953</v>
      </c>
      <c r="B944" s="2">
        <v>46266</v>
      </c>
      <c r="C944" t="s">
        <v>2939</v>
      </c>
      <c r="D944" t="s">
        <v>2949</v>
      </c>
      <c r="E944" t="s">
        <v>3014</v>
      </c>
      <c r="F944" s="3">
        <v>46267.090866455292</v>
      </c>
      <c r="G944" s="3">
        <v>46267.092573983231</v>
      </c>
      <c r="H944">
        <v>2.46</v>
      </c>
      <c r="I944" t="s">
        <v>3148</v>
      </c>
      <c r="J944" t="s">
        <v>3155</v>
      </c>
      <c r="K944" t="s">
        <v>3180</v>
      </c>
      <c r="L944" t="str">
        <f>_xlfn.XLOOKUP(C944,[1]!Table1[Shift_ID],[1]!Table1[Shift_ID])</f>
        <v>S03</v>
      </c>
      <c r="M944" t="str">
        <f>_xlfn.XLOOKUP(D944,[2]!Table1[Machine_ID],[2]!Table1[Machine_ID])</f>
        <v>M008</v>
      </c>
      <c r="N944" t="str">
        <f>_xlfn.XLOOKUP(E944,[3]Sheet1!$A$2:$A$391,[3]Sheet1!$A$2:$A$391)</f>
        <v>PO10064</v>
      </c>
    </row>
    <row r="945" spans="1:14" x14ac:dyDescent="0.2">
      <c r="A945" t="s">
        <v>954</v>
      </c>
      <c r="B945" s="2">
        <v>46266</v>
      </c>
      <c r="C945" t="s">
        <v>2939</v>
      </c>
      <c r="D945" t="s">
        <v>2949</v>
      </c>
      <c r="E945" t="s">
        <v>3014</v>
      </c>
      <c r="F945" s="3">
        <v>46267.233162121607</v>
      </c>
      <c r="G945" s="3">
        <v>46267.238232141157</v>
      </c>
      <c r="H945">
        <v>7.3</v>
      </c>
      <c r="I945" t="s">
        <v>3148</v>
      </c>
      <c r="J945" t="s">
        <v>3155</v>
      </c>
      <c r="K945" t="s">
        <v>3173</v>
      </c>
      <c r="L945" t="str">
        <f>_xlfn.XLOOKUP(C945,[1]!Table1[Shift_ID],[1]!Table1[Shift_ID])</f>
        <v>S03</v>
      </c>
      <c r="M945" t="str">
        <f>_xlfn.XLOOKUP(D945,[2]!Table1[Machine_ID],[2]!Table1[Machine_ID])</f>
        <v>M008</v>
      </c>
      <c r="N945" t="str">
        <f>_xlfn.XLOOKUP(E945,[3]Sheet1!$A$2:$A$391,[3]Sheet1!$A$2:$A$391)</f>
        <v>PO10064</v>
      </c>
    </row>
    <row r="946" spans="1:14" x14ac:dyDescent="0.2">
      <c r="A946" t="s">
        <v>955</v>
      </c>
      <c r="B946" s="2">
        <v>46266</v>
      </c>
      <c r="C946" t="s">
        <v>2940</v>
      </c>
      <c r="D946" t="s">
        <v>2942</v>
      </c>
      <c r="E946" t="s">
        <v>3015</v>
      </c>
      <c r="F946" s="3">
        <v>46266.419116047313</v>
      </c>
      <c r="G946" s="3">
        <v>46266.427501865102</v>
      </c>
      <c r="H946">
        <v>12.08</v>
      </c>
      <c r="I946" t="s">
        <v>3151</v>
      </c>
      <c r="J946" t="s">
        <v>3170</v>
      </c>
      <c r="K946" t="s">
        <v>3181</v>
      </c>
      <c r="L946" t="str">
        <f>_xlfn.XLOOKUP(C946,[1]!Table1[Shift_ID],[1]!Table1[Shift_ID])</f>
        <v>S01</v>
      </c>
      <c r="M946" t="str">
        <f>_xlfn.XLOOKUP(D946,[2]!Table1[Machine_ID],[2]!Table1[Machine_ID])</f>
        <v>M001</v>
      </c>
      <c r="N946" t="str">
        <f>_xlfn.XLOOKUP(E946,[3]Sheet1!$A$2:$A$391,[3]Sheet1!$A$2:$A$391)</f>
        <v>PO10065</v>
      </c>
    </row>
    <row r="947" spans="1:14" x14ac:dyDescent="0.2">
      <c r="A947" t="s">
        <v>956</v>
      </c>
      <c r="B947" s="2">
        <v>46266</v>
      </c>
      <c r="C947" t="s">
        <v>2940</v>
      </c>
      <c r="D947" t="s">
        <v>2943</v>
      </c>
      <c r="E947" t="s">
        <v>3015</v>
      </c>
      <c r="F947" s="3">
        <v>46266.292844280862</v>
      </c>
      <c r="G947" s="3">
        <v>46266.29452814359</v>
      </c>
      <c r="H947">
        <v>2.42</v>
      </c>
      <c r="I947" t="s">
        <v>3148</v>
      </c>
      <c r="J947" t="s">
        <v>3155</v>
      </c>
      <c r="K947" t="s">
        <v>3183</v>
      </c>
      <c r="L947" t="str">
        <f>_xlfn.XLOOKUP(C947,[1]!Table1[Shift_ID],[1]!Table1[Shift_ID])</f>
        <v>S01</v>
      </c>
      <c r="M947" t="str">
        <f>_xlfn.XLOOKUP(D947,[2]!Table1[Machine_ID],[2]!Table1[Machine_ID])</f>
        <v>M002</v>
      </c>
      <c r="N947" t="str">
        <f>_xlfn.XLOOKUP(E947,[3]Sheet1!$A$2:$A$391,[3]Sheet1!$A$2:$A$391)</f>
        <v>PO10065</v>
      </c>
    </row>
    <row r="948" spans="1:14" x14ac:dyDescent="0.2">
      <c r="A948" t="s">
        <v>957</v>
      </c>
      <c r="B948" s="2">
        <v>46266</v>
      </c>
      <c r="C948" t="s">
        <v>2940</v>
      </c>
      <c r="D948" t="s">
        <v>2943</v>
      </c>
      <c r="E948" t="s">
        <v>3015</v>
      </c>
      <c r="F948" s="3">
        <v>46266.292864496027</v>
      </c>
      <c r="G948" s="3">
        <v>46266.297066750347</v>
      </c>
      <c r="H948">
        <v>6.05</v>
      </c>
      <c r="I948" t="s">
        <v>3146</v>
      </c>
      <c r="J948" t="s">
        <v>3152</v>
      </c>
      <c r="K948" t="s">
        <v>3175</v>
      </c>
      <c r="L948" t="str">
        <f>_xlfn.XLOOKUP(C948,[1]!Table1[Shift_ID],[1]!Table1[Shift_ID])</f>
        <v>S01</v>
      </c>
      <c r="M948" t="str">
        <f>_xlfn.XLOOKUP(D948,[2]!Table1[Machine_ID],[2]!Table1[Machine_ID])</f>
        <v>M002</v>
      </c>
      <c r="N948" t="str">
        <f>_xlfn.XLOOKUP(E948,[3]Sheet1!$A$2:$A$391,[3]Sheet1!$A$2:$A$391)</f>
        <v>PO10065</v>
      </c>
    </row>
    <row r="949" spans="1:14" x14ac:dyDescent="0.2">
      <c r="A949" t="s">
        <v>958</v>
      </c>
      <c r="B949" s="2">
        <v>46266</v>
      </c>
      <c r="C949" t="s">
        <v>2940</v>
      </c>
      <c r="D949" t="s">
        <v>2943</v>
      </c>
      <c r="E949" t="s">
        <v>3015</v>
      </c>
      <c r="F949" s="3">
        <v>46266.38063157368</v>
      </c>
      <c r="G949" s="3">
        <v>46266.382315436407</v>
      </c>
      <c r="H949">
        <v>2.42</v>
      </c>
      <c r="I949" t="s">
        <v>3150</v>
      </c>
      <c r="J949" t="s">
        <v>3163</v>
      </c>
      <c r="K949" t="s">
        <v>3177</v>
      </c>
      <c r="L949" t="str">
        <f>_xlfn.XLOOKUP(C949,[1]!Table1[Shift_ID],[1]!Table1[Shift_ID])</f>
        <v>S01</v>
      </c>
      <c r="M949" t="str">
        <f>_xlfn.XLOOKUP(D949,[2]!Table1[Machine_ID],[2]!Table1[Machine_ID])</f>
        <v>M002</v>
      </c>
      <c r="N949" t="str">
        <f>_xlfn.XLOOKUP(E949,[3]Sheet1!$A$2:$A$391,[3]Sheet1!$A$2:$A$391)</f>
        <v>PO10065</v>
      </c>
    </row>
    <row r="950" spans="1:14" x14ac:dyDescent="0.2">
      <c r="A950" t="s">
        <v>959</v>
      </c>
      <c r="B950" s="2">
        <v>46266</v>
      </c>
      <c r="C950" t="s">
        <v>2940</v>
      </c>
      <c r="D950" t="s">
        <v>2944</v>
      </c>
      <c r="E950" t="s">
        <v>3015</v>
      </c>
      <c r="F950" s="3">
        <v>46266.254970107722</v>
      </c>
      <c r="G950" s="3">
        <v>46266.264455103497</v>
      </c>
      <c r="H950">
        <v>13.66</v>
      </c>
      <c r="I950" t="s">
        <v>3149</v>
      </c>
      <c r="J950" t="s">
        <v>3158</v>
      </c>
      <c r="K950" t="s">
        <v>3182</v>
      </c>
      <c r="L950" t="str">
        <f>_xlfn.XLOOKUP(C950,[1]!Table1[Shift_ID],[1]!Table1[Shift_ID])</f>
        <v>S01</v>
      </c>
      <c r="M950" t="str">
        <f>_xlfn.XLOOKUP(D950,[2]!Table1[Machine_ID],[2]!Table1[Machine_ID])</f>
        <v>M003</v>
      </c>
      <c r="N950" t="str">
        <f>_xlfn.XLOOKUP(E950,[3]Sheet1!$A$2:$A$391,[3]Sheet1!$A$2:$A$391)</f>
        <v>PO10065</v>
      </c>
    </row>
    <row r="951" spans="1:14" x14ac:dyDescent="0.2">
      <c r="A951" t="s">
        <v>960</v>
      </c>
      <c r="B951" s="2">
        <v>46266</v>
      </c>
      <c r="C951" t="s">
        <v>2940</v>
      </c>
      <c r="D951" t="s">
        <v>2944</v>
      </c>
      <c r="E951" t="s">
        <v>3015</v>
      </c>
      <c r="F951" s="3">
        <v>46266.386427628328</v>
      </c>
      <c r="G951" s="3">
        <v>46266.39035073678</v>
      </c>
      <c r="H951">
        <v>5.65</v>
      </c>
      <c r="I951" t="s">
        <v>3146</v>
      </c>
      <c r="J951" t="s">
        <v>3156</v>
      </c>
      <c r="K951" t="s">
        <v>3174</v>
      </c>
      <c r="L951" t="str">
        <f>_xlfn.XLOOKUP(C951,[1]!Table1[Shift_ID],[1]!Table1[Shift_ID])</f>
        <v>S01</v>
      </c>
      <c r="M951" t="str">
        <f>_xlfn.XLOOKUP(D951,[2]!Table1[Machine_ID],[2]!Table1[Machine_ID])</f>
        <v>M003</v>
      </c>
      <c r="N951" t="str">
        <f>_xlfn.XLOOKUP(E951,[3]Sheet1!$A$2:$A$391,[3]Sheet1!$A$2:$A$391)</f>
        <v>PO10065</v>
      </c>
    </row>
    <row r="952" spans="1:14" x14ac:dyDescent="0.2">
      <c r="A952" t="s">
        <v>961</v>
      </c>
      <c r="B952" s="2">
        <v>46266</v>
      </c>
      <c r="C952" t="s">
        <v>2940</v>
      </c>
      <c r="D952" t="s">
        <v>2945</v>
      </c>
      <c r="E952" t="s">
        <v>3015</v>
      </c>
      <c r="F952" s="3">
        <v>46266.291876821633</v>
      </c>
      <c r="G952" s="3">
        <v>46266.293915879804</v>
      </c>
      <c r="H952">
        <v>2.94</v>
      </c>
      <c r="I952" t="s">
        <v>3149</v>
      </c>
      <c r="J952" t="s">
        <v>3162</v>
      </c>
      <c r="K952" t="s">
        <v>3184</v>
      </c>
      <c r="L952" t="str">
        <f>_xlfn.XLOOKUP(C952,[1]!Table1[Shift_ID],[1]!Table1[Shift_ID])</f>
        <v>S01</v>
      </c>
      <c r="M952" t="str">
        <f>_xlfn.XLOOKUP(D952,[2]!Table1[Machine_ID],[2]!Table1[Machine_ID])</f>
        <v>M004</v>
      </c>
      <c r="N952" t="str">
        <f>_xlfn.XLOOKUP(E952,[3]Sheet1!$A$2:$A$391,[3]Sheet1!$A$2:$A$391)</f>
        <v>PO10065</v>
      </c>
    </row>
    <row r="953" spans="1:14" x14ac:dyDescent="0.2">
      <c r="A953" t="s">
        <v>962</v>
      </c>
      <c r="B953" s="2">
        <v>46266</v>
      </c>
      <c r="C953" t="s">
        <v>2940</v>
      </c>
      <c r="D953" t="s">
        <v>2945</v>
      </c>
      <c r="E953" t="s">
        <v>3015</v>
      </c>
      <c r="F953" s="3">
        <v>46266.422238935433</v>
      </c>
      <c r="G953" s="3">
        <v>46266.424209638943</v>
      </c>
      <c r="H953">
        <v>2.84</v>
      </c>
      <c r="I953" t="s">
        <v>3150</v>
      </c>
      <c r="J953" t="s">
        <v>3163</v>
      </c>
      <c r="K953" t="s">
        <v>3177</v>
      </c>
      <c r="L953" t="str">
        <f>_xlfn.XLOOKUP(C953,[1]!Table1[Shift_ID],[1]!Table1[Shift_ID])</f>
        <v>S01</v>
      </c>
      <c r="M953" t="str">
        <f>_xlfn.XLOOKUP(D953,[2]!Table1[Machine_ID],[2]!Table1[Machine_ID])</f>
        <v>M004</v>
      </c>
      <c r="N953" t="str">
        <f>_xlfn.XLOOKUP(E953,[3]Sheet1!$A$2:$A$391,[3]Sheet1!$A$2:$A$391)</f>
        <v>PO10065</v>
      </c>
    </row>
    <row r="954" spans="1:14" x14ac:dyDescent="0.2">
      <c r="A954" t="s">
        <v>963</v>
      </c>
      <c r="B954" s="2">
        <v>46266</v>
      </c>
      <c r="C954" t="s">
        <v>2940</v>
      </c>
      <c r="D954" t="s">
        <v>2945</v>
      </c>
      <c r="E954" t="s">
        <v>3015</v>
      </c>
      <c r="F954" s="3">
        <v>46266.532030726637</v>
      </c>
      <c r="G954" s="3">
        <v>46266.537521140337</v>
      </c>
      <c r="H954">
        <v>7.91</v>
      </c>
      <c r="I954" t="s">
        <v>3149</v>
      </c>
      <c r="J954" t="s">
        <v>3158</v>
      </c>
      <c r="K954" t="s">
        <v>3182</v>
      </c>
      <c r="L954" t="str">
        <f>_xlfn.XLOOKUP(C954,[1]!Table1[Shift_ID],[1]!Table1[Shift_ID])</f>
        <v>S01</v>
      </c>
      <c r="M954" t="str">
        <f>_xlfn.XLOOKUP(D954,[2]!Table1[Machine_ID],[2]!Table1[Machine_ID])</f>
        <v>M004</v>
      </c>
      <c r="N954" t="str">
        <f>_xlfn.XLOOKUP(E954,[3]Sheet1!$A$2:$A$391,[3]Sheet1!$A$2:$A$391)</f>
        <v>PO10065</v>
      </c>
    </row>
    <row r="955" spans="1:14" x14ac:dyDescent="0.2">
      <c r="A955" t="s">
        <v>964</v>
      </c>
      <c r="B955" s="2">
        <v>46266</v>
      </c>
      <c r="C955" t="s">
        <v>2940</v>
      </c>
      <c r="D955" t="s">
        <v>2946</v>
      </c>
      <c r="E955" t="s">
        <v>3015</v>
      </c>
      <c r="F955" s="3">
        <v>46266.263908817949</v>
      </c>
      <c r="G955" s="3">
        <v>46266.270199156519</v>
      </c>
      <c r="H955">
        <v>9.06</v>
      </c>
      <c r="I955" t="s">
        <v>3150</v>
      </c>
      <c r="J955" t="s">
        <v>3160</v>
      </c>
      <c r="K955" t="s">
        <v>3179</v>
      </c>
      <c r="L955" t="str">
        <f>_xlfn.XLOOKUP(C955,[1]!Table1[Shift_ID],[1]!Table1[Shift_ID])</f>
        <v>S01</v>
      </c>
      <c r="M955" t="str">
        <f>_xlfn.XLOOKUP(D955,[2]!Table1[Machine_ID],[2]!Table1[Machine_ID])</f>
        <v>M005</v>
      </c>
      <c r="N955" t="str">
        <f>_xlfn.XLOOKUP(E955,[3]Sheet1!$A$2:$A$391,[3]Sheet1!$A$2:$A$391)</f>
        <v>PO10065</v>
      </c>
    </row>
    <row r="956" spans="1:14" x14ac:dyDescent="0.2">
      <c r="A956" t="s">
        <v>965</v>
      </c>
      <c r="B956" s="2">
        <v>46266</v>
      </c>
      <c r="C956" t="s">
        <v>2940</v>
      </c>
      <c r="D956" t="s">
        <v>2947</v>
      </c>
      <c r="E956" t="s">
        <v>3015</v>
      </c>
      <c r="F956" s="3">
        <v>46266.428021545333</v>
      </c>
      <c r="G956" s="3">
        <v>46266.44539547278</v>
      </c>
      <c r="H956">
        <v>25.02</v>
      </c>
      <c r="I956" t="s">
        <v>3149</v>
      </c>
      <c r="J956" t="s">
        <v>3162</v>
      </c>
      <c r="K956" t="s">
        <v>3182</v>
      </c>
      <c r="L956" t="str">
        <f>_xlfn.XLOOKUP(C956,[1]!Table1[Shift_ID],[1]!Table1[Shift_ID])</f>
        <v>S01</v>
      </c>
      <c r="M956" t="str">
        <f>_xlfn.XLOOKUP(D956,[2]!Table1[Machine_ID],[2]!Table1[Machine_ID])</f>
        <v>M006</v>
      </c>
      <c r="N956" t="str">
        <f>_xlfn.XLOOKUP(E956,[3]Sheet1!$A$2:$A$391,[3]Sheet1!$A$2:$A$391)</f>
        <v>PO10065</v>
      </c>
    </row>
    <row r="957" spans="1:14" x14ac:dyDescent="0.2">
      <c r="A957" t="s">
        <v>966</v>
      </c>
      <c r="B957" s="2">
        <v>46266</v>
      </c>
      <c r="C957" t="s">
        <v>2940</v>
      </c>
      <c r="D957" t="s">
        <v>2947</v>
      </c>
      <c r="E957" t="s">
        <v>3015</v>
      </c>
      <c r="F957" s="3">
        <v>46266.537128507967</v>
      </c>
      <c r="G957" s="3">
        <v>46266.540501895288</v>
      </c>
      <c r="H957">
        <v>4.8600000000000003</v>
      </c>
      <c r="I957" t="s">
        <v>3147</v>
      </c>
      <c r="J957" t="s">
        <v>3167</v>
      </c>
      <c r="K957" t="s">
        <v>3186</v>
      </c>
      <c r="L957" t="str">
        <f>_xlfn.XLOOKUP(C957,[1]!Table1[Shift_ID],[1]!Table1[Shift_ID])</f>
        <v>S01</v>
      </c>
      <c r="M957" t="str">
        <f>_xlfn.XLOOKUP(D957,[2]!Table1[Machine_ID],[2]!Table1[Machine_ID])</f>
        <v>M006</v>
      </c>
      <c r="N957" t="str">
        <f>_xlfn.XLOOKUP(E957,[3]Sheet1!$A$2:$A$391,[3]Sheet1!$A$2:$A$391)</f>
        <v>PO10065</v>
      </c>
    </row>
    <row r="958" spans="1:14" x14ac:dyDescent="0.2">
      <c r="A958" t="s">
        <v>967</v>
      </c>
      <c r="B958" s="2">
        <v>46266</v>
      </c>
      <c r="C958" t="s">
        <v>2940</v>
      </c>
      <c r="D958" t="s">
        <v>2948</v>
      </c>
      <c r="E958" t="s">
        <v>3015</v>
      </c>
      <c r="F958" s="3">
        <v>46266.452829733513</v>
      </c>
      <c r="G958" s="3">
        <v>46266.46511866877</v>
      </c>
      <c r="H958">
        <v>17.7</v>
      </c>
      <c r="I958" t="s">
        <v>3148</v>
      </c>
      <c r="J958" t="s">
        <v>3155</v>
      </c>
      <c r="K958" t="s">
        <v>3173</v>
      </c>
      <c r="L958" t="str">
        <f>_xlfn.XLOOKUP(C958,[1]!Table1[Shift_ID],[1]!Table1[Shift_ID])</f>
        <v>S01</v>
      </c>
      <c r="M958" t="str">
        <f>_xlfn.XLOOKUP(D958,[2]!Table1[Machine_ID],[2]!Table1[Machine_ID])</f>
        <v>M007</v>
      </c>
      <c r="N958" t="str">
        <f>_xlfn.XLOOKUP(E958,[3]Sheet1!$A$2:$A$391,[3]Sheet1!$A$2:$A$391)</f>
        <v>PO10065</v>
      </c>
    </row>
    <row r="959" spans="1:14" x14ac:dyDescent="0.2">
      <c r="A959" t="s">
        <v>968</v>
      </c>
      <c r="B959" s="2">
        <v>46266</v>
      </c>
      <c r="C959" t="s">
        <v>2940</v>
      </c>
      <c r="D959" t="s">
        <v>2949</v>
      </c>
      <c r="E959" t="s">
        <v>3015</v>
      </c>
      <c r="F959" s="3">
        <v>46266.474679258827</v>
      </c>
      <c r="G959" s="3">
        <v>46266.480457976053</v>
      </c>
      <c r="H959">
        <v>8.32</v>
      </c>
      <c r="I959" t="s">
        <v>3148</v>
      </c>
      <c r="J959" t="s">
        <v>3165</v>
      </c>
      <c r="K959" t="s">
        <v>3180</v>
      </c>
      <c r="L959" t="str">
        <f>_xlfn.XLOOKUP(C959,[1]!Table1[Shift_ID],[1]!Table1[Shift_ID])</f>
        <v>S01</v>
      </c>
      <c r="M959" t="str">
        <f>_xlfn.XLOOKUP(D959,[2]!Table1[Machine_ID],[2]!Table1[Machine_ID])</f>
        <v>M008</v>
      </c>
      <c r="N959" t="str">
        <f>_xlfn.XLOOKUP(E959,[3]Sheet1!$A$2:$A$391,[3]Sheet1!$A$2:$A$391)</f>
        <v>PO10065</v>
      </c>
    </row>
    <row r="960" spans="1:14" x14ac:dyDescent="0.2">
      <c r="A960" t="s">
        <v>969</v>
      </c>
      <c r="B960" s="2">
        <v>46266</v>
      </c>
      <c r="C960" t="s">
        <v>2941</v>
      </c>
      <c r="D960" t="s">
        <v>2942</v>
      </c>
      <c r="E960" t="s">
        <v>3016</v>
      </c>
      <c r="F960" s="3">
        <v>46266.790069919523</v>
      </c>
      <c r="G960" s="3">
        <v>46266.794419971542</v>
      </c>
      <c r="H960">
        <v>6.26</v>
      </c>
      <c r="I960" t="s">
        <v>3150</v>
      </c>
      <c r="J960" t="s">
        <v>3163</v>
      </c>
      <c r="K960" t="s">
        <v>3177</v>
      </c>
      <c r="L960" t="str">
        <f>_xlfn.XLOOKUP(C960,[1]!Table1[Shift_ID],[1]!Table1[Shift_ID])</f>
        <v>S02</v>
      </c>
      <c r="M960" t="str">
        <f>_xlfn.XLOOKUP(D960,[2]!Table1[Machine_ID],[2]!Table1[Machine_ID])</f>
        <v>M001</v>
      </c>
      <c r="N960" t="str">
        <f>_xlfn.XLOOKUP(E960,[3]Sheet1!$A$2:$A$391,[3]Sheet1!$A$2:$A$391)</f>
        <v>PO10066</v>
      </c>
    </row>
    <row r="961" spans="1:14" x14ac:dyDescent="0.2">
      <c r="A961" t="s">
        <v>970</v>
      </c>
      <c r="B961" s="2">
        <v>46266</v>
      </c>
      <c r="C961" t="s">
        <v>2941</v>
      </c>
      <c r="D961" t="s">
        <v>2943</v>
      </c>
      <c r="E961" t="s">
        <v>3016</v>
      </c>
      <c r="F961" s="3">
        <v>46266.600322452527</v>
      </c>
      <c r="G961" s="3">
        <v>46266.601585258213</v>
      </c>
      <c r="H961">
        <v>1.82</v>
      </c>
      <c r="I961" t="s">
        <v>3148</v>
      </c>
      <c r="J961" t="s">
        <v>3164</v>
      </c>
      <c r="K961" t="s">
        <v>3183</v>
      </c>
      <c r="L961" t="str">
        <f>_xlfn.XLOOKUP(C961,[1]!Table1[Shift_ID],[1]!Table1[Shift_ID])</f>
        <v>S02</v>
      </c>
      <c r="M961" t="str">
        <f>_xlfn.XLOOKUP(D961,[2]!Table1[Machine_ID],[2]!Table1[Machine_ID])</f>
        <v>M002</v>
      </c>
      <c r="N961" t="str">
        <f>_xlfn.XLOOKUP(E961,[3]Sheet1!$A$2:$A$391,[3]Sheet1!$A$2:$A$391)</f>
        <v>PO10066</v>
      </c>
    </row>
    <row r="962" spans="1:14" x14ac:dyDescent="0.2">
      <c r="A962" t="s">
        <v>971</v>
      </c>
      <c r="B962" s="2">
        <v>46266</v>
      </c>
      <c r="C962" t="s">
        <v>2941</v>
      </c>
      <c r="D962" t="s">
        <v>2943</v>
      </c>
      <c r="E962" t="s">
        <v>3016</v>
      </c>
      <c r="F962" s="3">
        <v>46266.630796313388</v>
      </c>
      <c r="G962" s="3">
        <v>46266.63205911906</v>
      </c>
      <c r="H962">
        <v>1.82</v>
      </c>
      <c r="I962" t="s">
        <v>3147</v>
      </c>
      <c r="J962" t="s">
        <v>3167</v>
      </c>
      <c r="K962" t="s">
        <v>3186</v>
      </c>
      <c r="L962" t="str">
        <f>_xlfn.XLOOKUP(C962,[1]!Table1[Shift_ID],[1]!Table1[Shift_ID])</f>
        <v>S02</v>
      </c>
      <c r="M962" t="str">
        <f>_xlfn.XLOOKUP(D962,[2]!Table1[Machine_ID],[2]!Table1[Machine_ID])</f>
        <v>M002</v>
      </c>
      <c r="N962" t="str">
        <f>_xlfn.XLOOKUP(E962,[3]Sheet1!$A$2:$A$391,[3]Sheet1!$A$2:$A$391)</f>
        <v>PO10066</v>
      </c>
    </row>
    <row r="963" spans="1:14" x14ac:dyDescent="0.2">
      <c r="A963" t="s">
        <v>972</v>
      </c>
      <c r="B963" s="2">
        <v>46266</v>
      </c>
      <c r="C963" t="s">
        <v>2941</v>
      </c>
      <c r="D963" t="s">
        <v>2943</v>
      </c>
      <c r="E963" t="s">
        <v>3016</v>
      </c>
      <c r="F963" s="3">
        <v>46266.646890054581</v>
      </c>
      <c r="G963" s="3">
        <v>46266.651025412008</v>
      </c>
      <c r="H963">
        <v>5.95</v>
      </c>
      <c r="I963" t="s">
        <v>3147</v>
      </c>
      <c r="J963" t="s">
        <v>3154</v>
      </c>
      <c r="K963" t="s">
        <v>3172</v>
      </c>
      <c r="L963" t="str">
        <f>_xlfn.XLOOKUP(C963,[1]!Table1[Shift_ID],[1]!Table1[Shift_ID])</f>
        <v>S02</v>
      </c>
      <c r="M963" t="str">
        <f>_xlfn.XLOOKUP(D963,[2]!Table1[Machine_ID],[2]!Table1[Machine_ID])</f>
        <v>M002</v>
      </c>
      <c r="N963" t="str">
        <f>_xlfn.XLOOKUP(E963,[3]Sheet1!$A$2:$A$391,[3]Sheet1!$A$2:$A$391)</f>
        <v>PO10066</v>
      </c>
    </row>
    <row r="964" spans="1:14" x14ac:dyDescent="0.2">
      <c r="A964" t="s">
        <v>973</v>
      </c>
      <c r="B964" s="2">
        <v>46266</v>
      </c>
      <c r="C964" t="s">
        <v>2941</v>
      </c>
      <c r="D964" t="s">
        <v>2943</v>
      </c>
      <c r="E964" t="s">
        <v>3016</v>
      </c>
      <c r="F964" s="3">
        <v>46266.659401954239</v>
      </c>
      <c r="G964" s="3">
        <v>46266.660664759911</v>
      </c>
      <c r="H964">
        <v>1.82</v>
      </c>
      <c r="I964" t="s">
        <v>3151</v>
      </c>
      <c r="J964" t="s">
        <v>3170</v>
      </c>
      <c r="K964" t="s">
        <v>3188</v>
      </c>
      <c r="L964" t="str">
        <f>_xlfn.XLOOKUP(C964,[1]!Table1[Shift_ID],[1]!Table1[Shift_ID])</f>
        <v>S02</v>
      </c>
      <c r="M964" t="str">
        <f>_xlfn.XLOOKUP(D964,[2]!Table1[Machine_ID],[2]!Table1[Machine_ID])</f>
        <v>M002</v>
      </c>
      <c r="N964" t="str">
        <f>_xlfn.XLOOKUP(E964,[3]Sheet1!$A$2:$A$391,[3]Sheet1!$A$2:$A$391)</f>
        <v>PO10066</v>
      </c>
    </row>
    <row r="965" spans="1:14" x14ac:dyDescent="0.2">
      <c r="A965" t="s">
        <v>974</v>
      </c>
      <c r="B965" s="2">
        <v>46266</v>
      </c>
      <c r="C965" t="s">
        <v>2941</v>
      </c>
      <c r="D965" t="s">
        <v>2943</v>
      </c>
      <c r="E965" t="s">
        <v>3016</v>
      </c>
      <c r="F965" s="3">
        <v>46266.701696743781</v>
      </c>
      <c r="G965" s="3">
        <v>46266.702959549468</v>
      </c>
      <c r="H965">
        <v>1.82</v>
      </c>
      <c r="I965" t="s">
        <v>3147</v>
      </c>
      <c r="J965" t="s">
        <v>3167</v>
      </c>
      <c r="K965" t="s">
        <v>3185</v>
      </c>
      <c r="L965" t="str">
        <f>_xlfn.XLOOKUP(C965,[1]!Table1[Shift_ID],[1]!Table1[Shift_ID])</f>
        <v>S02</v>
      </c>
      <c r="M965" t="str">
        <f>_xlfn.XLOOKUP(D965,[2]!Table1[Machine_ID],[2]!Table1[Machine_ID])</f>
        <v>M002</v>
      </c>
      <c r="N965" t="str">
        <f>_xlfn.XLOOKUP(E965,[3]Sheet1!$A$2:$A$391,[3]Sheet1!$A$2:$A$391)</f>
        <v>PO10066</v>
      </c>
    </row>
    <row r="966" spans="1:14" x14ac:dyDescent="0.2">
      <c r="A966" t="s">
        <v>975</v>
      </c>
      <c r="B966" s="2">
        <v>46266</v>
      </c>
      <c r="C966" t="s">
        <v>2941</v>
      </c>
      <c r="D966" t="s">
        <v>2944</v>
      </c>
      <c r="E966" t="s">
        <v>3016</v>
      </c>
      <c r="F966" s="3">
        <v>46266.716330581112</v>
      </c>
      <c r="G966" s="3">
        <v>46266.719063043682</v>
      </c>
      <c r="H966">
        <v>3.93</v>
      </c>
      <c r="I966" t="s">
        <v>3147</v>
      </c>
      <c r="J966" t="s">
        <v>3167</v>
      </c>
      <c r="K966" t="s">
        <v>3172</v>
      </c>
      <c r="L966" t="str">
        <f>_xlfn.XLOOKUP(C966,[1]!Table1[Shift_ID],[1]!Table1[Shift_ID])</f>
        <v>S02</v>
      </c>
      <c r="M966" t="str">
        <f>_xlfn.XLOOKUP(D966,[2]!Table1[Machine_ID],[2]!Table1[Machine_ID])</f>
        <v>M003</v>
      </c>
      <c r="N966" t="str">
        <f>_xlfn.XLOOKUP(E966,[3]Sheet1!$A$2:$A$391,[3]Sheet1!$A$2:$A$391)</f>
        <v>PO10066</v>
      </c>
    </row>
    <row r="967" spans="1:14" x14ac:dyDescent="0.2">
      <c r="A967" t="s">
        <v>976</v>
      </c>
      <c r="B967" s="2">
        <v>46266</v>
      </c>
      <c r="C967" t="s">
        <v>2941</v>
      </c>
      <c r="D967" t="s">
        <v>2944</v>
      </c>
      <c r="E967" t="s">
        <v>3016</v>
      </c>
      <c r="F967" s="3">
        <v>46266.854824160662</v>
      </c>
      <c r="G967" s="3">
        <v>46266.862201118092</v>
      </c>
      <c r="H967">
        <v>10.62</v>
      </c>
      <c r="I967" t="s">
        <v>3147</v>
      </c>
      <c r="J967" t="s">
        <v>3154</v>
      </c>
      <c r="K967" t="s">
        <v>3186</v>
      </c>
      <c r="L967" t="str">
        <f>_xlfn.XLOOKUP(C967,[1]!Table1[Shift_ID],[1]!Table1[Shift_ID])</f>
        <v>S02</v>
      </c>
      <c r="M967" t="str">
        <f>_xlfn.XLOOKUP(D967,[2]!Table1[Machine_ID],[2]!Table1[Machine_ID])</f>
        <v>M003</v>
      </c>
      <c r="N967" t="str">
        <f>_xlfn.XLOOKUP(E967,[3]Sheet1!$A$2:$A$391,[3]Sheet1!$A$2:$A$391)</f>
        <v>PO10066</v>
      </c>
    </row>
    <row r="968" spans="1:14" x14ac:dyDescent="0.2">
      <c r="A968" t="s">
        <v>977</v>
      </c>
      <c r="B968" s="2">
        <v>46266</v>
      </c>
      <c r="C968" t="s">
        <v>2941</v>
      </c>
      <c r="D968" t="s">
        <v>2945</v>
      </c>
      <c r="E968" t="s">
        <v>3016</v>
      </c>
      <c r="F968" s="3">
        <v>46266.608865312213</v>
      </c>
      <c r="G968" s="3">
        <v>46266.610410541878</v>
      </c>
      <c r="H968">
        <v>2.23</v>
      </c>
      <c r="I968" t="s">
        <v>3150</v>
      </c>
      <c r="J968" t="s">
        <v>3159</v>
      </c>
      <c r="K968" t="s">
        <v>3178</v>
      </c>
      <c r="L968" t="str">
        <f>_xlfn.XLOOKUP(C968,[1]!Table1[Shift_ID],[1]!Table1[Shift_ID])</f>
        <v>S02</v>
      </c>
      <c r="M968" t="str">
        <f>_xlfn.XLOOKUP(D968,[2]!Table1[Machine_ID],[2]!Table1[Machine_ID])</f>
        <v>M004</v>
      </c>
      <c r="N968" t="str">
        <f>_xlfn.XLOOKUP(E968,[3]Sheet1!$A$2:$A$391,[3]Sheet1!$A$2:$A$391)</f>
        <v>PO10066</v>
      </c>
    </row>
    <row r="969" spans="1:14" x14ac:dyDescent="0.2">
      <c r="A969" t="s">
        <v>978</v>
      </c>
      <c r="B969" s="2">
        <v>46266</v>
      </c>
      <c r="C969" t="s">
        <v>2941</v>
      </c>
      <c r="D969" t="s">
        <v>2945</v>
      </c>
      <c r="E969" t="s">
        <v>3016</v>
      </c>
      <c r="F969" s="3">
        <v>46266.653533666213</v>
      </c>
      <c r="G969" s="3">
        <v>46266.655078895863</v>
      </c>
      <c r="H969">
        <v>2.23</v>
      </c>
      <c r="I969" t="s">
        <v>3147</v>
      </c>
      <c r="J969" t="s">
        <v>3167</v>
      </c>
      <c r="K969" t="s">
        <v>3172</v>
      </c>
      <c r="L969" t="str">
        <f>_xlfn.XLOOKUP(C969,[1]!Table1[Shift_ID],[1]!Table1[Shift_ID])</f>
        <v>S02</v>
      </c>
      <c r="M969" t="str">
        <f>_xlfn.XLOOKUP(D969,[2]!Table1[Machine_ID],[2]!Table1[Machine_ID])</f>
        <v>M004</v>
      </c>
      <c r="N969" t="str">
        <f>_xlfn.XLOOKUP(E969,[3]Sheet1!$A$2:$A$391,[3]Sheet1!$A$2:$A$391)</f>
        <v>PO10066</v>
      </c>
    </row>
    <row r="970" spans="1:14" x14ac:dyDescent="0.2">
      <c r="A970" t="s">
        <v>979</v>
      </c>
      <c r="B970" s="2">
        <v>46266</v>
      </c>
      <c r="C970" t="s">
        <v>2941</v>
      </c>
      <c r="D970" t="s">
        <v>2945</v>
      </c>
      <c r="E970" t="s">
        <v>3016</v>
      </c>
      <c r="F970" s="3">
        <v>46266.887407386537</v>
      </c>
      <c r="G970" s="3">
        <v>46266.890602377433</v>
      </c>
      <c r="H970">
        <v>4.5999999999999996</v>
      </c>
      <c r="I970" t="s">
        <v>3151</v>
      </c>
      <c r="J970" t="s">
        <v>3170</v>
      </c>
      <c r="K970" t="s">
        <v>3181</v>
      </c>
      <c r="L970" t="str">
        <f>_xlfn.XLOOKUP(C970,[1]!Table1[Shift_ID],[1]!Table1[Shift_ID])</f>
        <v>S02</v>
      </c>
      <c r="M970" t="str">
        <f>_xlfn.XLOOKUP(D970,[2]!Table1[Machine_ID],[2]!Table1[Machine_ID])</f>
        <v>M004</v>
      </c>
      <c r="N970" t="str">
        <f>_xlfn.XLOOKUP(E970,[3]Sheet1!$A$2:$A$391,[3]Sheet1!$A$2:$A$391)</f>
        <v>PO10066</v>
      </c>
    </row>
    <row r="971" spans="1:14" x14ac:dyDescent="0.2">
      <c r="A971" t="s">
        <v>980</v>
      </c>
      <c r="B971" s="2">
        <v>46266</v>
      </c>
      <c r="C971" t="s">
        <v>2941</v>
      </c>
      <c r="D971" t="s">
        <v>2946</v>
      </c>
      <c r="E971" t="s">
        <v>3016</v>
      </c>
      <c r="F971" s="3">
        <v>46266.79420597729</v>
      </c>
      <c r="G971" s="3">
        <v>46266.798070208097</v>
      </c>
      <c r="H971">
        <v>5.56</v>
      </c>
      <c r="I971" t="s">
        <v>3150</v>
      </c>
      <c r="J971" t="s">
        <v>3160</v>
      </c>
      <c r="K971" t="s">
        <v>3178</v>
      </c>
      <c r="L971" t="str">
        <f>_xlfn.XLOOKUP(C971,[1]!Table1[Shift_ID],[1]!Table1[Shift_ID])</f>
        <v>S02</v>
      </c>
      <c r="M971" t="str">
        <f>_xlfn.XLOOKUP(D971,[2]!Table1[Machine_ID],[2]!Table1[Machine_ID])</f>
        <v>M005</v>
      </c>
      <c r="N971" t="str">
        <f>_xlfn.XLOOKUP(E971,[3]Sheet1!$A$2:$A$391,[3]Sheet1!$A$2:$A$391)</f>
        <v>PO10066</v>
      </c>
    </row>
    <row r="972" spans="1:14" x14ac:dyDescent="0.2">
      <c r="A972" t="s">
        <v>981</v>
      </c>
      <c r="B972" s="2">
        <v>46266</v>
      </c>
      <c r="C972" t="s">
        <v>2941</v>
      </c>
      <c r="D972" t="s">
        <v>2946</v>
      </c>
      <c r="E972" t="s">
        <v>3016</v>
      </c>
      <c r="F972" s="3">
        <v>46266.815838844421</v>
      </c>
      <c r="G972" s="3">
        <v>46266.817568180173</v>
      </c>
      <c r="H972">
        <v>2.4900000000000002</v>
      </c>
      <c r="I972" t="s">
        <v>3149</v>
      </c>
      <c r="J972" t="s">
        <v>3158</v>
      </c>
      <c r="K972" t="s">
        <v>3184</v>
      </c>
      <c r="L972" t="str">
        <f>_xlfn.XLOOKUP(C972,[1]!Table1[Shift_ID],[1]!Table1[Shift_ID])</f>
        <v>S02</v>
      </c>
      <c r="M972" t="str">
        <f>_xlfn.XLOOKUP(D972,[2]!Table1[Machine_ID],[2]!Table1[Machine_ID])</f>
        <v>M005</v>
      </c>
      <c r="N972" t="str">
        <f>_xlfn.XLOOKUP(E972,[3]Sheet1!$A$2:$A$391,[3]Sheet1!$A$2:$A$391)</f>
        <v>PO10066</v>
      </c>
    </row>
    <row r="973" spans="1:14" x14ac:dyDescent="0.2">
      <c r="A973" t="s">
        <v>982</v>
      </c>
      <c r="B973" s="2">
        <v>46266</v>
      </c>
      <c r="C973" t="s">
        <v>2941</v>
      </c>
      <c r="D973" t="s">
        <v>2947</v>
      </c>
      <c r="E973" t="s">
        <v>3016</v>
      </c>
      <c r="F973" s="3">
        <v>46266.646790850144</v>
      </c>
      <c r="G973" s="3">
        <v>46266.648698665063</v>
      </c>
      <c r="H973">
        <v>2.75</v>
      </c>
      <c r="I973" t="s">
        <v>3148</v>
      </c>
      <c r="J973" t="s">
        <v>3164</v>
      </c>
      <c r="K973" t="s">
        <v>3173</v>
      </c>
      <c r="L973" t="str">
        <f>_xlfn.XLOOKUP(C973,[1]!Table1[Shift_ID],[1]!Table1[Shift_ID])</f>
        <v>S02</v>
      </c>
      <c r="M973" t="str">
        <f>_xlfn.XLOOKUP(D973,[2]!Table1[Machine_ID],[2]!Table1[Machine_ID])</f>
        <v>M006</v>
      </c>
      <c r="N973" t="str">
        <f>_xlfn.XLOOKUP(E973,[3]Sheet1!$A$2:$A$391,[3]Sheet1!$A$2:$A$391)</f>
        <v>PO10066</v>
      </c>
    </row>
    <row r="974" spans="1:14" x14ac:dyDescent="0.2">
      <c r="A974" t="s">
        <v>983</v>
      </c>
      <c r="B974" s="2">
        <v>46266</v>
      </c>
      <c r="C974" t="s">
        <v>2941</v>
      </c>
      <c r="D974" t="s">
        <v>2947</v>
      </c>
      <c r="E974" t="s">
        <v>3016</v>
      </c>
      <c r="F974" s="3">
        <v>46266.727061356927</v>
      </c>
      <c r="G974" s="3">
        <v>46266.734453705882</v>
      </c>
      <c r="H974">
        <v>10.64</v>
      </c>
      <c r="I974" t="s">
        <v>3150</v>
      </c>
      <c r="J974" t="s">
        <v>3163</v>
      </c>
      <c r="K974" t="s">
        <v>3178</v>
      </c>
      <c r="L974" t="str">
        <f>_xlfn.XLOOKUP(C974,[1]!Table1[Shift_ID],[1]!Table1[Shift_ID])</f>
        <v>S02</v>
      </c>
      <c r="M974" t="str">
        <f>_xlfn.XLOOKUP(D974,[2]!Table1[Machine_ID],[2]!Table1[Machine_ID])</f>
        <v>M006</v>
      </c>
      <c r="N974" t="str">
        <f>_xlfn.XLOOKUP(E974,[3]Sheet1!$A$2:$A$391,[3]Sheet1!$A$2:$A$391)</f>
        <v>PO10066</v>
      </c>
    </row>
    <row r="975" spans="1:14" x14ac:dyDescent="0.2">
      <c r="A975" t="s">
        <v>984</v>
      </c>
      <c r="B975" s="2">
        <v>46266</v>
      </c>
      <c r="C975" t="s">
        <v>2941</v>
      </c>
      <c r="D975" t="s">
        <v>2947</v>
      </c>
      <c r="E975" t="s">
        <v>3016</v>
      </c>
      <c r="F975" s="3">
        <v>46266.758324546303</v>
      </c>
      <c r="G975" s="3">
        <v>46266.761981506643</v>
      </c>
      <c r="H975">
        <v>5.27</v>
      </c>
      <c r="I975" t="s">
        <v>3149</v>
      </c>
      <c r="J975" t="s">
        <v>3168</v>
      </c>
      <c r="K975" t="s">
        <v>3184</v>
      </c>
      <c r="L975" t="str">
        <f>_xlfn.XLOOKUP(C975,[1]!Table1[Shift_ID],[1]!Table1[Shift_ID])</f>
        <v>S02</v>
      </c>
      <c r="M975" t="str">
        <f>_xlfn.XLOOKUP(D975,[2]!Table1[Machine_ID],[2]!Table1[Machine_ID])</f>
        <v>M006</v>
      </c>
      <c r="N975" t="str">
        <f>_xlfn.XLOOKUP(E975,[3]Sheet1!$A$2:$A$391,[3]Sheet1!$A$2:$A$391)</f>
        <v>PO10066</v>
      </c>
    </row>
    <row r="976" spans="1:14" x14ac:dyDescent="0.2">
      <c r="A976" t="s">
        <v>985</v>
      </c>
      <c r="B976" s="2">
        <v>46266</v>
      </c>
      <c r="C976" t="s">
        <v>2941</v>
      </c>
      <c r="D976" t="s">
        <v>2947</v>
      </c>
      <c r="E976" t="s">
        <v>3016</v>
      </c>
      <c r="F976" s="3">
        <v>46266.7651631806</v>
      </c>
      <c r="G976" s="3">
        <v>46266.767070995513</v>
      </c>
      <c r="H976">
        <v>2.75</v>
      </c>
      <c r="I976" t="s">
        <v>3150</v>
      </c>
      <c r="J976" t="s">
        <v>3160</v>
      </c>
      <c r="K976" t="s">
        <v>3178</v>
      </c>
      <c r="L976" t="str">
        <f>_xlfn.XLOOKUP(C976,[1]!Table1[Shift_ID],[1]!Table1[Shift_ID])</f>
        <v>S02</v>
      </c>
      <c r="M976" t="str">
        <f>_xlfn.XLOOKUP(D976,[2]!Table1[Machine_ID],[2]!Table1[Machine_ID])</f>
        <v>M006</v>
      </c>
      <c r="N976" t="str">
        <f>_xlfn.XLOOKUP(E976,[3]Sheet1!$A$2:$A$391,[3]Sheet1!$A$2:$A$391)</f>
        <v>PO10066</v>
      </c>
    </row>
    <row r="977" spans="1:14" x14ac:dyDescent="0.2">
      <c r="A977" t="s">
        <v>986</v>
      </c>
      <c r="B977" s="2">
        <v>46266</v>
      </c>
      <c r="C977" t="s">
        <v>2941</v>
      </c>
      <c r="D977" t="s">
        <v>2947</v>
      </c>
      <c r="E977" t="s">
        <v>3016</v>
      </c>
      <c r="F977" s="3">
        <v>46266.7775498872</v>
      </c>
      <c r="G977" s="3">
        <v>46266.783922771523</v>
      </c>
      <c r="H977">
        <v>9.18</v>
      </c>
      <c r="I977" t="s">
        <v>3147</v>
      </c>
      <c r="J977" t="s">
        <v>3153</v>
      </c>
      <c r="K977" t="s">
        <v>3186</v>
      </c>
      <c r="L977" t="str">
        <f>_xlfn.XLOOKUP(C977,[1]!Table1[Shift_ID],[1]!Table1[Shift_ID])</f>
        <v>S02</v>
      </c>
      <c r="M977" t="str">
        <f>_xlfn.XLOOKUP(D977,[2]!Table1[Machine_ID],[2]!Table1[Machine_ID])</f>
        <v>M006</v>
      </c>
      <c r="N977" t="str">
        <f>_xlfn.XLOOKUP(E977,[3]Sheet1!$A$2:$A$391,[3]Sheet1!$A$2:$A$391)</f>
        <v>PO10066</v>
      </c>
    </row>
    <row r="978" spans="1:14" x14ac:dyDescent="0.2">
      <c r="A978" t="s">
        <v>987</v>
      </c>
      <c r="B978" s="2">
        <v>46266</v>
      </c>
      <c r="C978" t="s">
        <v>2941</v>
      </c>
      <c r="D978" t="s">
        <v>2948</v>
      </c>
      <c r="E978" t="s">
        <v>3016</v>
      </c>
      <c r="F978" s="3">
        <v>46266.610440152923</v>
      </c>
      <c r="G978" s="3">
        <v>46266.615779913896</v>
      </c>
      <c r="H978">
        <v>7.69</v>
      </c>
      <c r="I978" t="s">
        <v>3149</v>
      </c>
      <c r="J978" t="s">
        <v>3158</v>
      </c>
      <c r="K978" t="s">
        <v>3182</v>
      </c>
      <c r="L978" t="str">
        <f>_xlfn.XLOOKUP(C978,[1]!Table1[Shift_ID],[1]!Table1[Shift_ID])</f>
        <v>S02</v>
      </c>
      <c r="M978" t="str">
        <f>_xlfn.XLOOKUP(D978,[2]!Table1[Machine_ID],[2]!Table1[Machine_ID])</f>
        <v>M007</v>
      </c>
      <c r="N978" t="str">
        <f>_xlfn.XLOOKUP(E978,[3]Sheet1!$A$2:$A$391,[3]Sheet1!$A$2:$A$391)</f>
        <v>PO10066</v>
      </c>
    </row>
    <row r="979" spans="1:14" x14ac:dyDescent="0.2">
      <c r="A979" t="s">
        <v>988</v>
      </c>
      <c r="B979" s="2">
        <v>46266</v>
      </c>
      <c r="C979" t="s">
        <v>2941</v>
      </c>
      <c r="D979" t="s">
        <v>2948</v>
      </c>
      <c r="E979" t="s">
        <v>3016</v>
      </c>
      <c r="F979" s="3">
        <v>46266.629223626267</v>
      </c>
      <c r="G979" s="3">
        <v>46266.630937622933</v>
      </c>
      <c r="H979">
        <v>2.4700000000000002</v>
      </c>
      <c r="I979" t="s">
        <v>3149</v>
      </c>
      <c r="J979" t="s">
        <v>3168</v>
      </c>
      <c r="K979" t="s">
        <v>3182</v>
      </c>
      <c r="L979" t="str">
        <f>_xlfn.XLOOKUP(C979,[1]!Table1[Shift_ID],[1]!Table1[Shift_ID])</f>
        <v>S02</v>
      </c>
      <c r="M979" t="str">
        <f>_xlfn.XLOOKUP(D979,[2]!Table1[Machine_ID],[2]!Table1[Machine_ID])</f>
        <v>M007</v>
      </c>
      <c r="N979" t="str">
        <f>_xlfn.XLOOKUP(E979,[3]Sheet1!$A$2:$A$391,[3]Sheet1!$A$2:$A$391)</f>
        <v>PO10066</v>
      </c>
    </row>
    <row r="980" spans="1:14" x14ac:dyDescent="0.2">
      <c r="A980" t="s">
        <v>989</v>
      </c>
      <c r="B980" s="2">
        <v>46266</v>
      </c>
      <c r="C980" t="s">
        <v>2941</v>
      </c>
      <c r="D980" t="s">
        <v>2948</v>
      </c>
      <c r="E980" t="s">
        <v>3016</v>
      </c>
      <c r="F980" s="3">
        <v>46266.65672932288</v>
      </c>
      <c r="G980" s="3">
        <v>46266.658833767273</v>
      </c>
      <c r="H980">
        <v>3.03</v>
      </c>
      <c r="I980" t="s">
        <v>3147</v>
      </c>
      <c r="J980" t="s">
        <v>3153</v>
      </c>
      <c r="K980" t="s">
        <v>3185</v>
      </c>
      <c r="L980" t="str">
        <f>_xlfn.XLOOKUP(C980,[1]!Table1[Shift_ID],[1]!Table1[Shift_ID])</f>
        <v>S02</v>
      </c>
      <c r="M980" t="str">
        <f>_xlfn.XLOOKUP(D980,[2]!Table1[Machine_ID],[2]!Table1[Machine_ID])</f>
        <v>M007</v>
      </c>
      <c r="N980" t="str">
        <f>_xlfn.XLOOKUP(E980,[3]Sheet1!$A$2:$A$391,[3]Sheet1!$A$2:$A$391)</f>
        <v>PO10066</v>
      </c>
    </row>
    <row r="981" spans="1:14" x14ac:dyDescent="0.2">
      <c r="A981" t="s">
        <v>990</v>
      </c>
      <c r="B981" s="2">
        <v>46266</v>
      </c>
      <c r="C981" t="s">
        <v>2941</v>
      </c>
      <c r="D981" t="s">
        <v>2948</v>
      </c>
      <c r="E981" t="s">
        <v>3016</v>
      </c>
      <c r="F981" s="3">
        <v>46266.701988587512</v>
      </c>
      <c r="G981" s="3">
        <v>46266.703702584156</v>
      </c>
      <c r="H981">
        <v>2.4700000000000002</v>
      </c>
      <c r="I981" t="s">
        <v>3146</v>
      </c>
      <c r="J981" t="s">
        <v>3157</v>
      </c>
      <c r="K981" t="s">
        <v>3175</v>
      </c>
      <c r="L981" t="str">
        <f>_xlfn.XLOOKUP(C981,[1]!Table1[Shift_ID],[1]!Table1[Shift_ID])</f>
        <v>S02</v>
      </c>
      <c r="M981" t="str">
        <f>_xlfn.XLOOKUP(D981,[2]!Table1[Machine_ID],[2]!Table1[Machine_ID])</f>
        <v>M007</v>
      </c>
      <c r="N981" t="str">
        <f>_xlfn.XLOOKUP(E981,[3]Sheet1!$A$2:$A$391,[3]Sheet1!$A$2:$A$391)</f>
        <v>PO10066</v>
      </c>
    </row>
    <row r="982" spans="1:14" x14ac:dyDescent="0.2">
      <c r="A982" t="s">
        <v>991</v>
      </c>
      <c r="B982" s="2">
        <v>46266</v>
      </c>
      <c r="C982" t="s">
        <v>2941</v>
      </c>
      <c r="D982" t="s">
        <v>2948</v>
      </c>
      <c r="E982" t="s">
        <v>3016</v>
      </c>
      <c r="F982" s="3">
        <v>46266.720061023232</v>
      </c>
      <c r="G982" s="3">
        <v>46266.723777898987</v>
      </c>
      <c r="H982">
        <v>5.35</v>
      </c>
      <c r="I982" t="s">
        <v>3146</v>
      </c>
      <c r="J982" t="s">
        <v>3152</v>
      </c>
      <c r="K982" t="s">
        <v>3175</v>
      </c>
      <c r="L982" t="str">
        <f>_xlfn.XLOOKUP(C982,[1]!Table1[Shift_ID],[1]!Table1[Shift_ID])</f>
        <v>S02</v>
      </c>
      <c r="M982" t="str">
        <f>_xlfn.XLOOKUP(D982,[2]!Table1[Machine_ID],[2]!Table1[Machine_ID])</f>
        <v>M007</v>
      </c>
      <c r="N982" t="str">
        <f>_xlfn.XLOOKUP(E982,[3]Sheet1!$A$2:$A$391,[3]Sheet1!$A$2:$A$391)</f>
        <v>PO10066</v>
      </c>
    </row>
    <row r="983" spans="1:14" x14ac:dyDescent="0.2">
      <c r="A983" t="s">
        <v>992</v>
      </c>
      <c r="B983" s="2">
        <v>46266</v>
      </c>
      <c r="C983" t="s">
        <v>2941</v>
      </c>
      <c r="D983" t="s">
        <v>2949</v>
      </c>
      <c r="E983" t="s">
        <v>3016</v>
      </c>
      <c r="F983" s="3">
        <v>46266.697091418879</v>
      </c>
      <c r="G983" s="3">
        <v>46266.701390059883</v>
      </c>
      <c r="H983">
        <v>6.19</v>
      </c>
      <c r="I983" t="s">
        <v>3148</v>
      </c>
      <c r="J983" t="s">
        <v>3164</v>
      </c>
      <c r="K983" t="s">
        <v>3173</v>
      </c>
      <c r="L983" t="str">
        <f>_xlfn.XLOOKUP(C983,[1]!Table1[Shift_ID],[1]!Table1[Shift_ID])</f>
        <v>S02</v>
      </c>
      <c r="M983" t="str">
        <f>_xlfn.XLOOKUP(D983,[2]!Table1[Machine_ID],[2]!Table1[Machine_ID])</f>
        <v>M008</v>
      </c>
      <c r="N983" t="str">
        <f>_xlfn.XLOOKUP(E983,[3]Sheet1!$A$2:$A$391,[3]Sheet1!$A$2:$A$391)</f>
        <v>PO10066</v>
      </c>
    </row>
    <row r="984" spans="1:14" x14ac:dyDescent="0.2">
      <c r="A984" t="s">
        <v>993</v>
      </c>
      <c r="B984" s="2">
        <v>46267</v>
      </c>
      <c r="C984" t="s">
        <v>2939</v>
      </c>
      <c r="D984" t="s">
        <v>2942</v>
      </c>
      <c r="E984" t="s">
        <v>3017</v>
      </c>
      <c r="F984" s="3">
        <v>46267.944179044272</v>
      </c>
      <c r="G984" s="3">
        <v>46267.950226609828</v>
      </c>
      <c r="H984">
        <v>8.7100000000000009</v>
      </c>
      <c r="I984" t="s">
        <v>3151</v>
      </c>
      <c r="J984" t="s">
        <v>3169</v>
      </c>
      <c r="K984" t="s">
        <v>3187</v>
      </c>
      <c r="L984" t="str">
        <f>_xlfn.XLOOKUP(C984,[1]!Table1[Shift_ID],[1]!Table1[Shift_ID])</f>
        <v>S03</v>
      </c>
      <c r="M984" t="str">
        <f>_xlfn.XLOOKUP(D984,[2]!Table1[Machine_ID],[2]!Table1[Machine_ID])</f>
        <v>M001</v>
      </c>
      <c r="N984" t="str">
        <f>_xlfn.XLOOKUP(E984,[3]Sheet1!$A$2:$A$391,[3]Sheet1!$A$2:$A$391)</f>
        <v>PO10067</v>
      </c>
    </row>
    <row r="985" spans="1:14" x14ac:dyDescent="0.2">
      <c r="A985" t="s">
        <v>994</v>
      </c>
      <c r="B985" s="2">
        <v>46267</v>
      </c>
      <c r="C985" t="s">
        <v>2939</v>
      </c>
      <c r="D985" t="s">
        <v>2942</v>
      </c>
      <c r="E985" t="s">
        <v>3017</v>
      </c>
      <c r="F985" s="3">
        <v>46268.100144110052</v>
      </c>
      <c r="G985" s="3">
        <v>46268.101950406097</v>
      </c>
      <c r="H985">
        <v>2.6</v>
      </c>
      <c r="I985" t="s">
        <v>3151</v>
      </c>
      <c r="J985" t="s">
        <v>3170</v>
      </c>
      <c r="K985" t="s">
        <v>3187</v>
      </c>
      <c r="L985" t="str">
        <f>_xlfn.XLOOKUP(C985,[1]!Table1[Shift_ID],[1]!Table1[Shift_ID])</f>
        <v>S03</v>
      </c>
      <c r="M985" t="str">
        <f>_xlfn.XLOOKUP(D985,[2]!Table1[Machine_ID],[2]!Table1[Machine_ID])</f>
        <v>M001</v>
      </c>
      <c r="N985" t="str">
        <f>_xlfn.XLOOKUP(E985,[3]Sheet1!$A$2:$A$391,[3]Sheet1!$A$2:$A$391)</f>
        <v>PO10067</v>
      </c>
    </row>
    <row r="986" spans="1:14" x14ac:dyDescent="0.2">
      <c r="A986" t="s">
        <v>995</v>
      </c>
      <c r="B986" s="2">
        <v>46267</v>
      </c>
      <c r="C986" t="s">
        <v>2939</v>
      </c>
      <c r="D986" t="s">
        <v>2943</v>
      </c>
      <c r="E986" t="s">
        <v>3017</v>
      </c>
      <c r="F986" s="3">
        <v>46268.033470659189</v>
      </c>
      <c r="G986" s="3">
        <v>46268.03505011485</v>
      </c>
      <c r="H986">
        <v>2.27</v>
      </c>
      <c r="I986" t="s">
        <v>3147</v>
      </c>
      <c r="J986" t="s">
        <v>3154</v>
      </c>
      <c r="K986" t="s">
        <v>3185</v>
      </c>
      <c r="L986" t="str">
        <f>_xlfn.XLOOKUP(C986,[1]!Table1[Shift_ID],[1]!Table1[Shift_ID])</f>
        <v>S03</v>
      </c>
      <c r="M986" t="str">
        <f>_xlfn.XLOOKUP(D986,[2]!Table1[Machine_ID],[2]!Table1[Machine_ID])</f>
        <v>M002</v>
      </c>
      <c r="N986" t="str">
        <f>_xlfn.XLOOKUP(E986,[3]Sheet1!$A$2:$A$391,[3]Sheet1!$A$2:$A$391)</f>
        <v>PO10067</v>
      </c>
    </row>
    <row r="987" spans="1:14" x14ac:dyDescent="0.2">
      <c r="A987" t="s">
        <v>996</v>
      </c>
      <c r="B987" s="2">
        <v>46267</v>
      </c>
      <c r="C987" t="s">
        <v>2939</v>
      </c>
      <c r="D987" t="s">
        <v>2943</v>
      </c>
      <c r="E987" t="s">
        <v>3017</v>
      </c>
      <c r="F987" s="3">
        <v>46268.055791424813</v>
      </c>
      <c r="G987" s="3">
        <v>46268.057370880473</v>
      </c>
      <c r="H987">
        <v>2.27</v>
      </c>
      <c r="I987" t="s">
        <v>3150</v>
      </c>
      <c r="J987" t="s">
        <v>3160</v>
      </c>
      <c r="K987" t="s">
        <v>3179</v>
      </c>
      <c r="L987" t="str">
        <f>_xlfn.XLOOKUP(C987,[1]!Table1[Shift_ID],[1]!Table1[Shift_ID])</f>
        <v>S03</v>
      </c>
      <c r="M987" t="str">
        <f>_xlfn.XLOOKUP(D987,[2]!Table1[Machine_ID],[2]!Table1[Machine_ID])</f>
        <v>M002</v>
      </c>
      <c r="N987" t="str">
        <f>_xlfn.XLOOKUP(E987,[3]Sheet1!$A$2:$A$391,[3]Sheet1!$A$2:$A$391)</f>
        <v>PO10067</v>
      </c>
    </row>
    <row r="988" spans="1:14" x14ac:dyDescent="0.2">
      <c r="A988" t="s">
        <v>997</v>
      </c>
      <c r="B988" s="2">
        <v>46267</v>
      </c>
      <c r="C988" t="s">
        <v>2939</v>
      </c>
      <c r="D988" t="s">
        <v>2943</v>
      </c>
      <c r="E988" t="s">
        <v>3017</v>
      </c>
      <c r="F988" s="3">
        <v>46268.133510049272</v>
      </c>
      <c r="G988" s="3">
        <v>46268.13508950494</v>
      </c>
      <c r="H988">
        <v>2.27</v>
      </c>
      <c r="I988" t="s">
        <v>3149</v>
      </c>
      <c r="J988" t="s">
        <v>3168</v>
      </c>
      <c r="K988" t="s">
        <v>3182</v>
      </c>
      <c r="L988" t="str">
        <f>_xlfn.XLOOKUP(C988,[1]!Table1[Shift_ID],[1]!Table1[Shift_ID])</f>
        <v>S03</v>
      </c>
      <c r="M988" t="str">
        <f>_xlfn.XLOOKUP(D988,[2]!Table1[Machine_ID],[2]!Table1[Machine_ID])</f>
        <v>M002</v>
      </c>
      <c r="N988" t="str">
        <f>_xlfn.XLOOKUP(E988,[3]Sheet1!$A$2:$A$391,[3]Sheet1!$A$2:$A$391)</f>
        <v>PO10067</v>
      </c>
    </row>
    <row r="989" spans="1:14" x14ac:dyDescent="0.2">
      <c r="A989" t="s">
        <v>998</v>
      </c>
      <c r="B989" s="2">
        <v>46267</v>
      </c>
      <c r="C989" t="s">
        <v>2939</v>
      </c>
      <c r="D989" t="s">
        <v>2943</v>
      </c>
      <c r="E989" t="s">
        <v>3017</v>
      </c>
      <c r="F989" s="3">
        <v>46268.185520673163</v>
      </c>
      <c r="G989" s="3">
        <v>46268.188240590483</v>
      </c>
      <c r="H989">
        <v>3.92</v>
      </c>
      <c r="I989" t="s">
        <v>3149</v>
      </c>
      <c r="J989" t="s">
        <v>3168</v>
      </c>
      <c r="K989" t="s">
        <v>3176</v>
      </c>
      <c r="L989" t="str">
        <f>_xlfn.XLOOKUP(C989,[1]!Table1[Shift_ID],[1]!Table1[Shift_ID])</f>
        <v>S03</v>
      </c>
      <c r="M989" t="str">
        <f>_xlfn.XLOOKUP(D989,[2]!Table1[Machine_ID],[2]!Table1[Machine_ID])</f>
        <v>M002</v>
      </c>
      <c r="N989" t="str">
        <f>_xlfn.XLOOKUP(E989,[3]Sheet1!$A$2:$A$391,[3]Sheet1!$A$2:$A$391)</f>
        <v>PO10067</v>
      </c>
    </row>
    <row r="990" spans="1:14" x14ac:dyDescent="0.2">
      <c r="A990" t="s">
        <v>999</v>
      </c>
      <c r="B990" s="2">
        <v>46267</v>
      </c>
      <c r="C990" t="s">
        <v>2939</v>
      </c>
      <c r="D990" t="s">
        <v>2943</v>
      </c>
      <c r="E990" t="s">
        <v>3017</v>
      </c>
      <c r="F990" s="3">
        <v>46268.226833913301</v>
      </c>
      <c r="G990" s="3">
        <v>46268.229540905108</v>
      </c>
      <c r="H990">
        <v>3.9</v>
      </c>
      <c r="I990" t="s">
        <v>3147</v>
      </c>
      <c r="J990" t="s">
        <v>3167</v>
      </c>
      <c r="K990" t="s">
        <v>3185</v>
      </c>
      <c r="L990" t="str">
        <f>_xlfn.XLOOKUP(C990,[1]!Table1[Shift_ID],[1]!Table1[Shift_ID])</f>
        <v>S03</v>
      </c>
      <c r="M990" t="str">
        <f>_xlfn.XLOOKUP(D990,[2]!Table1[Machine_ID],[2]!Table1[Machine_ID])</f>
        <v>M002</v>
      </c>
      <c r="N990" t="str">
        <f>_xlfn.XLOOKUP(E990,[3]Sheet1!$A$2:$A$391,[3]Sheet1!$A$2:$A$391)</f>
        <v>PO10067</v>
      </c>
    </row>
    <row r="991" spans="1:14" x14ac:dyDescent="0.2">
      <c r="A991" t="s">
        <v>1000</v>
      </c>
      <c r="B991" s="2">
        <v>46267</v>
      </c>
      <c r="C991" t="s">
        <v>2939</v>
      </c>
      <c r="D991" t="s">
        <v>2944</v>
      </c>
      <c r="E991" t="s">
        <v>3017</v>
      </c>
      <c r="F991" s="3">
        <v>46268.117918255834</v>
      </c>
      <c r="G991" s="3">
        <v>46268.128553662187</v>
      </c>
      <c r="H991">
        <v>15.31</v>
      </c>
      <c r="I991" t="s">
        <v>3150</v>
      </c>
      <c r="J991" t="s">
        <v>3166</v>
      </c>
      <c r="K991" t="s">
        <v>3179</v>
      </c>
      <c r="L991" t="str">
        <f>_xlfn.XLOOKUP(C991,[1]!Table1[Shift_ID],[1]!Table1[Shift_ID])</f>
        <v>S03</v>
      </c>
      <c r="M991" t="str">
        <f>_xlfn.XLOOKUP(D991,[2]!Table1[Machine_ID],[2]!Table1[Machine_ID])</f>
        <v>M003</v>
      </c>
      <c r="N991" t="str">
        <f>_xlfn.XLOOKUP(E991,[3]Sheet1!$A$2:$A$391,[3]Sheet1!$A$2:$A$391)</f>
        <v>PO10067</v>
      </c>
    </row>
    <row r="992" spans="1:14" x14ac:dyDescent="0.2">
      <c r="A992" t="s">
        <v>1001</v>
      </c>
      <c r="B992" s="2">
        <v>46267</v>
      </c>
      <c r="C992" t="s">
        <v>2939</v>
      </c>
      <c r="D992" t="s">
        <v>2945</v>
      </c>
      <c r="E992" t="s">
        <v>3017</v>
      </c>
      <c r="F992" s="3">
        <v>46268.102182557072</v>
      </c>
      <c r="G992" s="3">
        <v>46268.105075691848</v>
      </c>
      <c r="H992">
        <v>4.17</v>
      </c>
      <c r="I992" t="s">
        <v>3151</v>
      </c>
      <c r="J992" t="s">
        <v>3170</v>
      </c>
      <c r="K992" t="s">
        <v>3187</v>
      </c>
      <c r="L992" t="str">
        <f>_xlfn.XLOOKUP(C992,[1]!Table1[Shift_ID],[1]!Table1[Shift_ID])</f>
        <v>S03</v>
      </c>
      <c r="M992" t="str">
        <f>_xlfn.XLOOKUP(D992,[2]!Table1[Machine_ID],[2]!Table1[Machine_ID])</f>
        <v>M004</v>
      </c>
      <c r="N992" t="str">
        <f>_xlfn.XLOOKUP(E992,[3]Sheet1!$A$2:$A$391,[3]Sheet1!$A$2:$A$391)</f>
        <v>PO10067</v>
      </c>
    </row>
    <row r="993" spans="1:14" x14ac:dyDescent="0.2">
      <c r="A993" t="s">
        <v>1002</v>
      </c>
      <c r="B993" s="2">
        <v>46267</v>
      </c>
      <c r="C993" t="s">
        <v>2939</v>
      </c>
      <c r="D993" t="s">
        <v>2945</v>
      </c>
      <c r="E993" t="s">
        <v>3017</v>
      </c>
      <c r="F993" s="3">
        <v>46268.105405806367</v>
      </c>
      <c r="G993" s="3">
        <v>46268.107953942468</v>
      </c>
      <c r="H993">
        <v>3.67</v>
      </c>
      <c r="I993" t="s">
        <v>3148</v>
      </c>
      <c r="J993" t="s">
        <v>3155</v>
      </c>
      <c r="K993" t="s">
        <v>3183</v>
      </c>
      <c r="L993" t="str">
        <f>_xlfn.XLOOKUP(C993,[1]!Table1[Shift_ID],[1]!Table1[Shift_ID])</f>
        <v>S03</v>
      </c>
      <c r="M993" t="str">
        <f>_xlfn.XLOOKUP(D993,[2]!Table1[Machine_ID],[2]!Table1[Machine_ID])</f>
        <v>M004</v>
      </c>
      <c r="N993" t="str">
        <f>_xlfn.XLOOKUP(E993,[3]Sheet1!$A$2:$A$391,[3]Sheet1!$A$2:$A$391)</f>
        <v>PO10067</v>
      </c>
    </row>
    <row r="994" spans="1:14" x14ac:dyDescent="0.2">
      <c r="A994" t="s">
        <v>1003</v>
      </c>
      <c r="B994" s="2">
        <v>46267</v>
      </c>
      <c r="C994" t="s">
        <v>2939</v>
      </c>
      <c r="D994" t="s">
        <v>2945</v>
      </c>
      <c r="E994" t="s">
        <v>3017</v>
      </c>
      <c r="F994" s="3">
        <v>46268.107750585303</v>
      </c>
      <c r="G994" s="3">
        <v>46268.109382882671</v>
      </c>
      <c r="H994">
        <v>2.35</v>
      </c>
      <c r="I994" t="s">
        <v>3147</v>
      </c>
      <c r="J994" t="s">
        <v>3167</v>
      </c>
      <c r="K994" t="s">
        <v>3172</v>
      </c>
      <c r="L994" t="str">
        <f>_xlfn.XLOOKUP(C994,[1]!Table1[Shift_ID],[1]!Table1[Shift_ID])</f>
        <v>S03</v>
      </c>
      <c r="M994" t="str">
        <f>_xlfn.XLOOKUP(D994,[2]!Table1[Machine_ID],[2]!Table1[Machine_ID])</f>
        <v>M004</v>
      </c>
      <c r="N994" t="str">
        <f>_xlfn.XLOOKUP(E994,[3]Sheet1!$A$2:$A$391,[3]Sheet1!$A$2:$A$391)</f>
        <v>PO10067</v>
      </c>
    </row>
    <row r="995" spans="1:14" x14ac:dyDescent="0.2">
      <c r="A995" t="s">
        <v>1004</v>
      </c>
      <c r="B995" s="2">
        <v>46267</v>
      </c>
      <c r="C995" t="s">
        <v>2939</v>
      </c>
      <c r="D995" t="s">
        <v>2946</v>
      </c>
      <c r="E995" t="s">
        <v>3017</v>
      </c>
      <c r="F995" s="3">
        <v>46268.024257217847</v>
      </c>
      <c r="G995" s="3">
        <v>46268.026427031517</v>
      </c>
      <c r="H995">
        <v>3.12</v>
      </c>
      <c r="I995" t="s">
        <v>3146</v>
      </c>
      <c r="J995" t="s">
        <v>3157</v>
      </c>
      <c r="K995" t="s">
        <v>3175</v>
      </c>
      <c r="L995" t="str">
        <f>_xlfn.XLOOKUP(C995,[1]!Table1[Shift_ID],[1]!Table1[Shift_ID])</f>
        <v>S03</v>
      </c>
      <c r="M995" t="str">
        <f>_xlfn.XLOOKUP(D995,[2]!Table1[Machine_ID],[2]!Table1[Machine_ID])</f>
        <v>M005</v>
      </c>
      <c r="N995" t="str">
        <f>_xlfn.XLOOKUP(E995,[3]Sheet1!$A$2:$A$391,[3]Sheet1!$A$2:$A$391)</f>
        <v>PO10067</v>
      </c>
    </row>
    <row r="996" spans="1:14" x14ac:dyDescent="0.2">
      <c r="A996" t="s">
        <v>1005</v>
      </c>
      <c r="B996" s="2">
        <v>46267</v>
      </c>
      <c r="C996" t="s">
        <v>2939</v>
      </c>
      <c r="D996" t="s">
        <v>2946</v>
      </c>
      <c r="E996" t="s">
        <v>3017</v>
      </c>
      <c r="F996" s="3">
        <v>46268.080420507133</v>
      </c>
      <c r="G996" s="3">
        <v>46268.083067156207</v>
      </c>
      <c r="H996">
        <v>3.81</v>
      </c>
      <c r="I996" t="s">
        <v>3147</v>
      </c>
      <c r="J996" t="s">
        <v>3167</v>
      </c>
      <c r="K996" t="s">
        <v>3185</v>
      </c>
      <c r="L996" t="str">
        <f>_xlfn.XLOOKUP(C996,[1]!Table1[Shift_ID],[1]!Table1[Shift_ID])</f>
        <v>S03</v>
      </c>
      <c r="M996" t="str">
        <f>_xlfn.XLOOKUP(D996,[2]!Table1[Machine_ID],[2]!Table1[Machine_ID])</f>
        <v>M005</v>
      </c>
      <c r="N996" t="str">
        <f>_xlfn.XLOOKUP(E996,[3]Sheet1!$A$2:$A$391,[3]Sheet1!$A$2:$A$391)</f>
        <v>PO10067</v>
      </c>
    </row>
    <row r="997" spans="1:14" x14ac:dyDescent="0.2">
      <c r="A997" t="s">
        <v>1006</v>
      </c>
      <c r="B997" s="2">
        <v>46267</v>
      </c>
      <c r="C997" t="s">
        <v>2939</v>
      </c>
      <c r="D997" t="s">
        <v>2946</v>
      </c>
      <c r="E997" t="s">
        <v>3017</v>
      </c>
      <c r="F997" s="3">
        <v>46268.106784139309</v>
      </c>
      <c r="G997" s="3">
        <v>46268.109652160972</v>
      </c>
      <c r="H997">
        <v>4.13</v>
      </c>
      <c r="I997" t="s">
        <v>3146</v>
      </c>
      <c r="J997" t="s">
        <v>3157</v>
      </c>
      <c r="K997" t="s">
        <v>3174</v>
      </c>
      <c r="L997" t="str">
        <f>_xlfn.XLOOKUP(C997,[1]!Table1[Shift_ID],[1]!Table1[Shift_ID])</f>
        <v>S03</v>
      </c>
      <c r="M997" t="str">
        <f>_xlfn.XLOOKUP(D997,[2]!Table1[Machine_ID],[2]!Table1[Machine_ID])</f>
        <v>M005</v>
      </c>
      <c r="N997" t="str">
        <f>_xlfn.XLOOKUP(E997,[3]Sheet1!$A$2:$A$391,[3]Sheet1!$A$2:$A$391)</f>
        <v>PO10067</v>
      </c>
    </row>
    <row r="998" spans="1:14" x14ac:dyDescent="0.2">
      <c r="A998" t="s">
        <v>1007</v>
      </c>
      <c r="B998" s="2">
        <v>46267</v>
      </c>
      <c r="C998" t="s">
        <v>2939</v>
      </c>
      <c r="D998" t="s">
        <v>2947</v>
      </c>
      <c r="E998" t="s">
        <v>3017</v>
      </c>
      <c r="F998" s="3">
        <v>46267.936775618982</v>
      </c>
      <c r="G998" s="3">
        <v>46267.952482275279</v>
      </c>
      <c r="H998">
        <v>22.62</v>
      </c>
      <c r="I998" t="s">
        <v>3151</v>
      </c>
      <c r="J998" t="s">
        <v>3170</v>
      </c>
      <c r="K998" t="s">
        <v>3188</v>
      </c>
      <c r="L998" t="str">
        <f>_xlfn.XLOOKUP(C998,[1]!Table1[Shift_ID],[1]!Table1[Shift_ID])</f>
        <v>S03</v>
      </c>
      <c r="M998" t="str">
        <f>_xlfn.XLOOKUP(D998,[2]!Table1[Machine_ID],[2]!Table1[Machine_ID])</f>
        <v>M006</v>
      </c>
      <c r="N998" t="str">
        <f>_xlfn.XLOOKUP(E998,[3]Sheet1!$A$2:$A$391,[3]Sheet1!$A$2:$A$391)</f>
        <v>PO10067</v>
      </c>
    </row>
    <row r="999" spans="1:14" x14ac:dyDescent="0.2">
      <c r="A999" t="s">
        <v>1008</v>
      </c>
      <c r="B999" s="2">
        <v>46267</v>
      </c>
      <c r="C999" t="s">
        <v>2939</v>
      </c>
      <c r="D999" t="s">
        <v>2947</v>
      </c>
      <c r="E999" t="s">
        <v>3017</v>
      </c>
      <c r="F999" s="3">
        <v>46268.055703745049</v>
      </c>
      <c r="G999" s="3">
        <v>46268.064349834087</v>
      </c>
      <c r="H999">
        <v>12.45</v>
      </c>
      <c r="I999" t="s">
        <v>3149</v>
      </c>
      <c r="J999" t="s">
        <v>3168</v>
      </c>
      <c r="K999" t="s">
        <v>3182</v>
      </c>
      <c r="L999" t="str">
        <f>_xlfn.XLOOKUP(C999,[1]!Table1[Shift_ID],[1]!Table1[Shift_ID])</f>
        <v>S03</v>
      </c>
      <c r="M999" t="str">
        <f>_xlfn.XLOOKUP(D999,[2]!Table1[Machine_ID],[2]!Table1[Machine_ID])</f>
        <v>M006</v>
      </c>
      <c r="N999" t="str">
        <f>_xlfn.XLOOKUP(E999,[3]Sheet1!$A$2:$A$391,[3]Sheet1!$A$2:$A$391)</f>
        <v>PO10067</v>
      </c>
    </row>
    <row r="1000" spans="1:14" x14ac:dyDescent="0.2">
      <c r="A1000" t="s">
        <v>1009</v>
      </c>
      <c r="B1000" s="2">
        <v>46267</v>
      </c>
      <c r="C1000" t="s">
        <v>2939</v>
      </c>
      <c r="D1000" t="s">
        <v>2948</v>
      </c>
      <c r="E1000" t="s">
        <v>3017</v>
      </c>
      <c r="F1000" s="3">
        <v>46267.966054940844</v>
      </c>
      <c r="G1000" s="3">
        <v>46267.968403590727</v>
      </c>
      <c r="H1000">
        <v>3.38</v>
      </c>
      <c r="I1000" t="s">
        <v>3150</v>
      </c>
      <c r="J1000" t="s">
        <v>3163</v>
      </c>
      <c r="K1000" t="s">
        <v>3177</v>
      </c>
      <c r="L1000" t="str">
        <f>_xlfn.XLOOKUP(C1000,[1]!Table1[Shift_ID],[1]!Table1[Shift_ID])</f>
        <v>S03</v>
      </c>
      <c r="M1000" t="str">
        <f>_xlfn.XLOOKUP(D1000,[2]!Table1[Machine_ID],[2]!Table1[Machine_ID])</f>
        <v>M007</v>
      </c>
      <c r="N1000" t="str">
        <f>_xlfn.XLOOKUP(E1000,[3]Sheet1!$A$2:$A$391,[3]Sheet1!$A$2:$A$391)</f>
        <v>PO10067</v>
      </c>
    </row>
    <row r="1001" spans="1:14" x14ac:dyDescent="0.2">
      <c r="A1001" t="s">
        <v>1010</v>
      </c>
      <c r="B1001" s="2">
        <v>46267</v>
      </c>
      <c r="C1001" t="s">
        <v>2939</v>
      </c>
      <c r="D1001" t="s">
        <v>2948</v>
      </c>
      <c r="E1001" t="s">
        <v>3017</v>
      </c>
      <c r="F1001" s="3">
        <v>46268.054616583227</v>
      </c>
      <c r="G1001" s="3">
        <v>46268.058024880302</v>
      </c>
      <c r="H1001">
        <v>4.91</v>
      </c>
      <c r="I1001" t="s">
        <v>3147</v>
      </c>
      <c r="J1001" t="s">
        <v>3153</v>
      </c>
      <c r="K1001" t="s">
        <v>3172</v>
      </c>
      <c r="L1001" t="str">
        <f>_xlfn.XLOOKUP(C1001,[1]!Table1[Shift_ID],[1]!Table1[Shift_ID])</f>
        <v>S03</v>
      </c>
      <c r="M1001" t="str">
        <f>_xlfn.XLOOKUP(D1001,[2]!Table1[Machine_ID],[2]!Table1[Machine_ID])</f>
        <v>M007</v>
      </c>
      <c r="N1001" t="str">
        <f>_xlfn.XLOOKUP(E1001,[3]Sheet1!$A$2:$A$391,[3]Sheet1!$A$2:$A$391)</f>
        <v>PO10067</v>
      </c>
    </row>
    <row r="1002" spans="1:14" x14ac:dyDescent="0.2">
      <c r="A1002" t="s">
        <v>1011</v>
      </c>
      <c r="B1002" s="2">
        <v>46267</v>
      </c>
      <c r="C1002" t="s">
        <v>2939</v>
      </c>
      <c r="D1002" t="s">
        <v>2948</v>
      </c>
      <c r="E1002" t="s">
        <v>3017</v>
      </c>
      <c r="F1002" s="3">
        <v>46268.195291776559</v>
      </c>
      <c r="G1002" s="3">
        <v>46268.200902119708</v>
      </c>
      <c r="H1002">
        <v>8.08</v>
      </c>
      <c r="I1002" t="s">
        <v>3150</v>
      </c>
      <c r="J1002" t="s">
        <v>3166</v>
      </c>
      <c r="K1002" t="s">
        <v>3178</v>
      </c>
      <c r="L1002" t="str">
        <f>_xlfn.XLOOKUP(C1002,[1]!Table1[Shift_ID],[1]!Table1[Shift_ID])</f>
        <v>S03</v>
      </c>
      <c r="M1002" t="str">
        <f>_xlfn.XLOOKUP(D1002,[2]!Table1[Machine_ID],[2]!Table1[Machine_ID])</f>
        <v>M007</v>
      </c>
      <c r="N1002" t="str">
        <f>_xlfn.XLOOKUP(E1002,[3]Sheet1!$A$2:$A$391,[3]Sheet1!$A$2:$A$391)</f>
        <v>PO10067</v>
      </c>
    </row>
    <row r="1003" spans="1:14" x14ac:dyDescent="0.2">
      <c r="A1003" t="s">
        <v>1012</v>
      </c>
      <c r="B1003" s="2">
        <v>46267</v>
      </c>
      <c r="C1003" t="s">
        <v>2939</v>
      </c>
      <c r="D1003" t="s">
        <v>2948</v>
      </c>
      <c r="E1003" t="s">
        <v>3017</v>
      </c>
      <c r="F1003" s="3">
        <v>46268.238759076143</v>
      </c>
      <c r="G1003" s="3">
        <v>46268.244121798009</v>
      </c>
      <c r="H1003">
        <v>7.72</v>
      </c>
      <c r="I1003" t="s">
        <v>3151</v>
      </c>
      <c r="J1003" t="s">
        <v>3169</v>
      </c>
      <c r="K1003" t="s">
        <v>3181</v>
      </c>
      <c r="L1003" t="str">
        <f>_xlfn.XLOOKUP(C1003,[1]!Table1[Shift_ID],[1]!Table1[Shift_ID])</f>
        <v>S03</v>
      </c>
      <c r="M1003" t="str">
        <f>_xlfn.XLOOKUP(D1003,[2]!Table1[Machine_ID],[2]!Table1[Machine_ID])</f>
        <v>M007</v>
      </c>
      <c r="N1003" t="str">
        <f>_xlfn.XLOOKUP(E1003,[3]Sheet1!$A$2:$A$391,[3]Sheet1!$A$2:$A$391)</f>
        <v>PO10067</v>
      </c>
    </row>
    <row r="1004" spans="1:14" x14ac:dyDescent="0.2">
      <c r="A1004" t="s">
        <v>1013</v>
      </c>
      <c r="B1004" s="2">
        <v>46267</v>
      </c>
      <c r="C1004" t="s">
        <v>2939</v>
      </c>
      <c r="D1004" t="s">
        <v>2949</v>
      </c>
      <c r="E1004" t="s">
        <v>3017</v>
      </c>
      <c r="F1004" s="3">
        <v>46268.125974333168</v>
      </c>
      <c r="G1004" s="3">
        <v>46268.131322551562</v>
      </c>
      <c r="H1004">
        <v>7.7</v>
      </c>
      <c r="I1004" t="s">
        <v>3148</v>
      </c>
      <c r="J1004" t="s">
        <v>3164</v>
      </c>
      <c r="K1004" t="s">
        <v>3183</v>
      </c>
      <c r="L1004" t="str">
        <f>_xlfn.XLOOKUP(C1004,[1]!Table1[Shift_ID],[1]!Table1[Shift_ID])</f>
        <v>S03</v>
      </c>
      <c r="M1004" t="str">
        <f>_xlfn.XLOOKUP(D1004,[2]!Table1[Machine_ID],[2]!Table1[Machine_ID])</f>
        <v>M008</v>
      </c>
      <c r="N1004" t="str">
        <f>_xlfn.XLOOKUP(E1004,[3]Sheet1!$A$2:$A$391,[3]Sheet1!$A$2:$A$391)</f>
        <v>PO10067</v>
      </c>
    </row>
    <row r="1005" spans="1:14" x14ac:dyDescent="0.2">
      <c r="A1005" t="s">
        <v>1014</v>
      </c>
      <c r="B1005" s="2">
        <v>46267</v>
      </c>
      <c r="C1005" t="s">
        <v>2940</v>
      </c>
      <c r="D1005" t="s">
        <v>2942</v>
      </c>
      <c r="E1005" t="s">
        <v>3018</v>
      </c>
      <c r="F1005" s="3">
        <v>46267.276309305693</v>
      </c>
      <c r="G1005" s="3">
        <v>46267.279798278527</v>
      </c>
      <c r="H1005">
        <v>5.0199999999999996</v>
      </c>
      <c r="I1005" t="s">
        <v>3150</v>
      </c>
      <c r="J1005" t="s">
        <v>3166</v>
      </c>
      <c r="K1005" t="s">
        <v>3178</v>
      </c>
      <c r="L1005" t="str">
        <f>_xlfn.XLOOKUP(C1005,[1]!Table1[Shift_ID],[1]!Table1[Shift_ID])</f>
        <v>S01</v>
      </c>
      <c r="M1005" t="str">
        <f>_xlfn.XLOOKUP(D1005,[2]!Table1[Machine_ID],[2]!Table1[Machine_ID])</f>
        <v>M001</v>
      </c>
      <c r="N1005" t="str">
        <f>_xlfn.XLOOKUP(E1005,[3]Sheet1!$A$2:$A$391,[3]Sheet1!$A$2:$A$391)</f>
        <v>PO10068</v>
      </c>
    </row>
    <row r="1006" spans="1:14" x14ac:dyDescent="0.2">
      <c r="A1006" t="s">
        <v>1015</v>
      </c>
      <c r="B1006" s="2">
        <v>46267</v>
      </c>
      <c r="C1006" t="s">
        <v>2940</v>
      </c>
      <c r="D1006" t="s">
        <v>2942</v>
      </c>
      <c r="E1006" t="s">
        <v>3018</v>
      </c>
      <c r="F1006" s="3">
        <v>46267.409598002821</v>
      </c>
      <c r="G1006" s="3">
        <v>46267.414325883627</v>
      </c>
      <c r="H1006">
        <v>6.81</v>
      </c>
      <c r="I1006" t="s">
        <v>3146</v>
      </c>
      <c r="J1006" t="s">
        <v>3152</v>
      </c>
      <c r="K1006" t="s">
        <v>3175</v>
      </c>
      <c r="L1006" t="str">
        <f>_xlfn.XLOOKUP(C1006,[1]!Table1[Shift_ID],[1]!Table1[Shift_ID])</f>
        <v>S01</v>
      </c>
      <c r="M1006" t="str">
        <f>_xlfn.XLOOKUP(D1006,[2]!Table1[Machine_ID],[2]!Table1[Machine_ID])</f>
        <v>M001</v>
      </c>
      <c r="N1006" t="str">
        <f>_xlfn.XLOOKUP(E1006,[3]Sheet1!$A$2:$A$391,[3]Sheet1!$A$2:$A$391)</f>
        <v>PO10068</v>
      </c>
    </row>
    <row r="1007" spans="1:14" x14ac:dyDescent="0.2">
      <c r="A1007" t="s">
        <v>1016</v>
      </c>
      <c r="B1007" s="2">
        <v>46267</v>
      </c>
      <c r="C1007" t="s">
        <v>2940</v>
      </c>
      <c r="D1007" t="s">
        <v>2943</v>
      </c>
      <c r="E1007" t="s">
        <v>3018</v>
      </c>
      <c r="F1007" s="3">
        <v>46267.471617824922</v>
      </c>
      <c r="G1007" s="3">
        <v>46267.481705769198</v>
      </c>
      <c r="H1007">
        <v>14.53</v>
      </c>
      <c r="I1007" t="s">
        <v>3150</v>
      </c>
      <c r="J1007" t="s">
        <v>3166</v>
      </c>
      <c r="K1007" t="s">
        <v>3178</v>
      </c>
      <c r="L1007" t="str">
        <f>_xlfn.XLOOKUP(C1007,[1]!Table1[Shift_ID],[1]!Table1[Shift_ID])</f>
        <v>S01</v>
      </c>
      <c r="M1007" t="str">
        <f>_xlfn.XLOOKUP(D1007,[2]!Table1[Machine_ID],[2]!Table1[Machine_ID])</f>
        <v>M002</v>
      </c>
      <c r="N1007" t="str">
        <f>_xlfn.XLOOKUP(E1007,[3]Sheet1!$A$2:$A$391,[3]Sheet1!$A$2:$A$391)</f>
        <v>PO10068</v>
      </c>
    </row>
    <row r="1008" spans="1:14" x14ac:dyDescent="0.2">
      <c r="A1008" t="s">
        <v>1017</v>
      </c>
      <c r="B1008" s="2">
        <v>46267</v>
      </c>
      <c r="C1008" t="s">
        <v>2940</v>
      </c>
      <c r="D1008" t="s">
        <v>2944</v>
      </c>
      <c r="E1008" t="s">
        <v>3018</v>
      </c>
      <c r="F1008" s="3">
        <v>46267.289130737423</v>
      </c>
      <c r="G1008" s="3">
        <v>46267.297937678741</v>
      </c>
      <c r="H1008">
        <v>12.68</v>
      </c>
      <c r="I1008" t="s">
        <v>3148</v>
      </c>
      <c r="J1008" t="s">
        <v>3165</v>
      </c>
      <c r="K1008" t="s">
        <v>3183</v>
      </c>
      <c r="L1008" t="str">
        <f>_xlfn.XLOOKUP(C1008,[1]!Table1[Shift_ID],[1]!Table1[Shift_ID])</f>
        <v>S01</v>
      </c>
      <c r="M1008" t="str">
        <f>_xlfn.XLOOKUP(D1008,[2]!Table1[Machine_ID],[2]!Table1[Machine_ID])</f>
        <v>M003</v>
      </c>
      <c r="N1008" t="str">
        <f>_xlfn.XLOOKUP(E1008,[3]Sheet1!$A$2:$A$391,[3]Sheet1!$A$2:$A$391)</f>
        <v>PO10068</v>
      </c>
    </row>
    <row r="1009" spans="1:14" x14ac:dyDescent="0.2">
      <c r="A1009" t="s">
        <v>1018</v>
      </c>
      <c r="B1009" s="2">
        <v>46267</v>
      </c>
      <c r="C1009" t="s">
        <v>2940</v>
      </c>
      <c r="D1009" t="s">
        <v>2944</v>
      </c>
      <c r="E1009" t="s">
        <v>3018</v>
      </c>
      <c r="F1009" s="3">
        <v>46267.454910732347</v>
      </c>
      <c r="G1009" s="3">
        <v>46267.459950077537</v>
      </c>
      <c r="H1009">
        <v>7.26</v>
      </c>
      <c r="I1009" t="s">
        <v>3149</v>
      </c>
      <c r="J1009" t="s">
        <v>3162</v>
      </c>
      <c r="K1009" t="s">
        <v>3184</v>
      </c>
      <c r="L1009" t="str">
        <f>_xlfn.XLOOKUP(C1009,[1]!Table1[Shift_ID],[1]!Table1[Shift_ID])</f>
        <v>S01</v>
      </c>
      <c r="M1009" t="str">
        <f>_xlfn.XLOOKUP(D1009,[2]!Table1[Machine_ID],[2]!Table1[Machine_ID])</f>
        <v>M003</v>
      </c>
      <c r="N1009" t="str">
        <f>_xlfn.XLOOKUP(E1009,[3]Sheet1!$A$2:$A$391,[3]Sheet1!$A$2:$A$391)</f>
        <v>PO10068</v>
      </c>
    </row>
    <row r="1010" spans="1:14" x14ac:dyDescent="0.2">
      <c r="A1010" t="s">
        <v>1019</v>
      </c>
      <c r="B1010" s="2">
        <v>46267</v>
      </c>
      <c r="C1010" t="s">
        <v>2940</v>
      </c>
      <c r="D1010" t="s">
        <v>2945</v>
      </c>
      <c r="E1010" t="s">
        <v>3018</v>
      </c>
      <c r="F1010" s="3">
        <v>46267.402656739912</v>
      </c>
      <c r="G1010" s="3">
        <v>46267.411846698153</v>
      </c>
      <c r="H1010">
        <v>13.23</v>
      </c>
      <c r="I1010" t="s">
        <v>3147</v>
      </c>
      <c r="J1010" t="s">
        <v>3167</v>
      </c>
      <c r="K1010" t="s">
        <v>3185</v>
      </c>
      <c r="L1010" t="str">
        <f>_xlfn.XLOOKUP(C1010,[1]!Table1[Shift_ID],[1]!Table1[Shift_ID])</f>
        <v>S01</v>
      </c>
      <c r="M1010" t="str">
        <f>_xlfn.XLOOKUP(D1010,[2]!Table1[Machine_ID],[2]!Table1[Machine_ID])</f>
        <v>M004</v>
      </c>
      <c r="N1010" t="str">
        <f>_xlfn.XLOOKUP(E1010,[3]Sheet1!$A$2:$A$391,[3]Sheet1!$A$2:$A$391)</f>
        <v>PO10068</v>
      </c>
    </row>
    <row r="1011" spans="1:14" x14ac:dyDescent="0.2">
      <c r="A1011" t="s">
        <v>1020</v>
      </c>
      <c r="B1011" s="2">
        <v>46267</v>
      </c>
      <c r="C1011" t="s">
        <v>2940</v>
      </c>
      <c r="D1011" t="s">
        <v>2946</v>
      </c>
      <c r="E1011" t="s">
        <v>3018</v>
      </c>
      <c r="F1011" s="3">
        <v>46267.3984603184</v>
      </c>
      <c r="G1011" s="3">
        <v>46267.400162046702</v>
      </c>
      <c r="H1011">
        <v>2.4500000000000002</v>
      </c>
      <c r="I1011" t="s">
        <v>3146</v>
      </c>
      <c r="J1011" t="s">
        <v>3157</v>
      </c>
      <c r="K1011" t="s">
        <v>3171</v>
      </c>
      <c r="L1011" t="str">
        <f>_xlfn.XLOOKUP(C1011,[1]!Table1[Shift_ID],[1]!Table1[Shift_ID])</f>
        <v>S01</v>
      </c>
      <c r="M1011" t="str">
        <f>_xlfn.XLOOKUP(D1011,[2]!Table1[Machine_ID],[2]!Table1[Machine_ID])</f>
        <v>M005</v>
      </c>
      <c r="N1011" t="str">
        <f>_xlfn.XLOOKUP(E1011,[3]Sheet1!$A$2:$A$391,[3]Sheet1!$A$2:$A$391)</f>
        <v>PO10068</v>
      </c>
    </row>
    <row r="1012" spans="1:14" x14ac:dyDescent="0.2">
      <c r="A1012" t="s">
        <v>1021</v>
      </c>
      <c r="B1012" s="2">
        <v>46267</v>
      </c>
      <c r="C1012" t="s">
        <v>2940</v>
      </c>
      <c r="D1012" t="s">
        <v>2946</v>
      </c>
      <c r="E1012" t="s">
        <v>3018</v>
      </c>
      <c r="F1012" s="3">
        <v>46267.412185093228</v>
      </c>
      <c r="G1012" s="3">
        <v>46267.418150685371</v>
      </c>
      <c r="H1012">
        <v>8.59</v>
      </c>
      <c r="I1012" t="s">
        <v>3147</v>
      </c>
      <c r="J1012" t="s">
        <v>3154</v>
      </c>
      <c r="K1012" t="s">
        <v>3172</v>
      </c>
      <c r="L1012" t="str">
        <f>_xlfn.XLOOKUP(C1012,[1]!Table1[Shift_ID],[1]!Table1[Shift_ID])</f>
        <v>S01</v>
      </c>
      <c r="M1012" t="str">
        <f>_xlfn.XLOOKUP(D1012,[2]!Table1[Machine_ID],[2]!Table1[Machine_ID])</f>
        <v>M005</v>
      </c>
      <c r="N1012" t="str">
        <f>_xlfn.XLOOKUP(E1012,[3]Sheet1!$A$2:$A$391,[3]Sheet1!$A$2:$A$391)</f>
        <v>PO10068</v>
      </c>
    </row>
    <row r="1013" spans="1:14" x14ac:dyDescent="0.2">
      <c r="A1013" t="s">
        <v>1022</v>
      </c>
      <c r="B1013" s="2">
        <v>46267</v>
      </c>
      <c r="C1013" t="s">
        <v>2940</v>
      </c>
      <c r="D1013" t="s">
        <v>2947</v>
      </c>
      <c r="E1013" t="s">
        <v>3018</v>
      </c>
      <c r="F1013" s="3">
        <v>46267.402059184613</v>
      </c>
      <c r="G1013" s="3">
        <v>46267.415666591187</v>
      </c>
      <c r="H1013">
        <v>19.59</v>
      </c>
      <c r="I1013" t="s">
        <v>3147</v>
      </c>
      <c r="J1013" t="s">
        <v>3154</v>
      </c>
      <c r="K1013" t="s">
        <v>3185</v>
      </c>
      <c r="L1013" t="str">
        <f>_xlfn.XLOOKUP(C1013,[1]!Table1[Shift_ID],[1]!Table1[Shift_ID])</f>
        <v>S01</v>
      </c>
      <c r="M1013" t="str">
        <f>_xlfn.XLOOKUP(D1013,[2]!Table1[Machine_ID],[2]!Table1[Machine_ID])</f>
        <v>M006</v>
      </c>
      <c r="N1013" t="str">
        <f>_xlfn.XLOOKUP(E1013,[3]Sheet1!$A$2:$A$391,[3]Sheet1!$A$2:$A$391)</f>
        <v>PO10068</v>
      </c>
    </row>
    <row r="1014" spans="1:14" x14ac:dyDescent="0.2">
      <c r="A1014" t="s">
        <v>1023</v>
      </c>
      <c r="B1014" s="2">
        <v>46267</v>
      </c>
      <c r="C1014" t="s">
        <v>2940</v>
      </c>
      <c r="D1014" t="s">
        <v>2947</v>
      </c>
      <c r="E1014" t="s">
        <v>3018</v>
      </c>
      <c r="F1014" s="3">
        <v>46267.402678740364</v>
      </c>
      <c r="G1014" s="3">
        <v>46267.405302075073</v>
      </c>
      <c r="H1014">
        <v>3.78</v>
      </c>
      <c r="I1014" t="s">
        <v>3150</v>
      </c>
      <c r="J1014" t="s">
        <v>3160</v>
      </c>
      <c r="K1014" t="s">
        <v>3178</v>
      </c>
      <c r="L1014" t="str">
        <f>_xlfn.XLOOKUP(C1014,[1]!Table1[Shift_ID],[1]!Table1[Shift_ID])</f>
        <v>S01</v>
      </c>
      <c r="M1014" t="str">
        <f>_xlfn.XLOOKUP(D1014,[2]!Table1[Machine_ID],[2]!Table1[Machine_ID])</f>
        <v>M006</v>
      </c>
      <c r="N1014" t="str">
        <f>_xlfn.XLOOKUP(E1014,[3]Sheet1!$A$2:$A$391,[3]Sheet1!$A$2:$A$391)</f>
        <v>PO10068</v>
      </c>
    </row>
    <row r="1015" spans="1:14" x14ac:dyDescent="0.2">
      <c r="A1015" t="s">
        <v>1024</v>
      </c>
      <c r="B1015" s="2">
        <v>46267</v>
      </c>
      <c r="C1015" t="s">
        <v>2940</v>
      </c>
      <c r="D1015" t="s">
        <v>2947</v>
      </c>
      <c r="E1015" t="s">
        <v>3018</v>
      </c>
      <c r="F1015" s="3">
        <v>46267.430941044368</v>
      </c>
      <c r="G1015" s="3">
        <v>46267.433397304972</v>
      </c>
      <c r="H1015">
        <v>3.54</v>
      </c>
      <c r="I1015" t="s">
        <v>3147</v>
      </c>
      <c r="J1015" t="s">
        <v>3154</v>
      </c>
      <c r="K1015" t="s">
        <v>3185</v>
      </c>
      <c r="L1015" t="str">
        <f>_xlfn.XLOOKUP(C1015,[1]!Table1[Shift_ID],[1]!Table1[Shift_ID])</f>
        <v>S01</v>
      </c>
      <c r="M1015" t="str">
        <f>_xlfn.XLOOKUP(D1015,[2]!Table1[Machine_ID],[2]!Table1[Machine_ID])</f>
        <v>M006</v>
      </c>
      <c r="N1015" t="str">
        <f>_xlfn.XLOOKUP(E1015,[3]Sheet1!$A$2:$A$391,[3]Sheet1!$A$2:$A$391)</f>
        <v>PO10068</v>
      </c>
    </row>
    <row r="1016" spans="1:14" x14ac:dyDescent="0.2">
      <c r="A1016" t="s">
        <v>1025</v>
      </c>
      <c r="B1016" s="2">
        <v>46267</v>
      </c>
      <c r="C1016" t="s">
        <v>2940</v>
      </c>
      <c r="D1016" t="s">
        <v>2947</v>
      </c>
      <c r="E1016" t="s">
        <v>3018</v>
      </c>
      <c r="F1016" s="3">
        <v>46267.433880465273</v>
      </c>
      <c r="G1016" s="3">
        <v>46267.442767617213</v>
      </c>
      <c r="H1016">
        <v>12.8</v>
      </c>
      <c r="I1016" t="s">
        <v>3149</v>
      </c>
      <c r="J1016" t="s">
        <v>3168</v>
      </c>
      <c r="K1016" t="s">
        <v>3184</v>
      </c>
      <c r="L1016" t="str">
        <f>_xlfn.XLOOKUP(C1016,[1]!Table1[Shift_ID],[1]!Table1[Shift_ID])</f>
        <v>S01</v>
      </c>
      <c r="M1016" t="str">
        <f>_xlfn.XLOOKUP(D1016,[2]!Table1[Machine_ID],[2]!Table1[Machine_ID])</f>
        <v>M006</v>
      </c>
      <c r="N1016" t="str">
        <f>_xlfn.XLOOKUP(E1016,[3]Sheet1!$A$2:$A$391,[3]Sheet1!$A$2:$A$391)</f>
        <v>PO10068</v>
      </c>
    </row>
    <row r="1017" spans="1:14" x14ac:dyDescent="0.2">
      <c r="A1017" t="s">
        <v>1026</v>
      </c>
      <c r="B1017" s="2">
        <v>46267</v>
      </c>
      <c r="C1017" t="s">
        <v>2940</v>
      </c>
      <c r="D1017" t="s">
        <v>2948</v>
      </c>
      <c r="E1017" t="s">
        <v>3018</v>
      </c>
      <c r="F1017" s="3">
        <v>46267.331538182523</v>
      </c>
      <c r="G1017" s="3">
        <v>46267.343177754723</v>
      </c>
      <c r="H1017">
        <v>16.760000000000002</v>
      </c>
      <c r="I1017" t="s">
        <v>3149</v>
      </c>
      <c r="J1017" t="s">
        <v>3162</v>
      </c>
      <c r="K1017" t="s">
        <v>3176</v>
      </c>
      <c r="L1017" t="str">
        <f>_xlfn.XLOOKUP(C1017,[1]!Table1[Shift_ID],[1]!Table1[Shift_ID])</f>
        <v>S01</v>
      </c>
      <c r="M1017" t="str">
        <f>_xlfn.XLOOKUP(D1017,[2]!Table1[Machine_ID],[2]!Table1[Machine_ID])</f>
        <v>M007</v>
      </c>
      <c r="N1017" t="str">
        <f>_xlfn.XLOOKUP(E1017,[3]Sheet1!$A$2:$A$391,[3]Sheet1!$A$2:$A$391)</f>
        <v>PO10068</v>
      </c>
    </row>
    <row r="1018" spans="1:14" x14ac:dyDescent="0.2">
      <c r="A1018" t="s">
        <v>1027</v>
      </c>
      <c r="B1018" s="2">
        <v>46267</v>
      </c>
      <c r="C1018" t="s">
        <v>2940</v>
      </c>
      <c r="D1018" t="s">
        <v>2948</v>
      </c>
      <c r="E1018" t="s">
        <v>3018</v>
      </c>
      <c r="F1018" s="3">
        <v>46267.391852096087</v>
      </c>
      <c r="G1018" s="3">
        <v>46267.393914665408</v>
      </c>
      <c r="H1018">
        <v>2.97</v>
      </c>
      <c r="I1018" t="s">
        <v>3149</v>
      </c>
      <c r="J1018" t="s">
        <v>3158</v>
      </c>
      <c r="K1018" t="s">
        <v>3182</v>
      </c>
      <c r="L1018" t="str">
        <f>_xlfn.XLOOKUP(C1018,[1]!Table1[Shift_ID],[1]!Table1[Shift_ID])</f>
        <v>S01</v>
      </c>
      <c r="M1018" t="str">
        <f>_xlfn.XLOOKUP(D1018,[2]!Table1[Machine_ID],[2]!Table1[Machine_ID])</f>
        <v>M007</v>
      </c>
      <c r="N1018" t="str">
        <f>_xlfn.XLOOKUP(E1018,[3]Sheet1!$A$2:$A$391,[3]Sheet1!$A$2:$A$391)</f>
        <v>PO10068</v>
      </c>
    </row>
    <row r="1019" spans="1:14" x14ac:dyDescent="0.2">
      <c r="A1019" t="s">
        <v>1028</v>
      </c>
      <c r="B1019" s="2">
        <v>46267</v>
      </c>
      <c r="C1019" t="s">
        <v>2940</v>
      </c>
      <c r="D1019" t="s">
        <v>2948</v>
      </c>
      <c r="E1019" t="s">
        <v>3018</v>
      </c>
      <c r="F1019" s="3">
        <v>46267.463352283608</v>
      </c>
      <c r="G1019" s="3">
        <v>46267.468897912528</v>
      </c>
      <c r="H1019">
        <v>7.99</v>
      </c>
      <c r="I1019" t="s">
        <v>3148</v>
      </c>
      <c r="J1019" t="s">
        <v>3164</v>
      </c>
      <c r="K1019" t="s">
        <v>3173</v>
      </c>
      <c r="L1019" t="str">
        <f>_xlfn.XLOOKUP(C1019,[1]!Table1[Shift_ID],[1]!Table1[Shift_ID])</f>
        <v>S01</v>
      </c>
      <c r="M1019" t="str">
        <f>_xlfn.XLOOKUP(D1019,[2]!Table1[Machine_ID],[2]!Table1[Machine_ID])</f>
        <v>M007</v>
      </c>
      <c r="N1019" t="str">
        <f>_xlfn.XLOOKUP(E1019,[3]Sheet1!$A$2:$A$391,[3]Sheet1!$A$2:$A$391)</f>
        <v>PO10068</v>
      </c>
    </row>
    <row r="1020" spans="1:14" x14ac:dyDescent="0.2">
      <c r="A1020" t="s">
        <v>1029</v>
      </c>
      <c r="B1020" s="2">
        <v>46267</v>
      </c>
      <c r="C1020" t="s">
        <v>2940</v>
      </c>
      <c r="D1020" t="s">
        <v>2949</v>
      </c>
      <c r="E1020" t="s">
        <v>3018</v>
      </c>
      <c r="F1020" s="3">
        <v>46267.309243262222</v>
      </c>
      <c r="G1020" s="3">
        <v>46267.315605684933</v>
      </c>
      <c r="H1020">
        <v>9.16</v>
      </c>
      <c r="I1020" t="s">
        <v>3146</v>
      </c>
      <c r="J1020" t="s">
        <v>3157</v>
      </c>
      <c r="K1020" t="s">
        <v>3171</v>
      </c>
      <c r="L1020" t="str">
        <f>_xlfn.XLOOKUP(C1020,[1]!Table1[Shift_ID],[1]!Table1[Shift_ID])</f>
        <v>S01</v>
      </c>
      <c r="M1020" t="str">
        <f>_xlfn.XLOOKUP(D1020,[2]!Table1[Machine_ID],[2]!Table1[Machine_ID])</f>
        <v>M008</v>
      </c>
      <c r="N1020" t="str">
        <f>_xlfn.XLOOKUP(E1020,[3]Sheet1!$A$2:$A$391,[3]Sheet1!$A$2:$A$391)</f>
        <v>PO10068</v>
      </c>
    </row>
    <row r="1021" spans="1:14" x14ac:dyDescent="0.2">
      <c r="A1021" t="s">
        <v>1030</v>
      </c>
      <c r="B1021" s="2">
        <v>46267</v>
      </c>
      <c r="C1021" t="s">
        <v>2941</v>
      </c>
      <c r="D1021" t="s">
        <v>2942</v>
      </c>
      <c r="E1021" t="s">
        <v>3019</v>
      </c>
      <c r="F1021" s="3">
        <v>46267.625615780438</v>
      </c>
      <c r="G1021" s="3">
        <v>46267.632116514673</v>
      </c>
      <c r="H1021">
        <v>9.36</v>
      </c>
      <c r="I1021" t="s">
        <v>3151</v>
      </c>
      <c r="J1021" t="s">
        <v>3170</v>
      </c>
      <c r="K1021" t="s">
        <v>3188</v>
      </c>
      <c r="L1021" t="str">
        <f>_xlfn.XLOOKUP(C1021,[1]!Table1[Shift_ID],[1]!Table1[Shift_ID])</f>
        <v>S02</v>
      </c>
      <c r="M1021" t="str">
        <f>_xlfn.XLOOKUP(D1021,[2]!Table1[Machine_ID],[2]!Table1[Machine_ID])</f>
        <v>M001</v>
      </c>
      <c r="N1021" t="str">
        <f>_xlfn.XLOOKUP(E1021,[3]Sheet1!$A$2:$A$391,[3]Sheet1!$A$2:$A$391)</f>
        <v>PO10069</v>
      </c>
    </row>
    <row r="1022" spans="1:14" x14ac:dyDescent="0.2">
      <c r="A1022" t="s">
        <v>1031</v>
      </c>
      <c r="B1022" s="2">
        <v>46267</v>
      </c>
      <c r="C1022" t="s">
        <v>2941</v>
      </c>
      <c r="D1022" t="s">
        <v>2943</v>
      </c>
      <c r="E1022" t="s">
        <v>3019</v>
      </c>
      <c r="F1022" s="3">
        <v>46267.771159487937</v>
      </c>
      <c r="G1022" s="3">
        <v>46267.775228590901</v>
      </c>
      <c r="H1022">
        <v>5.86</v>
      </c>
      <c r="I1022" t="s">
        <v>3150</v>
      </c>
      <c r="J1022" t="s">
        <v>3160</v>
      </c>
      <c r="K1022" t="s">
        <v>3178</v>
      </c>
      <c r="L1022" t="str">
        <f>_xlfn.XLOOKUP(C1022,[1]!Table1[Shift_ID],[1]!Table1[Shift_ID])</f>
        <v>S02</v>
      </c>
      <c r="M1022" t="str">
        <f>_xlfn.XLOOKUP(D1022,[2]!Table1[Machine_ID],[2]!Table1[Machine_ID])</f>
        <v>M002</v>
      </c>
      <c r="N1022" t="str">
        <f>_xlfn.XLOOKUP(E1022,[3]Sheet1!$A$2:$A$391,[3]Sheet1!$A$2:$A$391)</f>
        <v>PO10069</v>
      </c>
    </row>
    <row r="1023" spans="1:14" x14ac:dyDescent="0.2">
      <c r="A1023" t="s">
        <v>1032</v>
      </c>
      <c r="B1023" s="2">
        <v>46267</v>
      </c>
      <c r="C1023" t="s">
        <v>2941</v>
      </c>
      <c r="D1023" t="s">
        <v>2943</v>
      </c>
      <c r="E1023" t="s">
        <v>3019</v>
      </c>
      <c r="F1023" s="3">
        <v>46267.7961128561</v>
      </c>
      <c r="G1023" s="3">
        <v>46267.80115119947</v>
      </c>
      <c r="H1023">
        <v>7.26</v>
      </c>
      <c r="I1023" t="s">
        <v>3148</v>
      </c>
      <c r="J1023" t="s">
        <v>3155</v>
      </c>
      <c r="K1023" t="s">
        <v>3173</v>
      </c>
      <c r="L1023" t="str">
        <f>_xlfn.XLOOKUP(C1023,[1]!Table1[Shift_ID],[1]!Table1[Shift_ID])</f>
        <v>S02</v>
      </c>
      <c r="M1023" t="str">
        <f>_xlfn.XLOOKUP(D1023,[2]!Table1[Machine_ID],[2]!Table1[Machine_ID])</f>
        <v>M002</v>
      </c>
      <c r="N1023" t="str">
        <f>_xlfn.XLOOKUP(E1023,[3]Sheet1!$A$2:$A$391,[3]Sheet1!$A$2:$A$391)</f>
        <v>PO10069</v>
      </c>
    </row>
    <row r="1024" spans="1:14" x14ac:dyDescent="0.2">
      <c r="A1024" t="s">
        <v>1033</v>
      </c>
      <c r="B1024" s="2">
        <v>46267</v>
      </c>
      <c r="C1024" t="s">
        <v>2941</v>
      </c>
      <c r="D1024" t="s">
        <v>2944</v>
      </c>
      <c r="E1024" t="s">
        <v>3019</v>
      </c>
      <c r="F1024" s="3">
        <v>46267.58781743257</v>
      </c>
      <c r="G1024" s="3">
        <v>46267.596540002989</v>
      </c>
      <c r="H1024">
        <v>12.56</v>
      </c>
      <c r="I1024" t="s">
        <v>3150</v>
      </c>
      <c r="J1024" t="s">
        <v>3163</v>
      </c>
      <c r="K1024" t="s">
        <v>3178</v>
      </c>
      <c r="L1024" t="str">
        <f>_xlfn.XLOOKUP(C1024,[1]!Table1[Shift_ID],[1]!Table1[Shift_ID])</f>
        <v>S02</v>
      </c>
      <c r="M1024" t="str">
        <f>_xlfn.XLOOKUP(D1024,[2]!Table1[Machine_ID],[2]!Table1[Machine_ID])</f>
        <v>M003</v>
      </c>
      <c r="N1024" t="str">
        <f>_xlfn.XLOOKUP(E1024,[3]Sheet1!$A$2:$A$391,[3]Sheet1!$A$2:$A$391)</f>
        <v>PO10069</v>
      </c>
    </row>
    <row r="1025" spans="1:14" x14ac:dyDescent="0.2">
      <c r="A1025" t="s">
        <v>1034</v>
      </c>
      <c r="B1025" s="2">
        <v>46267</v>
      </c>
      <c r="C1025" t="s">
        <v>2941</v>
      </c>
      <c r="D1025" t="s">
        <v>2944</v>
      </c>
      <c r="E1025" t="s">
        <v>3019</v>
      </c>
      <c r="F1025" s="3">
        <v>46267.779365496513</v>
      </c>
      <c r="G1025" s="3">
        <v>46267.78613703233</v>
      </c>
      <c r="H1025">
        <v>9.75</v>
      </c>
      <c r="I1025" t="s">
        <v>3147</v>
      </c>
      <c r="J1025" t="s">
        <v>3167</v>
      </c>
      <c r="K1025" t="s">
        <v>3186</v>
      </c>
      <c r="L1025" t="str">
        <f>_xlfn.XLOOKUP(C1025,[1]!Table1[Shift_ID],[1]!Table1[Shift_ID])</f>
        <v>S02</v>
      </c>
      <c r="M1025" t="str">
        <f>_xlfn.XLOOKUP(D1025,[2]!Table1[Machine_ID],[2]!Table1[Machine_ID])</f>
        <v>M003</v>
      </c>
      <c r="N1025" t="str">
        <f>_xlfn.XLOOKUP(E1025,[3]Sheet1!$A$2:$A$391,[3]Sheet1!$A$2:$A$391)</f>
        <v>PO10069</v>
      </c>
    </row>
    <row r="1026" spans="1:14" x14ac:dyDescent="0.2">
      <c r="A1026" t="s">
        <v>1035</v>
      </c>
      <c r="B1026" s="2">
        <v>46267</v>
      </c>
      <c r="C1026" t="s">
        <v>2941</v>
      </c>
      <c r="D1026" t="s">
        <v>2945</v>
      </c>
      <c r="E1026" t="s">
        <v>3019</v>
      </c>
      <c r="F1026" s="3">
        <v>46267.81679259536</v>
      </c>
      <c r="G1026" s="3">
        <v>46267.826048011193</v>
      </c>
      <c r="H1026">
        <v>13.33</v>
      </c>
      <c r="I1026" t="s">
        <v>3147</v>
      </c>
      <c r="J1026" t="s">
        <v>3153</v>
      </c>
      <c r="K1026" t="s">
        <v>3172</v>
      </c>
      <c r="L1026" t="str">
        <f>_xlfn.XLOOKUP(C1026,[1]!Table1[Shift_ID],[1]!Table1[Shift_ID])</f>
        <v>S02</v>
      </c>
      <c r="M1026" t="str">
        <f>_xlfn.XLOOKUP(D1026,[2]!Table1[Machine_ID],[2]!Table1[Machine_ID])</f>
        <v>M004</v>
      </c>
      <c r="N1026" t="str">
        <f>_xlfn.XLOOKUP(E1026,[3]Sheet1!$A$2:$A$391,[3]Sheet1!$A$2:$A$391)</f>
        <v>PO10069</v>
      </c>
    </row>
    <row r="1027" spans="1:14" x14ac:dyDescent="0.2">
      <c r="A1027" t="s">
        <v>1036</v>
      </c>
      <c r="B1027" s="2">
        <v>46267</v>
      </c>
      <c r="C1027" t="s">
        <v>2941</v>
      </c>
      <c r="D1027" t="s">
        <v>2946</v>
      </c>
      <c r="E1027" t="s">
        <v>3019</v>
      </c>
      <c r="F1027" s="3">
        <v>46267.675245094142</v>
      </c>
      <c r="G1027" s="3">
        <v>46267.686860356363</v>
      </c>
      <c r="H1027">
        <v>16.73</v>
      </c>
      <c r="I1027" t="s">
        <v>3151</v>
      </c>
      <c r="J1027" t="s">
        <v>3169</v>
      </c>
      <c r="K1027" t="s">
        <v>3181</v>
      </c>
      <c r="L1027" t="str">
        <f>_xlfn.XLOOKUP(C1027,[1]!Table1[Shift_ID],[1]!Table1[Shift_ID])</f>
        <v>S02</v>
      </c>
      <c r="M1027" t="str">
        <f>_xlfn.XLOOKUP(D1027,[2]!Table1[Machine_ID],[2]!Table1[Machine_ID])</f>
        <v>M005</v>
      </c>
      <c r="N1027" t="str">
        <f>_xlfn.XLOOKUP(E1027,[3]Sheet1!$A$2:$A$391,[3]Sheet1!$A$2:$A$391)</f>
        <v>PO10069</v>
      </c>
    </row>
    <row r="1028" spans="1:14" x14ac:dyDescent="0.2">
      <c r="A1028" t="s">
        <v>1037</v>
      </c>
      <c r="B1028" s="2">
        <v>46267</v>
      </c>
      <c r="C1028" t="s">
        <v>2941</v>
      </c>
      <c r="D1028" t="s">
        <v>2947</v>
      </c>
      <c r="E1028" t="s">
        <v>3019</v>
      </c>
      <c r="F1028" s="3">
        <v>46267.787440177999</v>
      </c>
      <c r="G1028" s="3">
        <v>46267.81025069399</v>
      </c>
      <c r="H1028">
        <v>32.85</v>
      </c>
      <c r="I1028" t="s">
        <v>3147</v>
      </c>
      <c r="J1028" t="s">
        <v>3154</v>
      </c>
      <c r="K1028" t="s">
        <v>3186</v>
      </c>
      <c r="L1028" t="str">
        <f>_xlfn.XLOOKUP(C1028,[1]!Table1[Shift_ID],[1]!Table1[Shift_ID])</f>
        <v>S02</v>
      </c>
      <c r="M1028" t="str">
        <f>_xlfn.XLOOKUP(D1028,[2]!Table1[Machine_ID],[2]!Table1[Machine_ID])</f>
        <v>M006</v>
      </c>
      <c r="N1028" t="str">
        <f>_xlfn.XLOOKUP(E1028,[3]Sheet1!$A$2:$A$391,[3]Sheet1!$A$2:$A$391)</f>
        <v>PO10069</v>
      </c>
    </row>
    <row r="1029" spans="1:14" x14ac:dyDescent="0.2">
      <c r="A1029" t="s">
        <v>1038</v>
      </c>
      <c r="B1029" s="2">
        <v>46267</v>
      </c>
      <c r="C1029" t="s">
        <v>2941</v>
      </c>
      <c r="D1029" t="s">
        <v>2947</v>
      </c>
      <c r="E1029" t="s">
        <v>3019</v>
      </c>
      <c r="F1029" s="3">
        <v>46267.881415952543</v>
      </c>
      <c r="G1029" s="3">
        <v>46267.88345828095</v>
      </c>
      <c r="H1029">
        <v>2.94</v>
      </c>
      <c r="I1029" t="s">
        <v>3149</v>
      </c>
      <c r="J1029" t="s">
        <v>3162</v>
      </c>
      <c r="K1029" t="s">
        <v>3182</v>
      </c>
      <c r="L1029" t="str">
        <f>_xlfn.XLOOKUP(C1029,[1]!Table1[Shift_ID],[1]!Table1[Shift_ID])</f>
        <v>S02</v>
      </c>
      <c r="M1029" t="str">
        <f>_xlfn.XLOOKUP(D1029,[2]!Table1[Machine_ID],[2]!Table1[Machine_ID])</f>
        <v>M006</v>
      </c>
      <c r="N1029" t="str">
        <f>_xlfn.XLOOKUP(E1029,[3]Sheet1!$A$2:$A$391,[3]Sheet1!$A$2:$A$391)</f>
        <v>PO10069</v>
      </c>
    </row>
    <row r="1030" spans="1:14" x14ac:dyDescent="0.2">
      <c r="A1030" t="s">
        <v>1039</v>
      </c>
      <c r="B1030" s="2">
        <v>46267</v>
      </c>
      <c r="C1030" t="s">
        <v>2941</v>
      </c>
      <c r="D1030" t="s">
        <v>2948</v>
      </c>
      <c r="E1030" t="s">
        <v>3019</v>
      </c>
      <c r="F1030" s="3">
        <v>46267.676080770092</v>
      </c>
      <c r="G1030" s="3">
        <v>46267.695757094487</v>
      </c>
      <c r="H1030">
        <v>28.33</v>
      </c>
      <c r="I1030" t="s">
        <v>3147</v>
      </c>
      <c r="J1030" t="s">
        <v>3153</v>
      </c>
      <c r="K1030" t="s">
        <v>3186</v>
      </c>
      <c r="L1030" t="str">
        <f>_xlfn.XLOOKUP(C1030,[1]!Table1[Shift_ID],[1]!Table1[Shift_ID])</f>
        <v>S02</v>
      </c>
      <c r="M1030" t="str">
        <f>_xlfn.XLOOKUP(D1030,[2]!Table1[Machine_ID],[2]!Table1[Machine_ID])</f>
        <v>M007</v>
      </c>
      <c r="N1030" t="str">
        <f>_xlfn.XLOOKUP(E1030,[3]Sheet1!$A$2:$A$391,[3]Sheet1!$A$2:$A$391)</f>
        <v>PO10069</v>
      </c>
    </row>
    <row r="1031" spans="1:14" x14ac:dyDescent="0.2">
      <c r="A1031" t="s">
        <v>1040</v>
      </c>
      <c r="B1031" s="2">
        <v>46267</v>
      </c>
      <c r="C1031" t="s">
        <v>2941</v>
      </c>
      <c r="D1031" t="s">
        <v>2949</v>
      </c>
      <c r="E1031" t="s">
        <v>3019</v>
      </c>
      <c r="F1031" s="3">
        <v>46267.809420099707</v>
      </c>
      <c r="G1031" s="3">
        <v>46267.816389876323</v>
      </c>
      <c r="H1031">
        <v>10.039999999999999</v>
      </c>
      <c r="I1031" t="s">
        <v>3151</v>
      </c>
      <c r="J1031" t="s">
        <v>3169</v>
      </c>
      <c r="K1031" t="s">
        <v>3188</v>
      </c>
      <c r="L1031" t="str">
        <f>_xlfn.XLOOKUP(C1031,[1]!Table1[Shift_ID],[1]!Table1[Shift_ID])</f>
        <v>S02</v>
      </c>
      <c r="M1031" t="str">
        <f>_xlfn.XLOOKUP(D1031,[2]!Table1[Machine_ID],[2]!Table1[Machine_ID])</f>
        <v>M008</v>
      </c>
      <c r="N1031" t="str">
        <f>_xlfn.XLOOKUP(E1031,[3]Sheet1!$A$2:$A$391,[3]Sheet1!$A$2:$A$391)</f>
        <v>PO10069</v>
      </c>
    </row>
    <row r="1032" spans="1:14" x14ac:dyDescent="0.2">
      <c r="A1032" t="s">
        <v>1041</v>
      </c>
      <c r="B1032" s="2">
        <v>46268</v>
      </c>
      <c r="C1032" t="s">
        <v>2939</v>
      </c>
      <c r="D1032" t="s">
        <v>2942</v>
      </c>
      <c r="E1032" t="s">
        <v>3020</v>
      </c>
      <c r="F1032" s="3">
        <v>46269.091895225247</v>
      </c>
      <c r="G1032" s="3">
        <v>46269.099408745868</v>
      </c>
      <c r="H1032">
        <v>10.82</v>
      </c>
      <c r="I1032" t="s">
        <v>3147</v>
      </c>
      <c r="J1032" t="s">
        <v>3167</v>
      </c>
      <c r="K1032" t="s">
        <v>3172</v>
      </c>
      <c r="L1032" t="str">
        <f>_xlfn.XLOOKUP(C1032,[1]!Table1[Shift_ID],[1]!Table1[Shift_ID])</f>
        <v>S03</v>
      </c>
      <c r="M1032" t="str">
        <f>_xlfn.XLOOKUP(D1032,[2]!Table1[Machine_ID],[2]!Table1[Machine_ID])</f>
        <v>M001</v>
      </c>
      <c r="N1032" t="str">
        <f>_xlfn.XLOOKUP(E1032,[3]Sheet1!$A$2:$A$391,[3]Sheet1!$A$2:$A$391)</f>
        <v>PO10070</v>
      </c>
    </row>
    <row r="1033" spans="1:14" x14ac:dyDescent="0.2">
      <c r="A1033" t="s">
        <v>1042</v>
      </c>
      <c r="B1033" s="2">
        <v>46268</v>
      </c>
      <c r="C1033" t="s">
        <v>2939</v>
      </c>
      <c r="D1033" t="s">
        <v>2943</v>
      </c>
      <c r="E1033" t="s">
        <v>3020</v>
      </c>
      <c r="F1033" s="3">
        <v>46269.167169278197</v>
      </c>
      <c r="G1033" s="3">
        <v>46269.174443110613</v>
      </c>
      <c r="H1033">
        <v>10.47</v>
      </c>
      <c r="I1033" t="s">
        <v>3148</v>
      </c>
      <c r="J1033" t="s">
        <v>3164</v>
      </c>
      <c r="K1033" t="s">
        <v>3183</v>
      </c>
      <c r="L1033" t="str">
        <f>_xlfn.XLOOKUP(C1033,[1]!Table1[Shift_ID],[1]!Table1[Shift_ID])</f>
        <v>S03</v>
      </c>
      <c r="M1033" t="str">
        <f>_xlfn.XLOOKUP(D1033,[2]!Table1[Machine_ID],[2]!Table1[Machine_ID])</f>
        <v>M002</v>
      </c>
      <c r="N1033" t="str">
        <f>_xlfn.XLOOKUP(E1033,[3]Sheet1!$A$2:$A$391,[3]Sheet1!$A$2:$A$391)</f>
        <v>PO10070</v>
      </c>
    </row>
    <row r="1034" spans="1:14" x14ac:dyDescent="0.2">
      <c r="A1034" t="s">
        <v>1043</v>
      </c>
      <c r="B1034" s="2">
        <v>46268</v>
      </c>
      <c r="C1034" t="s">
        <v>2939</v>
      </c>
      <c r="D1034" t="s">
        <v>2944</v>
      </c>
      <c r="E1034" t="s">
        <v>3020</v>
      </c>
      <c r="F1034" s="3">
        <v>46268.966657955913</v>
      </c>
      <c r="G1034" s="3">
        <v>46268.968521303701</v>
      </c>
      <c r="H1034">
        <v>2.68</v>
      </c>
      <c r="I1034" t="s">
        <v>3150</v>
      </c>
      <c r="J1034" t="s">
        <v>3166</v>
      </c>
      <c r="K1034" t="s">
        <v>3178</v>
      </c>
      <c r="L1034" t="str">
        <f>_xlfn.XLOOKUP(C1034,[1]!Table1[Shift_ID],[1]!Table1[Shift_ID])</f>
        <v>S03</v>
      </c>
      <c r="M1034" t="str">
        <f>_xlfn.XLOOKUP(D1034,[2]!Table1[Machine_ID],[2]!Table1[Machine_ID])</f>
        <v>M003</v>
      </c>
      <c r="N1034" t="str">
        <f>_xlfn.XLOOKUP(E1034,[3]Sheet1!$A$2:$A$391,[3]Sheet1!$A$2:$A$391)</f>
        <v>PO10070</v>
      </c>
    </row>
    <row r="1035" spans="1:14" x14ac:dyDescent="0.2">
      <c r="A1035" t="s">
        <v>1044</v>
      </c>
      <c r="B1035" s="2">
        <v>46268</v>
      </c>
      <c r="C1035" t="s">
        <v>2939</v>
      </c>
      <c r="D1035" t="s">
        <v>2944</v>
      </c>
      <c r="E1035" t="s">
        <v>3020</v>
      </c>
      <c r="F1035" s="3">
        <v>46269.020758879458</v>
      </c>
      <c r="G1035" s="3">
        <v>46269.025071267941</v>
      </c>
      <c r="H1035">
        <v>6.21</v>
      </c>
      <c r="I1035" t="s">
        <v>3147</v>
      </c>
      <c r="J1035" t="s">
        <v>3167</v>
      </c>
      <c r="K1035" t="s">
        <v>3185</v>
      </c>
      <c r="L1035" t="str">
        <f>_xlfn.XLOOKUP(C1035,[1]!Table1[Shift_ID],[1]!Table1[Shift_ID])</f>
        <v>S03</v>
      </c>
      <c r="M1035" t="str">
        <f>_xlfn.XLOOKUP(D1035,[2]!Table1[Machine_ID],[2]!Table1[Machine_ID])</f>
        <v>M003</v>
      </c>
      <c r="N1035" t="str">
        <f>_xlfn.XLOOKUP(E1035,[3]Sheet1!$A$2:$A$391,[3]Sheet1!$A$2:$A$391)</f>
        <v>PO10070</v>
      </c>
    </row>
    <row r="1036" spans="1:14" x14ac:dyDescent="0.2">
      <c r="A1036" t="s">
        <v>1045</v>
      </c>
      <c r="B1036" s="2">
        <v>46268</v>
      </c>
      <c r="C1036" t="s">
        <v>2939</v>
      </c>
      <c r="D1036" t="s">
        <v>2944</v>
      </c>
      <c r="E1036" t="s">
        <v>3020</v>
      </c>
      <c r="F1036" s="3">
        <v>46269.113038928277</v>
      </c>
      <c r="G1036" s="3">
        <v>46269.11601533596</v>
      </c>
      <c r="H1036">
        <v>4.29</v>
      </c>
      <c r="I1036" t="s">
        <v>3147</v>
      </c>
      <c r="J1036" t="s">
        <v>3167</v>
      </c>
      <c r="K1036" t="s">
        <v>3185</v>
      </c>
      <c r="L1036" t="str">
        <f>_xlfn.XLOOKUP(C1036,[1]!Table1[Shift_ID],[1]!Table1[Shift_ID])</f>
        <v>S03</v>
      </c>
      <c r="M1036" t="str">
        <f>_xlfn.XLOOKUP(D1036,[2]!Table1[Machine_ID],[2]!Table1[Machine_ID])</f>
        <v>M003</v>
      </c>
      <c r="N1036" t="str">
        <f>_xlfn.XLOOKUP(E1036,[3]Sheet1!$A$2:$A$391,[3]Sheet1!$A$2:$A$391)</f>
        <v>PO10070</v>
      </c>
    </row>
    <row r="1037" spans="1:14" x14ac:dyDescent="0.2">
      <c r="A1037" t="s">
        <v>1046</v>
      </c>
      <c r="B1037" s="2">
        <v>46268</v>
      </c>
      <c r="C1037" t="s">
        <v>2939</v>
      </c>
      <c r="D1037" t="s">
        <v>2944</v>
      </c>
      <c r="E1037" t="s">
        <v>3020</v>
      </c>
      <c r="F1037" s="3">
        <v>46269.23153426616</v>
      </c>
      <c r="G1037" s="3">
        <v>46269.236386323289</v>
      </c>
      <c r="H1037">
        <v>6.99</v>
      </c>
      <c r="I1037" t="s">
        <v>3147</v>
      </c>
      <c r="J1037" t="s">
        <v>3154</v>
      </c>
      <c r="K1037" t="s">
        <v>3186</v>
      </c>
      <c r="L1037" t="str">
        <f>_xlfn.XLOOKUP(C1037,[1]!Table1[Shift_ID],[1]!Table1[Shift_ID])</f>
        <v>S03</v>
      </c>
      <c r="M1037" t="str">
        <f>_xlfn.XLOOKUP(D1037,[2]!Table1[Machine_ID],[2]!Table1[Machine_ID])</f>
        <v>M003</v>
      </c>
      <c r="N1037" t="str">
        <f>_xlfn.XLOOKUP(E1037,[3]Sheet1!$A$2:$A$391,[3]Sheet1!$A$2:$A$391)</f>
        <v>PO10070</v>
      </c>
    </row>
    <row r="1038" spans="1:14" x14ac:dyDescent="0.2">
      <c r="A1038" t="s">
        <v>1047</v>
      </c>
      <c r="B1038" s="2">
        <v>46268</v>
      </c>
      <c r="C1038" t="s">
        <v>2939</v>
      </c>
      <c r="D1038" t="s">
        <v>2945</v>
      </c>
      <c r="E1038" t="s">
        <v>3020</v>
      </c>
      <c r="F1038" s="3">
        <v>46268.972843722142</v>
      </c>
      <c r="G1038" s="3">
        <v>46268.981517809167</v>
      </c>
      <c r="H1038">
        <v>12.49</v>
      </c>
      <c r="I1038" t="s">
        <v>3151</v>
      </c>
      <c r="J1038" t="s">
        <v>3170</v>
      </c>
      <c r="K1038" t="s">
        <v>3187</v>
      </c>
      <c r="L1038" t="str">
        <f>_xlfn.XLOOKUP(C1038,[1]!Table1[Shift_ID],[1]!Table1[Shift_ID])</f>
        <v>S03</v>
      </c>
      <c r="M1038" t="str">
        <f>_xlfn.XLOOKUP(D1038,[2]!Table1[Machine_ID],[2]!Table1[Machine_ID])</f>
        <v>M004</v>
      </c>
      <c r="N1038" t="str">
        <f>_xlfn.XLOOKUP(E1038,[3]Sheet1!$A$2:$A$391,[3]Sheet1!$A$2:$A$391)</f>
        <v>PO10070</v>
      </c>
    </row>
    <row r="1039" spans="1:14" x14ac:dyDescent="0.2">
      <c r="A1039" t="s">
        <v>1048</v>
      </c>
      <c r="B1039" s="2">
        <v>46268</v>
      </c>
      <c r="C1039" t="s">
        <v>2939</v>
      </c>
      <c r="D1039" t="s">
        <v>2946</v>
      </c>
      <c r="E1039" t="s">
        <v>3020</v>
      </c>
      <c r="F1039" s="3">
        <v>46269.093997601492</v>
      </c>
      <c r="G1039" s="3">
        <v>46269.105188111127</v>
      </c>
      <c r="H1039">
        <v>16.11</v>
      </c>
      <c r="I1039" t="s">
        <v>3150</v>
      </c>
      <c r="J1039" t="s">
        <v>3159</v>
      </c>
      <c r="K1039" t="s">
        <v>3177</v>
      </c>
      <c r="L1039" t="str">
        <f>_xlfn.XLOOKUP(C1039,[1]!Table1[Shift_ID],[1]!Table1[Shift_ID])</f>
        <v>S03</v>
      </c>
      <c r="M1039" t="str">
        <f>_xlfn.XLOOKUP(D1039,[2]!Table1[Machine_ID],[2]!Table1[Machine_ID])</f>
        <v>M005</v>
      </c>
      <c r="N1039" t="str">
        <f>_xlfn.XLOOKUP(E1039,[3]Sheet1!$A$2:$A$391,[3]Sheet1!$A$2:$A$391)</f>
        <v>PO10070</v>
      </c>
    </row>
    <row r="1040" spans="1:14" x14ac:dyDescent="0.2">
      <c r="A1040" t="s">
        <v>1049</v>
      </c>
      <c r="B1040" s="2">
        <v>46268</v>
      </c>
      <c r="C1040" t="s">
        <v>2939</v>
      </c>
      <c r="D1040" t="s">
        <v>2947</v>
      </c>
      <c r="E1040" t="s">
        <v>3020</v>
      </c>
      <c r="F1040" s="3">
        <v>46268.957394770303</v>
      </c>
      <c r="G1040" s="3">
        <v>46268.984084376752</v>
      </c>
      <c r="H1040">
        <v>38.43</v>
      </c>
      <c r="I1040" t="s">
        <v>3147</v>
      </c>
      <c r="J1040" t="s">
        <v>3153</v>
      </c>
      <c r="K1040" t="s">
        <v>3185</v>
      </c>
      <c r="L1040" t="str">
        <f>_xlfn.XLOOKUP(C1040,[1]!Table1[Shift_ID],[1]!Table1[Shift_ID])</f>
        <v>S03</v>
      </c>
      <c r="M1040" t="str">
        <f>_xlfn.XLOOKUP(D1040,[2]!Table1[Machine_ID],[2]!Table1[Machine_ID])</f>
        <v>M006</v>
      </c>
      <c r="N1040" t="str">
        <f>_xlfn.XLOOKUP(E1040,[3]Sheet1!$A$2:$A$391,[3]Sheet1!$A$2:$A$391)</f>
        <v>PO10070</v>
      </c>
    </row>
    <row r="1041" spans="1:14" x14ac:dyDescent="0.2">
      <c r="A1041" t="s">
        <v>1050</v>
      </c>
      <c r="B1041" s="2">
        <v>46268</v>
      </c>
      <c r="C1041" t="s">
        <v>2939</v>
      </c>
      <c r="D1041" t="s">
        <v>2948</v>
      </c>
      <c r="E1041" t="s">
        <v>3020</v>
      </c>
      <c r="F1041" s="3">
        <v>46269.126726438219</v>
      </c>
      <c r="G1041" s="3">
        <v>46269.139919700778</v>
      </c>
      <c r="H1041">
        <v>19</v>
      </c>
      <c r="I1041" t="s">
        <v>3150</v>
      </c>
      <c r="J1041" t="s">
        <v>3160</v>
      </c>
      <c r="K1041" t="s">
        <v>3177</v>
      </c>
      <c r="L1041" t="str">
        <f>_xlfn.XLOOKUP(C1041,[1]!Table1[Shift_ID],[1]!Table1[Shift_ID])</f>
        <v>S03</v>
      </c>
      <c r="M1041" t="str">
        <f>_xlfn.XLOOKUP(D1041,[2]!Table1[Machine_ID],[2]!Table1[Machine_ID])</f>
        <v>M007</v>
      </c>
      <c r="N1041" t="str">
        <f>_xlfn.XLOOKUP(E1041,[3]Sheet1!$A$2:$A$391,[3]Sheet1!$A$2:$A$391)</f>
        <v>PO10070</v>
      </c>
    </row>
    <row r="1042" spans="1:14" x14ac:dyDescent="0.2">
      <c r="A1042" t="s">
        <v>1051</v>
      </c>
      <c r="B1042" s="2">
        <v>46268</v>
      </c>
      <c r="C1042" t="s">
        <v>2939</v>
      </c>
      <c r="D1042" t="s">
        <v>2949</v>
      </c>
      <c r="E1042" t="s">
        <v>3020</v>
      </c>
      <c r="F1042" s="3">
        <v>46269.012408756877</v>
      </c>
      <c r="G1042" s="3">
        <v>46269.019303901943</v>
      </c>
      <c r="H1042">
        <v>9.93</v>
      </c>
      <c r="I1042" t="s">
        <v>3149</v>
      </c>
      <c r="J1042" t="s">
        <v>3158</v>
      </c>
      <c r="K1042" t="s">
        <v>3176</v>
      </c>
      <c r="L1042" t="str">
        <f>_xlfn.XLOOKUP(C1042,[1]!Table1[Shift_ID],[1]!Table1[Shift_ID])</f>
        <v>S03</v>
      </c>
      <c r="M1042" t="str">
        <f>_xlfn.XLOOKUP(D1042,[2]!Table1[Machine_ID],[2]!Table1[Machine_ID])</f>
        <v>M008</v>
      </c>
      <c r="N1042" t="str">
        <f>_xlfn.XLOOKUP(E1042,[3]Sheet1!$A$2:$A$391,[3]Sheet1!$A$2:$A$391)</f>
        <v>PO10070</v>
      </c>
    </row>
    <row r="1043" spans="1:14" x14ac:dyDescent="0.2">
      <c r="A1043" t="s">
        <v>1052</v>
      </c>
      <c r="B1043" s="2">
        <v>46268</v>
      </c>
      <c r="C1043" t="s">
        <v>2940</v>
      </c>
      <c r="D1043" t="s">
        <v>2942</v>
      </c>
      <c r="E1043" t="s">
        <v>3021</v>
      </c>
      <c r="F1043" s="3">
        <v>46268.367329986133</v>
      </c>
      <c r="G1043" s="3">
        <v>46268.372534586852</v>
      </c>
      <c r="H1043">
        <v>7.49</v>
      </c>
      <c r="I1043" t="s">
        <v>3148</v>
      </c>
      <c r="J1043" t="s">
        <v>3155</v>
      </c>
      <c r="K1043" t="s">
        <v>3173</v>
      </c>
      <c r="L1043" t="str">
        <f>_xlfn.XLOOKUP(C1043,[1]!Table1[Shift_ID],[1]!Table1[Shift_ID])</f>
        <v>S01</v>
      </c>
      <c r="M1043" t="str">
        <f>_xlfn.XLOOKUP(D1043,[2]!Table1[Machine_ID],[2]!Table1[Machine_ID])</f>
        <v>M001</v>
      </c>
      <c r="N1043" t="str">
        <f>_xlfn.XLOOKUP(E1043,[3]Sheet1!$A$2:$A$391,[3]Sheet1!$A$2:$A$391)</f>
        <v>PO10071</v>
      </c>
    </row>
    <row r="1044" spans="1:14" x14ac:dyDescent="0.2">
      <c r="A1044" t="s">
        <v>1053</v>
      </c>
      <c r="B1044" s="2">
        <v>46268</v>
      </c>
      <c r="C1044" t="s">
        <v>2940</v>
      </c>
      <c r="D1044" t="s">
        <v>2942</v>
      </c>
      <c r="E1044" t="s">
        <v>3021</v>
      </c>
      <c r="F1044" s="3">
        <v>46268.464916428471</v>
      </c>
      <c r="G1044" s="3">
        <v>46268.46658877252</v>
      </c>
      <c r="H1044">
        <v>2.41</v>
      </c>
      <c r="I1044" t="s">
        <v>3148</v>
      </c>
      <c r="J1044" t="s">
        <v>3155</v>
      </c>
      <c r="K1044" t="s">
        <v>3173</v>
      </c>
      <c r="L1044" t="str">
        <f>_xlfn.XLOOKUP(C1044,[1]!Table1[Shift_ID],[1]!Table1[Shift_ID])</f>
        <v>S01</v>
      </c>
      <c r="M1044" t="str">
        <f>_xlfn.XLOOKUP(D1044,[2]!Table1[Machine_ID],[2]!Table1[Machine_ID])</f>
        <v>M001</v>
      </c>
      <c r="N1044" t="str">
        <f>_xlfn.XLOOKUP(E1044,[3]Sheet1!$A$2:$A$391,[3]Sheet1!$A$2:$A$391)</f>
        <v>PO10071</v>
      </c>
    </row>
    <row r="1045" spans="1:14" x14ac:dyDescent="0.2">
      <c r="A1045" t="s">
        <v>1054</v>
      </c>
      <c r="B1045" s="2">
        <v>46268</v>
      </c>
      <c r="C1045" t="s">
        <v>2940</v>
      </c>
      <c r="D1045" t="s">
        <v>2943</v>
      </c>
      <c r="E1045" t="s">
        <v>3021</v>
      </c>
      <c r="F1045" s="3">
        <v>46268.531456221921</v>
      </c>
      <c r="G1045" s="3">
        <v>46268.539756125749</v>
      </c>
      <c r="H1045">
        <v>11.95</v>
      </c>
      <c r="I1045" t="s">
        <v>3150</v>
      </c>
      <c r="J1045" t="s">
        <v>3163</v>
      </c>
      <c r="K1045" t="s">
        <v>3178</v>
      </c>
      <c r="L1045" t="str">
        <f>_xlfn.XLOOKUP(C1045,[1]!Table1[Shift_ID],[1]!Table1[Shift_ID])</f>
        <v>S01</v>
      </c>
      <c r="M1045" t="str">
        <f>_xlfn.XLOOKUP(D1045,[2]!Table1[Machine_ID],[2]!Table1[Machine_ID])</f>
        <v>M002</v>
      </c>
      <c r="N1045" t="str">
        <f>_xlfn.XLOOKUP(E1045,[3]Sheet1!$A$2:$A$391,[3]Sheet1!$A$2:$A$391)</f>
        <v>PO10071</v>
      </c>
    </row>
    <row r="1046" spans="1:14" x14ac:dyDescent="0.2">
      <c r="A1046" t="s">
        <v>1055</v>
      </c>
      <c r="B1046" s="2">
        <v>46268</v>
      </c>
      <c r="C1046" t="s">
        <v>2940</v>
      </c>
      <c r="D1046" t="s">
        <v>2944</v>
      </c>
      <c r="E1046" t="s">
        <v>3021</v>
      </c>
      <c r="F1046" s="3">
        <v>46268.300604735821</v>
      </c>
      <c r="G1046" s="3">
        <v>46268.304075741093</v>
      </c>
      <c r="H1046">
        <v>5</v>
      </c>
      <c r="I1046" t="s">
        <v>3147</v>
      </c>
      <c r="J1046" t="s">
        <v>3153</v>
      </c>
      <c r="K1046" t="s">
        <v>3172</v>
      </c>
      <c r="L1046" t="str">
        <f>_xlfn.XLOOKUP(C1046,[1]!Table1[Shift_ID],[1]!Table1[Shift_ID])</f>
        <v>S01</v>
      </c>
      <c r="M1046" t="str">
        <f>_xlfn.XLOOKUP(D1046,[2]!Table1[Machine_ID],[2]!Table1[Machine_ID])</f>
        <v>M003</v>
      </c>
      <c r="N1046" t="str">
        <f>_xlfn.XLOOKUP(E1046,[3]Sheet1!$A$2:$A$391,[3]Sheet1!$A$2:$A$391)</f>
        <v>PO10071</v>
      </c>
    </row>
    <row r="1047" spans="1:14" x14ac:dyDescent="0.2">
      <c r="A1047" t="s">
        <v>1056</v>
      </c>
      <c r="B1047" s="2">
        <v>46268</v>
      </c>
      <c r="C1047" t="s">
        <v>2940</v>
      </c>
      <c r="D1047" t="s">
        <v>2944</v>
      </c>
      <c r="E1047" t="s">
        <v>3021</v>
      </c>
      <c r="F1047" s="3">
        <v>46268.396999807337</v>
      </c>
      <c r="G1047" s="3">
        <v>46268.40213782178</v>
      </c>
      <c r="H1047">
        <v>7.4</v>
      </c>
      <c r="I1047" t="s">
        <v>3150</v>
      </c>
      <c r="J1047" t="s">
        <v>3166</v>
      </c>
      <c r="K1047" t="s">
        <v>3178</v>
      </c>
      <c r="L1047" t="str">
        <f>_xlfn.XLOOKUP(C1047,[1]!Table1[Shift_ID],[1]!Table1[Shift_ID])</f>
        <v>S01</v>
      </c>
      <c r="M1047" t="str">
        <f>_xlfn.XLOOKUP(D1047,[2]!Table1[Machine_ID],[2]!Table1[Machine_ID])</f>
        <v>M003</v>
      </c>
      <c r="N1047" t="str">
        <f>_xlfn.XLOOKUP(E1047,[3]Sheet1!$A$2:$A$391,[3]Sheet1!$A$2:$A$391)</f>
        <v>PO10071</v>
      </c>
    </row>
    <row r="1048" spans="1:14" x14ac:dyDescent="0.2">
      <c r="A1048" t="s">
        <v>1057</v>
      </c>
      <c r="B1048" s="2">
        <v>46268</v>
      </c>
      <c r="C1048" t="s">
        <v>2940</v>
      </c>
      <c r="D1048" t="s">
        <v>2944</v>
      </c>
      <c r="E1048" t="s">
        <v>3021</v>
      </c>
      <c r="F1048" s="3">
        <v>46268.42595781992</v>
      </c>
      <c r="G1048" s="3">
        <v>46268.428821032467</v>
      </c>
      <c r="H1048">
        <v>4.12</v>
      </c>
      <c r="I1048" t="s">
        <v>3147</v>
      </c>
      <c r="J1048" t="s">
        <v>3167</v>
      </c>
      <c r="K1048" t="s">
        <v>3185</v>
      </c>
      <c r="L1048" t="str">
        <f>_xlfn.XLOOKUP(C1048,[1]!Table1[Shift_ID],[1]!Table1[Shift_ID])</f>
        <v>S01</v>
      </c>
      <c r="M1048" t="str">
        <f>_xlfn.XLOOKUP(D1048,[2]!Table1[Machine_ID],[2]!Table1[Machine_ID])</f>
        <v>M003</v>
      </c>
      <c r="N1048" t="str">
        <f>_xlfn.XLOOKUP(E1048,[3]Sheet1!$A$2:$A$391,[3]Sheet1!$A$2:$A$391)</f>
        <v>PO10071</v>
      </c>
    </row>
    <row r="1049" spans="1:14" x14ac:dyDescent="0.2">
      <c r="A1049" t="s">
        <v>1058</v>
      </c>
      <c r="B1049" s="2">
        <v>46268</v>
      </c>
      <c r="C1049" t="s">
        <v>2940</v>
      </c>
      <c r="D1049" t="s">
        <v>2945</v>
      </c>
      <c r="E1049" t="s">
        <v>3021</v>
      </c>
      <c r="F1049" s="3">
        <v>46268.324066633853</v>
      </c>
      <c r="G1049" s="3">
        <v>46268.326326011978</v>
      </c>
      <c r="H1049">
        <v>3.25</v>
      </c>
      <c r="I1049" t="s">
        <v>3151</v>
      </c>
      <c r="J1049" t="s">
        <v>3170</v>
      </c>
      <c r="K1049" t="s">
        <v>3181</v>
      </c>
      <c r="L1049" t="str">
        <f>_xlfn.XLOOKUP(C1049,[1]!Table1[Shift_ID],[1]!Table1[Shift_ID])</f>
        <v>S01</v>
      </c>
      <c r="M1049" t="str">
        <f>_xlfn.XLOOKUP(D1049,[2]!Table1[Machine_ID],[2]!Table1[Machine_ID])</f>
        <v>M004</v>
      </c>
      <c r="N1049" t="str">
        <f>_xlfn.XLOOKUP(E1049,[3]Sheet1!$A$2:$A$391,[3]Sheet1!$A$2:$A$391)</f>
        <v>PO10071</v>
      </c>
    </row>
    <row r="1050" spans="1:14" x14ac:dyDescent="0.2">
      <c r="A1050" t="s">
        <v>1059</v>
      </c>
      <c r="B1050" s="2">
        <v>46268</v>
      </c>
      <c r="C1050" t="s">
        <v>2940</v>
      </c>
      <c r="D1050" t="s">
        <v>2945</v>
      </c>
      <c r="E1050" t="s">
        <v>3021</v>
      </c>
      <c r="F1050" s="3">
        <v>46268.345909975607</v>
      </c>
      <c r="G1050" s="3">
        <v>46268.347718012337</v>
      </c>
      <c r="H1050">
        <v>2.6</v>
      </c>
      <c r="I1050" t="s">
        <v>3149</v>
      </c>
      <c r="J1050" t="s">
        <v>3162</v>
      </c>
      <c r="K1050" t="s">
        <v>3182</v>
      </c>
      <c r="L1050" t="str">
        <f>_xlfn.XLOOKUP(C1050,[1]!Table1[Shift_ID],[1]!Table1[Shift_ID])</f>
        <v>S01</v>
      </c>
      <c r="M1050" t="str">
        <f>_xlfn.XLOOKUP(D1050,[2]!Table1[Machine_ID],[2]!Table1[Machine_ID])</f>
        <v>M004</v>
      </c>
      <c r="N1050" t="str">
        <f>_xlfn.XLOOKUP(E1050,[3]Sheet1!$A$2:$A$391,[3]Sheet1!$A$2:$A$391)</f>
        <v>PO10071</v>
      </c>
    </row>
    <row r="1051" spans="1:14" x14ac:dyDescent="0.2">
      <c r="A1051" t="s">
        <v>1060</v>
      </c>
      <c r="B1051" s="2">
        <v>46268</v>
      </c>
      <c r="C1051" t="s">
        <v>2940</v>
      </c>
      <c r="D1051" t="s">
        <v>2945</v>
      </c>
      <c r="E1051" t="s">
        <v>3021</v>
      </c>
      <c r="F1051" s="3">
        <v>46268.572957187382</v>
      </c>
      <c r="G1051" s="3">
        <v>46268.57504726301</v>
      </c>
      <c r="H1051">
        <v>3.01</v>
      </c>
      <c r="I1051" t="s">
        <v>3149</v>
      </c>
      <c r="J1051" t="s">
        <v>3168</v>
      </c>
      <c r="K1051" t="s">
        <v>3182</v>
      </c>
      <c r="L1051" t="str">
        <f>_xlfn.XLOOKUP(C1051,[1]!Table1[Shift_ID],[1]!Table1[Shift_ID])</f>
        <v>S01</v>
      </c>
      <c r="M1051" t="str">
        <f>_xlfn.XLOOKUP(D1051,[2]!Table1[Machine_ID],[2]!Table1[Machine_ID])</f>
        <v>M004</v>
      </c>
      <c r="N1051" t="str">
        <f>_xlfn.XLOOKUP(E1051,[3]Sheet1!$A$2:$A$391,[3]Sheet1!$A$2:$A$391)</f>
        <v>PO10071</v>
      </c>
    </row>
    <row r="1052" spans="1:14" x14ac:dyDescent="0.2">
      <c r="A1052" t="s">
        <v>1061</v>
      </c>
      <c r="B1052" s="2">
        <v>46268</v>
      </c>
      <c r="C1052" t="s">
        <v>2940</v>
      </c>
      <c r="D1052" t="s">
        <v>2946</v>
      </c>
      <c r="E1052" t="s">
        <v>3021</v>
      </c>
      <c r="F1052" s="3">
        <v>46268.414187573973</v>
      </c>
      <c r="G1052" s="3">
        <v>46268.423615863183</v>
      </c>
      <c r="H1052">
        <v>13.58</v>
      </c>
      <c r="I1052" t="s">
        <v>3149</v>
      </c>
      <c r="J1052" t="s">
        <v>3158</v>
      </c>
      <c r="K1052" t="s">
        <v>3184</v>
      </c>
      <c r="L1052" t="str">
        <f>_xlfn.XLOOKUP(C1052,[1]!Table1[Shift_ID],[1]!Table1[Shift_ID])</f>
        <v>S01</v>
      </c>
      <c r="M1052" t="str">
        <f>_xlfn.XLOOKUP(D1052,[2]!Table1[Machine_ID],[2]!Table1[Machine_ID])</f>
        <v>M005</v>
      </c>
      <c r="N1052" t="str">
        <f>_xlfn.XLOOKUP(E1052,[3]Sheet1!$A$2:$A$391,[3]Sheet1!$A$2:$A$391)</f>
        <v>PO10071</v>
      </c>
    </row>
    <row r="1053" spans="1:14" x14ac:dyDescent="0.2">
      <c r="A1053" t="s">
        <v>1062</v>
      </c>
      <c r="B1053" s="2">
        <v>46268</v>
      </c>
      <c r="C1053" t="s">
        <v>2940</v>
      </c>
      <c r="D1053" t="s">
        <v>2947</v>
      </c>
      <c r="E1053" t="s">
        <v>3021</v>
      </c>
      <c r="F1053" s="3">
        <v>46268.282387810177</v>
      </c>
      <c r="G1053" s="3">
        <v>46268.284037746969</v>
      </c>
      <c r="H1053">
        <v>2.38</v>
      </c>
      <c r="I1053" t="s">
        <v>3149</v>
      </c>
      <c r="J1053" t="s">
        <v>3158</v>
      </c>
      <c r="K1053" t="s">
        <v>3176</v>
      </c>
      <c r="L1053" t="str">
        <f>_xlfn.XLOOKUP(C1053,[1]!Table1[Shift_ID],[1]!Table1[Shift_ID])</f>
        <v>S01</v>
      </c>
      <c r="M1053" t="str">
        <f>_xlfn.XLOOKUP(D1053,[2]!Table1[Machine_ID],[2]!Table1[Machine_ID])</f>
        <v>M006</v>
      </c>
      <c r="N1053" t="str">
        <f>_xlfn.XLOOKUP(E1053,[3]Sheet1!$A$2:$A$391,[3]Sheet1!$A$2:$A$391)</f>
        <v>PO10071</v>
      </c>
    </row>
    <row r="1054" spans="1:14" x14ac:dyDescent="0.2">
      <c r="A1054" t="s">
        <v>1063</v>
      </c>
      <c r="B1054" s="2">
        <v>46268</v>
      </c>
      <c r="C1054" t="s">
        <v>2940</v>
      </c>
      <c r="D1054" t="s">
        <v>2947</v>
      </c>
      <c r="E1054" t="s">
        <v>3021</v>
      </c>
      <c r="F1054" s="3">
        <v>46268.309514760753</v>
      </c>
      <c r="G1054" s="3">
        <v>46268.31402063222</v>
      </c>
      <c r="H1054">
        <v>6.49</v>
      </c>
      <c r="I1054" t="s">
        <v>3146</v>
      </c>
      <c r="J1054" t="s">
        <v>3157</v>
      </c>
      <c r="K1054" t="s">
        <v>3174</v>
      </c>
      <c r="L1054" t="str">
        <f>_xlfn.XLOOKUP(C1054,[1]!Table1[Shift_ID],[1]!Table1[Shift_ID])</f>
        <v>S01</v>
      </c>
      <c r="M1054" t="str">
        <f>_xlfn.XLOOKUP(D1054,[2]!Table1[Machine_ID],[2]!Table1[Machine_ID])</f>
        <v>M006</v>
      </c>
      <c r="N1054" t="str">
        <f>_xlfn.XLOOKUP(E1054,[3]Sheet1!$A$2:$A$391,[3]Sheet1!$A$2:$A$391)</f>
        <v>PO10071</v>
      </c>
    </row>
    <row r="1055" spans="1:14" x14ac:dyDescent="0.2">
      <c r="A1055" t="s">
        <v>1064</v>
      </c>
      <c r="B1055" s="2">
        <v>46268</v>
      </c>
      <c r="C1055" t="s">
        <v>2940</v>
      </c>
      <c r="D1055" t="s">
        <v>2947</v>
      </c>
      <c r="E1055" t="s">
        <v>3021</v>
      </c>
      <c r="F1055" s="3">
        <v>46268.317176212448</v>
      </c>
      <c r="G1055" s="3">
        <v>46268.318826149247</v>
      </c>
      <c r="H1055">
        <v>2.38</v>
      </c>
      <c r="I1055" t="s">
        <v>3150</v>
      </c>
      <c r="J1055" t="s">
        <v>3163</v>
      </c>
      <c r="K1055" t="s">
        <v>3179</v>
      </c>
      <c r="L1055" t="str">
        <f>_xlfn.XLOOKUP(C1055,[1]!Table1[Shift_ID],[1]!Table1[Shift_ID])</f>
        <v>S01</v>
      </c>
      <c r="M1055" t="str">
        <f>_xlfn.XLOOKUP(D1055,[2]!Table1[Machine_ID],[2]!Table1[Machine_ID])</f>
        <v>M006</v>
      </c>
      <c r="N1055" t="str">
        <f>_xlfn.XLOOKUP(E1055,[3]Sheet1!$A$2:$A$391,[3]Sheet1!$A$2:$A$391)</f>
        <v>PO10071</v>
      </c>
    </row>
    <row r="1056" spans="1:14" x14ac:dyDescent="0.2">
      <c r="A1056" t="s">
        <v>1065</v>
      </c>
      <c r="B1056" s="2">
        <v>46268</v>
      </c>
      <c r="C1056" t="s">
        <v>2940</v>
      </c>
      <c r="D1056" t="s">
        <v>2947</v>
      </c>
      <c r="E1056" t="s">
        <v>3021</v>
      </c>
      <c r="F1056" s="3">
        <v>46268.327153650149</v>
      </c>
      <c r="G1056" s="3">
        <v>46268.328803586941</v>
      </c>
      <c r="H1056">
        <v>2.38</v>
      </c>
      <c r="I1056" t="s">
        <v>3151</v>
      </c>
      <c r="J1056" t="s">
        <v>3169</v>
      </c>
      <c r="K1056" t="s">
        <v>3181</v>
      </c>
      <c r="L1056" t="str">
        <f>_xlfn.XLOOKUP(C1056,[1]!Table1[Shift_ID],[1]!Table1[Shift_ID])</f>
        <v>S01</v>
      </c>
      <c r="M1056" t="str">
        <f>_xlfn.XLOOKUP(D1056,[2]!Table1[Machine_ID],[2]!Table1[Machine_ID])</f>
        <v>M006</v>
      </c>
      <c r="N1056" t="str">
        <f>_xlfn.XLOOKUP(E1056,[3]Sheet1!$A$2:$A$391,[3]Sheet1!$A$2:$A$391)</f>
        <v>PO10071</v>
      </c>
    </row>
    <row r="1057" spans="1:14" x14ac:dyDescent="0.2">
      <c r="A1057" t="s">
        <v>1066</v>
      </c>
      <c r="B1057" s="2">
        <v>46268</v>
      </c>
      <c r="C1057" t="s">
        <v>2940</v>
      </c>
      <c r="D1057" t="s">
        <v>2947</v>
      </c>
      <c r="E1057" t="s">
        <v>3021</v>
      </c>
      <c r="F1057" s="3">
        <v>46268.335395429538</v>
      </c>
      <c r="G1057" s="3">
        <v>46268.33704536633</v>
      </c>
      <c r="H1057">
        <v>2.38</v>
      </c>
      <c r="I1057" t="s">
        <v>3147</v>
      </c>
      <c r="J1057" t="s">
        <v>3154</v>
      </c>
      <c r="K1057" t="s">
        <v>3185</v>
      </c>
      <c r="L1057" t="str">
        <f>_xlfn.XLOOKUP(C1057,[1]!Table1[Shift_ID],[1]!Table1[Shift_ID])</f>
        <v>S01</v>
      </c>
      <c r="M1057" t="str">
        <f>_xlfn.XLOOKUP(D1057,[2]!Table1[Machine_ID],[2]!Table1[Machine_ID])</f>
        <v>M006</v>
      </c>
      <c r="N1057" t="str">
        <f>_xlfn.XLOOKUP(E1057,[3]Sheet1!$A$2:$A$391,[3]Sheet1!$A$2:$A$391)</f>
        <v>PO10071</v>
      </c>
    </row>
    <row r="1058" spans="1:14" x14ac:dyDescent="0.2">
      <c r="A1058" t="s">
        <v>1067</v>
      </c>
      <c r="B1058" s="2">
        <v>46268</v>
      </c>
      <c r="C1058" t="s">
        <v>2940</v>
      </c>
      <c r="D1058" t="s">
        <v>2947</v>
      </c>
      <c r="E1058" t="s">
        <v>3021</v>
      </c>
      <c r="F1058" s="3">
        <v>46268.338636220593</v>
      </c>
      <c r="G1058" s="3">
        <v>46268.343853512779</v>
      </c>
      <c r="H1058">
        <v>7.51</v>
      </c>
      <c r="I1058" t="s">
        <v>3148</v>
      </c>
      <c r="J1058" t="s">
        <v>3164</v>
      </c>
      <c r="K1058" t="s">
        <v>3180</v>
      </c>
      <c r="L1058" t="str">
        <f>_xlfn.XLOOKUP(C1058,[1]!Table1[Shift_ID],[1]!Table1[Shift_ID])</f>
        <v>S01</v>
      </c>
      <c r="M1058" t="str">
        <f>_xlfn.XLOOKUP(D1058,[2]!Table1[Machine_ID],[2]!Table1[Machine_ID])</f>
        <v>M006</v>
      </c>
      <c r="N1058" t="str">
        <f>_xlfn.XLOOKUP(E1058,[3]Sheet1!$A$2:$A$391,[3]Sheet1!$A$2:$A$391)</f>
        <v>PO10071</v>
      </c>
    </row>
    <row r="1059" spans="1:14" x14ac:dyDescent="0.2">
      <c r="A1059" t="s">
        <v>1068</v>
      </c>
      <c r="B1059" s="2">
        <v>46268</v>
      </c>
      <c r="C1059" t="s">
        <v>2940</v>
      </c>
      <c r="D1059" t="s">
        <v>2947</v>
      </c>
      <c r="E1059" t="s">
        <v>3021</v>
      </c>
      <c r="F1059" s="3">
        <v>46268.410731584838</v>
      </c>
      <c r="G1059" s="3">
        <v>46268.413612696851</v>
      </c>
      <c r="H1059">
        <v>4.1500000000000004</v>
      </c>
      <c r="I1059" t="s">
        <v>3150</v>
      </c>
      <c r="J1059" t="s">
        <v>3166</v>
      </c>
      <c r="K1059" t="s">
        <v>3179</v>
      </c>
      <c r="L1059" t="str">
        <f>_xlfn.XLOOKUP(C1059,[1]!Table1[Shift_ID],[1]!Table1[Shift_ID])</f>
        <v>S01</v>
      </c>
      <c r="M1059" t="str">
        <f>_xlfn.XLOOKUP(D1059,[2]!Table1[Machine_ID],[2]!Table1[Machine_ID])</f>
        <v>M006</v>
      </c>
      <c r="N1059" t="str">
        <f>_xlfn.XLOOKUP(E1059,[3]Sheet1!$A$2:$A$391,[3]Sheet1!$A$2:$A$391)</f>
        <v>PO10071</v>
      </c>
    </row>
    <row r="1060" spans="1:14" x14ac:dyDescent="0.2">
      <c r="A1060" t="s">
        <v>1069</v>
      </c>
      <c r="B1060" s="2">
        <v>46268</v>
      </c>
      <c r="C1060" t="s">
        <v>2940</v>
      </c>
      <c r="D1060" t="s">
        <v>2947</v>
      </c>
      <c r="E1060" t="s">
        <v>3021</v>
      </c>
      <c r="F1060" s="3">
        <v>46268.418468451557</v>
      </c>
      <c r="G1060" s="3">
        <v>46268.420118388363</v>
      </c>
      <c r="H1060">
        <v>2.38</v>
      </c>
      <c r="I1060" t="s">
        <v>3150</v>
      </c>
      <c r="J1060" t="s">
        <v>3159</v>
      </c>
      <c r="K1060" t="s">
        <v>3177</v>
      </c>
      <c r="L1060" t="str">
        <f>_xlfn.XLOOKUP(C1060,[1]!Table1[Shift_ID],[1]!Table1[Shift_ID])</f>
        <v>S01</v>
      </c>
      <c r="M1060" t="str">
        <f>_xlfn.XLOOKUP(D1060,[2]!Table1[Machine_ID],[2]!Table1[Machine_ID])</f>
        <v>M006</v>
      </c>
      <c r="N1060" t="str">
        <f>_xlfn.XLOOKUP(E1060,[3]Sheet1!$A$2:$A$391,[3]Sheet1!$A$2:$A$391)</f>
        <v>PO10071</v>
      </c>
    </row>
    <row r="1061" spans="1:14" x14ac:dyDescent="0.2">
      <c r="A1061" t="s">
        <v>1070</v>
      </c>
      <c r="B1061" s="2">
        <v>46268</v>
      </c>
      <c r="C1061" t="s">
        <v>2940</v>
      </c>
      <c r="D1061" t="s">
        <v>2948</v>
      </c>
      <c r="E1061" t="s">
        <v>3021</v>
      </c>
      <c r="F1061" s="3">
        <v>46268.291250540089</v>
      </c>
      <c r="G1061" s="3">
        <v>46268.294150345107</v>
      </c>
      <c r="H1061">
        <v>4.18</v>
      </c>
      <c r="I1061" t="s">
        <v>3148</v>
      </c>
      <c r="J1061" t="s">
        <v>3165</v>
      </c>
      <c r="K1061" t="s">
        <v>3183</v>
      </c>
      <c r="L1061" t="str">
        <f>_xlfn.XLOOKUP(C1061,[1]!Table1[Shift_ID],[1]!Table1[Shift_ID])</f>
        <v>S01</v>
      </c>
      <c r="M1061" t="str">
        <f>_xlfn.XLOOKUP(D1061,[2]!Table1[Machine_ID],[2]!Table1[Machine_ID])</f>
        <v>M007</v>
      </c>
      <c r="N1061" t="str">
        <f>_xlfn.XLOOKUP(E1061,[3]Sheet1!$A$2:$A$391,[3]Sheet1!$A$2:$A$391)</f>
        <v>PO10071</v>
      </c>
    </row>
    <row r="1062" spans="1:14" x14ac:dyDescent="0.2">
      <c r="A1062" t="s">
        <v>1071</v>
      </c>
      <c r="B1062" s="2">
        <v>46268</v>
      </c>
      <c r="C1062" t="s">
        <v>2940</v>
      </c>
      <c r="D1062" t="s">
        <v>2948</v>
      </c>
      <c r="E1062" t="s">
        <v>3021</v>
      </c>
      <c r="F1062" s="3">
        <v>46268.473561543673</v>
      </c>
      <c r="G1062" s="3">
        <v>46268.482127292409</v>
      </c>
      <c r="H1062">
        <v>12.33</v>
      </c>
      <c r="I1062" t="s">
        <v>3147</v>
      </c>
      <c r="J1062" t="s">
        <v>3153</v>
      </c>
      <c r="K1062" t="s">
        <v>3185</v>
      </c>
      <c r="L1062" t="str">
        <f>_xlfn.XLOOKUP(C1062,[1]!Table1[Shift_ID],[1]!Table1[Shift_ID])</f>
        <v>S01</v>
      </c>
      <c r="M1062" t="str">
        <f>_xlfn.XLOOKUP(D1062,[2]!Table1[Machine_ID],[2]!Table1[Machine_ID])</f>
        <v>M007</v>
      </c>
      <c r="N1062" t="str">
        <f>_xlfn.XLOOKUP(E1062,[3]Sheet1!$A$2:$A$391,[3]Sheet1!$A$2:$A$391)</f>
        <v>PO10071</v>
      </c>
    </row>
    <row r="1063" spans="1:14" x14ac:dyDescent="0.2">
      <c r="A1063" t="s">
        <v>1072</v>
      </c>
      <c r="B1063" s="2">
        <v>46268</v>
      </c>
      <c r="C1063" t="s">
        <v>2940</v>
      </c>
      <c r="D1063" t="s">
        <v>2949</v>
      </c>
      <c r="E1063" t="s">
        <v>3021</v>
      </c>
      <c r="F1063" s="3">
        <v>46268.343481589087</v>
      </c>
      <c r="G1063" s="3">
        <v>46268.348424755117</v>
      </c>
      <c r="H1063">
        <v>7.12</v>
      </c>
      <c r="I1063" t="s">
        <v>3150</v>
      </c>
      <c r="J1063" t="s">
        <v>3160</v>
      </c>
      <c r="K1063" t="s">
        <v>3179</v>
      </c>
      <c r="L1063" t="str">
        <f>_xlfn.XLOOKUP(C1063,[1]!Table1[Shift_ID],[1]!Table1[Shift_ID])</f>
        <v>S01</v>
      </c>
      <c r="M1063" t="str">
        <f>_xlfn.XLOOKUP(D1063,[2]!Table1[Machine_ID],[2]!Table1[Machine_ID])</f>
        <v>M008</v>
      </c>
      <c r="N1063" t="str">
        <f>_xlfn.XLOOKUP(E1063,[3]Sheet1!$A$2:$A$391,[3]Sheet1!$A$2:$A$391)</f>
        <v>PO10071</v>
      </c>
    </row>
    <row r="1064" spans="1:14" x14ac:dyDescent="0.2">
      <c r="A1064" t="s">
        <v>1073</v>
      </c>
      <c r="B1064" s="2">
        <v>46268</v>
      </c>
      <c r="C1064" t="s">
        <v>2941</v>
      </c>
      <c r="D1064" t="s">
        <v>2942</v>
      </c>
      <c r="E1064" t="s">
        <v>3022</v>
      </c>
      <c r="F1064" s="3">
        <v>46268.768802054678</v>
      </c>
      <c r="G1064" s="3">
        <v>46268.77562269623</v>
      </c>
      <c r="H1064">
        <v>9.82</v>
      </c>
      <c r="I1064" t="s">
        <v>3150</v>
      </c>
      <c r="J1064" t="s">
        <v>3166</v>
      </c>
      <c r="K1064" t="s">
        <v>3178</v>
      </c>
      <c r="L1064" t="str">
        <f>_xlfn.XLOOKUP(C1064,[1]!Table1[Shift_ID],[1]!Table1[Shift_ID])</f>
        <v>S02</v>
      </c>
      <c r="M1064" t="str">
        <f>_xlfn.XLOOKUP(D1064,[2]!Table1[Machine_ID],[2]!Table1[Machine_ID])</f>
        <v>M001</v>
      </c>
      <c r="N1064" t="str">
        <f>_xlfn.XLOOKUP(E1064,[3]Sheet1!$A$2:$A$391,[3]Sheet1!$A$2:$A$391)</f>
        <v>PO10072</v>
      </c>
    </row>
    <row r="1065" spans="1:14" x14ac:dyDescent="0.2">
      <c r="A1065" t="s">
        <v>1074</v>
      </c>
      <c r="B1065" s="2">
        <v>46268</v>
      </c>
      <c r="C1065" t="s">
        <v>2941</v>
      </c>
      <c r="D1065" t="s">
        <v>2943</v>
      </c>
      <c r="E1065" t="s">
        <v>3022</v>
      </c>
      <c r="F1065" s="3">
        <v>46268.752317375751</v>
      </c>
      <c r="G1065" s="3">
        <v>46268.758425912063</v>
      </c>
      <c r="H1065">
        <v>8.8000000000000007</v>
      </c>
      <c r="I1065" t="s">
        <v>3151</v>
      </c>
      <c r="J1065" t="s">
        <v>3170</v>
      </c>
      <c r="K1065" t="s">
        <v>3188</v>
      </c>
      <c r="L1065" t="str">
        <f>_xlfn.XLOOKUP(C1065,[1]!Table1[Shift_ID],[1]!Table1[Shift_ID])</f>
        <v>S02</v>
      </c>
      <c r="M1065" t="str">
        <f>_xlfn.XLOOKUP(D1065,[2]!Table1[Machine_ID],[2]!Table1[Machine_ID])</f>
        <v>M002</v>
      </c>
      <c r="N1065" t="str">
        <f>_xlfn.XLOOKUP(E1065,[3]Sheet1!$A$2:$A$391,[3]Sheet1!$A$2:$A$391)</f>
        <v>PO10072</v>
      </c>
    </row>
    <row r="1066" spans="1:14" x14ac:dyDescent="0.2">
      <c r="A1066" t="s">
        <v>1075</v>
      </c>
      <c r="B1066" s="2">
        <v>46268</v>
      </c>
      <c r="C1066" t="s">
        <v>2941</v>
      </c>
      <c r="D1066" t="s">
        <v>2944</v>
      </c>
      <c r="E1066" t="s">
        <v>3022</v>
      </c>
      <c r="F1066" s="3">
        <v>46268.829708487443</v>
      </c>
      <c r="G1066" s="3">
        <v>46268.839420429656</v>
      </c>
      <c r="H1066">
        <v>13.99</v>
      </c>
      <c r="I1066" t="s">
        <v>3147</v>
      </c>
      <c r="J1066" t="s">
        <v>3154</v>
      </c>
      <c r="K1066" t="s">
        <v>3172</v>
      </c>
      <c r="L1066" t="str">
        <f>_xlfn.XLOOKUP(C1066,[1]!Table1[Shift_ID],[1]!Table1[Shift_ID])</f>
        <v>S02</v>
      </c>
      <c r="M1066" t="str">
        <f>_xlfn.XLOOKUP(D1066,[2]!Table1[Machine_ID],[2]!Table1[Machine_ID])</f>
        <v>M003</v>
      </c>
      <c r="N1066" t="str">
        <f>_xlfn.XLOOKUP(E1066,[3]Sheet1!$A$2:$A$391,[3]Sheet1!$A$2:$A$391)</f>
        <v>PO10072</v>
      </c>
    </row>
    <row r="1067" spans="1:14" x14ac:dyDescent="0.2">
      <c r="A1067" t="s">
        <v>1076</v>
      </c>
      <c r="B1067" s="2">
        <v>46268</v>
      </c>
      <c r="C1067" t="s">
        <v>2941</v>
      </c>
      <c r="D1067" t="s">
        <v>2945</v>
      </c>
      <c r="E1067" t="s">
        <v>3022</v>
      </c>
      <c r="F1067" s="3">
        <v>46268.742791623808</v>
      </c>
      <c r="G1067" s="3">
        <v>46268.746230100332</v>
      </c>
      <c r="H1067">
        <v>4.95</v>
      </c>
      <c r="I1067" t="s">
        <v>3150</v>
      </c>
      <c r="J1067" t="s">
        <v>3163</v>
      </c>
      <c r="K1067" t="s">
        <v>3179</v>
      </c>
      <c r="L1067" t="str">
        <f>_xlfn.XLOOKUP(C1067,[1]!Table1[Shift_ID],[1]!Table1[Shift_ID])</f>
        <v>S02</v>
      </c>
      <c r="M1067" t="str">
        <f>_xlfn.XLOOKUP(D1067,[2]!Table1[Machine_ID],[2]!Table1[Machine_ID])</f>
        <v>M004</v>
      </c>
      <c r="N1067" t="str">
        <f>_xlfn.XLOOKUP(E1067,[3]Sheet1!$A$2:$A$391,[3]Sheet1!$A$2:$A$391)</f>
        <v>PO10072</v>
      </c>
    </row>
    <row r="1068" spans="1:14" x14ac:dyDescent="0.2">
      <c r="A1068" t="s">
        <v>1077</v>
      </c>
      <c r="B1068" s="2">
        <v>46268</v>
      </c>
      <c r="C1068" t="s">
        <v>2941</v>
      </c>
      <c r="D1068" t="s">
        <v>2945</v>
      </c>
      <c r="E1068" t="s">
        <v>3022</v>
      </c>
      <c r="F1068" s="3">
        <v>46268.892543812261</v>
      </c>
      <c r="G1068" s="3">
        <v>46268.897464479742</v>
      </c>
      <c r="H1068">
        <v>7.09</v>
      </c>
      <c r="I1068" t="s">
        <v>3148</v>
      </c>
      <c r="J1068" t="s">
        <v>3164</v>
      </c>
      <c r="K1068" t="s">
        <v>3173</v>
      </c>
      <c r="L1068" t="str">
        <f>_xlfn.XLOOKUP(C1068,[1]!Table1[Shift_ID],[1]!Table1[Shift_ID])</f>
        <v>S02</v>
      </c>
      <c r="M1068" t="str">
        <f>_xlfn.XLOOKUP(D1068,[2]!Table1[Machine_ID],[2]!Table1[Machine_ID])</f>
        <v>M004</v>
      </c>
      <c r="N1068" t="str">
        <f>_xlfn.XLOOKUP(E1068,[3]Sheet1!$A$2:$A$391,[3]Sheet1!$A$2:$A$391)</f>
        <v>PO10072</v>
      </c>
    </row>
    <row r="1069" spans="1:14" x14ac:dyDescent="0.2">
      <c r="A1069" t="s">
        <v>1078</v>
      </c>
      <c r="B1069" s="2">
        <v>46268</v>
      </c>
      <c r="C1069" t="s">
        <v>2941</v>
      </c>
      <c r="D1069" t="s">
        <v>2946</v>
      </c>
      <c r="E1069" t="s">
        <v>3022</v>
      </c>
      <c r="F1069" s="3">
        <v>46268.682578294749</v>
      </c>
      <c r="G1069" s="3">
        <v>46268.686708950358</v>
      </c>
      <c r="H1069">
        <v>5.95</v>
      </c>
      <c r="I1069" t="s">
        <v>3150</v>
      </c>
      <c r="J1069" t="s">
        <v>3166</v>
      </c>
      <c r="K1069" t="s">
        <v>3177</v>
      </c>
      <c r="L1069" t="str">
        <f>_xlfn.XLOOKUP(C1069,[1]!Table1[Shift_ID],[1]!Table1[Shift_ID])</f>
        <v>S02</v>
      </c>
      <c r="M1069" t="str">
        <f>_xlfn.XLOOKUP(D1069,[2]!Table1[Machine_ID],[2]!Table1[Machine_ID])</f>
        <v>M005</v>
      </c>
      <c r="N1069" t="str">
        <f>_xlfn.XLOOKUP(E1069,[3]Sheet1!$A$2:$A$391,[3]Sheet1!$A$2:$A$391)</f>
        <v>PO10072</v>
      </c>
    </row>
    <row r="1070" spans="1:14" x14ac:dyDescent="0.2">
      <c r="A1070" t="s">
        <v>1079</v>
      </c>
      <c r="B1070" s="2">
        <v>46268</v>
      </c>
      <c r="C1070" t="s">
        <v>2941</v>
      </c>
      <c r="D1070" t="s">
        <v>2946</v>
      </c>
      <c r="E1070" t="s">
        <v>3022</v>
      </c>
      <c r="F1070" s="3">
        <v>46268.750677497897</v>
      </c>
      <c r="G1070" s="3">
        <v>46268.752265733558</v>
      </c>
      <c r="H1070">
        <v>2.29</v>
      </c>
      <c r="I1070" t="s">
        <v>3148</v>
      </c>
      <c r="J1070" t="s">
        <v>3155</v>
      </c>
      <c r="K1070" t="s">
        <v>3173</v>
      </c>
      <c r="L1070" t="str">
        <f>_xlfn.XLOOKUP(C1070,[1]!Table1[Shift_ID],[1]!Table1[Shift_ID])</f>
        <v>S02</v>
      </c>
      <c r="M1070" t="str">
        <f>_xlfn.XLOOKUP(D1070,[2]!Table1[Machine_ID],[2]!Table1[Machine_ID])</f>
        <v>M005</v>
      </c>
      <c r="N1070" t="str">
        <f>_xlfn.XLOOKUP(E1070,[3]Sheet1!$A$2:$A$391,[3]Sheet1!$A$2:$A$391)</f>
        <v>PO10072</v>
      </c>
    </row>
    <row r="1071" spans="1:14" x14ac:dyDescent="0.2">
      <c r="A1071" t="s">
        <v>1080</v>
      </c>
      <c r="B1071" s="2">
        <v>46268</v>
      </c>
      <c r="C1071" t="s">
        <v>2941</v>
      </c>
      <c r="D1071" t="s">
        <v>2947</v>
      </c>
      <c r="E1071" t="s">
        <v>3022</v>
      </c>
      <c r="F1071" s="3">
        <v>46268.815399648563</v>
      </c>
      <c r="G1071" s="3">
        <v>46268.841792274841</v>
      </c>
      <c r="H1071">
        <v>38.01</v>
      </c>
      <c r="I1071" t="s">
        <v>3147</v>
      </c>
      <c r="J1071" t="s">
        <v>3167</v>
      </c>
      <c r="K1071" t="s">
        <v>3172</v>
      </c>
      <c r="L1071" t="str">
        <f>_xlfn.XLOOKUP(C1071,[1]!Table1[Shift_ID],[1]!Table1[Shift_ID])</f>
        <v>S02</v>
      </c>
      <c r="M1071" t="str">
        <f>_xlfn.XLOOKUP(D1071,[2]!Table1[Machine_ID],[2]!Table1[Machine_ID])</f>
        <v>M006</v>
      </c>
      <c r="N1071" t="str">
        <f>_xlfn.XLOOKUP(E1071,[3]Sheet1!$A$2:$A$391,[3]Sheet1!$A$2:$A$391)</f>
        <v>PO10072</v>
      </c>
    </row>
    <row r="1072" spans="1:14" x14ac:dyDescent="0.2">
      <c r="A1072" t="s">
        <v>1081</v>
      </c>
      <c r="B1072" s="2">
        <v>46268</v>
      </c>
      <c r="C1072" t="s">
        <v>2941</v>
      </c>
      <c r="D1072" t="s">
        <v>2948</v>
      </c>
      <c r="E1072" t="s">
        <v>3022</v>
      </c>
      <c r="F1072" s="3">
        <v>46268.785106729978</v>
      </c>
      <c r="G1072" s="3">
        <v>46268.791821583072</v>
      </c>
      <c r="H1072">
        <v>9.67</v>
      </c>
      <c r="I1072" t="s">
        <v>3150</v>
      </c>
      <c r="J1072" t="s">
        <v>3159</v>
      </c>
      <c r="K1072" t="s">
        <v>3179</v>
      </c>
      <c r="L1072" t="str">
        <f>_xlfn.XLOOKUP(C1072,[1]!Table1[Shift_ID],[1]!Table1[Shift_ID])</f>
        <v>S02</v>
      </c>
      <c r="M1072" t="str">
        <f>_xlfn.XLOOKUP(D1072,[2]!Table1[Machine_ID],[2]!Table1[Machine_ID])</f>
        <v>M007</v>
      </c>
      <c r="N1072" t="str">
        <f>_xlfn.XLOOKUP(E1072,[3]Sheet1!$A$2:$A$391,[3]Sheet1!$A$2:$A$391)</f>
        <v>PO10072</v>
      </c>
    </row>
    <row r="1073" spans="1:14" x14ac:dyDescent="0.2">
      <c r="A1073" t="s">
        <v>1082</v>
      </c>
      <c r="B1073" s="2">
        <v>46268</v>
      </c>
      <c r="C1073" t="s">
        <v>2941</v>
      </c>
      <c r="D1073" t="s">
        <v>2948</v>
      </c>
      <c r="E1073" t="s">
        <v>3022</v>
      </c>
      <c r="F1073" s="3">
        <v>46268.800591090629</v>
      </c>
      <c r="G1073" s="3">
        <v>46268.809049609401</v>
      </c>
      <c r="H1073">
        <v>12.18</v>
      </c>
      <c r="I1073" t="s">
        <v>3147</v>
      </c>
      <c r="J1073" t="s">
        <v>3167</v>
      </c>
      <c r="K1073" t="s">
        <v>3185</v>
      </c>
      <c r="L1073" t="str">
        <f>_xlfn.XLOOKUP(C1073,[1]!Table1[Shift_ID],[1]!Table1[Shift_ID])</f>
        <v>S02</v>
      </c>
      <c r="M1073" t="str">
        <f>_xlfn.XLOOKUP(D1073,[2]!Table1[Machine_ID],[2]!Table1[Machine_ID])</f>
        <v>M007</v>
      </c>
      <c r="N1073" t="str">
        <f>_xlfn.XLOOKUP(E1073,[3]Sheet1!$A$2:$A$391,[3]Sheet1!$A$2:$A$391)</f>
        <v>PO10072</v>
      </c>
    </row>
    <row r="1074" spans="1:14" x14ac:dyDescent="0.2">
      <c r="A1074" t="s">
        <v>1083</v>
      </c>
      <c r="B1074" s="2">
        <v>46268</v>
      </c>
      <c r="C1074" t="s">
        <v>2941</v>
      </c>
      <c r="D1074" t="s">
        <v>2949</v>
      </c>
      <c r="E1074" t="s">
        <v>3022</v>
      </c>
      <c r="F1074" s="3">
        <v>46268.683615148111</v>
      </c>
      <c r="G1074" s="3">
        <v>46268.685739172397</v>
      </c>
      <c r="H1074">
        <v>3.06</v>
      </c>
      <c r="I1074" t="s">
        <v>3149</v>
      </c>
      <c r="J1074" t="s">
        <v>3162</v>
      </c>
      <c r="K1074" t="s">
        <v>3184</v>
      </c>
      <c r="L1074" t="str">
        <f>_xlfn.XLOOKUP(C1074,[1]!Table1[Shift_ID],[1]!Table1[Shift_ID])</f>
        <v>S02</v>
      </c>
      <c r="M1074" t="str">
        <f>_xlfn.XLOOKUP(D1074,[2]!Table1[Machine_ID],[2]!Table1[Machine_ID])</f>
        <v>M008</v>
      </c>
      <c r="N1074" t="str">
        <f>_xlfn.XLOOKUP(E1074,[3]Sheet1!$A$2:$A$391,[3]Sheet1!$A$2:$A$391)</f>
        <v>PO10072</v>
      </c>
    </row>
    <row r="1075" spans="1:14" x14ac:dyDescent="0.2">
      <c r="A1075" t="s">
        <v>1084</v>
      </c>
      <c r="B1075" s="2">
        <v>46268</v>
      </c>
      <c r="C1075" t="s">
        <v>2941</v>
      </c>
      <c r="D1075" t="s">
        <v>2949</v>
      </c>
      <c r="E1075" t="s">
        <v>3022</v>
      </c>
      <c r="F1075" s="3">
        <v>46268.747966048591</v>
      </c>
      <c r="G1075" s="3">
        <v>46268.750986677122</v>
      </c>
      <c r="H1075">
        <v>4.3499999999999996</v>
      </c>
      <c r="I1075" t="s">
        <v>3148</v>
      </c>
      <c r="J1075" t="s">
        <v>3165</v>
      </c>
      <c r="K1075" t="s">
        <v>3180</v>
      </c>
      <c r="L1075" t="str">
        <f>_xlfn.XLOOKUP(C1075,[1]!Table1[Shift_ID],[1]!Table1[Shift_ID])</f>
        <v>S02</v>
      </c>
      <c r="M1075" t="str">
        <f>_xlfn.XLOOKUP(D1075,[2]!Table1[Machine_ID],[2]!Table1[Machine_ID])</f>
        <v>M008</v>
      </c>
      <c r="N1075" t="str">
        <f>_xlfn.XLOOKUP(E1075,[3]Sheet1!$A$2:$A$391,[3]Sheet1!$A$2:$A$391)</f>
        <v>PO10072</v>
      </c>
    </row>
    <row r="1076" spans="1:14" x14ac:dyDescent="0.2">
      <c r="A1076" t="s">
        <v>1085</v>
      </c>
      <c r="B1076" s="2">
        <v>46269</v>
      </c>
      <c r="C1076" t="s">
        <v>2939</v>
      </c>
      <c r="D1076" t="s">
        <v>2942</v>
      </c>
      <c r="E1076" t="s">
        <v>3023</v>
      </c>
      <c r="F1076" s="3">
        <v>46270.065358931082</v>
      </c>
      <c r="G1076" s="3">
        <v>46270.069900434522</v>
      </c>
      <c r="H1076">
        <v>6.54</v>
      </c>
      <c r="I1076" t="s">
        <v>3149</v>
      </c>
      <c r="J1076" t="s">
        <v>3168</v>
      </c>
      <c r="K1076" t="s">
        <v>3184</v>
      </c>
      <c r="L1076" t="str">
        <f>_xlfn.XLOOKUP(C1076,[1]!Table1[Shift_ID],[1]!Table1[Shift_ID])</f>
        <v>S03</v>
      </c>
      <c r="M1076" t="str">
        <f>_xlfn.XLOOKUP(D1076,[2]!Table1[Machine_ID],[2]!Table1[Machine_ID])</f>
        <v>M001</v>
      </c>
      <c r="N1076" t="str">
        <f>_xlfn.XLOOKUP(E1076,[3]Sheet1!$A$2:$A$391,[3]Sheet1!$A$2:$A$391)</f>
        <v>PO10073</v>
      </c>
    </row>
    <row r="1077" spans="1:14" x14ac:dyDescent="0.2">
      <c r="A1077" t="s">
        <v>1086</v>
      </c>
      <c r="B1077" s="2">
        <v>46269</v>
      </c>
      <c r="C1077" t="s">
        <v>2939</v>
      </c>
      <c r="D1077" t="s">
        <v>2943</v>
      </c>
      <c r="E1077" t="s">
        <v>3023</v>
      </c>
      <c r="F1077" s="3">
        <v>46270.018556345371</v>
      </c>
      <c r="G1077" s="3">
        <v>46270.024533304131</v>
      </c>
      <c r="H1077">
        <v>8.61</v>
      </c>
      <c r="I1077" t="s">
        <v>3150</v>
      </c>
      <c r="J1077" t="s">
        <v>3160</v>
      </c>
      <c r="K1077" t="s">
        <v>3178</v>
      </c>
      <c r="L1077" t="str">
        <f>_xlfn.XLOOKUP(C1077,[1]!Table1[Shift_ID],[1]!Table1[Shift_ID])</f>
        <v>S03</v>
      </c>
      <c r="M1077" t="str">
        <f>_xlfn.XLOOKUP(D1077,[2]!Table1[Machine_ID],[2]!Table1[Machine_ID])</f>
        <v>M002</v>
      </c>
      <c r="N1077" t="str">
        <f>_xlfn.XLOOKUP(E1077,[3]Sheet1!$A$2:$A$391,[3]Sheet1!$A$2:$A$391)</f>
        <v>PO10073</v>
      </c>
    </row>
    <row r="1078" spans="1:14" x14ac:dyDescent="0.2">
      <c r="A1078" t="s">
        <v>1087</v>
      </c>
      <c r="B1078" s="2">
        <v>46269</v>
      </c>
      <c r="C1078" t="s">
        <v>2939</v>
      </c>
      <c r="D1078" t="s">
        <v>2943</v>
      </c>
      <c r="E1078" t="s">
        <v>3023</v>
      </c>
      <c r="F1078" s="3">
        <v>46270.07863338384</v>
      </c>
      <c r="G1078" s="3">
        <v>46270.08031590777</v>
      </c>
      <c r="H1078">
        <v>2.42</v>
      </c>
      <c r="I1078" t="s">
        <v>3147</v>
      </c>
      <c r="J1078" t="s">
        <v>3153</v>
      </c>
      <c r="K1078" t="s">
        <v>3185</v>
      </c>
      <c r="L1078" t="str">
        <f>_xlfn.XLOOKUP(C1078,[1]!Table1[Shift_ID],[1]!Table1[Shift_ID])</f>
        <v>S03</v>
      </c>
      <c r="M1078" t="str">
        <f>_xlfn.XLOOKUP(D1078,[2]!Table1[Machine_ID],[2]!Table1[Machine_ID])</f>
        <v>M002</v>
      </c>
      <c r="N1078" t="str">
        <f>_xlfn.XLOOKUP(E1078,[3]Sheet1!$A$2:$A$391,[3]Sheet1!$A$2:$A$391)</f>
        <v>PO10073</v>
      </c>
    </row>
    <row r="1079" spans="1:14" x14ac:dyDescent="0.2">
      <c r="A1079" t="s">
        <v>1088</v>
      </c>
      <c r="B1079" s="2">
        <v>46269</v>
      </c>
      <c r="C1079" t="s">
        <v>2939</v>
      </c>
      <c r="D1079" t="s">
        <v>2944</v>
      </c>
      <c r="E1079" t="s">
        <v>3023</v>
      </c>
      <c r="F1079" s="3">
        <v>46269.981979309363</v>
      </c>
      <c r="G1079" s="3">
        <v>46269.983735056252</v>
      </c>
      <c r="H1079">
        <v>2.5299999999999998</v>
      </c>
      <c r="I1079" t="s">
        <v>3150</v>
      </c>
      <c r="J1079" t="s">
        <v>3160</v>
      </c>
      <c r="K1079" t="s">
        <v>3179</v>
      </c>
      <c r="L1079" t="str">
        <f>_xlfn.XLOOKUP(C1079,[1]!Table1[Shift_ID],[1]!Table1[Shift_ID])</f>
        <v>S03</v>
      </c>
      <c r="M1079" t="str">
        <f>_xlfn.XLOOKUP(D1079,[2]!Table1[Machine_ID],[2]!Table1[Machine_ID])</f>
        <v>M003</v>
      </c>
      <c r="N1079" t="str">
        <f>_xlfn.XLOOKUP(E1079,[3]Sheet1!$A$2:$A$391,[3]Sheet1!$A$2:$A$391)</f>
        <v>PO10073</v>
      </c>
    </row>
    <row r="1080" spans="1:14" x14ac:dyDescent="0.2">
      <c r="A1080" t="s">
        <v>1089</v>
      </c>
      <c r="B1080" s="2">
        <v>46269</v>
      </c>
      <c r="C1080" t="s">
        <v>2939</v>
      </c>
      <c r="D1080" t="s">
        <v>2944</v>
      </c>
      <c r="E1080" t="s">
        <v>3023</v>
      </c>
      <c r="F1080" s="3">
        <v>46270.110824815107</v>
      </c>
      <c r="G1080" s="3">
        <v>46270.116766004423</v>
      </c>
      <c r="H1080">
        <v>8.56</v>
      </c>
      <c r="I1080" t="s">
        <v>3150</v>
      </c>
      <c r="J1080" t="s">
        <v>3163</v>
      </c>
      <c r="K1080" t="s">
        <v>3178</v>
      </c>
      <c r="L1080" t="str">
        <f>_xlfn.XLOOKUP(C1080,[1]!Table1[Shift_ID],[1]!Table1[Shift_ID])</f>
        <v>S03</v>
      </c>
      <c r="M1080" t="str">
        <f>_xlfn.XLOOKUP(D1080,[2]!Table1[Machine_ID],[2]!Table1[Machine_ID])</f>
        <v>M003</v>
      </c>
      <c r="N1080" t="str">
        <f>_xlfn.XLOOKUP(E1080,[3]Sheet1!$A$2:$A$391,[3]Sheet1!$A$2:$A$391)</f>
        <v>PO10073</v>
      </c>
    </row>
    <row r="1081" spans="1:14" x14ac:dyDescent="0.2">
      <c r="A1081" t="s">
        <v>1090</v>
      </c>
      <c r="B1081" s="2">
        <v>46269</v>
      </c>
      <c r="C1081" t="s">
        <v>2939</v>
      </c>
      <c r="D1081" t="s">
        <v>2944</v>
      </c>
      <c r="E1081" t="s">
        <v>3023</v>
      </c>
      <c r="F1081" s="3">
        <v>46270.145043573502</v>
      </c>
      <c r="G1081" s="3">
        <v>46270.14721035715</v>
      </c>
      <c r="H1081">
        <v>3.12</v>
      </c>
      <c r="I1081" t="s">
        <v>3147</v>
      </c>
      <c r="J1081" t="s">
        <v>3154</v>
      </c>
      <c r="K1081" t="s">
        <v>3186</v>
      </c>
      <c r="L1081" t="str">
        <f>_xlfn.XLOOKUP(C1081,[1]!Table1[Shift_ID],[1]!Table1[Shift_ID])</f>
        <v>S03</v>
      </c>
      <c r="M1081" t="str">
        <f>_xlfn.XLOOKUP(D1081,[2]!Table1[Machine_ID],[2]!Table1[Machine_ID])</f>
        <v>M003</v>
      </c>
      <c r="N1081" t="str">
        <f>_xlfn.XLOOKUP(E1081,[3]Sheet1!$A$2:$A$391,[3]Sheet1!$A$2:$A$391)</f>
        <v>PO10073</v>
      </c>
    </row>
    <row r="1082" spans="1:14" x14ac:dyDescent="0.2">
      <c r="A1082" t="s">
        <v>1091</v>
      </c>
      <c r="B1082" s="2">
        <v>46269</v>
      </c>
      <c r="C1082" t="s">
        <v>2939</v>
      </c>
      <c r="D1082" t="s">
        <v>2945</v>
      </c>
      <c r="E1082" t="s">
        <v>3023</v>
      </c>
      <c r="F1082" s="3">
        <v>46270.146920479259</v>
      </c>
      <c r="G1082" s="3">
        <v>46270.153852421608</v>
      </c>
      <c r="H1082">
        <v>9.98</v>
      </c>
      <c r="I1082" t="s">
        <v>3147</v>
      </c>
      <c r="J1082" t="s">
        <v>3153</v>
      </c>
      <c r="K1082" t="s">
        <v>3172</v>
      </c>
      <c r="L1082" t="str">
        <f>_xlfn.XLOOKUP(C1082,[1]!Table1[Shift_ID],[1]!Table1[Shift_ID])</f>
        <v>S03</v>
      </c>
      <c r="M1082" t="str">
        <f>_xlfn.XLOOKUP(D1082,[2]!Table1[Machine_ID],[2]!Table1[Machine_ID])</f>
        <v>M004</v>
      </c>
      <c r="N1082" t="str">
        <f>_xlfn.XLOOKUP(E1082,[3]Sheet1!$A$2:$A$391,[3]Sheet1!$A$2:$A$391)</f>
        <v>PO10073</v>
      </c>
    </row>
    <row r="1083" spans="1:14" x14ac:dyDescent="0.2">
      <c r="A1083" t="s">
        <v>1092</v>
      </c>
      <c r="B1083" s="2">
        <v>46269</v>
      </c>
      <c r="C1083" t="s">
        <v>2939</v>
      </c>
      <c r="D1083" t="s">
        <v>2946</v>
      </c>
      <c r="E1083" t="s">
        <v>3023</v>
      </c>
      <c r="F1083" s="3">
        <v>46270.067991440301</v>
      </c>
      <c r="G1083" s="3">
        <v>46270.07058016293</v>
      </c>
      <c r="H1083">
        <v>3.73</v>
      </c>
      <c r="I1083" t="s">
        <v>3150</v>
      </c>
      <c r="J1083" t="s">
        <v>3160</v>
      </c>
      <c r="K1083" t="s">
        <v>3179</v>
      </c>
      <c r="L1083" t="str">
        <f>_xlfn.XLOOKUP(C1083,[1]!Table1[Shift_ID],[1]!Table1[Shift_ID])</f>
        <v>S03</v>
      </c>
      <c r="M1083" t="str">
        <f>_xlfn.XLOOKUP(D1083,[2]!Table1[Machine_ID],[2]!Table1[Machine_ID])</f>
        <v>M005</v>
      </c>
      <c r="N1083" t="str">
        <f>_xlfn.XLOOKUP(E1083,[3]Sheet1!$A$2:$A$391,[3]Sheet1!$A$2:$A$391)</f>
        <v>PO10073</v>
      </c>
    </row>
    <row r="1084" spans="1:14" x14ac:dyDescent="0.2">
      <c r="A1084" t="s">
        <v>1093</v>
      </c>
      <c r="B1084" s="2">
        <v>46269</v>
      </c>
      <c r="C1084" t="s">
        <v>2939</v>
      </c>
      <c r="D1084" t="s">
        <v>2946</v>
      </c>
      <c r="E1084" t="s">
        <v>3023</v>
      </c>
      <c r="F1084" s="3">
        <v>46270.077504218767</v>
      </c>
      <c r="G1084" s="3">
        <v>46270.082477475087</v>
      </c>
      <c r="H1084">
        <v>7.16</v>
      </c>
      <c r="I1084" t="s">
        <v>3146</v>
      </c>
      <c r="J1084" t="s">
        <v>3156</v>
      </c>
      <c r="K1084" t="s">
        <v>3175</v>
      </c>
      <c r="L1084" t="str">
        <f>_xlfn.XLOOKUP(C1084,[1]!Table1[Shift_ID],[1]!Table1[Shift_ID])</f>
        <v>S03</v>
      </c>
      <c r="M1084" t="str">
        <f>_xlfn.XLOOKUP(D1084,[2]!Table1[Machine_ID],[2]!Table1[Machine_ID])</f>
        <v>M005</v>
      </c>
      <c r="N1084" t="str">
        <f>_xlfn.XLOOKUP(E1084,[3]Sheet1!$A$2:$A$391,[3]Sheet1!$A$2:$A$391)</f>
        <v>PO10073</v>
      </c>
    </row>
    <row r="1085" spans="1:14" x14ac:dyDescent="0.2">
      <c r="A1085" t="s">
        <v>1094</v>
      </c>
      <c r="B1085" s="2">
        <v>46269</v>
      </c>
      <c r="C1085" t="s">
        <v>2939</v>
      </c>
      <c r="D1085" t="s">
        <v>2947</v>
      </c>
      <c r="E1085" t="s">
        <v>3023</v>
      </c>
      <c r="F1085" s="3">
        <v>46270.021816825662</v>
      </c>
      <c r="G1085" s="3">
        <v>46270.031283810858</v>
      </c>
      <c r="H1085">
        <v>13.63</v>
      </c>
      <c r="I1085" t="s">
        <v>3148</v>
      </c>
      <c r="J1085" t="s">
        <v>3165</v>
      </c>
      <c r="K1085" t="s">
        <v>3183</v>
      </c>
      <c r="L1085" t="str">
        <f>_xlfn.XLOOKUP(C1085,[1]!Table1[Shift_ID],[1]!Table1[Shift_ID])</f>
        <v>S03</v>
      </c>
      <c r="M1085" t="str">
        <f>_xlfn.XLOOKUP(D1085,[2]!Table1[Machine_ID],[2]!Table1[Machine_ID])</f>
        <v>M006</v>
      </c>
      <c r="N1085" t="str">
        <f>_xlfn.XLOOKUP(E1085,[3]Sheet1!$A$2:$A$391,[3]Sheet1!$A$2:$A$391)</f>
        <v>PO10073</v>
      </c>
    </row>
    <row r="1086" spans="1:14" x14ac:dyDescent="0.2">
      <c r="A1086" t="s">
        <v>1095</v>
      </c>
      <c r="B1086" s="2">
        <v>46269</v>
      </c>
      <c r="C1086" t="s">
        <v>2939</v>
      </c>
      <c r="D1086" t="s">
        <v>2947</v>
      </c>
      <c r="E1086" t="s">
        <v>3023</v>
      </c>
      <c r="F1086" s="3">
        <v>46270.075430554018</v>
      </c>
      <c r="G1086" s="3">
        <v>46270.081100617237</v>
      </c>
      <c r="H1086">
        <v>8.16</v>
      </c>
      <c r="I1086" t="s">
        <v>3149</v>
      </c>
      <c r="J1086" t="s">
        <v>3162</v>
      </c>
      <c r="K1086" t="s">
        <v>3182</v>
      </c>
      <c r="L1086" t="str">
        <f>_xlfn.XLOOKUP(C1086,[1]!Table1[Shift_ID],[1]!Table1[Shift_ID])</f>
        <v>S03</v>
      </c>
      <c r="M1086" t="str">
        <f>_xlfn.XLOOKUP(D1086,[2]!Table1[Machine_ID],[2]!Table1[Machine_ID])</f>
        <v>M006</v>
      </c>
      <c r="N1086" t="str">
        <f>_xlfn.XLOOKUP(E1086,[3]Sheet1!$A$2:$A$391,[3]Sheet1!$A$2:$A$391)</f>
        <v>PO10073</v>
      </c>
    </row>
    <row r="1087" spans="1:14" x14ac:dyDescent="0.2">
      <c r="A1087" t="s">
        <v>1096</v>
      </c>
      <c r="B1087" s="2">
        <v>46269</v>
      </c>
      <c r="C1087" t="s">
        <v>2939</v>
      </c>
      <c r="D1087" t="s">
        <v>2947</v>
      </c>
      <c r="E1087" t="s">
        <v>3023</v>
      </c>
      <c r="F1087" s="3">
        <v>46270.237257406647</v>
      </c>
      <c r="G1087" s="3">
        <v>46270.247022774558</v>
      </c>
      <c r="H1087">
        <v>14.06</v>
      </c>
      <c r="I1087" t="s">
        <v>3149</v>
      </c>
      <c r="J1087" t="s">
        <v>3168</v>
      </c>
      <c r="K1087" t="s">
        <v>3184</v>
      </c>
      <c r="L1087" t="str">
        <f>_xlfn.XLOOKUP(C1087,[1]!Table1[Shift_ID],[1]!Table1[Shift_ID])</f>
        <v>S03</v>
      </c>
      <c r="M1087" t="str">
        <f>_xlfn.XLOOKUP(D1087,[2]!Table1[Machine_ID],[2]!Table1[Machine_ID])</f>
        <v>M006</v>
      </c>
      <c r="N1087" t="str">
        <f>_xlfn.XLOOKUP(E1087,[3]Sheet1!$A$2:$A$391,[3]Sheet1!$A$2:$A$391)</f>
        <v>PO10073</v>
      </c>
    </row>
    <row r="1088" spans="1:14" x14ac:dyDescent="0.2">
      <c r="A1088" t="s">
        <v>1097</v>
      </c>
      <c r="B1088" s="2">
        <v>46269</v>
      </c>
      <c r="C1088" t="s">
        <v>2939</v>
      </c>
      <c r="D1088" t="s">
        <v>2948</v>
      </c>
      <c r="E1088" t="s">
        <v>3023</v>
      </c>
      <c r="F1088" s="3">
        <v>46270.182835810017</v>
      </c>
      <c r="G1088" s="3">
        <v>46270.197698363118</v>
      </c>
      <c r="H1088">
        <v>21.4</v>
      </c>
      <c r="I1088" t="s">
        <v>3149</v>
      </c>
      <c r="J1088" t="s">
        <v>3158</v>
      </c>
      <c r="K1088" t="s">
        <v>3182</v>
      </c>
      <c r="L1088" t="str">
        <f>_xlfn.XLOOKUP(C1088,[1]!Table1[Shift_ID],[1]!Table1[Shift_ID])</f>
        <v>S03</v>
      </c>
      <c r="M1088" t="str">
        <f>_xlfn.XLOOKUP(D1088,[2]!Table1[Machine_ID],[2]!Table1[Machine_ID])</f>
        <v>M007</v>
      </c>
      <c r="N1088" t="str">
        <f>_xlfn.XLOOKUP(E1088,[3]Sheet1!$A$2:$A$391,[3]Sheet1!$A$2:$A$391)</f>
        <v>PO10073</v>
      </c>
    </row>
    <row r="1089" spans="1:14" x14ac:dyDescent="0.2">
      <c r="A1089" t="s">
        <v>1098</v>
      </c>
      <c r="B1089" s="2">
        <v>46269</v>
      </c>
      <c r="C1089" t="s">
        <v>2939</v>
      </c>
      <c r="D1089" t="s">
        <v>2949</v>
      </c>
      <c r="E1089" t="s">
        <v>3023</v>
      </c>
      <c r="F1089" s="3">
        <v>46270.076645266367</v>
      </c>
      <c r="G1089" s="3">
        <v>46270.081581864397</v>
      </c>
      <c r="H1089">
        <v>7.11</v>
      </c>
      <c r="I1089" t="s">
        <v>3148</v>
      </c>
      <c r="J1089" t="s">
        <v>3155</v>
      </c>
      <c r="K1089" t="s">
        <v>3183</v>
      </c>
      <c r="L1089" t="str">
        <f>_xlfn.XLOOKUP(C1089,[1]!Table1[Shift_ID],[1]!Table1[Shift_ID])</f>
        <v>S03</v>
      </c>
      <c r="M1089" t="str">
        <f>_xlfn.XLOOKUP(D1089,[2]!Table1[Machine_ID],[2]!Table1[Machine_ID])</f>
        <v>M008</v>
      </c>
      <c r="N1089" t="str">
        <f>_xlfn.XLOOKUP(E1089,[3]Sheet1!$A$2:$A$391,[3]Sheet1!$A$2:$A$391)</f>
        <v>PO10073</v>
      </c>
    </row>
    <row r="1090" spans="1:14" x14ac:dyDescent="0.2">
      <c r="A1090" t="s">
        <v>1099</v>
      </c>
      <c r="B1090" s="2">
        <v>46269</v>
      </c>
      <c r="C1090" t="s">
        <v>2939</v>
      </c>
      <c r="D1090" t="s">
        <v>2949</v>
      </c>
      <c r="E1090" t="s">
        <v>3023</v>
      </c>
      <c r="F1090" s="3">
        <v>46270.205836460853</v>
      </c>
      <c r="G1090" s="3">
        <v>46270.208728675017</v>
      </c>
      <c r="H1090">
        <v>4.16</v>
      </c>
      <c r="I1090" t="s">
        <v>3148</v>
      </c>
      <c r="J1090" t="s">
        <v>3165</v>
      </c>
      <c r="K1090" t="s">
        <v>3183</v>
      </c>
      <c r="L1090" t="str">
        <f>_xlfn.XLOOKUP(C1090,[1]!Table1[Shift_ID],[1]!Table1[Shift_ID])</f>
        <v>S03</v>
      </c>
      <c r="M1090" t="str">
        <f>_xlfn.XLOOKUP(D1090,[2]!Table1[Machine_ID],[2]!Table1[Machine_ID])</f>
        <v>M008</v>
      </c>
      <c r="N1090" t="str">
        <f>_xlfn.XLOOKUP(E1090,[3]Sheet1!$A$2:$A$391,[3]Sheet1!$A$2:$A$391)</f>
        <v>PO10073</v>
      </c>
    </row>
    <row r="1091" spans="1:14" x14ac:dyDescent="0.2">
      <c r="A1091" t="s">
        <v>1100</v>
      </c>
      <c r="B1091" s="2">
        <v>46269</v>
      </c>
      <c r="C1091" t="s">
        <v>2940</v>
      </c>
      <c r="D1091" t="s">
        <v>2942</v>
      </c>
      <c r="E1091" t="s">
        <v>3024</v>
      </c>
      <c r="F1091" s="3">
        <v>46269.250727088467</v>
      </c>
      <c r="G1091" s="3">
        <v>46269.251854824201</v>
      </c>
      <c r="H1091">
        <v>1.62</v>
      </c>
      <c r="I1091" t="s">
        <v>3147</v>
      </c>
      <c r="J1091" t="s">
        <v>3167</v>
      </c>
      <c r="K1091" t="s">
        <v>3185</v>
      </c>
      <c r="L1091" t="str">
        <f>_xlfn.XLOOKUP(C1091,[1]!Table1[Shift_ID],[1]!Table1[Shift_ID])</f>
        <v>S01</v>
      </c>
      <c r="M1091" t="str">
        <f>_xlfn.XLOOKUP(D1091,[2]!Table1[Machine_ID],[2]!Table1[Machine_ID])</f>
        <v>M001</v>
      </c>
      <c r="N1091" t="str">
        <f>_xlfn.XLOOKUP(E1091,[3]Sheet1!$A$2:$A$391,[3]Sheet1!$A$2:$A$391)</f>
        <v>PO10074</v>
      </c>
    </row>
    <row r="1092" spans="1:14" x14ac:dyDescent="0.2">
      <c r="A1092" t="s">
        <v>1101</v>
      </c>
      <c r="B1092" s="2">
        <v>46269</v>
      </c>
      <c r="C1092" t="s">
        <v>2940</v>
      </c>
      <c r="D1092" t="s">
        <v>2942</v>
      </c>
      <c r="E1092" t="s">
        <v>3024</v>
      </c>
      <c r="F1092" s="3">
        <v>46269.304019097792</v>
      </c>
      <c r="G1092" s="3">
        <v>46269.305164887577</v>
      </c>
      <c r="H1092">
        <v>1.65</v>
      </c>
      <c r="I1092" t="s">
        <v>3148</v>
      </c>
      <c r="J1092" t="s">
        <v>3165</v>
      </c>
      <c r="K1092" t="s">
        <v>3183</v>
      </c>
      <c r="L1092" t="str">
        <f>_xlfn.XLOOKUP(C1092,[1]!Table1[Shift_ID],[1]!Table1[Shift_ID])</f>
        <v>S01</v>
      </c>
      <c r="M1092" t="str">
        <f>_xlfn.XLOOKUP(D1092,[2]!Table1[Machine_ID],[2]!Table1[Machine_ID])</f>
        <v>M001</v>
      </c>
      <c r="N1092" t="str">
        <f>_xlfn.XLOOKUP(E1092,[3]Sheet1!$A$2:$A$391,[3]Sheet1!$A$2:$A$391)</f>
        <v>PO10074</v>
      </c>
    </row>
    <row r="1093" spans="1:14" x14ac:dyDescent="0.2">
      <c r="A1093" t="s">
        <v>1102</v>
      </c>
      <c r="B1093" s="2">
        <v>46269</v>
      </c>
      <c r="C1093" t="s">
        <v>2940</v>
      </c>
      <c r="D1093" t="s">
        <v>2942</v>
      </c>
      <c r="E1093" t="s">
        <v>3024</v>
      </c>
      <c r="F1093" s="3">
        <v>46269.367792703793</v>
      </c>
      <c r="G1093" s="3">
        <v>46269.368920439527</v>
      </c>
      <c r="H1093">
        <v>1.62</v>
      </c>
      <c r="I1093" t="s">
        <v>3151</v>
      </c>
      <c r="J1093" t="s">
        <v>3170</v>
      </c>
      <c r="K1093" t="s">
        <v>3188</v>
      </c>
      <c r="L1093" t="str">
        <f>_xlfn.XLOOKUP(C1093,[1]!Table1[Shift_ID],[1]!Table1[Shift_ID])</f>
        <v>S01</v>
      </c>
      <c r="M1093" t="str">
        <f>_xlfn.XLOOKUP(D1093,[2]!Table1[Machine_ID],[2]!Table1[Machine_ID])</f>
        <v>M001</v>
      </c>
      <c r="N1093" t="str">
        <f>_xlfn.XLOOKUP(E1093,[3]Sheet1!$A$2:$A$391,[3]Sheet1!$A$2:$A$391)</f>
        <v>PO10074</v>
      </c>
    </row>
    <row r="1094" spans="1:14" x14ac:dyDescent="0.2">
      <c r="A1094" t="s">
        <v>1103</v>
      </c>
      <c r="B1094" s="2">
        <v>46269</v>
      </c>
      <c r="C1094" t="s">
        <v>2940</v>
      </c>
      <c r="D1094" t="s">
        <v>2942</v>
      </c>
      <c r="E1094" t="s">
        <v>3024</v>
      </c>
      <c r="F1094" s="3">
        <v>46269.4094318711</v>
      </c>
      <c r="G1094" s="3">
        <v>46269.410559606833</v>
      </c>
      <c r="H1094">
        <v>1.62</v>
      </c>
      <c r="I1094" t="s">
        <v>3151</v>
      </c>
      <c r="J1094" t="s">
        <v>3169</v>
      </c>
      <c r="K1094" t="s">
        <v>3181</v>
      </c>
      <c r="L1094" t="str">
        <f>_xlfn.XLOOKUP(C1094,[1]!Table1[Shift_ID],[1]!Table1[Shift_ID])</f>
        <v>S01</v>
      </c>
      <c r="M1094" t="str">
        <f>_xlfn.XLOOKUP(D1094,[2]!Table1[Machine_ID],[2]!Table1[Machine_ID])</f>
        <v>M001</v>
      </c>
      <c r="N1094" t="str">
        <f>_xlfn.XLOOKUP(E1094,[3]Sheet1!$A$2:$A$391,[3]Sheet1!$A$2:$A$391)</f>
        <v>PO10074</v>
      </c>
    </row>
    <row r="1095" spans="1:14" x14ac:dyDescent="0.2">
      <c r="A1095" t="s">
        <v>1104</v>
      </c>
      <c r="B1095" s="2">
        <v>46269</v>
      </c>
      <c r="C1095" t="s">
        <v>2940</v>
      </c>
      <c r="D1095" t="s">
        <v>2942</v>
      </c>
      <c r="E1095" t="s">
        <v>3024</v>
      </c>
      <c r="F1095" s="3">
        <v>46269.448219352271</v>
      </c>
      <c r="G1095" s="3">
        <v>46269.449347087997</v>
      </c>
      <c r="H1095">
        <v>1.62</v>
      </c>
      <c r="I1095" t="s">
        <v>3150</v>
      </c>
      <c r="J1095" t="s">
        <v>3159</v>
      </c>
      <c r="K1095" t="s">
        <v>3178</v>
      </c>
      <c r="L1095" t="str">
        <f>_xlfn.XLOOKUP(C1095,[1]!Table1[Shift_ID],[1]!Table1[Shift_ID])</f>
        <v>S01</v>
      </c>
      <c r="M1095" t="str">
        <f>_xlfn.XLOOKUP(D1095,[2]!Table1[Machine_ID],[2]!Table1[Machine_ID])</f>
        <v>M001</v>
      </c>
      <c r="N1095" t="str">
        <f>_xlfn.XLOOKUP(E1095,[3]Sheet1!$A$2:$A$391,[3]Sheet1!$A$2:$A$391)</f>
        <v>PO10074</v>
      </c>
    </row>
    <row r="1096" spans="1:14" x14ac:dyDescent="0.2">
      <c r="A1096" t="s">
        <v>1105</v>
      </c>
      <c r="B1096" s="2">
        <v>46269</v>
      </c>
      <c r="C1096" t="s">
        <v>2940</v>
      </c>
      <c r="D1096" t="s">
        <v>2943</v>
      </c>
      <c r="E1096" t="s">
        <v>3024</v>
      </c>
      <c r="F1096" s="3">
        <v>46269.260433224059</v>
      </c>
      <c r="G1096" s="3">
        <v>46269.261841281303</v>
      </c>
      <c r="H1096">
        <v>2.0299999999999998</v>
      </c>
      <c r="I1096" t="s">
        <v>3148</v>
      </c>
      <c r="J1096" t="s">
        <v>3164</v>
      </c>
      <c r="K1096" t="s">
        <v>3173</v>
      </c>
      <c r="L1096" t="str">
        <f>_xlfn.XLOOKUP(C1096,[1]!Table1[Shift_ID],[1]!Table1[Shift_ID])</f>
        <v>S01</v>
      </c>
      <c r="M1096" t="str">
        <f>_xlfn.XLOOKUP(D1096,[2]!Table1[Machine_ID],[2]!Table1[Machine_ID])</f>
        <v>M002</v>
      </c>
      <c r="N1096" t="str">
        <f>_xlfn.XLOOKUP(E1096,[3]Sheet1!$A$2:$A$391,[3]Sheet1!$A$2:$A$391)</f>
        <v>PO10074</v>
      </c>
    </row>
    <row r="1097" spans="1:14" x14ac:dyDescent="0.2">
      <c r="A1097" t="s">
        <v>1106</v>
      </c>
      <c r="B1097" s="2">
        <v>46269</v>
      </c>
      <c r="C1097" t="s">
        <v>2940</v>
      </c>
      <c r="D1097" t="s">
        <v>2943</v>
      </c>
      <c r="E1097" t="s">
        <v>3024</v>
      </c>
      <c r="F1097" s="3">
        <v>46269.334469409383</v>
      </c>
      <c r="G1097" s="3">
        <v>46269.337003340799</v>
      </c>
      <c r="H1097">
        <v>3.65</v>
      </c>
      <c r="I1097" t="s">
        <v>3147</v>
      </c>
      <c r="J1097" t="s">
        <v>3153</v>
      </c>
      <c r="K1097" t="s">
        <v>3172</v>
      </c>
      <c r="L1097" t="str">
        <f>_xlfn.XLOOKUP(C1097,[1]!Table1[Shift_ID],[1]!Table1[Shift_ID])</f>
        <v>S01</v>
      </c>
      <c r="M1097" t="str">
        <f>_xlfn.XLOOKUP(D1097,[2]!Table1[Machine_ID],[2]!Table1[Machine_ID])</f>
        <v>M002</v>
      </c>
      <c r="N1097" t="str">
        <f>_xlfn.XLOOKUP(E1097,[3]Sheet1!$A$2:$A$391,[3]Sheet1!$A$2:$A$391)</f>
        <v>PO10074</v>
      </c>
    </row>
    <row r="1098" spans="1:14" x14ac:dyDescent="0.2">
      <c r="A1098" t="s">
        <v>1107</v>
      </c>
      <c r="B1098" s="2">
        <v>46269</v>
      </c>
      <c r="C1098" t="s">
        <v>2940</v>
      </c>
      <c r="D1098" t="s">
        <v>2943</v>
      </c>
      <c r="E1098" t="s">
        <v>3024</v>
      </c>
      <c r="F1098" s="3">
        <v>46269.337074023853</v>
      </c>
      <c r="G1098" s="3">
        <v>46269.338482081082</v>
      </c>
      <c r="H1098">
        <v>2.0299999999999998</v>
      </c>
      <c r="I1098" t="s">
        <v>3148</v>
      </c>
      <c r="J1098" t="s">
        <v>3165</v>
      </c>
      <c r="K1098" t="s">
        <v>3183</v>
      </c>
      <c r="L1098" t="str">
        <f>_xlfn.XLOOKUP(C1098,[1]!Table1[Shift_ID],[1]!Table1[Shift_ID])</f>
        <v>S01</v>
      </c>
      <c r="M1098" t="str">
        <f>_xlfn.XLOOKUP(D1098,[2]!Table1[Machine_ID],[2]!Table1[Machine_ID])</f>
        <v>M002</v>
      </c>
      <c r="N1098" t="str">
        <f>_xlfn.XLOOKUP(E1098,[3]Sheet1!$A$2:$A$391,[3]Sheet1!$A$2:$A$391)</f>
        <v>PO10074</v>
      </c>
    </row>
    <row r="1099" spans="1:14" x14ac:dyDescent="0.2">
      <c r="A1099" t="s">
        <v>1108</v>
      </c>
      <c r="B1099" s="2">
        <v>46269</v>
      </c>
      <c r="C1099" t="s">
        <v>2940</v>
      </c>
      <c r="D1099" t="s">
        <v>2943</v>
      </c>
      <c r="E1099" t="s">
        <v>3024</v>
      </c>
      <c r="F1099" s="3">
        <v>46269.381558316898</v>
      </c>
      <c r="G1099" s="3">
        <v>46269.38296637412</v>
      </c>
      <c r="H1099">
        <v>2.0299999999999998</v>
      </c>
      <c r="I1099" t="s">
        <v>3147</v>
      </c>
      <c r="J1099" t="s">
        <v>3154</v>
      </c>
      <c r="K1099" t="s">
        <v>3185</v>
      </c>
      <c r="L1099" t="str">
        <f>_xlfn.XLOOKUP(C1099,[1]!Table1[Shift_ID],[1]!Table1[Shift_ID])</f>
        <v>S01</v>
      </c>
      <c r="M1099" t="str">
        <f>_xlfn.XLOOKUP(D1099,[2]!Table1[Machine_ID],[2]!Table1[Machine_ID])</f>
        <v>M002</v>
      </c>
      <c r="N1099" t="str">
        <f>_xlfn.XLOOKUP(E1099,[3]Sheet1!$A$2:$A$391,[3]Sheet1!$A$2:$A$391)</f>
        <v>PO10074</v>
      </c>
    </row>
    <row r="1100" spans="1:14" x14ac:dyDescent="0.2">
      <c r="A1100" t="s">
        <v>1109</v>
      </c>
      <c r="B1100" s="2">
        <v>46269</v>
      </c>
      <c r="C1100" t="s">
        <v>2940</v>
      </c>
      <c r="D1100" t="s">
        <v>2944</v>
      </c>
      <c r="E1100" t="s">
        <v>3024</v>
      </c>
      <c r="F1100" s="3">
        <v>46269.335860667983</v>
      </c>
      <c r="G1100" s="3">
        <v>46269.338592136679</v>
      </c>
      <c r="H1100">
        <v>3.93</v>
      </c>
      <c r="I1100" t="s">
        <v>3147</v>
      </c>
      <c r="J1100" t="s">
        <v>3167</v>
      </c>
      <c r="K1100" t="s">
        <v>3172</v>
      </c>
      <c r="L1100" t="str">
        <f>_xlfn.XLOOKUP(C1100,[1]!Table1[Shift_ID],[1]!Table1[Shift_ID])</f>
        <v>S01</v>
      </c>
      <c r="M1100" t="str">
        <f>_xlfn.XLOOKUP(D1100,[2]!Table1[Machine_ID],[2]!Table1[Machine_ID])</f>
        <v>M003</v>
      </c>
      <c r="N1100" t="str">
        <f>_xlfn.XLOOKUP(E1100,[3]Sheet1!$A$2:$A$391,[3]Sheet1!$A$2:$A$391)</f>
        <v>PO10074</v>
      </c>
    </row>
    <row r="1101" spans="1:14" x14ac:dyDescent="0.2">
      <c r="A1101" t="s">
        <v>1110</v>
      </c>
      <c r="B1101" s="2">
        <v>46269</v>
      </c>
      <c r="C1101" t="s">
        <v>2940</v>
      </c>
      <c r="D1101" t="s">
        <v>2944</v>
      </c>
      <c r="E1101" t="s">
        <v>3024</v>
      </c>
      <c r="F1101" s="3">
        <v>46269.340891261687</v>
      </c>
      <c r="G1101" s="3">
        <v>46269.34614434051</v>
      </c>
      <c r="H1101">
        <v>7.56</v>
      </c>
      <c r="I1101" t="s">
        <v>3150</v>
      </c>
      <c r="J1101" t="s">
        <v>3163</v>
      </c>
      <c r="K1101" t="s">
        <v>3177</v>
      </c>
      <c r="L1101" t="str">
        <f>_xlfn.XLOOKUP(C1101,[1]!Table1[Shift_ID],[1]!Table1[Shift_ID])</f>
        <v>S01</v>
      </c>
      <c r="M1101" t="str">
        <f>_xlfn.XLOOKUP(D1101,[2]!Table1[Machine_ID],[2]!Table1[Machine_ID])</f>
        <v>M003</v>
      </c>
      <c r="N1101" t="str">
        <f>_xlfn.XLOOKUP(E1101,[3]Sheet1!$A$2:$A$391,[3]Sheet1!$A$2:$A$391)</f>
        <v>PO10074</v>
      </c>
    </row>
    <row r="1102" spans="1:14" x14ac:dyDescent="0.2">
      <c r="A1102" t="s">
        <v>1111</v>
      </c>
      <c r="B1102" s="2">
        <v>46269</v>
      </c>
      <c r="C1102" t="s">
        <v>2940</v>
      </c>
      <c r="D1102" t="s">
        <v>2944</v>
      </c>
      <c r="E1102" t="s">
        <v>3024</v>
      </c>
      <c r="F1102" s="3">
        <v>46269.365248327907</v>
      </c>
      <c r="G1102" s="3">
        <v>46269.371653537077</v>
      </c>
      <c r="H1102">
        <v>9.2200000000000006</v>
      </c>
      <c r="I1102" t="s">
        <v>3150</v>
      </c>
      <c r="J1102" t="s">
        <v>3159</v>
      </c>
      <c r="K1102" t="s">
        <v>3177</v>
      </c>
      <c r="L1102" t="str">
        <f>_xlfn.XLOOKUP(C1102,[1]!Table1[Shift_ID],[1]!Table1[Shift_ID])</f>
        <v>S01</v>
      </c>
      <c r="M1102" t="str">
        <f>_xlfn.XLOOKUP(D1102,[2]!Table1[Machine_ID],[2]!Table1[Machine_ID])</f>
        <v>M003</v>
      </c>
      <c r="N1102" t="str">
        <f>_xlfn.XLOOKUP(E1102,[3]Sheet1!$A$2:$A$391,[3]Sheet1!$A$2:$A$391)</f>
        <v>PO10074</v>
      </c>
    </row>
    <row r="1103" spans="1:14" x14ac:dyDescent="0.2">
      <c r="A1103" t="s">
        <v>1112</v>
      </c>
      <c r="B1103" s="2">
        <v>46269</v>
      </c>
      <c r="C1103" t="s">
        <v>2940</v>
      </c>
      <c r="D1103" t="s">
        <v>2945</v>
      </c>
      <c r="E1103" t="s">
        <v>3024</v>
      </c>
      <c r="F1103" s="3">
        <v>46269.332411773852</v>
      </c>
      <c r="G1103" s="3">
        <v>46269.337890761133</v>
      </c>
      <c r="H1103">
        <v>7.89</v>
      </c>
      <c r="I1103" t="s">
        <v>3147</v>
      </c>
      <c r="J1103" t="s">
        <v>3167</v>
      </c>
      <c r="K1103" t="s">
        <v>3186</v>
      </c>
      <c r="L1103" t="str">
        <f>_xlfn.XLOOKUP(C1103,[1]!Table1[Shift_ID],[1]!Table1[Shift_ID])</f>
        <v>S01</v>
      </c>
      <c r="M1103" t="str">
        <f>_xlfn.XLOOKUP(D1103,[2]!Table1[Machine_ID],[2]!Table1[Machine_ID])</f>
        <v>M004</v>
      </c>
      <c r="N1103" t="str">
        <f>_xlfn.XLOOKUP(E1103,[3]Sheet1!$A$2:$A$391,[3]Sheet1!$A$2:$A$391)</f>
        <v>PO10074</v>
      </c>
    </row>
    <row r="1104" spans="1:14" x14ac:dyDescent="0.2">
      <c r="A1104" t="s">
        <v>1113</v>
      </c>
      <c r="B1104" s="2">
        <v>46269</v>
      </c>
      <c r="C1104" t="s">
        <v>2940</v>
      </c>
      <c r="D1104" t="s">
        <v>2945</v>
      </c>
      <c r="E1104" t="s">
        <v>3024</v>
      </c>
      <c r="F1104" s="3">
        <v>46269.462125928912</v>
      </c>
      <c r="G1104" s="3">
        <v>46269.463764827662</v>
      </c>
      <c r="H1104">
        <v>2.36</v>
      </c>
      <c r="I1104" t="s">
        <v>3146</v>
      </c>
      <c r="J1104" t="s">
        <v>3157</v>
      </c>
      <c r="K1104" t="s">
        <v>3171</v>
      </c>
      <c r="L1104" t="str">
        <f>_xlfn.XLOOKUP(C1104,[1]!Table1[Shift_ID],[1]!Table1[Shift_ID])</f>
        <v>S01</v>
      </c>
      <c r="M1104" t="str">
        <f>_xlfn.XLOOKUP(D1104,[2]!Table1[Machine_ID],[2]!Table1[Machine_ID])</f>
        <v>M004</v>
      </c>
      <c r="N1104" t="str">
        <f>_xlfn.XLOOKUP(E1104,[3]Sheet1!$A$2:$A$391,[3]Sheet1!$A$2:$A$391)</f>
        <v>PO10074</v>
      </c>
    </row>
    <row r="1105" spans="1:14" x14ac:dyDescent="0.2">
      <c r="A1105" t="s">
        <v>1114</v>
      </c>
      <c r="B1105" s="2">
        <v>46269</v>
      </c>
      <c r="C1105" t="s">
        <v>2940</v>
      </c>
      <c r="D1105" t="s">
        <v>2945</v>
      </c>
      <c r="E1105" t="s">
        <v>3024</v>
      </c>
      <c r="F1105" s="3">
        <v>46269.564004702377</v>
      </c>
      <c r="G1105" s="3">
        <v>46269.565643601127</v>
      </c>
      <c r="H1105">
        <v>2.36</v>
      </c>
      <c r="I1105" t="s">
        <v>3149</v>
      </c>
      <c r="J1105" t="s">
        <v>3158</v>
      </c>
      <c r="K1105" t="s">
        <v>3184</v>
      </c>
      <c r="L1105" t="str">
        <f>_xlfn.XLOOKUP(C1105,[1]!Table1[Shift_ID],[1]!Table1[Shift_ID])</f>
        <v>S01</v>
      </c>
      <c r="M1105" t="str">
        <f>_xlfn.XLOOKUP(D1105,[2]!Table1[Machine_ID],[2]!Table1[Machine_ID])</f>
        <v>M004</v>
      </c>
      <c r="N1105" t="str">
        <f>_xlfn.XLOOKUP(E1105,[3]Sheet1!$A$2:$A$391,[3]Sheet1!$A$2:$A$391)</f>
        <v>PO10074</v>
      </c>
    </row>
    <row r="1106" spans="1:14" x14ac:dyDescent="0.2">
      <c r="A1106" t="s">
        <v>1115</v>
      </c>
      <c r="B1106" s="2">
        <v>46269</v>
      </c>
      <c r="C1106" t="s">
        <v>2940</v>
      </c>
      <c r="D1106" t="s">
        <v>2946</v>
      </c>
      <c r="E1106" t="s">
        <v>3024</v>
      </c>
      <c r="F1106" s="3">
        <v>46269.477496724438</v>
      </c>
      <c r="G1106" s="3">
        <v>46269.485640605431</v>
      </c>
      <c r="H1106">
        <v>11.73</v>
      </c>
      <c r="I1106" t="s">
        <v>3147</v>
      </c>
      <c r="J1106" t="s">
        <v>3153</v>
      </c>
      <c r="K1106" t="s">
        <v>3185</v>
      </c>
      <c r="L1106" t="str">
        <f>_xlfn.XLOOKUP(C1106,[1]!Table1[Shift_ID],[1]!Table1[Shift_ID])</f>
        <v>S01</v>
      </c>
      <c r="M1106" t="str">
        <f>_xlfn.XLOOKUP(D1106,[2]!Table1[Machine_ID],[2]!Table1[Machine_ID])</f>
        <v>M005</v>
      </c>
      <c r="N1106" t="str">
        <f>_xlfn.XLOOKUP(E1106,[3]Sheet1!$A$2:$A$391,[3]Sheet1!$A$2:$A$391)</f>
        <v>PO10074</v>
      </c>
    </row>
    <row r="1107" spans="1:14" x14ac:dyDescent="0.2">
      <c r="A1107" t="s">
        <v>1116</v>
      </c>
      <c r="B1107" s="2">
        <v>46269</v>
      </c>
      <c r="C1107" t="s">
        <v>2940</v>
      </c>
      <c r="D1107" t="s">
        <v>2947</v>
      </c>
      <c r="E1107" t="s">
        <v>3024</v>
      </c>
      <c r="F1107" s="3">
        <v>46269.554255400973</v>
      </c>
      <c r="G1107" s="3">
        <v>46269.583333333343</v>
      </c>
      <c r="H1107">
        <v>41.87</v>
      </c>
      <c r="I1107" t="s">
        <v>3150</v>
      </c>
      <c r="J1107" t="s">
        <v>3160</v>
      </c>
      <c r="K1107" t="s">
        <v>3178</v>
      </c>
      <c r="L1107" t="str">
        <f>_xlfn.XLOOKUP(C1107,[1]!Table1[Shift_ID],[1]!Table1[Shift_ID])</f>
        <v>S01</v>
      </c>
      <c r="M1107" t="str">
        <f>_xlfn.XLOOKUP(D1107,[2]!Table1[Machine_ID],[2]!Table1[Machine_ID])</f>
        <v>M006</v>
      </c>
      <c r="N1107" t="str">
        <f>_xlfn.XLOOKUP(E1107,[3]Sheet1!$A$2:$A$391,[3]Sheet1!$A$2:$A$391)</f>
        <v>PO10074</v>
      </c>
    </row>
    <row r="1108" spans="1:14" x14ac:dyDescent="0.2">
      <c r="A1108" t="s">
        <v>1117</v>
      </c>
      <c r="B1108" s="2">
        <v>46269</v>
      </c>
      <c r="C1108" t="s">
        <v>2940</v>
      </c>
      <c r="D1108" t="s">
        <v>2948</v>
      </c>
      <c r="E1108" t="s">
        <v>3024</v>
      </c>
      <c r="F1108" s="3">
        <v>46269.536142278172</v>
      </c>
      <c r="G1108" s="3">
        <v>46269.551031369789</v>
      </c>
      <c r="H1108">
        <v>21.44</v>
      </c>
      <c r="I1108" t="s">
        <v>3146</v>
      </c>
      <c r="J1108" t="s">
        <v>3156</v>
      </c>
      <c r="K1108" t="s">
        <v>3171</v>
      </c>
      <c r="L1108" t="str">
        <f>_xlfn.XLOOKUP(C1108,[1]!Table1[Shift_ID],[1]!Table1[Shift_ID])</f>
        <v>S01</v>
      </c>
      <c r="M1108" t="str">
        <f>_xlfn.XLOOKUP(D1108,[2]!Table1[Machine_ID],[2]!Table1[Machine_ID])</f>
        <v>M007</v>
      </c>
      <c r="N1108" t="str">
        <f>_xlfn.XLOOKUP(E1108,[3]Sheet1!$A$2:$A$391,[3]Sheet1!$A$2:$A$391)</f>
        <v>PO10074</v>
      </c>
    </row>
    <row r="1109" spans="1:14" x14ac:dyDescent="0.2">
      <c r="A1109" t="s">
        <v>1118</v>
      </c>
      <c r="B1109" s="2">
        <v>46269</v>
      </c>
      <c r="C1109" t="s">
        <v>2940</v>
      </c>
      <c r="D1109" t="s">
        <v>2949</v>
      </c>
      <c r="E1109" t="s">
        <v>3024</v>
      </c>
      <c r="F1109" s="3">
        <v>46269.357055489061</v>
      </c>
      <c r="G1109" s="3">
        <v>46269.360207868784</v>
      </c>
      <c r="H1109">
        <v>4.54</v>
      </c>
      <c r="I1109" t="s">
        <v>3150</v>
      </c>
      <c r="J1109" t="s">
        <v>3163</v>
      </c>
      <c r="K1109" t="s">
        <v>3179</v>
      </c>
      <c r="L1109" t="str">
        <f>_xlfn.XLOOKUP(C1109,[1]!Table1[Shift_ID],[1]!Table1[Shift_ID])</f>
        <v>S01</v>
      </c>
      <c r="M1109" t="str">
        <f>_xlfn.XLOOKUP(D1109,[2]!Table1[Machine_ID],[2]!Table1[Machine_ID])</f>
        <v>M008</v>
      </c>
      <c r="N1109" t="str">
        <f>_xlfn.XLOOKUP(E1109,[3]Sheet1!$A$2:$A$391,[3]Sheet1!$A$2:$A$391)</f>
        <v>PO10074</v>
      </c>
    </row>
    <row r="1110" spans="1:14" x14ac:dyDescent="0.2">
      <c r="A1110" t="s">
        <v>1119</v>
      </c>
      <c r="B1110" s="2">
        <v>46269</v>
      </c>
      <c r="C1110" t="s">
        <v>2940</v>
      </c>
      <c r="D1110" t="s">
        <v>2949</v>
      </c>
      <c r="E1110" t="s">
        <v>3024</v>
      </c>
      <c r="F1110" s="3">
        <v>46269.443478545349</v>
      </c>
      <c r="G1110" s="3">
        <v>46269.444948451688</v>
      </c>
      <c r="H1110">
        <v>2.12</v>
      </c>
      <c r="I1110" t="s">
        <v>3146</v>
      </c>
      <c r="J1110" t="s">
        <v>3156</v>
      </c>
      <c r="K1110" t="s">
        <v>3175</v>
      </c>
      <c r="L1110" t="str">
        <f>_xlfn.XLOOKUP(C1110,[1]!Table1[Shift_ID],[1]!Table1[Shift_ID])</f>
        <v>S01</v>
      </c>
      <c r="M1110" t="str">
        <f>_xlfn.XLOOKUP(D1110,[2]!Table1[Machine_ID],[2]!Table1[Machine_ID])</f>
        <v>M008</v>
      </c>
      <c r="N1110" t="str">
        <f>_xlfn.XLOOKUP(E1110,[3]Sheet1!$A$2:$A$391,[3]Sheet1!$A$2:$A$391)</f>
        <v>PO10074</v>
      </c>
    </row>
    <row r="1111" spans="1:14" x14ac:dyDescent="0.2">
      <c r="A1111" t="s">
        <v>1120</v>
      </c>
      <c r="B1111" s="2">
        <v>46269</v>
      </c>
      <c r="C1111" t="s">
        <v>2941</v>
      </c>
      <c r="D1111" t="s">
        <v>2942</v>
      </c>
      <c r="E1111" t="s">
        <v>3025</v>
      </c>
      <c r="F1111" s="3">
        <v>46269.739647558243</v>
      </c>
      <c r="G1111" s="3">
        <v>46269.746999394782</v>
      </c>
      <c r="H1111">
        <v>10.59</v>
      </c>
      <c r="I1111" t="s">
        <v>3149</v>
      </c>
      <c r="J1111" t="s">
        <v>3158</v>
      </c>
      <c r="K1111" t="s">
        <v>3176</v>
      </c>
      <c r="L1111" t="str">
        <f>_xlfn.XLOOKUP(C1111,[1]!Table1[Shift_ID],[1]!Table1[Shift_ID])</f>
        <v>S02</v>
      </c>
      <c r="M1111" t="str">
        <f>_xlfn.XLOOKUP(D1111,[2]!Table1[Machine_ID],[2]!Table1[Machine_ID])</f>
        <v>M001</v>
      </c>
      <c r="N1111" t="str">
        <f>_xlfn.XLOOKUP(E1111,[3]Sheet1!$A$2:$A$391,[3]Sheet1!$A$2:$A$391)</f>
        <v>PO10075</v>
      </c>
    </row>
    <row r="1112" spans="1:14" x14ac:dyDescent="0.2">
      <c r="A1112" t="s">
        <v>1121</v>
      </c>
      <c r="B1112" s="2">
        <v>46269</v>
      </c>
      <c r="C1112" t="s">
        <v>2941</v>
      </c>
      <c r="D1112" t="s">
        <v>2943</v>
      </c>
      <c r="E1112" t="s">
        <v>3025</v>
      </c>
      <c r="F1112" s="3">
        <v>46269.80239971375</v>
      </c>
      <c r="G1112" s="3">
        <v>46269.811544558288</v>
      </c>
      <c r="H1112">
        <v>13.17</v>
      </c>
      <c r="I1112" t="s">
        <v>3146</v>
      </c>
      <c r="J1112" t="s">
        <v>3152</v>
      </c>
      <c r="K1112" t="s">
        <v>3174</v>
      </c>
      <c r="L1112" t="str">
        <f>_xlfn.XLOOKUP(C1112,[1]!Table1[Shift_ID],[1]!Table1[Shift_ID])</f>
        <v>S02</v>
      </c>
      <c r="M1112" t="str">
        <f>_xlfn.XLOOKUP(D1112,[2]!Table1[Machine_ID],[2]!Table1[Machine_ID])</f>
        <v>M002</v>
      </c>
      <c r="N1112" t="str">
        <f>_xlfn.XLOOKUP(E1112,[3]Sheet1!$A$2:$A$391,[3]Sheet1!$A$2:$A$391)</f>
        <v>PO10075</v>
      </c>
    </row>
    <row r="1113" spans="1:14" x14ac:dyDescent="0.2">
      <c r="A1113" t="s">
        <v>1122</v>
      </c>
      <c r="B1113" s="2">
        <v>46269</v>
      </c>
      <c r="C1113" t="s">
        <v>2941</v>
      </c>
      <c r="D1113" t="s">
        <v>2944</v>
      </c>
      <c r="E1113" t="s">
        <v>3025</v>
      </c>
      <c r="F1113" s="3">
        <v>46269.687196471583</v>
      </c>
      <c r="G1113" s="3">
        <v>46269.696486250301</v>
      </c>
      <c r="H1113">
        <v>13.38</v>
      </c>
      <c r="I1113" t="s">
        <v>3146</v>
      </c>
      <c r="J1113" t="s">
        <v>3156</v>
      </c>
      <c r="K1113" t="s">
        <v>3175</v>
      </c>
      <c r="L1113" t="str">
        <f>_xlfn.XLOOKUP(C1113,[1]!Table1[Shift_ID],[1]!Table1[Shift_ID])</f>
        <v>S02</v>
      </c>
      <c r="M1113" t="str">
        <f>_xlfn.XLOOKUP(D1113,[2]!Table1[Machine_ID],[2]!Table1[Machine_ID])</f>
        <v>M003</v>
      </c>
      <c r="N1113" t="str">
        <f>_xlfn.XLOOKUP(E1113,[3]Sheet1!$A$2:$A$391,[3]Sheet1!$A$2:$A$391)</f>
        <v>PO10075</v>
      </c>
    </row>
    <row r="1114" spans="1:14" x14ac:dyDescent="0.2">
      <c r="A1114" t="s">
        <v>1123</v>
      </c>
      <c r="B1114" s="2">
        <v>46269</v>
      </c>
      <c r="C1114" t="s">
        <v>2941</v>
      </c>
      <c r="D1114" t="s">
        <v>2944</v>
      </c>
      <c r="E1114" t="s">
        <v>3025</v>
      </c>
      <c r="F1114" s="3">
        <v>46269.82386911552</v>
      </c>
      <c r="G1114" s="3">
        <v>46269.82565798927</v>
      </c>
      <c r="H1114">
        <v>2.58</v>
      </c>
      <c r="I1114" t="s">
        <v>3150</v>
      </c>
      <c r="J1114" t="s">
        <v>3160</v>
      </c>
      <c r="K1114" t="s">
        <v>3177</v>
      </c>
      <c r="L1114" t="str">
        <f>_xlfn.XLOOKUP(C1114,[1]!Table1[Shift_ID],[1]!Table1[Shift_ID])</f>
        <v>S02</v>
      </c>
      <c r="M1114" t="str">
        <f>_xlfn.XLOOKUP(D1114,[2]!Table1[Machine_ID],[2]!Table1[Machine_ID])</f>
        <v>M003</v>
      </c>
      <c r="N1114" t="str">
        <f>_xlfn.XLOOKUP(E1114,[3]Sheet1!$A$2:$A$391,[3]Sheet1!$A$2:$A$391)</f>
        <v>PO10075</v>
      </c>
    </row>
    <row r="1115" spans="1:14" x14ac:dyDescent="0.2">
      <c r="A1115" t="s">
        <v>1124</v>
      </c>
      <c r="B1115" s="2">
        <v>46269</v>
      </c>
      <c r="C1115" t="s">
        <v>2941</v>
      </c>
      <c r="D1115" t="s">
        <v>2945</v>
      </c>
      <c r="E1115" t="s">
        <v>3025</v>
      </c>
      <c r="F1115" s="3">
        <v>46269.743042996161</v>
      </c>
      <c r="G1115" s="3">
        <v>46269.745847154292</v>
      </c>
      <c r="H1115">
        <v>4.04</v>
      </c>
      <c r="I1115" t="s">
        <v>3149</v>
      </c>
      <c r="J1115" t="s">
        <v>3162</v>
      </c>
      <c r="K1115" t="s">
        <v>3182</v>
      </c>
      <c r="L1115" t="str">
        <f>_xlfn.XLOOKUP(C1115,[1]!Table1[Shift_ID],[1]!Table1[Shift_ID])</f>
        <v>S02</v>
      </c>
      <c r="M1115" t="str">
        <f>_xlfn.XLOOKUP(D1115,[2]!Table1[Machine_ID],[2]!Table1[Machine_ID])</f>
        <v>M004</v>
      </c>
      <c r="N1115" t="str">
        <f>_xlfn.XLOOKUP(E1115,[3]Sheet1!$A$2:$A$391,[3]Sheet1!$A$2:$A$391)</f>
        <v>PO10075</v>
      </c>
    </row>
    <row r="1116" spans="1:14" x14ac:dyDescent="0.2">
      <c r="A1116" t="s">
        <v>1125</v>
      </c>
      <c r="B1116" s="2">
        <v>46269</v>
      </c>
      <c r="C1116" t="s">
        <v>2941</v>
      </c>
      <c r="D1116" t="s">
        <v>2945</v>
      </c>
      <c r="E1116" t="s">
        <v>3025</v>
      </c>
      <c r="F1116" s="3">
        <v>46269.782351192043</v>
      </c>
      <c r="G1116" s="3">
        <v>46269.787260733807</v>
      </c>
      <c r="H1116">
        <v>7.07</v>
      </c>
      <c r="I1116" t="s">
        <v>3149</v>
      </c>
      <c r="J1116" t="s">
        <v>3162</v>
      </c>
      <c r="K1116" t="s">
        <v>3176</v>
      </c>
      <c r="L1116" t="str">
        <f>_xlfn.XLOOKUP(C1116,[1]!Table1[Shift_ID],[1]!Table1[Shift_ID])</f>
        <v>S02</v>
      </c>
      <c r="M1116" t="str">
        <f>_xlfn.XLOOKUP(D1116,[2]!Table1[Machine_ID],[2]!Table1[Machine_ID])</f>
        <v>M004</v>
      </c>
      <c r="N1116" t="str">
        <f>_xlfn.XLOOKUP(E1116,[3]Sheet1!$A$2:$A$391,[3]Sheet1!$A$2:$A$391)</f>
        <v>PO10075</v>
      </c>
    </row>
    <row r="1117" spans="1:14" x14ac:dyDescent="0.2">
      <c r="A1117" t="s">
        <v>1126</v>
      </c>
      <c r="B1117" s="2">
        <v>46269</v>
      </c>
      <c r="C1117" t="s">
        <v>2941</v>
      </c>
      <c r="D1117" t="s">
        <v>2946</v>
      </c>
      <c r="E1117" t="s">
        <v>3025</v>
      </c>
      <c r="F1117" s="3">
        <v>46269.655587446447</v>
      </c>
      <c r="G1117" s="3">
        <v>46269.659418385258</v>
      </c>
      <c r="H1117">
        <v>5.52</v>
      </c>
      <c r="I1117" t="s">
        <v>3149</v>
      </c>
      <c r="J1117" t="s">
        <v>3162</v>
      </c>
      <c r="K1117" t="s">
        <v>3184</v>
      </c>
      <c r="L1117" t="str">
        <f>_xlfn.XLOOKUP(C1117,[1]!Table1[Shift_ID],[1]!Table1[Shift_ID])</f>
        <v>S02</v>
      </c>
      <c r="M1117" t="str">
        <f>_xlfn.XLOOKUP(D1117,[2]!Table1[Machine_ID],[2]!Table1[Machine_ID])</f>
        <v>M005</v>
      </c>
      <c r="N1117" t="str">
        <f>_xlfn.XLOOKUP(E1117,[3]Sheet1!$A$2:$A$391,[3]Sheet1!$A$2:$A$391)</f>
        <v>PO10075</v>
      </c>
    </row>
    <row r="1118" spans="1:14" x14ac:dyDescent="0.2">
      <c r="A1118" t="s">
        <v>1127</v>
      </c>
      <c r="B1118" s="2">
        <v>46269</v>
      </c>
      <c r="C1118" t="s">
        <v>2941</v>
      </c>
      <c r="D1118" t="s">
        <v>2946</v>
      </c>
      <c r="E1118" t="s">
        <v>3025</v>
      </c>
      <c r="F1118" s="3">
        <v>46269.687938238982</v>
      </c>
      <c r="G1118" s="3">
        <v>46269.689502962341</v>
      </c>
      <c r="H1118">
        <v>2.25</v>
      </c>
      <c r="I1118" t="s">
        <v>3147</v>
      </c>
      <c r="J1118" t="s">
        <v>3167</v>
      </c>
      <c r="K1118" t="s">
        <v>3185</v>
      </c>
      <c r="L1118" t="str">
        <f>_xlfn.XLOOKUP(C1118,[1]!Table1[Shift_ID],[1]!Table1[Shift_ID])</f>
        <v>S02</v>
      </c>
      <c r="M1118" t="str">
        <f>_xlfn.XLOOKUP(D1118,[2]!Table1[Machine_ID],[2]!Table1[Machine_ID])</f>
        <v>M005</v>
      </c>
      <c r="N1118" t="str">
        <f>_xlfn.XLOOKUP(E1118,[3]Sheet1!$A$2:$A$391,[3]Sheet1!$A$2:$A$391)</f>
        <v>PO10075</v>
      </c>
    </row>
    <row r="1119" spans="1:14" x14ac:dyDescent="0.2">
      <c r="A1119" t="s">
        <v>1128</v>
      </c>
      <c r="B1119" s="2">
        <v>46269</v>
      </c>
      <c r="C1119" t="s">
        <v>2941</v>
      </c>
      <c r="D1119" t="s">
        <v>2946</v>
      </c>
      <c r="E1119" t="s">
        <v>3025</v>
      </c>
      <c r="F1119" s="3">
        <v>46269.738617067291</v>
      </c>
      <c r="G1119" s="3">
        <v>46269.74018179065</v>
      </c>
      <c r="H1119">
        <v>2.25</v>
      </c>
      <c r="I1119" t="s">
        <v>3149</v>
      </c>
      <c r="J1119" t="s">
        <v>3168</v>
      </c>
      <c r="K1119" t="s">
        <v>3176</v>
      </c>
      <c r="L1119" t="str">
        <f>_xlfn.XLOOKUP(C1119,[1]!Table1[Shift_ID],[1]!Table1[Shift_ID])</f>
        <v>S02</v>
      </c>
      <c r="M1119" t="str">
        <f>_xlfn.XLOOKUP(D1119,[2]!Table1[Machine_ID],[2]!Table1[Machine_ID])</f>
        <v>M005</v>
      </c>
      <c r="N1119" t="str">
        <f>_xlfn.XLOOKUP(E1119,[3]Sheet1!$A$2:$A$391,[3]Sheet1!$A$2:$A$391)</f>
        <v>PO10075</v>
      </c>
    </row>
    <row r="1120" spans="1:14" x14ac:dyDescent="0.2">
      <c r="A1120" t="s">
        <v>1129</v>
      </c>
      <c r="B1120" s="2">
        <v>46269</v>
      </c>
      <c r="C1120" t="s">
        <v>2941</v>
      </c>
      <c r="D1120" t="s">
        <v>2946</v>
      </c>
      <c r="E1120" t="s">
        <v>3025</v>
      </c>
      <c r="F1120" s="3">
        <v>46269.874017692491</v>
      </c>
      <c r="G1120" s="3">
        <v>46269.877616086756</v>
      </c>
      <c r="H1120">
        <v>5.18</v>
      </c>
      <c r="I1120" t="s">
        <v>3150</v>
      </c>
      <c r="J1120" t="s">
        <v>3160</v>
      </c>
      <c r="K1120" t="s">
        <v>3178</v>
      </c>
      <c r="L1120" t="str">
        <f>_xlfn.XLOOKUP(C1120,[1]!Table1[Shift_ID],[1]!Table1[Shift_ID])</f>
        <v>S02</v>
      </c>
      <c r="M1120" t="str">
        <f>_xlfn.XLOOKUP(D1120,[2]!Table1[Machine_ID],[2]!Table1[Machine_ID])</f>
        <v>M005</v>
      </c>
      <c r="N1120" t="str">
        <f>_xlfn.XLOOKUP(E1120,[3]Sheet1!$A$2:$A$391,[3]Sheet1!$A$2:$A$391)</f>
        <v>PO10075</v>
      </c>
    </row>
    <row r="1121" spans="1:14" x14ac:dyDescent="0.2">
      <c r="A1121" t="s">
        <v>1130</v>
      </c>
      <c r="B1121" s="2">
        <v>46269</v>
      </c>
      <c r="C1121" t="s">
        <v>2941</v>
      </c>
      <c r="D1121" t="s">
        <v>2947</v>
      </c>
      <c r="E1121" t="s">
        <v>3025</v>
      </c>
      <c r="F1121" s="3">
        <v>46269.694747903312</v>
      </c>
      <c r="G1121" s="3">
        <v>46269.717213012118</v>
      </c>
      <c r="H1121">
        <v>32.35</v>
      </c>
      <c r="I1121" t="s">
        <v>3150</v>
      </c>
      <c r="J1121" t="s">
        <v>3163</v>
      </c>
      <c r="K1121" t="s">
        <v>3179</v>
      </c>
      <c r="L1121" t="str">
        <f>_xlfn.XLOOKUP(C1121,[1]!Table1[Shift_ID],[1]!Table1[Shift_ID])</f>
        <v>S02</v>
      </c>
      <c r="M1121" t="str">
        <f>_xlfn.XLOOKUP(D1121,[2]!Table1[Machine_ID],[2]!Table1[Machine_ID])</f>
        <v>M006</v>
      </c>
      <c r="N1121" t="str">
        <f>_xlfn.XLOOKUP(E1121,[3]Sheet1!$A$2:$A$391,[3]Sheet1!$A$2:$A$391)</f>
        <v>PO10075</v>
      </c>
    </row>
    <row r="1122" spans="1:14" x14ac:dyDescent="0.2">
      <c r="A1122" t="s">
        <v>1131</v>
      </c>
      <c r="B1122" s="2">
        <v>46269</v>
      </c>
      <c r="C1122" t="s">
        <v>2941</v>
      </c>
      <c r="D1122" t="s">
        <v>2947</v>
      </c>
      <c r="E1122" t="s">
        <v>3025</v>
      </c>
      <c r="F1122" s="3">
        <v>46269.803372170143</v>
      </c>
      <c r="G1122" s="3">
        <v>46269.80805826631</v>
      </c>
      <c r="H1122">
        <v>6.75</v>
      </c>
      <c r="I1122" t="s">
        <v>3147</v>
      </c>
      <c r="J1122" t="s">
        <v>3154</v>
      </c>
      <c r="K1122" t="s">
        <v>3172</v>
      </c>
      <c r="L1122" t="str">
        <f>_xlfn.XLOOKUP(C1122,[1]!Table1[Shift_ID],[1]!Table1[Shift_ID])</f>
        <v>S02</v>
      </c>
      <c r="M1122" t="str">
        <f>_xlfn.XLOOKUP(D1122,[2]!Table1[Machine_ID],[2]!Table1[Machine_ID])</f>
        <v>M006</v>
      </c>
      <c r="N1122" t="str">
        <f>_xlfn.XLOOKUP(E1122,[3]Sheet1!$A$2:$A$391,[3]Sheet1!$A$2:$A$391)</f>
        <v>PO10075</v>
      </c>
    </row>
    <row r="1123" spans="1:14" x14ac:dyDescent="0.2">
      <c r="A1123" t="s">
        <v>1132</v>
      </c>
      <c r="B1123" s="2">
        <v>46269</v>
      </c>
      <c r="C1123" t="s">
        <v>2941</v>
      </c>
      <c r="D1123" t="s">
        <v>2948</v>
      </c>
      <c r="E1123" t="s">
        <v>3025</v>
      </c>
      <c r="F1123" s="3">
        <v>46269.749397166313</v>
      </c>
      <c r="G1123" s="3">
        <v>46269.75814354774</v>
      </c>
      <c r="H1123">
        <v>12.59</v>
      </c>
      <c r="I1123" t="s">
        <v>3148</v>
      </c>
      <c r="J1123" t="s">
        <v>3165</v>
      </c>
      <c r="K1123" t="s">
        <v>3173</v>
      </c>
      <c r="L1123" t="str">
        <f>_xlfn.XLOOKUP(C1123,[1]!Table1[Shift_ID],[1]!Table1[Shift_ID])</f>
        <v>S02</v>
      </c>
      <c r="M1123" t="str">
        <f>_xlfn.XLOOKUP(D1123,[2]!Table1[Machine_ID],[2]!Table1[Machine_ID])</f>
        <v>M007</v>
      </c>
      <c r="N1123" t="str">
        <f>_xlfn.XLOOKUP(E1123,[3]Sheet1!$A$2:$A$391,[3]Sheet1!$A$2:$A$391)</f>
        <v>PO10075</v>
      </c>
    </row>
    <row r="1124" spans="1:14" x14ac:dyDescent="0.2">
      <c r="A1124" t="s">
        <v>1133</v>
      </c>
      <c r="B1124" s="2">
        <v>46269</v>
      </c>
      <c r="C1124" t="s">
        <v>2941</v>
      </c>
      <c r="D1124" t="s">
        <v>2948</v>
      </c>
      <c r="E1124" t="s">
        <v>3025</v>
      </c>
      <c r="F1124" s="3">
        <v>46269.752646780442</v>
      </c>
      <c r="G1124" s="3">
        <v>46269.755035836737</v>
      </c>
      <c r="H1124">
        <v>3.44</v>
      </c>
      <c r="I1124" t="s">
        <v>3150</v>
      </c>
      <c r="J1124" t="s">
        <v>3163</v>
      </c>
      <c r="K1124" t="s">
        <v>3177</v>
      </c>
      <c r="L1124" t="str">
        <f>_xlfn.XLOOKUP(C1124,[1]!Table1[Shift_ID],[1]!Table1[Shift_ID])</f>
        <v>S02</v>
      </c>
      <c r="M1124" t="str">
        <f>_xlfn.XLOOKUP(D1124,[2]!Table1[Machine_ID],[2]!Table1[Machine_ID])</f>
        <v>M007</v>
      </c>
      <c r="N1124" t="str">
        <f>_xlfn.XLOOKUP(E1124,[3]Sheet1!$A$2:$A$391,[3]Sheet1!$A$2:$A$391)</f>
        <v>PO10075</v>
      </c>
    </row>
    <row r="1125" spans="1:14" x14ac:dyDescent="0.2">
      <c r="A1125" t="s">
        <v>1134</v>
      </c>
      <c r="B1125" s="2">
        <v>46269</v>
      </c>
      <c r="C1125" t="s">
        <v>2941</v>
      </c>
      <c r="D1125" t="s">
        <v>2948</v>
      </c>
      <c r="E1125" t="s">
        <v>3025</v>
      </c>
      <c r="F1125" s="3">
        <v>46269.844229359092</v>
      </c>
      <c r="G1125" s="3">
        <v>46269.846156999163</v>
      </c>
      <c r="H1125">
        <v>2.78</v>
      </c>
      <c r="I1125" t="s">
        <v>3147</v>
      </c>
      <c r="J1125" t="s">
        <v>3154</v>
      </c>
      <c r="K1125" t="s">
        <v>3186</v>
      </c>
      <c r="L1125" t="str">
        <f>_xlfn.XLOOKUP(C1125,[1]!Table1[Shift_ID],[1]!Table1[Shift_ID])</f>
        <v>S02</v>
      </c>
      <c r="M1125" t="str">
        <f>_xlfn.XLOOKUP(D1125,[2]!Table1[Machine_ID],[2]!Table1[Machine_ID])</f>
        <v>M007</v>
      </c>
      <c r="N1125" t="str">
        <f>_xlfn.XLOOKUP(E1125,[3]Sheet1!$A$2:$A$391,[3]Sheet1!$A$2:$A$391)</f>
        <v>PO10075</v>
      </c>
    </row>
    <row r="1126" spans="1:14" x14ac:dyDescent="0.2">
      <c r="A1126" t="s">
        <v>1135</v>
      </c>
      <c r="B1126" s="2">
        <v>46269</v>
      </c>
      <c r="C1126" t="s">
        <v>2941</v>
      </c>
      <c r="D1126" t="s">
        <v>2949</v>
      </c>
      <c r="E1126" t="s">
        <v>3025</v>
      </c>
      <c r="F1126" s="3">
        <v>46269.635886506287</v>
      </c>
      <c r="G1126" s="3">
        <v>46269.640165102617</v>
      </c>
      <c r="H1126">
        <v>6.16</v>
      </c>
      <c r="I1126" t="s">
        <v>3146</v>
      </c>
      <c r="J1126" t="s">
        <v>3157</v>
      </c>
      <c r="K1126" t="s">
        <v>3175</v>
      </c>
      <c r="L1126" t="str">
        <f>_xlfn.XLOOKUP(C1126,[1]!Table1[Shift_ID],[1]!Table1[Shift_ID])</f>
        <v>S02</v>
      </c>
      <c r="M1126" t="str">
        <f>_xlfn.XLOOKUP(D1126,[2]!Table1[Machine_ID],[2]!Table1[Machine_ID])</f>
        <v>M008</v>
      </c>
      <c r="N1126" t="str">
        <f>_xlfn.XLOOKUP(E1126,[3]Sheet1!$A$2:$A$391,[3]Sheet1!$A$2:$A$391)</f>
        <v>PO10075</v>
      </c>
    </row>
    <row r="1127" spans="1:14" x14ac:dyDescent="0.2">
      <c r="A1127" t="s">
        <v>1136</v>
      </c>
      <c r="B1127" s="2">
        <v>46269</v>
      </c>
      <c r="C1127" t="s">
        <v>2941</v>
      </c>
      <c r="D1127" t="s">
        <v>2949</v>
      </c>
      <c r="E1127" t="s">
        <v>3025</v>
      </c>
      <c r="F1127" s="3">
        <v>46269.830353148223</v>
      </c>
      <c r="G1127" s="3">
        <v>46269.832096802253</v>
      </c>
      <c r="H1127">
        <v>2.5099999999999998</v>
      </c>
      <c r="I1127" t="s">
        <v>3148</v>
      </c>
      <c r="J1127" t="s">
        <v>3164</v>
      </c>
      <c r="K1127" t="s">
        <v>3183</v>
      </c>
      <c r="L1127" t="str">
        <f>_xlfn.XLOOKUP(C1127,[1]!Table1[Shift_ID],[1]!Table1[Shift_ID])</f>
        <v>S02</v>
      </c>
      <c r="M1127" t="str">
        <f>_xlfn.XLOOKUP(D1127,[2]!Table1[Machine_ID],[2]!Table1[Machine_ID])</f>
        <v>M008</v>
      </c>
      <c r="N1127" t="str">
        <f>_xlfn.XLOOKUP(E1127,[3]Sheet1!$A$2:$A$391,[3]Sheet1!$A$2:$A$391)</f>
        <v>PO10075</v>
      </c>
    </row>
    <row r="1128" spans="1:14" x14ac:dyDescent="0.2">
      <c r="A1128" t="s">
        <v>1137</v>
      </c>
      <c r="B1128" s="2">
        <v>46272</v>
      </c>
      <c r="C1128" t="s">
        <v>2939</v>
      </c>
      <c r="D1128" t="s">
        <v>2942</v>
      </c>
      <c r="E1128" t="s">
        <v>3026</v>
      </c>
      <c r="F1128" s="3">
        <v>46273.009573378717</v>
      </c>
      <c r="G1128" s="3">
        <v>46273.017214393622</v>
      </c>
      <c r="H1128">
        <v>11</v>
      </c>
      <c r="I1128" t="s">
        <v>3149</v>
      </c>
      <c r="J1128" t="s">
        <v>3158</v>
      </c>
      <c r="K1128" t="s">
        <v>3182</v>
      </c>
      <c r="L1128" t="str">
        <f>_xlfn.XLOOKUP(C1128,[1]!Table1[Shift_ID],[1]!Table1[Shift_ID])</f>
        <v>S03</v>
      </c>
      <c r="M1128" t="str">
        <f>_xlfn.XLOOKUP(D1128,[2]!Table1[Machine_ID],[2]!Table1[Machine_ID])</f>
        <v>M001</v>
      </c>
      <c r="N1128" t="str">
        <f>_xlfn.XLOOKUP(E1128,[3]Sheet1!$A$2:$A$391,[3]Sheet1!$A$2:$A$391)</f>
        <v>PO10076</v>
      </c>
    </row>
    <row r="1129" spans="1:14" x14ac:dyDescent="0.2">
      <c r="A1129" t="s">
        <v>1138</v>
      </c>
      <c r="B1129" s="2">
        <v>46272</v>
      </c>
      <c r="C1129" t="s">
        <v>2939</v>
      </c>
      <c r="D1129" t="s">
        <v>2943</v>
      </c>
      <c r="E1129" t="s">
        <v>3026</v>
      </c>
      <c r="F1129" s="3">
        <v>46273.005371519408</v>
      </c>
      <c r="G1129" s="3">
        <v>46273.007458812863</v>
      </c>
      <c r="H1129">
        <v>3.01</v>
      </c>
      <c r="I1129" t="s">
        <v>3151</v>
      </c>
      <c r="J1129" t="s">
        <v>3170</v>
      </c>
      <c r="K1129" t="s">
        <v>3181</v>
      </c>
      <c r="L1129" t="str">
        <f>_xlfn.XLOOKUP(C1129,[1]!Table1[Shift_ID],[1]!Table1[Shift_ID])</f>
        <v>S03</v>
      </c>
      <c r="M1129" t="str">
        <f>_xlfn.XLOOKUP(D1129,[2]!Table1[Machine_ID],[2]!Table1[Machine_ID])</f>
        <v>M002</v>
      </c>
      <c r="N1129" t="str">
        <f>_xlfn.XLOOKUP(E1129,[3]Sheet1!$A$2:$A$391,[3]Sheet1!$A$2:$A$391)</f>
        <v>PO10076</v>
      </c>
    </row>
    <row r="1130" spans="1:14" x14ac:dyDescent="0.2">
      <c r="A1130" t="s">
        <v>1139</v>
      </c>
      <c r="B1130" s="2">
        <v>46272</v>
      </c>
      <c r="C1130" t="s">
        <v>2939</v>
      </c>
      <c r="D1130" t="s">
        <v>2943</v>
      </c>
      <c r="E1130" t="s">
        <v>3026</v>
      </c>
      <c r="F1130" s="3">
        <v>46273.048792072499</v>
      </c>
      <c r="G1130" s="3">
        <v>46273.050486231958</v>
      </c>
      <c r="H1130">
        <v>2.44</v>
      </c>
      <c r="I1130" t="s">
        <v>3149</v>
      </c>
      <c r="J1130" t="s">
        <v>3168</v>
      </c>
      <c r="K1130" t="s">
        <v>3184</v>
      </c>
      <c r="L1130" t="str">
        <f>_xlfn.XLOOKUP(C1130,[1]!Table1[Shift_ID],[1]!Table1[Shift_ID])</f>
        <v>S03</v>
      </c>
      <c r="M1130" t="str">
        <f>_xlfn.XLOOKUP(D1130,[2]!Table1[Machine_ID],[2]!Table1[Machine_ID])</f>
        <v>M002</v>
      </c>
      <c r="N1130" t="str">
        <f>_xlfn.XLOOKUP(E1130,[3]Sheet1!$A$2:$A$391,[3]Sheet1!$A$2:$A$391)</f>
        <v>PO10076</v>
      </c>
    </row>
    <row r="1131" spans="1:14" x14ac:dyDescent="0.2">
      <c r="A1131" t="s">
        <v>1140</v>
      </c>
      <c r="B1131" s="2">
        <v>46272</v>
      </c>
      <c r="C1131" t="s">
        <v>2939</v>
      </c>
      <c r="D1131" t="s">
        <v>2943</v>
      </c>
      <c r="E1131" t="s">
        <v>3026</v>
      </c>
      <c r="F1131" s="3">
        <v>46273.221395849287</v>
      </c>
      <c r="G1131" s="3">
        <v>46273.224815794747</v>
      </c>
      <c r="H1131">
        <v>4.92</v>
      </c>
      <c r="I1131" t="s">
        <v>3151</v>
      </c>
      <c r="J1131" t="s">
        <v>3169</v>
      </c>
      <c r="K1131" t="s">
        <v>3188</v>
      </c>
      <c r="L1131" t="str">
        <f>_xlfn.XLOOKUP(C1131,[1]!Table1[Shift_ID],[1]!Table1[Shift_ID])</f>
        <v>S03</v>
      </c>
      <c r="M1131" t="str">
        <f>_xlfn.XLOOKUP(D1131,[2]!Table1[Machine_ID],[2]!Table1[Machine_ID])</f>
        <v>M002</v>
      </c>
      <c r="N1131" t="str">
        <f>_xlfn.XLOOKUP(E1131,[3]Sheet1!$A$2:$A$391,[3]Sheet1!$A$2:$A$391)</f>
        <v>PO10076</v>
      </c>
    </row>
    <row r="1132" spans="1:14" x14ac:dyDescent="0.2">
      <c r="A1132" t="s">
        <v>1141</v>
      </c>
      <c r="B1132" s="2">
        <v>46272</v>
      </c>
      <c r="C1132" t="s">
        <v>2939</v>
      </c>
      <c r="D1132" t="s">
        <v>2944</v>
      </c>
      <c r="E1132" t="s">
        <v>3026</v>
      </c>
      <c r="F1132" s="3">
        <v>46273.173500890211</v>
      </c>
      <c r="G1132" s="3">
        <v>46273.184014847757</v>
      </c>
      <c r="H1132">
        <v>15.14</v>
      </c>
      <c r="I1132" t="s">
        <v>3150</v>
      </c>
      <c r="J1132" t="s">
        <v>3159</v>
      </c>
      <c r="K1132" t="s">
        <v>3179</v>
      </c>
      <c r="L1132" t="str">
        <f>_xlfn.XLOOKUP(C1132,[1]!Table1[Shift_ID],[1]!Table1[Shift_ID])</f>
        <v>S03</v>
      </c>
      <c r="M1132" t="str">
        <f>_xlfn.XLOOKUP(D1132,[2]!Table1[Machine_ID],[2]!Table1[Machine_ID])</f>
        <v>M003</v>
      </c>
      <c r="N1132" t="str">
        <f>_xlfn.XLOOKUP(E1132,[3]Sheet1!$A$2:$A$391,[3]Sheet1!$A$2:$A$391)</f>
        <v>PO10076</v>
      </c>
    </row>
    <row r="1133" spans="1:14" x14ac:dyDescent="0.2">
      <c r="A1133" t="s">
        <v>1142</v>
      </c>
      <c r="B1133" s="2">
        <v>46272</v>
      </c>
      <c r="C1133" t="s">
        <v>2939</v>
      </c>
      <c r="D1133" t="s">
        <v>2945</v>
      </c>
      <c r="E1133" t="s">
        <v>3026</v>
      </c>
      <c r="F1133" s="3">
        <v>46273.234775882731</v>
      </c>
      <c r="G1133" s="3">
        <v>46273.24542796582</v>
      </c>
      <c r="H1133">
        <v>15.34</v>
      </c>
      <c r="I1133" t="s">
        <v>3147</v>
      </c>
      <c r="J1133" t="s">
        <v>3153</v>
      </c>
      <c r="K1133" t="s">
        <v>3172</v>
      </c>
      <c r="L1133" t="str">
        <f>_xlfn.XLOOKUP(C1133,[1]!Table1[Shift_ID],[1]!Table1[Shift_ID])</f>
        <v>S03</v>
      </c>
      <c r="M1133" t="str">
        <f>_xlfn.XLOOKUP(D1133,[2]!Table1[Machine_ID],[2]!Table1[Machine_ID])</f>
        <v>M004</v>
      </c>
      <c r="N1133" t="str">
        <f>_xlfn.XLOOKUP(E1133,[3]Sheet1!$A$2:$A$391,[3]Sheet1!$A$2:$A$391)</f>
        <v>PO10076</v>
      </c>
    </row>
    <row r="1134" spans="1:14" x14ac:dyDescent="0.2">
      <c r="A1134" t="s">
        <v>1143</v>
      </c>
      <c r="B1134" s="2">
        <v>46272</v>
      </c>
      <c r="C1134" t="s">
        <v>2939</v>
      </c>
      <c r="D1134" t="s">
        <v>2946</v>
      </c>
      <c r="E1134" t="s">
        <v>3026</v>
      </c>
      <c r="F1134" s="3">
        <v>46272.944501396472</v>
      </c>
      <c r="G1134" s="3">
        <v>46272.953393652897</v>
      </c>
      <c r="H1134">
        <v>12.8</v>
      </c>
      <c r="I1134" t="s">
        <v>3146</v>
      </c>
      <c r="J1134" t="s">
        <v>3157</v>
      </c>
      <c r="K1134" t="s">
        <v>3174</v>
      </c>
      <c r="L1134" t="str">
        <f>_xlfn.XLOOKUP(C1134,[1]!Table1[Shift_ID],[1]!Table1[Shift_ID])</f>
        <v>S03</v>
      </c>
      <c r="M1134" t="str">
        <f>_xlfn.XLOOKUP(D1134,[2]!Table1[Machine_ID],[2]!Table1[Machine_ID])</f>
        <v>M005</v>
      </c>
      <c r="N1134" t="str">
        <f>_xlfn.XLOOKUP(E1134,[3]Sheet1!$A$2:$A$391,[3]Sheet1!$A$2:$A$391)</f>
        <v>PO10076</v>
      </c>
    </row>
    <row r="1135" spans="1:14" x14ac:dyDescent="0.2">
      <c r="A1135" t="s">
        <v>1144</v>
      </c>
      <c r="B1135" s="2">
        <v>46272</v>
      </c>
      <c r="C1135" t="s">
        <v>2939</v>
      </c>
      <c r="D1135" t="s">
        <v>2947</v>
      </c>
      <c r="E1135" t="s">
        <v>3026</v>
      </c>
      <c r="F1135" s="3">
        <v>46272.970744331367</v>
      </c>
      <c r="G1135" s="3">
        <v>46272.983656660763</v>
      </c>
      <c r="H1135">
        <v>18.59</v>
      </c>
      <c r="I1135" t="s">
        <v>3146</v>
      </c>
      <c r="J1135" t="s">
        <v>3157</v>
      </c>
      <c r="K1135" t="s">
        <v>3174</v>
      </c>
      <c r="L1135" t="str">
        <f>_xlfn.XLOOKUP(C1135,[1]!Table1[Shift_ID],[1]!Table1[Shift_ID])</f>
        <v>S03</v>
      </c>
      <c r="M1135" t="str">
        <f>_xlfn.XLOOKUP(D1135,[2]!Table1[Machine_ID],[2]!Table1[Machine_ID])</f>
        <v>M006</v>
      </c>
      <c r="N1135" t="str">
        <f>_xlfn.XLOOKUP(E1135,[3]Sheet1!$A$2:$A$391,[3]Sheet1!$A$2:$A$391)</f>
        <v>PO10076</v>
      </c>
    </row>
    <row r="1136" spans="1:14" x14ac:dyDescent="0.2">
      <c r="A1136" t="s">
        <v>1145</v>
      </c>
      <c r="B1136" s="2">
        <v>46272</v>
      </c>
      <c r="C1136" t="s">
        <v>2939</v>
      </c>
      <c r="D1136" t="s">
        <v>2947</v>
      </c>
      <c r="E1136" t="s">
        <v>3026</v>
      </c>
      <c r="F1136" s="3">
        <v>46273.190336511427</v>
      </c>
      <c r="G1136" s="3">
        <v>46273.208184902207</v>
      </c>
      <c r="H1136">
        <v>25.7</v>
      </c>
      <c r="I1136" t="s">
        <v>3146</v>
      </c>
      <c r="J1136" t="s">
        <v>3156</v>
      </c>
      <c r="K1136" t="s">
        <v>3174</v>
      </c>
      <c r="L1136" t="str">
        <f>_xlfn.XLOOKUP(C1136,[1]!Table1[Shift_ID],[1]!Table1[Shift_ID])</f>
        <v>S03</v>
      </c>
      <c r="M1136" t="str">
        <f>_xlfn.XLOOKUP(D1136,[2]!Table1[Machine_ID],[2]!Table1[Machine_ID])</f>
        <v>M006</v>
      </c>
      <c r="N1136" t="str">
        <f>_xlfn.XLOOKUP(E1136,[3]Sheet1!$A$2:$A$391,[3]Sheet1!$A$2:$A$391)</f>
        <v>PO10076</v>
      </c>
    </row>
    <row r="1137" spans="1:14" x14ac:dyDescent="0.2">
      <c r="A1137" t="s">
        <v>1146</v>
      </c>
      <c r="B1137" s="2">
        <v>46272</v>
      </c>
      <c r="C1137" t="s">
        <v>2939</v>
      </c>
      <c r="D1137" t="s">
        <v>2948</v>
      </c>
      <c r="E1137" t="s">
        <v>3026</v>
      </c>
      <c r="F1137" s="3">
        <v>46272.944923608848</v>
      </c>
      <c r="G1137" s="3">
        <v>46272.949110502683</v>
      </c>
      <c r="H1137">
        <v>6.03</v>
      </c>
      <c r="I1137" t="s">
        <v>3150</v>
      </c>
      <c r="J1137" t="s">
        <v>3160</v>
      </c>
      <c r="K1137" t="s">
        <v>3179</v>
      </c>
      <c r="L1137" t="str">
        <f>_xlfn.XLOOKUP(C1137,[1]!Table1[Shift_ID],[1]!Table1[Shift_ID])</f>
        <v>S03</v>
      </c>
      <c r="M1137" t="str">
        <f>_xlfn.XLOOKUP(D1137,[2]!Table1[Machine_ID],[2]!Table1[Machine_ID])</f>
        <v>M007</v>
      </c>
      <c r="N1137" t="str">
        <f>_xlfn.XLOOKUP(E1137,[3]Sheet1!$A$2:$A$391,[3]Sheet1!$A$2:$A$391)</f>
        <v>PO10076</v>
      </c>
    </row>
    <row r="1138" spans="1:14" x14ac:dyDescent="0.2">
      <c r="A1138" t="s">
        <v>1147</v>
      </c>
      <c r="B1138" s="2">
        <v>46272</v>
      </c>
      <c r="C1138" t="s">
        <v>2939</v>
      </c>
      <c r="D1138" t="s">
        <v>2948</v>
      </c>
      <c r="E1138" t="s">
        <v>3026</v>
      </c>
      <c r="F1138" s="3">
        <v>46272.971498321327</v>
      </c>
      <c r="G1138" s="3">
        <v>46272.982672581282</v>
      </c>
      <c r="H1138">
        <v>16.09</v>
      </c>
      <c r="I1138" t="s">
        <v>3148</v>
      </c>
      <c r="J1138" t="s">
        <v>3164</v>
      </c>
      <c r="K1138" t="s">
        <v>3180</v>
      </c>
      <c r="L1138" t="str">
        <f>_xlfn.XLOOKUP(C1138,[1]!Table1[Shift_ID],[1]!Table1[Shift_ID])</f>
        <v>S03</v>
      </c>
      <c r="M1138" t="str">
        <f>_xlfn.XLOOKUP(D1138,[2]!Table1[Machine_ID],[2]!Table1[Machine_ID])</f>
        <v>M007</v>
      </c>
      <c r="N1138" t="str">
        <f>_xlfn.XLOOKUP(E1138,[3]Sheet1!$A$2:$A$391,[3]Sheet1!$A$2:$A$391)</f>
        <v>PO10076</v>
      </c>
    </row>
    <row r="1139" spans="1:14" x14ac:dyDescent="0.2">
      <c r="A1139" t="s">
        <v>1148</v>
      </c>
      <c r="B1139" s="2">
        <v>46272</v>
      </c>
      <c r="C1139" t="s">
        <v>2939</v>
      </c>
      <c r="D1139" t="s">
        <v>2948</v>
      </c>
      <c r="E1139" t="s">
        <v>3026</v>
      </c>
      <c r="F1139" s="3">
        <v>46273.206873040472</v>
      </c>
      <c r="G1139" s="3">
        <v>46273.209762831902</v>
      </c>
      <c r="H1139">
        <v>4.16</v>
      </c>
      <c r="I1139" t="s">
        <v>3150</v>
      </c>
      <c r="J1139" t="s">
        <v>3159</v>
      </c>
      <c r="K1139" t="s">
        <v>3177</v>
      </c>
      <c r="L1139" t="str">
        <f>_xlfn.XLOOKUP(C1139,[1]!Table1[Shift_ID],[1]!Table1[Shift_ID])</f>
        <v>S03</v>
      </c>
      <c r="M1139" t="str">
        <f>_xlfn.XLOOKUP(D1139,[2]!Table1[Machine_ID],[2]!Table1[Machine_ID])</f>
        <v>M007</v>
      </c>
      <c r="N1139" t="str">
        <f>_xlfn.XLOOKUP(E1139,[3]Sheet1!$A$2:$A$391,[3]Sheet1!$A$2:$A$391)</f>
        <v>PO10076</v>
      </c>
    </row>
    <row r="1140" spans="1:14" x14ac:dyDescent="0.2">
      <c r="A1140" t="s">
        <v>1149</v>
      </c>
      <c r="B1140" s="2">
        <v>46272</v>
      </c>
      <c r="C1140" t="s">
        <v>2939</v>
      </c>
      <c r="D1140" t="s">
        <v>2949</v>
      </c>
      <c r="E1140" t="s">
        <v>3026</v>
      </c>
      <c r="F1140" s="3">
        <v>46273.187975511057</v>
      </c>
      <c r="G1140" s="3">
        <v>46273.196015624853</v>
      </c>
      <c r="H1140">
        <v>11.58</v>
      </c>
      <c r="I1140" t="s">
        <v>3150</v>
      </c>
      <c r="J1140" t="s">
        <v>3166</v>
      </c>
      <c r="K1140" t="s">
        <v>3178</v>
      </c>
      <c r="L1140" t="str">
        <f>_xlfn.XLOOKUP(C1140,[1]!Table1[Shift_ID],[1]!Table1[Shift_ID])</f>
        <v>S03</v>
      </c>
      <c r="M1140" t="str">
        <f>_xlfn.XLOOKUP(D1140,[2]!Table1[Machine_ID],[2]!Table1[Machine_ID])</f>
        <v>M008</v>
      </c>
      <c r="N1140" t="str">
        <f>_xlfn.XLOOKUP(E1140,[3]Sheet1!$A$2:$A$391,[3]Sheet1!$A$2:$A$391)</f>
        <v>PO10076</v>
      </c>
    </row>
    <row r="1141" spans="1:14" x14ac:dyDescent="0.2">
      <c r="A1141" t="s">
        <v>1150</v>
      </c>
      <c r="B1141" s="2">
        <v>46272</v>
      </c>
      <c r="C1141" t="s">
        <v>2940</v>
      </c>
      <c r="D1141" t="s">
        <v>2942</v>
      </c>
      <c r="E1141" t="s">
        <v>3027</v>
      </c>
      <c r="F1141" s="3">
        <v>46272.390554115387</v>
      </c>
      <c r="G1141" s="3">
        <v>46272.396602744469</v>
      </c>
      <c r="H1141">
        <v>8.7100000000000009</v>
      </c>
      <c r="I1141" t="s">
        <v>3150</v>
      </c>
      <c r="J1141" t="s">
        <v>3166</v>
      </c>
      <c r="K1141" t="s">
        <v>3178</v>
      </c>
      <c r="L1141" t="str">
        <f>_xlfn.XLOOKUP(C1141,[1]!Table1[Shift_ID],[1]!Table1[Shift_ID])</f>
        <v>S01</v>
      </c>
      <c r="M1141" t="str">
        <f>_xlfn.XLOOKUP(D1141,[2]!Table1[Machine_ID],[2]!Table1[Machine_ID])</f>
        <v>M001</v>
      </c>
      <c r="N1141" t="str">
        <f>_xlfn.XLOOKUP(E1141,[3]Sheet1!$A$2:$A$391,[3]Sheet1!$A$2:$A$391)</f>
        <v>PO10077</v>
      </c>
    </row>
    <row r="1142" spans="1:14" x14ac:dyDescent="0.2">
      <c r="A1142" t="s">
        <v>1151</v>
      </c>
      <c r="B1142" s="2">
        <v>46272</v>
      </c>
      <c r="C1142" t="s">
        <v>2940</v>
      </c>
      <c r="D1142" t="s">
        <v>2943</v>
      </c>
      <c r="E1142" t="s">
        <v>3027</v>
      </c>
      <c r="F1142" s="3">
        <v>46272.346191891818</v>
      </c>
      <c r="G1142" s="3">
        <v>46272.354608172463</v>
      </c>
      <c r="H1142">
        <v>12.12</v>
      </c>
      <c r="I1142" t="s">
        <v>3148</v>
      </c>
      <c r="J1142" t="s">
        <v>3164</v>
      </c>
      <c r="K1142" t="s">
        <v>3180</v>
      </c>
      <c r="L1142" t="str">
        <f>_xlfn.XLOOKUP(C1142,[1]!Table1[Shift_ID],[1]!Table1[Shift_ID])</f>
        <v>S01</v>
      </c>
      <c r="M1142" t="str">
        <f>_xlfn.XLOOKUP(D1142,[2]!Table1[Machine_ID],[2]!Table1[Machine_ID])</f>
        <v>M002</v>
      </c>
      <c r="N1142" t="str">
        <f>_xlfn.XLOOKUP(E1142,[3]Sheet1!$A$2:$A$391,[3]Sheet1!$A$2:$A$391)</f>
        <v>PO10077</v>
      </c>
    </row>
    <row r="1143" spans="1:14" x14ac:dyDescent="0.2">
      <c r="A1143" t="s">
        <v>1152</v>
      </c>
      <c r="B1143" s="2">
        <v>46272</v>
      </c>
      <c r="C1143" t="s">
        <v>2940</v>
      </c>
      <c r="D1143" t="s">
        <v>2943</v>
      </c>
      <c r="E1143" t="s">
        <v>3027</v>
      </c>
      <c r="F1143" s="3">
        <v>46272.481350735812</v>
      </c>
      <c r="G1143" s="3">
        <v>46272.483546968069</v>
      </c>
      <c r="H1143">
        <v>3.16</v>
      </c>
      <c r="I1143" t="s">
        <v>3147</v>
      </c>
      <c r="J1143" t="s">
        <v>3154</v>
      </c>
      <c r="K1143" t="s">
        <v>3185</v>
      </c>
      <c r="L1143" t="str">
        <f>_xlfn.XLOOKUP(C1143,[1]!Table1[Shift_ID],[1]!Table1[Shift_ID])</f>
        <v>S01</v>
      </c>
      <c r="M1143" t="str">
        <f>_xlfn.XLOOKUP(D1143,[2]!Table1[Machine_ID],[2]!Table1[Machine_ID])</f>
        <v>M002</v>
      </c>
      <c r="N1143" t="str">
        <f>_xlfn.XLOOKUP(E1143,[3]Sheet1!$A$2:$A$391,[3]Sheet1!$A$2:$A$391)</f>
        <v>PO10077</v>
      </c>
    </row>
    <row r="1144" spans="1:14" x14ac:dyDescent="0.2">
      <c r="A1144" t="s">
        <v>1153</v>
      </c>
      <c r="B1144" s="2">
        <v>46272</v>
      </c>
      <c r="C1144" t="s">
        <v>2940</v>
      </c>
      <c r="D1144" t="s">
        <v>2944</v>
      </c>
      <c r="E1144" t="s">
        <v>3027</v>
      </c>
      <c r="F1144" s="3">
        <v>46272.446510691618</v>
      </c>
      <c r="G1144" s="3">
        <v>46272.456863498599</v>
      </c>
      <c r="H1144">
        <v>14.91</v>
      </c>
      <c r="I1144" t="s">
        <v>3148</v>
      </c>
      <c r="J1144" t="s">
        <v>3165</v>
      </c>
      <c r="K1144" t="s">
        <v>3173</v>
      </c>
      <c r="L1144" t="str">
        <f>_xlfn.XLOOKUP(C1144,[1]!Table1[Shift_ID],[1]!Table1[Shift_ID])</f>
        <v>S01</v>
      </c>
      <c r="M1144" t="str">
        <f>_xlfn.XLOOKUP(D1144,[2]!Table1[Machine_ID],[2]!Table1[Machine_ID])</f>
        <v>M003</v>
      </c>
      <c r="N1144" t="str">
        <f>_xlfn.XLOOKUP(E1144,[3]Sheet1!$A$2:$A$391,[3]Sheet1!$A$2:$A$391)</f>
        <v>PO10077</v>
      </c>
    </row>
    <row r="1145" spans="1:14" x14ac:dyDescent="0.2">
      <c r="A1145" t="s">
        <v>1154</v>
      </c>
      <c r="B1145" s="2">
        <v>46272</v>
      </c>
      <c r="C1145" t="s">
        <v>2940</v>
      </c>
      <c r="D1145" t="s">
        <v>2945</v>
      </c>
      <c r="E1145" t="s">
        <v>3027</v>
      </c>
      <c r="F1145" s="3">
        <v>46272.404229595137</v>
      </c>
      <c r="G1145" s="3">
        <v>46272.409688574277</v>
      </c>
      <c r="H1145">
        <v>7.86</v>
      </c>
      <c r="I1145" t="s">
        <v>3149</v>
      </c>
      <c r="J1145" t="s">
        <v>3162</v>
      </c>
      <c r="K1145" t="s">
        <v>3182</v>
      </c>
      <c r="L1145" t="str">
        <f>_xlfn.XLOOKUP(C1145,[1]!Table1[Shift_ID],[1]!Table1[Shift_ID])</f>
        <v>S01</v>
      </c>
      <c r="M1145" t="str">
        <f>_xlfn.XLOOKUP(D1145,[2]!Table1[Machine_ID],[2]!Table1[Machine_ID])</f>
        <v>M004</v>
      </c>
      <c r="N1145" t="str">
        <f>_xlfn.XLOOKUP(E1145,[3]Sheet1!$A$2:$A$391,[3]Sheet1!$A$2:$A$391)</f>
        <v>PO10077</v>
      </c>
    </row>
    <row r="1146" spans="1:14" x14ac:dyDescent="0.2">
      <c r="A1146" t="s">
        <v>1155</v>
      </c>
      <c r="B1146" s="2">
        <v>46272</v>
      </c>
      <c r="C1146" t="s">
        <v>2940</v>
      </c>
      <c r="D1146" t="s">
        <v>2946</v>
      </c>
      <c r="E1146" t="s">
        <v>3027</v>
      </c>
      <c r="F1146" s="3">
        <v>46272.558275180447</v>
      </c>
      <c r="G1146" s="3">
        <v>46272.566768210767</v>
      </c>
      <c r="H1146">
        <v>12.23</v>
      </c>
      <c r="I1146" t="s">
        <v>3150</v>
      </c>
      <c r="J1146" t="s">
        <v>3159</v>
      </c>
      <c r="K1146" t="s">
        <v>3177</v>
      </c>
      <c r="L1146" t="str">
        <f>_xlfn.XLOOKUP(C1146,[1]!Table1[Shift_ID],[1]!Table1[Shift_ID])</f>
        <v>S01</v>
      </c>
      <c r="M1146" t="str">
        <f>_xlfn.XLOOKUP(D1146,[2]!Table1[Machine_ID],[2]!Table1[Machine_ID])</f>
        <v>M005</v>
      </c>
      <c r="N1146" t="str">
        <f>_xlfn.XLOOKUP(E1146,[3]Sheet1!$A$2:$A$391,[3]Sheet1!$A$2:$A$391)</f>
        <v>PO10077</v>
      </c>
    </row>
    <row r="1147" spans="1:14" x14ac:dyDescent="0.2">
      <c r="A1147" t="s">
        <v>1156</v>
      </c>
      <c r="B1147" s="2">
        <v>46272</v>
      </c>
      <c r="C1147" t="s">
        <v>2940</v>
      </c>
      <c r="D1147" t="s">
        <v>2947</v>
      </c>
      <c r="E1147" t="s">
        <v>3027</v>
      </c>
      <c r="F1147" s="3">
        <v>46272.251043159573</v>
      </c>
      <c r="G1147" s="3">
        <v>46272.258148835353</v>
      </c>
      <c r="H1147">
        <v>10.23</v>
      </c>
      <c r="I1147" t="s">
        <v>3150</v>
      </c>
      <c r="J1147" t="s">
        <v>3163</v>
      </c>
      <c r="K1147" t="s">
        <v>3178</v>
      </c>
      <c r="L1147" t="str">
        <f>_xlfn.XLOOKUP(C1147,[1]!Table1[Shift_ID],[1]!Table1[Shift_ID])</f>
        <v>S01</v>
      </c>
      <c r="M1147" t="str">
        <f>_xlfn.XLOOKUP(D1147,[2]!Table1[Machine_ID],[2]!Table1[Machine_ID])</f>
        <v>M006</v>
      </c>
      <c r="N1147" t="str">
        <f>_xlfn.XLOOKUP(E1147,[3]Sheet1!$A$2:$A$391,[3]Sheet1!$A$2:$A$391)</f>
        <v>PO10077</v>
      </c>
    </row>
    <row r="1148" spans="1:14" x14ac:dyDescent="0.2">
      <c r="A1148" t="s">
        <v>1157</v>
      </c>
      <c r="B1148" s="2">
        <v>46272</v>
      </c>
      <c r="C1148" t="s">
        <v>2940</v>
      </c>
      <c r="D1148" t="s">
        <v>2947</v>
      </c>
      <c r="E1148" t="s">
        <v>3027</v>
      </c>
      <c r="F1148" s="3">
        <v>46272.423102764413</v>
      </c>
      <c r="G1148" s="3">
        <v>46272.431061215451</v>
      </c>
      <c r="H1148">
        <v>11.46</v>
      </c>
      <c r="I1148" t="s">
        <v>3149</v>
      </c>
      <c r="J1148" t="s">
        <v>3168</v>
      </c>
      <c r="K1148" t="s">
        <v>3184</v>
      </c>
      <c r="L1148" t="str">
        <f>_xlfn.XLOOKUP(C1148,[1]!Table1[Shift_ID],[1]!Table1[Shift_ID])</f>
        <v>S01</v>
      </c>
      <c r="M1148" t="str">
        <f>_xlfn.XLOOKUP(D1148,[2]!Table1[Machine_ID],[2]!Table1[Machine_ID])</f>
        <v>M006</v>
      </c>
      <c r="N1148" t="str">
        <f>_xlfn.XLOOKUP(E1148,[3]Sheet1!$A$2:$A$391,[3]Sheet1!$A$2:$A$391)</f>
        <v>PO10077</v>
      </c>
    </row>
    <row r="1149" spans="1:14" x14ac:dyDescent="0.2">
      <c r="A1149" t="s">
        <v>1158</v>
      </c>
      <c r="B1149" s="2">
        <v>46272</v>
      </c>
      <c r="C1149" t="s">
        <v>2940</v>
      </c>
      <c r="D1149" t="s">
        <v>2947</v>
      </c>
      <c r="E1149" t="s">
        <v>3027</v>
      </c>
      <c r="F1149" s="3">
        <v>46272.488129945501</v>
      </c>
      <c r="G1149" s="3">
        <v>46272.498809601137</v>
      </c>
      <c r="H1149">
        <v>15.38</v>
      </c>
      <c r="I1149" t="s">
        <v>3146</v>
      </c>
      <c r="J1149" t="s">
        <v>3156</v>
      </c>
      <c r="K1149" t="s">
        <v>3171</v>
      </c>
      <c r="L1149" t="str">
        <f>_xlfn.XLOOKUP(C1149,[1]!Table1[Shift_ID],[1]!Table1[Shift_ID])</f>
        <v>S01</v>
      </c>
      <c r="M1149" t="str">
        <f>_xlfn.XLOOKUP(D1149,[2]!Table1[Machine_ID],[2]!Table1[Machine_ID])</f>
        <v>M006</v>
      </c>
      <c r="N1149" t="str">
        <f>_xlfn.XLOOKUP(E1149,[3]Sheet1!$A$2:$A$391,[3]Sheet1!$A$2:$A$391)</f>
        <v>PO10077</v>
      </c>
    </row>
    <row r="1150" spans="1:14" x14ac:dyDescent="0.2">
      <c r="A1150" t="s">
        <v>1159</v>
      </c>
      <c r="B1150" s="2">
        <v>46272</v>
      </c>
      <c r="C1150" t="s">
        <v>2940</v>
      </c>
      <c r="D1150" t="s">
        <v>2948</v>
      </c>
      <c r="E1150" t="s">
        <v>3027</v>
      </c>
      <c r="F1150" s="3">
        <v>46272.370084937007</v>
      </c>
      <c r="G1150" s="3">
        <v>46272.384820368148</v>
      </c>
      <c r="H1150">
        <v>21.22</v>
      </c>
      <c r="I1150" t="s">
        <v>3148</v>
      </c>
      <c r="J1150" t="s">
        <v>3164</v>
      </c>
      <c r="K1150" t="s">
        <v>3180</v>
      </c>
      <c r="L1150" t="str">
        <f>_xlfn.XLOOKUP(C1150,[1]!Table1[Shift_ID],[1]!Table1[Shift_ID])</f>
        <v>S01</v>
      </c>
      <c r="M1150" t="str">
        <f>_xlfn.XLOOKUP(D1150,[2]!Table1[Machine_ID],[2]!Table1[Machine_ID])</f>
        <v>M007</v>
      </c>
      <c r="N1150" t="str">
        <f>_xlfn.XLOOKUP(E1150,[3]Sheet1!$A$2:$A$391,[3]Sheet1!$A$2:$A$391)</f>
        <v>PO10077</v>
      </c>
    </row>
    <row r="1151" spans="1:14" x14ac:dyDescent="0.2">
      <c r="A1151" t="s">
        <v>1160</v>
      </c>
      <c r="B1151" s="2">
        <v>46272</v>
      </c>
      <c r="C1151" t="s">
        <v>2940</v>
      </c>
      <c r="D1151" t="s">
        <v>2949</v>
      </c>
      <c r="E1151" t="s">
        <v>3027</v>
      </c>
      <c r="F1151" s="3">
        <v>46272.545646365143</v>
      </c>
      <c r="G1151" s="3">
        <v>46272.552866307327</v>
      </c>
      <c r="H1151">
        <v>10.4</v>
      </c>
      <c r="I1151" t="s">
        <v>3148</v>
      </c>
      <c r="J1151" t="s">
        <v>3155</v>
      </c>
      <c r="K1151" t="s">
        <v>3173</v>
      </c>
      <c r="L1151" t="str">
        <f>_xlfn.XLOOKUP(C1151,[1]!Table1[Shift_ID],[1]!Table1[Shift_ID])</f>
        <v>S01</v>
      </c>
      <c r="M1151" t="str">
        <f>_xlfn.XLOOKUP(D1151,[2]!Table1[Machine_ID],[2]!Table1[Machine_ID])</f>
        <v>M008</v>
      </c>
      <c r="N1151" t="str">
        <f>_xlfn.XLOOKUP(E1151,[3]Sheet1!$A$2:$A$391,[3]Sheet1!$A$2:$A$391)</f>
        <v>PO10077</v>
      </c>
    </row>
    <row r="1152" spans="1:14" x14ac:dyDescent="0.2">
      <c r="A1152" t="s">
        <v>1161</v>
      </c>
      <c r="B1152" s="2">
        <v>46272</v>
      </c>
      <c r="C1152" t="s">
        <v>2941</v>
      </c>
      <c r="D1152" t="s">
        <v>2942</v>
      </c>
      <c r="E1152" t="s">
        <v>3028</v>
      </c>
      <c r="F1152" s="3">
        <v>46272.64502076061</v>
      </c>
      <c r="G1152" s="3">
        <v>46272.650122183411</v>
      </c>
      <c r="H1152">
        <v>7.35</v>
      </c>
      <c r="I1152" t="s">
        <v>3146</v>
      </c>
      <c r="J1152" t="s">
        <v>3156</v>
      </c>
      <c r="K1152" t="s">
        <v>3174</v>
      </c>
      <c r="L1152" t="str">
        <f>_xlfn.XLOOKUP(C1152,[1]!Table1[Shift_ID],[1]!Table1[Shift_ID])</f>
        <v>S02</v>
      </c>
      <c r="M1152" t="str">
        <f>_xlfn.XLOOKUP(D1152,[2]!Table1[Machine_ID],[2]!Table1[Machine_ID])</f>
        <v>M001</v>
      </c>
      <c r="N1152" t="str">
        <f>_xlfn.XLOOKUP(E1152,[3]Sheet1!$A$2:$A$391,[3]Sheet1!$A$2:$A$391)</f>
        <v>PO10078</v>
      </c>
    </row>
    <row r="1153" spans="1:14" x14ac:dyDescent="0.2">
      <c r="A1153" t="s">
        <v>1162</v>
      </c>
      <c r="B1153" s="2">
        <v>46272</v>
      </c>
      <c r="C1153" t="s">
        <v>2941</v>
      </c>
      <c r="D1153" t="s">
        <v>2942</v>
      </c>
      <c r="E1153" t="s">
        <v>3028</v>
      </c>
      <c r="F1153" s="3">
        <v>46272.70590301662</v>
      </c>
      <c r="G1153" s="3">
        <v>46272.708376084447</v>
      </c>
      <c r="H1153">
        <v>3.56</v>
      </c>
      <c r="I1153" t="s">
        <v>3151</v>
      </c>
      <c r="J1153" t="s">
        <v>3169</v>
      </c>
      <c r="K1153" t="s">
        <v>3187</v>
      </c>
      <c r="L1153" t="str">
        <f>_xlfn.XLOOKUP(C1153,[1]!Table1[Shift_ID],[1]!Table1[Shift_ID])</f>
        <v>S02</v>
      </c>
      <c r="M1153" t="str">
        <f>_xlfn.XLOOKUP(D1153,[2]!Table1[Machine_ID],[2]!Table1[Machine_ID])</f>
        <v>M001</v>
      </c>
      <c r="N1153" t="str">
        <f>_xlfn.XLOOKUP(E1153,[3]Sheet1!$A$2:$A$391,[3]Sheet1!$A$2:$A$391)</f>
        <v>PO10078</v>
      </c>
    </row>
    <row r="1154" spans="1:14" x14ac:dyDescent="0.2">
      <c r="A1154" t="s">
        <v>1163</v>
      </c>
      <c r="B1154" s="2">
        <v>46272</v>
      </c>
      <c r="C1154" t="s">
        <v>2941</v>
      </c>
      <c r="D1154" t="s">
        <v>2943</v>
      </c>
      <c r="E1154" t="s">
        <v>3028</v>
      </c>
      <c r="F1154" s="3">
        <v>46272.805707888991</v>
      </c>
      <c r="G1154" s="3">
        <v>46272.816053247763</v>
      </c>
      <c r="H1154">
        <v>14.9</v>
      </c>
      <c r="I1154" t="s">
        <v>3147</v>
      </c>
      <c r="J1154" t="s">
        <v>3154</v>
      </c>
      <c r="K1154" t="s">
        <v>3172</v>
      </c>
      <c r="L1154" t="str">
        <f>_xlfn.XLOOKUP(C1154,[1]!Table1[Shift_ID],[1]!Table1[Shift_ID])</f>
        <v>S02</v>
      </c>
      <c r="M1154" t="str">
        <f>_xlfn.XLOOKUP(D1154,[2]!Table1[Machine_ID],[2]!Table1[Machine_ID])</f>
        <v>M002</v>
      </c>
      <c r="N1154" t="str">
        <f>_xlfn.XLOOKUP(E1154,[3]Sheet1!$A$2:$A$391,[3]Sheet1!$A$2:$A$391)</f>
        <v>PO10078</v>
      </c>
    </row>
    <row r="1155" spans="1:14" x14ac:dyDescent="0.2">
      <c r="A1155" t="s">
        <v>1164</v>
      </c>
      <c r="B1155" s="2">
        <v>46272</v>
      </c>
      <c r="C1155" t="s">
        <v>2941</v>
      </c>
      <c r="D1155" t="s">
        <v>2944</v>
      </c>
      <c r="E1155" t="s">
        <v>3028</v>
      </c>
      <c r="F1155" s="3">
        <v>46272.636578979444</v>
      </c>
      <c r="G1155" s="3">
        <v>46272.637788420892</v>
      </c>
      <c r="H1155">
        <v>1.74</v>
      </c>
      <c r="I1155" t="s">
        <v>3148</v>
      </c>
      <c r="J1155" t="s">
        <v>3155</v>
      </c>
      <c r="K1155" t="s">
        <v>3180</v>
      </c>
      <c r="L1155" t="str">
        <f>_xlfn.XLOOKUP(C1155,[1]!Table1[Shift_ID],[1]!Table1[Shift_ID])</f>
        <v>S02</v>
      </c>
      <c r="M1155" t="str">
        <f>_xlfn.XLOOKUP(D1155,[2]!Table1[Machine_ID],[2]!Table1[Machine_ID])</f>
        <v>M003</v>
      </c>
      <c r="N1155" t="str">
        <f>_xlfn.XLOOKUP(E1155,[3]Sheet1!$A$2:$A$391,[3]Sheet1!$A$2:$A$391)</f>
        <v>PO10078</v>
      </c>
    </row>
    <row r="1156" spans="1:14" x14ac:dyDescent="0.2">
      <c r="A1156" t="s">
        <v>1165</v>
      </c>
      <c r="B1156" s="2">
        <v>46272</v>
      </c>
      <c r="C1156" t="s">
        <v>2941</v>
      </c>
      <c r="D1156" t="s">
        <v>2944</v>
      </c>
      <c r="E1156" t="s">
        <v>3028</v>
      </c>
      <c r="F1156" s="3">
        <v>46272.647388436453</v>
      </c>
      <c r="G1156" s="3">
        <v>46272.650230713611</v>
      </c>
      <c r="H1156">
        <v>4.09</v>
      </c>
      <c r="I1156" t="s">
        <v>3149</v>
      </c>
      <c r="J1156" t="s">
        <v>3162</v>
      </c>
      <c r="K1156" t="s">
        <v>3182</v>
      </c>
      <c r="L1156" t="str">
        <f>_xlfn.XLOOKUP(C1156,[1]!Table1[Shift_ID],[1]!Table1[Shift_ID])</f>
        <v>S02</v>
      </c>
      <c r="M1156" t="str">
        <f>_xlfn.XLOOKUP(D1156,[2]!Table1[Machine_ID],[2]!Table1[Machine_ID])</f>
        <v>M003</v>
      </c>
      <c r="N1156" t="str">
        <f>_xlfn.XLOOKUP(E1156,[3]Sheet1!$A$2:$A$391,[3]Sheet1!$A$2:$A$391)</f>
        <v>PO10078</v>
      </c>
    </row>
    <row r="1157" spans="1:14" x14ac:dyDescent="0.2">
      <c r="A1157" t="s">
        <v>1166</v>
      </c>
      <c r="B1157" s="2">
        <v>46272</v>
      </c>
      <c r="C1157" t="s">
        <v>2941</v>
      </c>
      <c r="D1157" t="s">
        <v>2944</v>
      </c>
      <c r="E1157" t="s">
        <v>3028</v>
      </c>
      <c r="F1157" s="3">
        <v>46272.688099468869</v>
      </c>
      <c r="G1157" s="3">
        <v>46272.689308910311</v>
      </c>
      <c r="H1157">
        <v>1.74</v>
      </c>
      <c r="I1157" t="s">
        <v>3147</v>
      </c>
      <c r="J1157" t="s">
        <v>3153</v>
      </c>
      <c r="K1157" t="s">
        <v>3185</v>
      </c>
      <c r="L1157" t="str">
        <f>_xlfn.XLOOKUP(C1157,[1]!Table1[Shift_ID],[1]!Table1[Shift_ID])</f>
        <v>S02</v>
      </c>
      <c r="M1157" t="str">
        <f>_xlfn.XLOOKUP(D1157,[2]!Table1[Machine_ID],[2]!Table1[Machine_ID])</f>
        <v>M003</v>
      </c>
      <c r="N1157" t="str">
        <f>_xlfn.XLOOKUP(E1157,[3]Sheet1!$A$2:$A$391,[3]Sheet1!$A$2:$A$391)</f>
        <v>PO10078</v>
      </c>
    </row>
    <row r="1158" spans="1:14" x14ac:dyDescent="0.2">
      <c r="A1158" t="s">
        <v>1167</v>
      </c>
      <c r="B1158" s="2">
        <v>46272</v>
      </c>
      <c r="C1158" t="s">
        <v>2941</v>
      </c>
      <c r="D1158" t="s">
        <v>2944</v>
      </c>
      <c r="E1158" t="s">
        <v>3028</v>
      </c>
      <c r="F1158" s="3">
        <v>46272.700289678032</v>
      </c>
      <c r="G1158" s="3">
        <v>46272.701499119481</v>
      </c>
      <c r="H1158">
        <v>1.74</v>
      </c>
      <c r="I1158" t="s">
        <v>3147</v>
      </c>
      <c r="J1158" t="s">
        <v>3153</v>
      </c>
      <c r="K1158" t="s">
        <v>3186</v>
      </c>
      <c r="L1158" t="str">
        <f>_xlfn.XLOOKUP(C1158,[1]!Table1[Shift_ID],[1]!Table1[Shift_ID])</f>
        <v>S02</v>
      </c>
      <c r="M1158" t="str">
        <f>_xlfn.XLOOKUP(D1158,[2]!Table1[Machine_ID],[2]!Table1[Machine_ID])</f>
        <v>M003</v>
      </c>
      <c r="N1158" t="str">
        <f>_xlfn.XLOOKUP(E1158,[3]Sheet1!$A$2:$A$391,[3]Sheet1!$A$2:$A$391)</f>
        <v>PO10078</v>
      </c>
    </row>
    <row r="1159" spans="1:14" x14ac:dyDescent="0.2">
      <c r="A1159" t="s">
        <v>1168</v>
      </c>
      <c r="B1159" s="2">
        <v>46272</v>
      </c>
      <c r="C1159" t="s">
        <v>2941</v>
      </c>
      <c r="D1159" t="s">
        <v>2944</v>
      </c>
      <c r="E1159" t="s">
        <v>3028</v>
      </c>
      <c r="F1159" s="3">
        <v>46272.804248926957</v>
      </c>
      <c r="G1159" s="3">
        <v>46272.805458368413</v>
      </c>
      <c r="H1159">
        <v>1.74</v>
      </c>
      <c r="I1159" t="s">
        <v>3147</v>
      </c>
      <c r="J1159" t="s">
        <v>3154</v>
      </c>
      <c r="K1159" t="s">
        <v>3186</v>
      </c>
      <c r="L1159" t="str">
        <f>_xlfn.XLOOKUP(C1159,[1]!Table1[Shift_ID],[1]!Table1[Shift_ID])</f>
        <v>S02</v>
      </c>
      <c r="M1159" t="str">
        <f>_xlfn.XLOOKUP(D1159,[2]!Table1[Machine_ID],[2]!Table1[Machine_ID])</f>
        <v>M003</v>
      </c>
      <c r="N1159" t="str">
        <f>_xlfn.XLOOKUP(E1159,[3]Sheet1!$A$2:$A$391,[3]Sheet1!$A$2:$A$391)</f>
        <v>PO10078</v>
      </c>
    </row>
    <row r="1160" spans="1:14" x14ac:dyDescent="0.2">
      <c r="A1160" t="s">
        <v>1169</v>
      </c>
      <c r="B1160" s="2">
        <v>46272</v>
      </c>
      <c r="C1160" t="s">
        <v>2941</v>
      </c>
      <c r="D1160" t="s">
        <v>2944</v>
      </c>
      <c r="E1160" t="s">
        <v>3028</v>
      </c>
      <c r="F1160" s="3">
        <v>46272.828449602341</v>
      </c>
      <c r="G1160" s="3">
        <v>46272.829832847201</v>
      </c>
      <c r="H1160">
        <v>1.99</v>
      </c>
      <c r="I1160" t="s">
        <v>3148</v>
      </c>
      <c r="J1160" t="s">
        <v>3164</v>
      </c>
      <c r="K1160" t="s">
        <v>3180</v>
      </c>
      <c r="L1160" t="str">
        <f>_xlfn.XLOOKUP(C1160,[1]!Table1[Shift_ID],[1]!Table1[Shift_ID])</f>
        <v>S02</v>
      </c>
      <c r="M1160" t="str">
        <f>_xlfn.XLOOKUP(D1160,[2]!Table1[Machine_ID],[2]!Table1[Machine_ID])</f>
        <v>M003</v>
      </c>
      <c r="N1160" t="str">
        <f>_xlfn.XLOOKUP(E1160,[3]Sheet1!$A$2:$A$391,[3]Sheet1!$A$2:$A$391)</f>
        <v>PO10078</v>
      </c>
    </row>
    <row r="1161" spans="1:14" x14ac:dyDescent="0.2">
      <c r="A1161" t="s">
        <v>1170</v>
      </c>
      <c r="B1161" s="2">
        <v>46272</v>
      </c>
      <c r="C1161" t="s">
        <v>2941</v>
      </c>
      <c r="D1161" t="s">
        <v>2945</v>
      </c>
      <c r="E1161" t="s">
        <v>3028</v>
      </c>
      <c r="F1161" s="3">
        <v>46272.817152562093</v>
      </c>
      <c r="G1161" s="3">
        <v>46272.827393424966</v>
      </c>
      <c r="H1161">
        <v>14.75</v>
      </c>
      <c r="I1161" t="s">
        <v>3148</v>
      </c>
      <c r="J1161" t="s">
        <v>3164</v>
      </c>
      <c r="K1161" t="s">
        <v>3180</v>
      </c>
      <c r="L1161" t="str">
        <f>_xlfn.XLOOKUP(C1161,[1]!Table1[Shift_ID],[1]!Table1[Shift_ID])</f>
        <v>S02</v>
      </c>
      <c r="M1161" t="str">
        <f>_xlfn.XLOOKUP(D1161,[2]!Table1[Machine_ID],[2]!Table1[Machine_ID])</f>
        <v>M004</v>
      </c>
      <c r="N1161" t="str">
        <f>_xlfn.XLOOKUP(E1161,[3]Sheet1!$A$2:$A$391,[3]Sheet1!$A$2:$A$391)</f>
        <v>PO10078</v>
      </c>
    </row>
    <row r="1162" spans="1:14" x14ac:dyDescent="0.2">
      <c r="A1162" t="s">
        <v>1171</v>
      </c>
      <c r="B1162" s="2">
        <v>46272</v>
      </c>
      <c r="C1162" t="s">
        <v>2941</v>
      </c>
      <c r="D1162" t="s">
        <v>2946</v>
      </c>
      <c r="E1162" t="s">
        <v>3028</v>
      </c>
      <c r="F1162" s="3">
        <v>46272.733224137432</v>
      </c>
      <c r="G1162" s="3">
        <v>46272.738487868497</v>
      </c>
      <c r="H1162">
        <v>7.58</v>
      </c>
      <c r="I1162" t="s">
        <v>3148</v>
      </c>
      <c r="J1162" t="s">
        <v>3155</v>
      </c>
      <c r="K1162" t="s">
        <v>3183</v>
      </c>
      <c r="L1162" t="str">
        <f>_xlfn.XLOOKUP(C1162,[1]!Table1[Shift_ID],[1]!Table1[Shift_ID])</f>
        <v>S02</v>
      </c>
      <c r="M1162" t="str">
        <f>_xlfn.XLOOKUP(D1162,[2]!Table1[Machine_ID],[2]!Table1[Machine_ID])</f>
        <v>M005</v>
      </c>
      <c r="N1162" t="str">
        <f>_xlfn.XLOOKUP(E1162,[3]Sheet1!$A$2:$A$391,[3]Sheet1!$A$2:$A$391)</f>
        <v>PO10078</v>
      </c>
    </row>
    <row r="1163" spans="1:14" x14ac:dyDescent="0.2">
      <c r="A1163" t="s">
        <v>1172</v>
      </c>
      <c r="B1163" s="2">
        <v>46272</v>
      </c>
      <c r="C1163" t="s">
        <v>2941</v>
      </c>
      <c r="D1163" t="s">
        <v>2946</v>
      </c>
      <c r="E1163" t="s">
        <v>3028</v>
      </c>
      <c r="F1163" s="3">
        <v>46272.736035925744</v>
      </c>
      <c r="G1163" s="3">
        <v>46272.737678750229</v>
      </c>
      <c r="H1163">
        <v>2.37</v>
      </c>
      <c r="I1163" t="s">
        <v>3147</v>
      </c>
      <c r="J1163" t="s">
        <v>3167</v>
      </c>
      <c r="K1163" t="s">
        <v>3185</v>
      </c>
      <c r="L1163" t="str">
        <f>_xlfn.XLOOKUP(C1163,[1]!Table1[Shift_ID],[1]!Table1[Shift_ID])</f>
        <v>S02</v>
      </c>
      <c r="M1163" t="str">
        <f>_xlfn.XLOOKUP(D1163,[2]!Table1[Machine_ID],[2]!Table1[Machine_ID])</f>
        <v>M005</v>
      </c>
      <c r="N1163" t="str">
        <f>_xlfn.XLOOKUP(E1163,[3]Sheet1!$A$2:$A$391,[3]Sheet1!$A$2:$A$391)</f>
        <v>PO10078</v>
      </c>
    </row>
    <row r="1164" spans="1:14" x14ac:dyDescent="0.2">
      <c r="A1164" t="s">
        <v>1173</v>
      </c>
      <c r="B1164" s="2">
        <v>46272</v>
      </c>
      <c r="C1164" t="s">
        <v>2941</v>
      </c>
      <c r="D1164" t="s">
        <v>2947</v>
      </c>
      <c r="E1164" t="s">
        <v>3028</v>
      </c>
      <c r="F1164" s="3">
        <v>46272.860289765151</v>
      </c>
      <c r="G1164" s="3">
        <v>46272.887499132121</v>
      </c>
      <c r="H1164">
        <v>39.18</v>
      </c>
      <c r="I1164" t="s">
        <v>3150</v>
      </c>
      <c r="J1164" t="s">
        <v>3166</v>
      </c>
      <c r="K1164" t="s">
        <v>3179</v>
      </c>
      <c r="L1164" t="str">
        <f>_xlfn.XLOOKUP(C1164,[1]!Table1[Shift_ID],[1]!Table1[Shift_ID])</f>
        <v>S02</v>
      </c>
      <c r="M1164" t="str">
        <f>_xlfn.XLOOKUP(D1164,[2]!Table1[Machine_ID],[2]!Table1[Machine_ID])</f>
        <v>M006</v>
      </c>
      <c r="N1164" t="str">
        <f>_xlfn.XLOOKUP(E1164,[3]Sheet1!$A$2:$A$391,[3]Sheet1!$A$2:$A$391)</f>
        <v>PO10078</v>
      </c>
    </row>
    <row r="1165" spans="1:14" x14ac:dyDescent="0.2">
      <c r="A1165" t="s">
        <v>1174</v>
      </c>
      <c r="B1165" s="2">
        <v>46272</v>
      </c>
      <c r="C1165" t="s">
        <v>2941</v>
      </c>
      <c r="D1165" t="s">
        <v>2948</v>
      </c>
      <c r="E1165" t="s">
        <v>3028</v>
      </c>
      <c r="F1165" s="3">
        <v>46272.716538979526</v>
      </c>
      <c r="G1165" s="3">
        <v>46272.724456019772</v>
      </c>
      <c r="H1165">
        <v>11.4</v>
      </c>
      <c r="I1165" t="s">
        <v>3150</v>
      </c>
      <c r="J1165" t="s">
        <v>3166</v>
      </c>
      <c r="K1165" t="s">
        <v>3178</v>
      </c>
      <c r="L1165" t="str">
        <f>_xlfn.XLOOKUP(C1165,[1]!Table1[Shift_ID],[1]!Table1[Shift_ID])</f>
        <v>S02</v>
      </c>
      <c r="M1165" t="str">
        <f>_xlfn.XLOOKUP(D1165,[2]!Table1[Machine_ID],[2]!Table1[Machine_ID])</f>
        <v>M007</v>
      </c>
      <c r="N1165" t="str">
        <f>_xlfn.XLOOKUP(E1165,[3]Sheet1!$A$2:$A$391,[3]Sheet1!$A$2:$A$391)</f>
        <v>PO10078</v>
      </c>
    </row>
    <row r="1166" spans="1:14" x14ac:dyDescent="0.2">
      <c r="A1166" t="s">
        <v>1175</v>
      </c>
      <c r="B1166" s="2">
        <v>46272</v>
      </c>
      <c r="C1166" t="s">
        <v>2941</v>
      </c>
      <c r="D1166" t="s">
        <v>2948</v>
      </c>
      <c r="E1166" t="s">
        <v>3028</v>
      </c>
      <c r="F1166" s="3">
        <v>46272.776383886448</v>
      </c>
      <c r="G1166" s="3">
        <v>46272.784116786999</v>
      </c>
      <c r="H1166">
        <v>11.14</v>
      </c>
      <c r="I1166" t="s">
        <v>3150</v>
      </c>
      <c r="J1166" t="s">
        <v>3163</v>
      </c>
      <c r="K1166" t="s">
        <v>3178</v>
      </c>
      <c r="L1166" t="str">
        <f>_xlfn.XLOOKUP(C1166,[1]!Table1[Shift_ID],[1]!Table1[Shift_ID])</f>
        <v>S02</v>
      </c>
      <c r="M1166" t="str">
        <f>_xlfn.XLOOKUP(D1166,[2]!Table1[Machine_ID],[2]!Table1[Machine_ID])</f>
        <v>M007</v>
      </c>
      <c r="N1166" t="str">
        <f>_xlfn.XLOOKUP(E1166,[3]Sheet1!$A$2:$A$391,[3]Sheet1!$A$2:$A$391)</f>
        <v>PO10078</v>
      </c>
    </row>
    <row r="1167" spans="1:14" x14ac:dyDescent="0.2">
      <c r="A1167" t="s">
        <v>1176</v>
      </c>
      <c r="B1167" s="2">
        <v>46272</v>
      </c>
      <c r="C1167" t="s">
        <v>2941</v>
      </c>
      <c r="D1167" t="s">
        <v>2949</v>
      </c>
      <c r="E1167" t="s">
        <v>3028</v>
      </c>
      <c r="F1167" s="3">
        <v>46272.589722802397</v>
      </c>
      <c r="G1167" s="3">
        <v>46272.591328384238</v>
      </c>
      <c r="H1167">
        <v>2.31</v>
      </c>
      <c r="I1167" t="s">
        <v>3149</v>
      </c>
      <c r="J1167" t="s">
        <v>3158</v>
      </c>
      <c r="K1167" t="s">
        <v>3182</v>
      </c>
      <c r="L1167" t="str">
        <f>_xlfn.XLOOKUP(C1167,[1]!Table1[Shift_ID],[1]!Table1[Shift_ID])</f>
        <v>S02</v>
      </c>
      <c r="M1167" t="str">
        <f>_xlfn.XLOOKUP(D1167,[2]!Table1[Machine_ID],[2]!Table1[Machine_ID])</f>
        <v>M008</v>
      </c>
      <c r="N1167" t="str">
        <f>_xlfn.XLOOKUP(E1167,[3]Sheet1!$A$2:$A$391,[3]Sheet1!$A$2:$A$391)</f>
        <v>PO10078</v>
      </c>
    </row>
    <row r="1168" spans="1:14" x14ac:dyDescent="0.2">
      <c r="A1168" t="s">
        <v>1177</v>
      </c>
      <c r="B1168" s="2">
        <v>46272</v>
      </c>
      <c r="C1168" t="s">
        <v>2941</v>
      </c>
      <c r="D1168" t="s">
        <v>2949</v>
      </c>
      <c r="E1168" t="s">
        <v>3028</v>
      </c>
      <c r="F1168" s="3">
        <v>46272.692786766856</v>
      </c>
      <c r="G1168" s="3">
        <v>46272.697010456563</v>
      </c>
      <c r="H1168">
        <v>6.08</v>
      </c>
      <c r="I1168" t="s">
        <v>3150</v>
      </c>
      <c r="J1168" t="s">
        <v>3160</v>
      </c>
      <c r="K1168" t="s">
        <v>3178</v>
      </c>
      <c r="L1168" t="str">
        <f>_xlfn.XLOOKUP(C1168,[1]!Table1[Shift_ID],[1]!Table1[Shift_ID])</f>
        <v>S02</v>
      </c>
      <c r="M1168" t="str">
        <f>_xlfn.XLOOKUP(D1168,[2]!Table1[Machine_ID],[2]!Table1[Machine_ID])</f>
        <v>M008</v>
      </c>
      <c r="N1168" t="str">
        <f>_xlfn.XLOOKUP(E1168,[3]Sheet1!$A$2:$A$391,[3]Sheet1!$A$2:$A$391)</f>
        <v>PO10078</v>
      </c>
    </row>
    <row r="1169" spans="1:14" x14ac:dyDescent="0.2">
      <c r="A1169" t="s">
        <v>1178</v>
      </c>
      <c r="B1169" s="2">
        <v>46272</v>
      </c>
      <c r="C1169" t="s">
        <v>2941</v>
      </c>
      <c r="D1169" t="s">
        <v>2949</v>
      </c>
      <c r="E1169" t="s">
        <v>3028</v>
      </c>
      <c r="F1169" s="3">
        <v>46272.732478155333</v>
      </c>
      <c r="G1169" s="3">
        <v>46272.734083737167</v>
      </c>
      <c r="H1169">
        <v>2.31</v>
      </c>
      <c r="I1169" t="s">
        <v>3149</v>
      </c>
      <c r="J1169" t="s">
        <v>3158</v>
      </c>
      <c r="K1169" t="s">
        <v>3184</v>
      </c>
      <c r="L1169" t="str">
        <f>_xlfn.XLOOKUP(C1169,[1]!Table1[Shift_ID],[1]!Table1[Shift_ID])</f>
        <v>S02</v>
      </c>
      <c r="M1169" t="str">
        <f>_xlfn.XLOOKUP(D1169,[2]!Table1[Machine_ID],[2]!Table1[Machine_ID])</f>
        <v>M008</v>
      </c>
      <c r="N1169" t="str">
        <f>_xlfn.XLOOKUP(E1169,[3]Sheet1!$A$2:$A$391,[3]Sheet1!$A$2:$A$391)</f>
        <v>PO10078</v>
      </c>
    </row>
    <row r="1170" spans="1:14" x14ac:dyDescent="0.2">
      <c r="A1170" t="s">
        <v>1179</v>
      </c>
      <c r="B1170" s="2">
        <v>46273</v>
      </c>
      <c r="C1170" t="s">
        <v>2939</v>
      </c>
      <c r="D1170" t="s">
        <v>2942</v>
      </c>
      <c r="E1170" t="s">
        <v>3029</v>
      </c>
      <c r="F1170" s="3">
        <v>46273.993034367108</v>
      </c>
      <c r="G1170" s="3">
        <v>46273.998909096706</v>
      </c>
      <c r="H1170">
        <v>8.4600000000000009</v>
      </c>
      <c r="I1170" t="s">
        <v>3149</v>
      </c>
      <c r="J1170" t="s">
        <v>3168</v>
      </c>
      <c r="K1170" t="s">
        <v>3176</v>
      </c>
      <c r="L1170" t="str">
        <f>_xlfn.XLOOKUP(C1170,[1]!Table1[Shift_ID],[1]!Table1[Shift_ID])</f>
        <v>S03</v>
      </c>
      <c r="M1170" t="str">
        <f>_xlfn.XLOOKUP(D1170,[2]!Table1[Machine_ID],[2]!Table1[Machine_ID])</f>
        <v>M001</v>
      </c>
      <c r="N1170" t="str">
        <f>_xlfn.XLOOKUP(E1170,[3]Sheet1!$A$2:$A$391,[3]Sheet1!$A$2:$A$391)</f>
        <v>PO10079</v>
      </c>
    </row>
    <row r="1171" spans="1:14" x14ac:dyDescent="0.2">
      <c r="A1171" t="s">
        <v>1180</v>
      </c>
      <c r="B1171" s="2">
        <v>46273</v>
      </c>
      <c r="C1171" t="s">
        <v>2939</v>
      </c>
      <c r="D1171" t="s">
        <v>2943</v>
      </c>
      <c r="E1171" t="s">
        <v>3029</v>
      </c>
      <c r="F1171" s="3">
        <v>46274.158806152249</v>
      </c>
      <c r="G1171" s="3">
        <v>46274.16940798868</v>
      </c>
      <c r="H1171">
        <v>15.27</v>
      </c>
      <c r="I1171" t="s">
        <v>3149</v>
      </c>
      <c r="J1171" t="s">
        <v>3162</v>
      </c>
      <c r="K1171" t="s">
        <v>3184</v>
      </c>
      <c r="L1171" t="str">
        <f>_xlfn.XLOOKUP(C1171,[1]!Table1[Shift_ID],[1]!Table1[Shift_ID])</f>
        <v>S03</v>
      </c>
      <c r="M1171" t="str">
        <f>_xlfn.XLOOKUP(D1171,[2]!Table1[Machine_ID],[2]!Table1[Machine_ID])</f>
        <v>M002</v>
      </c>
      <c r="N1171" t="str">
        <f>_xlfn.XLOOKUP(E1171,[3]Sheet1!$A$2:$A$391,[3]Sheet1!$A$2:$A$391)</f>
        <v>PO10079</v>
      </c>
    </row>
    <row r="1172" spans="1:14" x14ac:dyDescent="0.2">
      <c r="A1172" t="s">
        <v>1181</v>
      </c>
      <c r="B1172" s="2">
        <v>46273</v>
      </c>
      <c r="C1172" t="s">
        <v>2939</v>
      </c>
      <c r="D1172" t="s">
        <v>2944</v>
      </c>
      <c r="E1172" t="s">
        <v>3029</v>
      </c>
      <c r="F1172" s="3">
        <v>46273.92299837141</v>
      </c>
      <c r="G1172" s="3">
        <v>46273.92474491692</v>
      </c>
      <c r="H1172">
        <v>2.52</v>
      </c>
      <c r="I1172" t="s">
        <v>3147</v>
      </c>
      <c r="J1172" t="s">
        <v>3154</v>
      </c>
      <c r="K1172" t="s">
        <v>3186</v>
      </c>
      <c r="L1172" t="str">
        <f>_xlfn.XLOOKUP(C1172,[1]!Table1[Shift_ID],[1]!Table1[Shift_ID])</f>
        <v>S03</v>
      </c>
      <c r="M1172" t="str">
        <f>_xlfn.XLOOKUP(D1172,[2]!Table1[Machine_ID],[2]!Table1[Machine_ID])</f>
        <v>M003</v>
      </c>
      <c r="N1172" t="str">
        <f>_xlfn.XLOOKUP(E1172,[3]Sheet1!$A$2:$A$391,[3]Sheet1!$A$2:$A$391)</f>
        <v>PO10079</v>
      </c>
    </row>
    <row r="1173" spans="1:14" x14ac:dyDescent="0.2">
      <c r="A1173" t="s">
        <v>1182</v>
      </c>
      <c r="B1173" s="2">
        <v>46273</v>
      </c>
      <c r="C1173" t="s">
        <v>2939</v>
      </c>
      <c r="D1173" t="s">
        <v>2944</v>
      </c>
      <c r="E1173" t="s">
        <v>3029</v>
      </c>
      <c r="F1173" s="3">
        <v>46274.141194460557</v>
      </c>
      <c r="G1173" s="3">
        <v>46274.143944675983</v>
      </c>
      <c r="H1173">
        <v>3.96</v>
      </c>
      <c r="I1173" t="s">
        <v>3147</v>
      </c>
      <c r="J1173" t="s">
        <v>3167</v>
      </c>
      <c r="K1173" t="s">
        <v>3186</v>
      </c>
      <c r="L1173" t="str">
        <f>_xlfn.XLOOKUP(C1173,[1]!Table1[Shift_ID],[1]!Table1[Shift_ID])</f>
        <v>S03</v>
      </c>
      <c r="M1173" t="str">
        <f>_xlfn.XLOOKUP(D1173,[2]!Table1[Machine_ID],[2]!Table1[Machine_ID])</f>
        <v>M003</v>
      </c>
      <c r="N1173" t="str">
        <f>_xlfn.XLOOKUP(E1173,[3]Sheet1!$A$2:$A$391,[3]Sheet1!$A$2:$A$391)</f>
        <v>PO10079</v>
      </c>
    </row>
    <row r="1174" spans="1:14" x14ac:dyDescent="0.2">
      <c r="A1174" t="s">
        <v>1183</v>
      </c>
      <c r="B1174" s="2">
        <v>46273</v>
      </c>
      <c r="C1174" t="s">
        <v>2939</v>
      </c>
      <c r="D1174" t="s">
        <v>2944</v>
      </c>
      <c r="E1174" t="s">
        <v>3029</v>
      </c>
      <c r="F1174" s="3">
        <v>46274.164658789661</v>
      </c>
      <c r="G1174" s="3">
        <v>46274.166405335171</v>
      </c>
      <c r="H1174">
        <v>2.52</v>
      </c>
      <c r="I1174" t="s">
        <v>3151</v>
      </c>
      <c r="J1174" t="s">
        <v>3170</v>
      </c>
      <c r="K1174" t="s">
        <v>3187</v>
      </c>
      <c r="L1174" t="str">
        <f>_xlfn.XLOOKUP(C1174,[1]!Table1[Shift_ID],[1]!Table1[Shift_ID])</f>
        <v>S03</v>
      </c>
      <c r="M1174" t="str">
        <f>_xlfn.XLOOKUP(D1174,[2]!Table1[Machine_ID],[2]!Table1[Machine_ID])</f>
        <v>M003</v>
      </c>
      <c r="N1174" t="str">
        <f>_xlfn.XLOOKUP(E1174,[3]Sheet1!$A$2:$A$391,[3]Sheet1!$A$2:$A$391)</f>
        <v>PO10079</v>
      </c>
    </row>
    <row r="1175" spans="1:14" x14ac:dyDescent="0.2">
      <c r="A1175" t="s">
        <v>1184</v>
      </c>
      <c r="B1175" s="2">
        <v>46273</v>
      </c>
      <c r="C1175" t="s">
        <v>2939</v>
      </c>
      <c r="D1175" t="s">
        <v>2944</v>
      </c>
      <c r="E1175" t="s">
        <v>3029</v>
      </c>
      <c r="F1175" s="3">
        <v>46274.236087502592</v>
      </c>
      <c r="G1175" s="3">
        <v>46274.240301973987</v>
      </c>
      <c r="H1175">
        <v>6.07</v>
      </c>
      <c r="I1175" t="s">
        <v>3149</v>
      </c>
      <c r="J1175" t="s">
        <v>3168</v>
      </c>
      <c r="K1175" t="s">
        <v>3184</v>
      </c>
      <c r="L1175" t="str">
        <f>_xlfn.XLOOKUP(C1175,[1]!Table1[Shift_ID],[1]!Table1[Shift_ID])</f>
        <v>S03</v>
      </c>
      <c r="M1175" t="str">
        <f>_xlfn.XLOOKUP(D1175,[2]!Table1[Machine_ID],[2]!Table1[Machine_ID])</f>
        <v>M003</v>
      </c>
      <c r="N1175" t="str">
        <f>_xlfn.XLOOKUP(E1175,[3]Sheet1!$A$2:$A$391,[3]Sheet1!$A$2:$A$391)</f>
        <v>PO10079</v>
      </c>
    </row>
    <row r="1176" spans="1:14" x14ac:dyDescent="0.2">
      <c r="A1176" t="s">
        <v>1185</v>
      </c>
      <c r="B1176" s="2">
        <v>46273</v>
      </c>
      <c r="C1176" t="s">
        <v>2939</v>
      </c>
      <c r="D1176" t="s">
        <v>2945</v>
      </c>
      <c r="E1176" t="s">
        <v>3029</v>
      </c>
      <c r="F1176" s="3">
        <v>46274.015246125993</v>
      </c>
      <c r="G1176" s="3">
        <v>46274.018328634433</v>
      </c>
      <c r="H1176">
        <v>4.4400000000000004</v>
      </c>
      <c r="I1176" t="s">
        <v>3151</v>
      </c>
      <c r="J1176" t="s">
        <v>3161</v>
      </c>
      <c r="K1176" t="s">
        <v>3187</v>
      </c>
      <c r="L1176" t="str">
        <f>_xlfn.XLOOKUP(C1176,[1]!Table1[Shift_ID],[1]!Table1[Shift_ID])</f>
        <v>S03</v>
      </c>
      <c r="M1176" t="str">
        <f>_xlfn.XLOOKUP(D1176,[2]!Table1[Machine_ID],[2]!Table1[Machine_ID])</f>
        <v>M004</v>
      </c>
      <c r="N1176" t="str">
        <f>_xlfn.XLOOKUP(E1176,[3]Sheet1!$A$2:$A$391,[3]Sheet1!$A$2:$A$391)</f>
        <v>PO10079</v>
      </c>
    </row>
    <row r="1177" spans="1:14" x14ac:dyDescent="0.2">
      <c r="A1177" t="s">
        <v>1186</v>
      </c>
      <c r="B1177" s="2">
        <v>46273</v>
      </c>
      <c r="C1177" t="s">
        <v>2939</v>
      </c>
      <c r="D1177" t="s">
        <v>2945</v>
      </c>
      <c r="E1177" t="s">
        <v>3029</v>
      </c>
      <c r="F1177" s="3">
        <v>46274.213028432612</v>
      </c>
      <c r="G1177" s="3">
        <v>46274.216049613147</v>
      </c>
      <c r="H1177">
        <v>4.3499999999999996</v>
      </c>
      <c r="I1177" t="s">
        <v>3150</v>
      </c>
      <c r="J1177" t="s">
        <v>3159</v>
      </c>
      <c r="K1177" t="s">
        <v>3179</v>
      </c>
      <c r="L1177" t="str">
        <f>_xlfn.XLOOKUP(C1177,[1]!Table1[Shift_ID],[1]!Table1[Shift_ID])</f>
        <v>S03</v>
      </c>
      <c r="M1177" t="str">
        <f>_xlfn.XLOOKUP(D1177,[2]!Table1[Machine_ID],[2]!Table1[Machine_ID])</f>
        <v>M004</v>
      </c>
      <c r="N1177" t="str">
        <f>_xlfn.XLOOKUP(E1177,[3]Sheet1!$A$2:$A$391,[3]Sheet1!$A$2:$A$391)</f>
        <v>PO10079</v>
      </c>
    </row>
    <row r="1178" spans="1:14" x14ac:dyDescent="0.2">
      <c r="A1178" t="s">
        <v>1187</v>
      </c>
      <c r="B1178" s="2">
        <v>46273</v>
      </c>
      <c r="C1178" t="s">
        <v>2939</v>
      </c>
      <c r="D1178" t="s">
        <v>2945</v>
      </c>
      <c r="E1178" t="s">
        <v>3029</v>
      </c>
      <c r="F1178" s="3">
        <v>46274.242686476158</v>
      </c>
      <c r="G1178" s="3">
        <v>46274.244350516761</v>
      </c>
      <c r="H1178">
        <v>2.4</v>
      </c>
      <c r="I1178" t="s">
        <v>3151</v>
      </c>
      <c r="J1178" t="s">
        <v>3169</v>
      </c>
      <c r="K1178" t="s">
        <v>3188</v>
      </c>
      <c r="L1178" t="str">
        <f>_xlfn.XLOOKUP(C1178,[1]!Table1[Shift_ID],[1]!Table1[Shift_ID])</f>
        <v>S03</v>
      </c>
      <c r="M1178" t="str">
        <f>_xlfn.XLOOKUP(D1178,[2]!Table1[Machine_ID],[2]!Table1[Machine_ID])</f>
        <v>M004</v>
      </c>
      <c r="N1178" t="str">
        <f>_xlfn.XLOOKUP(E1178,[3]Sheet1!$A$2:$A$391,[3]Sheet1!$A$2:$A$391)</f>
        <v>PO10079</v>
      </c>
    </row>
    <row r="1179" spans="1:14" x14ac:dyDescent="0.2">
      <c r="A1179" t="s">
        <v>1188</v>
      </c>
      <c r="B1179" s="2">
        <v>46273</v>
      </c>
      <c r="C1179" t="s">
        <v>2939</v>
      </c>
      <c r="D1179" t="s">
        <v>2946</v>
      </c>
      <c r="E1179" t="s">
        <v>3029</v>
      </c>
      <c r="F1179" s="3">
        <v>46273.946963715789</v>
      </c>
      <c r="G1179" s="3">
        <v>46273.953122683139</v>
      </c>
      <c r="H1179">
        <v>8.8699999999999992</v>
      </c>
      <c r="I1179" t="s">
        <v>3150</v>
      </c>
      <c r="J1179" t="s">
        <v>3159</v>
      </c>
      <c r="K1179" t="s">
        <v>3177</v>
      </c>
      <c r="L1179" t="str">
        <f>_xlfn.XLOOKUP(C1179,[1]!Table1[Shift_ID],[1]!Table1[Shift_ID])</f>
        <v>S03</v>
      </c>
      <c r="M1179" t="str">
        <f>_xlfn.XLOOKUP(D1179,[2]!Table1[Machine_ID],[2]!Table1[Machine_ID])</f>
        <v>M005</v>
      </c>
      <c r="N1179" t="str">
        <f>_xlfn.XLOOKUP(E1179,[3]Sheet1!$A$2:$A$391,[3]Sheet1!$A$2:$A$391)</f>
        <v>PO10079</v>
      </c>
    </row>
    <row r="1180" spans="1:14" x14ac:dyDescent="0.2">
      <c r="A1180" t="s">
        <v>1189</v>
      </c>
      <c r="B1180" s="2">
        <v>46273</v>
      </c>
      <c r="C1180" t="s">
        <v>2939</v>
      </c>
      <c r="D1180" t="s">
        <v>2946</v>
      </c>
      <c r="E1180" t="s">
        <v>3029</v>
      </c>
      <c r="F1180" s="3">
        <v>46274.134816231381</v>
      </c>
      <c r="G1180" s="3">
        <v>46274.13826099749</v>
      </c>
      <c r="H1180">
        <v>4.96</v>
      </c>
      <c r="I1180" t="s">
        <v>3149</v>
      </c>
      <c r="J1180" t="s">
        <v>3158</v>
      </c>
      <c r="K1180" t="s">
        <v>3176</v>
      </c>
      <c r="L1180" t="str">
        <f>_xlfn.XLOOKUP(C1180,[1]!Table1[Shift_ID],[1]!Table1[Shift_ID])</f>
        <v>S03</v>
      </c>
      <c r="M1180" t="str">
        <f>_xlfn.XLOOKUP(D1180,[2]!Table1[Machine_ID],[2]!Table1[Machine_ID])</f>
        <v>M005</v>
      </c>
      <c r="N1180" t="str">
        <f>_xlfn.XLOOKUP(E1180,[3]Sheet1!$A$2:$A$391,[3]Sheet1!$A$2:$A$391)</f>
        <v>PO10079</v>
      </c>
    </row>
    <row r="1181" spans="1:14" x14ac:dyDescent="0.2">
      <c r="A1181" t="s">
        <v>1190</v>
      </c>
      <c r="B1181" s="2">
        <v>46273</v>
      </c>
      <c r="C1181" t="s">
        <v>2939</v>
      </c>
      <c r="D1181" t="s">
        <v>2947</v>
      </c>
      <c r="E1181" t="s">
        <v>3029</v>
      </c>
      <c r="F1181" s="3">
        <v>46273.925826090359</v>
      </c>
      <c r="G1181" s="3">
        <v>46273.935335658884</v>
      </c>
      <c r="H1181">
        <v>13.69</v>
      </c>
      <c r="I1181" t="s">
        <v>3150</v>
      </c>
      <c r="J1181" t="s">
        <v>3159</v>
      </c>
      <c r="K1181" t="s">
        <v>3179</v>
      </c>
      <c r="L1181" t="str">
        <f>_xlfn.XLOOKUP(C1181,[1]!Table1[Shift_ID],[1]!Table1[Shift_ID])</f>
        <v>S03</v>
      </c>
      <c r="M1181" t="str">
        <f>_xlfn.XLOOKUP(D1181,[2]!Table1[Machine_ID],[2]!Table1[Machine_ID])</f>
        <v>M006</v>
      </c>
      <c r="N1181" t="str">
        <f>_xlfn.XLOOKUP(E1181,[3]Sheet1!$A$2:$A$391,[3]Sheet1!$A$2:$A$391)</f>
        <v>PO10079</v>
      </c>
    </row>
    <row r="1182" spans="1:14" x14ac:dyDescent="0.2">
      <c r="A1182" t="s">
        <v>1191</v>
      </c>
      <c r="B1182" s="2">
        <v>46273</v>
      </c>
      <c r="C1182" t="s">
        <v>2939</v>
      </c>
      <c r="D1182" t="s">
        <v>2947</v>
      </c>
      <c r="E1182" t="s">
        <v>3029</v>
      </c>
      <c r="F1182" s="3">
        <v>46274.209961051347</v>
      </c>
      <c r="G1182" s="3">
        <v>46274.224850868522</v>
      </c>
      <c r="H1182">
        <v>21.44</v>
      </c>
      <c r="I1182" t="s">
        <v>3150</v>
      </c>
      <c r="J1182" t="s">
        <v>3159</v>
      </c>
      <c r="K1182" t="s">
        <v>3177</v>
      </c>
      <c r="L1182" t="str">
        <f>_xlfn.XLOOKUP(C1182,[1]!Table1[Shift_ID],[1]!Table1[Shift_ID])</f>
        <v>S03</v>
      </c>
      <c r="M1182" t="str">
        <f>_xlfn.XLOOKUP(D1182,[2]!Table1[Machine_ID],[2]!Table1[Machine_ID])</f>
        <v>M006</v>
      </c>
      <c r="N1182" t="str">
        <f>_xlfn.XLOOKUP(E1182,[3]Sheet1!$A$2:$A$391,[3]Sheet1!$A$2:$A$391)</f>
        <v>PO10079</v>
      </c>
    </row>
    <row r="1183" spans="1:14" x14ac:dyDescent="0.2">
      <c r="A1183" t="s">
        <v>1192</v>
      </c>
      <c r="B1183" s="2">
        <v>46273</v>
      </c>
      <c r="C1183" t="s">
        <v>2939</v>
      </c>
      <c r="D1183" t="s">
        <v>2948</v>
      </c>
      <c r="E1183" t="s">
        <v>3029</v>
      </c>
      <c r="F1183" s="3">
        <v>46273.960230065801</v>
      </c>
      <c r="G1183" s="3">
        <v>46273.970302310983</v>
      </c>
      <c r="H1183">
        <v>14.5</v>
      </c>
      <c r="I1183" t="s">
        <v>3149</v>
      </c>
      <c r="J1183" t="s">
        <v>3158</v>
      </c>
      <c r="K1183" t="s">
        <v>3182</v>
      </c>
      <c r="L1183" t="str">
        <f>_xlfn.XLOOKUP(C1183,[1]!Table1[Shift_ID],[1]!Table1[Shift_ID])</f>
        <v>S03</v>
      </c>
      <c r="M1183" t="str">
        <f>_xlfn.XLOOKUP(D1183,[2]!Table1[Machine_ID],[2]!Table1[Machine_ID])</f>
        <v>M007</v>
      </c>
      <c r="N1183" t="str">
        <f>_xlfn.XLOOKUP(E1183,[3]Sheet1!$A$2:$A$391,[3]Sheet1!$A$2:$A$391)</f>
        <v>PO10079</v>
      </c>
    </row>
    <row r="1184" spans="1:14" x14ac:dyDescent="0.2">
      <c r="A1184" t="s">
        <v>1193</v>
      </c>
      <c r="B1184" s="2">
        <v>46273</v>
      </c>
      <c r="C1184" t="s">
        <v>2939</v>
      </c>
      <c r="D1184" t="s">
        <v>2948</v>
      </c>
      <c r="E1184" t="s">
        <v>3029</v>
      </c>
      <c r="F1184" s="3">
        <v>46273.96987901433</v>
      </c>
      <c r="G1184" s="3">
        <v>46273.971926428807</v>
      </c>
      <c r="H1184">
        <v>2.95</v>
      </c>
      <c r="I1184" t="s">
        <v>3147</v>
      </c>
      <c r="J1184" t="s">
        <v>3154</v>
      </c>
      <c r="K1184" t="s">
        <v>3185</v>
      </c>
      <c r="L1184" t="str">
        <f>_xlfn.XLOOKUP(C1184,[1]!Table1[Shift_ID],[1]!Table1[Shift_ID])</f>
        <v>S03</v>
      </c>
      <c r="M1184" t="str">
        <f>_xlfn.XLOOKUP(D1184,[2]!Table1[Machine_ID],[2]!Table1[Machine_ID])</f>
        <v>M007</v>
      </c>
      <c r="N1184" t="str">
        <f>_xlfn.XLOOKUP(E1184,[3]Sheet1!$A$2:$A$391,[3]Sheet1!$A$2:$A$391)</f>
        <v>PO10079</v>
      </c>
    </row>
    <row r="1185" spans="1:14" x14ac:dyDescent="0.2">
      <c r="A1185" t="s">
        <v>1194</v>
      </c>
      <c r="B1185" s="2">
        <v>46273</v>
      </c>
      <c r="C1185" t="s">
        <v>2939</v>
      </c>
      <c r="D1185" t="s">
        <v>2948</v>
      </c>
      <c r="E1185" t="s">
        <v>3029</v>
      </c>
      <c r="F1185" s="3">
        <v>46274.067645109448</v>
      </c>
      <c r="G1185" s="3">
        <v>46274.070034194367</v>
      </c>
      <c r="H1185">
        <v>3.44</v>
      </c>
      <c r="I1185" t="s">
        <v>3147</v>
      </c>
      <c r="J1185" t="s">
        <v>3153</v>
      </c>
      <c r="K1185" t="s">
        <v>3172</v>
      </c>
      <c r="L1185" t="str">
        <f>_xlfn.XLOOKUP(C1185,[1]!Table1[Shift_ID],[1]!Table1[Shift_ID])</f>
        <v>S03</v>
      </c>
      <c r="M1185" t="str">
        <f>_xlfn.XLOOKUP(D1185,[2]!Table1[Machine_ID],[2]!Table1[Machine_ID])</f>
        <v>M007</v>
      </c>
      <c r="N1185" t="str">
        <f>_xlfn.XLOOKUP(E1185,[3]Sheet1!$A$2:$A$391,[3]Sheet1!$A$2:$A$391)</f>
        <v>PO10079</v>
      </c>
    </row>
    <row r="1186" spans="1:14" x14ac:dyDescent="0.2">
      <c r="A1186" t="s">
        <v>1195</v>
      </c>
      <c r="B1186" s="2">
        <v>46273</v>
      </c>
      <c r="C1186" t="s">
        <v>2939</v>
      </c>
      <c r="D1186" t="s">
        <v>2948</v>
      </c>
      <c r="E1186" t="s">
        <v>3029</v>
      </c>
      <c r="F1186" s="3">
        <v>46274.230636545159</v>
      </c>
      <c r="G1186" s="3">
        <v>46274.232855281363</v>
      </c>
      <c r="H1186">
        <v>3.19</v>
      </c>
      <c r="I1186" t="s">
        <v>3147</v>
      </c>
      <c r="J1186" t="s">
        <v>3154</v>
      </c>
      <c r="K1186" t="s">
        <v>3172</v>
      </c>
      <c r="L1186" t="str">
        <f>_xlfn.XLOOKUP(C1186,[1]!Table1[Shift_ID],[1]!Table1[Shift_ID])</f>
        <v>S03</v>
      </c>
      <c r="M1186" t="str">
        <f>_xlfn.XLOOKUP(D1186,[2]!Table1[Machine_ID],[2]!Table1[Machine_ID])</f>
        <v>M007</v>
      </c>
      <c r="N1186" t="str">
        <f>_xlfn.XLOOKUP(E1186,[3]Sheet1!$A$2:$A$391,[3]Sheet1!$A$2:$A$391)</f>
        <v>PO10079</v>
      </c>
    </row>
    <row r="1187" spans="1:14" x14ac:dyDescent="0.2">
      <c r="A1187" t="s">
        <v>1196</v>
      </c>
      <c r="B1187" s="2">
        <v>46273</v>
      </c>
      <c r="C1187" t="s">
        <v>2939</v>
      </c>
      <c r="D1187" t="s">
        <v>2949</v>
      </c>
      <c r="E1187" t="s">
        <v>3029</v>
      </c>
      <c r="F1187" s="3">
        <v>46274.128116021988</v>
      </c>
      <c r="G1187" s="3">
        <v>46274.135402622604</v>
      </c>
      <c r="H1187">
        <v>10.49</v>
      </c>
      <c r="I1187" t="s">
        <v>3150</v>
      </c>
      <c r="J1187" t="s">
        <v>3163</v>
      </c>
      <c r="K1187" t="s">
        <v>3179</v>
      </c>
      <c r="L1187" t="str">
        <f>_xlfn.XLOOKUP(C1187,[1]!Table1[Shift_ID],[1]!Table1[Shift_ID])</f>
        <v>S03</v>
      </c>
      <c r="M1187" t="str">
        <f>_xlfn.XLOOKUP(D1187,[2]!Table1[Machine_ID],[2]!Table1[Machine_ID])</f>
        <v>M008</v>
      </c>
      <c r="N1187" t="str">
        <f>_xlfn.XLOOKUP(E1187,[3]Sheet1!$A$2:$A$391,[3]Sheet1!$A$2:$A$391)</f>
        <v>PO10079</v>
      </c>
    </row>
    <row r="1188" spans="1:14" x14ac:dyDescent="0.2">
      <c r="A1188" t="s">
        <v>1197</v>
      </c>
      <c r="B1188" s="2">
        <v>46273</v>
      </c>
      <c r="C1188" t="s">
        <v>2940</v>
      </c>
      <c r="D1188" t="s">
        <v>2942</v>
      </c>
      <c r="E1188" t="s">
        <v>3030</v>
      </c>
      <c r="F1188" s="3">
        <v>46273.43073757067</v>
      </c>
      <c r="G1188" s="3">
        <v>46273.432718073498</v>
      </c>
      <c r="H1188">
        <v>2.85</v>
      </c>
      <c r="I1188" t="s">
        <v>3146</v>
      </c>
      <c r="J1188" t="s">
        <v>3157</v>
      </c>
      <c r="K1188" t="s">
        <v>3174</v>
      </c>
      <c r="L1188" t="str">
        <f>_xlfn.XLOOKUP(C1188,[1]!Table1[Shift_ID],[1]!Table1[Shift_ID])</f>
        <v>S01</v>
      </c>
      <c r="M1188" t="str">
        <f>_xlfn.XLOOKUP(D1188,[2]!Table1[Machine_ID],[2]!Table1[Machine_ID])</f>
        <v>M001</v>
      </c>
      <c r="N1188" t="str">
        <f>_xlfn.XLOOKUP(E1188,[3]Sheet1!$A$2:$A$391,[3]Sheet1!$A$2:$A$391)</f>
        <v>PO10080</v>
      </c>
    </row>
    <row r="1189" spans="1:14" x14ac:dyDescent="0.2">
      <c r="A1189" t="s">
        <v>1198</v>
      </c>
      <c r="B1189" s="2">
        <v>46273</v>
      </c>
      <c r="C1189" t="s">
        <v>2940</v>
      </c>
      <c r="D1189" t="s">
        <v>2942</v>
      </c>
      <c r="E1189" t="s">
        <v>3030</v>
      </c>
      <c r="F1189" s="3">
        <v>46273.434759948359</v>
      </c>
      <c r="G1189" s="3">
        <v>46273.437811129937</v>
      </c>
      <c r="H1189">
        <v>4.3899999999999997</v>
      </c>
      <c r="I1189" t="s">
        <v>3147</v>
      </c>
      <c r="J1189" t="s">
        <v>3153</v>
      </c>
      <c r="K1189" t="s">
        <v>3185</v>
      </c>
      <c r="L1189" t="str">
        <f>_xlfn.XLOOKUP(C1189,[1]!Table1[Shift_ID],[1]!Table1[Shift_ID])</f>
        <v>S01</v>
      </c>
      <c r="M1189" t="str">
        <f>_xlfn.XLOOKUP(D1189,[2]!Table1[Machine_ID],[2]!Table1[Machine_ID])</f>
        <v>M001</v>
      </c>
      <c r="N1189" t="str">
        <f>_xlfn.XLOOKUP(E1189,[3]Sheet1!$A$2:$A$391,[3]Sheet1!$A$2:$A$391)</f>
        <v>PO10080</v>
      </c>
    </row>
    <row r="1190" spans="1:14" x14ac:dyDescent="0.2">
      <c r="A1190" t="s">
        <v>1199</v>
      </c>
      <c r="B1190" s="2">
        <v>46273</v>
      </c>
      <c r="C1190" t="s">
        <v>2940</v>
      </c>
      <c r="D1190" t="s">
        <v>2943</v>
      </c>
      <c r="E1190" t="s">
        <v>3030</v>
      </c>
      <c r="F1190" s="3">
        <v>46273.262398648898</v>
      </c>
      <c r="G1190" s="3">
        <v>46273.268708935037</v>
      </c>
      <c r="H1190">
        <v>9.09</v>
      </c>
      <c r="I1190" t="s">
        <v>3147</v>
      </c>
      <c r="J1190" t="s">
        <v>3153</v>
      </c>
      <c r="K1190" t="s">
        <v>3172</v>
      </c>
      <c r="L1190" t="str">
        <f>_xlfn.XLOOKUP(C1190,[1]!Table1[Shift_ID],[1]!Table1[Shift_ID])</f>
        <v>S01</v>
      </c>
      <c r="M1190" t="str">
        <f>_xlfn.XLOOKUP(D1190,[2]!Table1[Machine_ID],[2]!Table1[Machine_ID])</f>
        <v>M002</v>
      </c>
      <c r="N1190" t="str">
        <f>_xlfn.XLOOKUP(E1190,[3]Sheet1!$A$2:$A$391,[3]Sheet1!$A$2:$A$391)</f>
        <v>PO10080</v>
      </c>
    </row>
    <row r="1191" spans="1:14" x14ac:dyDescent="0.2">
      <c r="A1191" t="s">
        <v>1200</v>
      </c>
      <c r="B1191" s="2">
        <v>46273</v>
      </c>
      <c r="C1191" t="s">
        <v>2940</v>
      </c>
      <c r="D1191" t="s">
        <v>2944</v>
      </c>
      <c r="E1191" t="s">
        <v>3030</v>
      </c>
      <c r="F1191" s="3">
        <v>46273.338198271711</v>
      </c>
      <c r="G1191" s="3">
        <v>46273.339751895342</v>
      </c>
      <c r="H1191">
        <v>2.2400000000000002</v>
      </c>
      <c r="I1191" t="s">
        <v>3150</v>
      </c>
      <c r="J1191" t="s">
        <v>3160</v>
      </c>
      <c r="K1191" t="s">
        <v>3177</v>
      </c>
      <c r="L1191" t="str">
        <f>_xlfn.XLOOKUP(C1191,[1]!Table1[Shift_ID],[1]!Table1[Shift_ID])</f>
        <v>S01</v>
      </c>
      <c r="M1191" t="str">
        <f>_xlfn.XLOOKUP(D1191,[2]!Table1[Machine_ID],[2]!Table1[Machine_ID])</f>
        <v>M003</v>
      </c>
      <c r="N1191" t="str">
        <f>_xlfn.XLOOKUP(E1191,[3]Sheet1!$A$2:$A$391,[3]Sheet1!$A$2:$A$391)</f>
        <v>PO10080</v>
      </c>
    </row>
    <row r="1192" spans="1:14" x14ac:dyDescent="0.2">
      <c r="A1192" t="s">
        <v>1201</v>
      </c>
      <c r="B1192" s="2">
        <v>46273</v>
      </c>
      <c r="C1192" t="s">
        <v>2940</v>
      </c>
      <c r="D1192" t="s">
        <v>2944</v>
      </c>
      <c r="E1192" t="s">
        <v>3030</v>
      </c>
      <c r="F1192" s="3">
        <v>46273.359698485467</v>
      </c>
      <c r="G1192" s="3">
        <v>46273.361252109098</v>
      </c>
      <c r="H1192">
        <v>2.2400000000000002</v>
      </c>
      <c r="I1192" t="s">
        <v>3148</v>
      </c>
      <c r="J1192" t="s">
        <v>3164</v>
      </c>
      <c r="K1192" t="s">
        <v>3173</v>
      </c>
      <c r="L1192" t="str">
        <f>_xlfn.XLOOKUP(C1192,[1]!Table1[Shift_ID],[1]!Table1[Shift_ID])</f>
        <v>S01</v>
      </c>
      <c r="M1192" t="str">
        <f>_xlfn.XLOOKUP(D1192,[2]!Table1[Machine_ID],[2]!Table1[Machine_ID])</f>
        <v>M003</v>
      </c>
      <c r="N1192" t="str">
        <f>_xlfn.XLOOKUP(E1192,[3]Sheet1!$A$2:$A$391,[3]Sheet1!$A$2:$A$391)</f>
        <v>PO10080</v>
      </c>
    </row>
    <row r="1193" spans="1:14" x14ac:dyDescent="0.2">
      <c r="A1193" t="s">
        <v>1202</v>
      </c>
      <c r="B1193" s="2">
        <v>46273</v>
      </c>
      <c r="C1193" t="s">
        <v>2940</v>
      </c>
      <c r="D1193" t="s">
        <v>2944</v>
      </c>
      <c r="E1193" t="s">
        <v>3030</v>
      </c>
      <c r="F1193" s="3">
        <v>46273.526204434813</v>
      </c>
      <c r="G1193" s="3">
        <v>46273.53097163816</v>
      </c>
      <c r="H1193">
        <v>6.86</v>
      </c>
      <c r="I1193" t="s">
        <v>3147</v>
      </c>
      <c r="J1193" t="s">
        <v>3153</v>
      </c>
      <c r="K1193" t="s">
        <v>3186</v>
      </c>
      <c r="L1193" t="str">
        <f>_xlfn.XLOOKUP(C1193,[1]!Table1[Shift_ID],[1]!Table1[Shift_ID])</f>
        <v>S01</v>
      </c>
      <c r="M1193" t="str">
        <f>_xlfn.XLOOKUP(D1193,[2]!Table1[Machine_ID],[2]!Table1[Machine_ID])</f>
        <v>M003</v>
      </c>
      <c r="N1193" t="str">
        <f>_xlfn.XLOOKUP(E1193,[3]Sheet1!$A$2:$A$391,[3]Sheet1!$A$2:$A$391)</f>
        <v>PO10080</v>
      </c>
    </row>
    <row r="1194" spans="1:14" x14ac:dyDescent="0.2">
      <c r="A1194" t="s">
        <v>1203</v>
      </c>
      <c r="B1194" s="2">
        <v>46273</v>
      </c>
      <c r="C1194" t="s">
        <v>2940</v>
      </c>
      <c r="D1194" t="s">
        <v>2945</v>
      </c>
      <c r="E1194" t="s">
        <v>3030</v>
      </c>
      <c r="F1194" s="3">
        <v>46273.301017656187</v>
      </c>
      <c r="G1194" s="3">
        <v>46273.302594114422</v>
      </c>
      <c r="H1194">
        <v>2.27</v>
      </c>
      <c r="I1194" t="s">
        <v>3147</v>
      </c>
      <c r="J1194" t="s">
        <v>3154</v>
      </c>
      <c r="K1194" t="s">
        <v>3172</v>
      </c>
      <c r="L1194" t="str">
        <f>_xlfn.XLOOKUP(C1194,[1]!Table1[Shift_ID],[1]!Table1[Shift_ID])</f>
        <v>S01</v>
      </c>
      <c r="M1194" t="str">
        <f>_xlfn.XLOOKUP(D1194,[2]!Table1[Machine_ID],[2]!Table1[Machine_ID])</f>
        <v>M004</v>
      </c>
      <c r="N1194" t="str">
        <f>_xlfn.XLOOKUP(E1194,[3]Sheet1!$A$2:$A$391,[3]Sheet1!$A$2:$A$391)</f>
        <v>PO10080</v>
      </c>
    </row>
    <row r="1195" spans="1:14" x14ac:dyDescent="0.2">
      <c r="A1195" t="s">
        <v>1204</v>
      </c>
      <c r="B1195" s="2">
        <v>46273</v>
      </c>
      <c r="C1195" t="s">
        <v>2940</v>
      </c>
      <c r="D1195" t="s">
        <v>2945</v>
      </c>
      <c r="E1195" t="s">
        <v>3030</v>
      </c>
      <c r="F1195" s="3">
        <v>46273.402894689447</v>
      </c>
      <c r="G1195" s="3">
        <v>46273.405768115867</v>
      </c>
      <c r="H1195">
        <v>4.1399999999999997</v>
      </c>
      <c r="I1195" t="s">
        <v>3148</v>
      </c>
      <c r="J1195" t="s">
        <v>3164</v>
      </c>
      <c r="K1195" t="s">
        <v>3173</v>
      </c>
      <c r="L1195" t="str">
        <f>_xlfn.XLOOKUP(C1195,[1]!Table1[Shift_ID],[1]!Table1[Shift_ID])</f>
        <v>S01</v>
      </c>
      <c r="M1195" t="str">
        <f>_xlfn.XLOOKUP(D1195,[2]!Table1[Machine_ID],[2]!Table1[Machine_ID])</f>
        <v>M004</v>
      </c>
      <c r="N1195" t="str">
        <f>_xlfn.XLOOKUP(E1195,[3]Sheet1!$A$2:$A$391,[3]Sheet1!$A$2:$A$391)</f>
        <v>PO10080</v>
      </c>
    </row>
    <row r="1196" spans="1:14" x14ac:dyDescent="0.2">
      <c r="A1196" t="s">
        <v>1205</v>
      </c>
      <c r="B1196" s="2">
        <v>46273</v>
      </c>
      <c r="C1196" t="s">
        <v>2940</v>
      </c>
      <c r="D1196" t="s">
        <v>2945</v>
      </c>
      <c r="E1196" t="s">
        <v>3030</v>
      </c>
      <c r="F1196" s="3">
        <v>46273.552921324619</v>
      </c>
      <c r="G1196" s="3">
        <v>46273.554497782847</v>
      </c>
      <c r="H1196">
        <v>2.27</v>
      </c>
      <c r="I1196" t="s">
        <v>3150</v>
      </c>
      <c r="J1196" t="s">
        <v>3159</v>
      </c>
      <c r="K1196" t="s">
        <v>3178</v>
      </c>
      <c r="L1196" t="str">
        <f>_xlfn.XLOOKUP(C1196,[1]!Table1[Shift_ID],[1]!Table1[Shift_ID])</f>
        <v>S01</v>
      </c>
      <c r="M1196" t="str">
        <f>_xlfn.XLOOKUP(D1196,[2]!Table1[Machine_ID],[2]!Table1[Machine_ID])</f>
        <v>M004</v>
      </c>
      <c r="N1196" t="str">
        <f>_xlfn.XLOOKUP(E1196,[3]Sheet1!$A$2:$A$391,[3]Sheet1!$A$2:$A$391)</f>
        <v>PO10080</v>
      </c>
    </row>
    <row r="1197" spans="1:14" x14ac:dyDescent="0.2">
      <c r="A1197" t="s">
        <v>1206</v>
      </c>
      <c r="B1197" s="2">
        <v>46273</v>
      </c>
      <c r="C1197" t="s">
        <v>2940</v>
      </c>
      <c r="D1197" t="s">
        <v>2946</v>
      </c>
      <c r="E1197" t="s">
        <v>3030</v>
      </c>
      <c r="F1197" s="3">
        <v>46273.334211690097</v>
      </c>
      <c r="G1197" s="3">
        <v>46273.335664967548</v>
      </c>
      <c r="H1197">
        <v>2.09</v>
      </c>
      <c r="I1197" t="s">
        <v>3146</v>
      </c>
      <c r="J1197" t="s">
        <v>3152</v>
      </c>
      <c r="K1197" t="s">
        <v>3171</v>
      </c>
      <c r="L1197" t="str">
        <f>_xlfn.XLOOKUP(C1197,[1]!Table1[Shift_ID],[1]!Table1[Shift_ID])</f>
        <v>S01</v>
      </c>
      <c r="M1197" t="str">
        <f>_xlfn.XLOOKUP(D1197,[2]!Table1[Machine_ID],[2]!Table1[Machine_ID])</f>
        <v>M005</v>
      </c>
      <c r="N1197" t="str">
        <f>_xlfn.XLOOKUP(E1197,[3]Sheet1!$A$2:$A$391,[3]Sheet1!$A$2:$A$391)</f>
        <v>PO10080</v>
      </c>
    </row>
    <row r="1198" spans="1:14" x14ac:dyDescent="0.2">
      <c r="A1198" t="s">
        <v>1207</v>
      </c>
      <c r="B1198" s="2">
        <v>46273</v>
      </c>
      <c r="C1198" t="s">
        <v>2940</v>
      </c>
      <c r="D1198" t="s">
        <v>2946</v>
      </c>
      <c r="E1198" t="s">
        <v>3030</v>
      </c>
      <c r="F1198" s="3">
        <v>46273.41057707162</v>
      </c>
      <c r="G1198" s="3">
        <v>46273.412030349064</v>
      </c>
      <c r="H1198">
        <v>2.09</v>
      </c>
      <c r="I1198" t="s">
        <v>3149</v>
      </c>
      <c r="J1198" t="s">
        <v>3168</v>
      </c>
      <c r="K1198" t="s">
        <v>3176</v>
      </c>
      <c r="L1198" t="str">
        <f>_xlfn.XLOOKUP(C1198,[1]!Table1[Shift_ID],[1]!Table1[Shift_ID])</f>
        <v>S01</v>
      </c>
      <c r="M1198" t="str">
        <f>_xlfn.XLOOKUP(D1198,[2]!Table1[Machine_ID],[2]!Table1[Machine_ID])</f>
        <v>M005</v>
      </c>
      <c r="N1198" t="str">
        <f>_xlfn.XLOOKUP(E1198,[3]Sheet1!$A$2:$A$391,[3]Sheet1!$A$2:$A$391)</f>
        <v>PO10080</v>
      </c>
    </row>
    <row r="1199" spans="1:14" x14ac:dyDescent="0.2">
      <c r="A1199" t="s">
        <v>1208</v>
      </c>
      <c r="B1199" s="2">
        <v>46273</v>
      </c>
      <c r="C1199" t="s">
        <v>2940</v>
      </c>
      <c r="D1199" t="s">
        <v>2946</v>
      </c>
      <c r="E1199" t="s">
        <v>3030</v>
      </c>
      <c r="F1199" s="3">
        <v>46273.450444263552</v>
      </c>
      <c r="G1199" s="3">
        <v>46273.451897541003</v>
      </c>
      <c r="H1199">
        <v>2.09</v>
      </c>
      <c r="I1199" t="s">
        <v>3150</v>
      </c>
      <c r="J1199" t="s">
        <v>3163</v>
      </c>
      <c r="K1199" t="s">
        <v>3179</v>
      </c>
      <c r="L1199" t="str">
        <f>_xlfn.XLOOKUP(C1199,[1]!Table1[Shift_ID],[1]!Table1[Shift_ID])</f>
        <v>S01</v>
      </c>
      <c r="M1199" t="str">
        <f>_xlfn.XLOOKUP(D1199,[2]!Table1[Machine_ID],[2]!Table1[Machine_ID])</f>
        <v>M005</v>
      </c>
      <c r="N1199" t="str">
        <f>_xlfn.XLOOKUP(E1199,[3]Sheet1!$A$2:$A$391,[3]Sheet1!$A$2:$A$391)</f>
        <v>PO10080</v>
      </c>
    </row>
    <row r="1200" spans="1:14" x14ac:dyDescent="0.2">
      <c r="A1200" t="s">
        <v>1209</v>
      </c>
      <c r="B1200" s="2">
        <v>46273</v>
      </c>
      <c r="C1200" t="s">
        <v>2940</v>
      </c>
      <c r="D1200" t="s">
        <v>2946</v>
      </c>
      <c r="E1200" t="s">
        <v>3030</v>
      </c>
      <c r="F1200" s="3">
        <v>46273.519104418912</v>
      </c>
      <c r="G1200" s="3">
        <v>46273.521026373193</v>
      </c>
      <c r="H1200">
        <v>2.77</v>
      </c>
      <c r="I1200" t="s">
        <v>3148</v>
      </c>
      <c r="J1200" t="s">
        <v>3165</v>
      </c>
      <c r="K1200" t="s">
        <v>3173</v>
      </c>
      <c r="L1200" t="str">
        <f>_xlfn.XLOOKUP(C1200,[1]!Table1[Shift_ID],[1]!Table1[Shift_ID])</f>
        <v>S01</v>
      </c>
      <c r="M1200" t="str">
        <f>_xlfn.XLOOKUP(D1200,[2]!Table1[Machine_ID],[2]!Table1[Machine_ID])</f>
        <v>M005</v>
      </c>
      <c r="N1200" t="str">
        <f>_xlfn.XLOOKUP(E1200,[3]Sheet1!$A$2:$A$391,[3]Sheet1!$A$2:$A$391)</f>
        <v>PO10080</v>
      </c>
    </row>
    <row r="1201" spans="1:14" x14ac:dyDescent="0.2">
      <c r="A1201" t="s">
        <v>1210</v>
      </c>
      <c r="B1201" s="2">
        <v>46273</v>
      </c>
      <c r="C1201" t="s">
        <v>2940</v>
      </c>
      <c r="D1201" t="s">
        <v>2946</v>
      </c>
      <c r="E1201" t="s">
        <v>3030</v>
      </c>
      <c r="F1201" s="3">
        <v>46273.53939831764</v>
      </c>
      <c r="G1201" s="3">
        <v>46273.540851595077</v>
      </c>
      <c r="H1201">
        <v>2.09</v>
      </c>
      <c r="I1201" t="s">
        <v>3147</v>
      </c>
      <c r="J1201" t="s">
        <v>3167</v>
      </c>
      <c r="K1201" t="s">
        <v>3186</v>
      </c>
      <c r="L1201" t="str">
        <f>_xlfn.XLOOKUP(C1201,[1]!Table1[Shift_ID],[1]!Table1[Shift_ID])</f>
        <v>S01</v>
      </c>
      <c r="M1201" t="str">
        <f>_xlfn.XLOOKUP(D1201,[2]!Table1[Machine_ID],[2]!Table1[Machine_ID])</f>
        <v>M005</v>
      </c>
      <c r="N1201" t="str">
        <f>_xlfn.XLOOKUP(E1201,[3]Sheet1!$A$2:$A$391,[3]Sheet1!$A$2:$A$391)</f>
        <v>PO10080</v>
      </c>
    </row>
    <row r="1202" spans="1:14" x14ac:dyDescent="0.2">
      <c r="A1202" t="s">
        <v>1211</v>
      </c>
      <c r="B1202" s="2">
        <v>46273</v>
      </c>
      <c r="C1202" t="s">
        <v>2940</v>
      </c>
      <c r="D1202" t="s">
        <v>2947</v>
      </c>
      <c r="E1202" t="s">
        <v>3030</v>
      </c>
      <c r="F1202" s="3">
        <v>46273.266292413158</v>
      </c>
      <c r="G1202" s="3">
        <v>46273.268434334823</v>
      </c>
      <c r="H1202">
        <v>3.08</v>
      </c>
      <c r="I1202" t="s">
        <v>3148</v>
      </c>
      <c r="J1202" t="s">
        <v>3164</v>
      </c>
      <c r="K1202" t="s">
        <v>3180</v>
      </c>
      <c r="L1202" t="str">
        <f>_xlfn.XLOOKUP(C1202,[1]!Table1[Shift_ID],[1]!Table1[Shift_ID])</f>
        <v>S01</v>
      </c>
      <c r="M1202" t="str">
        <f>_xlfn.XLOOKUP(D1202,[2]!Table1[Machine_ID],[2]!Table1[Machine_ID])</f>
        <v>M006</v>
      </c>
      <c r="N1202" t="str">
        <f>_xlfn.XLOOKUP(E1202,[3]Sheet1!$A$2:$A$391,[3]Sheet1!$A$2:$A$391)</f>
        <v>PO10080</v>
      </c>
    </row>
    <row r="1203" spans="1:14" x14ac:dyDescent="0.2">
      <c r="A1203" t="s">
        <v>1212</v>
      </c>
      <c r="B1203" s="2">
        <v>46273</v>
      </c>
      <c r="C1203" t="s">
        <v>2940</v>
      </c>
      <c r="D1203" t="s">
        <v>2947</v>
      </c>
      <c r="E1203" t="s">
        <v>3030</v>
      </c>
      <c r="F1203" s="3">
        <v>46273.461967565199</v>
      </c>
      <c r="G1203" s="3">
        <v>46273.485965895983</v>
      </c>
      <c r="H1203">
        <v>34.56</v>
      </c>
      <c r="I1203" t="s">
        <v>3150</v>
      </c>
      <c r="J1203" t="s">
        <v>3163</v>
      </c>
      <c r="K1203" t="s">
        <v>3179</v>
      </c>
      <c r="L1203" t="str">
        <f>_xlfn.XLOOKUP(C1203,[1]!Table1[Shift_ID],[1]!Table1[Shift_ID])</f>
        <v>S01</v>
      </c>
      <c r="M1203" t="str">
        <f>_xlfn.XLOOKUP(D1203,[2]!Table1[Machine_ID],[2]!Table1[Machine_ID])</f>
        <v>M006</v>
      </c>
      <c r="N1203" t="str">
        <f>_xlfn.XLOOKUP(E1203,[3]Sheet1!$A$2:$A$391,[3]Sheet1!$A$2:$A$391)</f>
        <v>PO10080</v>
      </c>
    </row>
    <row r="1204" spans="1:14" x14ac:dyDescent="0.2">
      <c r="A1204" t="s">
        <v>1213</v>
      </c>
      <c r="B1204" s="2">
        <v>46273</v>
      </c>
      <c r="C1204" t="s">
        <v>2940</v>
      </c>
      <c r="D1204" t="s">
        <v>2948</v>
      </c>
      <c r="E1204" t="s">
        <v>3030</v>
      </c>
      <c r="F1204" s="3">
        <v>46273.406252554298</v>
      </c>
      <c r="G1204" s="3">
        <v>46273.408522547506</v>
      </c>
      <c r="H1204">
        <v>3.27</v>
      </c>
      <c r="I1204" t="s">
        <v>3147</v>
      </c>
      <c r="J1204" t="s">
        <v>3167</v>
      </c>
      <c r="K1204" t="s">
        <v>3185</v>
      </c>
      <c r="L1204" t="str">
        <f>_xlfn.XLOOKUP(C1204,[1]!Table1[Shift_ID],[1]!Table1[Shift_ID])</f>
        <v>S01</v>
      </c>
      <c r="M1204" t="str">
        <f>_xlfn.XLOOKUP(D1204,[2]!Table1[Machine_ID],[2]!Table1[Machine_ID])</f>
        <v>M007</v>
      </c>
      <c r="N1204" t="str">
        <f>_xlfn.XLOOKUP(E1204,[3]Sheet1!$A$2:$A$391,[3]Sheet1!$A$2:$A$391)</f>
        <v>PO10080</v>
      </c>
    </row>
    <row r="1205" spans="1:14" x14ac:dyDescent="0.2">
      <c r="A1205" t="s">
        <v>1214</v>
      </c>
      <c r="B1205" s="2">
        <v>46273</v>
      </c>
      <c r="C1205" t="s">
        <v>2940</v>
      </c>
      <c r="D1205" t="s">
        <v>2948</v>
      </c>
      <c r="E1205" t="s">
        <v>3030</v>
      </c>
      <c r="F1205" s="3">
        <v>46273.475329122717</v>
      </c>
      <c r="G1205" s="3">
        <v>46273.487855888401</v>
      </c>
      <c r="H1205">
        <v>18.04</v>
      </c>
      <c r="I1205" t="s">
        <v>3148</v>
      </c>
      <c r="J1205" t="s">
        <v>3164</v>
      </c>
      <c r="K1205" t="s">
        <v>3183</v>
      </c>
      <c r="L1205" t="str">
        <f>_xlfn.XLOOKUP(C1205,[1]!Table1[Shift_ID],[1]!Table1[Shift_ID])</f>
        <v>S01</v>
      </c>
      <c r="M1205" t="str">
        <f>_xlfn.XLOOKUP(D1205,[2]!Table1[Machine_ID],[2]!Table1[Machine_ID])</f>
        <v>M007</v>
      </c>
      <c r="N1205" t="str">
        <f>_xlfn.XLOOKUP(E1205,[3]Sheet1!$A$2:$A$391,[3]Sheet1!$A$2:$A$391)</f>
        <v>PO10080</v>
      </c>
    </row>
    <row r="1206" spans="1:14" x14ac:dyDescent="0.2">
      <c r="A1206" t="s">
        <v>1215</v>
      </c>
      <c r="B1206" s="2">
        <v>46273</v>
      </c>
      <c r="C1206" t="s">
        <v>2940</v>
      </c>
      <c r="D1206" t="s">
        <v>2949</v>
      </c>
      <c r="E1206" t="s">
        <v>3030</v>
      </c>
      <c r="F1206" s="3">
        <v>46273.442871494677</v>
      </c>
      <c r="G1206" s="3">
        <v>46273.44474799544</v>
      </c>
      <c r="H1206">
        <v>2.7</v>
      </c>
      <c r="I1206" t="s">
        <v>3146</v>
      </c>
      <c r="J1206" t="s">
        <v>3156</v>
      </c>
      <c r="K1206" t="s">
        <v>3175</v>
      </c>
      <c r="L1206" t="str">
        <f>_xlfn.XLOOKUP(C1206,[1]!Table1[Shift_ID],[1]!Table1[Shift_ID])</f>
        <v>S01</v>
      </c>
      <c r="M1206" t="str">
        <f>_xlfn.XLOOKUP(D1206,[2]!Table1[Machine_ID],[2]!Table1[Machine_ID])</f>
        <v>M008</v>
      </c>
      <c r="N1206" t="str">
        <f>_xlfn.XLOOKUP(E1206,[3]Sheet1!$A$2:$A$391,[3]Sheet1!$A$2:$A$391)</f>
        <v>PO10080</v>
      </c>
    </row>
    <row r="1207" spans="1:14" x14ac:dyDescent="0.2">
      <c r="A1207" t="s">
        <v>1216</v>
      </c>
      <c r="B1207" s="2">
        <v>46273</v>
      </c>
      <c r="C1207" t="s">
        <v>2940</v>
      </c>
      <c r="D1207" t="s">
        <v>2949</v>
      </c>
      <c r="E1207" t="s">
        <v>3030</v>
      </c>
      <c r="F1207" s="3">
        <v>46273.520315088892</v>
      </c>
      <c r="G1207" s="3">
        <v>46273.525101892767</v>
      </c>
      <c r="H1207">
        <v>6.89</v>
      </c>
      <c r="I1207" t="s">
        <v>3149</v>
      </c>
      <c r="J1207" t="s">
        <v>3168</v>
      </c>
      <c r="K1207" t="s">
        <v>3184</v>
      </c>
      <c r="L1207" t="str">
        <f>_xlfn.XLOOKUP(C1207,[1]!Table1[Shift_ID],[1]!Table1[Shift_ID])</f>
        <v>S01</v>
      </c>
      <c r="M1207" t="str">
        <f>_xlfn.XLOOKUP(D1207,[2]!Table1[Machine_ID],[2]!Table1[Machine_ID])</f>
        <v>M008</v>
      </c>
      <c r="N1207" t="str">
        <f>_xlfn.XLOOKUP(E1207,[3]Sheet1!$A$2:$A$391,[3]Sheet1!$A$2:$A$391)</f>
        <v>PO10080</v>
      </c>
    </row>
    <row r="1208" spans="1:14" x14ac:dyDescent="0.2">
      <c r="A1208" t="s">
        <v>1217</v>
      </c>
      <c r="B1208" s="2">
        <v>46273</v>
      </c>
      <c r="C1208" t="s">
        <v>2941</v>
      </c>
      <c r="D1208" t="s">
        <v>2942</v>
      </c>
      <c r="E1208" t="s">
        <v>3031</v>
      </c>
      <c r="F1208" s="3">
        <v>46273.620101105473</v>
      </c>
      <c r="G1208" s="3">
        <v>46273.626144801608</v>
      </c>
      <c r="H1208">
        <v>8.6999999999999993</v>
      </c>
      <c r="I1208" t="s">
        <v>3146</v>
      </c>
      <c r="J1208" t="s">
        <v>3157</v>
      </c>
      <c r="K1208" t="s">
        <v>3175</v>
      </c>
      <c r="L1208" t="str">
        <f>_xlfn.XLOOKUP(C1208,[1]!Table1[Shift_ID],[1]!Table1[Shift_ID])</f>
        <v>S02</v>
      </c>
      <c r="M1208" t="str">
        <f>_xlfn.XLOOKUP(D1208,[2]!Table1[Machine_ID],[2]!Table1[Machine_ID])</f>
        <v>M001</v>
      </c>
      <c r="N1208" t="str">
        <f>_xlfn.XLOOKUP(E1208,[3]Sheet1!$A$2:$A$391,[3]Sheet1!$A$2:$A$391)</f>
        <v>PO10081</v>
      </c>
    </row>
    <row r="1209" spans="1:14" x14ac:dyDescent="0.2">
      <c r="A1209" t="s">
        <v>1218</v>
      </c>
      <c r="B1209" s="2">
        <v>46273</v>
      </c>
      <c r="C1209" t="s">
        <v>2941</v>
      </c>
      <c r="D1209" t="s">
        <v>2943</v>
      </c>
      <c r="E1209" t="s">
        <v>3031</v>
      </c>
      <c r="F1209" s="3">
        <v>46273.649326253842</v>
      </c>
      <c r="G1209" s="3">
        <v>46273.654588032798</v>
      </c>
      <c r="H1209">
        <v>7.58</v>
      </c>
      <c r="I1209" t="s">
        <v>3149</v>
      </c>
      <c r="J1209" t="s">
        <v>3162</v>
      </c>
      <c r="K1209" t="s">
        <v>3176</v>
      </c>
      <c r="L1209" t="str">
        <f>_xlfn.XLOOKUP(C1209,[1]!Table1[Shift_ID],[1]!Table1[Shift_ID])</f>
        <v>S02</v>
      </c>
      <c r="M1209" t="str">
        <f>_xlfn.XLOOKUP(D1209,[2]!Table1[Machine_ID],[2]!Table1[Machine_ID])</f>
        <v>M002</v>
      </c>
      <c r="N1209" t="str">
        <f>_xlfn.XLOOKUP(E1209,[3]Sheet1!$A$2:$A$391,[3]Sheet1!$A$2:$A$391)</f>
        <v>PO10081</v>
      </c>
    </row>
    <row r="1210" spans="1:14" x14ac:dyDescent="0.2">
      <c r="A1210" t="s">
        <v>1219</v>
      </c>
      <c r="B1210" s="2">
        <v>46273</v>
      </c>
      <c r="C1210" t="s">
        <v>2941</v>
      </c>
      <c r="D1210" t="s">
        <v>2943</v>
      </c>
      <c r="E1210" t="s">
        <v>3031</v>
      </c>
      <c r="F1210" s="3">
        <v>46273.722872529237</v>
      </c>
      <c r="G1210" s="3">
        <v>46273.728153303098</v>
      </c>
      <c r="H1210">
        <v>7.6</v>
      </c>
      <c r="I1210" t="s">
        <v>3151</v>
      </c>
      <c r="J1210" t="s">
        <v>3169</v>
      </c>
      <c r="K1210" t="s">
        <v>3188</v>
      </c>
      <c r="L1210" t="str">
        <f>_xlfn.XLOOKUP(C1210,[1]!Table1[Shift_ID],[1]!Table1[Shift_ID])</f>
        <v>S02</v>
      </c>
      <c r="M1210" t="str">
        <f>_xlfn.XLOOKUP(D1210,[2]!Table1[Machine_ID],[2]!Table1[Machine_ID])</f>
        <v>M002</v>
      </c>
      <c r="N1210" t="str">
        <f>_xlfn.XLOOKUP(E1210,[3]Sheet1!$A$2:$A$391,[3]Sheet1!$A$2:$A$391)</f>
        <v>PO10081</v>
      </c>
    </row>
    <row r="1211" spans="1:14" x14ac:dyDescent="0.2">
      <c r="A1211" t="s">
        <v>1220</v>
      </c>
      <c r="B1211" s="2">
        <v>46273</v>
      </c>
      <c r="C1211" t="s">
        <v>2941</v>
      </c>
      <c r="D1211" t="s">
        <v>2944</v>
      </c>
      <c r="E1211" t="s">
        <v>3031</v>
      </c>
      <c r="F1211" s="3">
        <v>46273.874042115807</v>
      </c>
      <c r="G1211" s="3">
        <v>46273.886403453449</v>
      </c>
      <c r="H1211">
        <v>17.8</v>
      </c>
      <c r="I1211" t="s">
        <v>3150</v>
      </c>
      <c r="J1211" t="s">
        <v>3163</v>
      </c>
      <c r="K1211" t="s">
        <v>3178</v>
      </c>
      <c r="L1211" t="str">
        <f>_xlfn.XLOOKUP(C1211,[1]!Table1[Shift_ID],[1]!Table1[Shift_ID])</f>
        <v>S02</v>
      </c>
      <c r="M1211" t="str">
        <f>_xlfn.XLOOKUP(D1211,[2]!Table1[Machine_ID],[2]!Table1[Machine_ID])</f>
        <v>M003</v>
      </c>
      <c r="N1211" t="str">
        <f>_xlfn.XLOOKUP(E1211,[3]Sheet1!$A$2:$A$391,[3]Sheet1!$A$2:$A$391)</f>
        <v>PO10081</v>
      </c>
    </row>
    <row r="1212" spans="1:14" x14ac:dyDescent="0.2">
      <c r="A1212" t="s">
        <v>1221</v>
      </c>
      <c r="B1212" s="2">
        <v>46273</v>
      </c>
      <c r="C1212" t="s">
        <v>2941</v>
      </c>
      <c r="D1212" t="s">
        <v>2945</v>
      </c>
      <c r="E1212" t="s">
        <v>3031</v>
      </c>
      <c r="F1212" s="3">
        <v>46273.765283445871</v>
      </c>
      <c r="G1212" s="3">
        <v>46273.774506531408</v>
      </c>
      <c r="H1212">
        <v>13.28</v>
      </c>
      <c r="I1212" t="s">
        <v>3150</v>
      </c>
      <c r="J1212" t="s">
        <v>3166</v>
      </c>
      <c r="K1212" t="s">
        <v>3178</v>
      </c>
      <c r="L1212" t="str">
        <f>_xlfn.XLOOKUP(C1212,[1]!Table1[Shift_ID],[1]!Table1[Shift_ID])</f>
        <v>S02</v>
      </c>
      <c r="M1212" t="str">
        <f>_xlfn.XLOOKUP(D1212,[2]!Table1[Machine_ID],[2]!Table1[Machine_ID])</f>
        <v>M004</v>
      </c>
      <c r="N1212" t="str">
        <f>_xlfn.XLOOKUP(E1212,[3]Sheet1!$A$2:$A$391,[3]Sheet1!$A$2:$A$391)</f>
        <v>PO10081</v>
      </c>
    </row>
    <row r="1213" spans="1:14" x14ac:dyDescent="0.2">
      <c r="A1213" t="s">
        <v>1222</v>
      </c>
      <c r="B1213" s="2">
        <v>46273</v>
      </c>
      <c r="C1213" t="s">
        <v>2941</v>
      </c>
      <c r="D1213" t="s">
        <v>2946</v>
      </c>
      <c r="E1213" t="s">
        <v>3031</v>
      </c>
      <c r="F1213" s="3">
        <v>46273.792922615226</v>
      </c>
      <c r="G1213" s="3">
        <v>46273.803423960628</v>
      </c>
      <c r="H1213">
        <v>15.12</v>
      </c>
      <c r="I1213" t="s">
        <v>3150</v>
      </c>
      <c r="J1213" t="s">
        <v>3160</v>
      </c>
      <c r="K1213" t="s">
        <v>3178</v>
      </c>
      <c r="L1213" t="str">
        <f>_xlfn.XLOOKUP(C1213,[1]!Table1[Shift_ID],[1]!Table1[Shift_ID])</f>
        <v>S02</v>
      </c>
      <c r="M1213" t="str">
        <f>_xlfn.XLOOKUP(D1213,[2]!Table1[Machine_ID],[2]!Table1[Machine_ID])</f>
        <v>M005</v>
      </c>
      <c r="N1213" t="str">
        <f>_xlfn.XLOOKUP(E1213,[3]Sheet1!$A$2:$A$391,[3]Sheet1!$A$2:$A$391)</f>
        <v>PO10081</v>
      </c>
    </row>
    <row r="1214" spans="1:14" x14ac:dyDescent="0.2">
      <c r="A1214" t="s">
        <v>1223</v>
      </c>
      <c r="B1214" s="2">
        <v>46273</v>
      </c>
      <c r="C1214" t="s">
        <v>2941</v>
      </c>
      <c r="D1214" t="s">
        <v>2947</v>
      </c>
      <c r="E1214" t="s">
        <v>3031</v>
      </c>
      <c r="F1214" s="3">
        <v>46273.865050340093</v>
      </c>
      <c r="G1214" s="3">
        <v>46273.897983327908</v>
      </c>
      <c r="H1214">
        <v>47.42</v>
      </c>
      <c r="I1214" t="s">
        <v>3150</v>
      </c>
      <c r="J1214" t="s">
        <v>3159</v>
      </c>
      <c r="K1214" t="s">
        <v>3177</v>
      </c>
      <c r="L1214" t="str">
        <f>_xlfn.XLOOKUP(C1214,[1]!Table1[Shift_ID],[1]!Table1[Shift_ID])</f>
        <v>S02</v>
      </c>
      <c r="M1214" t="str">
        <f>_xlfn.XLOOKUP(D1214,[2]!Table1[Machine_ID],[2]!Table1[Machine_ID])</f>
        <v>M006</v>
      </c>
      <c r="N1214" t="str">
        <f>_xlfn.XLOOKUP(E1214,[3]Sheet1!$A$2:$A$391,[3]Sheet1!$A$2:$A$391)</f>
        <v>PO10081</v>
      </c>
    </row>
    <row r="1215" spans="1:14" x14ac:dyDescent="0.2">
      <c r="A1215" t="s">
        <v>1224</v>
      </c>
      <c r="B1215" s="2">
        <v>46273</v>
      </c>
      <c r="C1215" t="s">
        <v>2941</v>
      </c>
      <c r="D1215" t="s">
        <v>2948</v>
      </c>
      <c r="E1215" t="s">
        <v>3031</v>
      </c>
      <c r="F1215" s="3">
        <v>46273.650451752619</v>
      </c>
      <c r="G1215" s="3">
        <v>46273.668554909593</v>
      </c>
      <c r="H1215">
        <v>26.07</v>
      </c>
      <c r="I1215" t="s">
        <v>3148</v>
      </c>
      <c r="J1215" t="s">
        <v>3155</v>
      </c>
      <c r="K1215" t="s">
        <v>3183</v>
      </c>
      <c r="L1215" t="str">
        <f>_xlfn.XLOOKUP(C1215,[1]!Table1[Shift_ID],[1]!Table1[Shift_ID])</f>
        <v>S02</v>
      </c>
      <c r="M1215" t="str">
        <f>_xlfn.XLOOKUP(D1215,[2]!Table1[Machine_ID],[2]!Table1[Machine_ID])</f>
        <v>M007</v>
      </c>
      <c r="N1215" t="str">
        <f>_xlfn.XLOOKUP(E1215,[3]Sheet1!$A$2:$A$391,[3]Sheet1!$A$2:$A$391)</f>
        <v>PO10081</v>
      </c>
    </row>
    <row r="1216" spans="1:14" x14ac:dyDescent="0.2">
      <c r="A1216" t="s">
        <v>1225</v>
      </c>
      <c r="B1216" s="2">
        <v>46273</v>
      </c>
      <c r="C1216" t="s">
        <v>2941</v>
      </c>
      <c r="D1216" t="s">
        <v>2949</v>
      </c>
      <c r="E1216" t="s">
        <v>3031</v>
      </c>
      <c r="F1216" s="3">
        <v>46273.714454410649</v>
      </c>
      <c r="G1216" s="3">
        <v>46273.72202199536</v>
      </c>
      <c r="H1216">
        <v>10.9</v>
      </c>
      <c r="I1216" t="s">
        <v>3146</v>
      </c>
      <c r="J1216" t="s">
        <v>3156</v>
      </c>
      <c r="K1216" t="s">
        <v>3174</v>
      </c>
      <c r="L1216" t="str">
        <f>_xlfn.XLOOKUP(C1216,[1]!Table1[Shift_ID],[1]!Table1[Shift_ID])</f>
        <v>S02</v>
      </c>
      <c r="M1216" t="str">
        <f>_xlfn.XLOOKUP(D1216,[2]!Table1[Machine_ID],[2]!Table1[Machine_ID])</f>
        <v>M008</v>
      </c>
      <c r="N1216" t="str">
        <f>_xlfn.XLOOKUP(E1216,[3]Sheet1!$A$2:$A$391,[3]Sheet1!$A$2:$A$391)</f>
        <v>PO10081</v>
      </c>
    </row>
    <row r="1217" spans="1:14" x14ac:dyDescent="0.2">
      <c r="A1217" t="s">
        <v>1226</v>
      </c>
      <c r="B1217" s="2">
        <v>46274</v>
      </c>
      <c r="C1217" t="s">
        <v>2939</v>
      </c>
      <c r="D1217" t="s">
        <v>2942</v>
      </c>
      <c r="E1217" t="s">
        <v>3032</v>
      </c>
      <c r="F1217" s="3">
        <v>46274.922706335878</v>
      </c>
      <c r="G1217" s="3">
        <v>46274.928766363482</v>
      </c>
      <c r="H1217">
        <v>8.73</v>
      </c>
      <c r="I1217" t="s">
        <v>3146</v>
      </c>
      <c r="J1217" t="s">
        <v>3157</v>
      </c>
      <c r="K1217" t="s">
        <v>3171</v>
      </c>
      <c r="L1217" t="str">
        <f>_xlfn.XLOOKUP(C1217,[1]!Table1[Shift_ID],[1]!Table1[Shift_ID])</f>
        <v>S03</v>
      </c>
      <c r="M1217" t="str">
        <f>_xlfn.XLOOKUP(D1217,[2]!Table1[Machine_ID],[2]!Table1[Machine_ID])</f>
        <v>M001</v>
      </c>
      <c r="N1217" t="str">
        <f>_xlfn.XLOOKUP(E1217,[3]Sheet1!$A$2:$A$391,[3]Sheet1!$A$2:$A$391)</f>
        <v>PO10082</v>
      </c>
    </row>
    <row r="1218" spans="1:14" x14ac:dyDescent="0.2">
      <c r="A1218" t="s">
        <v>1227</v>
      </c>
      <c r="B1218" s="2">
        <v>46274</v>
      </c>
      <c r="C1218" t="s">
        <v>2939</v>
      </c>
      <c r="D1218" t="s">
        <v>2943</v>
      </c>
      <c r="E1218" t="s">
        <v>3032</v>
      </c>
      <c r="F1218" s="3">
        <v>46275.225636959018</v>
      </c>
      <c r="G1218" s="3">
        <v>46275.232597386588</v>
      </c>
      <c r="H1218">
        <v>10.02</v>
      </c>
      <c r="I1218" t="s">
        <v>3151</v>
      </c>
      <c r="J1218" t="s">
        <v>3170</v>
      </c>
      <c r="K1218" t="s">
        <v>3187</v>
      </c>
      <c r="L1218" t="str">
        <f>_xlfn.XLOOKUP(C1218,[1]!Table1[Shift_ID],[1]!Table1[Shift_ID])</f>
        <v>S03</v>
      </c>
      <c r="M1218" t="str">
        <f>_xlfn.XLOOKUP(D1218,[2]!Table1[Machine_ID],[2]!Table1[Machine_ID])</f>
        <v>M002</v>
      </c>
      <c r="N1218" t="str">
        <f>_xlfn.XLOOKUP(E1218,[3]Sheet1!$A$2:$A$391,[3]Sheet1!$A$2:$A$391)</f>
        <v>PO10082</v>
      </c>
    </row>
    <row r="1219" spans="1:14" x14ac:dyDescent="0.2">
      <c r="A1219" t="s">
        <v>1228</v>
      </c>
      <c r="B1219" s="2">
        <v>46274</v>
      </c>
      <c r="C1219" t="s">
        <v>2939</v>
      </c>
      <c r="D1219" t="s">
        <v>2943</v>
      </c>
      <c r="E1219" t="s">
        <v>3032</v>
      </c>
      <c r="F1219" s="3">
        <v>46275.234965287411</v>
      </c>
      <c r="G1219" s="3">
        <v>46275.23666321639</v>
      </c>
      <c r="H1219">
        <v>2.4500000000000002</v>
      </c>
      <c r="I1219" t="s">
        <v>3151</v>
      </c>
      <c r="J1219" t="s">
        <v>3161</v>
      </c>
      <c r="K1219" t="s">
        <v>3181</v>
      </c>
      <c r="L1219" t="str">
        <f>_xlfn.XLOOKUP(C1219,[1]!Table1[Shift_ID],[1]!Table1[Shift_ID])</f>
        <v>S03</v>
      </c>
      <c r="M1219" t="str">
        <f>_xlfn.XLOOKUP(D1219,[2]!Table1[Machine_ID],[2]!Table1[Machine_ID])</f>
        <v>M002</v>
      </c>
      <c r="N1219" t="str">
        <f>_xlfn.XLOOKUP(E1219,[3]Sheet1!$A$2:$A$391,[3]Sheet1!$A$2:$A$391)</f>
        <v>PO10082</v>
      </c>
    </row>
    <row r="1220" spans="1:14" x14ac:dyDescent="0.2">
      <c r="A1220" t="s">
        <v>1229</v>
      </c>
      <c r="B1220" s="2">
        <v>46274</v>
      </c>
      <c r="C1220" t="s">
        <v>2939</v>
      </c>
      <c r="D1220" t="s">
        <v>2944</v>
      </c>
      <c r="E1220" t="s">
        <v>3032</v>
      </c>
      <c r="F1220" s="3">
        <v>46275.152272486601</v>
      </c>
      <c r="G1220" s="3">
        <v>46275.166077746057</v>
      </c>
      <c r="H1220">
        <v>19.88</v>
      </c>
      <c r="I1220" t="s">
        <v>3147</v>
      </c>
      <c r="J1220" t="s">
        <v>3154</v>
      </c>
      <c r="K1220" t="s">
        <v>3186</v>
      </c>
      <c r="L1220" t="str">
        <f>_xlfn.XLOOKUP(C1220,[1]!Table1[Shift_ID],[1]!Table1[Shift_ID])</f>
        <v>S03</v>
      </c>
      <c r="M1220" t="str">
        <f>_xlfn.XLOOKUP(D1220,[2]!Table1[Machine_ID],[2]!Table1[Machine_ID])</f>
        <v>M003</v>
      </c>
      <c r="N1220" t="str">
        <f>_xlfn.XLOOKUP(E1220,[3]Sheet1!$A$2:$A$391,[3]Sheet1!$A$2:$A$391)</f>
        <v>PO10082</v>
      </c>
    </row>
    <row r="1221" spans="1:14" x14ac:dyDescent="0.2">
      <c r="A1221" t="s">
        <v>1230</v>
      </c>
      <c r="B1221" s="2">
        <v>46274</v>
      </c>
      <c r="C1221" t="s">
        <v>2939</v>
      </c>
      <c r="D1221" t="s">
        <v>2945</v>
      </c>
      <c r="E1221" t="s">
        <v>3032</v>
      </c>
      <c r="F1221" s="3">
        <v>46275.081717576271</v>
      </c>
      <c r="G1221" s="3">
        <v>46275.083793846323</v>
      </c>
      <c r="H1221">
        <v>2.99</v>
      </c>
      <c r="I1221" t="s">
        <v>3149</v>
      </c>
      <c r="J1221" t="s">
        <v>3168</v>
      </c>
      <c r="K1221" t="s">
        <v>3176</v>
      </c>
      <c r="L1221" t="str">
        <f>_xlfn.XLOOKUP(C1221,[1]!Table1[Shift_ID],[1]!Table1[Shift_ID])</f>
        <v>S03</v>
      </c>
      <c r="M1221" t="str">
        <f>_xlfn.XLOOKUP(D1221,[2]!Table1[Machine_ID],[2]!Table1[Machine_ID])</f>
        <v>M004</v>
      </c>
      <c r="N1221" t="str">
        <f>_xlfn.XLOOKUP(E1221,[3]Sheet1!$A$2:$A$391,[3]Sheet1!$A$2:$A$391)</f>
        <v>PO10082</v>
      </c>
    </row>
    <row r="1222" spans="1:14" x14ac:dyDescent="0.2">
      <c r="A1222" t="s">
        <v>1231</v>
      </c>
      <c r="B1222" s="2">
        <v>46274</v>
      </c>
      <c r="C1222" t="s">
        <v>2939</v>
      </c>
      <c r="D1222" t="s">
        <v>2945</v>
      </c>
      <c r="E1222" t="s">
        <v>3032</v>
      </c>
      <c r="F1222" s="3">
        <v>46275.084218463751</v>
      </c>
      <c r="G1222" s="3">
        <v>46275.09043432906</v>
      </c>
      <c r="H1222">
        <v>8.9499999999999993</v>
      </c>
      <c r="I1222" t="s">
        <v>3150</v>
      </c>
      <c r="J1222" t="s">
        <v>3160</v>
      </c>
      <c r="K1222" t="s">
        <v>3179</v>
      </c>
      <c r="L1222" t="str">
        <f>_xlfn.XLOOKUP(C1222,[1]!Table1[Shift_ID],[1]!Table1[Shift_ID])</f>
        <v>S03</v>
      </c>
      <c r="M1222" t="str">
        <f>_xlfn.XLOOKUP(D1222,[2]!Table1[Machine_ID],[2]!Table1[Machine_ID])</f>
        <v>M004</v>
      </c>
      <c r="N1222" t="str">
        <f>_xlfn.XLOOKUP(E1222,[3]Sheet1!$A$2:$A$391,[3]Sheet1!$A$2:$A$391)</f>
        <v>PO10082</v>
      </c>
    </row>
    <row r="1223" spans="1:14" x14ac:dyDescent="0.2">
      <c r="A1223" t="s">
        <v>1232</v>
      </c>
      <c r="B1223" s="2">
        <v>46274</v>
      </c>
      <c r="C1223" t="s">
        <v>2939</v>
      </c>
      <c r="D1223" t="s">
        <v>2946</v>
      </c>
      <c r="E1223" t="s">
        <v>3032</v>
      </c>
      <c r="F1223" s="3">
        <v>46274.9658385238</v>
      </c>
      <c r="G1223" s="3">
        <v>46274.969556676057</v>
      </c>
      <c r="H1223">
        <v>5.35</v>
      </c>
      <c r="I1223" t="s">
        <v>3149</v>
      </c>
      <c r="J1223" t="s">
        <v>3158</v>
      </c>
      <c r="K1223" t="s">
        <v>3182</v>
      </c>
      <c r="L1223" t="str">
        <f>_xlfn.XLOOKUP(C1223,[1]!Table1[Shift_ID],[1]!Table1[Shift_ID])</f>
        <v>S03</v>
      </c>
      <c r="M1223" t="str">
        <f>_xlfn.XLOOKUP(D1223,[2]!Table1[Machine_ID],[2]!Table1[Machine_ID])</f>
        <v>M005</v>
      </c>
      <c r="N1223" t="str">
        <f>_xlfn.XLOOKUP(E1223,[3]Sheet1!$A$2:$A$391,[3]Sheet1!$A$2:$A$391)</f>
        <v>PO10082</v>
      </c>
    </row>
    <row r="1224" spans="1:14" x14ac:dyDescent="0.2">
      <c r="A1224" t="s">
        <v>1233</v>
      </c>
      <c r="B1224" s="2">
        <v>46274</v>
      </c>
      <c r="C1224" t="s">
        <v>2939</v>
      </c>
      <c r="D1224" t="s">
        <v>2946</v>
      </c>
      <c r="E1224" t="s">
        <v>3032</v>
      </c>
      <c r="F1224" s="3">
        <v>46275.110278192798</v>
      </c>
      <c r="G1224" s="3">
        <v>46275.11288589082</v>
      </c>
      <c r="H1224">
        <v>3.76</v>
      </c>
      <c r="I1224" t="s">
        <v>3150</v>
      </c>
      <c r="J1224" t="s">
        <v>3166</v>
      </c>
      <c r="K1224" t="s">
        <v>3177</v>
      </c>
      <c r="L1224" t="str">
        <f>_xlfn.XLOOKUP(C1224,[1]!Table1[Shift_ID],[1]!Table1[Shift_ID])</f>
        <v>S03</v>
      </c>
      <c r="M1224" t="str">
        <f>_xlfn.XLOOKUP(D1224,[2]!Table1[Machine_ID],[2]!Table1[Machine_ID])</f>
        <v>M005</v>
      </c>
      <c r="N1224" t="str">
        <f>_xlfn.XLOOKUP(E1224,[3]Sheet1!$A$2:$A$391,[3]Sheet1!$A$2:$A$391)</f>
        <v>PO10082</v>
      </c>
    </row>
    <row r="1225" spans="1:14" x14ac:dyDescent="0.2">
      <c r="A1225" t="s">
        <v>1234</v>
      </c>
      <c r="B1225" s="2">
        <v>46274</v>
      </c>
      <c r="C1225" t="s">
        <v>2939</v>
      </c>
      <c r="D1225" t="s">
        <v>2946</v>
      </c>
      <c r="E1225" t="s">
        <v>3032</v>
      </c>
      <c r="F1225" s="3">
        <v>46275.172129364873</v>
      </c>
      <c r="G1225" s="3">
        <v>46275.173995827128</v>
      </c>
      <c r="H1225">
        <v>2.69</v>
      </c>
      <c r="I1225" t="s">
        <v>3148</v>
      </c>
      <c r="J1225" t="s">
        <v>3155</v>
      </c>
      <c r="K1225" t="s">
        <v>3180</v>
      </c>
      <c r="L1225" t="str">
        <f>_xlfn.XLOOKUP(C1225,[1]!Table1[Shift_ID],[1]!Table1[Shift_ID])</f>
        <v>S03</v>
      </c>
      <c r="M1225" t="str">
        <f>_xlfn.XLOOKUP(D1225,[2]!Table1[Machine_ID],[2]!Table1[Machine_ID])</f>
        <v>M005</v>
      </c>
      <c r="N1225" t="str">
        <f>_xlfn.XLOOKUP(E1225,[3]Sheet1!$A$2:$A$391,[3]Sheet1!$A$2:$A$391)</f>
        <v>PO10082</v>
      </c>
    </row>
    <row r="1226" spans="1:14" x14ac:dyDescent="0.2">
      <c r="A1226" t="s">
        <v>1235</v>
      </c>
      <c r="B1226" s="2">
        <v>46274</v>
      </c>
      <c r="C1226" t="s">
        <v>2939</v>
      </c>
      <c r="D1226" t="s">
        <v>2947</v>
      </c>
      <c r="E1226" t="s">
        <v>3032</v>
      </c>
      <c r="F1226" s="3">
        <v>46275.112030099779</v>
      </c>
      <c r="G1226" s="3">
        <v>46275.117915820229</v>
      </c>
      <c r="H1226">
        <v>8.48</v>
      </c>
      <c r="I1226" t="s">
        <v>3149</v>
      </c>
      <c r="J1226" t="s">
        <v>3168</v>
      </c>
      <c r="K1226" t="s">
        <v>3176</v>
      </c>
      <c r="L1226" t="str">
        <f>_xlfn.XLOOKUP(C1226,[1]!Table1[Shift_ID],[1]!Table1[Shift_ID])</f>
        <v>S03</v>
      </c>
      <c r="M1226" t="str">
        <f>_xlfn.XLOOKUP(D1226,[2]!Table1[Machine_ID],[2]!Table1[Machine_ID])</f>
        <v>M006</v>
      </c>
      <c r="N1226" t="str">
        <f>_xlfn.XLOOKUP(E1226,[3]Sheet1!$A$2:$A$391,[3]Sheet1!$A$2:$A$391)</f>
        <v>PO10082</v>
      </c>
    </row>
    <row r="1227" spans="1:14" x14ac:dyDescent="0.2">
      <c r="A1227" t="s">
        <v>1236</v>
      </c>
      <c r="B1227" s="2">
        <v>46274</v>
      </c>
      <c r="C1227" t="s">
        <v>2939</v>
      </c>
      <c r="D1227" t="s">
        <v>2947</v>
      </c>
      <c r="E1227" t="s">
        <v>3032</v>
      </c>
      <c r="F1227" s="3">
        <v>46275.17808116068</v>
      </c>
      <c r="G1227" s="3">
        <v>46275.185397201793</v>
      </c>
      <c r="H1227">
        <v>10.54</v>
      </c>
      <c r="I1227" t="s">
        <v>3150</v>
      </c>
      <c r="J1227" t="s">
        <v>3159</v>
      </c>
      <c r="K1227" t="s">
        <v>3179</v>
      </c>
      <c r="L1227" t="str">
        <f>_xlfn.XLOOKUP(C1227,[1]!Table1[Shift_ID],[1]!Table1[Shift_ID])</f>
        <v>S03</v>
      </c>
      <c r="M1227" t="str">
        <f>_xlfn.XLOOKUP(D1227,[2]!Table1[Machine_ID],[2]!Table1[Machine_ID])</f>
        <v>M006</v>
      </c>
      <c r="N1227" t="str">
        <f>_xlfn.XLOOKUP(E1227,[3]Sheet1!$A$2:$A$391,[3]Sheet1!$A$2:$A$391)</f>
        <v>PO10082</v>
      </c>
    </row>
    <row r="1228" spans="1:14" x14ac:dyDescent="0.2">
      <c r="A1228" t="s">
        <v>1237</v>
      </c>
      <c r="B1228" s="2">
        <v>46274</v>
      </c>
      <c r="C1228" t="s">
        <v>2939</v>
      </c>
      <c r="D1228" t="s">
        <v>2947</v>
      </c>
      <c r="E1228" t="s">
        <v>3032</v>
      </c>
      <c r="F1228" s="3">
        <v>46275.19849055737</v>
      </c>
      <c r="G1228" s="3">
        <v>46275.212272309087</v>
      </c>
      <c r="H1228">
        <v>19.850000000000001</v>
      </c>
      <c r="I1228" t="s">
        <v>3149</v>
      </c>
      <c r="J1228" t="s">
        <v>3162</v>
      </c>
      <c r="K1228" t="s">
        <v>3184</v>
      </c>
      <c r="L1228" t="str">
        <f>_xlfn.XLOOKUP(C1228,[1]!Table1[Shift_ID],[1]!Table1[Shift_ID])</f>
        <v>S03</v>
      </c>
      <c r="M1228" t="str">
        <f>_xlfn.XLOOKUP(D1228,[2]!Table1[Machine_ID],[2]!Table1[Machine_ID])</f>
        <v>M006</v>
      </c>
      <c r="N1228" t="str">
        <f>_xlfn.XLOOKUP(E1228,[3]Sheet1!$A$2:$A$391,[3]Sheet1!$A$2:$A$391)</f>
        <v>PO10082</v>
      </c>
    </row>
    <row r="1229" spans="1:14" x14ac:dyDescent="0.2">
      <c r="A1229" t="s">
        <v>1238</v>
      </c>
      <c r="B1229" s="2">
        <v>46274</v>
      </c>
      <c r="C1229" t="s">
        <v>2939</v>
      </c>
      <c r="D1229" t="s">
        <v>2948</v>
      </c>
      <c r="E1229" t="s">
        <v>3032</v>
      </c>
      <c r="F1229" s="3">
        <v>46274.917634560719</v>
      </c>
      <c r="G1229" s="3">
        <v>46274.924751376631</v>
      </c>
      <c r="H1229">
        <v>10.25</v>
      </c>
      <c r="I1229" t="s">
        <v>3150</v>
      </c>
      <c r="J1229" t="s">
        <v>3163</v>
      </c>
      <c r="K1229" t="s">
        <v>3179</v>
      </c>
      <c r="L1229" t="str">
        <f>_xlfn.XLOOKUP(C1229,[1]!Table1[Shift_ID],[1]!Table1[Shift_ID])</f>
        <v>S03</v>
      </c>
      <c r="M1229" t="str">
        <f>_xlfn.XLOOKUP(D1229,[2]!Table1[Machine_ID],[2]!Table1[Machine_ID])</f>
        <v>M007</v>
      </c>
      <c r="N1229" t="str">
        <f>_xlfn.XLOOKUP(E1229,[3]Sheet1!$A$2:$A$391,[3]Sheet1!$A$2:$A$391)</f>
        <v>PO10082</v>
      </c>
    </row>
    <row r="1230" spans="1:14" x14ac:dyDescent="0.2">
      <c r="A1230" t="s">
        <v>1239</v>
      </c>
      <c r="B1230" s="2">
        <v>46274</v>
      </c>
      <c r="C1230" t="s">
        <v>2939</v>
      </c>
      <c r="D1230" t="s">
        <v>2948</v>
      </c>
      <c r="E1230" t="s">
        <v>3032</v>
      </c>
      <c r="F1230" s="3">
        <v>46274.955198944663</v>
      </c>
      <c r="G1230" s="3">
        <v>46274.96026173752</v>
      </c>
      <c r="H1230">
        <v>7.29</v>
      </c>
      <c r="I1230" t="s">
        <v>3149</v>
      </c>
      <c r="J1230" t="s">
        <v>3168</v>
      </c>
      <c r="K1230" t="s">
        <v>3184</v>
      </c>
      <c r="L1230" t="str">
        <f>_xlfn.XLOOKUP(C1230,[1]!Table1[Shift_ID],[1]!Table1[Shift_ID])</f>
        <v>S03</v>
      </c>
      <c r="M1230" t="str">
        <f>_xlfn.XLOOKUP(D1230,[2]!Table1[Machine_ID],[2]!Table1[Machine_ID])</f>
        <v>M007</v>
      </c>
      <c r="N1230" t="str">
        <f>_xlfn.XLOOKUP(E1230,[3]Sheet1!$A$2:$A$391,[3]Sheet1!$A$2:$A$391)</f>
        <v>PO10082</v>
      </c>
    </row>
    <row r="1231" spans="1:14" x14ac:dyDescent="0.2">
      <c r="A1231" t="s">
        <v>1240</v>
      </c>
      <c r="B1231" s="2">
        <v>46274</v>
      </c>
      <c r="C1231" t="s">
        <v>2939</v>
      </c>
      <c r="D1231" t="s">
        <v>2949</v>
      </c>
      <c r="E1231" t="s">
        <v>3032</v>
      </c>
      <c r="F1231" s="3">
        <v>46274.996378716227</v>
      </c>
      <c r="G1231" s="3">
        <v>46275.002117506621</v>
      </c>
      <c r="H1231">
        <v>8.26</v>
      </c>
      <c r="I1231" t="s">
        <v>3148</v>
      </c>
      <c r="J1231" t="s">
        <v>3155</v>
      </c>
      <c r="K1231" t="s">
        <v>3180</v>
      </c>
      <c r="L1231" t="str">
        <f>_xlfn.XLOOKUP(C1231,[1]!Table1[Shift_ID],[1]!Table1[Shift_ID])</f>
        <v>S03</v>
      </c>
      <c r="M1231" t="str">
        <f>_xlfn.XLOOKUP(D1231,[2]!Table1[Machine_ID],[2]!Table1[Machine_ID])</f>
        <v>M008</v>
      </c>
      <c r="N1231" t="str">
        <f>_xlfn.XLOOKUP(E1231,[3]Sheet1!$A$2:$A$391,[3]Sheet1!$A$2:$A$391)</f>
        <v>PO10082</v>
      </c>
    </row>
    <row r="1232" spans="1:14" x14ac:dyDescent="0.2">
      <c r="A1232" t="s">
        <v>1241</v>
      </c>
      <c r="B1232" s="2">
        <v>46274</v>
      </c>
      <c r="C1232" t="s">
        <v>2940</v>
      </c>
      <c r="D1232" t="s">
        <v>2942</v>
      </c>
      <c r="E1232" t="s">
        <v>3033</v>
      </c>
      <c r="F1232" s="3">
        <v>46274.314640693519</v>
      </c>
      <c r="G1232" s="3">
        <v>46274.316453552012</v>
      </c>
      <c r="H1232">
        <v>2.61</v>
      </c>
      <c r="I1232" t="s">
        <v>3150</v>
      </c>
      <c r="J1232" t="s">
        <v>3159</v>
      </c>
      <c r="K1232" t="s">
        <v>3179</v>
      </c>
      <c r="L1232" t="str">
        <f>_xlfn.XLOOKUP(C1232,[1]!Table1[Shift_ID],[1]!Table1[Shift_ID])</f>
        <v>S01</v>
      </c>
      <c r="M1232" t="str">
        <f>_xlfn.XLOOKUP(D1232,[2]!Table1[Machine_ID],[2]!Table1[Machine_ID])</f>
        <v>M001</v>
      </c>
      <c r="N1232" t="str">
        <f>_xlfn.XLOOKUP(E1232,[3]Sheet1!$A$2:$A$391,[3]Sheet1!$A$2:$A$391)</f>
        <v>PO10083</v>
      </c>
    </row>
    <row r="1233" spans="1:14" x14ac:dyDescent="0.2">
      <c r="A1233" t="s">
        <v>1242</v>
      </c>
      <c r="B1233" s="2">
        <v>46274</v>
      </c>
      <c r="C1233" t="s">
        <v>2940</v>
      </c>
      <c r="D1233" t="s">
        <v>2942</v>
      </c>
      <c r="E1233" t="s">
        <v>3033</v>
      </c>
      <c r="F1233" s="3">
        <v>46274.398077068508</v>
      </c>
      <c r="G1233" s="3">
        <v>46274.402505460966</v>
      </c>
      <c r="H1233">
        <v>6.38</v>
      </c>
      <c r="I1233" t="s">
        <v>3147</v>
      </c>
      <c r="J1233" t="s">
        <v>3167</v>
      </c>
      <c r="K1233" t="s">
        <v>3172</v>
      </c>
      <c r="L1233" t="str">
        <f>_xlfn.XLOOKUP(C1233,[1]!Table1[Shift_ID],[1]!Table1[Shift_ID])</f>
        <v>S01</v>
      </c>
      <c r="M1233" t="str">
        <f>_xlfn.XLOOKUP(D1233,[2]!Table1[Machine_ID],[2]!Table1[Machine_ID])</f>
        <v>M001</v>
      </c>
      <c r="N1233" t="str">
        <f>_xlfn.XLOOKUP(E1233,[3]Sheet1!$A$2:$A$391,[3]Sheet1!$A$2:$A$391)</f>
        <v>PO10083</v>
      </c>
    </row>
    <row r="1234" spans="1:14" x14ac:dyDescent="0.2">
      <c r="A1234" t="s">
        <v>1243</v>
      </c>
      <c r="B1234" s="2">
        <v>46274</v>
      </c>
      <c r="C1234" t="s">
        <v>2940</v>
      </c>
      <c r="D1234" t="s">
        <v>2943</v>
      </c>
      <c r="E1234" t="s">
        <v>3033</v>
      </c>
      <c r="F1234" s="3">
        <v>46274.506435307783</v>
      </c>
      <c r="G1234" s="3">
        <v>46274.514259140553</v>
      </c>
      <c r="H1234">
        <v>11.27</v>
      </c>
      <c r="I1234" t="s">
        <v>3147</v>
      </c>
      <c r="J1234" t="s">
        <v>3153</v>
      </c>
      <c r="K1234" t="s">
        <v>3172</v>
      </c>
      <c r="L1234" t="str">
        <f>_xlfn.XLOOKUP(C1234,[1]!Table1[Shift_ID],[1]!Table1[Shift_ID])</f>
        <v>S01</v>
      </c>
      <c r="M1234" t="str">
        <f>_xlfn.XLOOKUP(D1234,[2]!Table1[Machine_ID],[2]!Table1[Machine_ID])</f>
        <v>M002</v>
      </c>
      <c r="N1234" t="str">
        <f>_xlfn.XLOOKUP(E1234,[3]Sheet1!$A$2:$A$391,[3]Sheet1!$A$2:$A$391)</f>
        <v>PO10083</v>
      </c>
    </row>
    <row r="1235" spans="1:14" x14ac:dyDescent="0.2">
      <c r="A1235" t="s">
        <v>1244</v>
      </c>
      <c r="B1235" s="2">
        <v>46274</v>
      </c>
      <c r="C1235" t="s">
        <v>2940</v>
      </c>
      <c r="D1235" t="s">
        <v>2944</v>
      </c>
      <c r="E1235" t="s">
        <v>3033</v>
      </c>
      <c r="F1235" s="3">
        <v>46274.343395168893</v>
      </c>
      <c r="G1235" s="3">
        <v>46274.345038566593</v>
      </c>
      <c r="H1235">
        <v>2.37</v>
      </c>
      <c r="I1235" t="s">
        <v>3147</v>
      </c>
      <c r="J1235" t="s">
        <v>3167</v>
      </c>
      <c r="K1235" t="s">
        <v>3172</v>
      </c>
      <c r="L1235" t="str">
        <f>_xlfn.XLOOKUP(C1235,[1]!Table1[Shift_ID],[1]!Table1[Shift_ID])</f>
        <v>S01</v>
      </c>
      <c r="M1235" t="str">
        <f>_xlfn.XLOOKUP(D1235,[2]!Table1[Machine_ID],[2]!Table1[Machine_ID])</f>
        <v>M003</v>
      </c>
      <c r="N1235" t="str">
        <f>_xlfn.XLOOKUP(E1235,[3]Sheet1!$A$2:$A$391,[3]Sheet1!$A$2:$A$391)</f>
        <v>PO10083</v>
      </c>
    </row>
    <row r="1236" spans="1:14" x14ac:dyDescent="0.2">
      <c r="A1236" t="s">
        <v>1245</v>
      </c>
      <c r="B1236" s="2">
        <v>46274</v>
      </c>
      <c r="C1236" t="s">
        <v>2940</v>
      </c>
      <c r="D1236" t="s">
        <v>2944</v>
      </c>
      <c r="E1236" t="s">
        <v>3033</v>
      </c>
      <c r="F1236" s="3">
        <v>46274.545568572452</v>
      </c>
      <c r="G1236" s="3">
        <v>46274.549049207977</v>
      </c>
      <c r="H1236">
        <v>5.01</v>
      </c>
      <c r="I1236" t="s">
        <v>3147</v>
      </c>
      <c r="J1236" t="s">
        <v>3153</v>
      </c>
      <c r="K1236" t="s">
        <v>3172</v>
      </c>
      <c r="L1236" t="str">
        <f>_xlfn.XLOOKUP(C1236,[1]!Table1[Shift_ID],[1]!Table1[Shift_ID])</f>
        <v>S01</v>
      </c>
      <c r="M1236" t="str">
        <f>_xlfn.XLOOKUP(D1236,[2]!Table1[Machine_ID],[2]!Table1[Machine_ID])</f>
        <v>M003</v>
      </c>
      <c r="N1236" t="str">
        <f>_xlfn.XLOOKUP(E1236,[3]Sheet1!$A$2:$A$391,[3]Sheet1!$A$2:$A$391)</f>
        <v>PO10083</v>
      </c>
    </row>
    <row r="1237" spans="1:14" x14ac:dyDescent="0.2">
      <c r="A1237" t="s">
        <v>1246</v>
      </c>
      <c r="B1237" s="2">
        <v>46274</v>
      </c>
      <c r="C1237" t="s">
        <v>2940</v>
      </c>
      <c r="D1237" t="s">
        <v>2944</v>
      </c>
      <c r="E1237" t="s">
        <v>3033</v>
      </c>
      <c r="F1237" s="3">
        <v>46274.55099860757</v>
      </c>
      <c r="G1237" s="3">
        <v>46274.55295811603</v>
      </c>
      <c r="H1237">
        <v>2.82</v>
      </c>
      <c r="I1237" t="s">
        <v>3147</v>
      </c>
      <c r="J1237" t="s">
        <v>3154</v>
      </c>
      <c r="K1237" t="s">
        <v>3185</v>
      </c>
      <c r="L1237" t="str">
        <f>_xlfn.XLOOKUP(C1237,[1]!Table1[Shift_ID],[1]!Table1[Shift_ID])</f>
        <v>S01</v>
      </c>
      <c r="M1237" t="str">
        <f>_xlfn.XLOOKUP(D1237,[2]!Table1[Machine_ID],[2]!Table1[Machine_ID])</f>
        <v>M003</v>
      </c>
      <c r="N1237" t="str">
        <f>_xlfn.XLOOKUP(E1237,[3]Sheet1!$A$2:$A$391,[3]Sheet1!$A$2:$A$391)</f>
        <v>PO10083</v>
      </c>
    </row>
    <row r="1238" spans="1:14" x14ac:dyDescent="0.2">
      <c r="A1238" t="s">
        <v>1247</v>
      </c>
      <c r="B1238" s="2">
        <v>46274</v>
      </c>
      <c r="C1238" t="s">
        <v>2940</v>
      </c>
      <c r="D1238" t="s">
        <v>2945</v>
      </c>
      <c r="E1238" t="s">
        <v>3033</v>
      </c>
      <c r="F1238" s="3">
        <v>46274.349588811121</v>
      </c>
      <c r="G1238" s="3">
        <v>46274.354670229237</v>
      </c>
      <c r="H1238">
        <v>7.32</v>
      </c>
      <c r="I1238" t="s">
        <v>3147</v>
      </c>
      <c r="J1238" t="s">
        <v>3154</v>
      </c>
      <c r="K1238" t="s">
        <v>3186</v>
      </c>
      <c r="L1238" t="str">
        <f>_xlfn.XLOOKUP(C1238,[1]!Table1[Shift_ID],[1]!Table1[Shift_ID])</f>
        <v>S01</v>
      </c>
      <c r="M1238" t="str">
        <f>_xlfn.XLOOKUP(D1238,[2]!Table1[Machine_ID],[2]!Table1[Machine_ID])</f>
        <v>M004</v>
      </c>
      <c r="N1238" t="str">
        <f>_xlfn.XLOOKUP(E1238,[3]Sheet1!$A$2:$A$391,[3]Sheet1!$A$2:$A$391)</f>
        <v>PO10083</v>
      </c>
    </row>
    <row r="1239" spans="1:14" x14ac:dyDescent="0.2">
      <c r="A1239" t="s">
        <v>1248</v>
      </c>
      <c r="B1239" s="2">
        <v>46274</v>
      </c>
      <c r="C1239" t="s">
        <v>2940</v>
      </c>
      <c r="D1239" t="s">
        <v>2945</v>
      </c>
      <c r="E1239" t="s">
        <v>3033</v>
      </c>
      <c r="F1239" s="3">
        <v>46274.44646288229</v>
      </c>
      <c r="G1239" s="3">
        <v>46274.448124660477</v>
      </c>
      <c r="H1239">
        <v>2.39</v>
      </c>
      <c r="I1239" t="s">
        <v>3148</v>
      </c>
      <c r="J1239" t="s">
        <v>3155</v>
      </c>
      <c r="K1239" t="s">
        <v>3183</v>
      </c>
      <c r="L1239" t="str">
        <f>_xlfn.XLOOKUP(C1239,[1]!Table1[Shift_ID],[1]!Table1[Shift_ID])</f>
        <v>S01</v>
      </c>
      <c r="M1239" t="str">
        <f>_xlfn.XLOOKUP(D1239,[2]!Table1[Machine_ID],[2]!Table1[Machine_ID])</f>
        <v>M004</v>
      </c>
      <c r="N1239" t="str">
        <f>_xlfn.XLOOKUP(E1239,[3]Sheet1!$A$2:$A$391,[3]Sheet1!$A$2:$A$391)</f>
        <v>PO10083</v>
      </c>
    </row>
    <row r="1240" spans="1:14" x14ac:dyDescent="0.2">
      <c r="A1240" t="s">
        <v>1249</v>
      </c>
      <c r="B1240" s="2">
        <v>46274</v>
      </c>
      <c r="C1240" t="s">
        <v>2940</v>
      </c>
      <c r="D1240" t="s">
        <v>2946</v>
      </c>
      <c r="E1240" t="s">
        <v>3033</v>
      </c>
      <c r="F1240" s="3">
        <v>46274.372328581543</v>
      </c>
      <c r="G1240" s="3">
        <v>46274.375910497758</v>
      </c>
      <c r="H1240">
        <v>5.16</v>
      </c>
      <c r="I1240" t="s">
        <v>3148</v>
      </c>
      <c r="J1240" t="s">
        <v>3164</v>
      </c>
      <c r="K1240" t="s">
        <v>3180</v>
      </c>
      <c r="L1240" t="str">
        <f>_xlfn.XLOOKUP(C1240,[1]!Table1[Shift_ID],[1]!Table1[Shift_ID])</f>
        <v>S01</v>
      </c>
      <c r="M1240" t="str">
        <f>_xlfn.XLOOKUP(D1240,[2]!Table1[Machine_ID],[2]!Table1[Machine_ID])</f>
        <v>M005</v>
      </c>
      <c r="N1240" t="str">
        <f>_xlfn.XLOOKUP(E1240,[3]Sheet1!$A$2:$A$391,[3]Sheet1!$A$2:$A$391)</f>
        <v>PO10083</v>
      </c>
    </row>
    <row r="1241" spans="1:14" x14ac:dyDescent="0.2">
      <c r="A1241" t="s">
        <v>1250</v>
      </c>
      <c r="B1241" s="2">
        <v>46274</v>
      </c>
      <c r="C1241" t="s">
        <v>2940</v>
      </c>
      <c r="D1241" t="s">
        <v>2946</v>
      </c>
      <c r="E1241" t="s">
        <v>3033</v>
      </c>
      <c r="F1241" s="3">
        <v>46274.554746983493</v>
      </c>
      <c r="G1241" s="3">
        <v>46274.558235589051</v>
      </c>
      <c r="H1241">
        <v>5.0199999999999996</v>
      </c>
      <c r="I1241" t="s">
        <v>3149</v>
      </c>
      <c r="J1241" t="s">
        <v>3168</v>
      </c>
      <c r="K1241" t="s">
        <v>3182</v>
      </c>
      <c r="L1241" t="str">
        <f>_xlfn.XLOOKUP(C1241,[1]!Table1[Shift_ID],[1]!Table1[Shift_ID])</f>
        <v>S01</v>
      </c>
      <c r="M1241" t="str">
        <f>_xlfn.XLOOKUP(D1241,[2]!Table1[Machine_ID],[2]!Table1[Machine_ID])</f>
        <v>M005</v>
      </c>
      <c r="N1241" t="str">
        <f>_xlfn.XLOOKUP(E1241,[3]Sheet1!$A$2:$A$391,[3]Sheet1!$A$2:$A$391)</f>
        <v>PO10083</v>
      </c>
    </row>
    <row r="1242" spans="1:14" x14ac:dyDescent="0.2">
      <c r="A1242" t="s">
        <v>1251</v>
      </c>
      <c r="B1242" s="2">
        <v>46274</v>
      </c>
      <c r="C1242" t="s">
        <v>2940</v>
      </c>
      <c r="D1242" t="s">
        <v>2947</v>
      </c>
      <c r="E1242" t="s">
        <v>3033</v>
      </c>
      <c r="F1242" s="3">
        <v>46274.284137783266</v>
      </c>
      <c r="G1242" s="3">
        <v>46274.294956346159</v>
      </c>
      <c r="H1242">
        <v>15.58</v>
      </c>
      <c r="I1242" t="s">
        <v>3146</v>
      </c>
      <c r="J1242" t="s">
        <v>3156</v>
      </c>
      <c r="K1242" t="s">
        <v>3171</v>
      </c>
      <c r="L1242" t="str">
        <f>_xlfn.XLOOKUP(C1242,[1]!Table1[Shift_ID],[1]!Table1[Shift_ID])</f>
        <v>S01</v>
      </c>
      <c r="M1242" t="str">
        <f>_xlfn.XLOOKUP(D1242,[2]!Table1[Machine_ID],[2]!Table1[Machine_ID])</f>
        <v>M006</v>
      </c>
      <c r="N1242" t="str">
        <f>_xlfn.XLOOKUP(E1242,[3]Sheet1!$A$2:$A$391,[3]Sheet1!$A$2:$A$391)</f>
        <v>PO10083</v>
      </c>
    </row>
    <row r="1243" spans="1:14" x14ac:dyDescent="0.2">
      <c r="A1243" t="s">
        <v>1252</v>
      </c>
      <c r="B1243" s="2">
        <v>46274</v>
      </c>
      <c r="C1243" t="s">
        <v>2940</v>
      </c>
      <c r="D1243" t="s">
        <v>2947</v>
      </c>
      <c r="E1243" t="s">
        <v>3033</v>
      </c>
      <c r="F1243" s="3">
        <v>46274.444172784308</v>
      </c>
      <c r="G1243" s="3">
        <v>46274.450799535312</v>
      </c>
      <c r="H1243">
        <v>9.5399999999999991</v>
      </c>
      <c r="I1243" t="s">
        <v>3147</v>
      </c>
      <c r="J1243" t="s">
        <v>3153</v>
      </c>
      <c r="K1243" t="s">
        <v>3172</v>
      </c>
      <c r="L1243" t="str">
        <f>_xlfn.XLOOKUP(C1243,[1]!Table1[Shift_ID],[1]!Table1[Shift_ID])</f>
        <v>S01</v>
      </c>
      <c r="M1243" t="str">
        <f>_xlfn.XLOOKUP(D1243,[2]!Table1[Machine_ID],[2]!Table1[Machine_ID])</f>
        <v>M006</v>
      </c>
      <c r="N1243" t="str">
        <f>_xlfn.XLOOKUP(E1243,[3]Sheet1!$A$2:$A$391,[3]Sheet1!$A$2:$A$391)</f>
        <v>PO10083</v>
      </c>
    </row>
    <row r="1244" spans="1:14" x14ac:dyDescent="0.2">
      <c r="A1244" t="s">
        <v>1253</v>
      </c>
      <c r="B1244" s="2">
        <v>46274</v>
      </c>
      <c r="C1244" t="s">
        <v>2940</v>
      </c>
      <c r="D1244" t="s">
        <v>2948</v>
      </c>
      <c r="E1244" t="s">
        <v>3033</v>
      </c>
      <c r="F1244" s="3">
        <v>46274.47500916609</v>
      </c>
      <c r="G1244" s="3">
        <v>46274.49013596656</v>
      </c>
      <c r="H1244">
        <v>21.78</v>
      </c>
      <c r="I1244" t="s">
        <v>3149</v>
      </c>
      <c r="J1244" t="s">
        <v>3162</v>
      </c>
      <c r="K1244" t="s">
        <v>3184</v>
      </c>
      <c r="L1244" t="str">
        <f>_xlfn.XLOOKUP(C1244,[1]!Table1[Shift_ID],[1]!Table1[Shift_ID])</f>
        <v>S01</v>
      </c>
      <c r="M1244" t="str">
        <f>_xlfn.XLOOKUP(D1244,[2]!Table1[Machine_ID],[2]!Table1[Machine_ID])</f>
        <v>M007</v>
      </c>
      <c r="N1244" t="str">
        <f>_xlfn.XLOOKUP(E1244,[3]Sheet1!$A$2:$A$391,[3]Sheet1!$A$2:$A$391)</f>
        <v>PO10083</v>
      </c>
    </row>
    <row r="1245" spans="1:14" x14ac:dyDescent="0.2">
      <c r="A1245" t="s">
        <v>1254</v>
      </c>
      <c r="B1245" s="2">
        <v>46274</v>
      </c>
      <c r="C1245" t="s">
        <v>2940</v>
      </c>
      <c r="D1245" t="s">
        <v>2949</v>
      </c>
      <c r="E1245" t="s">
        <v>3033</v>
      </c>
      <c r="F1245" s="3">
        <v>46274.316633572977</v>
      </c>
      <c r="G1245" s="3">
        <v>46274.320727522463</v>
      </c>
      <c r="H1245">
        <v>5.9</v>
      </c>
      <c r="I1245" t="s">
        <v>3148</v>
      </c>
      <c r="J1245" t="s">
        <v>3164</v>
      </c>
      <c r="K1245" t="s">
        <v>3183</v>
      </c>
      <c r="L1245" t="str">
        <f>_xlfn.XLOOKUP(C1245,[1]!Table1[Shift_ID],[1]!Table1[Shift_ID])</f>
        <v>S01</v>
      </c>
      <c r="M1245" t="str">
        <f>_xlfn.XLOOKUP(D1245,[2]!Table1[Machine_ID],[2]!Table1[Machine_ID])</f>
        <v>M008</v>
      </c>
      <c r="N1245" t="str">
        <f>_xlfn.XLOOKUP(E1245,[3]Sheet1!$A$2:$A$391,[3]Sheet1!$A$2:$A$391)</f>
        <v>PO10083</v>
      </c>
    </row>
    <row r="1246" spans="1:14" x14ac:dyDescent="0.2">
      <c r="A1246" t="s">
        <v>1255</v>
      </c>
      <c r="B1246" s="2">
        <v>46274</v>
      </c>
      <c r="C1246" t="s">
        <v>2941</v>
      </c>
      <c r="D1246" t="s">
        <v>2942</v>
      </c>
      <c r="E1246" t="s">
        <v>3034</v>
      </c>
      <c r="F1246" s="3">
        <v>46274.731954821676</v>
      </c>
      <c r="G1246" s="3">
        <v>46274.739455819326</v>
      </c>
      <c r="H1246">
        <v>10.8</v>
      </c>
      <c r="I1246" t="s">
        <v>3149</v>
      </c>
      <c r="J1246" t="s">
        <v>3162</v>
      </c>
      <c r="K1246" t="s">
        <v>3176</v>
      </c>
      <c r="L1246" t="str">
        <f>_xlfn.XLOOKUP(C1246,[1]!Table1[Shift_ID],[1]!Table1[Shift_ID])</f>
        <v>S02</v>
      </c>
      <c r="M1246" t="str">
        <f>_xlfn.XLOOKUP(D1246,[2]!Table1[Machine_ID],[2]!Table1[Machine_ID])</f>
        <v>M001</v>
      </c>
      <c r="N1246" t="str">
        <f>_xlfn.XLOOKUP(E1246,[3]Sheet1!$A$2:$A$391,[3]Sheet1!$A$2:$A$391)</f>
        <v>PO10084</v>
      </c>
    </row>
    <row r="1247" spans="1:14" x14ac:dyDescent="0.2">
      <c r="A1247" t="s">
        <v>1256</v>
      </c>
      <c r="B1247" s="2">
        <v>46274</v>
      </c>
      <c r="C1247" t="s">
        <v>2941</v>
      </c>
      <c r="D1247" t="s">
        <v>2943</v>
      </c>
      <c r="E1247" t="s">
        <v>3034</v>
      </c>
      <c r="F1247" s="3">
        <v>46274.637772991751</v>
      </c>
      <c r="G1247" s="3">
        <v>46274.648036697123</v>
      </c>
      <c r="H1247">
        <v>14.78</v>
      </c>
      <c r="I1247" t="s">
        <v>3147</v>
      </c>
      <c r="J1247" t="s">
        <v>3154</v>
      </c>
      <c r="K1247" t="s">
        <v>3172</v>
      </c>
      <c r="L1247" t="str">
        <f>_xlfn.XLOOKUP(C1247,[1]!Table1[Shift_ID],[1]!Table1[Shift_ID])</f>
        <v>S02</v>
      </c>
      <c r="M1247" t="str">
        <f>_xlfn.XLOOKUP(D1247,[2]!Table1[Machine_ID],[2]!Table1[Machine_ID])</f>
        <v>M002</v>
      </c>
      <c r="N1247" t="str">
        <f>_xlfn.XLOOKUP(E1247,[3]Sheet1!$A$2:$A$391,[3]Sheet1!$A$2:$A$391)</f>
        <v>PO10084</v>
      </c>
    </row>
    <row r="1248" spans="1:14" x14ac:dyDescent="0.2">
      <c r="A1248" t="s">
        <v>1257</v>
      </c>
      <c r="B1248" s="2">
        <v>46274</v>
      </c>
      <c r="C1248" t="s">
        <v>2941</v>
      </c>
      <c r="D1248" t="s">
        <v>2944</v>
      </c>
      <c r="E1248" t="s">
        <v>3034</v>
      </c>
      <c r="F1248" s="3">
        <v>46274.619248450661</v>
      </c>
      <c r="G1248" s="3">
        <v>46274.621179310227</v>
      </c>
      <c r="H1248">
        <v>2.78</v>
      </c>
      <c r="I1248" t="s">
        <v>3147</v>
      </c>
      <c r="J1248" t="s">
        <v>3153</v>
      </c>
      <c r="K1248" t="s">
        <v>3186</v>
      </c>
      <c r="L1248" t="str">
        <f>_xlfn.XLOOKUP(C1248,[1]!Table1[Shift_ID],[1]!Table1[Shift_ID])</f>
        <v>S02</v>
      </c>
      <c r="M1248" t="str">
        <f>_xlfn.XLOOKUP(D1248,[2]!Table1[Machine_ID],[2]!Table1[Machine_ID])</f>
        <v>M003</v>
      </c>
      <c r="N1248" t="str">
        <f>_xlfn.XLOOKUP(E1248,[3]Sheet1!$A$2:$A$391,[3]Sheet1!$A$2:$A$391)</f>
        <v>PO10084</v>
      </c>
    </row>
    <row r="1249" spans="1:14" x14ac:dyDescent="0.2">
      <c r="A1249" t="s">
        <v>1258</v>
      </c>
      <c r="B1249" s="2">
        <v>46274</v>
      </c>
      <c r="C1249" t="s">
        <v>2941</v>
      </c>
      <c r="D1249" t="s">
        <v>2944</v>
      </c>
      <c r="E1249" t="s">
        <v>3034</v>
      </c>
      <c r="F1249" s="3">
        <v>46274.894988880027</v>
      </c>
      <c r="G1249" s="3">
        <v>46274.900376325473</v>
      </c>
      <c r="H1249">
        <v>7.76</v>
      </c>
      <c r="I1249" t="s">
        <v>3146</v>
      </c>
      <c r="J1249" t="s">
        <v>3156</v>
      </c>
      <c r="K1249" t="s">
        <v>3171</v>
      </c>
      <c r="L1249" t="str">
        <f>_xlfn.XLOOKUP(C1249,[1]!Table1[Shift_ID],[1]!Table1[Shift_ID])</f>
        <v>S02</v>
      </c>
      <c r="M1249" t="str">
        <f>_xlfn.XLOOKUP(D1249,[2]!Table1[Machine_ID],[2]!Table1[Machine_ID])</f>
        <v>M003</v>
      </c>
      <c r="N1249" t="str">
        <f>_xlfn.XLOOKUP(E1249,[3]Sheet1!$A$2:$A$391,[3]Sheet1!$A$2:$A$391)</f>
        <v>PO10084</v>
      </c>
    </row>
    <row r="1250" spans="1:14" x14ac:dyDescent="0.2">
      <c r="A1250" t="s">
        <v>1259</v>
      </c>
      <c r="B1250" s="2">
        <v>46274</v>
      </c>
      <c r="C1250" t="s">
        <v>2941</v>
      </c>
      <c r="D1250" t="s">
        <v>2944</v>
      </c>
      <c r="E1250" t="s">
        <v>3034</v>
      </c>
      <c r="F1250" s="3">
        <v>46274.903758037799</v>
      </c>
      <c r="G1250" s="3">
        <v>46274.905688897357</v>
      </c>
      <c r="H1250">
        <v>2.78</v>
      </c>
      <c r="I1250" t="s">
        <v>3150</v>
      </c>
      <c r="J1250" t="s">
        <v>3163</v>
      </c>
      <c r="K1250" t="s">
        <v>3178</v>
      </c>
      <c r="L1250" t="str">
        <f>_xlfn.XLOOKUP(C1250,[1]!Table1[Shift_ID],[1]!Table1[Shift_ID])</f>
        <v>S02</v>
      </c>
      <c r="M1250" t="str">
        <f>_xlfn.XLOOKUP(D1250,[2]!Table1[Machine_ID],[2]!Table1[Machine_ID])</f>
        <v>M003</v>
      </c>
      <c r="N1250" t="str">
        <f>_xlfn.XLOOKUP(E1250,[3]Sheet1!$A$2:$A$391,[3]Sheet1!$A$2:$A$391)</f>
        <v>PO10084</v>
      </c>
    </row>
    <row r="1251" spans="1:14" x14ac:dyDescent="0.2">
      <c r="A1251" t="s">
        <v>1260</v>
      </c>
      <c r="B1251" s="2">
        <v>46274</v>
      </c>
      <c r="C1251" t="s">
        <v>2941</v>
      </c>
      <c r="D1251" t="s">
        <v>2945</v>
      </c>
      <c r="E1251" t="s">
        <v>3034</v>
      </c>
      <c r="F1251" s="3">
        <v>46274.726255205693</v>
      </c>
      <c r="G1251" s="3">
        <v>46274.731297448663</v>
      </c>
      <c r="H1251">
        <v>7.26</v>
      </c>
      <c r="I1251" t="s">
        <v>3146</v>
      </c>
      <c r="J1251" t="s">
        <v>3156</v>
      </c>
      <c r="K1251" t="s">
        <v>3175</v>
      </c>
      <c r="L1251" t="str">
        <f>_xlfn.XLOOKUP(C1251,[1]!Table1[Shift_ID],[1]!Table1[Shift_ID])</f>
        <v>S02</v>
      </c>
      <c r="M1251" t="str">
        <f>_xlfn.XLOOKUP(D1251,[2]!Table1[Machine_ID],[2]!Table1[Machine_ID])</f>
        <v>M004</v>
      </c>
      <c r="N1251" t="str">
        <f>_xlfn.XLOOKUP(E1251,[3]Sheet1!$A$2:$A$391,[3]Sheet1!$A$2:$A$391)</f>
        <v>PO10084</v>
      </c>
    </row>
    <row r="1252" spans="1:14" x14ac:dyDescent="0.2">
      <c r="A1252" t="s">
        <v>1261</v>
      </c>
      <c r="B1252" s="2">
        <v>46274</v>
      </c>
      <c r="C1252" t="s">
        <v>2941</v>
      </c>
      <c r="D1252" t="s">
        <v>2945</v>
      </c>
      <c r="E1252" t="s">
        <v>3034</v>
      </c>
      <c r="F1252" s="3">
        <v>46274.843353980323</v>
      </c>
      <c r="G1252" s="3">
        <v>46274.845345991482</v>
      </c>
      <c r="H1252">
        <v>2.87</v>
      </c>
      <c r="I1252" t="s">
        <v>3146</v>
      </c>
      <c r="J1252" t="s">
        <v>3156</v>
      </c>
      <c r="K1252" t="s">
        <v>3175</v>
      </c>
      <c r="L1252" t="str">
        <f>_xlfn.XLOOKUP(C1252,[1]!Table1[Shift_ID],[1]!Table1[Shift_ID])</f>
        <v>S02</v>
      </c>
      <c r="M1252" t="str">
        <f>_xlfn.XLOOKUP(D1252,[2]!Table1[Machine_ID],[2]!Table1[Machine_ID])</f>
        <v>M004</v>
      </c>
      <c r="N1252" t="str">
        <f>_xlfn.XLOOKUP(E1252,[3]Sheet1!$A$2:$A$391,[3]Sheet1!$A$2:$A$391)</f>
        <v>PO10084</v>
      </c>
    </row>
    <row r="1253" spans="1:14" x14ac:dyDescent="0.2">
      <c r="A1253" t="s">
        <v>1262</v>
      </c>
      <c r="B1253" s="2">
        <v>46274</v>
      </c>
      <c r="C1253" t="s">
        <v>2941</v>
      </c>
      <c r="D1253" t="s">
        <v>2946</v>
      </c>
      <c r="E1253" t="s">
        <v>3034</v>
      </c>
      <c r="F1253" s="3">
        <v>46274.688409196577</v>
      </c>
      <c r="G1253" s="3">
        <v>46274.691139330047</v>
      </c>
      <c r="H1253">
        <v>3.93</v>
      </c>
      <c r="I1253" t="s">
        <v>3146</v>
      </c>
      <c r="J1253" t="s">
        <v>3157</v>
      </c>
      <c r="K1253" t="s">
        <v>3171</v>
      </c>
      <c r="L1253" t="str">
        <f>_xlfn.XLOOKUP(C1253,[1]!Table1[Shift_ID],[1]!Table1[Shift_ID])</f>
        <v>S02</v>
      </c>
      <c r="M1253" t="str">
        <f>_xlfn.XLOOKUP(D1253,[2]!Table1[Machine_ID],[2]!Table1[Machine_ID])</f>
        <v>M005</v>
      </c>
      <c r="N1253" t="str">
        <f>_xlfn.XLOOKUP(E1253,[3]Sheet1!$A$2:$A$391,[3]Sheet1!$A$2:$A$391)</f>
        <v>PO10084</v>
      </c>
    </row>
    <row r="1254" spans="1:14" x14ac:dyDescent="0.2">
      <c r="A1254" t="s">
        <v>1263</v>
      </c>
      <c r="B1254" s="2">
        <v>46274</v>
      </c>
      <c r="C1254" t="s">
        <v>2941</v>
      </c>
      <c r="D1254" t="s">
        <v>2946</v>
      </c>
      <c r="E1254" t="s">
        <v>3034</v>
      </c>
      <c r="F1254" s="3">
        <v>46274.819690013697</v>
      </c>
      <c r="G1254" s="3">
        <v>46274.824296726772</v>
      </c>
      <c r="H1254">
        <v>6.63</v>
      </c>
      <c r="I1254" t="s">
        <v>3149</v>
      </c>
      <c r="J1254" t="s">
        <v>3158</v>
      </c>
      <c r="K1254" t="s">
        <v>3184</v>
      </c>
      <c r="L1254" t="str">
        <f>_xlfn.XLOOKUP(C1254,[1]!Table1[Shift_ID],[1]!Table1[Shift_ID])</f>
        <v>S02</v>
      </c>
      <c r="M1254" t="str">
        <f>_xlfn.XLOOKUP(D1254,[2]!Table1[Machine_ID],[2]!Table1[Machine_ID])</f>
        <v>M005</v>
      </c>
      <c r="N1254" t="str">
        <f>_xlfn.XLOOKUP(E1254,[3]Sheet1!$A$2:$A$391,[3]Sheet1!$A$2:$A$391)</f>
        <v>PO10084</v>
      </c>
    </row>
    <row r="1255" spans="1:14" x14ac:dyDescent="0.2">
      <c r="A1255" t="s">
        <v>1264</v>
      </c>
      <c r="B1255" s="2">
        <v>46274</v>
      </c>
      <c r="C1255" t="s">
        <v>2941</v>
      </c>
      <c r="D1255" t="s">
        <v>2947</v>
      </c>
      <c r="E1255" t="s">
        <v>3034</v>
      </c>
      <c r="F1255" s="3">
        <v>46274.644971630813</v>
      </c>
      <c r="G1255" s="3">
        <v>46274.646764029247</v>
      </c>
      <c r="H1255">
        <v>2.58</v>
      </c>
      <c r="I1255" t="s">
        <v>3150</v>
      </c>
      <c r="J1255" t="s">
        <v>3163</v>
      </c>
      <c r="K1255" t="s">
        <v>3179</v>
      </c>
      <c r="L1255" t="str">
        <f>_xlfn.XLOOKUP(C1255,[1]!Table1[Shift_ID],[1]!Table1[Shift_ID])</f>
        <v>S02</v>
      </c>
      <c r="M1255" t="str">
        <f>_xlfn.XLOOKUP(D1255,[2]!Table1[Machine_ID],[2]!Table1[Machine_ID])</f>
        <v>M006</v>
      </c>
      <c r="N1255" t="str">
        <f>_xlfn.XLOOKUP(E1255,[3]Sheet1!$A$2:$A$391,[3]Sheet1!$A$2:$A$391)</f>
        <v>PO10084</v>
      </c>
    </row>
    <row r="1256" spans="1:14" x14ac:dyDescent="0.2">
      <c r="A1256" t="s">
        <v>1265</v>
      </c>
      <c r="B1256" s="2">
        <v>46274</v>
      </c>
      <c r="C1256" t="s">
        <v>2941</v>
      </c>
      <c r="D1256" t="s">
        <v>2947</v>
      </c>
      <c r="E1256" t="s">
        <v>3034</v>
      </c>
      <c r="F1256" s="3">
        <v>46274.659478738577</v>
      </c>
      <c r="G1256" s="3">
        <v>46274.668090610343</v>
      </c>
      <c r="H1256">
        <v>12.4</v>
      </c>
      <c r="I1256" t="s">
        <v>3149</v>
      </c>
      <c r="J1256" t="s">
        <v>3162</v>
      </c>
      <c r="K1256" t="s">
        <v>3182</v>
      </c>
      <c r="L1256" t="str">
        <f>_xlfn.XLOOKUP(C1256,[1]!Table1[Shift_ID],[1]!Table1[Shift_ID])</f>
        <v>S02</v>
      </c>
      <c r="M1256" t="str">
        <f>_xlfn.XLOOKUP(D1256,[2]!Table1[Machine_ID],[2]!Table1[Machine_ID])</f>
        <v>M006</v>
      </c>
      <c r="N1256" t="str">
        <f>_xlfn.XLOOKUP(E1256,[3]Sheet1!$A$2:$A$391,[3]Sheet1!$A$2:$A$391)</f>
        <v>PO10084</v>
      </c>
    </row>
    <row r="1257" spans="1:14" x14ac:dyDescent="0.2">
      <c r="A1257" t="s">
        <v>1266</v>
      </c>
      <c r="B1257" s="2">
        <v>46274</v>
      </c>
      <c r="C1257" t="s">
        <v>2941</v>
      </c>
      <c r="D1257" t="s">
        <v>2947</v>
      </c>
      <c r="E1257" t="s">
        <v>3034</v>
      </c>
      <c r="F1257" s="3">
        <v>46274.677136684848</v>
      </c>
      <c r="G1257" s="3">
        <v>46274.680713821886</v>
      </c>
      <c r="H1257">
        <v>5.15</v>
      </c>
      <c r="I1257" t="s">
        <v>3149</v>
      </c>
      <c r="J1257" t="s">
        <v>3168</v>
      </c>
      <c r="K1257" t="s">
        <v>3176</v>
      </c>
      <c r="L1257" t="str">
        <f>_xlfn.XLOOKUP(C1257,[1]!Table1[Shift_ID],[1]!Table1[Shift_ID])</f>
        <v>S02</v>
      </c>
      <c r="M1257" t="str">
        <f>_xlfn.XLOOKUP(D1257,[2]!Table1[Machine_ID],[2]!Table1[Machine_ID])</f>
        <v>M006</v>
      </c>
      <c r="N1257" t="str">
        <f>_xlfn.XLOOKUP(E1257,[3]Sheet1!$A$2:$A$391,[3]Sheet1!$A$2:$A$391)</f>
        <v>PO10084</v>
      </c>
    </row>
    <row r="1258" spans="1:14" x14ac:dyDescent="0.2">
      <c r="A1258" t="s">
        <v>1267</v>
      </c>
      <c r="B1258" s="2">
        <v>46274</v>
      </c>
      <c r="C1258" t="s">
        <v>2941</v>
      </c>
      <c r="D1258" t="s">
        <v>2947</v>
      </c>
      <c r="E1258" t="s">
        <v>3034</v>
      </c>
      <c r="F1258" s="3">
        <v>46274.682947877271</v>
      </c>
      <c r="G1258" s="3">
        <v>46274.690431601382</v>
      </c>
      <c r="H1258">
        <v>10.78</v>
      </c>
      <c r="I1258" t="s">
        <v>3150</v>
      </c>
      <c r="J1258" t="s">
        <v>3163</v>
      </c>
      <c r="K1258" t="s">
        <v>3177</v>
      </c>
      <c r="L1258" t="str">
        <f>_xlfn.XLOOKUP(C1258,[1]!Table1[Shift_ID],[1]!Table1[Shift_ID])</f>
        <v>S02</v>
      </c>
      <c r="M1258" t="str">
        <f>_xlfn.XLOOKUP(D1258,[2]!Table1[Machine_ID],[2]!Table1[Machine_ID])</f>
        <v>M006</v>
      </c>
      <c r="N1258" t="str">
        <f>_xlfn.XLOOKUP(E1258,[3]Sheet1!$A$2:$A$391,[3]Sheet1!$A$2:$A$391)</f>
        <v>PO10084</v>
      </c>
    </row>
    <row r="1259" spans="1:14" x14ac:dyDescent="0.2">
      <c r="A1259" t="s">
        <v>1268</v>
      </c>
      <c r="B1259" s="2">
        <v>46274</v>
      </c>
      <c r="C1259" t="s">
        <v>2941</v>
      </c>
      <c r="D1259" t="s">
        <v>2947</v>
      </c>
      <c r="E1259" t="s">
        <v>3034</v>
      </c>
      <c r="F1259" s="3">
        <v>46274.690285884513</v>
      </c>
      <c r="G1259" s="3">
        <v>46274.692078282962</v>
      </c>
      <c r="H1259">
        <v>2.58</v>
      </c>
      <c r="I1259" t="s">
        <v>3149</v>
      </c>
      <c r="J1259" t="s">
        <v>3158</v>
      </c>
      <c r="K1259" t="s">
        <v>3182</v>
      </c>
      <c r="L1259" t="str">
        <f>_xlfn.XLOOKUP(C1259,[1]!Table1[Shift_ID],[1]!Table1[Shift_ID])</f>
        <v>S02</v>
      </c>
      <c r="M1259" t="str">
        <f>_xlfn.XLOOKUP(D1259,[2]!Table1[Machine_ID],[2]!Table1[Machine_ID])</f>
        <v>M006</v>
      </c>
      <c r="N1259" t="str">
        <f>_xlfn.XLOOKUP(E1259,[3]Sheet1!$A$2:$A$391,[3]Sheet1!$A$2:$A$391)</f>
        <v>PO10084</v>
      </c>
    </row>
    <row r="1260" spans="1:14" x14ac:dyDescent="0.2">
      <c r="A1260" t="s">
        <v>1269</v>
      </c>
      <c r="B1260" s="2">
        <v>46274</v>
      </c>
      <c r="C1260" t="s">
        <v>2941</v>
      </c>
      <c r="D1260" t="s">
        <v>2947</v>
      </c>
      <c r="E1260" t="s">
        <v>3034</v>
      </c>
      <c r="F1260" s="3">
        <v>46274.746195025269</v>
      </c>
      <c r="G1260" s="3">
        <v>46274.752522366223</v>
      </c>
      <c r="H1260">
        <v>9.11</v>
      </c>
      <c r="I1260" t="s">
        <v>3150</v>
      </c>
      <c r="J1260" t="s">
        <v>3166</v>
      </c>
      <c r="K1260" t="s">
        <v>3179</v>
      </c>
      <c r="L1260" t="str">
        <f>_xlfn.XLOOKUP(C1260,[1]!Table1[Shift_ID],[1]!Table1[Shift_ID])</f>
        <v>S02</v>
      </c>
      <c r="M1260" t="str">
        <f>_xlfn.XLOOKUP(D1260,[2]!Table1[Machine_ID],[2]!Table1[Machine_ID])</f>
        <v>M006</v>
      </c>
      <c r="N1260" t="str">
        <f>_xlfn.XLOOKUP(E1260,[3]Sheet1!$A$2:$A$391,[3]Sheet1!$A$2:$A$391)</f>
        <v>PO10084</v>
      </c>
    </row>
    <row r="1261" spans="1:14" x14ac:dyDescent="0.2">
      <c r="A1261" t="s">
        <v>1270</v>
      </c>
      <c r="B1261" s="2">
        <v>46274</v>
      </c>
      <c r="C1261" t="s">
        <v>2941</v>
      </c>
      <c r="D1261" t="s">
        <v>2947</v>
      </c>
      <c r="E1261" t="s">
        <v>3034</v>
      </c>
      <c r="F1261" s="3">
        <v>46274.821253828028</v>
      </c>
      <c r="G1261" s="3">
        <v>46274.823046226476</v>
      </c>
      <c r="H1261">
        <v>2.58</v>
      </c>
      <c r="I1261" t="s">
        <v>3150</v>
      </c>
      <c r="J1261" t="s">
        <v>3160</v>
      </c>
      <c r="K1261" t="s">
        <v>3179</v>
      </c>
      <c r="L1261" t="str">
        <f>_xlfn.XLOOKUP(C1261,[1]!Table1[Shift_ID],[1]!Table1[Shift_ID])</f>
        <v>S02</v>
      </c>
      <c r="M1261" t="str">
        <f>_xlfn.XLOOKUP(D1261,[2]!Table1[Machine_ID],[2]!Table1[Machine_ID])</f>
        <v>M006</v>
      </c>
      <c r="N1261" t="str">
        <f>_xlfn.XLOOKUP(E1261,[3]Sheet1!$A$2:$A$391,[3]Sheet1!$A$2:$A$391)</f>
        <v>PO10084</v>
      </c>
    </row>
    <row r="1262" spans="1:14" x14ac:dyDescent="0.2">
      <c r="A1262" t="s">
        <v>1271</v>
      </c>
      <c r="B1262" s="2">
        <v>46274</v>
      </c>
      <c r="C1262" t="s">
        <v>2941</v>
      </c>
      <c r="D1262" t="s">
        <v>2948</v>
      </c>
      <c r="E1262" t="s">
        <v>3034</v>
      </c>
      <c r="F1262" s="3">
        <v>46274.708964975012</v>
      </c>
      <c r="G1262" s="3">
        <v>46274.7238827853</v>
      </c>
      <c r="H1262">
        <v>21.48</v>
      </c>
      <c r="I1262" t="s">
        <v>3150</v>
      </c>
      <c r="J1262" t="s">
        <v>3160</v>
      </c>
      <c r="K1262" t="s">
        <v>3177</v>
      </c>
      <c r="L1262" t="str">
        <f>_xlfn.XLOOKUP(C1262,[1]!Table1[Shift_ID],[1]!Table1[Shift_ID])</f>
        <v>S02</v>
      </c>
      <c r="M1262" t="str">
        <f>_xlfn.XLOOKUP(D1262,[2]!Table1[Machine_ID],[2]!Table1[Machine_ID])</f>
        <v>M007</v>
      </c>
      <c r="N1262" t="str">
        <f>_xlfn.XLOOKUP(E1262,[3]Sheet1!$A$2:$A$391,[3]Sheet1!$A$2:$A$391)</f>
        <v>PO10084</v>
      </c>
    </row>
    <row r="1263" spans="1:14" x14ac:dyDescent="0.2">
      <c r="A1263" t="s">
        <v>1272</v>
      </c>
      <c r="B1263" s="2">
        <v>46274</v>
      </c>
      <c r="C1263" t="s">
        <v>2941</v>
      </c>
      <c r="D1263" t="s">
        <v>2949</v>
      </c>
      <c r="E1263" t="s">
        <v>3034</v>
      </c>
      <c r="F1263" s="3">
        <v>46274.651483670918</v>
      </c>
      <c r="G1263" s="3">
        <v>46274.65696625274</v>
      </c>
      <c r="H1263">
        <v>7.89</v>
      </c>
      <c r="I1263" t="s">
        <v>3150</v>
      </c>
      <c r="J1263" t="s">
        <v>3159</v>
      </c>
      <c r="K1263" t="s">
        <v>3178</v>
      </c>
      <c r="L1263" t="str">
        <f>_xlfn.XLOOKUP(C1263,[1]!Table1[Shift_ID],[1]!Table1[Shift_ID])</f>
        <v>S02</v>
      </c>
      <c r="M1263" t="str">
        <f>_xlfn.XLOOKUP(D1263,[2]!Table1[Machine_ID],[2]!Table1[Machine_ID])</f>
        <v>M008</v>
      </c>
      <c r="N1263" t="str">
        <f>_xlfn.XLOOKUP(E1263,[3]Sheet1!$A$2:$A$391,[3]Sheet1!$A$2:$A$391)</f>
        <v>PO10084</v>
      </c>
    </row>
    <row r="1264" spans="1:14" x14ac:dyDescent="0.2">
      <c r="A1264" t="s">
        <v>1273</v>
      </c>
      <c r="B1264" s="2">
        <v>46274</v>
      </c>
      <c r="C1264" t="s">
        <v>2941</v>
      </c>
      <c r="D1264" t="s">
        <v>2949</v>
      </c>
      <c r="E1264" t="s">
        <v>3034</v>
      </c>
      <c r="F1264" s="3">
        <v>46274.730398357016</v>
      </c>
      <c r="G1264" s="3">
        <v>46274.732868262457</v>
      </c>
      <c r="H1264">
        <v>3.56</v>
      </c>
      <c r="I1264" t="s">
        <v>3147</v>
      </c>
      <c r="J1264" t="s">
        <v>3153</v>
      </c>
      <c r="K1264" t="s">
        <v>3186</v>
      </c>
      <c r="L1264" t="str">
        <f>_xlfn.XLOOKUP(C1264,[1]!Table1[Shift_ID],[1]!Table1[Shift_ID])</f>
        <v>S02</v>
      </c>
      <c r="M1264" t="str">
        <f>_xlfn.XLOOKUP(D1264,[2]!Table1[Machine_ID],[2]!Table1[Machine_ID])</f>
        <v>M008</v>
      </c>
      <c r="N1264" t="str">
        <f>_xlfn.XLOOKUP(E1264,[3]Sheet1!$A$2:$A$391,[3]Sheet1!$A$2:$A$391)</f>
        <v>PO10084</v>
      </c>
    </row>
    <row r="1265" spans="1:14" x14ac:dyDescent="0.2">
      <c r="A1265" t="s">
        <v>1274</v>
      </c>
      <c r="B1265" s="2">
        <v>46275</v>
      </c>
      <c r="C1265" t="s">
        <v>2939</v>
      </c>
      <c r="D1265" t="s">
        <v>2942</v>
      </c>
      <c r="E1265" t="s">
        <v>3035</v>
      </c>
      <c r="F1265" s="3">
        <v>46275.966939345337</v>
      </c>
      <c r="G1265" s="3">
        <v>46275.968731502282</v>
      </c>
      <c r="H1265">
        <v>2.58</v>
      </c>
      <c r="I1265" t="s">
        <v>3149</v>
      </c>
      <c r="J1265" t="s">
        <v>3158</v>
      </c>
      <c r="K1265" t="s">
        <v>3176</v>
      </c>
      <c r="L1265" t="str">
        <f>_xlfn.XLOOKUP(C1265,[1]!Table1[Shift_ID],[1]!Table1[Shift_ID])</f>
        <v>S03</v>
      </c>
      <c r="M1265" t="str">
        <f>_xlfn.XLOOKUP(D1265,[2]!Table1[Machine_ID],[2]!Table1[Machine_ID])</f>
        <v>M001</v>
      </c>
      <c r="N1265" t="str">
        <f>_xlfn.XLOOKUP(E1265,[3]Sheet1!$A$2:$A$391,[3]Sheet1!$A$2:$A$391)</f>
        <v>PO10085</v>
      </c>
    </row>
    <row r="1266" spans="1:14" x14ac:dyDescent="0.2">
      <c r="A1266" t="s">
        <v>1275</v>
      </c>
      <c r="B1266" s="2">
        <v>46275</v>
      </c>
      <c r="C1266" t="s">
        <v>2939</v>
      </c>
      <c r="D1266" t="s">
        <v>2942</v>
      </c>
      <c r="E1266" t="s">
        <v>3035</v>
      </c>
      <c r="F1266" s="3">
        <v>46275.986645656812</v>
      </c>
      <c r="G1266" s="3">
        <v>46275.98843781375</v>
      </c>
      <c r="H1266">
        <v>2.58</v>
      </c>
      <c r="I1266" t="s">
        <v>3151</v>
      </c>
      <c r="J1266" t="s">
        <v>3170</v>
      </c>
      <c r="K1266" t="s">
        <v>3181</v>
      </c>
      <c r="L1266" t="str">
        <f>_xlfn.XLOOKUP(C1266,[1]!Table1[Shift_ID],[1]!Table1[Shift_ID])</f>
        <v>S03</v>
      </c>
      <c r="M1266" t="str">
        <f>_xlfn.XLOOKUP(D1266,[2]!Table1[Machine_ID],[2]!Table1[Machine_ID])</f>
        <v>M001</v>
      </c>
      <c r="N1266" t="str">
        <f>_xlfn.XLOOKUP(E1266,[3]Sheet1!$A$2:$A$391,[3]Sheet1!$A$2:$A$391)</f>
        <v>PO10085</v>
      </c>
    </row>
    <row r="1267" spans="1:14" x14ac:dyDescent="0.2">
      <c r="A1267" t="s">
        <v>1276</v>
      </c>
      <c r="B1267" s="2">
        <v>46275</v>
      </c>
      <c r="C1267" t="s">
        <v>2939</v>
      </c>
      <c r="D1267" t="s">
        <v>2942</v>
      </c>
      <c r="E1267" t="s">
        <v>3035</v>
      </c>
      <c r="F1267" s="3">
        <v>46276.076956290788</v>
      </c>
      <c r="G1267" s="3">
        <v>46276.081127617501</v>
      </c>
      <c r="H1267">
        <v>6.01</v>
      </c>
      <c r="I1267" t="s">
        <v>3149</v>
      </c>
      <c r="J1267" t="s">
        <v>3162</v>
      </c>
      <c r="K1267" t="s">
        <v>3184</v>
      </c>
      <c r="L1267" t="str">
        <f>_xlfn.XLOOKUP(C1267,[1]!Table1[Shift_ID],[1]!Table1[Shift_ID])</f>
        <v>S03</v>
      </c>
      <c r="M1267" t="str">
        <f>_xlfn.XLOOKUP(D1267,[2]!Table1[Machine_ID],[2]!Table1[Machine_ID])</f>
        <v>M001</v>
      </c>
      <c r="N1267" t="str">
        <f>_xlfn.XLOOKUP(E1267,[3]Sheet1!$A$2:$A$391,[3]Sheet1!$A$2:$A$391)</f>
        <v>PO10085</v>
      </c>
    </row>
    <row r="1268" spans="1:14" x14ac:dyDescent="0.2">
      <c r="A1268" t="s">
        <v>1277</v>
      </c>
      <c r="B1268" s="2">
        <v>46275</v>
      </c>
      <c r="C1268" t="s">
        <v>2939</v>
      </c>
      <c r="D1268" t="s">
        <v>2943</v>
      </c>
      <c r="E1268" t="s">
        <v>3035</v>
      </c>
      <c r="F1268" s="3">
        <v>46276.20728387955</v>
      </c>
      <c r="G1268" s="3">
        <v>46276.214754490997</v>
      </c>
      <c r="H1268">
        <v>10.76</v>
      </c>
      <c r="I1268" t="s">
        <v>3151</v>
      </c>
      <c r="J1268" t="s">
        <v>3169</v>
      </c>
      <c r="K1268" t="s">
        <v>3188</v>
      </c>
      <c r="L1268" t="str">
        <f>_xlfn.XLOOKUP(C1268,[1]!Table1[Shift_ID],[1]!Table1[Shift_ID])</f>
        <v>S03</v>
      </c>
      <c r="M1268" t="str">
        <f>_xlfn.XLOOKUP(D1268,[2]!Table1[Machine_ID],[2]!Table1[Machine_ID])</f>
        <v>M002</v>
      </c>
      <c r="N1268" t="str">
        <f>_xlfn.XLOOKUP(E1268,[3]Sheet1!$A$2:$A$391,[3]Sheet1!$A$2:$A$391)</f>
        <v>PO10085</v>
      </c>
    </row>
    <row r="1269" spans="1:14" x14ac:dyDescent="0.2">
      <c r="A1269" t="s">
        <v>1278</v>
      </c>
      <c r="B1269" s="2">
        <v>46275</v>
      </c>
      <c r="C1269" t="s">
        <v>2939</v>
      </c>
      <c r="D1269" t="s">
        <v>2944</v>
      </c>
      <c r="E1269" t="s">
        <v>3035</v>
      </c>
      <c r="F1269" s="3">
        <v>46275.978575100737</v>
      </c>
      <c r="G1269" s="3">
        <v>46275.980306423407</v>
      </c>
      <c r="H1269">
        <v>2.4900000000000002</v>
      </c>
      <c r="I1269" t="s">
        <v>3150</v>
      </c>
      <c r="J1269" t="s">
        <v>3160</v>
      </c>
      <c r="K1269" t="s">
        <v>3178</v>
      </c>
      <c r="L1269" t="str">
        <f>_xlfn.XLOOKUP(C1269,[1]!Table1[Shift_ID],[1]!Table1[Shift_ID])</f>
        <v>S03</v>
      </c>
      <c r="M1269" t="str">
        <f>_xlfn.XLOOKUP(D1269,[2]!Table1[Machine_ID],[2]!Table1[Machine_ID])</f>
        <v>M003</v>
      </c>
      <c r="N1269" t="str">
        <f>_xlfn.XLOOKUP(E1269,[3]Sheet1!$A$2:$A$391,[3]Sheet1!$A$2:$A$391)</f>
        <v>PO10085</v>
      </c>
    </row>
    <row r="1270" spans="1:14" x14ac:dyDescent="0.2">
      <c r="A1270" t="s">
        <v>1279</v>
      </c>
      <c r="B1270" s="2">
        <v>46275</v>
      </c>
      <c r="C1270" t="s">
        <v>2939</v>
      </c>
      <c r="D1270" t="s">
        <v>2944</v>
      </c>
      <c r="E1270" t="s">
        <v>3035</v>
      </c>
      <c r="F1270" s="3">
        <v>46276.187761953282</v>
      </c>
      <c r="G1270" s="3">
        <v>46276.189493275953</v>
      </c>
      <c r="H1270">
        <v>2.4900000000000002</v>
      </c>
      <c r="I1270" t="s">
        <v>3146</v>
      </c>
      <c r="J1270" t="s">
        <v>3156</v>
      </c>
      <c r="K1270" t="s">
        <v>3174</v>
      </c>
      <c r="L1270" t="str">
        <f>_xlfn.XLOOKUP(C1270,[1]!Table1[Shift_ID],[1]!Table1[Shift_ID])</f>
        <v>S03</v>
      </c>
      <c r="M1270" t="str">
        <f>_xlfn.XLOOKUP(D1270,[2]!Table1[Machine_ID],[2]!Table1[Machine_ID])</f>
        <v>M003</v>
      </c>
      <c r="N1270" t="str">
        <f>_xlfn.XLOOKUP(E1270,[3]Sheet1!$A$2:$A$391,[3]Sheet1!$A$2:$A$391)</f>
        <v>PO10085</v>
      </c>
    </row>
    <row r="1271" spans="1:14" x14ac:dyDescent="0.2">
      <c r="A1271" t="s">
        <v>1280</v>
      </c>
      <c r="B1271" s="2">
        <v>46275</v>
      </c>
      <c r="C1271" t="s">
        <v>2939</v>
      </c>
      <c r="D1271" t="s">
        <v>2944</v>
      </c>
      <c r="E1271" t="s">
        <v>3035</v>
      </c>
      <c r="F1271" s="3">
        <v>46276.218352437179</v>
      </c>
      <c r="G1271" s="3">
        <v>46276.228148930793</v>
      </c>
      <c r="H1271">
        <v>14.11</v>
      </c>
      <c r="I1271" t="s">
        <v>3151</v>
      </c>
      <c r="J1271" t="s">
        <v>3170</v>
      </c>
      <c r="K1271" t="s">
        <v>3187</v>
      </c>
      <c r="L1271" t="str">
        <f>_xlfn.XLOOKUP(C1271,[1]!Table1[Shift_ID],[1]!Table1[Shift_ID])</f>
        <v>S03</v>
      </c>
      <c r="M1271" t="str">
        <f>_xlfn.XLOOKUP(D1271,[2]!Table1[Machine_ID],[2]!Table1[Machine_ID])</f>
        <v>M003</v>
      </c>
      <c r="N1271" t="str">
        <f>_xlfn.XLOOKUP(E1271,[3]Sheet1!$A$2:$A$391,[3]Sheet1!$A$2:$A$391)</f>
        <v>PO10085</v>
      </c>
    </row>
    <row r="1272" spans="1:14" x14ac:dyDescent="0.2">
      <c r="A1272" t="s">
        <v>1281</v>
      </c>
      <c r="B1272" s="2">
        <v>46275</v>
      </c>
      <c r="C1272" t="s">
        <v>2939</v>
      </c>
      <c r="D1272" t="s">
        <v>2945</v>
      </c>
      <c r="E1272" t="s">
        <v>3035</v>
      </c>
      <c r="F1272" s="3">
        <v>46276.045392713713</v>
      </c>
      <c r="G1272" s="3">
        <v>46276.051597235193</v>
      </c>
      <c r="H1272">
        <v>8.93</v>
      </c>
      <c r="I1272" t="s">
        <v>3150</v>
      </c>
      <c r="J1272" t="s">
        <v>3166</v>
      </c>
      <c r="K1272" t="s">
        <v>3179</v>
      </c>
      <c r="L1272" t="str">
        <f>_xlfn.XLOOKUP(C1272,[1]!Table1[Shift_ID],[1]!Table1[Shift_ID])</f>
        <v>S03</v>
      </c>
      <c r="M1272" t="str">
        <f>_xlfn.XLOOKUP(D1272,[2]!Table1[Machine_ID],[2]!Table1[Machine_ID])</f>
        <v>M004</v>
      </c>
      <c r="N1272" t="str">
        <f>_xlfn.XLOOKUP(E1272,[3]Sheet1!$A$2:$A$391,[3]Sheet1!$A$2:$A$391)</f>
        <v>PO10085</v>
      </c>
    </row>
    <row r="1273" spans="1:14" x14ac:dyDescent="0.2">
      <c r="A1273" t="s">
        <v>1282</v>
      </c>
      <c r="B1273" s="2">
        <v>46275</v>
      </c>
      <c r="C1273" t="s">
        <v>2939</v>
      </c>
      <c r="D1273" t="s">
        <v>2946</v>
      </c>
      <c r="E1273" t="s">
        <v>3035</v>
      </c>
      <c r="F1273" s="3">
        <v>46275.926439471586</v>
      </c>
      <c r="G1273" s="3">
        <v>46275.931348241007</v>
      </c>
      <c r="H1273">
        <v>7.07</v>
      </c>
      <c r="I1273" t="s">
        <v>3150</v>
      </c>
      <c r="J1273" t="s">
        <v>3159</v>
      </c>
      <c r="K1273" t="s">
        <v>3177</v>
      </c>
      <c r="L1273" t="str">
        <f>_xlfn.XLOOKUP(C1273,[1]!Table1[Shift_ID],[1]!Table1[Shift_ID])</f>
        <v>S03</v>
      </c>
      <c r="M1273" t="str">
        <f>_xlfn.XLOOKUP(D1273,[2]!Table1[Machine_ID],[2]!Table1[Machine_ID])</f>
        <v>M005</v>
      </c>
      <c r="N1273" t="str">
        <f>_xlfn.XLOOKUP(E1273,[3]Sheet1!$A$2:$A$391,[3]Sheet1!$A$2:$A$391)</f>
        <v>PO10085</v>
      </c>
    </row>
    <row r="1274" spans="1:14" x14ac:dyDescent="0.2">
      <c r="A1274" t="s">
        <v>1283</v>
      </c>
      <c r="B1274" s="2">
        <v>46275</v>
      </c>
      <c r="C1274" t="s">
        <v>2939</v>
      </c>
      <c r="D1274" t="s">
        <v>2946</v>
      </c>
      <c r="E1274" t="s">
        <v>3035</v>
      </c>
      <c r="F1274" s="3">
        <v>46275.992503853369</v>
      </c>
      <c r="G1274" s="3">
        <v>46275.994559625418</v>
      </c>
      <c r="H1274">
        <v>2.96</v>
      </c>
      <c r="I1274" t="s">
        <v>3150</v>
      </c>
      <c r="J1274" t="s">
        <v>3159</v>
      </c>
      <c r="K1274" t="s">
        <v>3177</v>
      </c>
      <c r="L1274" t="str">
        <f>_xlfn.XLOOKUP(C1274,[1]!Table1[Shift_ID],[1]!Table1[Shift_ID])</f>
        <v>S03</v>
      </c>
      <c r="M1274" t="str">
        <f>_xlfn.XLOOKUP(D1274,[2]!Table1[Machine_ID],[2]!Table1[Machine_ID])</f>
        <v>M005</v>
      </c>
      <c r="N1274" t="str">
        <f>_xlfn.XLOOKUP(E1274,[3]Sheet1!$A$2:$A$391,[3]Sheet1!$A$2:$A$391)</f>
        <v>PO10085</v>
      </c>
    </row>
    <row r="1275" spans="1:14" x14ac:dyDescent="0.2">
      <c r="A1275" t="s">
        <v>1284</v>
      </c>
      <c r="B1275" s="2">
        <v>46275</v>
      </c>
      <c r="C1275" t="s">
        <v>2939</v>
      </c>
      <c r="D1275" t="s">
        <v>2946</v>
      </c>
      <c r="E1275" t="s">
        <v>3035</v>
      </c>
      <c r="F1275" s="3">
        <v>46276.052207649111</v>
      </c>
      <c r="G1275" s="3">
        <v>46276.054817070137</v>
      </c>
      <c r="H1275">
        <v>3.76</v>
      </c>
      <c r="I1275" t="s">
        <v>3148</v>
      </c>
      <c r="J1275" t="s">
        <v>3155</v>
      </c>
      <c r="K1275" t="s">
        <v>3180</v>
      </c>
      <c r="L1275" t="str">
        <f>_xlfn.XLOOKUP(C1275,[1]!Table1[Shift_ID],[1]!Table1[Shift_ID])</f>
        <v>S03</v>
      </c>
      <c r="M1275" t="str">
        <f>_xlfn.XLOOKUP(D1275,[2]!Table1[Machine_ID],[2]!Table1[Machine_ID])</f>
        <v>M005</v>
      </c>
      <c r="N1275" t="str">
        <f>_xlfn.XLOOKUP(E1275,[3]Sheet1!$A$2:$A$391,[3]Sheet1!$A$2:$A$391)</f>
        <v>PO10085</v>
      </c>
    </row>
    <row r="1276" spans="1:14" x14ac:dyDescent="0.2">
      <c r="A1276" t="s">
        <v>1285</v>
      </c>
      <c r="B1276" s="2">
        <v>46275</v>
      </c>
      <c r="C1276" t="s">
        <v>2939</v>
      </c>
      <c r="D1276" t="s">
        <v>2947</v>
      </c>
      <c r="E1276" t="s">
        <v>3035</v>
      </c>
      <c r="F1276" s="3">
        <v>46275.926130032509</v>
      </c>
      <c r="G1276" s="3">
        <v>46275.961405080729</v>
      </c>
      <c r="H1276">
        <v>50.8</v>
      </c>
      <c r="I1276" t="s">
        <v>3150</v>
      </c>
      <c r="J1276" t="s">
        <v>3159</v>
      </c>
      <c r="K1276" t="s">
        <v>3178</v>
      </c>
      <c r="L1276" t="str">
        <f>_xlfn.XLOOKUP(C1276,[1]!Table1[Shift_ID],[1]!Table1[Shift_ID])</f>
        <v>S03</v>
      </c>
      <c r="M1276" t="str">
        <f>_xlfn.XLOOKUP(D1276,[2]!Table1[Machine_ID],[2]!Table1[Machine_ID])</f>
        <v>M006</v>
      </c>
      <c r="N1276" t="str">
        <f>_xlfn.XLOOKUP(E1276,[3]Sheet1!$A$2:$A$391,[3]Sheet1!$A$2:$A$391)</f>
        <v>PO10085</v>
      </c>
    </row>
    <row r="1277" spans="1:14" x14ac:dyDescent="0.2">
      <c r="A1277" t="s">
        <v>1286</v>
      </c>
      <c r="B1277" s="2">
        <v>46275</v>
      </c>
      <c r="C1277" t="s">
        <v>2939</v>
      </c>
      <c r="D1277" t="s">
        <v>2948</v>
      </c>
      <c r="E1277" t="s">
        <v>3035</v>
      </c>
      <c r="F1277" s="3">
        <v>46275.990637831092</v>
      </c>
      <c r="G1277" s="3">
        <v>46276.002594208127</v>
      </c>
      <c r="H1277">
        <v>17.22</v>
      </c>
      <c r="I1277" t="s">
        <v>3149</v>
      </c>
      <c r="J1277" t="s">
        <v>3168</v>
      </c>
      <c r="K1277" t="s">
        <v>3184</v>
      </c>
      <c r="L1277" t="str">
        <f>_xlfn.XLOOKUP(C1277,[1]!Table1[Shift_ID],[1]!Table1[Shift_ID])</f>
        <v>S03</v>
      </c>
      <c r="M1277" t="str">
        <f>_xlfn.XLOOKUP(D1277,[2]!Table1[Machine_ID],[2]!Table1[Machine_ID])</f>
        <v>M007</v>
      </c>
      <c r="N1277" t="str">
        <f>_xlfn.XLOOKUP(E1277,[3]Sheet1!$A$2:$A$391,[3]Sheet1!$A$2:$A$391)</f>
        <v>PO10085</v>
      </c>
    </row>
    <row r="1278" spans="1:14" x14ac:dyDescent="0.2">
      <c r="A1278" t="s">
        <v>1287</v>
      </c>
      <c r="B1278" s="2">
        <v>46275</v>
      </c>
      <c r="C1278" t="s">
        <v>2939</v>
      </c>
      <c r="D1278" t="s">
        <v>2949</v>
      </c>
      <c r="E1278" t="s">
        <v>3035</v>
      </c>
      <c r="F1278" s="3">
        <v>46276.100980973082</v>
      </c>
      <c r="G1278" s="3">
        <v>46276.102669055013</v>
      </c>
      <c r="H1278">
        <v>2.4300000000000002</v>
      </c>
      <c r="I1278" t="s">
        <v>3150</v>
      </c>
      <c r="J1278" t="s">
        <v>3159</v>
      </c>
      <c r="K1278" t="s">
        <v>3179</v>
      </c>
      <c r="L1278" t="str">
        <f>_xlfn.XLOOKUP(C1278,[1]!Table1[Shift_ID],[1]!Table1[Shift_ID])</f>
        <v>S03</v>
      </c>
      <c r="M1278" t="str">
        <f>_xlfn.XLOOKUP(D1278,[2]!Table1[Machine_ID],[2]!Table1[Machine_ID])</f>
        <v>M008</v>
      </c>
      <c r="N1278" t="str">
        <f>_xlfn.XLOOKUP(E1278,[3]Sheet1!$A$2:$A$391,[3]Sheet1!$A$2:$A$391)</f>
        <v>PO10085</v>
      </c>
    </row>
    <row r="1279" spans="1:14" x14ac:dyDescent="0.2">
      <c r="A1279" t="s">
        <v>1288</v>
      </c>
      <c r="B1279" s="2">
        <v>46275</v>
      </c>
      <c r="C1279" t="s">
        <v>2939</v>
      </c>
      <c r="D1279" t="s">
        <v>2949</v>
      </c>
      <c r="E1279" t="s">
        <v>3035</v>
      </c>
      <c r="F1279" s="3">
        <v>46276.18240002705</v>
      </c>
      <c r="G1279" s="3">
        <v>46276.186210893356</v>
      </c>
      <c r="H1279">
        <v>5.49</v>
      </c>
      <c r="I1279" t="s">
        <v>3150</v>
      </c>
      <c r="J1279" t="s">
        <v>3160</v>
      </c>
      <c r="K1279" t="s">
        <v>3178</v>
      </c>
      <c r="L1279" t="str">
        <f>_xlfn.XLOOKUP(C1279,[1]!Table1[Shift_ID],[1]!Table1[Shift_ID])</f>
        <v>S03</v>
      </c>
      <c r="M1279" t="str">
        <f>_xlfn.XLOOKUP(D1279,[2]!Table1[Machine_ID],[2]!Table1[Machine_ID])</f>
        <v>M008</v>
      </c>
      <c r="N1279" t="str">
        <f>_xlfn.XLOOKUP(E1279,[3]Sheet1!$A$2:$A$391,[3]Sheet1!$A$2:$A$391)</f>
        <v>PO10085</v>
      </c>
    </row>
    <row r="1280" spans="1:14" x14ac:dyDescent="0.2">
      <c r="A1280" t="s">
        <v>1289</v>
      </c>
      <c r="B1280" s="2">
        <v>46275</v>
      </c>
      <c r="C1280" t="s">
        <v>2940</v>
      </c>
      <c r="D1280" t="s">
        <v>2942</v>
      </c>
      <c r="E1280" t="s">
        <v>3036</v>
      </c>
      <c r="F1280" s="3">
        <v>46275.556980748712</v>
      </c>
      <c r="G1280" s="3">
        <v>46275.561866135431</v>
      </c>
      <c r="H1280">
        <v>7.03</v>
      </c>
      <c r="I1280" t="s">
        <v>3146</v>
      </c>
      <c r="J1280" t="s">
        <v>3157</v>
      </c>
      <c r="K1280" t="s">
        <v>3171</v>
      </c>
      <c r="L1280" t="str">
        <f>_xlfn.XLOOKUP(C1280,[1]!Table1[Shift_ID],[1]!Table1[Shift_ID])</f>
        <v>S01</v>
      </c>
      <c r="M1280" t="str">
        <f>_xlfn.XLOOKUP(D1280,[2]!Table1[Machine_ID],[2]!Table1[Machine_ID])</f>
        <v>M001</v>
      </c>
      <c r="N1280" t="str">
        <f>_xlfn.XLOOKUP(E1280,[3]Sheet1!$A$2:$A$391,[3]Sheet1!$A$2:$A$391)</f>
        <v>PO10086</v>
      </c>
    </row>
    <row r="1281" spans="1:14" x14ac:dyDescent="0.2">
      <c r="A1281" t="s">
        <v>1290</v>
      </c>
      <c r="B1281" s="2">
        <v>46275</v>
      </c>
      <c r="C1281" t="s">
        <v>2940</v>
      </c>
      <c r="D1281" t="s">
        <v>2943</v>
      </c>
      <c r="E1281" t="s">
        <v>3036</v>
      </c>
      <c r="F1281" s="3">
        <v>46275.511577043879</v>
      </c>
      <c r="G1281" s="3">
        <v>46275.519510480292</v>
      </c>
      <c r="H1281">
        <v>11.42</v>
      </c>
      <c r="I1281" t="s">
        <v>3147</v>
      </c>
      <c r="J1281" t="s">
        <v>3154</v>
      </c>
      <c r="K1281" t="s">
        <v>3172</v>
      </c>
      <c r="L1281" t="str">
        <f>_xlfn.XLOOKUP(C1281,[1]!Table1[Shift_ID],[1]!Table1[Shift_ID])</f>
        <v>S01</v>
      </c>
      <c r="M1281" t="str">
        <f>_xlfn.XLOOKUP(D1281,[2]!Table1[Machine_ID],[2]!Table1[Machine_ID])</f>
        <v>M002</v>
      </c>
      <c r="N1281" t="str">
        <f>_xlfn.XLOOKUP(E1281,[3]Sheet1!$A$2:$A$391,[3]Sheet1!$A$2:$A$391)</f>
        <v>PO10086</v>
      </c>
    </row>
    <row r="1282" spans="1:14" x14ac:dyDescent="0.2">
      <c r="A1282" t="s">
        <v>1291</v>
      </c>
      <c r="B1282" s="2">
        <v>46275</v>
      </c>
      <c r="C1282" t="s">
        <v>2940</v>
      </c>
      <c r="D1282" t="s">
        <v>2944</v>
      </c>
      <c r="E1282" t="s">
        <v>3036</v>
      </c>
      <c r="F1282" s="3">
        <v>46275.27822149008</v>
      </c>
      <c r="G1282" s="3">
        <v>46275.288902812972</v>
      </c>
      <c r="H1282">
        <v>15.38</v>
      </c>
      <c r="I1282" t="s">
        <v>3149</v>
      </c>
      <c r="J1282" t="s">
        <v>3162</v>
      </c>
      <c r="K1282" t="s">
        <v>3176</v>
      </c>
      <c r="L1282" t="str">
        <f>_xlfn.XLOOKUP(C1282,[1]!Table1[Shift_ID],[1]!Table1[Shift_ID])</f>
        <v>S01</v>
      </c>
      <c r="M1282" t="str">
        <f>_xlfn.XLOOKUP(D1282,[2]!Table1[Machine_ID],[2]!Table1[Machine_ID])</f>
        <v>M003</v>
      </c>
      <c r="N1282" t="str">
        <f>_xlfn.XLOOKUP(E1282,[3]Sheet1!$A$2:$A$391,[3]Sheet1!$A$2:$A$391)</f>
        <v>PO10086</v>
      </c>
    </row>
    <row r="1283" spans="1:14" x14ac:dyDescent="0.2">
      <c r="A1283" t="s">
        <v>1292</v>
      </c>
      <c r="B1283" s="2">
        <v>46275</v>
      </c>
      <c r="C1283" t="s">
        <v>2940</v>
      </c>
      <c r="D1283" t="s">
        <v>2945</v>
      </c>
      <c r="E1283" t="s">
        <v>3036</v>
      </c>
      <c r="F1283" s="3">
        <v>46275.473094248788</v>
      </c>
      <c r="G1283" s="3">
        <v>46275.475943936217</v>
      </c>
      <c r="H1283">
        <v>4.0999999999999996</v>
      </c>
      <c r="I1283" t="s">
        <v>3147</v>
      </c>
      <c r="J1283" t="s">
        <v>3154</v>
      </c>
      <c r="K1283" t="s">
        <v>3186</v>
      </c>
      <c r="L1283" t="str">
        <f>_xlfn.XLOOKUP(C1283,[1]!Table1[Shift_ID],[1]!Table1[Shift_ID])</f>
        <v>S01</v>
      </c>
      <c r="M1283" t="str">
        <f>_xlfn.XLOOKUP(D1283,[2]!Table1[Machine_ID],[2]!Table1[Machine_ID])</f>
        <v>M004</v>
      </c>
      <c r="N1283" t="str">
        <f>_xlfn.XLOOKUP(E1283,[3]Sheet1!$A$2:$A$391,[3]Sheet1!$A$2:$A$391)</f>
        <v>PO10086</v>
      </c>
    </row>
    <row r="1284" spans="1:14" x14ac:dyDescent="0.2">
      <c r="A1284" t="s">
        <v>1293</v>
      </c>
      <c r="B1284" s="2">
        <v>46275</v>
      </c>
      <c r="C1284" t="s">
        <v>2940</v>
      </c>
      <c r="D1284" t="s">
        <v>2945</v>
      </c>
      <c r="E1284" t="s">
        <v>3036</v>
      </c>
      <c r="F1284" s="3">
        <v>46275.486266826243</v>
      </c>
      <c r="G1284" s="3">
        <v>46275.491129838963</v>
      </c>
      <c r="H1284">
        <v>7</v>
      </c>
      <c r="I1284" t="s">
        <v>3149</v>
      </c>
      <c r="J1284" t="s">
        <v>3168</v>
      </c>
      <c r="K1284" t="s">
        <v>3182</v>
      </c>
      <c r="L1284" t="str">
        <f>_xlfn.XLOOKUP(C1284,[1]!Table1[Shift_ID],[1]!Table1[Shift_ID])</f>
        <v>S01</v>
      </c>
      <c r="M1284" t="str">
        <f>_xlfn.XLOOKUP(D1284,[2]!Table1[Machine_ID],[2]!Table1[Machine_ID])</f>
        <v>M004</v>
      </c>
      <c r="N1284" t="str">
        <f>_xlfn.XLOOKUP(E1284,[3]Sheet1!$A$2:$A$391,[3]Sheet1!$A$2:$A$391)</f>
        <v>PO10086</v>
      </c>
    </row>
    <row r="1285" spans="1:14" x14ac:dyDescent="0.2">
      <c r="A1285" t="s">
        <v>1294</v>
      </c>
      <c r="B1285" s="2">
        <v>46275</v>
      </c>
      <c r="C1285" t="s">
        <v>2940</v>
      </c>
      <c r="D1285" t="s">
        <v>2946</v>
      </c>
      <c r="E1285" t="s">
        <v>3036</v>
      </c>
      <c r="F1285" s="3">
        <v>46275.348814892372</v>
      </c>
      <c r="G1285" s="3">
        <v>46275.354523692178</v>
      </c>
      <c r="H1285">
        <v>8.2200000000000006</v>
      </c>
      <c r="I1285" t="s">
        <v>3150</v>
      </c>
      <c r="J1285" t="s">
        <v>3163</v>
      </c>
      <c r="K1285" t="s">
        <v>3178</v>
      </c>
      <c r="L1285" t="str">
        <f>_xlfn.XLOOKUP(C1285,[1]!Table1[Shift_ID],[1]!Table1[Shift_ID])</f>
        <v>S01</v>
      </c>
      <c r="M1285" t="str">
        <f>_xlfn.XLOOKUP(D1285,[2]!Table1[Machine_ID],[2]!Table1[Machine_ID])</f>
        <v>M005</v>
      </c>
      <c r="N1285" t="str">
        <f>_xlfn.XLOOKUP(E1285,[3]Sheet1!$A$2:$A$391,[3]Sheet1!$A$2:$A$391)</f>
        <v>PO10086</v>
      </c>
    </row>
    <row r="1286" spans="1:14" x14ac:dyDescent="0.2">
      <c r="A1286" t="s">
        <v>1295</v>
      </c>
      <c r="B1286" s="2">
        <v>46275</v>
      </c>
      <c r="C1286" t="s">
        <v>2940</v>
      </c>
      <c r="D1286" t="s">
        <v>2946</v>
      </c>
      <c r="E1286" t="s">
        <v>3036</v>
      </c>
      <c r="F1286" s="3">
        <v>46275.404233976449</v>
      </c>
      <c r="G1286" s="3">
        <v>46275.405897462537</v>
      </c>
      <c r="H1286">
        <v>2.4</v>
      </c>
      <c r="I1286" t="s">
        <v>3147</v>
      </c>
      <c r="J1286" t="s">
        <v>3153</v>
      </c>
      <c r="K1286" t="s">
        <v>3185</v>
      </c>
      <c r="L1286" t="str">
        <f>_xlfn.XLOOKUP(C1286,[1]!Table1[Shift_ID],[1]!Table1[Shift_ID])</f>
        <v>S01</v>
      </c>
      <c r="M1286" t="str">
        <f>_xlfn.XLOOKUP(D1286,[2]!Table1[Machine_ID],[2]!Table1[Machine_ID])</f>
        <v>M005</v>
      </c>
      <c r="N1286" t="str">
        <f>_xlfn.XLOOKUP(E1286,[3]Sheet1!$A$2:$A$391,[3]Sheet1!$A$2:$A$391)</f>
        <v>PO10086</v>
      </c>
    </row>
    <row r="1287" spans="1:14" x14ac:dyDescent="0.2">
      <c r="A1287" t="s">
        <v>1296</v>
      </c>
      <c r="B1287" s="2">
        <v>46275</v>
      </c>
      <c r="C1287" t="s">
        <v>2940</v>
      </c>
      <c r="D1287" t="s">
        <v>2947</v>
      </c>
      <c r="E1287" t="s">
        <v>3036</v>
      </c>
      <c r="F1287" s="3">
        <v>46275.377952078219</v>
      </c>
      <c r="G1287" s="3">
        <v>46275.401433122781</v>
      </c>
      <c r="H1287">
        <v>33.81</v>
      </c>
      <c r="I1287" t="s">
        <v>3149</v>
      </c>
      <c r="J1287" t="s">
        <v>3158</v>
      </c>
      <c r="K1287" t="s">
        <v>3182</v>
      </c>
      <c r="L1287" t="str">
        <f>_xlfn.XLOOKUP(C1287,[1]!Table1[Shift_ID],[1]!Table1[Shift_ID])</f>
        <v>S01</v>
      </c>
      <c r="M1287" t="str">
        <f>_xlfn.XLOOKUP(D1287,[2]!Table1[Machine_ID],[2]!Table1[Machine_ID])</f>
        <v>M006</v>
      </c>
      <c r="N1287" t="str">
        <f>_xlfn.XLOOKUP(E1287,[3]Sheet1!$A$2:$A$391,[3]Sheet1!$A$2:$A$391)</f>
        <v>PO10086</v>
      </c>
    </row>
    <row r="1288" spans="1:14" x14ac:dyDescent="0.2">
      <c r="A1288" t="s">
        <v>1297</v>
      </c>
      <c r="B1288" s="2">
        <v>46275</v>
      </c>
      <c r="C1288" t="s">
        <v>2940</v>
      </c>
      <c r="D1288" t="s">
        <v>2948</v>
      </c>
      <c r="E1288" t="s">
        <v>3036</v>
      </c>
      <c r="F1288" s="3">
        <v>46275.454323138692</v>
      </c>
      <c r="G1288" s="3">
        <v>46275.464787332683</v>
      </c>
      <c r="H1288">
        <v>15.07</v>
      </c>
      <c r="I1288" t="s">
        <v>3148</v>
      </c>
      <c r="J1288" t="s">
        <v>3165</v>
      </c>
      <c r="K1288" t="s">
        <v>3173</v>
      </c>
      <c r="L1288" t="str">
        <f>_xlfn.XLOOKUP(C1288,[1]!Table1[Shift_ID],[1]!Table1[Shift_ID])</f>
        <v>S01</v>
      </c>
      <c r="M1288" t="str">
        <f>_xlfn.XLOOKUP(D1288,[2]!Table1[Machine_ID],[2]!Table1[Machine_ID])</f>
        <v>M007</v>
      </c>
      <c r="N1288" t="str">
        <f>_xlfn.XLOOKUP(E1288,[3]Sheet1!$A$2:$A$391,[3]Sheet1!$A$2:$A$391)</f>
        <v>PO10086</v>
      </c>
    </row>
    <row r="1289" spans="1:14" x14ac:dyDescent="0.2">
      <c r="A1289" t="s">
        <v>1298</v>
      </c>
      <c r="B1289" s="2">
        <v>46275</v>
      </c>
      <c r="C1289" t="s">
        <v>2940</v>
      </c>
      <c r="D1289" t="s">
        <v>2949</v>
      </c>
      <c r="E1289" t="s">
        <v>3036</v>
      </c>
      <c r="F1289" s="3">
        <v>46275.370394507612</v>
      </c>
      <c r="G1289" s="3">
        <v>46275.371698663097</v>
      </c>
      <c r="H1289">
        <v>1.88</v>
      </c>
      <c r="I1289" t="s">
        <v>3149</v>
      </c>
      <c r="J1289" t="s">
        <v>3168</v>
      </c>
      <c r="K1289" t="s">
        <v>3182</v>
      </c>
      <c r="L1289" t="str">
        <f>_xlfn.XLOOKUP(C1289,[1]!Table1[Shift_ID],[1]!Table1[Shift_ID])</f>
        <v>S01</v>
      </c>
      <c r="M1289" t="str">
        <f>_xlfn.XLOOKUP(D1289,[2]!Table1[Machine_ID],[2]!Table1[Machine_ID])</f>
        <v>M008</v>
      </c>
      <c r="N1289" t="str">
        <f>_xlfn.XLOOKUP(E1289,[3]Sheet1!$A$2:$A$391,[3]Sheet1!$A$2:$A$391)</f>
        <v>PO10086</v>
      </c>
    </row>
    <row r="1290" spans="1:14" x14ac:dyDescent="0.2">
      <c r="A1290" t="s">
        <v>1299</v>
      </c>
      <c r="B1290" s="2">
        <v>46275</v>
      </c>
      <c r="C1290" t="s">
        <v>2940</v>
      </c>
      <c r="D1290" t="s">
        <v>2949</v>
      </c>
      <c r="E1290" t="s">
        <v>3036</v>
      </c>
      <c r="F1290" s="3">
        <v>46275.387628145487</v>
      </c>
      <c r="G1290" s="3">
        <v>46275.388932300972</v>
      </c>
      <c r="H1290">
        <v>1.88</v>
      </c>
      <c r="I1290" t="s">
        <v>3148</v>
      </c>
      <c r="J1290" t="s">
        <v>3155</v>
      </c>
      <c r="K1290" t="s">
        <v>3180</v>
      </c>
      <c r="L1290" t="str">
        <f>_xlfn.XLOOKUP(C1290,[1]!Table1[Shift_ID],[1]!Table1[Shift_ID])</f>
        <v>S01</v>
      </c>
      <c r="M1290" t="str">
        <f>_xlfn.XLOOKUP(D1290,[2]!Table1[Machine_ID],[2]!Table1[Machine_ID])</f>
        <v>M008</v>
      </c>
      <c r="N1290" t="str">
        <f>_xlfn.XLOOKUP(E1290,[3]Sheet1!$A$2:$A$391,[3]Sheet1!$A$2:$A$391)</f>
        <v>PO10086</v>
      </c>
    </row>
    <row r="1291" spans="1:14" x14ac:dyDescent="0.2">
      <c r="A1291" t="s">
        <v>1300</v>
      </c>
      <c r="B1291" s="2">
        <v>46275</v>
      </c>
      <c r="C1291" t="s">
        <v>2940</v>
      </c>
      <c r="D1291" t="s">
        <v>2949</v>
      </c>
      <c r="E1291" t="s">
        <v>3036</v>
      </c>
      <c r="F1291" s="3">
        <v>46275.457597451947</v>
      </c>
      <c r="G1291" s="3">
        <v>46275.458901607453</v>
      </c>
      <c r="H1291">
        <v>1.88</v>
      </c>
      <c r="I1291" t="s">
        <v>3147</v>
      </c>
      <c r="J1291" t="s">
        <v>3154</v>
      </c>
      <c r="K1291" t="s">
        <v>3186</v>
      </c>
      <c r="L1291" t="str">
        <f>_xlfn.XLOOKUP(C1291,[1]!Table1[Shift_ID],[1]!Table1[Shift_ID])</f>
        <v>S01</v>
      </c>
      <c r="M1291" t="str">
        <f>_xlfn.XLOOKUP(D1291,[2]!Table1[Machine_ID],[2]!Table1[Machine_ID])</f>
        <v>M008</v>
      </c>
      <c r="N1291" t="str">
        <f>_xlfn.XLOOKUP(E1291,[3]Sheet1!$A$2:$A$391,[3]Sheet1!$A$2:$A$391)</f>
        <v>PO10086</v>
      </c>
    </row>
    <row r="1292" spans="1:14" x14ac:dyDescent="0.2">
      <c r="A1292" t="s">
        <v>1301</v>
      </c>
      <c r="B1292" s="2">
        <v>46275</v>
      </c>
      <c r="C1292" t="s">
        <v>2940</v>
      </c>
      <c r="D1292" t="s">
        <v>2949</v>
      </c>
      <c r="E1292" t="s">
        <v>3036</v>
      </c>
      <c r="F1292" s="3">
        <v>46275.503846548047</v>
      </c>
      <c r="G1292" s="3">
        <v>46275.505875876508</v>
      </c>
      <c r="H1292">
        <v>2.92</v>
      </c>
      <c r="I1292" t="s">
        <v>3149</v>
      </c>
      <c r="J1292" t="s">
        <v>3168</v>
      </c>
      <c r="K1292" t="s">
        <v>3184</v>
      </c>
      <c r="L1292" t="str">
        <f>_xlfn.XLOOKUP(C1292,[1]!Table1[Shift_ID],[1]!Table1[Shift_ID])</f>
        <v>S01</v>
      </c>
      <c r="M1292" t="str">
        <f>_xlfn.XLOOKUP(D1292,[2]!Table1[Machine_ID],[2]!Table1[Machine_ID])</f>
        <v>M008</v>
      </c>
      <c r="N1292" t="str">
        <f>_xlfn.XLOOKUP(E1292,[3]Sheet1!$A$2:$A$391,[3]Sheet1!$A$2:$A$391)</f>
        <v>PO10086</v>
      </c>
    </row>
    <row r="1293" spans="1:14" x14ac:dyDescent="0.2">
      <c r="A1293" t="s">
        <v>1302</v>
      </c>
      <c r="B1293" s="2">
        <v>46275</v>
      </c>
      <c r="C1293" t="s">
        <v>2941</v>
      </c>
      <c r="D1293" t="s">
        <v>2942</v>
      </c>
      <c r="E1293" t="s">
        <v>3037</v>
      </c>
      <c r="F1293" s="3">
        <v>46275.668479778309</v>
      </c>
      <c r="G1293" s="3">
        <v>46275.674356061943</v>
      </c>
      <c r="H1293">
        <v>8.4600000000000009</v>
      </c>
      <c r="I1293" t="s">
        <v>3151</v>
      </c>
      <c r="J1293" t="s">
        <v>3170</v>
      </c>
      <c r="K1293" t="s">
        <v>3181</v>
      </c>
      <c r="L1293" t="str">
        <f>_xlfn.XLOOKUP(C1293,[1]!Table1[Shift_ID],[1]!Table1[Shift_ID])</f>
        <v>S02</v>
      </c>
      <c r="M1293" t="str">
        <f>_xlfn.XLOOKUP(D1293,[2]!Table1[Machine_ID],[2]!Table1[Machine_ID])</f>
        <v>M001</v>
      </c>
      <c r="N1293" t="str">
        <f>_xlfn.XLOOKUP(E1293,[3]Sheet1!$A$2:$A$391,[3]Sheet1!$A$2:$A$391)</f>
        <v>PO10087</v>
      </c>
    </row>
    <row r="1294" spans="1:14" x14ac:dyDescent="0.2">
      <c r="A1294" t="s">
        <v>1303</v>
      </c>
      <c r="B1294" s="2">
        <v>46275</v>
      </c>
      <c r="C1294" t="s">
        <v>2941</v>
      </c>
      <c r="D1294" t="s">
        <v>2942</v>
      </c>
      <c r="E1294" t="s">
        <v>3037</v>
      </c>
      <c r="F1294" s="3">
        <v>46275.734950438557</v>
      </c>
      <c r="G1294" s="3">
        <v>46275.736582766011</v>
      </c>
      <c r="H1294">
        <v>2.35</v>
      </c>
      <c r="I1294" t="s">
        <v>3146</v>
      </c>
      <c r="J1294" t="s">
        <v>3157</v>
      </c>
      <c r="K1294" t="s">
        <v>3175</v>
      </c>
      <c r="L1294" t="str">
        <f>_xlfn.XLOOKUP(C1294,[1]!Table1[Shift_ID],[1]!Table1[Shift_ID])</f>
        <v>S02</v>
      </c>
      <c r="M1294" t="str">
        <f>_xlfn.XLOOKUP(D1294,[2]!Table1[Machine_ID],[2]!Table1[Machine_ID])</f>
        <v>M001</v>
      </c>
      <c r="N1294" t="str">
        <f>_xlfn.XLOOKUP(E1294,[3]Sheet1!$A$2:$A$391,[3]Sheet1!$A$2:$A$391)</f>
        <v>PO10087</v>
      </c>
    </row>
    <row r="1295" spans="1:14" x14ac:dyDescent="0.2">
      <c r="A1295" t="s">
        <v>1304</v>
      </c>
      <c r="B1295" s="2">
        <v>46275</v>
      </c>
      <c r="C1295" t="s">
        <v>2941</v>
      </c>
      <c r="D1295" t="s">
        <v>2943</v>
      </c>
      <c r="E1295" t="s">
        <v>3037</v>
      </c>
      <c r="F1295" s="3">
        <v>46275.804452925942</v>
      </c>
      <c r="G1295" s="3">
        <v>46275.806356613153</v>
      </c>
      <c r="H1295">
        <v>2.74</v>
      </c>
      <c r="I1295" t="s">
        <v>3147</v>
      </c>
      <c r="J1295" t="s">
        <v>3167</v>
      </c>
      <c r="K1295" t="s">
        <v>3186</v>
      </c>
      <c r="L1295" t="str">
        <f>_xlfn.XLOOKUP(C1295,[1]!Table1[Shift_ID],[1]!Table1[Shift_ID])</f>
        <v>S02</v>
      </c>
      <c r="M1295" t="str">
        <f>_xlfn.XLOOKUP(D1295,[2]!Table1[Machine_ID],[2]!Table1[Machine_ID])</f>
        <v>M002</v>
      </c>
      <c r="N1295" t="str">
        <f>_xlfn.XLOOKUP(E1295,[3]Sheet1!$A$2:$A$391,[3]Sheet1!$A$2:$A$391)</f>
        <v>PO10087</v>
      </c>
    </row>
    <row r="1296" spans="1:14" x14ac:dyDescent="0.2">
      <c r="A1296" t="s">
        <v>1305</v>
      </c>
      <c r="B1296" s="2">
        <v>46275</v>
      </c>
      <c r="C1296" t="s">
        <v>2941</v>
      </c>
      <c r="D1296" t="s">
        <v>2943</v>
      </c>
      <c r="E1296" t="s">
        <v>3037</v>
      </c>
      <c r="F1296" s="3">
        <v>46275.874644417949</v>
      </c>
      <c r="G1296" s="3">
        <v>46275.883269112492</v>
      </c>
      <c r="H1296">
        <v>12.42</v>
      </c>
      <c r="I1296" t="s">
        <v>3151</v>
      </c>
      <c r="J1296" t="s">
        <v>3169</v>
      </c>
      <c r="K1296" t="s">
        <v>3188</v>
      </c>
      <c r="L1296" t="str">
        <f>_xlfn.XLOOKUP(C1296,[1]!Table1[Shift_ID],[1]!Table1[Shift_ID])</f>
        <v>S02</v>
      </c>
      <c r="M1296" t="str">
        <f>_xlfn.XLOOKUP(D1296,[2]!Table1[Machine_ID],[2]!Table1[Machine_ID])</f>
        <v>M002</v>
      </c>
      <c r="N1296" t="str">
        <f>_xlfn.XLOOKUP(E1296,[3]Sheet1!$A$2:$A$391,[3]Sheet1!$A$2:$A$391)</f>
        <v>PO10087</v>
      </c>
    </row>
    <row r="1297" spans="1:14" x14ac:dyDescent="0.2">
      <c r="A1297" t="s">
        <v>1306</v>
      </c>
      <c r="B1297" s="2">
        <v>46275</v>
      </c>
      <c r="C1297" t="s">
        <v>2941</v>
      </c>
      <c r="D1297" t="s">
        <v>2944</v>
      </c>
      <c r="E1297" t="s">
        <v>3037</v>
      </c>
      <c r="F1297" s="3">
        <v>46275.667789274929</v>
      </c>
      <c r="G1297" s="3">
        <v>46275.673472870003</v>
      </c>
      <c r="H1297">
        <v>8.18</v>
      </c>
      <c r="I1297" t="s">
        <v>3151</v>
      </c>
      <c r="J1297" t="s">
        <v>3170</v>
      </c>
      <c r="K1297" t="s">
        <v>3181</v>
      </c>
      <c r="L1297" t="str">
        <f>_xlfn.XLOOKUP(C1297,[1]!Table1[Shift_ID],[1]!Table1[Shift_ID])</f>
        <v>S02</v>
      </c>
      <c r="M1297" t="str">
        <f>_xlfn.XLOOKUP(D1297,[2]!Table1[Machine_ID],[2]!Table1[Machine_ID])</f>
        <v>M003</v>
      </c>
      <c r="N1297" t="str">
        <f>_xlfn.XLOOKUP(E1297,[3]Sheet1!$A$2:$A$391,[3]Sheet1!$A$2:$A$391)</f>
        <v>PO10087</v>
      </c>
    </row>
    <row r="1298" spans="1:14" x14ac:dyDescent="0.2">
      <c r="A1298" t="s">
        <v>1307</v>
      </c>
      <c r="B1298" s="2">
        <v>46275</v>
      </c>
      <c r="C1298" t="s">
        <v>2941</v>
      </c>
      <c r="D1298" t="s">
        <v>2944</v>
      </c>
      <c r="E1298" t="s">
        <v>3037</v>
      </c>
      <c r="F1298" s="3">
        <v>46275.806405025338</v>
      </c>
      <c r="G1298" s="3">
        <v>46275.810305307903</v>
      </c>
      <c r="H1298">
        <v>5.62</v>
      </c>
      <c r="I1298" t="s">
        <v>3147</v>
      </c>
      <c r="J1298" t="s">
        <v>3153</v>
      </c>
      <c r="K1298" t="s">
        <v>3185</v>
      </c>
      <c r="L1298" t="str">
        <f>_xlfn.XLOOKUP(C1298,[1]!Table1[Shift_ID],[1]!Table1[Shift_ID])</f>
        <v>S02</v>
      </c>
      <c r="M1298" t="str">
        <f>_xlfn.XLOOKUP(D1298,[2]!Table1[Machine_ID],[2]!Table1[Machine_ID])</f>
        <v>M003</v>
      </c>
      <c r="N1298" t="str">
        <f>_xlfn.XLOOKUP(E1298,[3]Sheet1!$A$2:$A$391,[3]Sheet1!$A$2:$A$391)</f>
        <v>PO10087</v>
      </c>
    </row>
    <row r="1299" spans="1:14" x14ac:dyDescent="0.2">
      <c r="A1299" t="s">
        <v>1308</v>
      </c>
      <c r="B1299" s="2">
        <v>46275</v>
      </c>
      <c r="C1299" t="s">
        <v>2941</v>
      </c>
      <c r="D1299" t="s">
        <v>2945</v>
      </c>
      <c r="E1299" t="s">
        <v>3037</v>
      </c>
      <c r="F1299" s="3">
        <v>46275.763073168819</v>
      </c>
      <c r="G1299" s="3">
        <v>46275.770847685133</v>
      </c>
      <c r="H1299">
        <v>11.2</v>
      </c>
      <c r="I1299" t="s">
        <v>3149</v>
      </c>
      <c r="J1299" t="s">
        <v>3162</v>
      </c>
      <c r="K1299" t="s">
        <v>3176</v>
      </c>
      <c r="L1299" t="str">
        <f>_xlfn.XLOOKUP(C1299,[1]!Table1[Shift_ID],[1]!Table1[Shift_ID])</f>
        <v>S02</v>
      </c>
      <c r="M1299" t="str">
        <f>_xlfn.XLOOKUP(D1299,[2]!Table1[Machine_ID],[2]!Table1[Machine_ID])</f>
        <v>M004</v>
      </c>
      <c r="N1299" t="str">
        <f>_xlfn.XLOOKUP(E1299,[3]Sheet1!$A$2:$A$391,[3]Sheet1!$A$2:$A$391)</f>
        <v>PO10087</v>
      </c>
    </row>
    <row r="1300" spans="1:14" x14ac:dyDescent="0.2">
      <c r="A1300" t="s">
        <v>1309</v>
      </c>
      <c r="B1300" s="2">
        <v>46275</v>
      </c>
      <c r="C1300" t="s">
        <v>2941</v>
      </c>
      <c r="D1300" t="s">
        <v>2945</v>
      </c>
      <c r="E1300" t="s">
        <v>3037</v>
      </c>
      <c r="F1300" s="3">
        <v>46275.772182721557</v>
      </c>
      <c r="G1300" s="3">
        <v>46275.77394494594</v>
      </c>
      <c r="H1300">
        <v>2.54</v>
      </c>
      <c r="I1300" t="s">
        <v>3147</v>
      </c>
      <c r="J1300" t="s">
        <v>3154</v>
      </c>
      <c r="K1300" t="s">
        <v>3186</v>
      </c>
      <c r="L1300" t="str">
        <f>_xlfn.XLOOKUP(C1300,[1]!Table1[Shift_ID],[1]!Table1[Shift_ID])</f>
        <v>S02</v>
      </c>
      <c r="M1300" t="str">
        <f>_xlfn.XLOOKUP(D1300,[2]!Table1[Machine_ID],[2]!Table1[Machine_ID])</f>
        <v>M004</v>
      </c>
      <c r="N1300" t="str">
        <f>_xlfn.XLOOKUP(E1300,[3]Sheet1!$A$2:$A$391,[3]Sheet1!$A$2:$A$391)</f>
        <v>PO10087</v>
      </c>
    </row>
    <row r="1301" spans="1:14" x14ac:dyDescent="0.2">
      <c r="A1301" t="s">
        <v>1310</v>
      </c>
      <c r="B1301" s="2">
        <v>46275</v>
      </c>
      <c r="C1301" t="s">
        <v>2941</v>
      </c>
      <c r="D1301" t="s">
        <v>2946</v>
      </c>
      <c r="E1301" t="s">
        <v>3037</v>
      </c>
      <c r="F1301" s="3">
        <v>46275.607253893642</v>
      </c>
      <c r="G1301" s="3">
        <v>46275.610664685693</v>
      </c>
      <c r="H1301">
        <v>4.91</v>
      </c>
      <c r="I1301" t="s">
        <v>3150</v>
      </c>
      <c r="J1301" t="s">
        <v>3166</v>
      </c>
      <c r="K1301" t="s">
        <v>3179</v>
      </c>
      <c r="L1301" t="str">
        <f>_xlfn.XLOOKUP(C1301,[1]!Table1[Shift_ID],[1]!Table1[Shift_ID])</f>
        <v>S02</v>
      </c>
      <c r="M1301" t="str">
        <f>_xlfn.XLOOKUP(D1301,[2]!Table1[Machine_ID],[2]!Table1[Machine_ID])</f>
        <v>M005</v>
      </c>
      <c r="N1301" t="str">
        <f>_xlfn.XLOOKUP(E1301,[3]Sheet1!$A$2:$A$391,[3]Sheet1!$A$2:$A$391)</f>
        <v>PO10087</v>
      </c>
    </row>
    <row r="1302" spans="1:14" x14ac:dyDescent="0.2">
      <c r="A1302" t="s">
        <v>1311</v>
      </c>
      <c r="B1302" s="2">
        <v>46275</v>
      </c>
      <c r="C1302" t="s">
        <v>2941</v>
      </c>
      <c r="D1302" t="s">
        <v>2946</v>
      </c>
      <c r="E1302" t="s">
        <v>3037</v>
      </c>
      <c r="F1302" s="3">
        <v>46275.674925678992</v>
      </c>
      <c r="G1302" s="3">
        <v>46275.680338776066</v>
      </c>
      <c r="H1302">
        <v>7.79</v>
      </c>
      <c r="I1302" t="s">
        <v>3150</v>
      </c>
      <c r="J1302" t="s">
        <v>3160</v>
      </c>
      <c r="K1302" t="s">
        <v>3178</v>
      </c>
      <c r="L1302" t="str">
        <f>_xlfn.XLOOKUP(C1302,[1]!Table1[Shift_ID],[1]!Table1[Shift_ID])</f>
        <v>S02</v>
      </c>
      <c r="M1302" t="str">
        <f>_xlfn.XLOOKUP(D1302,[2]!Table1[Machine_ID],[2]!Table1[Machine_ID])</f>
        <v>M005</v>
      </c>
      <c r="N1302" t="str">
        <f>_xlfn.XLOOKUP(E1302,[3]Sheet1!$A$2:$A$391,[3]Sheet1!$A$2:$A$391)</f>
        <v>PO10087</v>
      </c>
    </row>
    <row r="1303" spans="1:14" x14ac:dyDescent="0.2">
      <c r="A1303" t="s">
        <v>1312</v>
      </c>
      <c r="B1303" s="2">
        <v>46275</v>
      </c>
      <c r="C1303" t="s">
        <v>2941</v>
      </c>
      <c r="D1303" t="s">
        <v>2947</v>
      </c>
      <c r="E1303" t="s">
        <v>3037</v>
      </c>
      <c r="F1303" s="3">
        <v>46275.619578740101</v>
      </c>
      <c r="G1303" s="3">
        <v>46275.624863122393</v>
      </c>
      <c r="H1303">
        <v>7.61</v>
      </c>
      <c r="I1303" t="s">
        <v>3146</v>
      </c>
      <c r="J1303" t="s">
        <v>3156</v>
      </c>
      <c r="K1303" t="s">
        <v>3171</v>
      </c>
      <c r="L1303" t="str">
        <f>_xlfn.XLOOKUP(C1303,[1]!Table1[Shift_ID],[1]!Table1[Shift_ID])</f>
        <v>S02</v>
      </c>
      <c r="M1303" t="str">
        <f>_xlfn.XLOOKUP(D1303,[2]!Table1[Machine_ID],[2]!Table1[Machine_ID])</f>
        <v>M006</v>
      </c>
      <c r="N1303" t="str">
        <f>_xlfn.XLOOKUP(E1303,[3]Sheet1!$A$2:$A$391,[3]Sheet1!$A$2:$A$391)</f>
        <v>PO10087</v>
      </c>
    </row>
    <row r="1304" spans="1:14" x14ac:dyDescent="0.2">
      <c r="A1304" t="s">
        <v>1313</v>
      </c>
      <c r="B1304" s="2">
        <v>46275</v>
      </c>
      <c r="C1304" t="s">
        <v>2941</v>
      </c>
      <c r="D1304" t="s">
        <v>2947</v>
      </c>
      <c r="E1304" t="s">
        <v>3037</v>
      </c>
      <c r="F1304" s="3">
        <v>46275.719830229631</v>
      </c>
      <c r="G1304" s="3">
        <v>46275.738298390686</v>
      </c>
      <c r="H1304">
        <v>26.59</v>
      </c>
      <c r="I1304" t="s">
        <v>3147</v>
      </c>
      <c r="J1304" t="s">
        <v>3153</v>
      </c>
      <c r="K1304" t="s">
        <v>3186</v>
      </c>
      <c r="L1304" t="str">
        <f>_xlfn.XLOOKUP(C1304,[1]!Table1[Shift_ID],[1]!Table1[Shift_ID])</f>
        <v>S02</v>
      </c>
      <c r="M1304" t="str">
        <f>_xlfn.XLOOKUP(D1304,[2]!Table1[Machine_ID],[2]!Table1[Machine_ID])</f>
        <v>M006</v>
      </c>
      <c r="N1304" t="str">
        <f>_xlfn.XLOOKUP(E1304,[3]Sheet1!$A$2:$A$391,[3]Sheet1!$A$2:$A$391)</f>
        <v>PO10087</v>
      </c>
    </row>
    <row r="1305" spans="1:14" x14ac:dyDescent="0.2">
      <c r="A1305" t="s">
        <v>1314</v>
      </c>
      <c r="B1305" s="2">
        <v>46275</v>
      </c>
      <c r="C1305" t="s">
        <v>2941</v>
      </c>
      <c r="D1305" t="s">
        <v>2947</v>
      </c>
      <c r="E1305" t="s">
        <v>3037</v>
      </c>
      <c r="F1305" s="3">
        <v>46275.743586526027</v>
      </c>
      <c r="G1305" s="3">
        <v>46275.745645168943</v>
      </c>
      <c r="H1305">
        <v>2.96</v>
      </c>
      <c r="I1305" t="s">
        <v>3150</v>
      </c>
      <c r="J1305" t="s">
        <v>3166</v>
      </c>
      <c r="K1305" t="s">
        <v>3177</v>
      </c>
      <c r="L1305" t="str">
        <f>_xlfn.XLOOKUP(C1305,[1]!Table1[Shift_ID],[1]!Table1[Shift_ID])</f>
        <v>S02</v>
      </c>
      <c r="M1305" t="str">
        <f>_xlfn.XLOOKUP(D1305,[2]!Table1[Machine_ID],[2]!Table1[Machine_ID])</f>
        <v>M006</v>
      </c>
      <c r="N1305" t="str">
        <f>_xlfn.XLOOKUP(E1305,[3]Sheet1!$A$2:$A$391,[3]Sheet1!$A$2:$A$391)</f>
        <v>PO10087</v>
      </c>
    </row>
    <row r="1306" spans="1:14" x14ac:dyDescent="0.2">
      <c r="A1306" t="s">
        <v>1315</v>
      </c>
      <c r="B1306" s="2">
        <v>46275</v>
      </c>
      <c r="C1306" t="s">
        <v>2941</v>
      </c>
      <c r="D1306" t="s">
        <v>2947</v>
      </c>
      <c r="E1306" t="s">
        <v>3037</v>
      </c>
      <c r="F1306" s="3">
        <v>46275.896421825557</v>
      </c>
      <c r="G1306" s="3">
        <v>46275.900709632013</v>
      </c>
      <c r="H1306">
        <v>6.17</v>
      </c>
      <c r="I1306" t="s">
        <v>3149</v>
      </c>
      <c r="J1306" t="s">
        <v>3162</v>
      </c>
      <c r="K1306" t="s">
        <v>3176</v>
      </c>
      <c r="L1306" t="str">
        <f>_xlfn.XLOOKUP(C1306,[1]!Table1[Shift_ID],[1]!Table1[Shift_ID])</f>
        <v>S02</v>
      </c>
      <c r="M1306" t="str">
        <f>_xlfn.XLOOKUP(D1306,[2]!Table1[Machine_ID],[2]!Table1[Machine_ID])</f>
        <v>M006</v>
      </c>
      <c r="N1306" t="str">
        <f>_xlfn.XLOOKUP(E1306,[3]Sheet1!$A$2:$A$391,[3]Sheet1!$A$2:$A$391)</f>
        <v>PO10087</v>
      </c>
    </row>
    <row r="1307" spans="1:14" x14ac:dyDescent="0.2">
      <c r="A1307" t="s">
        <v>1316</v>
      </c>
      <c r="B1307" s="2">
        <v>46275</v>
      </c>
      <c r="C1307" t="s">
        <v>2941</v>
      </c>
      <c r="D1307" t="s">
        <v>2948</v>
      </c>
      <c r="E1307" t="s">
        <v>3037</v>
      </c>
      <c r="F1307" s="3">
        <v>46275.678877113773</v>
      </c>
      <c r="G1307" s="3">
        <v>46275.683844009232</v>
      </c>
      <c r="H1307">
        <v>7.15</v>
      </c>
      <c r="I1307" t="s">
        <v>3150</v>
      </c>
      <c r="J1307" t="s">
        <v>3160</v>
      </c>
      <c r="K1307" t="s">
        <v>3177</v>
      </c>
      <c r="L1307" t="str">
        <f>_xlfn.XLOOKUP(C1307,[1]!Table1[Shift_ID],[1]!Table1[Shift_ID])</f>
        <v>S02</v>
      </c>
      <c r="M1307" t="str">
        <f>_xlfn.XLOOKUP(D1307,[2]!Table1[Machine_ID],[2]!Table1[Machine_ID])</f>
        <v>M007</v>
      </c>
      <c r="N1307" t="str">
        <f>_xlfn.XLOOKUP(E1307,[3]Sheet1!$A$2:$A$391,[3]Sheet1!$A$2:$A$391)</f>
        <v>PO10087</v>
      </c>
    </row>
    <row r="1308" spans="1:14" x14ac:dyDescent="0.2">
      <c r="A1308" t="s">
        <v>1317</v>
      </c>
      <c r="B1308" s="2">
        <v>46275</v>
      </c>
      <c r="C1308" t="s">
        <v>2941</v>
      </c>
      <c r="D1308" t="s">
        <v>2948</v>
      </c>
      <c r="E1308" t="s">
        <v>3037</v>
      </c>
      <c r="F1308" s="3">
        <v>46275.697148803964</v>
      </c>
      <c r="G1308" s="3">
        <v>46275.699068285903</v>
      </c>
      <c r="H1308">
        <v>2.76</v>
      </c>
      <c r="I1308" t="s">
        <v>3148</v>
      </c>
      <c r="J1308" t="s">
        <v>3165</v>
      </c>
      <c r="K1308" t="s">
        <v>3183</v>
      </c>
      <c r="L1308" t="str">
        <f>_xlfn.XLOOKUP(C1308,[1]!Table1[Shift_ID],[1]!Table1[Shift_ID])</f>
        <v>S02</v>
      </c>
      <c r="M1308" t="str">
        <f>_xlfn.XLOOKUP(D1308,[2]!Table1[Machine_ID],[2]!Table1[Machine_ID])</f>
        <v>M007</v>
      </c>
      <c r="N1308" t="str">
        <f>_xlfn.XLOOKUP(E1308,[3]Sheet1!$A$2:$A$391,[3]Sheet1!$A$2:$A$391)</f>
        <v>PO10087</v>
      </c>
    </row>
    <row r="1309" spans="1:14" x14ac:dyDescent="0.2">
      <c r="A1309" t="s">
        <v>1318</v>
      </c>
      <c r="B1309" s="2">
        <v>46275</v>
      </c>
      <c r="C1309" t="s">
        <v>2941</v>
      </c>
      <c r="D1309" t="s">
        <v>2948</v>
      </c>
      <c r="E1309" t="s">
        <v>3037</v>
      </c>
      <c r="F1309" s="3">
        <v>46275.74647002406</v>
      </c>
      <c r="G1309" s="3">
        <v>46275.753775315679</v>
      </c>
      <c r="H1309">
        <v>10.52</v>
      </c>
      <c r="I1309" t="s">
        <v>3150</v>
      </c>
      <c r="J1309" t="s">
        <v>3159</v>
      </c>
      <c r="K1309" t="s">
        <v>3177</v>
      </c>
      <c r="L1309" t="str">
        <f>_xlfn.XLOOKUP(C1309,[1]!Table1[Shift_ID],[1]!Table1[Shift_ID])</f>
        <v>S02</v>
      </c>
      <c r="M1309" t="str">
        <f>_xlfn.XLOOKUP(D1309,[2]!Table1[Machine_ID],[2]!Table1[Machine_ID])</f>
        <v>M007</v>
      </c>
      <c r="N1309" t="str">
        <f>_xlfn.XLOOKUP(E1309,[3]Sheet1!$A$2:$A$391,[3]Sheet1!$A$2:$A$391)</f>
        <v>PO10087</v>
      </c>
    </row>
    <row r="1310" spans="1:14" x14ac:dyDescent="0.2">
      <c r="A1310" t="s">
        <v>1319</v>
      </c>
      <c r="B1310" s="2">
        <v>46275</v>
      </c>
      <c r="C1310" t="s">
        <v>2941</v>
      </c>
      <c r="D1310" t="s">
        <v>2948</v>
      </c>
      <c r="E1310" t="s">
        <v>3037</v>
      </c>
      <c r="F1310" s="3">
        <v>46275.763550289063</v>
      </c>
      <c r="G1310" s="3">
        <v>46275.76546977101</v>
      </c>
      <c r="H1310">
        <v>2.76</v>
      </c>
      <c r="I1310" t="s">
        <v>3150</v>
      </c>
      <c r="J1310" t="s">
        <v>3166</v>
      </c>
      <c r="K1310" t="s">
        <v>3178</v>
      </c>
      <c r="L1310" t="str">
        <f>_xlfn.XLOOKUP(C1310,[1]!Table1[Shift_ID],[1]!Table1[Shift_ID])</f>
        <v>S02</v>
      </c>
      <c r="M1310" t="str">
        <f>_xlfn.XLOOKUP(D1310,[2]!Table1[Machine_ID],[2]!Table1[Machine_ID])</f>
        <v>M007</v>
      </c>
      <c r="N1310" t="str">
        <f>_xlfn.XLOOKUP(E1310,[3]Sheet1!$A$2:$A$391,[3]Sheet1!$A$2:$A$391)</f>
        <v>PO10087</v>
      </c>
    </row>
    <row r="1311" spans="1:14" x14ac:dyDescent="0.2">
      <c r="A1311" t="s">
        <v>1320</v>
      </c>
      <c r="B1311" s="2">
        <v>46275</v>
      </c>
      <c r="C1311" t="s">
        <v>2941</v>
      </c>
      <c r="D1311" t="s">
        <v>2948</v>
      </c>
      <c r="E1311" t="s">
        <v>3037</v>
      </c>
      <c r="F1311" s="3">
        <v>46275.832696084362</v>
      </c>
      <c r="G1311" s="3">
        <v>46275.834615566317</v>
      </c>
      <c r="H1311">
        <v>2.76</v>
      </c>
      <c r="I1311" t="s">
        <v>3150</v>
      </c>
      <c r="J1311" t="s">
        <v>3159</v>
      </c>
      <c r="K1311" t="s">
        <v>3179</v>
      </c>
      <c r="L1311" t="str">
        <f>_xlfn.XLOOKUP(C1311,[1]!Table1[Shift_ID],[1]!Table1[Shift_ID])</f>
        <v>S02</v>
      </c>
      <c r="M1311" t="str">
        <f>_xlfn.XLOOKUP(D1311,[2]!Table1[Machine_ID],[2]!Table1[Machine_ID])</f>
        <v>M007</v>
      </c>
      <c r="N1311" t="str">
        <f>_xlfn.XLOOKUP(E1311,[3]Sheet1!$A$2:$A$391,[3]Sheet1!$A$2:$A$391)</f>
        <v>PO10087</v>
      </c>
    </row>
    <row r="1312" spans="1:14" x14ac:dyDescent="0.2">
      <c r="A1312" t="s">
        <v>1321</v>
      </c>
      <c r="B1312" s="2">
        <v>46275</v>
      </c>
      <c r="C1312" t="s">
        <v>2941</v>
      </c>
      <c r="D1312" t="s">
        <v>2949</v>
      </c>
      <c r="E1312" t="s">
        <v>3037</v>
      </c>
      <c r="F1312" s="3">
        <v>46275.788729629443</v>
      </c>
      <c r="G1312" s="3">
        <v>46275.791165169663</v>
      </c>
      <c r="H1312">
        <v>3.51</v>
      </c>
      <c r="I1312" t="s">
        <v>3148</v>
      </c>
      <c r="J1312" t="s">
        <v>3164</v>
      </c>
      <c r="K1312" t="s">
        <v>3180</v>
      </c>
      <c r="L1312" t="str">
        <f>_xlfn.XLOOKUP(C1312,[1]!Table1[Shift_ID],[1]!Table1[Shift_ID])</f>
        <v>S02</v>
      </c>
      <c r="M1312" t="str">
        <f>_xlfn.XLOOKUP(D1312,[2]!Table1[Machine_ID],[2]!Table1[Machine_ID])</f>
        <v>M008</v>
      </c>
      <c r="N1312" t="str">
        <f>_xlfn.XLOOKUP(E1312,[3]Sheet1!$A$2:$A$391,[3]Sheet1!$A$2:$A$391)</f>
        <v>PO10087</v>
      </c>
    </row>
    <row r="1313" spans="1:14" x14ac:dyDescent="0.2">
      <c r="A1313" t="s">
        <v>1322</v>
      </c>
      <c r="B1313" s="2">
        <v>46275</v>
      </c>
      <c r="C1313" t="s">
        <v>2941</v>
      </c>
      <c r="D1313" t="s">
        <v>2949</v>
      </c>
      <c r="E1313" t="s">
        <v>3037</v>
      </c>
      <c r="F1313" s="3">
        <v>46275.904730806047</v>
      </c>
      <c r="G1313" s="3">
        <v>46275.907542681518</v>
      </c>
      <c r="H1313">
        <v>4.05</v>
      </c>
      <c r="I1313" t="s">
        <v>3149</v>
      </c>
      <c r="J1313" t="s">
        <v>3162</v>
      </c>
      <c r="K1313" t="s">
        <v>3176</v>
      </c>
      <c r="L1313" t="str">
        <f>_xlfn.XLOOKUP(C1313,[1]!Table1[Shift_ID],[1]!Table1[Shift_ID])</f>
        <v>S02</v>
      </c>
      <c r="M1313" t="str">
        <f>_xlfn.XLOOKUP(D1313,[2]!Table1[Machine_ID],[2]!Table1[Machine_ID])</f>
        <v>M008</v>
      </c>
      <c r="N1313" t="str">
        <f>_xlfn.XLOOKUP(E1313,[3]Sheet1!$A$2:$A$391,[3]Sheet1!$A$2:$A$391)</f>
        <v>PO10087</v>
      </c>
    </row>
    <row r="1314" spans="1:14" x14ac:dyDescent="0.2">
      <c r="A1314" t="s">
        <v>1323</v>
      </c>
      <c r="B1314" s="2">
        <v>46276</v>
      </c>
      <c r="C1314" t="s">
        <v>2939</v>
      </c>
      <c r="D1314" t="s">
        <v>2942</v>
      </c>
      <c r="E1314" t="s">
        <v>3038</v>
      </c>
      <c r="F1314" s="3">
        <v>46276.950364437173</v>
      </c>
      <c r="G1314" s="3">
        <v>46276.956161565096</v>
      </c>
      <c r="H1314">
        <v>8.35</v>
      </c>
      <c r="I1314" t="s">
        <v>3150</v>
      </c>
      <c r="J1314" t="s">
        <v>3163</v>
      </c>
      <c r="K1314" t="s">
        <v>3178</v>
      </c>
      <c r="L1314" t="str">
        <f>_xlfn.XLOOKUP(C1314,[1]!Table1[Shift_ID],[1]!Table1[Shift_ID])</f>
        <v>S03</v>
      </c>
      <c r="M1314" t="str">
        <f>_xlfn.XLOOKUP(D1314,[2]!Table1[Machine_ID],[2]!Table1[Machine_ID])</f>
        <v>M001</v>
      </c>
      <c r="N1314" t="str">
        <f>_xlfn.XLOOKUP(E1314,[3]Sheet1!$A$2:$A$391,[3]Sheet1!$A$2:$A$391)</f>
        <v>PO10088</v>
      </c>
    </row>
    <row r="1315" spans="1:14" x14ac:dyDescent="0.2">
      <c r="A1315" t="s">
        <v>1324</v>
      </c>
      <c r="B1315" s="2">
        <v>46276</v>
      </c>
      <c r="C1315" t="s">
        <v>2939</v>
      </c>
      <c r="D1315" t="s">
        <v>2943</v>
      </c>
      <c r="E1315" t="s">
        <v>3038</v>
      </c>
      <c r="F1315" s="3">
        <v>46277.027067654853</v>
      </c>
      <c r="G1315" s="3">
        <v>46277.035136273233</v>
      </c>
      <c r="H1315">
        <v>11.62</v>
      </c>
      <c r="I1315" t="s">
        <v>3150</v>
      </c>
      <c r="J1315" t="s">
        <v>3166</v>
      </c>
      <c r="K1315" t="s">
        <v>3178</v>
      </c>
      <c r="L1315" t="str">
        <f>_xlfn.XLOOKUP(C1315,[1]!Table1[Shift_ID],[1]!Table1[Shift_ID])</f>
        <v>S03</v>
      </c>
      <c r="M1315" t="str">
        <f>_xlfn.XLOOKUP(D1315,[2]!Table1[Machine_ID],[2]!Table1[Machine_ID])</f>
        <v>M002</v>
      </c>
      <c r="N1315" t="str">
        <f>_xlfn.XLOOKUP(E1315,[3]Sheet1!$A$2:$A$391,[3]Sheet1!$A$2:$A$391)</f>
        <v>PO10088</v>
      </c>
    </row>
    <row r="1316" spans="1:14" x14ac:dyDescent="0.2">
      <c r="A1316" t="s">
        <v>1325</v>
      </c>
      <c r="B1316" s="2">
        <v>46276</v>
      </c>
      <c r="C1316" t="s">
        <v>2939</v>
      </c>
      <c r="D1316" t="s">
        <v>2944</v>
      </c>
      <c r="E1316" t="s">
        <v>3038</v>
      </c>
      <c r="F1316" s="3">
        <v>46277.124140790591</v>
      </c>
      <c r="G1316" s="3">
        <v>46277.13608162263</v>
      </c>
      <c r="H1316">
        <v>17.190000000000001</v>
      </c>
      <c r="I1316" t="s">
        <v>3147</v>
      </c>
      <c r="J1316" t="s">
        <v>3167</v>
      </c>
      <c r="K1316" t="s">
        <v>3186</v>
      </c>
      <c r="L1316" t="str">
        <f>_xlfn.XLOOKUP(C1316,[1]!Table1[Shift_ID],[1]!Table1[Shift_ID])</f>
        <v>S03</v>
      </c>
      <c r="M1316" t="str">
        <f>_xlfn.XLOOKUP(D1316,[2]!Table1[Machine_ID],[2]!Table1[Machine_ID])</f>
        <v>M003</v>
      </c>
      <c r="N1316" t="str">
        <f>_xlfn.XLOOKUP(E1316,[3]Sheet1!$A$2:$A$391,[3]Sheet1!$A$2:$A$391)</f>
        <v>PO10088</v>
      </c>
    </row>
    <row r="1317" spans="1:14" x14ac:dyDescent="0.2">
      <c r="A1317" t="s">
        <v>1326</v>
      </c>
      <c r="B1317" s="2">
        <v>46276</v>
      </c>
      <c r="C1317" t="s">
        <v>2939</v>
      </c>
      <c r="D1317" t="s">
        <v>2945</v>
      </c>
      <c r="E1317" t="s">
        <v>3038</v>
      </c>
      <c r="F1317" s="3">
        <v>46276.958768054777</v>
      </c>
      <c r="G1317" s="3">
        <v>46276.962084976127</v>
      </c>
      <c r="H1317">
        <v>4.78</v>
      </c>
      <c r="I1317" t="s">
        <v>3147</v>
      </c>
      <c r="J1317" t="s">
        <v>3154</v>
      </c>
      <c r="K1317" t="s">
        <v>3186</v>
      </c>
      <c r="L1317" t="str">
        <f>_xlfn.XLOOKUP(C1317,[1]!Table1[Shift_ID],[1]!Table1[Shift_ID])</f>
        <v>S03</v>
      </c>
      <c r="M1317" t="str">
        <f>_xlfn.XLOOKUP(D1317,[2]!Table1[Machine_ID],[2]!Table1[Machine_ID])</f>
        <v>M004</v>
      </c>
      <c r="N1317" t="str">
        <f>_xlfn.XLOOKUP(E1317,[3]Sheet1!$A$2:$A$391,[3]Sheet1!$A$2:$A$391)</f>
        <v>PO10088</v>
      </c>
    </row>
    <row r="1318" spans="1:14" x14ac:dyDescent="0.2">
      <c r="A1318" t="s">
        <v>1327</v>
      </c>
      <c r="B1318" s="2">
        <v>46276</v>
      </c>
      <c r="C1318" t="s">
        <v>2939</v>
      </c>
      <c r="D1318" t="s">
        <v>2945</v>
      </c>
      <c r="E1318" t="s">
        <v>3038</v>
      </c>
      <c r="F1318" s="3">
        <v>46276.979538470623</v>
      </c>
      <c r="G1318" s="3">
        <v>46276.985704516403</v>
      </c>
      <c r="H1318">
        <v>8.8800000000000008</v>
      </c>
      <c r="I1318" t="s">
        <v>3150</v>
      </c>
      <c r="J1318" t="s">
        <v>3166</v>
      </c>
      <c r="K1318" t="s">
        <v>3178</v>
      </c>
      <c r="L1318" t="str">
        <f>_xlfn.XLOOKUP(C1318,[1]!Table1[Shift_ID],[1]!Table1[Shift_ID])</f>
        <v>S03</v>
      </c>
      <c r="M1318" t="str">
        <f>_xlfn.XLOOKUP(D1318,[2]!Table1[Machine_ID],[2]!Table1[Machine_ID])</f>
        <v>M004</v>
      </c>
      <c r="N1318" t="str">
        <f>_xlfn.XLOOKUP(E1318,[3]Sheet1!$A$2:$A$391,[3]Sheet1!$A$2:$A$391)</f>
        <v>PO10088</v>
      </c>
    </row>
    <row r="1319" spans="1:14" x14ac:dyDescent="0.2">
      <c r="A1319" t="s">
        <v>1328</v>
      </c>
      <c r="B1319" s="2">
        <v>46276</v>
      </c>
      <c r="C1319" t="s">
        <v>2939</v>
      </c>
      <c r="D1319" t="s">
        <v>2946</v>
      </c>
      <c r="E1319" t="s">
        <v>3038</v>
      </c>
      <c r="F1319" s="3">
        <v>46277.133351288547</v>
      </c>
      <c r="G1319" s="3">
        <v>46277.140888587317</v>
      </c>
      <c r="H1319">
        <v>10.85</v>
      </c>
      <c r="I1319" t="s">
        <v>3147</v>
      </c>
      <c r="J1319" t="s">
        <v>3167</v>
      </c>
      <c r="K1319" t="s">
        <v>3185</v>
      </c>
      <c r="L1319" t="str">
        <f>_xlfn.XLOOKUP(C1319,[1]!Table1[Shift_ID],[1]!Table1[Shift_ID])</f>
        <v>S03</v>
      </c>
      <c r="M1319" t="str">
        <f>_xlfn.XLOOKUP(D1319,[2]!Table1[Machine_ID],[2]!Table1[Machine_ID])</f>
        <v>M005</v>
      </c>
      <c r="N1319" t="str">
        <f>_xlfn.XLOOKUP(E1319,[3]Sheet1!$A$2:$A$391,[3]Sheet1!$A$2:$A$391)</f>
        <v>PO10088</v>
      </c>
    </row>
    <row r="1320" spans="1:14" x14ac:dyDescent="0.2">
      <c r="A1320" t="s">
        <v>1329</v>
      </c>
      <c r="B1320" s="2">
        <v>46276</v>
      </c>
      <c r="C1320" t="s">
        <v>2939</v>
      </c>
      <c r="D1320" t="s">
        <v>2947</v>
      </c>
      <c r="E1320" t="s">
        <v>3038</v>
      </c>
      <c r="F1320" s="3">
        <v>46277.055914230048</v>
      </c>
      <c r="G1320" s="3">
        <v>46277.079433809668</v>
      </c>
      <c r="H1320">
        <v>33.869999999999997</v>
      </c>
      <c r="I1320" t="s">
        <v>3149</v>
      </c>
      <c r="J1320" t="s">
        <v>3158</v>
      </c>
      <c r="K1320" t="s">
        <v>3182</v>
      </c>
      <c r="L1320" t="str">
        <f>_xlfn.XLOOKUP(C1320,[1]!Table1[Shift_ID],[1]!Table1[Shift_ID])</f>
        <v>S03</v>
      </c>
      <c r="M1320" t="str">
        <f>_xlfn.XLOOKUP(D1320,[2]!Table1[Machine_ID],[2]!Table1[Machine_ID])</f>
        <v>M006</v>
      </c>
      <c r="N1320" t="str">
        <f>_xlfn.XLOOKUP(E1320,[3]Sheet1!$A$2:$A$391,[3]Sheet1!$A$2:$A$391)</f>
        <v>PO10088</v>
      </c>
    </row>
    <row r="1321" spans="1:14" x14ac:dyDescent="0.2">
      <c r="A1321" t="s">
        <v>1330</v>
      </c>
      <c r="B1321" s="2">
        <v>46276</v>
      </c>
      <c r="C1321" t="s">
        <v>2939</v>
      </c>
      <c r="D1321" t="s">
        <v>2948</v>
      </c>
      <c r="E1321" t="s">
        <v>3038</v>
      </c>
      <c r="F1321" s="3">
        <v>46276.961405900052</v>
      </c>
      <c r="G1321" s="3">
        <v>46276.978587447717</v>
      </c>
      <c r="H1321">
        <v>24.74</v>
      </c>
      <c r="I1321" t="s">
        <v>3147</v>
      </c>
      <c r="J1321" t="s">
        <v>3154</v>
      </c>
      <c r="K1321" t="s">
        <v>3186</v>
      </c>
      <c r="L1321" t="str">
        <f>_xlfn.XLOOKUP(C1321,[1]!Table1[Shift_ID],[1]!Table1[Shift_ID])</f>
        <v>S03</v>
      </c>
      <c r="M1321" t="str">
        <f>_xlfn.XLOOKUP(D1321,[2]!Table1[Machine_ID],[2]!Table1[Machine_ID])</f>
        <v>M007</v>
      </c>
      <c r="N1321" t="str">
        <f>_xlfn.XLOOKUP(E1321,[3]Sheet1!$A$2:$A$391,[3]Sheet1!$A$2:$A$391)</f>
        <v>PO10088</v>
      </c>
    </row>
    <row r="1322" spans="1:14" x14ac:dyDescent="0.2">
      <c r="A1322" t="s">
        <v>1331</v>
      </c>
      <c r="B1322" s="2">
        <v>46276</v>
      </c>
      <c r="C1322" t="s">
        <v>2939</v>
      </c>
      <c r="D1322" t="s">
        <v>2949</v>
      </c>
      <c r="E1322" t="s">
        <v>3038</v>
      </c>
      <c r="F1322" s="3">
        <v>46277.041828686553</v>
      </c>
      <c r="G1322" s="3">
        <v>46277.044049310847</v>
      </c>
      <c r="H1322">
        <v>3.2</v>
      </c>
      <c r="I1322" t="s">
        <v>3147</v>
      </c>
      <c r="J1322" t="s">
        <v>3154</v>
      </c>
      <c r="K1322" t="s">
        <v>3186</v>
      </c>
      <c r="L1322" t="str">
        <f>_xlfn.XLOOKUP(C1322,[1]!Table1[Shift_ID],[1]!Table1[Shift_ID])</f>
        <v>S03</v>
      </c>
      <c r="M1322" t="str">
        <f>_xlfn.XLOOKUP(D1322,[2]!Table1[Machine_ID],[2]!Table1[Machine_ID])</f>
        <v>M008</v>
      </c>
      <c r="N1322" t="str">
        <f>_xlfn.XLOOKUP(E1322,[3]Sheet1!$A$2:$A$391,[3]Sheet1!$A$2:$A$391)</f>
        <v>PO10088</v>
      </c>
    </row>
    <row r="1323" spans="1:14" x14ac:dyDescent="0.2">
      <c r="A1323" t="s">
        <v>1332</v>
      </c>
      <c r="B1323" s="2">
        <v>46276</v>
      </c>
      <c r="C1323" t="s">
        <v>2939</v>
      </c>
      <c r="D1323" t="s">
        <v>2949</v>
      </c>
      <c r="E1323" t="s">
        <v>3038</v>
      </c>
      <c r="F1323" s="3">
        <v>46277.165059999512</v>
      </c>
      <c r="G1323" s="3">
        <v>46277.16868169418</v>
      </c>
      <c r="H1323">
        <v>5.22</v>
      </c>
      <c r="I1323" t="s">
        <v>3148</v>
      </c>
      <c r="J1323" t="s">
        <v>3165</v>
      </c>
      <c r="K1323" t="s">
        <v>3173</v>
      </c>
      <c r="L1323" t="str">
        <f>_xlfn.XLOOKUP(C1323,[1]!Table1[Shift_ID],[1]!Table1[Shift_ID])</f>
        <v>S03</v>
      </c>
      <c r="M1323" t="str">
        <f>_xlfn.XLOOKUP(D1323,[2]!Table1[Machine_ID],[2]!Table1[Machine_ID])</f>
        <v>M008</v>
      </c>
      <c r="N1323" t="str">
        <f>_xlfn.XLOOKUP(E1323,[3]Sheet1!$A$2:$A$391,[3]Sheet1!$A$2:$A$391)</f>
        <v>PO10088</v>
      </c>
    </row>
    <row r="1324" spans="1:14" x14ac:dyDescent="0.2">
      <c r="A1324" t="s">
        <v>1333</v>
      </c>
      <c r="B1324" s="2">
        <v>46276</v>
      </c>
      <c r="C1324" t="s">
        <v>2940</v>
      </c>
      <c r="D1324" t="s">
        <v>2942</v>
      </c>
      <c r="E1324" t="s">
        <v>3039</v>
      </c>
      <c r="F1324" s="3">
        <v>46276.48047995691</v>
      </c>
      <c r="G1324" s="3">
        <v>46276.486624400473</v>
      </c>
      <c r="H1324">
        <v>8.85</v>
      </c>
      <c r="I1324" t="s">
        <v>3151</v>
      </c>
      <c r="J1324" t="s">
        <v>3169</v>
      </c>
      <c r="K1324" t="s">
        <v>3188</v>
      </c>
      <c r="L1324" t="str">
        <f>_xlfn.XLOOKUP(C1324,[1]!Table1[Shift_ID],[1]!Table1[Shift_ID])</f>
        <v>S01</v>
      </c>
      <c r="M1324" t="str">
        <f>_xlfn.XLOOKUP(D1324,[2]!Table1[Machine_ID],[2]!Table1[Machine_ID])</f>
        <v>M001</v>
      </c>
      <c r="N1324" t="str">
        <f>_xlfn.XLOOKUP(E1324,[3]Sheet1!$A$2:$A$391,[3]Sheet1!$A$2:$A$391)</f>
        <v>PO10089</v>
      </c>
    </row>
    <row r="1325" spans="1:14" x14ac:dyDescent="0.2">
      <c r="A1325" t="s">
        <v>1334</v>
      </c>
      <c r="B1325" s="2">
        <v>46276</v>
      </c>
      <c r="C1325" t="s">
        <v>2940</v>
      </c>
      <c r="D1325" t="s">
        <v>2943</v>
      </c>
      <c r="E1325" t="s">
        <v>3039</v>
      </c>
      <c r="F1325" s="3">
        <v>46276.558692110171</v>
      </c>
      <c r="G1325" s="3">
        <v>46276.565655171413</v>
      </c>
      <c r="H1325">
        <v>10.029999999999999</v>
      </c>
      <c r="I1325" t="s">
        <v>3150</v>
      </c>
      <c r="J1325" t="s">
        <v>3160</v>
      </c>
      <c r="K1325" t="s">
        <v>3177</v>
      </c>
      <c r="L1325" t="str">
        <f>_xlfn.XLOOKUP(C1325,[1]!Table1[Shift_ID],[1]!Table1[Shift_ID])</f>
        <v>S01</v>
      </c>
      <c r="M1325" t="str">
        <f>_xlfn.XLOOKUP(D1325,[2]!Table1[Machine_ID],[2]!Table1[Machine_ID])</f>
        <v>M002</v>
      </c>
      <c r="N1325" t="str">
        <f>_xlfn.XLOOKUP(E1325,[3]Sheet1!$A$2:$A$391,[3]Sheet1!$A$2:$A$391)</f>
        <v>PO10089</v>
      </c>
    </row>
    <row r="1326" spans="1:14" x14ac:dyDescent="0.2">
      <c r="A1326" t="s">
        <v>1335</v>
      </c>
      <c r="B1326" s="2">
        <v>46276</v>
      </c>
      <c r="C1326" t="s">
        <v>2940</v>
      </c>
      <c r="D1326" t="s">
        <v>2944</v>
      </c>
      <c r="E1326" t="s">
        <v>3039</v>
      </c>
      <c r="F1326" s="3">
        <v>46276.328091512281</v>
      </c>
      <c r="G1326" s="3">
        <v>46276.340830415807</v>
      </c>
      <c r="H1326">
        <v>18.34</v>
      </c>
      <c r="I1326" t="s">
        <v>3149</v>
      </c>
      <c r="J1326" t="s">
        <v>3168</v>
      </c>
      <c r="K1326" t="s">
        <v>3184</v>
      </c>
      <c r="L1326" t="str">
        <f>_xlfn.XLOOKUP(C1326,[1]!Table1[Shift_ID],[1]!Table1[Shift_ID])</f>
        <v>S01</v>
      </c>
      <c r="M1326" t="str">
        <f>_xlfn.XLOOKUP(D1326,[2]!Table1[Machine_ID],[2]!Table1[Machine_ID])</f>
        <v>M003</v>
      </c>
      <c r="N1326" t="str">
        <f>_xlfn.XLOOKUP(E1326,[3]Sheet1!$A$2:$A$391,[3]Sheet1!$A$2:$A$391)</f>
        <v>PO10089</v>
      </c>
    </row>
    <row r="1327" spans="1:14" x14ac:dyDescent="0.2">
      <c r="A1327" t="s">
        <v>1336</v>
      </c>
      <c r="B1327" s="2">
        <v>46276</v>
      </c>
      <c r="C1327" t="s">
        <v>2940</v>
      </c>
      <c r="D1327" t="s">
        <v>2945</v>
      </c>
      <c r="E1327" t="s">
        <v>3039</v>
      </c>
      <c r="F1327" s="3">
        <v>46276.476976796082</v>
      </c>
      <c r="G1327" s="3">
        <v>46276.486820706887</v>
      </c>
      <c r="H1327">
        <v>14.18</v>
      </c>
      <c r="I1327" t="s">
        <v>3148</v>
      </c>
      <c r="J1327" t="s">
        <v>3165</v>
      </c>
      <c r="K1327" t="s">
        <v>3173</v>
      </c>
      <c r="L1327" t="str">
        <f>_xlfn.XLOOKUP(C1327,[1]!Table1[Shift_ID],[1]!Table1[Shift_ID])</f>
        <v>S01</v>
      </c>
      <c r="M1327" t="str">
        <f>_xlfn.XLOOKUP(D1327,[2]!Table1[Machine_ID],[2]!Table1[Machine_ID])</f>
        <v>M004</v>
      </c>
      <c r="N1327" t="str">
        <f>_xlfn.XLOOKUP(E1327,[3]Sheet1!$A$2:$A$391,[3]Sheet1!$A$2:$A$391)</f>
        <v>PO10089</v>
      </c>
    </row>
    <row r="1328" spans="1:14" x14ac:dyDescent="0.2">
      <c r="A1328" t="s">
        <v>1337</v>
      </c>
      <c r="B1328" s="2">
        <v>46276</v>
      </c>
      <c r="C1328" t="s">
        <v>2940</v>
      </c>
      <c r="D1328" t="s">
        <v>2946</v>
      </c>
      <c r="E1328" t="s">
        <v>3039</v>
      </c>
      <c r="F1328" s="3">
        <v>46276.530471453967</v>
      </c>
      <c r="G1328" s="3">
        <v>46276.540183588637</v>
      </c>
      <c r="H1328">
        <v>13.99</v>
      </c>
      <c r="I1328" t="s">
        <v>3147</v>
      </c>
      <c r="J1328" t="s">
        <v>3154</v>
      </c>
      <c r="K1328" t="s">
        <v>3185</v>
      </c>
      <c r="L1328" t="str">
        <f>_xlfn.XLOOKUP(C1328,[1]!Table1[Shift_ID],[1]!Table1[Shift_ID])</f>
        <v>S01</v>
      </c>
      <c r="M1328" t="str">
        <f>_xlfn.XLOOKUP(D1328,[2]!Table1[Machine_ID],[2]!Table1[Machine_ID])</f>
        <v>M005</v>
      </c>
      <c r="N1328" t="str">
        <f>_xlfn.XLOOKUP(E1328,[3]Sheet1!$A$2:$A$391,[3]Sheet1!$A$2:$A$391)</f>
        <v>PO10089</v>
      </c>
    </row>
    <row r="1329" spans="1:14" x14ac:dyDescent="0.2">
      <c r="A1329" t="s">
        <v>1338</v>
      </c>
      <c r="B1329" s="2">
        <v>46276</v>
      </c>
      <c r="C1329" t="s">
        <v>2940</v>
      </c>
      <c r="D1329" t="s">
        <v>2947</v>
      </c>
      <c r="E1329" t="s">
        <v>3039</v>
      </c>
      <c r="F1329" s="3">
        <v>46276.261758059387</v>
      </c>
      <c r="G1329" s="3">
        <v>46276.297119463743</v>
      </c>
      <c r="H1329">
        <v>50.92</v>
      </c>
      <c r="I1329" t="s">
        <v>3146</v>
      </c>
      <c r="J1329" t="s">
        <v>3157</v>
      </c>
      <c r="K1329" t="s">
        <v>3175</v>
      </c>
      <c r="L1329" t="str">
        <f>_xlfn.XLOOKUP(C1329,[1]!Table1[Shift_ID],[1]!Table1[Shift_ID])</f>
        <v>S01</v>
      </c>
      <c r="M1329" t="str">
        <f>_xlfn.XLOOKUP(D1329,[2]!Table1[Machine_ID],[2]!Table1[Machine_ID])</f>
        <v>M006</v>
      </c>
      <c r="N1329" t="str">
        <f>_xlfn.XLOOKUP(E1329,[3]Sheet1!$A$2:$A$391,[3]Sheet1!$A$2:$A$391)</f>
        <v>PO10089</v>
      </c>
    </row>
    <row r="1330" spans="1:14" x14ac:dyDescent="0.2">
      <c r="A1330" t="s">
        <v>1339</v>
      </c>
      <c r="B1330" s="2">
        <v>46276</v>
      </c>
      <c r="C1330" t="s">
        <v>2940</v>
      </c>
      <c r="D1330" t="s">
        <v>2948</v>
      </c>
      <c r="E1330" t="s">
        <v>3039</v>
      </c>
      <c r="F1330" s="3">
        <v>46276.357729055213</v>
      </c>
      <c r="G1330" s="3">
        <v>46276.37138769991</v>
      </c>
      <c r="H1330">
        <v>19.670000000000002</v>
      </c>
      <c r="I1330" t="s">
        <v>3147</v>
      </c>
      <c r="J1330" t="s">
        <v>3154</v>
      </c>
      <c r="K1330" t="s">
        <v>3172</v>
      </c>
      <c r="L1330" t="str">
        <f>_xlfn.XLOOKUP(C1330,[1]!Table1[Shift_ID],[1]!Table1[Shift_ID])</f>
        <v>S01</v>
      </c>
      <c r="M1330" t="str">
        <f>_xlfn.XLOOKUP(D1330,[2]!Table1[Machine_ID],[2]!Table1[Machine_ID])</f>
        <v>M007</v>
      </c>
      <c r="N1330" t="str">
        <f>_xlfn.XLOOKUP(E1330,[3]Sheet1!$A$2:$A$391,[3]Sheet1!$A$2:$A$391)</f>
        <v>PO10089</v>
      </c>
    </row>
    <row r="1331" spans="1:14" x14ac:dyDescent="0.2">
      <c r="A1331" t="s">
        <v>1340</v>
      </c>
      <c r="B1331" s="2">
        <v>46276</v>
      </c>
      <c r="C1331" t="s">
        <v>2940</v>
      </c>
      <c r="D1331" t="s">
        <v>2949</v>
      </c>
      <c r="E1331" t="s">
        <v>3039</v>
      </c>
      <c r="F1331" s="3">
        <v>46276.42940314539</v>
      </c>
      <c r="G1331" s="3">
        <v>46276.434199012627</v>
      </c>
      <c r="H1331">
        <v>6.91</v>
      </c>
      <c r="I1331" t="s">
        <v>3148</v>
      </c>
      <c r="J1331" t="s">
        <v>3165</v>
      </c>
      <c r="K1331" t="s">
        <v>3183</v>
      </c>
      <c r="L1331" t="str">
        <f>_xlfn.XLOOKUP(C1331,[1]!Table1[Shift_ID],[1]!Table1[Shift_ID])</f>
        <v>S01</v>
      </c>
      <c r="M1331" t="str">
        <f>_xlfn.XLOOKUP(D1331,[2]!Table1[Machine_ID],[2]!Table1[Machine_ID])</f>
        <v>M008</v>
      </c>
      <c r="N1331" t="str">
        <f>_xlfn.XLOOKUP(E1331,[3]Sheet1!$A$2:$A$391,[3]Sheet1!$A$2:$A$391)</f>
        <v>PO10089</v>
      </c>
    </row>
    <row r="1332" spans="1:14" x14ac:dyDescent="0.2">
      <c r="A1332" t="s">
        <v>1341</v>
      </c>
      <c r="B1332" s="2">
        <v>46276</v>
      </c>
      <c r="C1332" t="s">
        <v>2941</v>
      </c>
      <c r="D1332" t="s">
        <v>2942</v>
      </c>
      <c r="E1332" t="s">
        <v>3040</v>
      </c>
      <c r="F1332" s="3">
        <v>46276.590245505693</v>
      </c>
      <c r="G1332" s="3">
        <v>46276.591716329378</v>
      </c>
      <c r="H1332">
        <v>2.12</v>
      </c>
      <c r="I1332" t="s">
        <v>3149</v>
      </c>
      <c r="J1332" t="s">
        <v>3158</v>
      </c>
      <c r="K1332" t="s">
        <v>3184</v>
      </c>
      <c r="L1332" t="str">
        <f>_xlfn.XLOOKUP(C1332,[1]!Table1[Shift_ID],[1]!Table1[Shift_ID])</f>
        <v>S02</v>
      </c>
      <c r="M1332" t="str">
        <f>_xlfn.XLOOKUP(D1332,[2]!Table1[Machine_ID],[2]!Table1[Machine_ID])</f>
        <v>M001</v>
      </c>
      <c r="N1332" t="str">
        <f>_xlfn.XLOOKUP(E1332,[3]Sheet1!$A$2:$A$391,[3]Sheet1!$A$2:$A$391)</f>
        <v>PO10090</v>
      </c>
    </row>
    <row r="1333" spans="1:14" x14ac:dyDescent="0.2">
      <c r="A1333" t="s">
        <v>1342</v>
      </c>
      <c r="B1333" s="2">
        <v>46276</v>
      </c>
      <c r="C1333" t="s">
        <v>2941</v>
      </c>
      <c r="D1333" t="s">
        <v>2942</v>
      </c>
      <c r="E1333" t="s">
        <v>3040</v>
      </c>
      <c r="F1333" s="3">
        <v>46276.607860258518</v>
      </c>
      <c r="G1333" s="3">
        <v>46276.611409648584</v>
      </c>
      <c r="H1333">
        <v>5.1100000000000003</v>
      </c>
      <c r="I1333" t="s">
        <v>3148</v>
      </c>
      <c r="J1333" t="s">
        <v>3155</v>
      </c>
      <c r="K1333" t="s">
        <v>3180</v>
      </c>
      <c r="L1333" t="str">
        <f>_xlfn.XLOOKUP(C1333,[1]!Table1[Shift_ID],[1]!Table1[Shift_ID])</f>
        <v>S02</v>
      </c>
      <c r="M1333" t="str">
        <f>_xlfn.XLOOKUP(D1333,[2]!Table1[Machine_ID],[2]!Table1[Machine_ID])</f>
        <v>M001</v>
      </c>
      <c r="N1333" t="str">
        <f>_xlfn.XLOOKUP(E1333,[3]Sheet1!$A$2:$A$391,[3]Sheet1!$A$2:$A$391)</f>
        <v>PO10090</v>
      </c>
    </row>
    <row r="1334" spans="1:14" x14ac:dyDescent="0.2">
      <c r="A1334" t="s">
        <v>1343</v>
      </c>
      <c r="B1334" s="2">
        <v>46276</v>
      </c>
      <c r="C1334" t="s">
        <v>2941</v>
      </c>
      <c r="D1334" t="s">
        <v>2942</v>
      </c>
      <c r="E1334" t="s">
        <v>3040</v>
      </c>
      <c r="F1334" s="3">
        <v>46276.712989831067</v>
      </c>
      <c r="G1334" s="3">
        <v>46276.714460654737</v>
      </c>
      <c r="H1334">
        <v>2.12</v>
      </c>
      <c r="I1334" t="s">
        <v>3151</v>
      </c>
      <c r="J1334" t="s">
        <v>3169</v>
      </c>
      <c r="K1334" t="s">
        <v>3187</v>
      </c>
      <c r="L1334" t="str">
        <f>_xlfn.XLOOKUP(C1334,[1]!Table1[Shift_ID],[1]!Table1[Shift_ID])</f>
        <v>S02</v>
      </c>
      <c r="M1334" t="str">
        <f>_xlfn.XLOOKUP(D1334,[2]!Table1[Machine_ID],[2]!Table1[Machine_ID])</f>
        <v>M001</v>
      </c>
      <c r="N1334" t="str">
        <f>_xlfn.XLOOKUP(E1334,[3]Sheet1!$A$2:$A$391,[3]Sheet1!$A$2:$A$391)</f>
        <v>PO10090</v>
      </c>
    </row>
    <row r="1335" spans="1:14" x14ac:dyDescent="0.2">
      <c r="A1335" t="s">
        <v>1344</v>
      </c>
      <c r="B1335" s="2">
        <v>46276</v>
      </c>
      <c r="C1335" t="s">
        <v>2941</v>
      </c>
      <c r="D1335" t="s">
        <v>2942</v>
      </c>
      <c r="E1335" t="s">
        <v>3040</v>
      </c>
      <c r="F1335" s="3">
        <v>46276.776163889153</v>
      </c>
      <c r="G1335" s="3">
        <v>46276.777634712817</v>
      </c>
      <c r="H1335">
        <v>2.12</v>
      </c>
      <c r="I1335" t="s">
        <v>3149</v>
      </c>
      <c r="J1335" t="s">
        <v>3162</v>
      </c>
      <c r="K1335" t="s">
        <v>3182</v>
      </c>
      <c r="L1335" t="str">
        <f>_xlfn.XLOOKUP(C1335,[1]!Table1[Shift_ID],[1]!Table1[Shift_ID])</f>
        <v>S02</v>
      </c>
      <c r="M1335" t="str">
        <f>_xlfn.XLOOKUP(D1335,[2]!Table1[Machine_ID],[2]!Table1[Machine_ID])</f>
        <v>M001</v>
      </c>
      <c r="N1335" t="str">
        <f>_xlfn.XLOOKUP(E1335,[3]Sheet1!$A$2:$A$391,[3]Sheet1!$A$2:$A$391)</f>
        <v>PO10090</v>
      </c>
    </row>
    <row r="1336" spans="1:14" x14ac:dyDescent="0.2">
      <c r="A1336" t="s">
        <v>1345</v>
      </c>
      <c r="B1336" s="2">
        <v>46276</v>
      </c>
      <c r="C1336" t="s">
        <v>2941</v>
      </c>
      <c r="D1336" t="s">
        <v>2943</v>
      </c>
      <c r="E1336" t="s">
        <v>3040</v>
      </c>
      <c r="F1336" s="3">
        <v>46276.711752190728</v>
      </c>
      <c r="G1336" s="3">
        <v>46276.721162607741</v>
      </c>
      <c r="H1336">
        <v>13.55</v>
      </c>
      <c r="I1336" t="s">
        <v>3150</v>
      </c>
      <c r="J1336" t="s">
        <v>3166</v>
      </c>
      <c r="K1336" t="s">
        <v>3177</v>
      </c>
      <c r="L1336" t="str">
        <f>_xlfn.XLOOKUP(C1336,[1]!Table1[Shift_ID],[1]!Table1[Shift_ID])</f>
        <v>S02</v>
      </c>
      <c r="M1336" t="str">
        <f>_xlfn.XLOOKUP(D1336,[2]!Table1[Machine_ID],[2]!Table1[Machine_ID])</f>
        <v>M002</v>
      </c>
      <c r="N1336" t="str">
        <f>_xlfn.XLOOKUP(E1336,[3]Sheet1!$A$2:$A$391,[3]Sheet1!$A$2:$A$391)</f>
        <v>PO10090</v>
      </c>
    </row>
    <row r="1337" spans="1:14" x14ac:dyDescent="0.2">
      <c r="A1337" t="s">
        <v>1346</v>
      </c>
      <c r="B1337" s="2">
        <v>46276</v>
      </c>
      <c r="C1337" t="s">
        <v>2941</v>
      </c>
      <c r="D1337" t="s">
        <v>2944</v>
      </c>
      <c r="E1337" t="s">
        <v>3040</v>
      </c>
      <c r="F1337" s="3">
        <v>46276.698777539132</v>
      </c>
      <c r="G1337" s="3">
        <v>46276.700660971197</v>
      </c>
      <c r="H1337">
        <v>2.71</v>
      </c>
      <c r="I1337" t="s">
        <v>3151</v>
      </c>
      <c r="J1337" t="s">
        <v>3170</v>
      </c>
      <c r="K1337" t="s">
        <v>3181</v>
      </c>
      <c r="L1337" t="str">
        <f>_xlfn.XLOOKUP(C1337,[1]!Table1[Shift_ID],[1]!Table1[Shift_ID])</f>
        <v>S02</v>
      </c>
      <c r="M1337" t="str">
        <f>_xlfn.XLOOKUP(D1337,[2]!Table1[Machine_ID],[2]!Table1[Machine_ID])</f>
        <v>M003</v>
      </c>
      <c r="N1337" t="str">
        <f>_xlfn.XLOOKUP(E1337,[3]Sheet1!$A$2:$A$391,[3]Sheet1!$A$2:$A$391)</f>
        <v>PO10090</v>
      </c>
    </row>
    <row r="1338" spans="1:14" x14ac:dyDescent="0.2">
      <c r="A1338" t="s">
        <v>1347</v>
      </c>
      <c r="B1338" s="2">
        <v>46276</v>
      </c>
      <c r="C1338" t="s">
        <v>2941</v>
      </c>
      <c r="D1338" t="s">
        <v>2944</v>
      </c>
      <c r="E1338" t="s">
        <v>3040</v>
      </c>
      <c r="F1338" s="3">
        <v>46276.76624683493</v>
      </c>
      <c r="G1338" s="3">
        <v>46276.775018027249</v>
      </c>
      <c r="H1338">
        <v>12.63</v>
      </c>
      <c r="I1338" t="s">
        <v>3147</v>
      </c>
      <c r="J1338" t="s">
        <v>3153</v>
      </c>
      <c r="K1338" t="s">
        <v>3186</v>
      </c>
      <c r="L1338" t="str">
        <f>_xlfn.XLOOKUP(C1338,[1]!Table1[Shift_ID],[1]!Table1[Shift_ID])</f>
        <v>S02</v>
      </c>
      <c r="M1338" t="str">
        <f>_xlfn.XLOOKUP(D1338,[2]!Table1[Machine_ID],[2]!Table1[Machine_ID])</f>
        <v>M003</v>
      </c>
      <c r="N1338" t="str">
        <f>_xlfn.XLOOKUP(E1338,[3]Sheet1!$A$2:$A$391,[3]Sheet1!$A$2:$A$391)</f>
        <v>PO10090</v>
      </c>
    </row>
    <row r="1339" spans="1:14" x14ac:dyDescent="0.2">
      <c r="A1339" t="s">
        <v>1348</v>
      </c>
      <c r="B1339" s="2">
        <v>46276</v>
      </c>
      <c r="C1339" t="s">
        <v>2941</v>
      </c>
      <c r="D1339" t="s">
        <v>2945</v>
      </c>
      <c r="E1339" t="s">
        <v>3040</v>
      </c>
      <c r="F1339" s="3">
        <v>46276.791430825499</v>
      </c>
      <c r="G1339" s="3">
        <v>46276.798167468944</v>
      </c>
      <c r="H1339">
        <v>9.6999999999999993</v>
      </c>
      <c r="I1339" t="s">
        <v>3149</v>
      </c>
      <c r="J1339" t="s">
        <v>3158</v>
      </c>
      <c r="K1339" t="s">
        <v>3176</v>
      </c>
      <c r="L1339" t="str">
        <f>_xlfn.XLOOKUP(C1339,[1]!Table1[Shift_ID],[1]!Table1[Shift_ID])</f>
        <v>S02</v>
      </c>
      <c r="M1339" t="str">
        <f>_xlfn.XLOOKUP(D1339,[2]!Table1[Machine_ID],[2]!Table1[Machine_ID])</f>
        <v>M004</v>
      </c>
      <c r="N1339" t="str">
        <f>_xlfn.XLOOKUP(E1339,[3]Sheet1!$A$2:$A$391,[3]Sheet1!$A$2:$A$391)</f>
        <v>PO10090</v>
      </c>
    </row>
    <row r="1340" spans="1:14" x14ac:dyDescent="0.2">
      <c r="A1340" t="s">
        <v>1349</v>
      </c>
      <c r="B1340" s="2">
        <v>46276</v>
      </c>
      <c r="C1340" t="s">
        <v>2941</v>
      </c>
      <c r="D1340" t="s">
        <v>2946</v>
      </c>
      <c r="E1340" t="s">
        <v>3040</v>
      </c>
      <c r="F1340" s="3">
        <v>46276.594214711178</v>
      </c>
      <c r="G1340" s="3">
        <v>46276.59615007486</v>
      </c>
      <c r="H1340">
        <v>2.79</v>
      </c>
      <c r="I1340" t="s">
        <v>3150</v>
      </c>
      <c r="J1340" t="s">
        <v>3160</v>
      </c>
      <c r="K1340" t="s">
        <v>3179</v>
      </c>
      <c r="L1340" t="str">
        <f>_xlfn.XLOOKUP(C1340,[1]!Table1[Shift_ID],[1]!Table1[Shift_ID])</f>
        <v>S02</v>
      </c>
      <c r="M1340" t="str">
        <f>_xlfn.XLOOKUP(D1340,[2]!Table1[Machine_ID],[2]!Table1[Machine_ID])</f>
        <v>M005</v>
      </c>
      <c r="N1340" t="str">
        <f>_xlfn.XLOOKUP(E1340,[3]Sheet1!$A$2:$A$391,[3]Sheet1!$A$2:$A$391)</f>
        <v>PO10090</v>
      </c>
    </row>
    <row r="1341" spans="1:14" x14ac:dyDescent="0.2">
      <c r="A1341" t="s">
        <v>1350</v>
      </c>
      <c r="B1341" s="2">
        <v>46276</v>
      </c>
      <c r="C1341" t="s">
        <v>2941</v>
      </c>
      <c r="D1341" t="s">
        <v>2946</v>
      </c>
      <c r="E1341" t="s">
        <v>3040</v>
      </c>
      <c r="F1341" s="3">
        <v>46276.700805118337</v>
      </c>
      <c r="G1341" s="3">
        <v>46276.703546639743</v>
      </c>
      <c r="H1341">
        <v>3.95</v>
      </c>
      <c r="I1341" t="s">
        <v>3151</v>
      </c>
      <c r="J1341" t="s">
        <v>3170</v>
      </c>
      <c r="K1341" t="s">
        <v>3181</v>
      </c>
      <c r="L1341" t="str">
        <f>_xlfn.XLOOKUP(C1341,[1]!Table1[Shift_ID],[1]!Table1[Shift_ID])</f>
        <v>S02</v>
      </c>
      <c r="M1341" t="str">
        <f>_xlfn.XLOOKUP(D1341,[2]!Table1[Machine_ID],[2]!Table1[Machine_ID])</f>
        <v>M005</v>
      </c>
      <c r="N1341" t="str">
        <f>_xlfn.XLOOKUP(E1341,[3]Sheet1!$A$2:$A$391,[3]Sheet1!$A$2:$A$391)</f>
        <v>PO10090</v>
      </c>
    </row>
    <row r="1342" spans="1:14" x14ac:dyDescent="0.2">
      <c r="A1342" t="s">
        <v>1351</v>
      </c>
      <c r="B1342" s="2">
        <v>46276</v>
      </c>
      <c r="C1342" t="s">
        <v>2941</v>
      </c>
      <c r="D1342" t="s">
        <v>2946</v>
      </c>
      <c r="E1342" t="s">
        <v>3040</v>
      </c>
      <c r="F1342" s="3">
        <v>46276.729040590813</v>
      </c>
      <c r="G1342" s="3">
        <v>46276.73138280656</v>
      </c>
      <c r="H1342">
        <v>3.37</v>
      </c>
      <c r="I1342" t="s">
        <v>3148</v>
      </c>
      <c r="J1342" t="s">
        <v>3165</v>
      </c>
      <c r="K1342" t="s">
        <v>3173</v>
      </c>
      <c r="L1342" t="str">
        <f>_xlfn.XLOOKUP(C1342,[1]!Table1[Shift_ID],[1]!Table1[Shift_ID])</f>
        <v>S02</v>
      </c>
      <c r="M1342" t="str">
        <f>_xlfn.XLOOKUP(D1342,[2]!Table1[Machine_ID],[2]!Table1[Machine_ID])</f>
        <v>M005</v>
      </c>
      <c r="N1342" t="str">
        <f>_xlfn.XLOOKUP(E1342,[3]Sheet1!$A$2:$A$391,[3]Sheet1!$A$2:$A$391)</f>
        <v>PO10090</v>
      </c>
    </row>
    <row r="1343" spans="1:14" x14ac:dyDescent="0.2">
      <c r="A1343" t="s">
        <v>1352</v>
      </c>
      <c r="B1343" s="2">
        <v>46276</v>
      </c>
      <c r="C1343" t="s">
        <v>2941</v>
      </c>
      <c r="D1343" t="s">
        <v>2947</v>
      </c>
      <c r="E1343" t="s">
        <v>3040</v>
      </c>
      <c r="F1343" s="3">
        <v>46276.653363889978</v>
      </c>
      <c r="G1343" s="3">
        <v>46276.682934931327</v>
      </c>
      <c r="H1343">
        <v>42.58</v>
      </c>
      <c r="I1343" t="s">
        <v>3149</v>
      </c>
      <c r="J1343" t="s">
        <v>3168</v>
      </c>
      <c r="K1343" t="s">
        <v>3176</v>
      </c>
      <c r="L1343" t="str">
        <f>_xlfn.XLOOKUP(C1343,[1]!Table1[Shift_ID],[1]!Table1[Shift_ID])</f>
        <v>S02</v>
      </c>
      <c r="M1343" t="str">
        <f>_xlfn.XLOOKUP(D1343,[2]!Table1[Machine_ID],[2]!Table1[Machine_ID])</f>
        <v>M006</v>
      </c>
      <c r="N1343" t="str">
        <f>_xlfn.XLOOKUP(E1343,[3]Sheet1!$A$2:$A$391,[3]Sheet1!$A$2:$A$391)</f>
        <v>PO10090</v>
      </c>
    </row>
    <row r="1344" spans="1:14" x14ac:dyDescent="0.2">
      <c r="A1344" t="s">
        <v>1353</v>
      </c>
      <c r="B1344" s="2">
        <v>46276</v>
      </c>
      <c r="C1344" t="s">
        <v>2941</v>
      </c>
      <c r="D1344" t="s">
        <v>2948</v>
      </c>
      <c r="E1344" t="s">
        <v>3040</v>
      </c>
      <c r="F1344" s="3">
        <v>46276.618841490257</v>
      </c>
      <c r="G1344" s="3">
        <v>46276.625030917879</v>
      </c>
      <c r="H1344">
        <v>8.91</v>
      </c>
      <c r="I1344" t="s">
        <v>3150</v>
      </c>
      <c r="J1344" t="s">
        <v>3159</v>
      </c>
      <c r="K1344" t="s">
        <v>3179</v>
      </c>
      <c r="L1344" t="str">
        <f>_xlfn.XLOOKUP(C1344,[1]!Table1[Shift_ID],[1]!Table1[Shift_ID])</f>
        <v>S02</v>
      </c>
      <c r="M1344" t="str">
        <f>_xlfn.XLOOKUP(D1344,[2]!Table1[Machine_ID],[2]!Table1[Machine_ID])</f>
        <v>M007</v>
      </c>
      <c r="N1344" t="str">
        <f>_xlfn.XLOOKUP(E1344,[3]Sheet1!$A$2:$A$391,[3]Sheet1!$A$2:$A$391)</f>
        <v>PO10090</v>
      </c>
    </row>
    <row r="1345" spans="1:14" x14ac:dyDescent="0.2">
      <c r="A1345" t="s">
        <v>1354</v>
      </c>
      <c r="B1345" s="2">
        <v>46276</v>
      </c>
      <c r="C1345" t="s">
        <v>2941</v>
      </c>
      <c r="D1345" t="s">
        <v>2948</v>
      </c>
      <c r="E1345" t="s">
        <v>3040</v>
      </c>
      <c r="F1345" s="3">
        <v>46276.658870725383</v>
      </c>
      <c r="G1345" s="3">
        <v>46276.663252914652</v>
      </c>
      <c r="H1345">
        <v>6.31</v>
      </c>
      <c r="I1345" t="s">
        <v>3146</v>
      </c>
      <c r="J1345" t="s">
        <v>3152</v>
      </c>
      <c r="K1345" t="s">
        <v>3171</v>
      </c>
      <c r="L1345" t="str">
        <f>_xlfn.XLOOKUP(C1345,[1]!Table1[Shift_ID],[1]!Table1[Shift_ID])</f>
        <v>S02</v>
      </c>
      <c r="M1345" t="str">
        <f>_xlfn.XLOOKUP(D1345,[2]!Table1[Machine_ID],[2]!Table1[Machine_ID])</f>
        <v>M007</v>
      </c>
      <c r="N1345" t="str">
        <f>_xlfn.XLOOKUP(E1345,[3]Sheet1!$A$2:$A$391,[3]Sheet1!$A$2:$A$391)</f>
        <v>PO10090</v>
      </c>
    </row>
    <row r="1346" spans="1:14" x14ac:dyDescent="0.2">
      <c r="A1346" t="s">
        <v>1355</v>
      </c>
      <c r="B1346" s="2">
        <v>46276</v>
      </c>
      <c r="C1346" t="s">
        <v>2941</v>
      </c>
      <c r="D1346" t="s">
        <v>2948</v>
      </c>
      <c r="E1346" t="s">
        <v>3040</v>
      </c>
      <c r="F1346" s="3">
        <v>46276.79919899434</v>
      </c>
      <c r="G1346" s="3">
        <v>46276.80103168833</v>
      </c>
      <c r="H1346">
        <v>2.64</v>
      </c>
      <c r="I1346" t="s">
        <v>3147</v>
      </c>
      <c r="J1346" t="s">
        <v>3154</v>
      </c>
      <c r="K1346" t="s">
        <v>3186</v>
      </c>
      <c r="L1346" t="str">
        <f>_xlfn.XLOOKUP(C1346,[1]!Table1[Shift_ID],[1]!Table1[Shift_ID])</f>
        <v>S02</v>
      </c>
      <c r="M1346" t="str">
        <f>_xlfn.XLOOKUP(D1346,[2]!Table1[Machine_ID],[2]!Table1[Machine_ID])</f>
        <v>M007</v>
      </c>
      <c r="N1346" t="str">
        <f>_xlfn.XLOOKUP(E1346,[3]Sheet1!$A$2:$A$391,[3]Sheet1!$A$2:$A$391)</f>
        <v>PO10090</v>
      </c>
    </row>
    <row r="1347" spans="1:14" x14ac:dyDescent="0.2">
      <c r="A1347" t="s">
        <v>1356</v>
      </c>
      <c r="B1347" s="2">
        <v>46276</v>
      </c>
      <c r="C1347" t="s">
        <v>2941</v>
      </c>
      <c r="D1347" t="s">
        <v>2949</v>
      </c>
      <c r="E1347" t="s">
        <v>3040</v>
      </c>
      <c r="F1347" s="3">
        <v>46276.722661907763</v>
      </c>
      <c r="G1347" s="3">
        <v>46276.728148224109</v>
      </c>
      <c r="H1347">
        <v>7.9</v>
      </c>
      <c r="I1347" t="s">
        <v>3150</v>
      </c>
      <c r="J1347" t="s">
        <v>3159</v>
      </c>
      <c r="K1347" t="s">
        <v>3178</v>
      </c>
      <c r="L1347" t="str">
        <f>_xlfn.XLOOKUP(C1347,[1]!Table1[Shift_ID],[1]!Table1[Shift_ID])</f>
        <v>S02</v>
      </c>
      <c r="M1347" t="str">
        <f>_xlfn.XLOOKUP(D1347,[2]!Table1[Machine_ID],[2]!Table1[Machine_ID])</f>
        <v>M008</v>
      </c>
      <c r="N1347" t="str">
        <f>_xlfn.XLOOKUP(E1347,[3]Sheet1!$A$2:$A$391,[3]Sheet1!$A$2:$A$391)</f>
        <v>PO10090</v>
      </c>
    </row>
    <row r="1348" spans="1:14" x14ac:dyDescent="0.2">
      <c r="A1348" t="s">
        <v>1357</v>
      </c>
      <c r="B1348" s="2">
        <v>46276</v>
      </c>
      <c r="C1348" t="s">
        <v>2941</v>
      </c>
      <c r="D1348" t="s">
        <v>2949</v>
      </c>
      <c r="E1348" t="s">
        <v>3040</v>
      </c>
      <c r="F1348" s="3">
        <v>46276.759170415658</v>
      </c>
      <c r="G1348" s="3">
        <v>46276.760794585447</v>
      </c>
      <c r="H1348">
        <v>2.34</v>
      </c>
      <c r="I1348" t="s">
        <v>3146</v>
      </c>
      <c r="J1348" t="s">
        <v>3157</v>
      </c>
      <c r="K1348" t="s">
        <v>3171</v>
      </c>
      <c r="L1348" t="str">
        <f>_xlfn.XLOOKUP(C1348,[1]!Table1[Shift_ID],[1]!Table1[Shift_ID])</f>
        <v>S02</v>
      </c>
      <c r="M1348" t="str">
        <f>_xlfn.XLOOKUP(D1348,[2]!Table1[Machine_ID],[2]!Table1[Machine_ID])</f>
        <v>M008</v>
      </c>
      <c r="N1348" t="str">
        <f>_xlfn.XLOOKUP(E1348,[3]Sheet1!$A$2:$A$391,[3]Sheet1!$A$2:$A$391)</f>
        <v>PO10090</v>
      </c>
    </row>
    <row r="1349" spans="1:14" x14ac:dyDescent="0.2">
      <c r="A1349" t="s">
        <v>1358</v>
      </c>
      <c r="B1349" s="2">
        <v>46279</v>
      </c>
      <c r="C1349" t="s">
        <v>2939</v>
      </c>
      <c r="D1349" t="s">
        <v>2942</v>
      </c>
      <c r="E1349" t="s">
        <v>3041</v>
      </c>
      <c r="F1349" s="3">
        <v>46279.929565708298</v>
      </c>
      <c r="G1349" s="3">
        <v>46279.935560784019</v>
      </c>
      <c r="H1349">
        <v>8.6300000000000008</v>
      </c>
      <c r="I1349" t="s">
        <v>3147</v>
      </c>
      <c r="J1349" t="s">
        <v>3167</v>
      </c>
      <c r="K1349" t="s">
        <v>3185</v>
      </c>
      <c r="L1349" t="str">
        <f>_xlfn.XLOOKUP(C1349,[1]!Table1[Shift_ID],[1]!Table1[Shift_ID])</f>
        <v>S03</v>
      </c>
      <c r="M1349" t="str">
        <f>_xlfn.XLOOKUP(D1349,[2]!Table1[Machine_ID],[2]!Table1[Machine_ID])</f>
        <v>M001</v>
      </c>
      <c r="N1349" t="str">
        <f>_xlfn.XLOOKUP(E1349,[3]Sheet1!$A$2:$A$391,[3]Sheet1!$A$2:$A$391)</f>
        <v>PO10091</v>
      </c>
    </row>
    <row r="1350" spans="1:14" x14ac:dyDescent="0.2">
      <c r="A1350" t="s">
        <v>1359</v>
      </c>
      <c r="B1350" s="2">
        <v>46279</v>
      </c>
      <c r="C1350" t="s">
        <v>2939</v>
      </c>
      <c r="D1350" t="s">
        <v>2943</v>
      </c>
      <c r="E1350" t="s">
        <v>3041</v>
      </c>
      <c r="F1350" s="3">
        <v>46280.147716360123</v>
      </c>
      <c r="G1350" s="3">
        <v>46280.149269121794</v>
      </c>
      <c r="H1350">
        <v>2.2400000000000002</v>
      </c>
      <c r="I1350" t="s">
        <v>3149</v>
      </c>
      <c r="J1350" t="s">
        <v>3162</v>
      </c>
      <c r="K1350" t="s">
        <v>3182</v>
      </c>
      <c r="L1350" t="str">
        <f>_xlfn.XLOOKUP(C1350,[1]!Table1[Shift_ID],[1]!Table1[Shift_ID])</f>
        <v>S03</v>
      </c>
      <c r="M1350" t="str">
        <f>_xlfn.XLOOKUP(D1350,[2]!Table1[Machine_ID],[2]!Table1[Machine_ID])</f>
        <v>M002</v>
      </c>
      <c r="N1350" t="str">
        <f>_xlfn.XLOOKUP(E1350,[3]Sheet1!$A$2:$A$391,[3]Sheet1!$A$2:$A$391)</f>
        <v>PO10091</v>
      </c>
    </row>
    <row r="1351" spans="1:14" x14ac:dyDescent="0.2">
      <c r="A1351" t="s">
        <v>1360</v>
      </c>
      <c r="B1351" s="2">
        <v>46279</v>
      </c>
      <c r="C1351" t="s">
        <v>2939</v>
      </c>
      <c r="D1351" t="s">
        <v>2943</v>
      </c>
      <c r="E1351" t="s">
        <v>3041</v>
      </c>
      <c r="F1351" s="3">
        <v>46280.193603520267</v>
      </c>
      <c r="G1351" s="3">
        <v>46280.19515628193</v>
      </c>
      <c r="H1351">
        <v>2.2400000000000002</v>
      </c>
      <c r="I1351" t="s">
        <v>3151</v>
      </c>
      <c r="J1351" t="s">
        <v>3170</v>
      </c>
      <c r="K1351" t="s">
        <v>3188</v>
      </c>
      <c r="L1351" t="str">
        <f>_xlfn.XLOOKUP(C1351,[1]!Table1[Shift_ID],[1]!Table1[Shift_ID])</f>
        <v>S03</v>
      </c>
      <c r="M1351" t="str">
        <f>_xlfn.XLOOKUP(D1351,[2]!Table1[Machine_ID],[2]!Table1[Machine_ID])</f>
        <v>M002</v>
      </c>
      <c r="N1351" t="str">
        <f>_xlfn.XLOOKUP(E1351,[3]Sheet1!$A$2:$A$391,[3]Sheet1!$A$2:$A$391)</f>
        <v>PO10091</v>
      </c>
    </row>
    <row r="1352" spans="1:14" x14ac:dyDescent="0.2">
      <c r="A1352" t="s">
        <v>1361</v>
      </c>
      <c r="B1352" s="2">
        <v>46279</v>
      </c>
      <c r="C1352" t="s">
        <v>2939</v>
      </c>
      <c r="D1352" t="s">
        <v>2943</v>
      </c>
      <c r="E1352" t="s">
        <v>3041</v>
      </c>
      <c r="F1352" s="3">
        <v>46280.222122695297</v>
      </c>
      <c r="G1352" s="3">
        <v>46280.226379096013</v>
      </c>
      <c r="H1352">
        <v>6.13</v>
      </c>
      <c r="I1352" t="s">
        <v>3150</v>
      </c>
      <c r="J1352" t="s">
        <v>3160</v>
      </c>
      <c r="K1352" t="s">
        <v>3177</v>
      </c>
      <c r="L1352" t="str">
        <f>_xlfn.XLOOKUP(C1352,[1]!Table1[Shift_ID],[1]!Table1[Shift_ID])</f>
        <v>S03</v>
      </c>
      <c r="M1352" t="str">
        <f>_xlfn.XLOOKUP(D1352,[2]!Table1[Machine_ID],[2]!Table1[Machine_ID])</f>
        <v>M002</v>
      </c>
      <c r="N1352" t="str">
        <f>_xlfn.XLOOKUP(E1352,[3]Sheet1!$A$2:$A$391,[3]Sheet1!$A$2:$A$391)</f>
        <v>PO10091</v>
      </c>
    </row>
    <row r="1353" spans="1:14" x14ac:dyDescent="0.2">
      <c r="A1353" t="s">
        <v>1362</v>
      </c>
      <c r="B1353" s="2">
        <v>46279</v>
      </c>
      <c r="C1353" t="s">
        <v>2939</v>
      </c>
      <c r="D1353" t="s">
        <v>2944</v>
      </c>
      <c r="E1353" t="s">
        <v>3041</v>
      </c>
      <c r="F1353" s="3">
        <v>46280.241800360367</v>
      </c>
      <c r="G1353" s="3">
        <v>46280.25</v>
      </c>
      <c r="H1353">
        <v>11.81</v>
      </c>
      <c r="I1353" t="s">
        <v>3146</v>
      </c>
      <c r="J1353" t="s">
        <v>3152</v>
      </c>
      <c r="K1353" t="s">
        <v>3171</v>
      </c>
      <c r="L1353" t="str">
        <f>_xlfn.XLOOKUP(C1353,[1]!Table1[Shift_ID],[1]!Table1[Shift_ID])</f>
        <v>S03</v>
      </c>
      <c r="M1353" t="str">
        <f>_xlfn.XLOOKUP(D1353,[2]!Table1[Machine_ID],[2]!Table1[Machine_ID])</f>
        <v>M003</v>
      </c>
      <c r="N1353" t="str">
        <f>_xlfn.XLOOKUP(E1353,[3]Sheet1!$A$2:$A$391,[3]Sheet1!$A$2:$A$391)</f>
        <v>PO10091</v>
      </c>
    </row>
    <row r="1354" spans="1:14" x14ac:dyDescent="0.2">
      <c r="A1354" t="s">
        <v>1363</v>
      </c>
      <c r="B1354" s="2">
        <v>46279</v>
      </c>
      <c r="C1354" t="s">
        <v>2939</v>
      </c>
      <c r="D1354" t="s">
        <v>2945</v>
      </c>
      <c r="E1354" t="s">
        <v>3041</v>
      </c>
      <c r="F1354" s="3">
        <v>46280.057235643879</v>
      </c>
      <c r="G1354" s="3">
        <v>46280.067442573127</v>
      </c>
      <c r="H1354">
        <v>14.7</v>
      </c>
      <c r="I1354" t="s">
        <v>3147</v>
      </c>
      <c r="J1354" t="s">
        <v>3167</v>
      </c>
      <c r="K1354" t="s">
        <v>3185</v>
      </c>
      <c r="L1354" t="str">
        <f>_xlfn.XLOOKUP(C1354,[1]!Table1[Shift_ID],[1]!Table1[Shift_ID])</f>
        <v>S03</v>
      </c>
      <c r="M1354" t="str">
        <f>_xlfn.XLOOKUP(D1354,[2]!Table1[Machine_ID],[2]!Table1[Machine_ID])</f>
        <v>M004</v>
      </c>
      <c r="N1354" t="str">
        <f>_xlfn.XLOOKUP(E1354,[3]Sheet1!$A$2:$A$391,[3]Sheet1!$A$2:$A$391)</f>
        <v>PO10091</v>
      </c>
    </row>
    <row r="1355" spans="1:14" x14ac:dyDescent="0.2">
      <c r="A1355" t="s">
        <v>1364</v>
      </c>
      <c r="B1355" s="2">
        <v>46279</v>
      </c>
      <c r="C1355" t="s">
        <v>2939</v>
      </c>
      <c r="D1355" t="s">
        <v>2946</v>
      </c>
      <c r="E1355" t="s">
        <v>3041</v>
      </c>
      <c r="F1355" s="3">
        <v>46280.108118632779</v>
      </c>
      <c r="G1355" s="3">
        <v>46280.117244717869</v>
      </c>
      <c r="H1355">
        <v>13.14</v>
      </c>
      <c r="I1355" t="s">
        <v>3148</v>
      </c>
      <c r="J1355" t="s">
        <v>3164</v>
      </c>
      <c r="K1355" t="s">
        <v>3180</v>
      </c>
      <c r="L1355" t="str">
        <f>_xlfn.XLOOKUP(C1355,[1]!Table1[Shift_ID],[1]!Table1[Shift_ID])</f>
        <v>S03</v>
      </c>
      <c r="M1355" t="str">
        <f>_xlfn.XLOOKUP(D1355,[2]!Table1[Machine_ID],[2]!Table1[Machine_ID])</f>
        <v>M005</v>
      </c>
      <c r="N1355" t="str">
        <f>_xlfn.XLOOKUP(E1355,[3]Sheet1!$A$2:$A$391,[3]Sheet1!$A$2:$A$391)</f>
        <v>PO10091</v>
      </c>
    </row>
    <row r="1356" spans="1:14" x14ac:dyDescent="0.2">
      <c r="A1356" t="s">
        <v>1365</v>
      </c>
      <c r="B1356" s="2">
        <v>46279</v>
      </c>
      <c r="C1356" t="s">
        <v>2939</v>
      </c>
      <c r="D1356" t="s">
        <v>2946</v>
      </c>
      <c r="E1356" t="s">
        <v>3041</v>
      </c>
      <c r="F1356" s="3">
        <v>46280.173786181898</v>
      </c>
      <c r="G1356" s="3">
        <v>46280.175833402587</v>
      </c>
      <c r="H1356">
        <v>2.95</v>
      </c>
      <c r="I1356" t="s">
        <v>3146</v>
      </c>
      <c r="J1356" t="s">
        <v>3156</v>
      </c>
      <c r="K1356" t="s">
        <v>3171</v>
      </c>
      <c r="L1356" t="str">
        <f>_xlfn.XLOOKUP(C1356,[1]!Table1[Shift_ID],[1]!Table1[Shift_ID])</f>
        <v>S03</v>
      </c>
      <c r="M1356" t="str">
        <f>_xlfn.XLOOKUP(D1356,[2]!Table1[Machine_ID],[2]!Table1[Machine_ID])</f>
        <v>M005</v>
      </c>
      <c r="N1356" t="str">
        <f>_xlfn.XLOOKUP(E1356,[3]Sheet1!$A$2:$A$391,[3]Sheet1!$A$2:$A$391)</f>
        <v>PO10091</v>
      </c>
    </row>
    <row r="1357" spans="1:14" x14ac:dyDescent="0.2">
      <c r="A1357" t="s">
        <v>1366</v>
      </c>
      <c r="B1357" s="2">
        <v>46279</v>
      </c>
      <c r="C1357" t="s">
        <v>2939</v>
      </c>
      <c r="D1357" t="s">
        <v>2947</v>
      </c>
      <c r="E1357" t="s">
        <v>3041</v>
      </c>
      <c r="F1357" s="3">
        <v>46280.207721688123</v>
      </c>
      <c r="G1357" s="3">
        <v>46280.240195647057</v>
      </c>
      <c r="H1357">
        <v>46.76</v>
      </c>
      <c r="I1357" t="s">
        <v>3150</v>
      </c>
      <c r="J1357" t="s">
        <v>3160</v>
      </c>
      <c r="K1357" t="s">
        <v>3178</v>
      </c>
      <c r="L1357" t="str">
        <f>_xlfn.XLOOKUP(C1357,[1]!Table1[Shift_ID],[1]!Table1[Shift_ID])</f>
        <v>S03</v>
      </c>
      <c r="M1357" t="str">
        <f>_xlfn.XLOOKUP(D1357,[2]!Table1[Machine_ID],[2]!Table1[Machine_ID])</f>
        <v>M006</v>
      </c>
      <c r="N1357" t="str">
        <f>_xlfn.XLOOKUP(E1357,[3]Sheet1!$A$2:$A$391,[3]Sheet1!$A$2:$A$391)</f>
        <v>PO10091</v>
      </c>
    </row>
    <row r="1358" spans="1:14" x14ac:dyDescent="0.2">
      <c r="A1358" t="s">
        <v>1367</v>
      </c>
      <c r="B1358" s="2">
        <v>46279</v>
      </c>
      <c r="C1358" t="s">
        <v>2939</v>
      </c>
      <c r="D1358" t="s">
        <v>2948</v>
      </c>
      <c r="E1358" t="s">
        <v>3041</v>
      </c>
      <c r="F1358" s="3">
        <v>46280.035715333273</v>
      </c>
      <c r="G1358" s="3">
        <v>46280.037904364413</v>
      </c>
      <c r="H1358">
        <v>3.15</v>
      </c>
      <c r="I1358" t="s">
        <v>3147</v>
      </c>
      <c r="J1358" t="s">
        <v>3154</v>
      </c>
      <c r="K1358" t="s">
        <v>3186</v>
      </c>
      <c r="L1358" t="str">
        <f>_xlfn.XLOOKUP(C1358,[1]!Table1[Shift_ID],[1]!Table1[Shift_ID])</f>
        <v>S03</v>
      </c>
      <c r="M1358" t="str">
        <f>_xlfn.XLOOKUP(D1358,[2]!Table1[Machine_ID],[2]!Table1[Machine_ID])</f>
        <v>M007</v>
      </c>
      <c r="N1358" t="str">
        <f>_xlfn.XLOOKUP(E1358,[3]Sheet1!$A$2:$A$391,[3]Sheet1!$A$2:$A$391)</f>
        <v>PO10091</v>
      </c>
    </row>
    <row r="1359" spans="1:14" x14ac:dyDescent="0.2">
      <c r="A1359" t="s">
        <v>1368</v>
      </c>
      <c r="B1359" s="2">
        <v>46279</v>
      </c>
      <c r="C1359" t="s">
        <v>2939</v>
      </c>
      <c r="D1359" t="s">
        <v>2948</v>
      </c>
      <c r="E1359" t="s">
        <v>3041</v>
      </c>
      <c r="F1359" s="3">
        <v>46280.041906184248</v>
      </c>
      <c r="G1359" s="3">
        <v>46280.047875993369</v>
      </c>
      <c r="H1359">
        <v>8.6</v>
      </c>
      <c r="I1359" t="s">
        <v>3147</v>
      </c>
      <c r="J1359" t="s">
        <v>3154</v>
      </c>
      <c r="K1359" t="s">
        <v>3186</v>
      </c>
      <c r="L1359" t="str">
        <f>_xlfn.XLOOKUP(C1359,[1]!Table1[Shift_ID],[1]!Table1[Shift_ID])</f>
        <v>S03</v>
      </c>
      <c r="M1359" t="str">
        <f>_xlfn.XLOOKUP(D1359,[2]!Table1[Machine_ID],[2]!Table1[Machine_ID])</f>
        <v>M007</v>
      </c>
      <c r="N1359" t="str">
        <f>_xlfn.XLOOKUP(E1359,[3]Sheet1!$A$2:$A$391,[3]Sheet1!$A$2:$A$391)</f>
        <v>PO10091</v>
      </c>
    </row>
    <row r="1360" spans="1:14" x14ac:dyDescent="0.2">
      <c r="A1360" t="s">
        <v>1369</v>
      </c>
      <c r="B1360" s="2">
        <v>46279</v>
      </c>
      <c r="C1360" t="s">
        <v>2939</v>
      </c>
      <c r="D1360" t="s">
        <v>2948</v>
      </c>
      <c r="E1360" t="s">
        <v>3041</v>
      </c>
      <c r="F1360" s="3">
        <v>46280.082643990128</v>
      </c>
      <c r="G1360" s="3">
        <v>46280.084939316017</v>
      </c>
      <c r="H1360">
        <v>3.31</v>
      </c>
      <c r="I1360" t="s">
        <v>3149</v>
      </c>
      <c r="J1360" t="s">
        <v>3158</v>
      </c>
      <c r="K1360" t="s">
        <v>3184</v>
      </c>
      <c r="L1360" t="str">
        <f>_xlfn.XLOOKUP(C1360,[1]!Table1[Shift_ID],[1]!Table1[Shift_ID])</f>
        <v>S03</v>
      </c>
      <c r="M1360" t="str">
        <f>_xlfn.XLOOKUP(D1360,[2]!Table1[Machine_ID],[2]!Table1[Machine_ID])</f>
        <v>M007</v>
      </c>
      <c r="N1360" t="str">
        <f>_xlfn.XLOOKUP(E1360,[3]Sheet1!$A$2:$A$391,[3]Sheet1!$A$2:$A$391)</f>
        <v>PO10091</v>
      </c>
    </row>
    <row r="1361" spans="1:14" x14ac:dyDescent="0.2">
      <c r="A1361" t="s">
        <v>1370</v>
      </c>
      <c r="B1361" s="2">
        <v>46279</v>
      </c>
      <c r="C1361" t="s">
        <v>2939</v>
      </c>
      <c r="D1361" t="s">
        <v>2948</v>
      </c>
      <c r="E1361" t="s">
        <v>3041</v>
      </c>
      <c r="F1361" s="3">
        <v>46280.207585503551</v>
      </c>
      <c r="G1361" s="3">
        <v>46280.21269997675</v>
      </c>
      <c r="H1361">
        <v>7.36</v>
      </c>
      <c r="I1361" t="s">
        <v>3148</v>
      </c>
      <c r="J1361" t="s">
        <v>3164</v>
      </c>
      <c r="K1361" t="s">
        <v>3183</v>
      </c>
      <c r="L1361" t="str">
        <f>_xlfn.XLOOKUP(C1361,[1]!Table1[Shift_ID],[1]!Table1[Shift_ID])</f>
        <v>S03</v>
      </c>
      <c r="M1361" t="str">
        <f>_xlfn.XLOOKUP(D1361,[2]!Table1[Machine_ID],[2]!Table1[Machine_ID])</f>
        <v>M007</v>
      </c>
      <c r="N1361" t="str">
        <f>_xlfn.XLOOKUP(E1361,[3]Sheet1!$A$2:$A$391,[3]Sheet1!$A$2:$A$391)</f>
        <v>PO10091</v>
      </c>
    </row>
    <row r="1362" spans="1:14" x14ac:dyDescent="0.2">
      <c r="A1362" t="s">
        <v>1371</v>
      </c>
      <c r="B1362" s="2">
        <v>46279</v>
      </c>
      <c r="C1362" t="s">
        <v>2939</v>
      </c>
      <c r="D1362" t="s">
        <v>2949</v>
      </c>
      <c r="E1362" t="s">
        <v>3041</v>
      </c>
      <c r="F1362" s="3">
        <v>46280.086314445391</v>
      </c>
      <c r="G1362" s="3">
        <v>46280.093112275223</v>
      </c>
      <c r="H1362">
        <v>9.7899999999999991</v>
      </c>
      <c r="I1362" t="s">
        <v>3147</v>
      </c>
      <c r="J1362" t="s">
        <v>3153</v>
      </c>
      <c r="K1362" t="s">
        <v>3172</v>
      </c>
      <c r="L1362" t="str">
        <f>_xlfn.XLOOKUP(C1362,[1]!Table1[Shift_ID],[1]!Table1[Shift_ID])</f>
        <v>S03</v>
      </c>
      <c r="M1362" t="str">
        <f>_xlfn.XLOOKUP(D1362,[2]!Table1[Machine_ID],[2]!Table1[Machine_ID])</f>
        <v>M008</v>
      </c>
      <c r="N1362" t="str">
        <f>_xlfn.XLOOKUP(E1362,[3]Sheet1!$A$2:$A$391,[3]Sheet1!$A$2:$A$391)</f>
        <v>PO10091</v>
      </c>
    </row>
    <row r="1363" spans="1:14" x14ac:dyDescent="0.2">
      <c r="A1363" t="s">
        <v>1372</v>
      </c>
      <c r="B1363" s="2">
        <v>46279</v>
      </c>
      <c r="C1363" t="s">
        <v>2940</v>
      </c>
      <c r="D1363" t="s">
        <v>2942</v>
      </c>
      <c r="E1363" t="s">
        <v>3042</v>
      </c>
      <c r="F1363" s="3">
        <v>46279.273066189387</v>
      </c>
      <c r="G1363" s="3">
        <v>46279.278596714314</v>
      </c>
      <c r="H1363">
        <v>7.96</v>
      </c>
      <c r="I1363" t="s">
        <v>3147</v>
      </c>
      <c r="J1363" t="s">
        <v>3154</v>
      </c>
      <c r="K1363" t="s">
        <v>3186</v>
      </c>
      <c r="L1363" t="str">
        <f>_xlfn.XLOOKUP(C1363,[1]!Table1[Shift_ID],[1]!Table1[Shift_ID])</f>
        <v>S01</v>
      </c>
      <c r="M1363" t="str">
        <f>_xlfn.XLOOKUP(D1363,[2]!Table1[Machine_ID],[2]!Table1[Machine_ID])</f>
        <v>M001</v>
      </c>
      <c r="N1363" t="str">
        <f>_xlfn.XLOOKUP(E1363,[3]Sheet1!$A$2:$A$391,[3]Sheet1!$A$2:$A$391)</f>
        <v>PO10092</v>
      </c>
    </row>
    <row r="1364" spans="1:14" x14ac:dyDescent="0.2">
      <c r="A1364" t="s">
        <v>1373</v>
      </c>
      <c r="B1364" s="2">
        <v>46279</v>
      </c>
      <c r="C1364" t="s">
        <v>2940</v>
      </c>
      <c r="D1364" t="s">
        <v>2943</v>
      </c>
      <c r="E1364" t="s">
        <v>3042</v>
      </c>
      <c r="F1364" s="3">
        <v>46279.412709447017</v>
      </c>
      <c r="G1364" s="3">
        <v>46279.423187320499</v>
      </c>
      <c r="H1364">
        <v>15.09</v>
      </c>
      <c r="I1364" t="s">
        <v>3147</v>
      </c>
      <c r="J1364" t="s">
        <v>3153</v>
      </c>
      <c r="K1364" t="s">
        <v>3185</v>
      </c>
      <c r="L1364" t="str">
        <f>_xlfn.XLOOKUP(C1364,[1]!Table1[Shift_ID],[1]!Table1[Shift_ID])</f>
        <v>S01</v>
      </c>
      <c r="M1364" t="str">
        <f>_xlfn.XLOOKUP(D1364,[2]!Table1[Machine_ID],[2]!Table1[Machine_ID])</f>
        <v>M002</v>
      </c>
      <c r="N1364" t="str">
        <f>_xlfn.XLOOKUP(E1364,[3]Sheet1!$A$2:$A$391,[3]Sheet1!$A$2:$A$391)</f>
        <v>PO10092</v>
      </c>
    </row>
    <row r="1365" spans="1:14" x14ac:dyDescent="0.2">
      <c r="A1365" t="s">
        <v>1374</v>
      </c>
      <c r="B1365" s="2">
        <v>46279</v>
      </c>
      <c r="C1365" t="s">
        <v>2940</v>
      </c>
      <c r="D1365" t="s">
        <v>2944</v>
      </c>
      <c r="E1365" t="s">
        <v>3042</v>
      </c>
      <c r="F1365" s="3">
        <v>46279.39046448619</v>
      </c>
      <c r="G1365" s="3">
        <v>46279.392440577343</v>
      </c>
      <c r="H1365">
        <v>2.85</v>
      </c>
      <c r="I1365" t="s">
        <v>3147</v>
      </c>
      <c r="J1365" t="s">
        <v>3167</v>
      </c>
      <c r="K1365" t="s">
        <v>3186</v>
      </c>
      <c r="L1365" t="str">
        <f>_xlfn.XLOOKUP(C1365,[1]!Table1[Shift_ID],[1]!Table1[Shift_ID])</f>
        <v>S01</v>
      </c>
      <c r="M1365" t="str">
        <f>_xlfn.XLOOKUP(D1365,[2]!Table1[Machine_ID],[2]!Table1[Machine_ID])</f>
        <v>M003</v>
      </c>
      <c r="N1365" t="str">
        <f>_xlfn.XLOOKUP(E1365,[3]Sheet1!$A$2:$A$391,[3]Sheet1!$A$2:$A$391)</f>
        <v>PO10092</v>
      </c>
    </row>
    <row r="1366" spans="1:14" x14ac:dyDescent="0.2">
      <c r="A1366" t="s">
        <v>1375</v>
      </c>
      <c r="B1366" s="2">
        <v>46279</v>
      </c>
      <c r="C1366" t="s">
        <v>2940</v>
      </c>
      <c r="D1366" t="s">
        <v>2944</v>
      </c>
      <c r="E1366" t="s">
        <v>3042</v>
      </c>
      <c r="F1366" s="3">
        <v>46279.408167279813</v>
      </c>
      <c r="G1366" s="3">
        <v>46279.41281812737</v>
      </c>
      <c r="H1366">
        <v>6.7</v>
      </c>
      <c r="I1366" t="s">
        <v>3146</v>
      </c>
      <c r="J1366" t="s">
        <v>3152</v>
      </c>
      <c r="K1366" t="s">
        <v>3174</v>
      </c>
      <c r="L1366" t="str">
        <f>_xlfn.XLOOKUP(C1366,[1]!Table1[Shift_ID],[1]!Table1[Shift_ID])</f>
        <v>S01</v>
      </c>
      <c r="M1366" t="str">
        <f>_xlfn.XLOOKUP(D1366,[2]!Table1[Machine_ID],[2]!Table1[Machine_ID])</f>
        <v>M003</v>
      </c>
      <c r="N1366" t="str">
        <f>_xlfn.XLOOKUP(E1366,[3]Sheet1!$A$2:$A$391,[3]Sheet1!$A$2:$A$391)</f>
        <v>PO10092</v>
      </c>
    </row>
    <row r="1367" spans="1:14" x14ac:dyDescent="0.2">
      <c r="A1367" t="s">
        <v>1376</v>
      </c>
      <c r="B1367" s="2">
        <v>46279</v>
      </c>
      <c r="C1367" t="s">
        <v>2940</v>
      </c>
      <c r="D1367" t="s">
        <v>2944</v>
      </c>
      <c r="E1367" t="s">
        <v>3042</v>
      </c>
      <c r="F1367" s="3">
        <v>46279.54411305314</v>
      </c>
      <c r="G1367" s="3">
        <v>46279.548334462903</v>
      </c>
      <c r="H1367">
        <v>6.08</v>
      </c>
      <c r="I1367" t="s">
        <v>3147</v>
      </c>
      <c r="J1367" t="s">
        <v>3154</v>
      </c>
      <c r="K1367" t="s">
        <v>3172</v>
      </c>
      <c r="L1367" t="str">
        <f>_xlfn.XLOOKUP(C1367,[1]!Table1[Shift_ID],[1]!Table1[Shift_ID])</f>
        <v>S01</v>
      </c>
      <c r="M1367" t="str">
        <f>_xlfn.XLOOKUP(D1367,[2]!Table1[Machine_ID],[2]!Table1[Machine_ID])</f>
        <v>M003</v>
      </c>
      <c r="N1367" t="str">
        <f>_xlfn.XLOOKUP(E1367,[3]Sheet1!$A$2:$A$391,[3]Sheet1!$A$2:$A$391)</f>
        <v>PO10092</v>
      </c>
    </row>
    <row r="1368" spans="1:14" x14ac:dyDescent="0.2">
      <c r="A1368" t="s">
        <v>1377</v>
      </c>
      <c r="B1368" s="2">
        <v>46279</v>
      </c>
      <c r="C1368" t="s">
        <v>2940</v>
      </c>
      <c r="D1368" t="s">
        <v>2945</v>
      </c>
      <c r="E1368" t="s">
        <v>3042</v>
      </c>
      <c r="F1368" s="3">
        <v>46279.274399535461</v>
      </c>
      <c r="G1368" s="3">
        <v>46279.275812032291</v>
      </c>
      <c r="H1368">
        <v>2.0299999999999998</v>
      </c>
      <c r="I1368" t="s">
        <v>3150</v>
      </c>
      <c r="J1368" t="s">
        <v>3163</v>
      </c>
      <c r="K1368" t="s">
        <v>3177</v>
      </c>
      <c r="L1368" t="str">
        <f>_xlfn.XLOOKUP(C1368,[1]!Table1[Shift_ID],[1]!Table1[Shift_ID])</f>
        <v>S01</v>
      </c>
      <c r="M1368" t="str">
        <f>_xlfn.XLOOKUP(D1368,[2]!Table1[Machine_ID],[2]!Table1[Machine_ID])</f>
        <v>M004</v>
      </c>
      <c r="N1368" t="str">
        <f>_xlfn.XLOOKUP(E1368,[3]Sheet1!$A$2:$A$391,[3]Sheet1!$A$2:$A$391)</f>
        <v>PO10092</v>
      </c>
    </row>
    <row r="1369" spans="1:14" x14ac:dyDescent="0.2">
      <c r="A1369" t="s">
        <v>1378</v>
      </c>
      <c r="B1369" s="2">
        <v>46279</v>
      </c>
      <c r="C1369" t="s">
        <v>2940</v>
      </c>
      <c r="D1369" t="s">
        <v>2945</v>
      </c>
      <c r="E1369" t="s">
        <v>3042</v>
      </c>
      <c r="F1369" s="3">
        <v>46279.509114478438</v>
      </c>
      <c r="G1369" s="3">
        <v>46279.511310172013</v>
      </c>
      <c r="H1369">
        <v>3.16</v>
      </c>
      <c r="I1369" t="s">
        <v>3147</v>
      </c>
      <c r="J1369" t="s">
        <v>3167</v>
      </c>
      <c r="K1369" t="s">
        <v>3186</v>
      </c>
      <c r="L1369" t="str">
        <f>_xlfn.XLOOKUP(C1369,[1]!Table1[Shift_ID],[1]!Table1[Shift_ID])</f>
        <v>S01</v>
      </c>
      <c r="M1369" t="str">
        <f>_xlfn.XLOOKUP(D1369,[2]!Table1[Machine_ID],[2]!Table1[Machine_ID])</f>
        <v>M004</v>
      </c>
      <c r="N1369" t="str">
        <f>_xlfn.XLOOKUP(E1369,[3]Sheet1!$A$2:$A$391,[3]Sheet1!$A$2:$A$391)</f>
        <v>PO10092</v>
      </c>
    </row>
    <row r="1370" spans="1:14" x14ac:dyDescent="0.2">
      <c r="A1370" t="s">
        <v>1379</v>
      </c>
      <c r="B1370" s="2">
        <v>46279</v>
      </c>
      <c r="C1370" t="s">
        <v>2940</v>
      </c>
      <c r="D1370" t="s">
        <v>2945</v>
      </c>
      <c r="E1370" t="s">
        <v>3042</v>
      </c>
      <c r="F1370" s="3">
        <v>46279.509945535188</v>
      </c>
      <c r="G1370" s="3">
        <v>46279.512148919603</v>
      </c>
      <c r="H1370">
        <v>3.17</v>
      </c>
      <c r="I1370" t="s">
        <v>3149</v>
      </c>
      <c r="J1370" t="s">
        <v>3168</v>
      </c>
      <c r="K1370" t="s">
        <v>3182</v>
      </c>
      <c r="L1370" t="str">
        <f>_xlfn.XLOOKUP(C1370,[1]!Table1[Shift_ID],[1]!Table1[Shift_ID])</f>
        <v>S01</v>
      </c>
      <c r="M1370" t="str">
        <f>_xlfn.XLOOKUP(D1370,[2]!Table1[Machine_ID],[2]!Table1[Machine_ID])</f>
        <v>M004</v>
      </c>
      <c r="N1370" t="str">
        <f>_xlfn.XLOOKUP(E1370,[3]Sheet1!$A$2:$A$391,[3]Sheet1!$A$2:$A$391)</f>
        <v>PO10092</v>
      </c>
    </row>
    <row r="1371" spans="1:14" x14ac:dyDescent="0.2">
      <c r="A1371" t="s">
        <v>1380</v>
      </c>
      <c r="B1371" s="2">
        <v>46279</v>
      </c>
      <c r="C1371" t="s">
        <v>2940</v>
      </c>
      <c r="D1371" t="s">
        <v>2945</v>
      </c>
      <c r="E1371" t="s">
        <v>3042</v>
      </c>
      <c r="F1371" s="3">
        <v>46279.560217298298</v>
      </c>
      <c r="G1371" s="3">
        <v>46279.561629795127</v>
      </c>
      <c r="H1371">
        <v>2.0299999999999998</v>
      </c>
      <c r="I1371" t="s">
        <v>3147</v>
      </c>
      <c r="J1371" t="s">
        <v>3154</v>
      </c>
      <c r="K1371" t="s">
        <v>3185</v>
      </c>
      <c r="L1371" t="str">
        <f>_xlfn.XLOOKUP(C1371,[1]!Table1[Shift_ID],[1]!Table1[Shift_ID])</f>
        <v>S01</v>
      </c>
      <c r="M1371" t="str">
        <f>_xlfn.XLOOKUP(D1371,[2]!Table1[Machine_ID],[2]!Table1[Machine_ID])</f>
        <v>M004</v>
      </c>
      <c r="N1371" t="str">
        <f>_xlfn.XLOOKUP(E1371,[3]Sheet1!$A$2:$A$391,[3]Sheet1!$A$2:$A$391)</f>
        <v>PO10092</v>
      </c>
    </row>
    <row r="1372" spans="1:14" x14ac:dyDescent="0.2">
      <c r="A1372" t="s">
        <v>1381</v>
      </c>
      <c r="B1372" s="2">
        <v>46279</v>
      </c>
      <c r="C1372" t="s">
        <v>2940</v>
      </c>
      <c r="D1372" t="s">
        <v>2946</v>
      </c>
      <c r="E1372" t="s">
        <v>3042</v>
      </c>
      <c r="F1372" s="3">
        <v>46279.517821267553</v>
      </c>
      <c r="G1372" s="3">
        <v>46279.52855624973</v>
      </c>
      <c r="H1372">
        <v>15.46</v>
      </c>
      <c r="I1372" t="s">
        <v>3150</v>
      </c>
      <c r="J1372" t="s">
        <v>3163</v>
      </c>
      <c r="K1372" t="s">
        <v>3177</v>
      </c>
      <c r="L1372" t="str">
        <f>_xlfn.XLOOKUP(C1372,[1]!Table1[Shift_ID],[1]!Table1[Shift_ID])</f>
        <v>S01</v>
      </c>
      <c r="M1372" t="str">
        <f>_xlfn.XLOOKUP(D1372,[2]!Table1[Machine_ID],[2]!Table1[Machine_ID])</f>
        <v>M005</v>
      </c>
      <c r="N1372" t="str">
        <f>_xlfn.XLOOKUP(E1372,[3]Sheet1!$A$2:$A$391,[3]Sheet1!$A$2:$A$391)</f>
        <v>PO10092</v>
      </c>
    </row>
    <row r="1373" spans="1:14" x14ac:dyDescent="0.2">
      <c r="A1373" t="s">
        <v>1382</v>
      </c>
      <c r="B1373" s="2">
        <v>46279</v>
      </c>
      <c r="C1373" t="s">
        <v>2940</v>
      </c>
      <c r="D1373" t="s">
        <v>2947</v>
      </c>
      <c r="E1373" t="s">
        <v>3042</v>
      </c>
      <c r="F1373" s="3">
        <v>46279.514888565624</v>
      </c>
      <c r="G1373" s="3">
        <v>46279.549929746478</v>
      </c>
      <c r="H1373">
        <v>50.46</v>
      </c>
      <c r="I1373" t="s">
        <v>3149</v>
      </c>
      <c r="J1373" t="s">
        <v>3158</v>
      </c>
      <c r="K1373" t="s">
        <v>3184</v>
      </c>
      <c r="L1373" t="str">
        <f>_xlfn.XLOOKUP(C1373,[1]!Table1[Shift_ID],[1]!Table1[Shift_ID])</f>
        <v>S01</v>
      </c>
      <c r="M1373" t="str">
        <f>_xlfn.XLOOKUP(D1373,[2]!Table1[Machine_ID],[2]!Table1[Machine_ID])</f>
        <v>M006</v>
      </c>
      <c r="N1373" t="str">
        <f>_xlfn.XLOOKUP(E1373,[3]Sheet1!$A$2:$A$391,[3]Sheet1!$A$2:$A$391)</f>
        <v>PO10092</v>
      </c>
    </row>
    <row r="1374" spans="1:14" x14ac:dyDescent="0.2">
      <c r="A1374" t="s">
        <v>1383</v>
      </c>
      <c r="B1374" s="2">
        <v>46279</v>
      </c>
      <c r="C1374" t="s">
        <v>2940</v>
      </c>
      <c r="D1374" t="s">
        <v>2948</v>
      </c>
      <c r="E1374" t="s">
        <v>3042</v>
      </c>
      <c r="F1374" s="3">
        <v>46279.25048072957</v>
      </c>
      <c r="G1374" s="3">
        <v>46279.264791990718</v>
      </c>
      <c r="H1374">
        <v>20.61</v>
      </c>
      <c r="I1374" t="s">
        <v>3146</v>
      </c>
      <c r="J1374" t="s">
        <v>3157</v>
      </c>
      <c r="K1374" t="s">
        <v>3174</v>
      </c>
      <c r="L1374" t="str">
        <f>_xlfn.XLOOKUP(C1374,[1]!Table1[Shift_ID],[1]!Table1[Shift_ID])</f>
        <v>S01</v>
      </c>
      <c r="M1374" t="str">
        <f>_xlfn.XLOOKUP(D1374,[2]!Table1[Machine_ID],[2]!Table1[Machine_ID])</f>
        <v>M007</v>
      </c>
      <c r="N1374" t="str">
        <f>_xlfn.XLOOKUP(E1374,[3]Sheet1!$A$2:$A$391,[3]Sheet1!$A$2:$A$391)</f>
        <v>PO10092</v>
      </c>
    </row>
    <row r="1375" spans="1:14" x14ac:dyDescent="0.2">
      <c r="A1375" t="s">
        <v>1384</v>
      </c>
      <c r="B1375" s="2">
        <v>46279</v>
      </c>
      <c r="C1375" t="s">
        <v>2940</v>
      </c>
      <c r="D1375" t="s">
        <v>2948</v>
      </c>
      <c r="E1375" t="s">
        <v>3042</v>
      </c>
      <c r="F1375" s="3">
        <v>46279.276927628773</v>
      </c>
      <c r="G1375" s="3">
        <v>46279.278997105117</v>
      </c>
      <c r="H1375">
        <v>2.98</v>
      </c>
      <c r="I1375" t="s">
        <v>3146</v>
      </c>
      <c r="J1375" t="s">
        <v>3156</v>
      </c>
      <c r="K1375" t="s">
        <v>3174</v>
      </c>
      <c r="L1375" t="str">
        <f>_xlfn.XLOOKUP(C1375,[1]!Table1[Shift_ID],[1]!Table1[Shift_ID])</f>
        <v>S01</v>
      </c>
      <c r="M1375" t="str">
        <f>_xlfn.XLOOKUP(D1375,[2]!Table1[Machine_ID],[2]!Table1[Machine_ID])</f>
        <v>M007</v>
      </c>
      <c r="N1375" t="str">
        <f>_xlfn.XLOOKUP(E1375,[3]Sheet1!$A$2:$A$391,[3]Sheet1!$A$2:$A$391)</f>
        <v>PO10092</v>
      </c>
    </row>
    <row r="1376" spans="1:14" x14ac:dyDescent="0.2">
      <c r="A1376" t="s">
        <v>1385</v>
      </c>
      <c r="B1376" s="2">
        <v>46279</v>
      </c>
      <c r="C1376" t="s">
        <v>2940</v>
      </c>
      <c r="D1376" t="s">
        <v>2948</v>
      </c>
      <c r="E1376" t="s">
        <v>3042</v>
      </c>
      <c r="F1376" s="3">
        <v>46279.340487983289</v>
      </c>
      <c r="G1376" s="3">
        <v>46279.34359226052</v>
      </c>
      <c r="H1376">
        <v>4.47</v>
      </c>
      <c r="I1376" t="s">
        <v>3147</v>
      </c>
      <c r="J1376" t="s">
        <v>3154</v>
      </c>
      <c r="K1376" t="s">
        <v>3185</v>
      </c>
      <c r="L1376" t="str">
        <f>_xlfn.XLOOKUP(C1376,[1]!Table1[Shift_ID],[1]!Table1[Shift_ID])</f>
        <v>S01</v>
      </c>
      <c r="M1376" t="str">
        <f>_xlfn.XLOOKUP(D1376,[2]!Table1[Machine_ID],[2]!Table1[Machine_ID])</f>
        <v>M007</v>
      </c>
      <c r="N1376" t="str">
        <f>_xlfn.XLOOKUP(E1376,[3]Sheet1!$A$2:$A$391,[3]Sheet1!$A$2:$A$391)</f>
        <v>PO10092</v>
      </c>
    </row>
    <row r="1377" spans="1:14" x14ac:dyDescent="0.2">
      <c r="A1377" t="s">
        <v>1386</v>
      </c>
      <c r="B1377" s="2">
        <v>46279</v>
      </c>
      <c r="C1377" t="s">
        <v>2940</v>
      </c>
      <c r="D1377" t="s">
        <v>2949</v>
      </c>
      <c r="E1377" t="s">
        <v>3042</v>
      </c>
      <c r="F1377" s="3">
        <v>46279.399556755969</v>
      </c>
      <c r="G1377" s="3">
        <v>46279.401295803647</v>
      </c>
      <c r="H1377">
        <v>2.5</v>
      </c>
      <c r="I1377" t="s">
        <v>3151</v>
      </c>
      <c r="J1377" t="s">
        <v>3170</v>
      </c>
      <c r="K1377" t="s">
        <v>3188</v>
      </c>
      <c r="L1377" t="str">
        <f>_xlfn.XLOOKUP(C1377,[1]!Table1[Shift_ID],[1]!Table1[Shift_ID])</f>
        <v>S01</v>
      </c>
      <c r="M1377" t="str">
        <f>_xlfn.XLOOKUP(D1377,[2]!Table1[Machine_ID],[2]!Table1[Machine_ID])</f>
        <v>M008</v>
      </c>
      <c r="N1377" t="str">
        <f>_xlfn.XLOOKUP(E1377,[3]Sheet1!$A$2:$A$391,[3]Sheet1!$A$2:$A$391)</f>
        <v>PO10092</v>
      </c>
    </row>
    <row r="1378" spans="1:14" x14ac:dyDescent="0.2">
      <c r="A1378" t="s">
        <v>1387</v>
      </c>
      <c r="B1378" s="2">
        <v>46279</v>
      </c>
      <c r="C1378" t="s">
        <v>2940</v>
      </c>
      <c r="D1378" t="s">
        <v>2949</v>
      </c>
      <c r="E1378" t="s">
        <v>3042</v>
      </c>
      <c r="F1378" s="3">
        <v>46279.401780829052</v>
      </c>
      <c r="G1378" s="3">
        <v>46279.406544697107</v>
      </c>
      <c r="H1378">
        <v>6.86</v>
      </c>
      <c r="I1378" t="s">
        <v>3148</v>
      </c>
      <c r="J1378" t="s">
        <v>3164</v>
      </c>
      <c r="K1378" t="s">
        <v>3173</v>
      </c>
      <c r="L1378" t="str">
        <f>_xlfn.XLOOKUP(C1378,[1]!Table1[Shift_ID],[1]!Table1[Shift_ID])</f>
        <v>S01</v>
      </c>
      <c r="M1378" t="str">
        <f>_xlfn.XLOOKUP(D1378,[2]!Table1[Machine_ID],[2]!Table1[Machine_ID])</f>
        <v>M008</v>
      </c>
      <c r="N1378" t="str">
        <f>_xlfn.XLOOKUP(E1378,[3]Sheet1!$A$2:$A$391,[3]Sheet1!$A$2:$A$391)</f>
        <v>PO10092</v>
      </c>
    </row>
    <row r="1379" spans="1:14" x14ac:dyDescent="0.2">
      <c r="A1379" t="s">
        <v>1388</v>
      </c>
      <c r="B1379" s="2">
        <v>46279</v>
      </c>
      <c r="C1379" t="s">
        <v>2941</v>
      </c>
      <c r="D1379" t="s">
        <v>2942</v>
      </c>
      <c r="E1379" t="s">
        <v>3043</v>
      </c>
      <c r="F1379" s="3">
        <v>46279.75367127046</v>
      </c>
      <c r="G1379" s="3">
        <v>46279.759354822258</v>
      </c>
      <c r="H1379">
        <v>8.18</v>
      </c>
      <c r="I1379" t="s">
        <v>3151</v>
      </c>
      <c r="J1379" t="s">
        <v>3170</v>
      </c>
      <c r="K1379" t="s">
        <v>3187</v>
      </c>
      <c r="L1379" t="str">
        <f>_xlfn.XLOOKUP(C1379,[1]!Table1[Shift_ID],[1]!Table1[Shift_ID])</f>
        <v>S02</v>
      </c>
      <c r="M1379" t="str">
        <f>_xlfn.XLOOKUP(D1379,[2]!Table1[Machine_ID],[2]!Table1[Machine_ID])</f>
        <v>M001</v>
      </c>
      <c r="N1379" t="str">
        <f>_xlfn.XLOOKUP(E1379,[3]Sheet1!$A$2:$A$391,[3]Sheet1!$A$2:$A$391)</f>
        <v>PO10093</v>
      </c>
    </row>
    <row r="1380" spans="1:14" x14ac:dyDescent="0.2">
      <c r="A1380" t="s">
        <v>1389</v>
      </c>
      <c r="B1380" s="2">
        <v>46279</v>
      </c>
      <c r="C1380" t="s">
        <v>2941</v>
      </c>
      <c r="D1380" t="s">
        <v>2943</v>
      </c>
      <c r="E1380" t="s">
        <v>3043</v>
      </c>
      <c r="F1380" s="3">
        <v>46279.799288110349</v>
      </c>
      <c r="G1380" s="3">
        <v>46279.804819620877</v>
      </c>
      <c r="H1380">
        <v>7.97</v>
      </c>
      <c r="I1380" t="s">
        <v>3150</v>
      </c>
      <c r="J1380" t="s">
        <v>3166</v>
      </c>
      <c r="K1380" t="s">
        <v>3179</v>
      </c>
      <c r="L1380" t="str">
        <f>_xlfn.XLOOKUP(C1380,[1]!Table1[Shift_ID],[1]!Table1[Shift_ID])</f>
        <v>S02</v>
      </c>
      <c r="M1380" t="str">
        <f>_xlfn.XLOOKUP(D1380,[2]!Table1[Machine_ID],[2]!Table1[Machine_ID])</f>
        <v>M002</v>
      </c>
      <c r="N1380" t="str">
        <f>_xlfn.XLOOKUP(E1380,[3]Sheet1!$A$2:$A$391,[3]Sheet1!$A$2:$A$391)</f>
        <v>PO10093</v>
      </c>
    </row>
    <row r="1381" spans="1:14" x14ac:dyDescent="0.2">
      <c r="A1381" t="s">
        <v>1390</v>
      </c>
      <c r="B1381" s="2">
        <v>46279</v>
      </c>
      <c r="C1381" t="s">
        <v>2941</v>
      </c>
      <c r="D1381" t="s">
        <v>2943</v>
      </c>
      <c r="E1381" t="s">
        <v>3043</v>
      </c>
      <c r="F1381" s="3">
        <v>46279.866713062591</v>
      </c>
      <c r="G1381" s="3">
        <v>46279.868394144047</v>
      </c>
      <c r="H1381">
        <v>2.42</v>
      </c>
      <c r="I1381" t="s">
        <v>3150</v>
      </c>
      <c r="J1381" t="s">
        <v>3163</v>
      </c>
      <c r="K1381" t="s">
        <v>3177</v>
      </c>
      <c r="L1381" t="str">
        <f>_xlfn.XLOOKUP(C1381,[1]!Table1[Shift_ID],[1]!Table1[Shift_ID])</f>
        <v>S02</v>
      </c>
      <c r="M1381" t="str">
        <f>_xlfn.XLOOKUP(D1381,[2]!Table1[Machine_ID],[2]!Table1[Machine_ID])</f>
        <v>M002</v>
      </c>
      <c r="N1381" t="str">
        <f>_xlfn.XLOOKUP(E1381,[3]Sheet1!$A$2:$A$391,[3]Sheet1!$A$2:$A$391)</f>
        <v>PO10093</v>
      </c>
    </row>
    <row r="1382" spans="1:14" x14ac:dyDescent="0.2">
      <c r="A1382" t="s">
        <v>1391</v>
      </c>
      <c r="B1382" s="2">
        <v>46279</v>
      </c>
      <c r="C1382" t="s">
        <v>2941</v>
      </c>
      <c r="D1382" t="s">
        <v>2944</v>
      </c>
      <c r="E1382" t="s">
        <v>3043</v>
      </c>
      <c r="F1382" s="3">
        <v>46279.747070538157</v>
      </c>
      <c r="G1382" s="3">
        <v>46279.758556332359</v>
      </c>
      <c r="H1382">
        <v>16.54</v>
      </c>
      <c r="I1382" t="s">
        <v>3146</v>
      </c>
      <c r="J1382" t="s">
        <v>3157</v>
      </c>
      <c r="K1382" t="s">
        <v>3171</v>
      </c>
      <c r="L1382" t="str">
        <f>_xlfn.XLOOKUP(C1382,[1]!Table1[Shift_ID],[1]!Table1[Shift_ID])</f>
        <v>S02</v>
      </c>
      <c r="M1382" t="str">
        <f>_xlfn.XLOOKUP(D1382,[2]!Table1[Machine_ID],[2]!Table1[Machine_ID])</f>
        <v>M003</v>
      </c>
      <c r="N1382" t="str">
        <f>_xlfn.XLOOKUP(E1382,[3]Sheet1!$A$2:$A$391,[3]Sheet1!$A$2:$A$391)</f>
        <v>PO10093</v>
      </c>
    </row>
    <row r="1383" spans="1:14" x14ac:dyDescent="0.2">
      <c r="A1383" t="s">
        <v>1392</v>
      </c>
      <c r="B1383" s="2">
        <v>46279</v>
      </c>
      <c r="C1383" t="s">
        <v>2941</v>
      </c>
      <c r="D1383" t="s">
        <v>2945</v>
      </c>
      <c r="E1383" t="s">
        <v>3043</v>
      </c>
      <c r="F1383" s="3">
        <v>46279.646177188508</v>
      </c>
      <c r="G1383" s="3">
        <v>46279.651931783439</v>
      </c>
      <c r="H1383">
        <v>8.2899999999999991</v>
      </c>
      <c r="I1383" t="s">
        <v>3148</v>
      </c>
      <c r="J1383" t="s">
        <v>3165</v>
      </c>
      <c r="K1383" t="s">
        <v>3173</v>
      </c>
      <c r="L1383" t="str">
        <f>_xlfn.XLOOKUP(C1383,[1]!Table1[Shift_ID],[1]!Table1[Shift_ID])</f>
        <v>S02</v>
      </c>
      <c r="M1383" t="str">
        <f>_xlfn.XLOOKUP(D1383,[2]!Table1[Machine_ID],[2]!Table1[Machine_ID])</f>
        <v>M004</v>
      </c>
      <c r="N1383" t="str">
        <f>_xlfn.XLOOKUP(E1383,[3]Sheet1!$A$2:$A$391,[3]Sheet1!$A$2:$A$391)</f>
        <v>PO10093</v>
      </c>
    </row>
    <row r="1384" spans="1:14" x14ac:dyDescent="0.2">
      <c r="A1384" t="s">
        <v>1393</v>
      </c>
      <c r="B1384" s="2">
        <v>46279</v>
      </c>
      <c r="C1384" t="s">
        <v>2941</v>
      </c>
      <c r="D1384" t="s">
        <v>2946</v>
      </c>
      <c r="E1384" t="s">
        <v>3043</v>
      </c>
      <c r="F1384" s="3">
        <v>46279.884416200301</v>
      </c>
      <c r="G1384" s="3">
        <v>46279.8935097453</v>
      </c>
      <c r="H1384">
        <v>13.09</v>
      </c>
      <c r="I1384" t="s">
        <v>3150</v>
      </c>
      <c r="J1384" t="s">
        <v>3163</v>
      </c>
      <c r="K1384" t="s">
        <v>3179</v>
      </c>
      <c r="L1384" t="str">
        <f>_xlfn.XLOOKUP(C1384,[1]!Table1[Shift_ID],[1]!Table1[Shift_ID])</f>
        <v>S02</v>
      </c>
      <c r="M1384" t="str">
        <f>_xlfn.XLOOKUP(D1384,[2]!Table1[Machine_ID],[2]!Table1[Machine_ID])</f>
        <v>M005</v>
      </c>
      <c r="N1384" t="str">
        <f>_xlfn.XLOOKUP(E1384,[3]Sheet1!$A$2:$A$391,[3]Sheet1!$A$2:$A$391)</f>
        <v>PO10093</v>
      </c>
    </row>
    <row r="1385" spans="1:14" x14ac:dyDescent="0.2">
      <c r="A1385" t="s">
        <v>1394</v>
      </c>
      <c r="B1385" s="2">
        <v>46279</v>
      </c>
      <c r="C1385" t="s">
        <v>2941</v>
      </c>
      <c r="D1385" t="s">
        <v>2947</v>
      </c>
      <c r="E1385" t="s">
        <v>3043</v>
      </c>
      <c r="F1385" s="3">
        <v>46279.877523848278</v>
      </c>
      <c r="G1385" s="3">
        <v>46279.88697096087</v>
      </c>
      <c r="H1385">
        <v>13.6</v>
      </c>
      <c r="I1385" t="s">
        <v>3146</v>
      </c>
      <c r="J1385" t="s">
        <v>3152</v>
      </c>
      <c r="K1385" t="s">
        <v>3171</v>
      </c>
      <c r="L1385" t="str">
        <f>_xlfn.XLOOKUP(C1385,[1]!Table1[Shift_ID],[1]!Table1[Shift_ID])</f>
        <v>S02</v>
      </c>
      <c r="M1385" t="str">
        <f>_xlfn.XLOOKUP(D1385,[2]!Table1[Machine_ID],[2]!Table1[Machine_ID])</f>
        <v>M006</v>
      </c>
      <c r="N1385" t="str">
        <f>_xlfn.XLOOKUP(E1385,[3]Sheet1!$A$2:$A$391,[3]Sheet1!$A$2:$A$391)</f>
        <v>PO10093</v>
      </c>
    </row>
    <row r="1386" spans="1:14" x14ac:dyDescent="0.2">
      <c r="A1386" t="s">
        <v>1395</v>
      </c>
      <c r="B1386" s="2">
        <v>46279</v>
      </c>
      <c r="C1386" t="s">
        <v>2941</v>
      </c>
      <c r="D1386" t="s">
        <v>2947</v>
      </c>
      <c r="E1386" t="s">
        <v>3043</v>
      </c>
      <c r="F1386" s="3">
        <v>46279.891819414297</v>
      </c>
      <c r="G1386" s="3">
        <v>46279.90837831745</v>
      </c>
      <c r="H1386">
        <v>23.84</v>
      </c>
      <c r="I1386" t="s">
        <v>3148</v>
      </c>
      <c r="J1386" t="s">
        <v>3165</v>
      </c>
      <c r="K1386" t="s">
        <v>3180</v>
      </c>
      <c r="L1386" t="str">
        <f>_xlfn.XLOOKUP(C1386,[1]!Table1[Shift_ID],[1]!Table1[Shift_ID])</f>
        <v>S02</v>
      </c>
      <c r="M1386" t="str">
        <f>_xlfn.XLOOKUP(D1386,[2]!Table1[Machine_ID],[2]!Table1[Machine_ID])</f>
        <v>M006</v>
      </c>
      <c r="N1386" t="str">
        <f>_xlfn.XLOOKUP(E1386,[3]Sheet1!$A$2:$A$391,[3]Sheet1!$A$2:$A$391)</f>
        <v>PO10093</v>
      </c>
    </row>
    <row r="1387" spans="1:14" x14ac:dyDescent="0.2">
      <c r="A1387" t="s">
        <v>1396</v>
      </c>
      <c r="B1387" s="2">
        <v>46279</v>
      </c>
      <c r="C1387" t="s">
        <v>2941</v>
      </c>
      <c r="D1387" t="s">
        <v>2948</v>
      </c>
      <c r="E1387" t="s">
        <v>3043</v>
      </c>
      <c r="F1387" s="3">
        <v>46279.642483735501</v>
      </c>
      <c r="G1387" s="3">
        <v>46279.645377558852</v>
      </c>
      <c r="H1387">
        <v>4.17</v>
      </c>
      <c r="I1387" t="s">
        <v>3150</v>
      </c>
      <c r="J1387" t="s">
        <v>3160</v>
      </c>
      <c r="K1387" t="s">
        <v>3179</v>
      </c>
      <c r="L1387" t="str">
        <f>_xlfn.XLOOKUP(C1387,[1]!Table1[Shift_ID],[1]!Table1[Shift_ID])</f>
        <v>S02</v>
      </c>
      <c r="M1387" t="str">
        <f>_xlfn.XLOOKUP(D1387,[2]!Table1[Machine_ID],[2]!Table1[Machine_ID])</f>
        <v>M007</v>
      </c>
      <c r="N1387" t="str">
        <f>_xlfn.XLOOKUP(E1387,[3]Sheet1!$A$2:$A$391,[3]Sheet1!$A$2:$A$391)</f>
        <v>PO10093</v>
      </c>
    </row>
    <row r="1388" spans="1:14" x14ac:dyDescent="0.2">
      <c r="A1388" t="s">
        <v>1397</v>
      </c>
      <c r="B1388" s="2">
        <v>46279</v>
      </c>
      <c r="C1388" t="s">
        <v>2941</v>
      </c>
      <c r="D1388" t="s">
        <v>2948</v>
      </c>
      <c r="E1388" t="s">
        <v>3043</v>
      </c>
      <c r="F1388" s="3">
        <v>46279.9012922439</v>
      </c>
      <c r="G1388" s="3">
        <v>46279.909872355129</v>
      </c>
      <c r="H1388">
        <v>12.36</v>
      </c>
      <c r="I1388" t="s">
        <v>3149</v>
      </c>
      <c r="J1388" t="s">
        <v>3158</v>
      </c>
      <c r="K1388" t="s">
        <v>3176</v>
      </c>
      <c r="L1388" t="str">
        <f>_xlfn.XLOOKUP(C1388,[1]!Table1[Shift_ID],[1]!Table1[Shift_ID])</f>
        <v>S02</v>
      </c>
      <c r="M1388" t="str">
        <f>_xlfn.XLOOKUP(D1388,[2]!Table1[Machine_ID],[2]!Table1[Machine_ID])</f>
        <v>M007</v>
      </c>
      <c r="N1388" t="str">
        <f>_xlfn.XLOOKUP(E1388,[3]Sheet1!$A$2:$A$391,[3]Sheet1!$A$2:$A$391)</f>
        <v>PO10093</v>
      </c>
    </row>
    <row r="1389" spans="1:14" x14ac:dyDescent="0.2">
      <c r="A1389" t="s">
        <v>1398</v>
      </c>
      <c r="B1389" s="2">
        <v>46279</v>
      </c>
      <c r="C1389" t="s">
        <v>2941</v>
      </c>
      <c r="D1389" t="s">
        <v>2949</v>
      </c>
      <c r="E1389" t="s">
        <v>3043</v>
      </c>
      <c r="F1389" s="3">
        <v>46279.848846541543</v>
      </c>
      <c r="G1389" s="3">
        <v>46279.852560077627</v>
      </c>
      <c r="H1389">
        <v>5.35</v>
      </c>
      <c r="I1389" t="s">
        <v>3148</v>
      </c>
      <c r="J1389" t="s">
        <v>3165</v>
      </c>
      <c r="K1389" t="s">
        <v>3173</v>
      </c>
      <c r="L1389" t="str">
        <f>_xlfn.XLOOKUP(C1389,[1]!Table1[Shift_ID],[1]!Table1[Shift_ID])</f>
        <v>S02</v>
      </c>
      <c r="M1389" t="str">
        <f>_xlfn.XLOOKUP(D1389,[2]!Table1[Machine_ID],[2]!Table1[Machine_ID])</f>
        <v>M008</v>
      </c>
      <c r="N1389" t="str">
        <f>_xlfn.XLOOKUP(E1389,[3]Sheet1!$A$2:$A$391,[3]Sheet1!$A$2:$A$391)</f>
        <v>PO10093</v>
      </c>
    </row>
    <row r="1390" spans="1:14" x14ac:dyDescent="0.2">
      <c r="A1390" t="s">
        <v>1399</v>
      </c>
      <c r="B1390" s="2">
        <v>46279</v>
      </c>
      <c r="C1390" t="s">
        <v>2941</v>
      </c>
      <c r="D1390" t="s">
        <v>2949</v>
      </c>
      <c r="E1390" t="s">
        <v>3043</v>
      </c>
      <c r="F1390" s="3">
        <v>46279.879902067718</v>
      </c>
      <c r="G1390" s="3">
        <v>46279.881480196389</v>
      </c>
      <c r="H1390">
        <v>2.27</v>
      </c>
      <c r="I1390" t="s">
        <v>3146</v>
      </c>
      <c r="J1390" t="s">
        <v>3156</v>
      </c>
      <c r="K1390" t="s">
        <v>3175</v>
      </c>
      <c r="L1390" t="str">
        <f>_xlfn.XLOOKUP(C1390,[1]!Table1[Shift_ID],[1]!Table1[Shift_ID])</f>
        <v>S02</v>
      </c>
      <c r="M1390" t="str">
        <f>_xlfn.XLOOKUP(D1390,[2]!Table1[Machine_ID],[2]!Table1[Machine_ID])</f>
        <v>M008</v>
      </c>
      <c r="N1390" t="str">
        <f>_xlfn.XLOOKUP(E1390,[3]Sheet1!$A$2:$A$391,[3]Sheet1!$A$2:$A$391)</f>
        <v>PO10093</v>
      </c>
    </row>
    <row r="1391" spans="1:14" x14ac:dyDescent="0.2">
      <c r="A1391" t="s">
        <v>1400</v>
      </c>
      <c r="B1391" s="2">
        <v>46280</v>
      </c>
      <c r="C1391" t="s">
        <v>2939</v>
      </c>
      <c r="D1391" t="s">
        <v>2942</v>
      </c>
      <c r="E1391" t="s">
        <v>3044</v>
      </c>
      <c r="F1391" s="3">
        <v>46281.109664463387</v>
      </c>
      <c r="G1391" s="3">
        <v>46281.113573989453</v>
      </c>
      <c r="H1391">
        <v>5.63</v>
      </c>
      <c r="I1391" t="s">
        <v>3147</v>
      </c>
      <c r="J1391" t="s">
        <v>3153</v>
      </c>
      <c r="K1391" t="s">
        <v>3172</v>
      </c>
      <c r="L1391" t="str">
        <f>_xlfn.XLOOKUP(C1391,[1]!Table1[Shift_ID],[1]!Table1[Shift_ID])</f>
        <v>S03</v>
      </c>
      <c r="M1391" t="str">
        <f>_xlfn.XLOOKUP(D1391,[2]!Table1[Machine_ID],[2]!Table1[Machine_ID])</f>
        <v>M001</v>
      </c>
      <c r="N1391" t="str">
        <f>_xlfn.XLOOKUP(E1391,[3]Sheet1!$A$2:$A$391,[3]Sheet1!$A$2:$A$391)</f>
        <v>PO10094</v>
      </c>
    </row>
    <row r="1392" spans="1:14" x14ac:dyDescent="0.2">
      <c r="A1392" t="s">
        <v>1401</v>
      </c>
      <c r="B1392" s="2">
        <v>46280</v>
      </c>
      <c r="C1392" t="s">
        <v>2939</v>
      </c>
      <c r="D1392" t="s">
        <v>2942</v>
      </c>
      <c r="E1392" t="s">
        <v>3044</v>
      </c>
      <c r="F1392" s="3">
        <v>46281.23202197611</v>
      </c>
      <c r="G1392" s="3">
        <v>46281.234600501157</v>
      </c>
      <c r="H1392">
        <v>3.71</v>
      </c>
      <c r="I1392" t="s">
        <v>3151</v>
      </c>
      <c r="J1392" t="s">
        <v>3161</v>
      </c>
      <c r="K1392" t="s">
        <v>3188</v>
      </c>
      <c r="L1392" t="str">
        <f>_xlfn.XLOOKUP(C1392,[1]!Table1[Shift_ID],[1]!Table1[Shift_ID])</f>
        <v>S03</v>
      </c>
      <c r="M1392" t="str">
        <f>_xlfn.XLOOKUP(D1392,[2]!Table1[Machine_ID],[2]!Table1[Machine_ID])</f>
        <v>M001</v>
      </c>
      <c r="N1392" t="str">
        <f>_xlfn.XLOOKUP(E1392,[3]Sheet1!$A$2:$A$391,[3]Sheet1!$A$2:$A$391)</f>
        <v>PO10094</v>
      </c>
    </row>
    <row r="1393" spans="1:14" x14ac:dyDescent="0.2">
      <c r="A1393" t="s">
        <v>1402</v>
      </c>
      <c r="B1393" s="2">
        <v>46280</v>
      </c>
      <c r="C1393" t="s">
        <v>2939</v>
      </c>
      <c r="D1393" t="s">
        <v>2943</v>
      </c>
      <c r="E1393" t="s">
        <v>3044</v>
      </c>
      <c r="F1393" s="3">
        <v>46281.062600435092</v>
      </c>
      <c r="G1393" s="3">
        <v>46281.064311347684</v>
      </c>
      <c r="H1393">
        <v>2.46</v>
      </c>
      <c r="I1393" t="s">
        <v>3149</v>
      </c>
      <c r="J1393" t="s">
        <v>3162</v>
      </c>
      <c r="K1393" t="s">
        <v>3184</v>
      </c>
      <c r="L1393" t="str">
        <f>_xlfn.XLOOKUP(C1393,[1]!Table1[Shift_ID],[1]!Table1[Shift_ID])</f>
        <v>S03</v>
      </c>
      <c r="M1393" t="str">
        <f>_xlfn.XLOOKUP(D1393,[2]!Table1[Machine_ID],[2]!Table1[Machine_ID])</f>
        <v>M002</v>
      </c>
      <c r="N1393" t="str">
        <f>_xlfn.XLOOKUP(E1393,[3]Sheet1!$A$2:$A$391,[3]Sheet1!$A$2:$A$391)</f>
        <v>PO10094</v>
      </c>
    </row>
    <row r="1394" spans="1:14" x14ac:dyDescent="0.2">
      <c r="A1394" t="s">
        <v>1403</v>
      </c>
      <c r="B1394" s="2">
        <v>46280</v>
      </c>
      <c r="C1394" t="s">
        <v>2939</v>
      </c>
      <c r="D1394" t="s">
        <v>2943</v>
      </c>
      <c r="E1394" t="s">
        <v>3044</v>
      </c>
      <c r="F1394" s="3">
        <v>46281.137298311281</v>
      </c>
      <c r="G1394" s="3">
        <v>46281.144836246807</v>
      </c>
      <c r="H1394">
        <v>10.85</v>
      </c>
      <c r="I1394" t="s">
        <v>3150</v>
      </c>
      <c r="J1394" t="s">
        <v>3163</v>
      </c>
      <c r="K1394" t="s">
        <v>3178</v>
      </c>
      <c r="L1394" t="str">
        <f>_xlfn.XLOOKUP(C1394,[1]!Table1[Shift_ID],[1]!Table1[Shift_ID])</f>
        <v>S03</v>
      </c>
      <c r="M1394" t="str">
        <f>_xlfn.XLOOKUP(D1394,[2]!Table1[Machine_ID],[2]!Table1[Machine_ID])</f>
        <v>M002</v>
      </c>
      <c r="N1394" t="str">
        <f>_xlfn.XLOOKUP(E1394,[3]Sheet1!$A$2:$A$391,[3]Sheet1!$A$2:$A$391)</f>
        <v>PO10094</v>
      </c>
    </row>
    <row r="1395" spans="1:14" x14ac:dyDescent="0.2">
      <c r="A1395" t="s">
        <v>1404</v>
      </c>
      <c r="B1395" s="2">
        <v>46280</v>
      </c>
      <c r="C1395" t="s">
        <v>2939</v>
      </c>
      <c r="D1395" t="s">
        <v>2944</v>
      </c>
      <c r="E1395" t="s">
        <v>3044</v>
      </c>
      <c r="F1395" s="3">
        <v>46280.976401052671</v>
      </c>
      <c r="G1395" s="3">
        <v>46280.980074366227</v>
      </c>
      <c r="H1395">
        <v>5.29</v>
      </c>
      <c r="I1395" t="s">
        <v>3147</v>
      </c>
      <c r="J1395" t="s">
        <v>3154</v>
      </c>
      <c r="K1395" t="s">
        <v>3186</v>
      </c>
      <c r="L1395" t="str">
        <f>_xlfn.XLOOKUP(C1395,[1]!Table1[Shift_ID],[1]!Table1[Shift_ID])</f>
        <v>S03</v>
      </c>
      <c r="M1395" t="str">
        <f>_xlfn.XLOOKUP(D1395,[2]!Table1[Machine_ID],[2]!Table1[Machine_ID])</f>
        <v>M003</v>
      </c>
      <c r="N1395" t="str">
        <f>_xlfn.XLOOKUP(E1395,[3]Sheet1!$A$2:$A$391,[3]Sheet1!$A$2:$A$391)</f>
        <v>PO10094</v>
      </c>
    </row>
    <row r="1396" spans="1:14" x14ac:dyDescent="0.2">
      <c r="A1396" t="s">
        <v>1405</v>
      </c>
      <c r="B1396" s="2">
        <v>46280</v>
      </c>
      <c r="C1396" t="s">
        <v>2939</v>
      </c>
      <c r="D1396" t="s">
        <v>2944</v>
      </c>
      <c r="E1396" t="s">
        <v>3044</v>
      </c>
      <c r="F1396" s="3">
        <v>46281.021015111502</v>
      </c>
      <c r="G1396" s="3">
        <v>46281.02443345551</v>
      </c>
      <c r="H1396">
        <v>4.92</v>
      </c>
      <c r="I1396" t="s">
        <v>3149</v>
      </c>
      <c r="J1396" t="s">
        <v>3162</v>
      </c>
      <c r="K1396" t="s">
        <v>3182</v>
      </c>
      <c r="L1396" t="str">
        <f>_xlfn.XLOOKUP(C1396,[1]!Table1[Shift_ID],[1]!Table1[Shift_ID])</f>
        <v>S03</v>
      </c>
      <c r="M1396" t="str">
        <f>_xlfn.XLOOKUP(D1396,[2]!Table1[Machine_ID],[2]!Table1[Machine_ID])</f>
        <v>M003</v>
      </c>
      <c r="N1396" t="str">
        <f>_xlfn.XLOOKUP(E1396,[3]Sheet1!$A$2:$A$391,[3]Sheet1!$A$2:$A$391)</f>
        <v>PO10094</v>
      </c>
    </row>
    <row r="1397" spans="1:14" x14ac:dyDescent="0.2">
      <c r="A1397" t="s">
        <v>1406</v>
      </c>
      <c r="B1397" s="2">
        <v>46280</v>
      </c>
      <c r="C1397" t="s">
        <v>2939</v>
      </c>
      <c r="D1397" t="s">
        <v>2944</v>
      </c>
      <c r="E1397" t="s">
        <v>3044</v>
      </c>
      <c r="F1397" s="3">
        <v>46281.118719074111</v>
      </c>
      <c r="G1397" s="3">
        <v>46281.122733879281</v>
      </c>
      <c r="H1397">
        <v>5.78</v>
      </c>
      <c r="I1397" t="s">
        <v>3147</v>
      </c>
      <c r="J1397" t="s">
        <v>3167</v>
      </c>
      <c r="K1397" t="s">
        <v>3186</v>
      </c>
      <c r="L1397" t="str">
        <f>_xlfn.XLOOKUP(C1397,[1]!Table1[Shift_ID],[1]!Table1[Shift_ID])</f>
        <v>S03</v>
      </c>
      <c r="M1397" t="str">
        <f>_xlfn.XLOOKUP(D1397,[2]!Table1[Machine_ID],[2]!Table1[Machine_ID])</f>
        <v>M003</v>
      </c>
      <c r="N1397" t="str">
        <f>_xlfn.XLOOKUP(E1397,[3]Sheet1!$A$2:$A$391,[3]Sheet1!$A$2:$A$391)</f>
        <v>PO10094</v>
      </c>
    </row>
    <row r="1398" spans="1:14" x14ac:dyDescent="0.2">
      <c r="A1398" t="s">
        <v>1407</v>
      </c>
      <c r="B1398" s="2">
        <v>46280</v>
      </c>
      <c r="C1398" t="s">
        <v>2939</v>
      </c>
      <c r="D1398" t="s">
        <v>2945</v>
      </c>
      <c r="E1398" t="s">
        <v>3044</v>
      </c>
      <c r="F1398" s="3">
        <v>46281.235687439817</v>
      </c>
      <c r="G1398" s="3">
        <v>46281.243284170268</v>
      </c>
      <c r="H1398">
        <v>10.94</v>
      </c>
      <c r="I1398" t="s">
        <v>3151</v>
      </c>
      <c r="J1398" t="s">
        <v>3170</v>
      </c>
      <c r="K1398" t="s">
        <v>3187</v>
      </c>
      <c r="L1398" t="str">
        <f>_xlfn.XLOOKUP(C1398,[1]!Table1[Shift_ID],[1]!Table1[Shift_ID])</f>
        <v>S03</v>
      </c>
      <c r="M1398" t="str">
        <f>_xlfn.XLOOKUP(D1398,[2]!Table1[Machine_ID],[2]!Table1[Machine_ID])</f>
        <v>M004</v>
      </c>
      <c r="N1398" t="str">
        <f>_xlfn.XLOOKUP(E1398,[3]Sheet1!$A$2:$A$391,[3]Sheet1!$A$2:$A$391)</f>
        <v>PO10094</v>
      </c>
    </row>
    <row r="1399" spans="1:14" x14ac:dyDescent="0.2">
      <c r="A1399" t="s">
        <v>1408</v>
      </c>
      <c r="B1399" s="2">
        <v>46280</v>
      </c>
      <c r="C1399" t="s">
        <v>2939</v>
      </c>
      <c r="D1399" t="s">
        <v>2946</v>
      </c>
      <c r="E1399" t="s">
        <v>3044</v>
      </c>
      <c r="F1399" s="3">
        <v>46281.067781102567</v>
      </c>
      <c r="G1399" s="3">
        <v>46281.070215180873</v>
      </c>
      <c r="H1399">
        <v>3.51</v>
      </c>
      <c r="I1399" t="s">
        <v>3147</v>
      </c>
      <c r="J1399" t="s">
        <v>3153</v>
      </c>
      <c r="K1399" t="s">
        <v>3172</v>
      </c>
      <c r="L1399" t="str">
        <f>_xlfn.XLOOKUP(C1399,[1]!Table1[Shift_ID],[1]!Table1[Shift_ID])</f>
        <v>S03</v>
      </c>
      <c r="M1399" t="str">
        <f>_xlfn.XLOOKUP(D1399,[2]!Table1[Machine_ID],[2]!Table1[Machine_ID])</f>
        <v>M005</v>
      </c>
      <c r="N1399" t="str">
        <f>_xlfn.XLOOKUP(E1399,[3]Sheet1!$A$2:$A$391,[3]Sheet1!$A$2:$A$391)</f>
        <v>PO10094</v>
      </c>
    </row>
    <row r="1400" spans="1:14" x14ac:dyDescent="0.2">
      <c r="A1400" t="s">
        <v>1409</v>
      </c>
      <c r="B1400" s="2">
        <v>46280</v>
      </c>
      <c r="C1400" t="s">
        <v>2939</v>
      </c>
      <c r="D1400" t="s">
        <v>2946</v>
      </c>
      <c r="E1400" t="s">
        <v>3044</v>
      </c>
      <c r="F1400" s="3">
        <v>46281.167927504233</v>
      </c>
      <c r="G1400" s="3">
        <v>46281.172184208692</v>
      </c>
      <c r="H1400">
        <v>6.13</v>
      </c>
      <c r="I1400" t="s">
        <v>3149</v>
      </c>
      <c r="J1400" t="s">
        <v>3168</v>
      </c>
      <c r="K1400" t="s">
        <v>3176</v>
      </c>
      <c r="L1400" t="str">
        <f>_xlfn.XLOOKUP(C1400,[1]!Table1[Shift_ID],[1]!Table1[Shift_ID])</f>
        <v>S03</v>
      </c>
      <c r="M1400" t="str">
        <f>_xlfn.XLOOKUP(D1400,[2]!Table1[Machine_ID],[2]!Table1[Machine_ID])</f>
        <v>M005</v>
      </c>
      <c r="N1400" t="str">
        <f>_xlfn.XLOOKUP(E1400,[3]Sheet1!$A$2:$A$391,[3]Sheet1!$A$2:$A$391)</f>
        <v>PO10094</v>
      </c>
    </row>
    <row r="1401" spans="1:14" x14ac:dyDescent="0.2">
      <c r="A1401" t="s">
        <v>1410</v>
      </c>
      <c r="B1401" s="2">
        <v>46280</v>
      </c>
      <c r="C1401" t="s">
        <v>2939</v>
      </c>
      <c r="D1401" t="s">
        <v>2947</v>
      </c>
      <c r="E1401" t="s">
        <v>3044</v>
      </c>
      <c r="F1401" s="3">
        <v>46280.935677801019</v>
      </c>
      <c r="G1401" s="3">
        <v>46280.940450992879</v>
      </c>
      <c r="H1401">
        <v>6.87</v>
      </c>
      <c r="I1401" t="s">
        <v>3147</v>
      </c>
      <c r="J1401" t="s">
        <v>3154</v>
      </c>
      <c r="K1401" t="s">
        <v>3186</v>
      </c>
      <c r="L1401" t="str">
        <f>_xlfn.XLOOKUP(C1401,[1]!Table1[Shift_ID],[1]!Table1[Shift_ID])</f>
        <v>S03</v>
      </c>
      <c r="M1401" t="str">
        <f>_xlfn.XLOOKUP(D1401,[2]!Table1[Machine_ID],[2]!Table1[Machine_ID])</f>
        <v>M006</v>
      </c>
      <c r="N1401" t="str">
        <f>_xlfn.XLOOKUP(E1401,[3]Sheet1!$A$2:$A$391,[3]Sheet1!$A$2:$A$391)</f>
        <v>PO10094</v>
      </c>
    </row>
    <row r="1402" spans="1:14" x14ac:dyDescent="0.2">
      <c r="A1402" t="s">
        <v>1411</v>
      </c>
      <c r="B1402" s="2">
        <v>46280</v>
      </c>
      <c r="C1402" t="s">
        <v>2939</v>
      </c>
      <c r="D1402" t="s">
        <v>2947</v>
      </c>
      <c r="E1402" t="s">
        <v>3044</v>
      </c>
      <c r="F1402" s="3">
        <v>46281.050384985938</v>
      </c>
      <c r="G1402" s="3">
        <v>46281.067038915557</v>
      </c>
      <c r="H1402">
        <v>23.98</v>
      </c>
      <c r="I1402" t="s">
        <v>3150</v>
      </c>
      <c r="J1402" t="s">
        <v>3160</v>
      </c>
      <c r="K1402" t="s">
        <v>3177</v>
      </c>
      <c r="L1402" t="str">
        <f>_xlfn.XLOOKUP(C1402,[1]!Table1[Shift_ID],[1]!Table1[Shift_ID])</f>
        <v>S03</v>
      </c>
      <c r="M1402" t="str">
        <f>_xlfn.XLOOKUP(D1402,[2]!Table1[Machine_ID],[2]!Table1[Machine_ID])</f>
        <v>M006</v>
      </c>
      <c r="N1402" t="str">
        <f>_xlfn.XLOOKUP(E1402,[3]Sheet1!$A$2:$A$391,[3]Sheet1!$A$2:$A$391)</f>
        <v>PO10094</v>
      </c>
    </row>
    <row r="1403" spans="1:14" x14ac:dyDescent="0.2">
      <c r="A1403" t="s">
        <v>1412</v>
      </c>
      <c r="B1403" s="2">
        <v>46280</v>
      </c>
      <c r="C1403" t="s">
        <v>2939</v>
      </c>
      <c r="D1403" t="s">
        <v>2947</v>
      </c>
      <c r="E1403" t="s">
        <v>3044</v>
      </c>
      <c r="F1403" s="3">
        <v>46281.126985216077</v>
      </c>
      <c r="G1403" s="3">
        <v>46281.130749188756</v>
      </c>
      <c r="H1403">
        <v>5.42</v>
      </c>
      <c r="I1403" t="s">
        <v>3151</v>
      </c>
      <c r="J1403" t="s">
        <v>3170</v>
      </c>
      <c r="K1403" t="s">
        <v>3188</v>
      </c>
      <c r="L1403" t="str">
        <f>_xlfn.XLOOKUP(C1403,[1]!Table1[Shift_ID],[1]!Table1[Shift_ID])</f>
        <v>S03</v>
      </c>
      <c r="M1403" t="str">
        <f>_xlfn.XLOOKUP(D1403,[2]!Table1[Machine_ID],[2]!Table1[Machine_ID])</f>
        <v>M006</v>
      </c>
      <c r="N1403" t="str">
        <f>_xlfn.XLOOKUP(E1403,[3]Sheet1!$A$2:$A$391,[3]Sheet1!$A$2:$A$391)</f>
        <v>PO10094</v>
      </c>
    </row>
    <row r="1404" spans="1:14" x14ac:dyDescent="0.2">
      <c r="A1404" t="s">
        <v>1413</v>
      </c>
      <c r="B1404" s="2">
        <v>46280</v>
      </c>
      <c r="C1404" t="s">
        <v>2939</v>
      </c>
      <c r="D1404" t="s">
        <v>2948</v>
      </c>
      <c r="E1404" t="s">
        <v>3044</v>
      </c>
      <c r="F1404" s="3">
        <v>46281.145064483309</v>
      </c>
      <c r="G1404" s="3">
        <v>46281.156352400831</v>
      </c>
      <c r="H1404">
        <v>16.25</v>
      </c>
      <c r="I1404" t="s">
        <v>3149</v>
      </c>
      <c r="J1404" t="s">
        <v>3158</v>
      </c>
      <c r="K1404" t="s">
        <v>3182</v>
      </c>
      <c r="L1404" t="str">
        <f>_xlfn.XLOOKUP(C1404,[1]!Table1[Shift_ID],[1]!Table1[Shift_ID])</f>
        <v>S03</v>
      </c>
      <c r="M1404" t="str">
        <f>_xlfn.XLOOKUP(D1404,[2]!Table1[Machine_ID],[2]!Table1[Machine_ID])</f>
        <v>M007</v>
      </c>
      <c r="N1404" t="str">
        <f>_xlfn.XLOOKUP(E1404,[3]Sheet1!$A$2:$A$391,[3]Sheet1!$A$2:$A$391)</f>
        <v>PO10094</v>
      </c>
    </row>
    <row r="1405" spans="1:14" x14ac:dyDescent="0.2">
      <c r="A1405" t="s">
        <v>1414</v>
      </c>
      <c r="B1405" s="2">
        <v>46280</v>
      </c>
      <c r="C1405" t="s">
        <v>2939</v>
      </c>
      <c r="D1405" t="s">
        <v>2948</v>
      </c>
      <c r="E1405" t="s">
        <v>3044</v>
      </c>
      <c r="F1405" s="3">
        <v>46281.176542538153</v>
      </c>
      <c r="G1405" s="3">
        <v>46281.181108244637</v>
      </c>
      <c r="H1405">
        <v>6.57</v>
      </c>
      <c r="I1405" t="s">
        <v>3147</v>
      </c>
      <c r="J1405" t="s">
        <v>3153</v>
      </c>
      <c r="K1405" t="s">
        <v>3186</v>
      </c>
      <c r="L1405" t="str">
        <f>_xlfn.XLOOKUP(C1405,[1]!Table1[Shift_ID],[1]!Table1[Shift_ID])</f>
        <v>S03</v>
      </c>
      <c r="M1405" t="str">
        <f>_xlfn.XLOOKUP(D1405,[2]!Table1[Machine_ID],[2]!Table1[Machine_ID])</f>
        <v>M007</v>
      </c>
      <c r="N1405" t="str">
        <f>_xlfn.XLOOKUP(E1405,[3]Sheet1!$A$2:$A$391,[3]Sheet1!$A$2:$A$391)</f>
        <v>PO10094</v>
      </c>
    </row>
    <row r="1406" spans="1:14" x14ac:dyDescent="0.2">
      <c r="A1406" t="s">
        <v>1415</v>
      </c>
      <c r="B1406" s="2">
        <v>46280</v>
      </c>
      <c r="C1406" t="s">
        <v>2939</v>
      </c>
      <c r="D1406" t="s">
        <v>2949</v>
      </c>
      <c r="E1406" t="s">
        <v>3044</v>
      </c>
      <c r="F1406" s="3">
        <v>46281.16672550208</v>
      </c>
      <c r="G1406" s="3">
        <v>46281.168473521437</v>
      </c>
      <c r="H1406">
        <v>2.52</v>
      </c>
      <c r="I1406" t="s">
        <v>3149</v>
      </c>
      <c r="J1406" t="s">
        <v>3168</v>
      </c>
      <c r="K1406" t="s">
        <v>3184</v>
      </c>
      <c r="L1406" t="str">
        <f>_xlfn.XLOOKUP(C1406,[1]!Table1[Shift_ID],[1]!Table1[Shift_ID])</f>
        <v>S03</v>
      </c>
      <c r="M1406" t="str">
        <f>_xlfn.XLOOKUP(D1406,[2]!Table1[Machine_ID],[2]!Table1[Machine_ID])</f>
        <v>M008</v>
      </c>
      <c r="N1406" t="str">
        <f>_xlfn.XLOOKUP(E1406,[3]Sheet1!$A$2:$A$391,[3]Sheet1!$A$2:$A$391)</f>
        <v>PO10094</v>
      </c>
    </row>
    <row r="1407" spans="1:14" x14ac:dyDescent="0.2">
      <c r="A1407" t="s">
        <v>1416</v>
      </c>
      <c r="B1407" s="2">
        <v>46280</v>
      </c>
      <c r="C1407" t="s">
        <v>2939</v>
      </c>
      <c r="D1407" t="s">
        <v>2949</v>
      </c>
      <c r="E1407" t="s">
        <v>3044</v>
      </c>
      <c r="F1407" s="3">
        <v>46281.207749839923</v>
      </c>
      <c r="G1407" s="3">
        <v>46281.213191283583</v>
      </c>
      <c r="H1407">
        <v>7.84</v>
      </c>
      <c r="I1407" t="s">
        <v>3149</v>
      </c>
      <c r="J1407" t="s">
        <v>3158</v>
      </c>
      <c r="K1407" t="s">
        <v>3184</v>
      </c>
      <c r="L1407" t="str">
        <f>_xlfn.XLOOKUP(C1407,[1]!Table1[Shift_ID],[1]!Table1[Shift_ID])</f>
        <v>S03</v>
      </c>
      <c r="M1407" t="str">
        <f>_xlfn.XLOOKUP(D1407,[2]!Table1[Machine_ID],[2]!Table1[Machine_ID])</f>
        <v>M008</v>
      </c>
      <c r="N1407" t="str">
        <f>_xlfn.XLOOKUP(E1407,[3]Sheet1!$A$2:$A$391,[3]Sheet1!$A$2:$A$391)</f>
        <v>PO10094</v>
      </c>
    </row>
    <row r="1408" spans="1:14" x14ac:dyDescent="0.2">
      <c r="A1408" t="s">
        <v>1417</v>
      </c>
      <c r="B1408" s="2">
        <v>46280</v>
      </c>
      <c r="C1408" t="s">
        <v>2940</v>
      </c>
      <c r="D1408" t="s">
        <v>2942</v>
      </c>
      <c r="E1408" t="s">
        <v>3045</v>
      </c>
      <c r="F1408" s="3">
        <v>46280.413333689918</v>
      </c>
      <c r="G1408" s="3">
        <v>46280.416062661068</v>
      </c>
      <c r="H1408">
        <v>3.93</v>
      </c>
      <c r="I1408" t="s">
        <v>3149</v>
      </c>
      <c r="J1408" t="s">
        <v>3158</v>
      </c>
      <c r="K1408" t="s">
        <v>3182</v>
      </c>
      <c r="L1408" t="str">
        <f>_xlfn.XLOOKUP(C1408,[1]!Table1[Shift_ID],[1]!Table1[Shift_ID])</f>
        <v>S01</v>
      </c>
      <c r="M1408" t="str">
        <f>_xlfn.XLOOKUP(D1408,[2]!Table1[Machine_ID],[2]!Table1[Machine_ID])</f>
        <v>M001</v>
      </c>
      <c r="N1408" t="str">
        <f>_xlfn.XLOOKUP(E1408,[3]Sheet1!$A$2:$A$391,[3]Sheet1!$A$2:$A$391)</f>
        <v>PO10095</v>
      </c>
    </row>
    <row r="1409" spans="1:14" x14ac:dyDescent="0.2">
      <c r="A1409" t="s">
        <v>1418</v>
      </c>
      <c r="B1409" s="2">
        <v>46280</v>
      </c>
      <c r="C1409" t="s">
        <v>2940</v>
      </c>
      <c r="D1409" t="s">
        <v>2942</v>
      </c>
      <c r="E1409" t="s">
        <v>3045</v>
      </c>
      <c r="F1409" s="3">
        <v>46280.423403015797</v>
      </c>
      <c r="G1409" s="3">
        <v>46280.426994476627</v>
      </c>
      <c r="H1409">
        <v>5.17</v>
      </c>
      <c r="I1409" t="s">
        <v>3149</v>
      </c>
      <c r="J1409" t="s">
        <v>3168</v>
      </c>
      <c r="K1409" t="s">
        <v>3184</v>
      </c>
      <c r="L1409" t="str">
        <f>_xlfn.XLOOKUP(C1409,[1]!Table1[Shift_ID],[1]!Table1[Shift_ID])</f>
        <v>S01</v>
      </c>
      <c r="M1409" t="str">
        <f>_xlfn.XLOOKUP(D1409,[2]!Table1[Machine_ID],[2]!Table1[Machine_ID])</f>
        <v>M001</v>
      </c>
      <c r="N1409" t="str">
        <f>_xlfn.XLOOKUP(E1409,[3]Sheet1!$A$2:$A$391,[3]Sheet1!$A$2:$A$391)</f>
        <v>PO10095</v>
      </c>
    </row>
    <row r="1410" spans="1:14" x14ac:dyDescent="0.2">
      <c r="A1410" t="s">
        <v>1419</v>
      </c>
      <c r="B1410" s="2">
        <v>46280</v>
      </c>
      <c r="C1410" t="s">
        <v>2940</v>
      </c>
      <c r="D1410" t="s">
        <v>2943</v>
      </c>
      <c r="E1410" t="s">
        <v>3045</v>
      </c>
      <c r="F1410" s="3">
        <v>46280.36729411639</v>
      </c>
      <c r="G1410" s="3">
        <v>46280.375928611698</v>
      </c>
      <c r="H1410">
        <v>12.43</v>
      </c>
      <c r="I1410" t="s">
        <v>3147</v>
      </c>
      <c r="J1410" t="s">
        <v>3154</v>
      </c>
      <c r="K1410" t="s">
        <v>3185</v>
      </c>
      <c r="L1410" t="str">
        <f>_xlfn.XLOOKUP(C1410,[1]!Table1[Shift_ID],[1]!Table1[Shift_ID])</f>
        <v>S01</v>
      </c>
      <c r="M1410" t="str">
        <f>_xlfn.XLOOKUP(D1410,[2]!Table1[Machine_ID],[2]!Table1[Machine_ID])</f>
        <v>M002</v>
      </c>
      <c r="N1410" t="str">
        <f>_xlfn.XLOOKUP(E1410,[3]Sheet1!$A$2:$A$391,[3]Sheet1!$A$2:$A$391)</f>
        <v>PO10095</v>
      </c>
    </row>
    <row r="1411" spans="1:14" x14ac:dyDescent="0.2">
      <c r="A1411" t="s">
        <v>1420</v>
      </c>
      <c r="B1411" s="2">
        <v>46280</v>
      </c>
      <c r="C1411" t="s">
        <v>2940</v>
      </c>
      <c r="D1411" t="s">
        <v>2944</v>
      </c>
      <c r="E1411" t="s">
        <v>3045</v>
      </c>
      <c r="F1411" s="3">
        <v>46280.35874740807</v>
      </c>
      <c r="G1411" s="3">
        <v>46280.370363568938</v>
      </c>
      <c r="H1411">
        <v>16.73</v>
      </c>
      <c r="I1411" t="s">
        <v>3146</v>
      </c>
      <c r="J1411" t="s">
        <v>3152</v>
      </c>
      <c r="K1411" t="s">
        <v>3174</v>
      </c>
      <c r="L1411" t="str">
        <f>_xlfn.XLOOKUP(C1411,[1]!Table1[Shift_ID],[1]!Table1[Shift_ID])</f>
        <v>S01</v>
      </c>
      <c r="M1411" t="str">
        <f>_xlfn.XLOOKUP(D1411,[2]!Table1[Machine_ID],[2]!Table1[Machine_ID])</f>
        <v>M003</v>
      </c>
      <c r="N1411" t="str">
        <f>_xlfn.XLOOKUP(E1411,[3]Sheet1!$A$2:$A$391,[3]Sheet1!$A$2:$A$391)</f>
        <v>PO10095</v>
      </c>
    </row>
    <row r="1412" spans="1:14" x14ac:dyDescent="0.2">
      <c r="A1412" t="s">
        <v>1421</v>
      </c>
      <c r="B1412" s="2">
        <v>46280</v>
      </c>
      <c r="C1412" t="s">
        <v>2940</v>
      </c>
      <c r="D1412" t="s">
        <v>2945</v>
      </c>
      <c r="E1412" t="s">
        <v>3045</v>
      </c>
      <c r="F1412" s="3">
        <v>46280.326051228927</v>
      </c>
      <c r="G1412" s="3">
        <v>46280.327714914703</v>
      </c>
      <c r="H1412">
        <v>2.4</v>
      </c>
      <c r="I1412" t="s">
        <v>3148</v>
      </c>
      <c r="J1412" t="s">
        <v>3155</v>
      </c>
      <c r="K1412" t="s">
        <v>3183</v>
      </c>
      <c r="L1412" t="str">
        <f>_xlfn.XLOOKUP(C1412,[1]!Table1[Shift_ID],[1]!Table1[Shift_ID])</f>
        <v>S01</v>
      </c>
      <c r="M1412" t="str">
        <f>_xlfn.XLOOKUP(D1412,[2]!Table1[Machine_ID],[2]!Table1[Machine_ID])</f>
        <v>M004</v>
      </c>
      <c r="N1412" t="str">
        <f>_xlfn.XLOOKUP(E1412,[3]Sheet1!$A$2:$A$391,[3]Sheet1!$A$2:$A$391)</f>
        <v>PO10095</v>
      </c>
    </row>
    <row r="1413" spans="1:14" x14ac:dyDescent="0.2">
      <c r="A1413" t="s">
        <v>1422</v>
      </c>
      <c r="B1413" s="2">
        <v>46280</v>
      </c>
      <c r="C1413" t="s">
        <v>2940</v>
      </c>
      <c r="D1413" t="s">
        <v>2945</v>
      </c>
      <c r="E1413" t="s">
        <v>3045</v>
      </c>
      <c r="F1413" s="3">
        <v>46280.359076738758</v>
      </c>
      <c r="G1413" s="3">
        <v>46280.361438090753</v>
      </c>
      <c r="H1413">
        <v>3.4</v>
      </c>
      <c r="I1413" t="s">
        <v>3147</v>
      </c>
      <c r="J1413" t="s">
        <v>3153</v>
      </c>
      <c r="K1413" t="s">
        <v>3172</v>
      </c>
      <c r="L1413" t="str">
        <f>_xlfn.XLOOKUP(C1413,[1]!Table1[Shift_ID],[1]!Table1[Shift_ID])</f>
        <v>S01</v>
      </c>
      <c r="M1413" t="str">
        <f>_xlfn.XLOOKUP(D1413,[2]!Table1[Machine_ID],[2]!Table1[Machine_ID])</f>
        <v>M004</v>
      </c>
      <c r="N1413" t="str">
        <f>_xlfn.XLOOKUP(E1413,[3]Sheet1!$A$2:$A$391,[3]Sheet1!$A$2:$A$391)</f>
        <v>PO10095</v>
      </c>
    </row>
    <row r="1414" spans="1:14" x14ac:dyDescent="0.2">
      <c r="A1414" t="s">
        <v>1423</v>
      </c>
      <c r="B1414" s="2">
        <v>46280</v>
      </c>
      <c r="C1414" t="s">
        <v>2940</v>
      </c>
      <c r="D1414" t="s">
        <v>2945</v>
      </c>
      <c r="E1414" t="s">
        <v>3045</v>
      </c>
      <c r="F1414" s="3">
        <v>46280.485020510809</v>
      </c>
      <c r="G1414" s="3">
        <v>46280.486684196578</v>
      </c>
      <c r="H1414">
        <v>2.4</v>
      </c>
      <c r="I1414" t="s">
        <v>3147</v>
      </c>
      <c r="J1414" t="s">
        <v>3154</v>
      </c>
      <c r="K1414" t="s">
        <v>3185</v>
      </c>
      <c r="L1414" t="str">
        <f>_xlfn.XLOOKUP(C1414,[1]!Table1[Shift_ID],[1]!Table1[Shift_ID])</f>
        <v>S01</v>
      </c>
      <c r="M1414" t="str">
        <f>_xlfn.XLOOKUP(D1414,[2]!Table1[Machine_ID],[2]!Table1[Machine_ID])</f>
        <v>M004</v>
      </c>
      <c r="N1414" t="str">
        <f>_xlfn.XLOOKUP(E1414,[3]Sheet1!$A$2:$A$391,[3]Sheet1!$A$2:$A$391)</f>
        <v>PO10095</v>
      </c>
    </row>
    <row r="1415" spans="1:14" x14ac:dyDescent="0.2">
      <c r="A1415" t="s">
        <v>1424</v>
      </c>
      <c r="B1415" s="2">
        <v>46280</v>
      </c>
      <c r="C1415" t="s">
        <v>2940</v>
      </c>
      <c r="D1415" t="s">
        <v>2946</v>
      </c>
      <c r="E1415" t="s">
        <v>3045</v>
      </c>
      <c r="F1415" s="3">
        <v>46280.266341355818</v>
      </c>
      <c r="G1415" s="3">
        <v>46280.268367693207</v>
      </c>
      <c r="H1415">
        <v>2.92</v>
      </c>
      <c r="I1415" t="s">
        <v>3147</v>
      </c>
      <c r="J1415" t="s">
        <v>3167</v>
      </c>
      <c r="K1415" t="s">
        <v>3186</v>
      </c>
      <c r="L1415" t="str">
        <f>_xlfn.XLOOKUP(C1415,[1]!Table1[Shift_ID],[1]!Table1[Shift_ID])</f>
        <v>S01</v>
      </c>
      <c r="M1415" t="str">
        <f>_xlfn.XLOOKUP(D1415,[2]!Table1[Machine_ID],[2]!Table1[Machine_ID])</f>
        <v>M005</v>
      </c>
      <c r="N1415" t="str">
        <f>_xlfn.XLOOKUP(E1415,[3]Sheet1!$A$2:$A$391,[3]Sheet1!$A$2:$A$391)</f>
        <v>PO10095</v>
      </c>
    </row>
    <row r="1416" spans="1:14" x14ac:dyDescent="0.2">
      <c r="A1416" t="s">
        <v>1425</v>
      </c>
      <c r="B1416" s="2">
        <v>46280</v>
      </c>
      <c r="C1416" t="s">
        <v>2940</v>
      </c>
      <c r="D1416" t="s">
        <v>2946</v>
      </c>
      <c r="E1416" t="s">
        <v>3045</v>
      </c>
      <c r="F1416" s="3">
        <v>46280.291117937108</v>
      </c>
      <c r="G1416" s="3">
        <v>46280.293144274488</v>
      </c>
      <c r="H1416">
        <v>2.92</v>
      </c>
      <c r="I1416" t="s">
        <v>3148</v>
      </c>
      <c r="J1416" t="s">
        <v>3155</v>
      </c>
      <c r="K1416" t="s">
        <v>3183</v>
      </c>
      <c r="L1416" t="str">
        <f>_xlfn.XLOOKUP(C1416,[1]!Table1[Shift_ID],[1]!Table1[Shift_ID])</f>
        <v>S01</v>
      </c>
      <c r="M1416" t="str">
        <f>_xlfn.XLOOKUP(D1416,[2]!Table1[Machine_ID],[2]!Table1[Machine_ID])</f>
        <v>M005</v>
      </c>
      <c r="N1416" t="str">
        <f>_xlfn.XLOOKUP(E1416,[3]Sheet1!$A$2:$A$391,[3]Sheet1!$A$2:$A$391)</f>
        <v>PO10095</v>
      </c>
    </row>
    <row r="1417" spans="1:14" x14ac:dyDescent="0.2">
      <c r="A1417" t="s">
        <v>1426</v>
      </c>
      <c r="B1417" s="2">
        <v>46280</v>
      </c>
      <c r="C1417" t="s">
        <v>2940</v>
      </c>
      <c r="D1417" t="s">
        <v>2946</v>
      </c>
      <c r="E1417" t="s">
        <v>3045</v>
      </c>
      <c r="F1417" s="3">
        <v>46280.317981784166</v>
      </c>
      <c r="G1417" s="3">
        <v>46280.321514295007</v>
      </c>
      <c r="H1417">
        <v>5.09</v>
      </c>
      <c r="I1417" t="s">
        <v>3148</v>
      </c>
      <c r="J1417" t="s">
        <v>3164</v>
      </c>
      <c r="K1417" t="s">
        <v>3173</v>
      </c>
      <c r="L1417" t="str">
        <f>_xlfn.XLOOKUP(C1417,[1]!Table1[Shift_ID],[1]!Table1[Shift_ID])</f>
        <v>S01</v>
      </c>
      <c r="M1417" t="str">
        <f>_xlfn.XLOOKUP(D1417,[2]!Table1[Machine_ID],[2]!Table1[Machine_ID])</f>
        <v>M005</v>
      </c>
      <c r="N1417" t="str">
        <f>_xlfn.XLOOKUP(E1417,[3]Sheet1!$A$2:$A$391,[3]Sheet1!$A$2:$A$391)</f>
        <v>PO10095</v>
      </c>
    </row>
    <row r="1418" spans="1:14" x14ac:dyDescent="0.2">
      <c r="A1418" t="s">
        <v>1427</v>
      </c>
      <c r="B1418" s="2">
        <v>46280</v>
      </c>
      <c r="C1418" t="s">
        <v>2940</v>
      </c>
      <c r="D1418" t="s">
        <v>2946</v>
      </c>
      <c r="E1418" t="s">
        <v>3045</v>
      </c>
      <c r="F1418" s="3">
        <v>46280.45158567396</v>
      </c>
      <c r="G1418" s="3">
        <v>46280.45388217648</v>
      </c>
      <c r="H1418">
        <v>3.31</v>
      </c>
      <c r="I1418" t="s">
        <v>3150</v>
      </c>
      <c r="J1418" t="s">
        <v>3159</v>
      </c>
      <c r="K1418" t="s">
        <v>3177</v>
      </c>
      <c r="L1418" t="str">
        <f>_xlfn.XLOOKUP(C1418,[1]!Table1[Shift_ID],[1]!Table1[Shift_ID])</f>
        <v>S01</v>
      </c>
      <c r="M1418" t="str">
        <f>_xlfn.XLOOKUP(D1418,[2]!Table1[Machine_ID],[2]!Table1[Machine_ID])</f>
        <v>M005</v>
      </c>
      <c r="N1418" t="str">
        <f>_xlfn.XLOOKUP(E1418,[3]Sheet1!$A$2:$A$391,[3]Sheet1!$A$2:$A$391)</f>
        <v>PO10095</v>
      </c>
    </row>
    <row r="1419" spans="1:14" x14ac:dyDescent="0.2">
      <c r="A1419" t="s">
        <v>1428</v>
      </c>
      <c r="B1419" s="2">
        <v>46280</v>
      </c>
      <c r="C1419" t="s">
        <v>2940</v>
      </c>
      <c r="D1419" t="s">
        <v>2947</v>
      </c>
      <c r="E1419" t="s">
        <v>3045</v>
      </c>
      <c r="F1419" s="3">
        <v>46280.459508514497</v>
      </c>
      <c r="G1419" s="3">
        <v>46280.488156915177</v>
      </c>
      <c r="H1419">
        <v>41.25</v>
      </c>
      <c r="I1419" t="s">
        <v>3150</v>
      </c>
      <c r="J1419" t="s">
        <v>3166</v>
      </c>
      <c r="K1419" t="s">
        <v>3179</v>
      </c>
      <c r="L1419" t="str">
        <f>_xlfn.XLOOKUP(C1419,[1]!Table1[Shift_ID],[1]!Table1[Shift_ID])</f>
        <v>S01</v>
      </c>
      <c r="M1419" t="str">
        <f>_xlfn.XLOOKUP(D1419,[2]!Table1[Machine_ID],[2]!Table1[Machine_ID])</f>
        <v>M006</v>
      </c>
      <c r="N1419" t="str">
        <f>_xlfn.XLOOKUP(E1419,[3]Sheet1!$A$2:$A$391,[3]Sheet1!$A$2:$A$391)</f>
        <v>PO10095</v>
      </c>
    </row>
    <row r="1420" spans="1:14" x14ac:dyDescent="0.2">
      <c r="A1420" t="s">
        <v>1429</v>
      </c>
      <c r="B1420" s="2">
        <v>46280</v>
      </c>
      <c r="C1420" t="s">
        <v>2940</v>
      </c>
      <c r="D1420" t="s">
        <v>2948</v>
      </c>
      <c r="E1420" t="s">
        <v>3045</v>
      </c>
      <c r="F1420" s="3">
        <v>46280.418996076827</v>
      </c>
      <c r="G1420" s="3">
        <v>46280.424792582729</v>
      </c>
      <c r="H1420">
        <v>8.35</v>
      </c>
      <c r="I1420" t="s">
        <v>3148</v>
      </c>
      <c r="J1420" t="s">
        <v>3155</v>
      </c>
      <c r="K1420" t="s">
        <v>3183</v>
      </c>
      <c r="L1420" t="str">
        <f>_xlfn.XLOOKUP(C1420,[1]!Table1[Shift_ID],[1]!Table1[Shift_ID])</f>
        <v>S01</v>
      </c>
      <c r="M1420" t="str">
        <f>_xlfn.XLOOKUP(D1420,[2]!Table1[Machine_ID],[2]!Table1[Machine_ID])</f>
        <v>M007</v>
      </c>
      <c r="N1420" t="str">
        <f>_xlfn.XLOOKUP(E1420,[3]Sheet1!$A$2:$A$391,[3]Sheet1!$A$2:$A$391)</f>
        <v>PO10095</v>
      </c>
    </row>
    <row r="1421" spans="1:14" x14ac:dyDescent="0.2">
      <c r="A1421" t="s">
        <v>1430</v>
      </c>
      <c r="B1421" s="2">
        <v>46280</v>
      </c>
      <c r="C1421" t="s">
        <v>2940</v>
      </c>
      <c r="D1421" t="s">
        <v>2948</v>
      </c>
      <c r="E1421" t="s">
        <v>3045</v>
      </c>
      <c r="F1421" s="3">
        <v>46280.570160239156</v>
      </c>
      <c r="G1421" s="3">
        <v>46280.5822770741</v>
      </c>
      <c r="H1421">
        <v>17.45</v>
      </c>
      <c r="I1421" t="s">
        <v>3147</v>
      </c>
      <c r="J1421" t="s">
        <v>3154</v>
      </c>
      <c r="K1421" t="s">
        <v>3185</v>
      </c>
      <c r="L1421" t="str">
        <f>_xlfn.XLOOKUP(C1421,[1]!Table1[Shift_ID],[1]!Table1[Shift_ID])</f>
        <v>S01</v>
      </c>
      <c r="M1421" t="str">
        <f>_xlfn.XLOOKUP(D1421,[2]!Table1[Machine_ID],[2]!Table1[Machine_ID])</f>
        <v>M007</v>
      </c>
      <c r="N1421" t="str">
        <f>_xlfn.XLOOKUP(E1421,[3]Sheet1!$A$2:$A$391,[3]Sheet1!$A$2:$A$391)</f>
        <v>PO10095</v>
      </c>
    </row>
    <row r="1422" spans="1:14" x14ac:dyDescent="0.2">
      <c r="A1422" t="s">
        <v>1431</v>
      </c>
      <c r="B1422" s="2">
        <v>46280</v>
      </c>
      <c r="C1422" t="s">
        <v>2940</v>
      </c>
      <c r="D1422" t="s">
        <v>2949</v>
      </c>
      <c r="E1422" t="s">
        <v>3045</v>
      </c>
      <c r="F1422" s="3">
        <v>46280.258696156641</v>
      </c>
      <c r="G1422" s="3">
        <v>46280.262307088997</v>
      </c>
      <c r="H1422">
        <v>5.2</v>
      </c>
      <c r="I1422" t="s">
        <v>3148</v>
      </c>
      <c r="J1422" t="s">
        <v>3164</v>
      </c>
      <c r="K1422" t="s">
        <v>3180</v>
      </c>
      <c r="L1422" t="str">
        <f>_xlfn.XLOOKUP(C1422,[1]!Table1[Shift_ID],[1]!Table1[Shift_ID])</f>
        <v>S01</v>
      </c>
      <c r="M1422" t="str">
        <f>_xlfn.XLOOKUP(D1422,[2]!Table1[Machine_ID],[2]!Table1[Machine_ID])</f>
        <v>M008</v>
      </c>
      <c r="N1422" t="str">
        <f>_xlfn.XLOOKUP(E1422,[3]Sheet1!$A$2:$A$391,[3]Sheet1!$A$2:$A$391)</f>
        <v>PO10095</v>
      </c>
    </row>
    <row r="1423" spans="1:14" x14ac:dyDescent="0.2">
      <c r="A1423" t="s">
        <v>1432</v>
      </c>
      <c r="B1423" s="2">
        <v>46280</v>
      </c>
      <c r="C1423" t="s">
        <v>2940</v>
      </c>
      <c r="D1423" t="s">
        <v>2949</v>
      </c>
      <c r="E1423" t="s">
        <v>3045</v>
      </c>
      <c r="F1423" s="3">
        <v>46280.490598046097</v>
      </c>
      <c r="G1423" s="3">
        <v>46280.493417937178</v>
      </c>
      <c r="H1423">
        <v>4.0599999999999996</v>
      </c>
      <c r="I1423" t="s">
        <v>3148</v>
      </c>
      <c r="J1423" t="s">
        <v>3155</v>
      </c>
      <c r="K1423" t="s">
        <v>3183</v>
      </c>
      <c r="L1423" t="str">
        <f>_xlfn.XLOOKUP(C1423,[1]!Table1[Shift_ID],[1]!Table1[Shift_ID])</f>
        <v>S01</v>
      </c>
      <c r="M1423" t="str">
        <f>_xlfn.XLOOKUP(D1423,[2]!Table1[Machine_ID],[2]!Table1[Machine_ID])</f>
        <v>M008</v>
      </c>
      <c r="N1423" t="str">
        <f>_xlfn.XLOOKUP(E1423,[3]Sheet1!$A$2:$A$391,[3]Sheet1!$A$2:$A$391)</f>
        <v>PO10095</v>
      </c>
    </row>
    <row r="1424" spans="1:14" x14ac:dyDescent="0.2">
      <c r="A1424" t="s">
        <v>1433</v>
      </c>
      <c r="B1424" s="2">
        <v>46280</v>
      </c>
      <c r="C1424" t="s">
        <v>2941</v>
      </c>
      <c r="D1424" t="s">
        <v>2942</v>
      </c>
      <c r="E1424" t="s">
        <v>3046</v>
      </c>
      <c r="F1424" s="3">
        <v>46280.660120226014</v>
      </c>
      <c r="G1424" s="3">
        <v>46280.666531867479</v>
      </c>
      <c r="H1424">
        <v>9.23</v>
      </c>
      <c r="I1424" t="s">
        <v>3150</v>
      </c>
      <c r="J1424" t="s">
        <v>3163</v>
      </c>
      <c r="K1424" t="s">
        <v>3179</v>
      </c>
      <c r="L1424" t="str">
        <f>_xlfn.XLOOKUP(C1424,[1]!Table1[Shift_ID],[1]!Table1[Shift_ID])</f>
        <v>S02</v>
      </c>
      <c r="M1424" t="str">
        <f>_xlfn.XLOOKUP(D1424,[2]!Table1[Machine_ID],[2]!Table1[Machine_ID])</f>
        <v>M001</v>
      </c>
      <c r="N1424" t="str">
        <f>_xlfn.XLOOKUP(E1424,[3]Sheet1!$A$2:$A$391,[3]Sheet1!$A$2:$A$391)</f>
        <v>PO10096</v>
      </c>
    </row>
    <row r="1425" spans="1:14" x14ac:dyDescent="0.2">
      <c r="A1425" t="s">
        <v>1434</v>
      </c>
      <c r="B1425" s="2">
        <v>46280</v>
      </c>
      <c r="C1425" t="s">
        <v>2941</v>
      </c>
      <c r="D1425" t="s">
        <v>2943</v>
      </c>
      <c r="E1425" t="s">
        <v>3046</v>
      </c>
      <c r="F1425" s="3">
        <v>46280.661026424234</v>
      </c>
      <c r="G1425" s="3">
        <v>46280.669176062722</v>
      </c>
      <c r="H1425">
        <v>11.74</v>
      </c>
      <c r="I1425" t="s">
        <v>3149</v>
      </c>
      <c r="J1425" t="s">
        <v>3162</v>
      </c>
      <c r="K1425" t="s">
        <v>3184</v>
      </c>
      <c r="L1425" t="str">
        <f>_xlfn.XLOOKUP(C1425,[1]!Table1[Shift_ID],[1]!Table1[Shift_ID])</f>
        <v>S02</v>
      </c>
      <c r="M1425" t="str">
        <f>_xlfn.XLOOKUP(D1425,[2]!Table1[Machine_ID],[2]!Table1[Machine_ID])</f>
        <v>M002</v>
      </c>
      <c r="N1425" t="str">
        <f>_xlfn.XLOOKUP(E1425,[3]Sheet1!$A$2:$A$391,[3]Sheet1!$A$2:$A$391)</f>
        <v>PO10096</v>
      </c>
    </row>
    <row r="1426" spans="1:14" x14ac:dyDescent="0.2">
      <c r="A1426" t="s">
        <v>1435</v>
      </c>
      <c r="B1426" s="2">
        <v>46280</v>
      </c>
      <c r="C1426" t="s">
        <v>2941</v>
      </c>
      <c r="D1426" t="s">
        <v>2944</v>
      </c>
      <c r="E1426" t="s">
        <v>3046</v>
      </c>
      <c r="F1426" s="3">
        <v>46280.635403722023</v>
      </c>
      <c r="G1426" s="3">
        <v>46280.643275817951</v>
      </c>
      <c r="H1426">
        <v>11.34</v>
      </c>
      <c r="I1426" t="s">
        <v>3149</v>
      </c>
      <c r="J1426" t="s">
        <v>3158</v>
      </c>
      <c r="K1426" t="s">
        <v>3176</v>
      </c>
      <c r="L1426" t="str">
        <f>_xlfn.XLOOKUP(C1426,[1]!Table1[Shift_ID],[1]!Table1[Shift_ID])</f>
        <v>S02</v>
      </c>
      <c r="M1426" t="str">
        <f>_xlfn.XLOOKUP(D1426,[2]!Table1[Machine_ID],[2]!Table1[Machine_ID])</f>
        <v>M003</v>
      </c>
      <c r="N1426" t="str">
        <f>_xlfn.XLOOKUP(E1426,[3]Sheet1!$A$2:$A$391,[3]Sheet1!$A$2:$A$391)</f>
        <v>PO10096</v>
      </c>
    </row>
    <row r="1427" spans="1:14" x14ac:dyDescent="0.2">
      <c r="A1427" t="s">
        <v>1436</v>
      </c>
      <c r="B1427" s="2">
        <v>46280</v>
      </c>
      <c r="C1427" t="s">
        <v>2941</v>
      </c>
      <c r="D1427" t="s">
        <v>2944</v>
      </c>
      <c r="E1427" t="s">
        <v>3046</v>
      </c>
      <c r="F1427" s="3">
        <v>46280.746505130657</v>
      </c>
      <c r="G1427" s="3">
        <v>46280.750026148147</v>
      </c>
      <c r="H1427">
        <v>5.07</v>
      </c>
      <c r="I1427" t="s">
        <v>3147</v>
      </c>
      <c r="J1427" t="s">
        <v>3154</v>
      </c>
      <c r="K1427" t="s">
        <v>3172</v>
      </c>
      <c r="L1427" t="str">
        <f>_xlfn.XLOOKUP(C1427,[1]!Table1[Shift_ID],[1]!Table1[Shift_ID])</f>
        <v>S02</v>
      </c>
      <c r="M1427" t="str">
        <f>_xlfn.XLOOKUP(D1427,[2]!Table1[Machine_ID],[2]!Table1[Machine_ID])</f>
        <v>M003</v>
      </c>
      <c r="N1427" t="str">
        <f>_xlfn.XLOOKUP(E1427,[3]Sheet1!$A$2:$A$391,[3]Sheet1!$A$2:$A$391)</f>
        <v>PO10096</v>
      </c>
    </row>
    <row r="1428" spans="1:14" x14ac:dyDescent="0.2">
      <c r="A1428" t="s">
        <v>1437</v>
      </c>
      <c r="B1428" s="2">
        <v>46280</v>
      </c>
      <c r="C1428" t="s">
        <v>2941</v>
      </c>
      <c r="D1428" t="s">
        <v>2945</v>
      </c>
      <c r="E1428" t="s">
        <v>3046</v>
      </c>
      <c r="F1428" s="3">
        <v>46280.72164899316</v>
      </c>
      <c r="G1428" s="3">
        <v>46280.73224439648</v>
      </c>
      <c r="H1428">
        <v>15.26</v>
      </c>
      <c r="I1428" t="s">
        <v>3149</v>
      </c>
      <c r="J1428" t="s">
        <v>3162</v>
      </c>
      <c r="K1428" t="s">
        <v>3184</v>
      </c>
      <c r="L1428" t="str">
        <f>_xlfn.XLOOKUP(C1428,[1]!Table1[Shift_ID],[1]!Table1[Shift_ID])</f>
        <v>S02</v>
      </c>
      <c r="M1428" t="str">
        <f>_xlfn.XLOOKUP(D1428,[2]!Table1[Machine_ID],[2]!Table1[Machine_ID])</f>
        <v>M004</v>
      </c>
      <c r="N1428" t="str">
        <f>_xlfn.XLOOKUP(E1428,[3]Sheet1!$A$2:$A$391,[3]Sheet1!$A$2:$A$391)</f>
        <v>PO10096</v>
      </c>
    </row>
    <row r="1429" spans="1:14" x14ac:dyDescent="0.2">
      <c r="A1429" t="s">
        <v>1438</v>
      </c>
      <c r="B1429" s="2">
        <v>46280</v>
      </c>
      <c r="C1429" t="s">
        <v>2941</v>
      </c>
      <c r="D1429" t="s">
        <v>2946</v>
      </c>
      <c r="E1429" t="s">
        <v>3046</v>
      </c>
      <c r="F1429" s="3">
        <v>46280.663940788429</v>
      </c>
      <c r="G1429" s="3">
        <v>46280.672309546448</v>
      </c>
      <c r="H1429">
        <v>12.05</v>
      </c>
      <c r="I1429" t="s">
        <v>3150</v>
      </c>
      <c r="J1429" t="s">
        <v>3163</v>
      </c>
      <c r="K1429" t="s">
        <v>3179</v>
      </c>
      <c r="L1429" t="str">
        <f>_xlfn.XLOOKUP(C1429,[1]!Table1[Shift_ID],[1]!Table1[Shift_ID])</f>
        <v>S02</v>
      </c>
      <c r="M1429" t="str">
        <f>_xlfn.XLOOKUP(D1429,[2]!Table1[Machine_ID],[2]!Table1[Machine_ID])</f>
        <v>M005</v>
      </c>
      <c r="N1429" t="str">
        <f>_xlfn.XLOOKUP(E1429,[3]Sheet1!$A$2:$A$391,[3]Sheet1!$A$2:$A$391)</f>
        <v>PO10096</v>
      </c>
    </row>
    <row r="1430" spans="1:14" x14ac:dyDescent="0.2">
      <c r="A1430" t="s">
        <v>1439</v>
      </c>
      <c r="B1430" s="2">
        <v>46280</v>
      </c>
      <c r="C1430" t="s">
        <v>2941</v>
      </c>
      <c r="D1430" t="s">
        <v>2947</v>
      </c>
      <c r="E1430" t="s">
        <v>3046</v>
      </c>
      <c r="F1430" s="3">
        <v>46280.586781824342</v>
      </c>
      <c r="G1430" s="3">
        <v>46280.588760782281</v>
      </c>
      <c r="H1430">
        <v>2.85</v>
      </c>
      <c r="I1430" t="s">
        <v>3147</v>
      </c>
      <c r="J1430" t="s">
        <v>3154</v>
      </c>
      <c r="K1430" t="s">
        <v>3186</v>
      </c>
      <c r="L1430" t="str">
        <f>_xlfn.XLOOKUP(C1430,[1]!Table1[Shift_ID],[1]!Table1[Shift_ID])</f>
        <v>S02</v>
      </c>
      <c r="M1430" t="str">
        <f>_xlfn.XLOOKUP(D1430,[2]!Table1[Machine_ID],[2]!Table1[Machine_ID])</f>
        <v>M006</v>
      </c>
      <c r="N1430" t="str">
        <f>_xlfn.XLOOKUP(E1430,[3]Sheet1!$A$2:$A$391,[3]Sheet1!$A$2:$A$391)</f>
        <v>PO10096</v>
      </c>
    </row>
    <row r="1431" spans="1:14" x14ac:dyDescent="0.2">
      <c r="A1431" t="s">
        <v>1440</v>
      </c>
      <c r="B1431" s="2">
        <v>46280</v>
      </c>
      <c r="C1431" t="s">
        <v>2941</v>
      </c>
      <c r="D1431" t="s">
        <v>2947</v>
      </c>
      <c r="E1431" t="s">
        <v>3046</v>
      </c>
      <c r="F1431" s="3">
        <v>46280.609852617097</v>
      </c>
      <c r="G1431" s="3">
        <v>46280.615294746844</v>
      </c>
      <c r="H1431">
        <v>7.84</v>
      </c>
      <c r="I1431" t="s">
        <v>3149</v>
      </c>
      <c r="J1431" t="s">
        <v>3168</v>
      </c>
      <c r="K1431" t="s">
        <v>3176</v>
      </c>
      <c r="L1431" t="str">
        <f>_xlfn.XLOOKUP(C1431,[1]!Table1[Shift_ID],[1]!Table1[Shift_ID])</f>
        <v>S02</v>
      </c>
      <c r="M1431" t="str">
        <f>_xlfn.XLOOKUP(D1431,[2]!Table1[Machine_ID],[2]!Table1[Machine_ID])</f>
        <v>M006</v>
      </c>
      <c r="N1431" t="str">
        <f>_xlfn.XLOOKUP(E1431,[3]Sheet1!$A$2:$A$391,[3]Sheet1!$A$2:$A$391)</f>
        <v>PO10096</v>
      </c>
    </row>
    <row r="1432" spans="1:14" x14ac:dyDescent="0.2">
      <c r="A1432" t="s">
        <v>1441</v>
      </c>
      <c r="B1432" s="2">
        <v>46280</v>
      </c>
      <c r="C1432" t="s">
        <v>2941</v>
      </c>
      <c r="D1432" t="s">
        <v>2947</v>
      </c>
      <c r="E1432" t="s">
        <v>3046</v>
      </c>
      <c r="F1432" s="3">
        <v>46280.773844968993</v>
      </c>
      <c r="G1432" s="3">
        <v>46280.7850073023</v>
      </c>
      <c r="H1432">
        <v>16.07</v>
      </c>
      <c r="I1432" t="s">
        <v>3150</v>
      </c>
      <c r="J1432" t="s">
        <v>3160</v>
      </c>
      <c r="K1432" t="s">
        <v>3178</v>
      </c>
      <c r="L1432" t="str">
        <f>_xlfn.XLOOKUP(C1432,[1]!Table1[Shift_ID],[1]!Table1[Shift_ID])</f>
        <v>S02</v>
      </c>
      <c r="M1432" t="str">
        <f>_xlfn.XLOOKUP(D1432,[2]!Table1[Machine_ID],[2]!Table1[Machine_ID])</f>
        <v>M006</v>
      </c>
      <c r="N1432" t="str">
        <f>_xlfn.XLOOKUP(E1432,[3]Sheet1!$A$2:$A$391,[3]Sheet1!$A$2:$A$391)</f>
        <v>PO10096</v>
      </c>
    </row>
    <row r="1433" spans="1:14" x14ac:dyDescent="0.2">
      <c r="A1433" t="s">
        <v>1442</v>
      </c>
      <c r="B1433" s="2">
        <v>46280</v>
      </c>
      <c r="C1433" t="s">
        <v>2941</v>
      </c>
      <c r="D1433" t="s">
        <v>2947</v>
      </c>
      <c r="E1433" t="s">
        <v>3046</v>
      </c>
      <c r="F1433" s="3">
        <v>46280.859865680708</v>
      </c>
      <c r="G1433" s="3">
        <v>46280.863952443928</v>
      </c>
      <c r="H1433">
        <v>5.88</v>
      </c>
      <c r="I1433" t="s">
        <v>3147</v>
      </c>
      <c r="J1433" t="s">
        <v>3154</v>
      </c>
      <c r="K1433" t="s">
        <v>3186</v>
      </c>
      <c r="L1433" t="str">
        <f>_xlfn.XLOOKUP(C1433,[1]!Table1[Shift_ID],[1]!Table1[Shift_ID])</f>
        <v>S02</v>
      </c>
      <c r="M1433" t="str">
        <f>_xlfn.XLOOKUP(D1433,[2]!Table1[Machine_ID],[2]!Table1[Machine_ID])</f>
        <v>M006</v>
      </c>
      <c r="N1433" t="str">
        <f>_xlfn.XLOOKUP(E1433,[3]Sheet1!$A$2:$A$391,[3]Sheet1!$A$2:$A$391)</f>
        <v>PO10096</v>
      </c>
    </row>
    <row r="1434" spans="1:14" x14ac:dyDescent="0.2">
      <c r="A1434" t="s">
        <v>1443</v>
      </c>
      <c r="B1434" s="2">
        <v>46280</v>
      </c>
      <c r="C1434" t="s">
        <v>2941</v>
      </c>
      <c r="D1434" t="s">
        <v>2947</v>
      </c>
      <c r="E1434" t="s">
        <v>3046</v>
      </c>
      <c r="F1434" s="3">
        <v>46280.889624183023</v>
      </c>
      <c r="G1434" s="3">
        <v>46280.891603140961</v>
      </c>
      <c r="H1434">
        <v>2.85</v>
      </c>
      <c r="I1434" t="s">
        <v>3150</v>
      </c>
      <c r="J1434" t="s">
        <v>3163</v>
      </c>
      <c r="K1434" t="s">
        <v>3179</v>
      </c>
      <c r="L1434" t="str">
        <f>_xlfn.XLOOKUP(C1434,[1]!Table1[Shift_ID],[1]!Table1[Shift_ID])</f>
        <v>S02</v>
      </c>
      <c r="M1434" t="str">
        <f>_xlfn.XLOOKUP(D1434,[2]!Table1[Machine_ID],[2]!Table1[Machine_ID])</f>
        <v>M006</v>
      </c>
      <c r="N1434" t="str">
        <f>_xlfn.XLOOKUP(E1434,[3]Sheet1!$A$2:$A$391,[3]Sheet1!$A$2:$A$391)</f>
        <v>PO10096</v>
      </c>
    </row>
    <row r="1435" spans="1:14" x14ac:dyDescent="0.2">
      <c r="A1435" t="s">
        <v>1444</v>
      </c>
      <c r="B1435" s="2">
        <v>46280</v>
      </c>
      <c r="C1435" t="s">
        <v>2941</v>
      </c>
      <c r="D1435" t="s">
        <v>2948</v>
      </c>
      <c r="E1435" t="s">
        <v>3046</v>
      </c>
      <c r="F1435" s="3">
        <v>46280.635086918461</v>
      </c>
      <c r="G1435" s="3">
        <v>46280.639906943034</v>
      </c>
      <c r="H1435">
        <v>6.94</v>
      </c>
      <c r="I1435" t="s">
        <v>3148</v>
      </c>
      <c r="J1435" t="s">
        <v>3165</v>
      </c>
      <c r="K1435" t="s">
        <v>3173</v>
      </c>
      <c r="L1435" t="str">
        <f>_xlfn.XLOOKUP(C1435,[1]!Table1[Shift_ID],[1]!Table1[Shift_ID])</f>
        <v>S02</v>
      </c>
      <c r="M1435" t="str">
        <f>_xlfn.XLOOKUP(D1435,[2]!Table1[Machine_ID],[2]!Table1[Machine_ID])</f>
        <v>M007</v>
      </c>
      <c r="N1435" t="str">
        <f>_xlfn.XLOOKUP(E1435,[3]Sheet1!$A$2:$A$391,[3]Sheet1!$A$2:$A$391)</f>
        <v>PO10096</v>
      </c>
    </row>
    <row r="1436" spans="1:14" x14ac:dyDescent="0.2">
      <c r="A1436" t="s">
        <v>1445</v>
      </c>
      <c r="B1436" s="2">
        <v>46280</v>
      </c>
      <c r="C1436" t="s">
        <v>2941</v>
      </c>
      <c r="D1436" t="s">
        <v>2948</v>
      </c>
      <c r="E1436" t="s">
        <v>3046</v>
      </c>
      <c r="F1436" s="3">
        <v>46280.718732898451</v>
      </c>
      <c r="G1436" s="3">
        <v>46280.720624948757</v>
      </c>
      <c r="H1436">
        <v>2.72</v>
      </c>
      <c r="I1436" t="s">
        <v>3147</v>
      </c>
      <c r="J1436" t="s">
        <v>3167</v>
      </c>
      <c r="K1436" t="s">
        <v>3186</v>
      </c>
      <c r="L1436" t="str">
        <f>_xlfn.XLOOKUP(C1436,[1]!Table1[Shift_ID],[1]!Table1[Shift_ID])</f>
        <v>S02</v>
      </c>
      <c r="M1436" t="str">
        <f>_xlfn.XLOOKUP(D1436,[2]!Table1[Machine_ID],[2]!Table1[Machine_ID])</f>
        <v>M007</v>
      </c>
      <c r="N1436" t="str">
        <f>_xlfn.XLOOKUP(E1436,[3]Sheet1!$A$2:$A$391,[3]Sheet1!$A$2:$A$391)</f>
        <v>PO10096</v>
      </c>
    </row>
    <row r="1437" spans="1:14" x14ac:dyDescent="0.2">
      <c r="A1437" t="s">
        <v>1446</v>
      </c>
      <c r="B1437" s="2">
        <v>46280</v>
      </c>
      <c r="C1437" t="s">
        <v>2941</v>
      </c>
      <c r="D1437" t="s">
        <v>2948</v>
      </c>
      <c r="E1437" t="s">
        <v>3046</v>
      </c>
      <c r="F1437" s="3">
        <v>46280.829788803792</v>
      </c>
      <c r="G1437" s="3">
        <v>46280.837449557846</v>
      </c>
      <c r="H1437">
        <v>11.03</v>
      </c>
      <c r="I1437" t="s">
        <v>3146</v>
      </c>
      <c r="J1437" t="s">
        <v>3156</v>
      </c>
      <c r="K1437" t="s">
        <v>3175</v>
      </c>
      <c r="L1437" t="str">
        <f>_xlfn.XLOOKUP(C1437,[1]!Table1[Shift_ID],[1]!Table1[Shift_ID])</f>
        <v>S02</v>
      </c>
      <c r="M1437" t="str">
        <f>_xlfn.XLOOKUP(D1437,[2]!Table1[Machine_ID],[2]!Table1[Machine_ID])</f>
        <v>M007</v>
      </c>
      <c r="N1437" t="str">
        <f>_xlfn.XLOOKUP(E1437,[3]Sheet1!$A$2:$A$391,[3]Sheet1!$A$2:$A$391)</f>
        <v>PO10096</v>
      </c>
    </row>
    <row r="1438" spans="1:14" x14ac:dyDescent="0.2">
      <c r="A1438" t="s">
        <v>1447</v>
      </c>
      <c r="B1438" s="2">
        <v>46280</v>
      </c>
      <c r="C1438" t="s">
        <v>2941</v>
      </c>
      <c r="D1438" t="s">
        <v>2949</v>
      </c>
      <c r="E1438" t="s">
        <v>3046</v>
      </c>
      <c r="F1438" s="3">
        <v>46280.858072925992</v>
      </c>
      <c r="G1438" s="3">
        <v>46280.86536297969</v>
      </c>
      <c r="H1438">
        <v>10.5</v>
      </c>
      <c r="I1438" t="s">
        <v>3148</v>
      </c>
      <c r="J1438" t="s">
        <v>3164</v>
      </c>
      <c r="K1438" t="s">
        <v>3173</v>
      </c>
      <c r="L1438" t="str">
        <f>_xlfn.XLOOKUP(C1438,[1]!Table1[Shift_ID],[1]!Table1[Shift_ID])</f>
        <v>S02</v>
      </c>
      <c r="M1438" t="str">
        <f>_xlfn.XLOOKUP(D1438,[2]!Table1[Machine_ID],[2]!Table1[Machine_ID])</f>
        <v>M008</v>
      </c>
      <c r="N1438" t="str">
        <f>_xlfn.XLOOKUP(E1438,[3]Sheet1!$A$2:$A$391,[3]Sheet1!$A$2:$A$391)</f>
        <v>PO10096</v>
      </c>
    </row>
    <row r="1439" spans="1:14" x14ac:dyDescent="0.2">
      <c r="A1439" t="s">
        <v>1448</v>
      </c>
      <c r="B1439" s="2">
        <v>46281</v>
      </c>
      <c r="C1439" t="s">
        <v>2939</v>
      </c>
      <c r="D1439" t="s">
        <v>2942</v>
      </c>
      <c r="E1439" t="s">
        <v>3047</v>
      </c>
      <c r="F1439" s="3">
        <v>46281.944633809457</v>
      </c>
      <c r="G1439" s="3">
        <v>46281.948791911171</v>
      </c>
      <c r="H1439">
        <v>5.99</v>
      </c>
      <c r="I1439" t="s">
        <v>3150</v>
      </c>
      <c r="J1439" t="s">
        <v>3160</v>
      </c>
      <c r="K1439" t="s">
        <v>3178</v>
      </c>
      <c r="L1439" t="str">
        <f>_xlfn.XLOOKUP(C1439,[1]!Table1[Shift_ID],[1]!Table1[Shift_ID])</f>
        <v>S03</v>
      </c>
      <c r="M1439" t="str">
        <f>_xlfn.XLOOKUP(D1439,[2]!Table1[Machine_ID],[2]!Table1[Machine_ID])</f>
        <v>M001</v>
      </c>
      <c r="N1439" t="str">
        <f>_xlfn.XLOOKUP(E1439,[3]Sheet1!$A$2:$A$391,[3]Sheet1!$A$2:$A$391)</f>
        <v>PO10097</v>
      </c>
    </row>
    <row r="1440" spans="1:14" x14ac:dyDescent="0.2">
      <c r="A1440" t="s">
        <v>1449</v>
      </c>
      <c r="B1440" s="2">
        <v>46281</v>
      </c>
      <c r="C1440" t="s">
        <v>2939</v>
      </c>
      <c r="D1440" t="s">
        <v>2942</v>
      </c>
      <c r="E1440" t="s">
        <v>3047</v>
      </c>
      <c r="F1440" s="3">
        <v>46282.107069420941</v>
      </c>
      <c r="G1440" s="3">
        <v>46282.109993732323</v>
      </c>
      <c r="H1440">
        <v>4.21</v>
      </c>
      <c r="I1440" t="s">
        <v>3150</v>
      </c>
      <c r="J1440" t="s">
        <v>3163</v>
      </c>
      <c r="K1440" t="s">
        <v>3178</v>
      </c>
      <c r="L1440" t="str">
        <f>_xlfn.XLOOKUP(C1440,[1]!Table1[Shift_ID],[1]!Table1[Shift_ID])</f>
        <v>S03</v>
      </c>
      <c r="M1440" t="str">
        <f>_xlfn.XLOOKUP(D1440,[2]!Table1[Machine_ID],[2]!Table1[Machine_ID])</f>
        <v>M001</v>
      </c>
      <c r="N1440" t="str">
        <f>_xlfn.XLOOKUP(E1440,[3]Sheet1!$A$2:$A$391,[3]Sheet1!$A$2:$A$391)</f>
        <v>PO10097</v>
      </c>
    </row>
    <row r="1441" spans="1:14" x14ac:dyDescent="0.2">
      <c r="A1441" t="s">
        <v>1450</v>
      </c>
      <c r="B1441" s="2">
        <v>46281</v>
      </c>
      <c r="C1441" t="s">
        <v>2939</v>
      </c>
      <c r="D1441" t="s">
        <v>2943</v>
      </c>
      <c r="E1441" t="s">
        <v>3047</v>
      </c>
      <c r="F1441" s="3">
        <v>46281.987156910443</v>
      </c>
      <c r="G1441" s="3">
        <v>46281.990742780763</v>
      </c>
      <c r="H1441">
        <v>5.16</v>
      </c>
      <c r="I1441" t="s">
        <v>3150</v>
      </c>
      <c r="J1441" t="s">
        <v>3163</v>
      </c>
      <c r="K1441" t="s">
        <v>3178</v>
      </c>
      <c r="L1441" t="str">
        <f>_xlfn.XLOOKUP(C1441,[1]!Table1[Shift_ID],[1]!Table1[Shift_ID])</f>
        <v>S03</v>
      </c>
      <c r="M1441" t="str">
        <f>_xlfn.XLOOKUP(D1441,[2]!Table1[Machine_ID],[2]!Table1[Machine_ID])</f>
        <v>M002</v>
      </c>
      <c r="N1441" t="str">
        <f>_xlfn.XLOOKUP(E1441,[3]Sheet1!$A$2:$A$391,[3]Sheet1!$A$2:$A$391)</f>
        <v>PO10097</v>
      </c>
    </row>
    <row r="1442" spans="1:14" x14ac:dyDescent="0.2">
      <c r="A1442" t="s">
        <v>1451</v>
      </c>
      <c r="B1442" s="2">
        <v>46281</v>
      </c>
      <c r="C1442" t="s">
        <v>2939</v>
      </c>
      <c r="D1442" t="s">
        <v>2943</v>
      </c>
      <c r="E1442" t="s">
        <v>3047</v>
      </c>
      <c r="F1442" s="3">
        <v>46282.212843240879</v>
      </c>
      <c r="G1442" s="3">
        <v>46282.217769953953</v>
      </c>
      <c r="H1442">
        <v>7.09</v>
      </c>
      <c r="I1442" t="s">
        <v>3151</v>
      </c>
      <c r="J1442" t="s">
        <v>3170</v>
      </c>
      <c r="K1442" t="s">
        <v>3187</v>
      </c>
      <c r="L1442" t="str">
        <f>_xlfn.XLOOKUP(C1442,[1]!Table1[Shift_ID],[1]!Table1[Shift_ID])</f>
        <v>S03</v>
      </c>
      <c r="M1442" t="str">
        <f>_xlfn.XLOOKUP(D1442,[2]!Table1[Machine_ID],[2]!Table1[Machine_ID])</f>
        <v>M002</v>
      </c>
      <c r="N1442" t="str">
        <f>_xlfn.XLOOKUP(E1442,[3]Sheet1!$A$2:$A$391,[3]Sheet1!$A$2:$A$391)</f>
        <v>PO10097</v>
      </c>
    </row>
    <row r="1443" spans="1:14" x14ac:dyDescent="0.2">
      <c r="A1443" t="s">
        <v>1452</v>
      </c>
      <c r="B1443" s="2">
        <v>46281</v>
      </c>
      <c r="C1443" t="s">
        <v>2939</v>
      </c>
      <c r="D1443" t="s">
        <v>2944</v>
      </c>
      <c r="E1443" t="s">
        <v>3047</v>
      </c>
      <c r="F1443" s="3">
        <v>46282.033214790623</v>
      </c>
      <c r="G1443" s="3">
        <v>46282.034933267059</v>
      </c>
      <c r="H1443">
        <v>2.4700000000000002</v>
      </c>
      <c r="I1443" t="s">
        <v>3151</v>
      </c>
      <c r="J1443" t="s">
        <v>3169</v>
      </c>
      <c r="K1443" t="s">
        <v>3188</v>
      </c>
      <c r="L1443" t="str">
        <f>_xlfn.XLOOKUP(C1443,[1]!Table1[Shift_ID],[1]!Table1[Shift_ID])</f>
        <v>S03</v>
      </c>
      <c r="M1443" t="str">
        <f>_xlfn.XLOOKUP(D1443,[2]!Table1[Machine_ID],[2]!Table1[Machine_ID])</f>
        <v>M003</v>
      </c>
      <c r="N1443" t="str">
        <f>_xlfn.XLOOKUP(E1443,[3]Sheet1!$A$2:$A$391,[3]Sheet1!$A$2:$A$391)</f>
        <v>PO10097</v>
      </c>
    </row>
    <row r="1444" spans="1:14" x14ac:dyDescent="0.2">
      <c r="A1444" t="s">
        <v>1453</v>
      </c>
      <c r="B1444" s="2">
        <v>46281</v>
      </c>
      <c r="C1444" t="s">
        <v>2939</v>
      </c>
      <c r="D1444" t="s">
        <v>2944</v>
      </c>
      <c r="E1444" t="s">
        <v>3047</v>
      </c>
      <c r="F1444" s="3">
        <v>46282.086153756703</v>
      </c>
      <c r="G1444" s="3">
        <v>46282.08787223314</v>
      </c>
      <c r="H1444">
        <v>2.4700000000000002</v>
      </c>
      <c r="I1444" t="s">
        <v>3151</v>
      </c>
      <c r="J1444" t="s">
        <v>3170</v>
      </c>
      <c r="K1444" t="s">
        <v>3181</v>
      </c>
      <c r="L1444" t="str">
        <f>_xlfn.XLOOKUP(C1444,[1]!Table1[Shift_ID],[1]!Table1[Shift_ID])</f>
        <v>S03</v>
      </c>
      <c r="M1444" t="str">
        <f>_xlfn.XLOOKUP(D1444,[2]!Table1[Machine_ID],[2]!Table1[Machine_ID])</f>
        <v>M003</v>
      </c>
      <c r="N1444" t="str">
        <f>_xlfn.XLOOKUP(E1444,[3]Sheet1!$A$2:$A$391,[3]Sheet1!$A$2:$A$391)</f>
        <v>PO10097</v>
      </c>
    </row>
    <row r="1445" spans="1:14" x14ac:dyDescent="0.2">
      <c r="A1445" t="s">
        <v>1454</v>
      </c>
      <c r="B1445" s="2">
        <v>46281</v>
      </c>
      <c r="C1445" t="s">
        <v>2939</v>
      </c>
      <c r="D1445" t="s">
        <v>2944</v>
      </c>
      <c r="E1445" t="s">
        <v>3047</v>
      </c>
      <c r="F1445" s="3">
        <v>46282.162906550242</v>
      </c>
      <c r="G1445" s="3">
        <v>46282.16561034412</v>
      </c>
      <c r="H1445">
        <v>3.89</v>
      </c>
      <c r="I1445" t="s">
        <v>3147</v>
      </c>
      <c r="J1445" t="s">
        <v>3154</v>
      </c>
      <c r="K1445" t="s">
        <v>3185</v>
      </c>
      <c r="L1445" t="str">
        <f>_xlfn.XLOOKUP(C1445,[1]!Table1[Shift_ID],[1]!Table1[Shift_ID])</f>
        <v>S03</v>
      </c>
      <c r="M1445" t="str">
        <f>_xlfn.XLOOKUP(D1445,[2]!Table1[Machine_ID],[2]!Table1[Machine_ID])</f>
        <v>M003</v>
      </c>
      <c r="N1445" t="str">
        <f>_xlfn.XLOOKUP(E1445,[3]Sheet1!$A$2:$A$391,[3]Sheet1!$A$2:$A$391)</f>
        <v>PO10097</v>
      </c>
    </row>
    <row r="1446" spans="1:14" x14ac:dyDescent="0.2">
      <c r="A1446" t="s">
        <v>1455</v>
      </c>
      <c r="B1446" s="2">
        <v>46281</v>
      </c>
      <c r="C1446" t="s">
        <v>2939</v>
      </c>
      <c r="D1446" t="s">
        <v>2944</v>
      </c>
      <c r="E1446" t="s">
        <v>3047</v>
      </c>
      <c r="F1446" s="3">
        <v>46282.209499909193</v>
      </c>
      <c r="G1446" s="3">
        <v>46282.211218385622</v>
      </c>
      <c r="H1446">
        <v>2.4700000000000002</v>
      </c>
      <c r="I1446" t="s">
        <v>3146</v>
      </c>
      <c r="J1446" t="s">
        <v>3152</v>
      </c>
      <c r="K1446" t="s">
        <v>3171</v>
      </c>
      <c r="L1446" t="str">
        <f>_xlfn.XLOOKUP(C1446,[1]!Table1[Shift_ID],[1]!Table1[Shift_ID])</f>
        <v>S03</v>
      </c>
      <c r="M1446" t="str">
        <f>_xlfn.XLOOKUP(D1446,[2]!Table1[Machine_ID],[2]!Table1[Machine_ID])</f>
        <v>M003</v>
      </c>
      <c r="N1446" t="str">
        <f>_xlfn.XLOOKUP(E1446,[3]Sheet1!$A$2:$A$391,[3]Sheet1!$A$2:$A$391)</f>
        <v>PO10097</v>
      </c>
    </row>
    <row r="1447" spans="1:14" x14ac:dyDescent="0.2">
      <c r="A1447" t="s">
        <v>1456</v>
      </c>
      <c r="B1447" s="2">
        <v>46281</v>
      </c>
      <c r="C1447" t="s">
        <v>2939</v>
      </c>
      <c r="D1447" t="s">
        <v>2945</v>
      </c>
      <c r="E1447" t="s">
        <v>3047</v>
      </c>
      <c r="F1447" s="3">
        <v>46282.180012293713</v>
      </c>
      <c r="G1447" s="3">
        <v>46282.186363449029</v>
      </c>
      <c r="H1447">
        <v>9.15</v>
      </c>
      <c r="I1447" t="s">
        <v>3147</v>
      </c>
      <c r="J1447" t="s">
        <v>3167</v>
      </c>
      <c r="K1447" t="s">
        <v>3186</v>
      </c>
      <c r="L1447" t="str">
        <f>_xlfn.XLOOKUP(C1447,[1]!Table1[Shift_ID],[1]!Table1[Shift_ID])</f>
        <v>S03</v>
      </c>
      <c r="M1447" t="str">
        <f>_xlfn.XLOOKUP(D1447,[2]!Table1[Machine_ID],[2]!Table1[Machine_ID])</f>
        <v>M004</v>
      </c>
      <c r="N1447" t="str">
        <f>_xlfn.XLOOKUP(E1447,[3]Sheet1!$A$2:$A$391,[3]Sheet1!$A$2:$A$391)</f>
        <v>PO10097</v>
      </c>
    </row>
    <row r="1448" spans="1:14" x14ac:dyDescent="0.2">
      <c r="A1448" t="s">
        <v>1457</v>
      </c>
      <c r="B1448" s="2">
        <v>46281</v>
      </c>
      <c r="C1448" t="s">
        <v>2939</v>
      </c>
      <c r="D1448" t="s">
        <v>2946</v>
      </c>
      <c r="E1448" t="s">
        <v>3047</v>
      </c>
      <c r="F1448" s="3">
        <v>46282.038019672451</v>
      </c>
      <c r="G1448" s="3">
        <v>46282.040707289088</v>
      </c>
      <c r="H1448">
        <v>3.87</v>
      </c>
      <c r="I1448" t="s">
        <v>3149</v>
      </c>
      <c r="J1448" t="s">
        <v>3158</v>
      </c>
      <c r="K1448" t="s">
        <v>3184</v>
      </c>
      <c r="L1448" t="str">
        <f>_xlfn.XLOOKUP(C1448,[1]!Table1[Shift_ID],[1]!Table1[Shift_ID])</f>
        <v>S03</v>
      </c>
      <c r="M1448" t="str">
        <f>_xlfn.XLOOKUP(D1448,[2]!Table1[Machine_ID],[2]!Table1[Machine_ID])</f>
        <v>M005</v>
      </c>
      <c r="N1448" t="str">
        <f>_xlfn.XLOOKUP(E1448,[3]Sheet1!$A$2:$A$391,[3]Sheet1!$A$2:$A$391)</f>
        <v>PO10097</v>
      </c>
    </row>
    <row r="1449" spans="1:14" x14ac:dyDescent="0.2">
      <c r="A1449" t="s">
        <v>1458</v>
      </c>
      <c r="B1449" s="2">
        <v>46281</v>
      </c>
      <c r="C1449" t="s">
        <v>2939</v>
      </c>
      <c r="D1449" t="s">
        <v>2946</v>
      </c>
      <c r="E1449" t="s">
        <v>3047</v>
      </c>
      <c r="F1449" s="3">
        <v>46282.153566252629</v>
      </c>
      <c r="G1449" s="3">
        <v>46282.156124253677</v>
      </c>
      <c r="H1449">
        <v>3.68</v>
      </c>
      <c r="I1449" t="s">
        <v>3146</v>
      </c>
      <c r="J1449" t="s">
        <v>3157</v>
      </c>
      <c r="K1449" t="s">
        <v>3174</v>
      </c>
      <c r="L1449" t="str">
        <f>_xlfn.XLOOKUP(C1449,[1]!Table1[Shift_ID],[1]!Table1[Shift_ID])</f>
        <v>S03</v>
      </c>
      <c r="M1449" t="str">
        <f>_xlfn.XLOOKUP(D1449,[2]!Table1[Machine_ID],[2]!Table1[Machine_ID])</f>
        <v>M005</v>
      </c>
      <c r="N1449" t="str">
        <f>_xlfn.XLOOKUP(E1449,[3]Sheet1!$A$2:$A$391,[3]Sheet1!$A$2:$A$391)</f>
        <v>PO10097</v>
      </c>
    </row>
    <row r="1450" spans="1:14" x14ac:dyDescent="0.2">
      <c r="A1450" t="s">
        <v>1459</v>
      </c>
      <c r="B1450" s="2">
        <v>46281</v>
      </c>
      <c r="C1450" t="s">
        <v>2939</v>
      </c>
      <c r="D1450" t="s">
        <v>2946</v>
      </c>
      <c r="E1450" t="s">
        <v>3047</v>
      </c>
      <c r="F1450" s="3">
        <v>46282.212006404057</v>
      </c>
      <c r="G1450" s="3">
        <v>46282.213614488886</v>
      </c>
      <c r="H1450">
        <v>2.3199999999999998</v>
      </c>
      <c r="I1450" t="s">
        <v>3146</v>
      </c>
      <c r="J1450" t="s">
        <v>3152</v>
      </c>
      <c r="K1450" t="s">
        <v>3171</v>
      </c>
      <c r="L1450" t="str">
        <f>_xlfn.XLOOKUP(C1450,[1]!Table1[Shift_ID],[1]!Table1[Shift_ID])</f>
        <v>S03</v>
      </c>
      <c r="M1450" t="str">
        <f>_xlfn.XLOOKUP(D1450,[2]!Table1[Machine_ID],[2]!Table1[Machine_ID])</f>
        <v>M005</v>
      </c>
      <c r="N1450" t="str">
        <f>_xlfn.XLOOKUP(E1450,[3]Sheet1!$A$2:$A$391,[3]Sheet1!$A$2:$A$391)</f>
        <v>PO10097</v>
      </c>
    </row>
    <row r="1451" spans="1:14" x14ac:dyDescent="0.2">
      <c r="A1451" t="s">
        <v>1460</v>
      </c>
      <c r="B1451" s="2">
        <v>46281</v>
      </c>
      <c r="C1451" t="s">
        <v>2939</v>
      </c>
      <c r="D1451" t="s">
        <v>2947</v>
      </c>
      <c r="E1451" t="s">
        <v>3047</v>
      </c>
      <c r="F1451" s="3">
        <v>46282.079916887291</v>
      </c>
      <c r="G1451" s="3">
        <v>46282.081982807533</v>
      </c>
      <c r="H1451">
        <v>2.97</v>
      </c>
      <c r="I1451" t="s">
        <v>3147</v>
      </c>
      <c r="J1451" t="s">
        <v>3167</v>
      </c>
      <c r="K1451" t="s">
        <v>3185</v>
      </c>
      <c r="L1451" t="str">
        <f>_xlfn.XLOOKUP(C1451,[1]!Table1[Shift_ID],[1]!Table1[Shift_ID])</f>
        <v>S03</v>
      </c>
      <c r="M1451" t="str">
        <f>_xlfn.XLOOKUP(D1451,[2]!Table1[Machine_ID],[2]!Table1[Machine_ID])</f>
        <v>M006</v>
      </c>
      <c r="N1451" t="str">
        <f>_xlfn.XLOOKUP(E1451,[3]Sheet1!$A$2:$A$391,[3]Sheet1!$A$2:$A$391)</f>
        <v>PO10097</v>
      </c>
    </row>
    <row r="1452" spans="1:14" x14ac:dyDescent="0.2">
      <c r="A1452" t="s">
        <v>1461</v>
      </c>
      <c r="B1452" s="2">
        <v>46281</v>
      </c>
      <c r="C1452" t="s">
        <v>2939</v>
      </c>
      <c r="D1452" t="s">
        <v>2947</v>
      </c>
      <c r="E1452" t="s">
        <v>3047</v>
      </c>
      <c r="F1452" s="3">
        <v>46282.128594754649</v>
      </c>
      <c r="G1452" s="3">
        <v>46282.143247513748</v>
      </c>
      <c r="H1452">
        <v>21.1</v>
      </c>
      <c r="I1452" t="s">
        <v>3146</v>
      </c>
      <c r="J1452" t="s">
        <v>3157</v>
      </c>
      <c r="K1452" t="s">
        <v>3174</v>
      </c>
      <c r="L1452" t="str">
        <f>_xlfn.XLOOKUP(C1452,[1]!Table1[Shift_ID],[1]!Table1[Shift_ID])</f>
        <v>S03</v>
      </c>
      <c r="M1452" t="str">
        <f>_xlfn.XLOOKUP(D1452,[2]!Table1[Machine_ID],[2]!Table1[Machine_ID])</f>
        <v>M006</v>
      </c>
      <c r="N1452" t="str">
        <f>_xlfn.XLOOKUP(E1452,[3]Sheet1!$A$2:$A$391,[3]Sheet1!$A$2:$A$391)</f>
        <v>PO10097</v>
      </c>
    </row>
    <row r="1453" spans="1:14" x14ac:dyDescent="0.2">
      <c r="A1453" t="s">
        <v>1462</v>
      </c>
      <c r="B1453" s="2">
        <v>46281</v>
      </c>
      <c r="C1453" t="s">
        <v>2939</v>
      </c>
      <c r="D1453" t="s">
        <v>2947</v>
      </c>
      <c r="E1453" t="s">
        <v>3047</v>
      </c>
      <c r="F1453" s="3">
        <v>46282.183832469411</v>
      </c>
      <c r="G1453" s="3">
        <v>46282.18744871112</v>
      </c>
      <c r="H1453">
        <v>5.21</v>
      </c>
      <c r="I1453" t="s">
        <v>3149</v>
      </c>
      <c r="J1453" t="s">
        <v>3162</v>
      </c>
      <c r="K1453" t="s">
        <v>3184</v>
      </c>
      <c r="L1453" t="str">
        <f>_xlfn.XLOOKUP(C1453,[1]!Table1[Shift_ID],[1]!Table1[Shift_ID])</f>
        <v>S03</v>
      </c>
      <c r="M1453" t="str">
        <f>_xlfn.XLOOKUP(D1453,[2]!Table1[Machine_ID],[2]!Table1[Machine_ID])</f>
        <v>M006</v>
      </c>
      <c r="N1453" t="str">
        <f>_xlfn.XLOOKUP(E1453,[3]Sheet1!$A$2:$A$391,[3]Sheet1!$A$2:$A$391)</f>
        <v>PO10097</v>
      </c>
    </row>
    <row r="1454" spans="1:14" x14ac:dyDescent="0.2">
      <c r="A1454" t="s">
        <v>1463</v>
      </c>
      <c r="B1454" s="2">
        <v>46281</v>
      </c>
      <c r="C1454" t="s">
        <v>2939</v>
      </c>
      <c r="D1454" t="s">
        <v>2948</v>
      </c>
      <c r="E1454" t="s">
        <v>3047</v>
      </c>
      <c r="F1454" s="3">
        <v>46281.950004134582</v>
      </c>
      <c r="G1454" s="3">
        <v>46281.964462781427</v>
      </c>
      <c r="H1454">
        <v>20.82</v>
      </c>
      <c r="I1454" t="s">
        <v>3147</v>
      </c>
      <c r="J1454" t="s">
        <v>3167</v>
      </c>
      <c r="K1454" t="s">
        <v>3185</v>
      </c>
      <c r="L1454" t="str">
        <f>_xlfn.XLOOKUP(C1454,[1]!Table1[Shift_ID],[1]!Table1[Shift_ID])</f>
        <v>S03</v>
      </c>
      <c r="M1454" t="str">
        <f>_xlfn.XLOOKUP(D1454,[2]!Table1[Machine_ID],[2]!Table1[Machine_ID])</f>
        <v>M007</v>
      </c>
      <c r="N1454" t="str">
        <f>_xlfn.XLOOKUP(E1454,[3]Sheet1!$A$2:$A$391,[3]Sheet1!$A$2:$A$391)</f>
        <v>PO10097</v>
      </c>
    </row>
    <row r="1455" spans="1:14" x14ac:dyDescent="0.2">
      <c r="A1455" t="s">
        <v>1464</v>
      </c>
      <c r="B1455" s="2">
        <v>46281</v>
      </c>
      <c r="C1455" t="s">
        <v>2939</v>
      </c>
      <c r="D1455" t="s">
        <v>2949</v>
      </c>
      <c r="E1455" t="s">
        <v>3047</v>
      </c>
      <c r="F1455" s="3">
        <v>46282.00799117425</v>
      </c>
      <c r="G1455" s="3">
        <v>46282.013679680553</v>
      </c>
      <c r="H1455">
        <v>8.19</v>
      </c>
      <c r="I1455" t="s">
        <v>3147</v>
      </c>
      <c r="J1455" t="s">
        <v>3153</v>
      </c>
      <c r="K1455" t="s">
        <v>3172</v>
      </c>
      <c r="L1455" t="str">
        <f>_xlfn.XLOOKUP(C1455,[1]!Table1[Shift_ID],[1]!Table1[Shift_ID])</f>
        <v>S03</v>
      </c>
      <c r="M1455" t="str">
        <f>_xlfn.XLOOKUP(D1455,[2]!Table1[Machine_ID],[2]!Table1[Machine_ID])</f>
        <v>M008</v>
      </c>
      <c r="N1455" t="str">
        <f>_xlfn.XLOOKUP(E1455,[3]Sheet1!$A$2:$A$391,[3]Sheet1!$A$2:$A$391)</f>
        <v>PO10097</v>
      </c>
    </row>
    <row r="1456" spans="1:14" x14ac:dyDescent="0.2">
      <c r="A1456" t="s">
        <v>1465</v>
      </c>
      <c r="B1456" s="2">
        <v>46281</v>
      </c>
      <c r="C1456" t="s">
        <v>2940</v>
      </c>
      <c r="D1456" t="s">
        <v>2942</v>
      </c>
      <c r="E1456" t="s">
        <v>3048</v>
      </c>
      <c r="F1456" s="3">
        <v>46281.550328682468</v>
      </c>
      <c r="G1456" s="3">
        <v>46281.558653093853</v>
      </c>
      <c r="H1456">
        <v>11.99</v>
      </c>
      <c r="I1456" t="s">
        <v>3151</v>
      </c>
      <c r="J1456" t="s">
        <v>3170</v>
      </c>
      <c r="K1456" t="s">
        <v>3188</v>
      </c>
      <c r="L1456" t="str">
        <f>_xlfn.XLOOKUP(C1456,[1]!Table1[Shift_ID],[1]!Table1[Shift_ID])</f>
        <v>S01</v>
      </c>
      <c r="M1456" t="str">
        <f>_xlfn.XLOOKUP(D1456,[2]!Table1[Machine_ID],[2]!Table1[Machine_ID])</f>
        <v>M001</v>
      </c>
      <c r="N1456" t="str">
        <f>_xlfn.XLOOKUP(E1456,[3]Sheet1!$A$2:$A$391,[3]Sheet1!$A$2:$A$391)</f>
        <v>PO10098</v>
      </c>
    </row>
    <row r="1457" spans="1:14" x14ac:dyDescent="0.2">
      <c r="A1457" t="s">
        <v>1466</v>
      </c>
      <c r="B1457" s="2">
        <v>46281</v>
      </c>
      <c r="C1457" t="s">
        <v>2940</v>
      </c>
      <c r="D1457" t="s">
        <v>2943</v>
      </c>
      <c r="E1457" t="s">
        <v>3048</v>
      </c>
      <c r="F1457" s="3">
        <v>46281.434943103413</v>
      </c>
      <c r="G1457" s="3">
        <v>46281.436337163257</v>
      </c>
      <c r="H1457">
        <v>2.0099999999999998</v>
      </c>
      <c r="I1457" t="s">
        <v>3150</v>
      </c>
      <c r="J1457" t="s">
        <v>3159</v>
      </c>
      <c r="K1457" t="s">
        <v>3178</v>
      </c>
      <c r="L1457" t="str">
        <f>_xlfn.XLOOKUP(C1457,[1]!Table1[Shift_ID],[1]!Table1[Shift_ID])</f>
        <v>S01</v>
      </c>
      <c r="M1457" t="str">
        <f>_xlfn.XLOOKUP(D1457,[2]!Table1[Machine_ID],[2]!Table1[Machine_ID])</f>
        <v>M002</v>
      </c>
      <c r="N1457" t="str">
        <f>_xlfn.XLOOKUP(E1457,[3]Sheet1!$A$2:$A$391,[3]Sheet1!$A$2:$A$391)</f>
        <v>PO10098</v>
      </c>
    </row>
    <row r="1458" spans="1:14" x14ac:dyDescent="0.2">
      <c r="A1458" t="s">
        <v>1467</v>
      </c>
      <c r="B1458" s="2">
        <v>46281</v>
      </c>
      <c r="C1458" t="s">
        <v>2940</v>
      </c>
      <c r="D1458" t="s">
        <v>2943</v>
      </c>
      <c r="E1458" t="s">
        <v>3048</v>
      </c>
      <c r="F1458" s="3">
        <v>46281.463656862383</v>
      </c>
      <c r="G1458" s="3">
        <v>46281.465050922227</v>
      </c>
      <c r="H1458">
        <v>2.0099999999999998</v>
      </c>
      <c r="I1458" t="s">
        <v>3147</v>
      </c>
      <c r="J1458" t="s">
        <v>3167</v>
      </c>
      <c r="K1458" t="s">
        <v>3185</v>
      </c>
      <c r="L1458" t="str">
        <f>_xlfn.XLOOKUP(C1458,[1]!Table1[Shift_ID],[1]!Table1[Shift_ID])</f>
        <v>S01</v>
      </c>
      <c r="M1458" t="str">
        <f>_xlfn.XLOOKUP(D1458,[2]!Table1[Machine_ID],[2]!Table1[Machine_ID])</f>
        <v>M002</v>
      </c>
      <c r="N1458" t="str">
        <f>_xlfn.XLOOKUP(E1458,[3]Sheet1!$A$2:$A$391,[3]Sheet1!$A$2:$A$391)</f>
        <v>PO10098</v>
      </c>
    </row>
    <row r="1459" spans="1:14" x14ac:dyDescent="0.2">
      <c r="A1459" t="s">
        <v>1468</v>
      </c>
      <c r="B1459" s="2">
        <v>46281</v>
      </c>
      <c r="C1459" t="s">
        <v>2940</v>
      </c>
      <c r="D1459" t="s">
        <v>2943</v>
      </c>
      <c r="E1459" t="s">
        <v>3048</v>
      </c>
      <c r="F1459" s="3">
        <v>46281.502864947914</v>
      </c>
      <c r="G1459" s="3">
        <v>46281.504259007779</v>
      </c>
      <c r="H1459">
        <v>2.0099999999999998</v>
      </c>
      <c r="I1459" t="s">
        <v>3147</v>
      </c>
      <c r="J1459" t="s">
        <v>3167</v>
      </c>
      <c r="K1459" t="s">
        <v>3186</v>
      </c>
      <c r="L1459" t="str">
        <f>_xlfn.XLOOKUP(C1459,[1]!Table1[Shift_ID],[1]!Table1[Shift_ID])</f>
        <v>S01</v>
      </c>
      <c r="M1459" t="str">
        <f>_xlfn.XLOOKUP(D1459,[2]!Table1[Machine_ID],[2]!Table1[Machine_ID])</f>
        <v>M002</v>
      </c>
      <c r="N1459" t="str">
        <f>_xlfn.XLOOKUP(E1459,[3]Sheet1!$A$2:$A$391,[3]Sheet1!$A$2:$A$391)</f>
        <v>PO10098</v>
      </c>
    </row>
    <row r="1460" spans="1:14" x14ac:dyDescent="0.2">
      <c r="A1460" t="s">
        <v>1469</v>
      </c>
      <c r="B1460" s="2">
        <v>46281</v>
      </c>
      <c r="C1460" t="s">
        <v>2940</v>
      </c>
      <c r="D1460" t="s">
        <v>2943</v>
      </c>
      <c r="E1460" t="s">
        <v>3048</v>
      </c>
      <c r="F1460" s="3">
        <v>46281.526985247328</v>
      </c>
      <c r="G1460" s="3">
        <v>46281.528379307187</v>
      </c>
      <c r="H1460">
        <v>2.0099999999999998</v>
      </c>
      <c r="I1460" t="s">
        <v>3147</v>
      </c>
      <c r="J1460" t="s">
        <v>3153</v>
      </c>
      <c r="K1460" t="s">
        <v>3186</v>
      </c>
      <c r="L1460" t="str">
        <f>_xlfn.XLOOKUP(C1460,[1]!Table1[Shift_ID],[1]!Table1[Shift_ID])</f>
        <v>S01</v>
      </c>
      <c r="M1460" t="str">
        <f>_xlfn.XLOOKUP(D1460,[2]!Table1[Machine_ID],[2]!Table1[Machine_ID])</f>
        <v>M002</v>
      </c>
      <c r="N1460" t="str">
        <f>_xlfn.XLOOKUP(E1460,[3]Sheet1!$A$2:$A$391,[3]Sheet1!$A$2:$A$391)</f>
        <v>PO10098</v>
      </c>
    </row>
    <row r="1461" spans="1:14" x14ac:dyDescent="0.2">
      <c r="A1461" t="s">
        <v>1470</v>
      </c>
      <c r="B1461" s="2">
        <v>46281</v>
      </c>
      <c r="C1461" t="s">
        <v>2940</v>
      </c>
      <c r="D1461" t="s">
        <v>2943</v>
      </c>
      <c r="E1461" t="s">
        <v>3048</v>
      </c>
      <c r="F1461" s="3">
        <v>46281.539141390327</v>
      </c>
      <c r="G1461" s="3">
        <v>46281.541596246367</v>
      </c>
      <c r="H1461">
        <v>3.53</v>
      </c>
      <c r="I1461" t="s">
        <v>3149</v>
      </c>
      <c r="J1461" t="s">
        <v>3158</v>
      </c>
      <c r="K1461" t="s">
        <v>3184</v>
      </c>
      <c r="L1461" t="str">
        <f>_xlfn.XLOOKUP(C1461,[1]!Table1[Shift_ID],[1]!Table1[Shift_ID])</f>
        <v>S01</v>
      </c>
      <c r="M1461" t="str">
        <f>_xlfn.XLOOKUP(D1461,[2]!Table1[Machine_ID],[2]!Table1[Machine_ID])</f>
        <v>M002</v>
      </c>
      <c r="N1461" t="str">
        <f>_xlfn.XLOOKUP(E1461,[3]Sheet1!$A$2:$A$391,[3]Sheet1!$A$2:$A$391)</f>
        <v>PO10098</v>
      </c>
    </row>
    <row r="1462" spans="1:14" x14ac:dyDescent="0.2">
      <c r="A1462" t="s">
        <v>1471</v>
      </c>
      <c r="B1462" s="2">
        <v>46281</v>
      </c>
      <c r="C1462" t="s">
        <v>2940</v>
      </c>
      <c r="D1462" t="s">
        <v>2944</v>
      </c>
      <c r="E1462" t="s">
        <v>3048</v>
      </c>
      <c r="F1462" s="3">
        <v>46281.332086804367</v>
      </c>
      <c r="G1462" s="3">
        <v>46281.345702160666</v>
      </c>
      <c r="H1462">
        <v>19.61</v>
      </c>
      <c r="I1462" t="s">
        <v>3149</v>
      </c>
      <c r="J1462" t="s">
        <v>3162</v>
      </c>
      <c r="K1462" t="s">
        <v>3184</v>
      </c>
      <c r="L1462" t="str">
        <f>_xlfn.XLOOKUP(C1462,[1]!Table1[Shift_ID],[1]!Table1[Shift_ID])</f>
        <v>S01</v>
      </c>
      <c r="M1462" t="str">
        <f>_xlfn.XLOOKUP(D1462,[2]!Table1[Machine_ID],[2]!Table1[Machine_ID])</f>
        <v>M003</v>
      </c>
      <c r="N1462" t="str">
        <f>_xlfn.XLOOKUP(E1462,[3]Sheet1!$A$2:$A$391,[3]Sheet1!$A$2:$A$391)</f>
        <v>PO10098</v>
      </c>
    </row>
    <row r="1463" spans="1:14" x14ac:dyDescent="0.2">
      <c r="A1463" t="s">
        <v>1472</v>
      </c>
      <c r="B1463" s="2">
        <v>46281</v>
      </c>
      <c r="C1463" t="s">
        <v>2940</v>
      </c>
      <c r="D1463" t="s">
        <v>2945</v>
      </c>
      <c r="E1463" t="s">
        <v>3048</v>
      </c>
      <c r="F1463" s="3">
        <v>46281.449531581136</v>
      </c>
      <c r="G1463" s="3">
        <v>46281.455796500151</v>
      </c>
      <c r="H1463">
        <v>9.02</v>
      </c>
      <c r="I1463" t="s">
        <v>3151</v>
      </c>
      <c r="J1463" t="s">
        <v>3161</v>
      </c>
      <c r="K1463" t="s">
        <v>3187</v>
      </c>
      <c r="L1463" t="str">
        <f>_xlfn.XLOOKUP(C1463,[1]!Table1[Shift_ID],[1]!Table1[Shift_ID])</f>
        <v>S01</v>
      </c>
      <c r="M1463" t="str">
        <f>_xlfn.XLOOKUP(D1463,[2]!Table1[Machine_ID],[2]!Table1[Machine_ID])</f>
        <v>M004</v>
      </c>
      <c r="N1463" t="str">
        <f>_xlfn.XLOOKUP(E1463,[3]Sheet1!$A$2:$A$391,[3]Sheet1!$A$2:$A$391)</f>
        <v>PO10098</v>
      </c>
    </row>
    <row r="1464" spans="1:14" x14ac:dyDescent="0.2">
      <c r="A1464" t="s">
        <v>1473</v>
      </c>
      <c r="B1464" s="2">
        <v>46281</v>
      </c>
      <c r="C1464" t="s">
        <v>2940</v>
      </c>
      <c r="D1464" t="s">
        <v>2946</v>
      </c>
      <c r="E1464" t="s">
        <v>3048</v>
      </c>
      <c r="F1464" s="3">
        <v>46281.373297185783</v>
      </c>
      <c r="G1464" s="3">
        <v>46281.378250163587</v>
      </c>
      <c r="H1464">
        <v>7.13</v>
      </c>
      <c r="I1464" t="s">
        <v>3149</v>
      </c>
      <c r="J1464" t="s">
        <v>3168</v>
      </c>
      <c r="K1464" t="s">
        <v>3184</v>
      </c>
      <c r="L1464" t="str">
        <f>_xlfn.XLOOKUP(C1464,[1]!Table1[Shift_ID],[1]!Table1[Shift_ID])</f>
        <v>S01</v>
      </c>
      <c r="M1464" t="str">
        <f>_xlfn.XLOOKUP(D1464,[2]!Table1[Machine_ID],[2]!Table1[Machine_ID])</f>
        <v>M005</v>
      </c>
      <c r="N1464" t="str">
        <f>_xlfn.XLOOKUP(E1464,[3]Sheet1!$A$2:$A$391,[3]Sheet1!$A$2:$A$391)</f>
        <v>PO10098</v>
      </c>
    </row>
    <row r="1465" spans="1:14" x14ac:dyDescent="0.2">
      <c r="A1465" t="s">
        <v>1474</v>
      </c>
      <c r="B1465" s="2">
        <v>46281</v>
      </c>
      <c r="C1465" t="s">
        <v>2940</v>
      </c>
      <c r="D1465" t="s">
        <v>2946</v>
      </c>
      <c r="E1465" t="s">
        <v>3048</v>
      </c>
      <c r="F1465" s="3">
        <v>46281.485699829936</v>
      </c>
      <c r="G1465" s="3">
        <v>46281.487367865397</v>
      </c>
      <c r="H1465">
        <v>2.4</v>
      </c>
      <c r="I1465" t="s">
        <v>3147</v>
      </c>
      <c r="J1465" t="s">
        <v>3167</v>
      </c>
      <c r="K1465" t="s">
        <v>3172</v>
      </c>
      <c r="L1465" t="str">
        <f>_xlfn.XLOOKUP(C1465,[1]!Table1[Shift_ID],[1]!Table1[Shift_ID])</f>
        <v>S01</v>
      </c>
      <c r="M1465" t="str">
        <f>_xlfn.XLOOKUP(D1465,[2]!Table1[Machine_ID],[2]!Table1[Machine_ID])</f>
        <v>M005</v>
      </c>
      <c r="N1465" t="str">
        <f>_xlfn.XLOOKUP(E1465,[3]Sheet1!$A$2:$A$391,[3]Sheet1!$A$2:$A$391)</f>
        <v>PO10098</v>
      </c>
    </row>
    <row r="1466" spans="1:14" x14ac:dyDescent="0.2">
      <c r="A1466" t="s">
        <v>1475</v>
      </c>
      <c r="B1466" s="2">
        <v>46281</v>
      </c>
      <c r="C1466" t="s">
        <v>2940</v>
      </c>
      <c r="D1466" t="s">
        <v>2947</v>
      </c>
      <c r="E1466" t="s">
        <v>3048</v>
      </c>
      <c r="F1466" s="3">
        <v>46281.25182206594</v>
      </c>
      <c r="G1466" s="3">
        <v>46281.254304259688</v>
      </c>
      <c r="H1466">
        <v>3.57</v>
      </c>
      <c r="I1466" t="s">
        <v>3149</v>
      </c>
      <c r="J1466" t="s">
        <v>3168</v>
      </c>
      <c r="K1466" t="s">
        <v>3182</v>
      </c>
      <c r="L1466" t="str">
        <f>_xlfn.XLOOKUP(C1466,[1]!Table1[Shift_ID],[1]!Table1[Shift_ID])</f>
        <v>S01</v>
      </c>
      <c r="M1466" t="str">
        <f>_xlfn.XLOOKUP(D1466,[2]!Table1[Machine_ID],[2]!Table1[Machine_ID])</f>
        <v>M006</v>
      </c>
      <c r="N1466" t="str">
        <f>_xlfn.XLOOKUP(E1466,[3]Sheet1!$A$2:$A$391,[3]Sheet1!$A$2:$A$391)</f>
        <v>PO10098</v>
      </c>
    </row>
    <row r="1467" spans="1:14" x14ac:dyDescent="0.2">
      <c r="A1467" t="s">
        <v>1476</v>
      </c>
      <c r="B1467" s="2">
        <v>46281</v>
      </c>
      <c r="C1467" t="s">
        <v>2940</v>
      </c>
      <c r="D1467" t="s">
        <v>2947</v>
      </c>
      <c r="E1467" t="s">
        <v>3048</v>
      </c>
      <c r="F1467" s="3">
        <v>46281.260137461468</v>
      </c>
      <c r="G1467" s="3">
        <v>46281.262101517423</v>
      </c>
      <c r="H1467">
        <v>2.83</v>
      </c>
      <c r="I1467" t="s">
        <v>3148</v>
      </c>
      <c r="J1467" t="s">
        <v>3155</v>
      </c>
      <c r="K1467" t="s">
        <v>3180</v>
      </c>
      <c r="L1467" t="str">
        <f>_xlfn.XLOOKUP(C1467,[1]!Table1[Shift_ID],[1]!Table1[Shift_ID])</f>
        <v>S01</v>
      </c>
      <c r="M1467" t="str">
        <f>_xlfn.XLOOKUP(D1467,[2]!Table1[Machine_ID],[2]!Table1[Machine_ID])</f>
        <v>M006</v>
      </c>
      <c r="N1467" t="str">
        <f>_xlfn.XLOOKUP(E1467,[3]Sheet1!$A$2:$A$391,[3]Sheet1!$A$2:$A$391)</f>
        <v>PO10098</v>
      </c>
    </row>
    <row r="1468" spans="1:14" x14ac:dyDescent="0.2">
      <c r="A1468" t="s">
        <v>1477</v>
      </c>
      <c r="B1468" s="2">
        <v>46281</v>
      </c>
      <c r="C1468" t="s">
        <v>2940</v>
      </c>
      <c r="D1468" t="s">
        <v>2947</v>
      </c>
      <c r="E1468" t="s">
        <v>3048</v>
      </c>
      <c r="F1468" s="3">
        <v>46281.304802506747</v>
      </c>
      <c r="G1468" s="3">
        <v>46281.307984394007</v>
      </c>
      <c r="H1468">
        <v>4.58</v>
      </c>
      <c r="I1468" t="s">
        <v>3147</v>
      </c>
      <c r="J1468" t="s">
        <v>3153</v>
      </c>
      <c r="K1468" t="s">
        <v>3186</v>
      </c>
      <c r="L1468" t="str">
        <f>_xlfn.XLOOKUP(C1468,[1]!Table1[Shift_ID],[1]!Table1[Shift_ID])</f>
        <v>S01</v>
      </c>
      <c r="M1468" t="str">
        <f>_xlfn.XLOOKUP(D1468,[2]!Table1[Machine_ID],[2]!Table1[Machine_ID])</f>
        <v>M006</v>
      </c>
      <c r="N1468" t="str">
        <f>_xlfn.XLOOKUP(E1468,[3]Sheet1!$A$2:$A$391,[3]Sheet1!$A$2:$A$391)</f>
        <v>PO10098</v>
      </c>
    </row>
    <row r="1469" spans="1:14" x14ac:dyDescent="0.2">
      <c r="A1469" t="s">
        <v>1478</v>
      </c>
      <c r="B1469" s="2">
        <v>46281</v>
      </c>
      <c r="C1469" t="s">
        <v>2940</v>
      </c>
      <c r="D1469" t="s">
        <v>2947</v>
      </c>
      <c r="E1469" t="s">
        <v>3048</v>
      </c>
      <c r="F1469" s="3">
        <v>46281.460217345637</v>
      </c>
      <c r="G1469" s="3">
        <v>46281.462181401577</v>
      </c>
      <c r="H1469">
        <v>2.83</v>
      </c>
      <c r="I1469" t="s">
        <v>3149</v>
      </c>
      <c r="J1469" t="s">
        <v>3162</v>
      </c>
      <c r="K1469" t="s">
        <v>3182</v>
      </c>
      <c r="L1469" t="str">
        <f>_xlfn.XLOOKUP(C1469,[1]!Table1[Shift_ID],[1]!Table1[Shift_ID])</f>
        <v>S01</v>
      </c>
      <c r="M1469" t="str">
        <f>_xlfn.XLOOKUP(D1469,[2]!Table1[Machine_ID],[2]!Table1[Machine_ID])</f>
        <v>M006</v>
      </c>
      <c r="N1469" t="str">
        <f>_xlfn.XLOOKUP(E1469,[3]Sheet1!$A$2:$A$391,[3]Sheet1!$A$2:$A$391)</f>
        <v>PO10098</v>
      </c>
    </row>
    <row r="1470" spans="1:14" x14ac:dyDescent="0.2">
      <c r="A1470" t="s">
        <v>1479</v>
      </c>
      <c r="B1470" s="2">
        <v>46281</v>
      </c>
      <c r="C1470" t="s">
        <v>2940</v>
      </c>
      <c r="D1470" t="s">
        <v>2947</v>
      </c>
      <c r="E1470" t="s">
        <v>3048</v>
      </c>
      <c r="F1470" s="3">
        <v>46281.495545795311</v>
      </c>
      <c r="G1470" s="3">
        <v>46281.511896397293</v>
      </c>
      <c r="H1470">
        <v>23.54</v>
      </c>
      <c r="I1470" t="s">
        <v>3148</v>
      </c>
      <c r="J1470" t="s">
        <v>3165</v>
      </c>
      <c r="K1470" t="s">
        <v>3173</v>
      </c>
      <c r="L1470" t="str">
        <f>_xlfn.XLOOKUP(C1470,[1]!Table1[Shift_ID],[1]!Table1[Shift_ID])</f>
        <v>S01</v>
      </c>
      <c r="M1470" t="str">
        <f>_xlfn.XLOOKUP(D1470,[2]!Table1[Machine_ID],[2]!Table1[Machine_ID])</f>
        <v>M006</v>
      </c>
      <c r="N1470" t="str">
        <f>_xlfn.XLOOKUP(E1470,[3]Sheet1!$A$2:$A$391,[3]Sheet1!$A$2:$A$391)</f>
        <v>PO10098</v>
      </c>
    </row>
    <row r="1471" spans="1:14" x14ac:dyDescent="0.2">
      <c r="A1471" t="s">
        <v>1480</v>
      </c>
      <c r="B1471" s="2">
        <v>46281</v>
      </c>
      <c r="C1471" t="s">
        <v>2940</v>
      </c>
      <c r="D1471" t="s">
        <v>2948</v>
      </c>
      <c r="E1471" t="s">
        <v>3048</v>
      </c>
      <c r="F1471" s="3">
        <v>46281.41713370182</v>
      </c>
      <c r="G1471" s="3">
        <v>46281.42029105837</v>
      </c>
      <c r="H1471">
        <v>4.55</v>
      </c>
      <c r="I1471" t="s">
        <v>3149</v>
      </c>
      <c r="J1471" t="s">
        <v>3162</v>
      </c>
      <c r="K1471" t="s">
        <v>3176</v>
      </c>
      <c r="L1471" t="str">
        <f>_xlfn.XLOOKUP(C1471,[1]!Table1[Shift_ID],[1]!Table1[Shift_ID])</f>
        <v>S01</v>
      </c>
      <c r="M1471" t="str">
        <f>_xlfn.XLOOKUP(D1471,[2]!Table1[Machine_ID],[2]!Table1[Machine_ID])</f>
        <v>M007</v>
      </c>
      <c r="N1471" t="str">
        <f>_xlfn.XLOOKUP(E1471,[3]Sheet1!$A$2:$A$391,[3]Sheet1!$A$2:$A$391)</f>
        <v>PO10098</v>
      </c>
    </row>
    <row r="1472" spans="1:14" x14ac:dyDescent="0.2">
      <c r="A1472" t="s">
        <v>1481</v>
      </c>
      <c r="B1472" s="2">
        <v>46281</v>
      </c>
      <c r="C1472" t="s">
        <v>2940</v>
      </c>
      <c r="D1472" t="s">
        <v>2948</v>
      </c>
      <c r="E1472" t="s">
        <v>3048</v>
      </c>
      <c r="F1472" s="3">
        <v>46281.429564236147</v>
      </c>
      <c r="G1472" s="3">
        <v>46281.444817311851</v>
      </c>
      <c r="H1472">
        <v>21.96</v>
      </c>
      <c r="I1472" t="s">
        <v>3148</v>
      </c>
      <c r="J1472" t="s">
        <v>3155</v>
      </c>
      <c r="K1472" t="s">
        <v>3183</v>
      </c>
      <c r="L1472" t="str">
        <f>_xlfn.XLOOKUP(C1472,[1]!Table1[Shift_ID],[1]!Table1[Shift_ID])</f>
        <v>S01</v>
      </c>
      <c r="M1472" t="str">
        <f>_xlfn.XLOOKUP(D1472,[2]!Table1[Machine_ID],[2]!Table1[Machine_ID])</f>
        <v>M007</v>
      </c>
      <c r="N1472" t="str">
        <f>_xlfn.XLOOKUP(E1472,[3]Sheet1!$A$2:$A$391,[3]Sheet1!$A$2:$A$391)</f>
        <v>PO10098</v>
      </c>
    </row>
    <row r="1473" spans="1:14" x14ac:dyDescent="0.2">
      <c r="A1473" t="s">
        <v>1482</v>
      </c>
      <c r="B1473" s="2">
        <v>46281</v>
      </c>
      <c r="C1473" t="s">
        <v>2940</v>
      </c>
      <c r="D1473" t="s">
        <v>2949</v>
      </c>
      <c r="E1473" t="s">
        <v>3048</v>
      </c>
      <c r="F1473" s="3">
        <v>46281.451456250907</v>
      </c>
      <c r="G1473" s="3">
        <v>46281.453811426421</v>
      </c>
      <c r="H1473">
        <v>3.39</v>
      </c>
      <c r="I1473" t="s">
        <v>3148</v>
      </c>
      <c r="J1473" t="s">
        <v>3165</v>
      </c>
      <c r="K1473" t="s">
        <v>3180</v>
      </c>
      <c r="L1473" t="str">
        <f>_xlfn.XLOOKUP(C1473,[1]!Table1[Shift_ID],[1]!Table1[Shift_ID])</f>
        <v>S01</v>
      </c>
      <c r="M1473" t="str">
        <f>_xlfn.XLOOKUP(D1473,[2]!Table1[Machine_ID],[2]!Table1[Machine_ID])</f>
        <v>M008</v>
      </c>
      <c r="N1473" t="str">
        <f>_xlfn.XLOOKUP(E1473,[3]Sheet1!$A$2:$A$391,[3]Sheet1!$A$2:$A$391)</f>
        <v>PO10098</v>
      </c>
    </row>
    <row r="1474" spans="1:14" x14ac:dyDescent="0.2">
      <c r="A1474" t="s">
        <v>1483</v>
      </c>
      <c r="B1474" s="2">
        <v>46281</v>
      </c>
      <c r="C1474" t="s">
        <v>2940</v>
      </c>
      <c r="D1474" t="s">
        <v>2949</v>
      </c>
      <c r="E1474" t="s">
        <v>3048</v>
      </c>
      <c r="F1474" s="3">
        <v>46281.452507657043</v>
      </c>
      <c r="G1474" s="3">
        <v>46281.456387818653</v>
      </c>
      <c r="H1474">
        <v>5.59</v>
      </c>
      <c r="I1474" t="s">
        <v>3147</v>
      </c>
      <c r="J1474" t="s">
        <v>3167</v>
      </c>
      <c r="K1474" t="s">
        <v>3186</v>
      </c>
      <c r="L1474" t="str">
        <f>_xlfn.XLOOKUP(C1474,[1]!Table1[Shift_ID],[1]!Table1[Shift_ID])</f>
        <v>S01</v>
      </c>
      <c r="M1474" t="str">
        <f>_xlfn.XLOOKUP(D1474,[2]!Table1[Machine_ID],[2]!Table1[Machine_ID])</f>
        <v>M008</v>
      </c>
      <c r="N1474" t="str">
        <f>_xlfn.XLOOKUP(E1474,[3]Sheet1!$A$2:$A$391,[3]Sheet1!$A$2:$A$391)</f>
        <v>PO10098</v>
      </c>
    </row>
    <row r="1475" spans="1:14" x14ac:dyDescent="0.2">
      <c r="A1475" t="s">
        <v>1484</v>
      </c>
      <c r="B1475" s="2">
        <v>46281</v>
      </c>
      <c r="C1475" t="s">
        <v>2941</v>
      </c>
      <c r="D1475" t="s">
        <v>2942</v>
      </c>
      <c r="E1475" t="s">
        <v>3049</v>
      </c>
      <c r="F1475" s="3">
        <v>46281.620784678613</v>
      </c>
      <c r="G1475" s="3">
        <v>46281.622185245891</v>
      </c>
      <c r="H1475">
        <v>2.02</v>
      </c>
      <c r="I1475" t="s">
        <v>3147</v>
      </c>
      <c r="J1475" t="s">
        <v>3153</v>
      </c>
      <c r="K1475" t="s">
        <v>3185</v>
      </c>
      <c r="L1475" t="str">
        <f>_xlfn.XLOOKUP(C1475,[1]!Table1[Shift_ID],[1]!Table1[Shift_ID])</f>
        <v>S02</v>
      </c>
      <c r="M1475" t="str">
        <f>_xlfn.XLOOKUP(D1475,[2]!Table1[Machine_ID],[2]!Table1[Machine_ID])</f>
        <v>M001</v>
      </c>
      <c r="N1475" t="str">
        <f>_xlfn.XLOOKUP(E1475,[3]Sheet1!$A$2:$A$391,[3]Sheet1!$A$2:$A$391)</f>
        <v>PO10099</v>
      </c>
    </row>
    <row r="1476" spans="1:14" x14ac:dyDescent="0.2">
      <c r="A1476" t="s">
        <v>1485</v>
      </c>
      <c r="B1476" s="2">
        <v>46281</v>
      </c>
      <c r="C1476" t="s">
        <v>2941</v>
      </c>
      <c r="D1476" t="s">
        <v>2942</v>
      </c>
      <c r="E1476" t="s">
        <v>3049</v>
      </c>
      <c r="F1476" s="3">
        <v>46281.704911865512</v>
      </c>
      <c r="G1476" s="3">
        <v>46281.706312432798</v>
      </c>
      <c r="H1476">
        <v>2.02</v>
      </c>
      <c r="I1476" t="s">
        <v>3148</v>
      </c>
      <c r="J1476" t="s">
        <v>3155</v>
      </c>
      <c r="K1476" t="s">
        <v>3173</v>
      </c>
      <c r="L1476" t="str">
        <f>_xlfn.XLOOKUP(C1476,[1]!Table1[Shift_ID],[1]!Table1[Shift_ID])</f>
        <v>S02</v>
      </c>
      <c r="M1476" t="str">
        <f>_xlfn.XLOOKUP(D1476,[2]!Table1[Machine_ID],[2]!Table1[Machine_ID])</f>
        <v>M001</v>
      </c>
      <c r="N1476" t="str">
        <f>_xlfn.XLOOKUP(E1476,[3]Sheet1!$A$2:$A$391,[3]Sheet1!$A$2:$A$391)</f>
        <v>PO10099</v>
      </c>
    </row>
    <row r="1477" spans="1:14" x14ac:dyDescent="0.2">
      <c r="A1477" t="s">
        <v>1486</v>
      </c>
      <c r="B1477" s="2">
        <v>46281</v>
      </c>
      <c r="C1477" t="s">
        <v>2941</v>
      </c>
      <c r="D1477" t="s">
        <v>2942</v>
      </c>
      <c r="E1477" t="s">
        <v>3049</v>
      </c>
      <c r="F1477" s="3">
        <v>46281.800663214031</v>
      </c>
      <c r="G1477" s="3">
        <v>46281.802992089128</v>
      </c>
      <c r="H1477">
        <v>3.35</v>
      </c>
      <c r="I1477" t="s">
        <v>3148</v>
      </c>
      <c r="J1477" t="s">
        <v>3165</v>
      </c>
      <c r="K1477" t="s">
        <v>3180</v>
      </c>
      <c r="L1477" t="str">
        <f>_xlfn.XLOOKUP(C1477,[1]!Table1[Shift_ID],[1]!Table1[Shift_ID])</f>
        <v>S02</v>
      </c>
      <c r="M1477" t="str">
        <f>_xlfn.XLOOKUP(D1477,[2]!Table1[Machine_ID],[2]!Table1[Machine_ID])</f>
        <v>M001</v>
      </c>
      <c r="N1477" t="str">
        <f>_xlfn.XLOOKUP(E1477,[3]Sheet1!$A$2:$A$391,[3]Sheet1!$A$2:$A$391)</f>
        <v>PO10099</v>
      </c>
    </row>
    <row r="1478" spans="1:14" x14ac:dyDescent="0.2">
      <c r="A1478" t="s">
        <v>1487</v>
      </c>
      <c r="B1478" s="2">
        <v>46281</v>
      </c>
      <c r="C1478" t="s">
        <v>2941</v>
      </c>
      <c r="D1478" t="s">
        <v>2943</v>
      </c>
      <c r="E1478" t="s">
        <v>3049</v>
      </c>
      <c r="F1478" s="3">
        <v>46281.756036626539</v>
      </c>
      <c r="G1478" s="3">
        <v>46281.766074968124</v>
      </c>
      <c r="H1478">
        <v>14.46</v>
      </c>
      <c r="I1478" t="s">
        <v>3150</v>
      </c>
      <c r="J1478" t="s">
        <v>3163</v>
      </c>
      <c r="K1478" t="s">
        <v>3179</v>
      </c>
      <c r="L1478" t="str">
        <f>_xlfn.XLOOKUP(C1478,[1]!Table1[Shift_ID],[1]!Table1[Shift_ID])</f>
        <v>S02</v>
      </c>
      <c r="M1478" t="str">
        <f>_xlfn.XLOOKUP(D1478,[2]!Table1[Machine_ID],[2]!Table1[Machine_ID])</f>
        <v>M002</v>
      </c>
      <c r="N1478" t="str">
        <f>_xlfn.XLOOKUP(E1478,[3]Sheet1!$A$2:$A$391,[3]Sheet1!$A$2:$A$391)</f>
        <v>PO10099</v>
      </c>
    </row>
    <row r="1479" spans="1:14" x14ac:dyDescent="0.2">
      <c r="A1479" t="s">
        <v>1488</v>
      </c>
      <c r="B1479" s="2">
        <v>46281</v>
      </c>
      <c r="C1479" t="s">
        <v>2941</v>
      </c>
      <c r="D1479" t="s">
        <v>2944</v>
      </c>
      <c r="E1479" t="s">
        <v>3049</v>
      </c>
      <c r="F1479" s="3">
        <v>46281.689720599286</v>
      </c>
      <c r="G1479" s="3">
        <v>46281.693966462881</v>
      </c>
      <c r="H1479">
        <v>6.11</v>
      </c>
      <c r="I1479" t="s">
        <v>3146</v>
      </c>
      <c r="J1479" t="s">
        <v>3157</v>
      </c>
      <c r="K1479" t="s">
        <v>3175</v>
      </c>
      <c r="L1479" t="str">
        <f>_xlfn.XLOOKUP(C1479,[1]!Table1[Shift_ID],[1]!Table1[Shift_ID])</f>
        <v>S02</v>
      </c>
      <c r="M1479" t="str">
        <f>_xlfn.XLOOKUP(D1479,[2]!Table1[Machine_ID],[2]!Table1[Machine_ID])</f>
        <v>M003</v>
      </c>
      <c r="N1479" t="str">
        <f>_xlfn.XLOOKUP(E1479,[3]Sheet1!$A$2:$A$391,[3]Sheet1!$A$2:$A$391)</f>
        <v>PO10099</v>
      </c>
    </row>
    <row r="1480" spans="1:14" x14ac:dyDescent="0.2">
      <c r="A1480" t="s">
        <v>1489</v>
      </c>
      <c r="B1480" s="2">
        <v>46281</v>
      </c>
      <c r="C1480" t="s">
        <v>2941</v>
      </c>
      <c r="D1480" t="s">
        <v>2944</v>
      </c>
      <c r="E1480" t="s">
        <v>3049</v>
      </c>
      <c r="F1480" s="3">
        <v>46281.711163870037</v>
      </c>
      <c r="G1480" s="3">
        <v>46281.717814703326</v>
      </c>
      <c r="H1480">
        <v>9.58</v>
      </c>
      <c r="I1480" t="s">
        <v>3149</v>
      </c>
      <c r="J1480" t="s">
        <v>3168</v>
      </c>
      <c r="K1480" t="s">
        <v>3184</v>
      </c>
      <c r="L1480" t="str">
        <f>_xlfn.XLOOKUP(C1480,[1]!Table1[Shift_ID],[1]!Table1[Shift_ID])</f>
        <v>S02</v>
      </c>
      <c r="M1480" t="str">
        <f>_xlfn.XLOOKUP(D1480,[2]!Table1[Machine_ID],[2]!Table1[Machine_ID])</f>
        <v>M003</v>
      </c>
      <c r="N1480" t="str">
        <f>_xlfn.XLOOKUP(E1480,[3]Sheet1!$A$2:$A$391,[3]Sheet1!$A$2:$A$391)</f>
        <v>PO10099</v>
      </c>
    </row>
    <row r="1481" spans="1:14" x14ac:dyDescent="0.2">
      <c r="A1481" t="s">
        <v>1490</v>
      </c>
      <c r="B1481" s="2">
        <v>46281</v>
      </c>
      <c r="C1481" t="s">
        <v>2941</v>
      </c>
      <c r="D1481" t="s">
        <v>2945</v>
      </c>
      <c r="E1481" t="s">
        <v>3049</v>
      </c>
      <c r="F1481" s="3">
        <v>46281.890701435172</v>
      </c>
      <c r="G1481" s="3">
        <v>46281.899410028411</v>
      </c>
      <c r="H1481">
        <v>12.54</v>
      </c>
      <c r="I1481" t="s">
        <v>3147</v>
      </c>
      <c r="J1481" t="s">
        <v>3153</v>
      </c>
      <c r="K1481" t="s">
        <v>3185</v>
      </c>
      <c r="L1481" t="str">
        <f>_xlfn.XLOOKUP(C1481,[1]!Table1[Shift_ID],[1]!Table1[Shift_ID])</f>
        <v>S02</v>
      </c>
      <c r="M1481" t="str">
        <f>_xlfn.XLOOKUP(D1481,[2]!Table1[Machine_ID],[2]!Table1[Machine_ID])</f>
        <v>M004</v>
      </c>
      <c r="N1481" t="str">
        <f>_xlfn.XLOOKUP(E1481,[3]Sheet1!$A$2:$A$391,[3]Sheet1!$A$2:$A$391)</f>
        <v>PO10099</v>
      </c>
    </row>
    <row r="1482" spans="1:14" x14ac:dyDescent="0.2">
      <c r="A1482" t="s">
        <v>1491</v>
      </c>
      <c r="B1482" s="2">
        <v>46281</v>
      </c>
      <c r="C1482" t="s">
        <v>2941</v>
      </c>
      <c r="D1482" t="s">
        <v>2946</v>
      </c>
      <c r="E1482" t="s">
        <v>3049</v>
      </c>
      <c r="F1482" s="3">
        <v>46281.840310300693</v>
      </c>
      <c r="G1482" s="3">
        <v>46281.847972737822</v>
      </c>
      <c r="H1482">
        <v>11.03</v>
      </c>
      <c r="I1482" t="s">
        <v>3149</v>
      </c>
      <c r="J1482" t="s">
        <v>3162</v>
      </c>
      <c r="K1482" t="s">
        <v>3184</v>
      </c>
      <c r="L1482" t="str">
        <f>_xlfn.XLOOKUP(C1482,[1]!Table1[Shift_ID],[1]!Table1[Shift_ID])</f>
        <v>S02</v>
      </c>
      <c r="M1482" t="str">
        <f>_xlfn.XLOOKUP(D1482,[2]!Table1[Machine_ID],[2]!Table1[Machine_ID])</f>
        <v>M005</v>
      </c>
      <c r="N1482" t="str">
        <f>_xlfn.XLOOKUP(E1482,[3]Sheet1!$A$2:$A$391,[3]Sheet1!$A$2:$A$391)</f>
        <v>PO10099</v>
      </c>
    </row>
    <row r="1483" spans="1:14" x14ac:dyDescent="0.2">
      <c r="A1483" t="s">
        <v>1492</v>
      </c>
      <c r="B1483" s="2">
        <v>46281</v>
      </c>
      <c r="C1483" t="s">
        <v>2941</v>
      </c>
      <c r="D1483" t="s">
        <v>2947</v>
      </c>
      <c r="E1483" t="s">
        <v>3049</v>
      </c>
      <c r="F1483" s="3">
        <v>46281.82626755524</v>
      </c>
      <c r="G1483" s="3">
        <v>46281.852095428163</v>
      </c>
      <c r="H1483">
        <v>37.19</v>
      </c>
      <c r="I1483" t="s">
        <v>3147</v>
      </c>
      <c r="J1483" t="s">
        <v>3154</v>
      </c>
      <c r="K1483" t="s">
        <v>3185</v>
      </c>
      <c r="L1483" t="str">
        <f>_xlfn.XLOOKUP(C1483,[1]!Table1[Shift_ID],[1]!Table1[Shift_ID])</f>
        <v>S02</v>
      </c>
      <c r="M1483" t="str">
        <f>_xlfn.XLOOKUP(D1483,[2]!Table1[Machine_ID],[2]!Table1[Machine_ID])</f>
        <v>M006</v>
      </c>
      <c r="N1483" t="str">
        <f>_xlfn.XLOOKUP(E1483,[3]Sheet1!$A$2:$A$391,[3]Sheet1!$A$2:$A$391)</f>
        <v>PO10099</v>
      </c>
    </row>
    <row r="1484" spans="1:14" x14ac:dyDescent="0.2">
      <c r="A1484" t="s">
        <v>1493</v>
      </c>
      <c r="B1484" s="2">
        <v>46281</v>
      </c>
      <c r="C1484" t="s">
        <v>2941</v>
      </c>
      <c r="D1484" t="s">
        <v>2948</v>
      </c>
      <c r="E1484" t="s">
        <v>3049</v>
      </c>
      <c r="F1484" s="3">
        <v>46281.872877264643</v>
      </c>
      <c r="G1484" s="3">
        <v>46281.880192418932</v>
      </c>
      <c r="H1484">
        <v>10.53</v>
      </c>
      <c r="I1484" t="s">
        <v>3150</v>
      </c>
      <c r="J1484" t="s">
        <v>3159</v>
      </c>
      <c r="K1484" t="s">
        <v>3178</v>
      </c>
      <c r="L1484" t="str">
        <f>_xlfn.XLOOKUP(C1484,[1]!Table1[Shift_ID],[1]!Table1[Shift_ID])</f>
        <v>S02</v>
      </c>
      <c r="M1484" t="str">
        <f>_xlfn.XLOOKUP(D1484,[2]!Table1[Machine_ID],[2]!Table1[Machine_ID])</f>
        <v>M007</v>
      </c>
      <c r="N1484" t="str">
        <f>_xlfn.XLOOKUP(E1484,[3]Sheet1!$A$2:$A$391,[3]Sheet1!$A$2:$A$391)</f>
        <v>PO10099</v>
      </c>
    </row>
    <row r="1485" spans="1:14" x14ac:dyDescent="0.2">
      <c r="A1485" t="s">
        <v>1494</v>
      </c>
      <c r="B1485" s="2">
        <v>46281</v>
      </c>
      <c r="C1485" t="s">
        <v>2941</v>
      </c>
      <c r="D1485" t="s">
        <v>2948</v>
      </c>
      <c r="E1485" t="s">
        <v>3049</v>
      </c>
      <c r="F1485" s="3">
        <v>46281.896056188729</v>
      </c>
      <c r="G1485" s="3">
        <v>46281.901265976237</v>
      </c>
      <c r="H1485">
        <v>7.5</v>
      </c>
      <c r="I1485" t="s">
        <v>3151</v>
      </c>
      <c r="J1485" t="s">
        <v>3161</v>
      </c>
      <c r="K1485" t="s">
        <v>3188</v>
      </c>
      <c r="L1485" t="str">
        <f>_xlfn.XLOOKUP(C1485,[1]!Table1[Shift_ID],[1]!Table1[Shift_ID])</f>
        <v>S02</v>
      </c>
      <c r="M1485" t="str">
        <f>_xlfn.XLOOKUP(D1485,[2]!Table1[Machine_ID],[2]!Table1[Machine_ID])</f>
        <v>M007</v>
      </c>
      <c r="N1485" t="str">
        <f>_xlfn.XLOOKUP(E1485,[3]Sheet1!$A$2:$A$391,[3]Sheet1!$A$2:$A$391)</f>
        <v>PO10099</v>
      </c>
    </row>
    <row r="1486" spans="1:14" x14ac:dyDescent="0.2">
      <c r="A1486" t="s">
        <v>1495</v>
      </c>
      <c r="B1486" s="2">
        <v>46281</v>
      </c>
      <c r="C1486" t="s">
        <v>2941</v>
      </c>
      <c r="D1486" t="s">
        <v>2949</v>
      </c>
      <c r="E1486" t="s">
        <v>3049</v>
      </c>
      <c r="F1486" s="3">
        <v>46281.694990705531</v>
      </c>
      <c r="G1486" s="3">
        <v>46281.700069022023</v>
      </c>
      <c r="H1486">
        <v>7.31</v>
      </c>
      <c r="I1486" t="s">
        <v>3148</v>
      </c>
      <c r="J1486" t="s">
        <v>3165</v>
      </c>
      <c r="K1486" t="s">
        <v>3173</v>
      </c>
      <c r="L1486" t="str">
        <f>_xlfn.XLOOKUP(C1486,[1]!Table1[Shift_ID],[1]!Table1[Shift_ID])</f>
        <v>S02</v>
      </c>
      <c r="M1486" t="str">
        <f>_xlfn.XLOOKUP(D1486,[2]!Table1[Machine_ID],[2]!Table1[Machine_ID])</f>
        <v>M008</v>
      </c>
      <c r="N1486" t="str">
        <f>_xlfn.XLOOKUP(E1486,[3]Sheet1!$A$2:$A$391,[3]Sheet1!$A$2:$A$391)</f>
        <v>PO10099</v>
      </c>
    </row>
    <row r="1487" spans="1:14" x14ac:dyDescent="0.2">
      <c r="A1487" t="s">
        <v>1496</v>
      </c>
      <c r="B1487" s="2">
        <v>46282</v>
      </c>
      <c r="C1487" t="s">
        <v>2939</v>
      </c>
      <c r="D1487" t="s">
        <v>2942</v>
      </c>
      <c r="E1487" t="s">
        <v>3050</v>
      </c>
      <c r="F1487" s="3">
        <v>46283.16899123419</v>
      </c>
      <c r="G1487" s="3">
        <v>46283.173721566251</v>
      </c>
      <c r="H1487">
        <v>6.81</v>
      </c>
      <c r="I1487" t="s">
        <v>3151</v>
      </c>
      <c r="J1487" t="s">
        <v>3161</v>
      </c>
      <c r="K1487" t="s">
        <v>3181</v>
      </c>
      <c r="L1487" t="str">
        <f>_xlfn.XLOOKUP(C1487,[1]!Table1[Shift_ID],[1]!Table1[Shift_ID])</f>
        <v>S03</v>
      </c>
      <c r="M1487" t="str">
        <f>_xlfn.XLOOKUP(D1487,[2]!Table1[Machine_ID],[2]!Table1[Machine_ID])</f>
        <v>M001</v>
      </c>
      <c r="N1487" t="str">
        <f>_xlfn.XLOOKUP(E1487,[3]Sheet1!$A$2:$A$391,[3]Sheet1!$A$2:$A$391)</f>
        <v>PO10100</v>
      </c>
    </row>
    <row r="1488" spans="1:14" x14ac:dyDescent="0.2">
      <c r="A1488" t="s">
        <v>1497</v>
      </c>
      <c r="B1488" s="2">
        <v>46282</v>
      </c>
      <c r="C1488" t="s">
        <v>2939</v>
      </c>
      <c r="D1488" t="s">
        <v>2943</v>
      </c>
      <c r="E1488" t="s">
        <v>3050</v>
      </c>
      <c r="F1488" s="3">
        <v>46283.05042538252</v>
      </c>
      <c r="G1488" s="3">
        <v>46283.052192262803</v>
      </c>
      <c r="H1488">
        <v>2.54</v>
      </c>
      <c r="I1488" t="s">
        <v>3149</v>
      </c>
      <c r="J1488" t="s">
        <v>3162</v>
      </c>
      <c r="K1488" t="s">
        <v>3182</v>
      </c>
      <c r="L1488" t="str">
        <f>_xlfn.XLOOKUP(C1488,[1]!Table1[Shift_ID],[1]!Table1[Shift_ID])</f>
        <v>S03</v>
      </c>
      <c r="M1488" t="str">
        <f>_xlfn.XLOOKUP(D1488,[2]!Table1[Machine_ID],[2]!Table1[Machine_ID])</f>
        <v>M002</v>
      </c>
      <c r="N1488" t="str">
        <f>_xlfn.XLOOKUP(E1488,[3]Sheet1!$A$2:$A$391,[3]Sheet1!$A$2:$A$391)</f>
        <v>PO10100</v>
      </c>
    </row>
    <row r="1489" spans="1:14" x14ac:dyDescent="0.2">
      <c r="A1489" t="s">
        <v>1498</v>
      </c>
      <c r="B1489" s="2">
        <v>46282</v>
      </c>
      <c r="C1489" t="s">
        <v>2939</v>
      </c>
      <c r="D1489" t="s">
        <v>2943</v>
      </c>
      <c r="E1489" t="s">
        <v>3050</v>
      </c>
      <c r="F1489" s="3">
        <v>46283.1326279403</v>
      </c>
      <c r="G1489" s="3">
        <v>46283.139806481377</v>
      </c>
      <c r="H1489">
        <v>10.34</v>
      </c>
      <c r="I1489" t="s">
        <v>3148</v>
      </c>
      <c r="J1489" t="s">
        <v>3165</v>
      </c>
      <c r="K1489" t="s">
        <v>3183</v>
      </c>
      <c r="L1489" t="str">
        <f>_xlfn.XLOOKUP(C1489,[1]!Table1[Shift_ID],[1]!Table1[Shift_ID])</f>
        <v>S03</v>
      </c>
      <c r="M1489" t="str">
        <f>_xlfn.XLOOKUP(D1489,[2]!Table1[Machine_ID],[2]!Table1[Machine_ID])</f>
        <v>M002</v>
      </c>
      <c r="N1489" t="str">
        <f>_xlfn.XLOOKUP(E1489,[3]Sheet1!$A$2:$A$391,[3]Sheet1!$A$2:$A$391)</f>
        <v>PO10100</v>
      </c>
    </row>
    <row r="1490" spans="1:14" x14ac:dyDescent="0.2">
      <c r="A1490" t="s">
        <v>1499</v>
      </c>
      <c r="B1490" s="2">
        <v>46282</v>
      </c>
      <c r="C1490" t="s">
        <v>2939</v>
      </c>
      <c r="D1490" t="s">
        <v>2944</v>
      </c>
      <c r="E1490" t="s">
        <v>3050</v>
      </c>
      <c r="F1490" s="3">
        <v>46283.083512424622</v>
      </c>
      <c r="G1490" s="3">
        <v>46283.088612649539</v>
      </c>
      <c r="H1490">
        <v>7.34</v>
      </c>
      <c r="I1490" t="s">
        <v>3147</v>
      </c>
      <c r="J1490" t="s">
        <v>3154</v>
      </c>
      <c r="K1490" t="s">
        <v>3172</v>
      </c>
      <c r="L1490" t="str">
        <f>_xlfn.XLOOKUP(C1490,[1]!Table1[Shift_ID],[1]!Table1[Shift_ID])</f>
        <v>S03</v>
      </c>
      <c r="M1490" t="str">
        <f>_xlfn.XLOOKUP(D1490,[2]!Table1[Machine_ID],[2]!Table1[Machine_ID])</f>
        <v>M003</v>
      </c>
      <c r="N1490" t="str">
        <f>_xlfn.XLOOKUP(E1490,[3]Sheet1!$A$2:$A$391,[3]Sheet1!$A$2:$A$391)</f>
        <v>PO10100</v>
      </c>
    </row>
    <row r="1491" spans="1:14" x14ac:dyDescent="0.2">
      <c r="A1491" t="s">
        <v>1500</v>
      </c>
      <c r="B1491" s="2">
        <v>46282</v>
      </c>
      <c r="C1491" t="s">
        <v>2939</v>
      </c>
      <c r="D1491" t="s">
        <v>2944</v>
      </c>
      <c r="E1491" t="s">
        <v>3050</v>
      </c>
      <c r="F1491" s="3">
        <v>46283.183003786187</v>
      </c>
      <c r="G1491" s="3">
        <v>46283.187001618047</v>
      </c>
      <c r="H1491">
        <v>5.76</v>
      </c>
      <c r="I1491" t="s">
        <v>3146</v>
      </c>
      <c r="J1491" t="s">
        <v>3156</v>
      </c>
      <c r="K1491" t="s">
        <v>3171</v>
      </c>
      <c r="L1491" t="str">
        <f>_xlfn.XLOOKUP(C1491,[1]!Table1[Shift_ID],[1]!Table1[Shift_ID])</f>
        <v>S03</v>
      </c>
      <c r="M1491" t="str">
        <f>_xlfn.XLOOKUP(D1491,[2]!Table1[Machine_ID],[2]!Table1[Machine_ID])</f>
        <v>M003</v>
      </c>
      <c r="N1491" t="str">
        <f>_xlfn.XLOOKUP(E1491,[3]Sheet1!$A$2:$A$391,[3]Sheet1!$A$2:$A$391)</f>
        <v>PO10100</v>
      </c>
    </row>
    <row r="1492" spans="1:14" x14ac:dyDescent="0.2">
      <c r="A1492" t="s">
        <v>1501</v>
      </c>
      <c r="B1492" s="2">
        <v>46282</v>
      </c>
      <c r="C1492" t="s">
        <v>2939</v>
      </c>
      <c r="D1492" t="s">
        <v>2945</v>
      </c>
      <c r="E1492" t="s">
        <v>3050</v>
      </c>
      <c r="F1492" s="3">
        <v>46283.086062377231</v>
      </c>
      <c r="G1492" s="3">
        <v>46283.093289999859</v>
      </c>
      <c r="H1492">
        <v>10.41</v>
      </c>
      <c r="I1492" t="s">
        <v>3150</v>
      </c>
      <c r="J1492" t="s">
        <v>3163</v>
      </c>
      <c r="K1492" t="s">
        <v>3179</v>
      </c>
      <c r="L1492" t="str">
        <f>_xlfn.XLOOKUP(C1492,[1]!Table1[Shift_ID],[1]!Table1[Shift_ID])</f>
        <v>S03</v>
      </c>
      <c r="M1492" t="str">
        <f>_xlfn.XLOOKUP(D1492,[2]!Table1[Machine_ID],[2]!Table1[Machine_ID])</f>
        <v>M004</v>
      </c>
      <c r="N1492" t="str">
        <f>_xlfn.XLOOKUP(E1492,[3]Sheet1!$A$2:$A$391,[3]Sheet1!$A$2:$A$391)</f>
        <v>PO10100</v>
      </c>
    </row>
    <row r="1493" spans="1:14" x14ac:dyDescent="0.2">
      <c r="A1493" t="s">
        <v>1502</v>
      </c>
      <c r="B1493" s="2">
        <v>46282</v>
      </c>
      <c r="C1493" t="s">
        <v>2939</v>
      </c>
      <c r="D1493" t="s">
        <v>2946</v>
      </c>
      <c r="E1493" t="s">
        <v>3050</v>
      </c>
      <c r="F1493" s="3">
        <v>46283.153874289412</v>
      </c>
      <c r="G1493" s="3">
        <v>46283.159752458603</v>
      </c>
      <c r="H1493">
        <v>8.4600000000000009</v>
      </c>
      <c r="I1493" t="s">
        <v>3149</v>
      </c>
      <c r="J1493" t="s">
        <v>3168</v>
      </c>
      <c r="K1493" t="s">
        <v>3184</v>
      </c>
      <c r="L1493" t="str">
        <f>_xlfn.XLOOKUP(C1493,[1]!Table1[Shift_ID],[1]!Table1[Shift_ID])</f>
        <v>S03</v>
      </c>
      <c r="M1493" t="str">
        <f>_xlfn.XLOOKUP(D1493,[2]!Table1[Machine_ID],[2]!Table1[Machine_ID])</f>
        <v>M005</v>
      </c>
      <c r="N1493" t="str">
        <f>_xlfn.XLOOKUP(E1493,[3]Sheet1!$A$2:$A$391,[3]Sheet1!$A$2:$A$391)</f>
        <v>PO10100</v>
      </c>
    </row>
    <row r="1494" spans="1:14" x14ac:dyDescent="0.2">
      <c r="A1494" t="s">
        <v>1503</v>
      </c>
      <c r="B1494" s="2">
        <v>46282</v>
      </c>
      <c r="C1494" t="s">
        <v>2939</v>
      </c>
      <c r="D1494" t="s">
        <v>2947</v>
      </c>
      <c r="E1494" t="s">
        <v>3050</v>
      </c>
      <c r="F1494" s="3">
        <v>46282.997366634692</v>
      </c>
      <c r="G1494" s="3">
        <v>46282.999268999469</v>
      </c>
      <c r="H1494">
        <v>2.74</v>
      </c>
      <c r="I1494" t="s">
        <v>3148</v>
      </c>
      <c r="J1494" t="s">
        <v>3155</v>
      </c>
      <c r="K1494" t="s">
        <v>3183</v>
      </c>
      <c r="L1494" t="str">
        <f>_xlfn.XLOOKUP(C1494,[1]!Table1[Shift_ID],[1]!Table1[Shift_ID])</f>
        <v>S03</v>
      </c>
      <c r="M1494" t="str">
        <f>_xlfn.XLOOKUP(D1494,[2]!Table1[Machine_ID],[2]!Table1[Machine_ID])</f>
        <v>M006</v>
      </c>
      <c r="N1494" t="str">
        <f>_xlfn.XLOOKUP(E1494,[3]Sheet1!$A$2:$A$391,[3]Sheet1!$A$2:$A$391)</f>
        <v>PO10100</v>
      </c>
    </row>
    <row r="1495" spans="1:14" x14ac:dyDescent="0.2">
      <c r="A1495" t="s">
        <v>1504</v>
      </c>
      <c r="B1495" s="2">
        <v>46282</v>
      </c>
      <c r="C1495" t="s">
        <v>2939</v>
      </c>
      <c r="D1495" t="s">
        <v>2947</v>
      </c>
      <c r="E1495" t="s">
        <v>3050</v>
      </c>
      <c r="F1495" s="3">
        <v>46283.001190662129</v>
      </c>
      <c r="G1495" s="3">
        <v>46283.013620201971</v>
      </c>
      <c r="H1495">
        <v>17.899999999999999</v>
      </c>
      <c r="I1495" t="s">
        <v>3150</v>
      </c>
      <c r="J1495" t="s">
        <v>3163</v>
      </c>
      <c r="K1495" t="s">
        <v>3178</v>
      </c>
      <c r="L1495" t="str">
        <f>_xlfn.XLOOKUP(C1495,[1]!Table1[Shift_ID],[1]!Table1[Shift_ID])</f>
        <v>S03</v>
      </c>
      <c r="M1495" t="str">
        <f>_xlfn.XLOOKUP(D1495,[2]!Table1[Machine_ID],[2]!Table1[Machine_ID])</f>
        <v>M006</v>
      </c>
      <c r="N1495" t="str">
        <f>_xlfn.XLOOKUP(E1495,[3]Sheet1!$A$2:$A$391,[3]Sheet1!$A$2:$A$391)</f>
        <v>PO10100</v>
      </c>
    </row>
    <row r="1496" spans="1:14" x14ac:dyDescent="0.2">
      <c r="A1496" t="s">
        <v>1505</v>
      </c>
      <c r="B1496" s="2">
        <v>46282</v>
      </c>
      <c r="C1496" t="s">
        <v>2939</v>
      </c>
      <c r="D1496" t="s">
        <v>2947</v>
      </c>
      <c r="E1496" t="s">
        <v>3050</v>
      </c>
      <c r="F1496" s="3">
        <v>46283.049270680407</v>
      </c>
      <c r="G1496" s="3">
        <v>46283.051332964373</v>
      </c>
      <c r="H1496">
        <v>2.97</v>
      </c>
      <c r="I1496" t="s">
        <v>3149</v>
      </c>
      <c r="J1496" t="s">
        <v>3158</v>
      </c>
      <c r="K1496" t="s">
        <v>3184</v>
      </c>
      <c r="L1496" t="str">
        <f>_xlfn.XLOOKUP(C1496,[1]!Table1[Shift_ID],[1]!Table1[Shift_ID])</f>
        <v>S03</v>
      </c>
      <c r="M1496" t="str">
        <f>_xlfn.XLOOKUP(D1496,[2]!Table1[Machine_ID],[2]!Table1[Machine_ID])</f>
        <v>M006</v>
      </c>
      <c r="N1496" t="str">
        <f>_xlfn.XLOOKUP(E1496,[3]Sheet1!$A$2:$A$391,[3]Sheet1!$A$2:$A$391)</f>
        <v>PO10100</v>
      </c>
    </row>
    <row r="1497" spans="1:14" x14ac:dyDescent="0.2">
      <c r="A1497" t="s">
        <v>1506</v>
      </c>
      <c r="B1497" s="2">
        <v>46282</v>
      </c>
      <c r="C1497" t="s">
        <v>2939</v>
      </c>
      <c r="D1497" t="s">
        <v>2947</v>
      </c>
      <c r="E1497" t="s">
        <v>3050</v>
      </c>
      <c r="F1497" s="3">
        <v>46283.205709135</v>
      </c>
      <c r="G1497" s="3">
        <v>46283.21027357837</v>
      </c>
      <c r="H1497">
        <v>6.57</v>
      </c>
      <c r="I1497" t="s">
        <v>3149</v>
      </c>
      <c r="J1497" t="s">
        <v>3158</v>
      </c>
      <c r="K1497" t="s">
        <v>3176</v>
      </c>
      <c r="L1497" t="str">
        <f>_xlfn.XLOOKUP(C1497,[1]!Table1[Shift_ID],[1]!Table1[Shift_ID])</f>
        <v>S03</v>
      </c>
      <c r="M1497" t="str">
        <f>_xlfn.XLOOKUP(D1497,[2]!Table1[Machine_ID],[2]!Table1[Machine_ID])</f>
        <v>M006</v>
      </c>
      <c r="N1497" t="str">
        <f>_xlfn.XLOOKUP(E1497,[3]Sheet1!$A$2:$A$391,[3]Sheet1!$A$2:$A$391)</f>
        <v>PO10100</v>
      </c>
    </row>
    <row r="1498" spans="1:14" x14ac:dyDescent="0.2">
      <c r="A1498" t="s">
        <v>1507</v>
      </c>
      <c r="B1498" s="2">
        <v>46282</v>
      </c>
      <c r="C1498" t="s">
        <v>2939</v>
      </c>
      <c r="D1498" t="s">
        <v>2948</v>
      </c>
      <c r="E1498" t="s">
        <v>3050</v>
      </c>
      <c r="F1498" s="3">
        <v>46282.984203060369</v>
      </c>
      <c r="G1498" s="3">
        <v>46282.992630121022</v>
      </c>
      <c r="H1498">
        <v>12.13</v>
      </c>
      <c r="I1498" t="s">
        <v>3147</v>
      </c>
      <c r="J1498" t="s">
        <v>3167</v>
      </c>
      <c r="K1498" t="s">
        <v>3185</v>
      </c>
      <c r="L1498" t="str">
        <f>_xlfn.XLOOKUP(C1498,[1]!Table1[Shift_ID],[1]!Table1[Shift_ID])</f>
        <v>S03</v>
      </c>
      <c r="M1498" t="str">
        <f>_xlfn.XLOOKUP(D1498,[2]!Table1[Machine_ID],[2]!Table1[Machine_ID])</f>
        <v>M007</v>
      </c>
      <c r="N1498" t="str">
        <f>_xlfn.XLOOKUP(E1498,[3]Sheet1!$A$2:$A$391,[3]Sheet1!$A$2:$A$391)</f>
        <v>PO10100</v>
      </c>
    </row>
    <row r="1499" spans="1:14" x14ac:dyDescent="0.2">
      <c r="A1499" t="s">
        <v>1508</v>
      </c>
      <c r="B1499" s="2">
        <v>46282</v>
      </c>
      <c r="C1499" t="s">
        <v>2939</v>
      </c>
      <c r="D1499" t="s">
        <v>2948</v>
      </c>
      <c r="E1499" t="s">
        <v>3050</v>
      </c>
      <c r="F1499" s="3">
        <v>46283.000347772388</v>
      </c>
      <c r="G1499" s="3">
        <v>46283.002260699039</v>
      </c>
      <c r="H1499">
        <v>2.75</v>
      </c>
      <c r="I1499" t="s">
        <v>3150</v>
      </c>
      <c r="J1499" t="s">
        <v>3163</v>
      </c>
      <c r="K1499" t="s">
        <v>3179</v>
      </c>
      <c r="L1499" t="str">
        <f>_xlfn.XLOOKUP(C1499,[1]!Table1[Shift_ID],[1]!Table1[Shift_ID])</f>
        <v>S03</v>
      </c>
      <c r="M1499" t="str">
        <f>_xlfn.XLOOKUP(D1499,[2]!Table1[Machine_ID],[2]!Table1[Machine_ID])</f>
        <v>M007</v>
      </c>
      <c r="N1499" t="str">
        <f>_xlfn.XLOOKUP(E1499,[3]Sheet1!$A$2:$A$391,[3]Sheet1!$A$2:$A$391)</f>
        <v>PO10100</v>
      </c>
    </row>
    <row r="1500" spans="1:14" x14ac:dyDescent="0.2">
      <c r="A1500" t="s">
        <v>1509</v>
      </c>
      <c r="B1500" s="2">
        <v>46282</v>
      </c>
      <c r="C1500" t="s">
        <v>2939</v>
      </c>
      <c r="D1500" t="s">
        <v>2948</v>
      </c>
      <c r="E1500" t="s">
        <v>3050</v>
      </c>
      <c r="F1500" s="3">
        <v>46283.04833557763</v>
      </c>
      <c r="G1500" s="3">
        <v>46283.050248504267</v>
      </c>
      <c r="H1500">
        <v>2.75</v>
      </c>
      <c r="I1500" t="s">
        <v>3149</v>
      </c>
      <c r="J1500" t="s">
        <v>3158</v>
      </c>
      <c r="K1500" t="s">
        <v>3176</v>
      </c>
      <c r="L1500" t="str">
        <f>_xlfn.XLOOKUP(C1500,[1]!Table1[Shift_ID],[1]!Table1[Shift_ID])</f>
        <v>S03</v>
      </c>
      <c r="M1500" t="str">
        <f>_xlfn.XLOOKUP(D1500,[2]!Table1[Machine_ID],[2]!Table1[Machine_ID])</f>
        <v>M007</v>
      </c>
      <c r="N1500" t="str">
        <f>_xlfn.XLOOKUP(E1500,[3]Sheet1!$A$2:$A$391,[3]Sheet1!$A$2:$A$391)</f>
        <v>PO10100</v>
      </c>
    </row>
    <row r="1501" spans="1:14" x14ac:dyDescent="0.2">
      <c r="A1501" t="s">
        <v>1510</v>
      </c>
      <c r="B1501" s="2">
        <v>46282</v>
      </c>
      <c r="C1501" t="s">
        <v>2939</v>
      </c>
      <c r="D1501" t="s">
        <v>2949</v>
      </c>
      <c r="E1501" t="s">
        <v>3050</v>
      </c>
      <c r="F1501" s="3">
        <v>46282.989268569523</v>
      </c>
      <c r="G1501" s="3">
        <v>46282.990383938813</v>
      </c>
      <c r="H1501">
        <v>1.61</v>
      </c>
      <c r="I1501" t="s">
        <v>3146</v>
      </c>
      <c r="J1501" t="s">
        <v>3157</v>
      </c>
      <c r="K1501" t="s">
        <v>3174</v>
      </c>
      <c r="L1501" t="str">
        <f>_xlfn.XLOOKUP(C1501,[1]!Table1[Shift_ID],[1]!Table1[Shift_ID])</f>
        <v>S03</v>
      </c>
      <c r="M1501" t="str">
        <f>_xlfn.XLOOKUP(D1501,[2]!Table1[Machine_ID],[2]!Table1[Machine_ID])</f>
        <v>M008</v>
      </c>
      <c r="N1501" t="str">
        <f>_xlfn.XLOOKUP(E1501,[3]Sheet1!$A$2:$A$391,[3]Sheet1!$A$2:$A$391)</f>
        <v>PO10100</v>
      </c>
    </row>
    <row r="1502" spans="1:14" x14ac:dyDescent="0.2">
      <c r="A1502" t="s">
        <v>1511</v>
      </c>
      <c r="B1502" s="2">
        <v>46282</v>
      </c>
      <c r="C1502" t="s">
        <v>2939</v>
      </c>
      <c r="D1502" t="s">
        <v>2949</v>
      </c>
      <c r="E1502" t="s">
        <v>3050</v>
      </c>
      <c r="F1502" s="3">
        <v>46283.005921671873</v>
      </c>
      <c r="G1502" s="3">
        <v>46283.007037041149</v>
      </c>
      <c r="H1502">
        <v>1.61</v>
      </c>
      <c r="I1502" t="s">
        <v>3146</v>
      </c>
      <c r="J1502" t="s">
        <v>3156</v>
      </c>
      <c r="K1502" t="s">
        <v>3174</v>
      </c>
      <c r="L1502" t="str">
        <f>_xlfn.XLOOKUP(C1502,[1]!Table1[Shift_ID],[1]!Table1[Shift_ID])</f>
        <v>S03</v>
      </c>
      <c r="M1502" t="str">
        <f>_xlfn.XLOOKUP(D1502,[2]!Table1[Machine_ID],[2]!Table1[Machine_ID])</f>
        <v>M008</v>
      </c>
      <c r="N1502" t="str">
        <f>_xlfn.XLOOKUP(E1502,[3]Sheet1!$A$2:$A$391,[3]Sheet1!$A$2:$A$391)</f>
        <v>PO10100</v>
      </c>
    </row>
    <row r="1503" spans="1:14" x14ac:dyDescent="0.2">
      <c r="A1503" t="s">
        <v>1512</v>
      </c>
      <c r="B1503" s="2">
        <v>46282</v>
      </c>
      <c r="C1503" t="s">
        <v>2939</v>
      </c>
      <c r="D1503" t="s">
        <v>2949</v>
      </c>
      <c r="E1503" t="s">
        <v>3050</v>
      </c>
      <c r="F1503" s="3">
        <v>46283.015197895213</v>
      </c>
      <c r="G1503" s="3">
        <v>46283.016313264488</v>
      </c>
      <c r="H1503">
        <v>1.61</v>
      </c>
      <c r="I1503" t="s">
        <v>3148</v>
      </c>
      <c r="J1503" t="s">
        <v>3164</v>
      </c>
      <c r="K1503" t="s">
        <v>3173</v>
      </c>
      <c r="L1503" t="str">
        <f>_xlfn.XLOOKUP(C1503,[1]!Table1[Shift_ID],[1]!Table1[Shift_ID])</f>
        <v>S03</v>
      </c>
      <c r="M1503" t="str">
        <f>_xlfn.XLOOKUP(D1503,[2]!Table1[Machine_ID],[2]!Table1[Machine_ID])</f>
        <v>M008</v>
      </c>
      <c r="N1503" t="str">
        <f>_xlfn.XLOOKUP(E1503,[3]Sheet1!$A$2:$A$391,[3]Sheet1!$A$2:$A$391)</f>
        <v>PO10100</v>
      </c>
    </row>
    <row r="1504" spans="1:14" x14ac:dyDescent="0.2">
      <c r="A1504" t="s">
        <v>1513</v>
      </c>
      <c r="B1504" s="2">
        <v>46282</v>
      </c>
      <c r="C1504" t="s">
        <v>2939</v>
      </c>
      <c r="D1504" t="s">
        <v>2949</v>
      </c>
      <c r="E1504" t="s">
        <v>3050</v>
      </c>
      <c r="F1504" s="3">
        <v>46283.025915254373</v>
      </c>
      <c r="G1504" s="3">
        <v>46283.027081030763</v>
      </c>
      <c r="H1504">
        <v>1.68</v>
      </c>
      <c r="I1504" t="s">
        <v>3149</v>
      </c>
      <c r="J1504" t="s">
        <v>3162</v>
      </c>
      <c r="K1504" t="s">
        <v>3176</v>
      </c>
      <c r="L1504" t="str">
        <f>_xlfn.XLOOKUP(C1504,[1]!Table1[Shift_ID],[1]!Table1[Shift_ID])</f>
        <v>S03</v>
      </c>
      <c r="M1504" t="str">
        <f>_xlfn.XLOOKUP(D1504,[2]!Table1[Machine_ID],[2]!Table1[Machine_ID])</f>
        <v>M008</v>
      </c>
      <c r="N1504" t="str">
        <f>_xlfn.XLOOKUP(E1504,[3]Sheet1!$A$2:$A$391,[3]Sheet1!$A$2:$A$391)</f>
        <v>PO10100</v>
      </c>
    </row>
    <row r="1505" spans="1:14" x14ac:dyDescent="0.2">
      <c r="A1505" t="s">
        <v>1514</v>
      </c>
      <c r="B1505" s="2">
        <v>46282</v>
      </c>
      <c r="C1505" t="s">
        <v>2939</v>
      </c>
      <c r="D1505" t="s">
        <v>2949</v>
      </c>
      <c r="E1505" t="s">
        <v>3050</v>
      </c>
      <c r="F1505" s="3">
        <v>46283.086337168657</v>
      </c>
      <c r="G1505" s="3">
        <v>46283.08745253794</v>
      </c>
      <c r="H1505">
        <v>1.61</v>
      </c>
      <c r="I1505" t="s">
        <v>3148</v>
      </c>
      <c r="J1505" t="s">
        <v>3164</v>
      </c>
      <c r="K1505" t="s">
        <v>3173</v>
      </c>
      <c r="L1505" t="str">
        <f>_xlfn.XLOOKUP(C1505,[1]!Table1[Shift_ID],[1]!Table1[Shift_ID])</f>
        <v>S03</v>
      </c>
      <c r="M1505" t="str">
        <f>_xlfn.XLOOKUP(D1505,[2]!Table1[Machine_ID],[2]!Table1[Machine_ID])</f>
        <v>M008</v>
      </c>
      <c r="N1505" t="str">
        <f>_xlfn.XLOOKUP(E1505,[3]Sheet1!$A$2:$A$391,[3]Sheet1!$A$2:$A$391)</f>
        <v>PO10100</v>
      </c>
    </row>
    <row r="1506" spans="1:14" x14ac:dyDescent="0.2">
      <c r="A1506" t="s">
        <v>1515</v>
      </c>
      <c r="B1506" s="2">
        <v>46282</v>
      </c>
      <c r="C1506" t="s">
        <v>2940</v>
      </c>
      <c r="D1506" t="s">
        <v>2942</v>
      </c>
      <c r="E1506" t="s">
        <v>3051</v>
      </c>
      <c r="F1506" s="3">
        <v>46282.420546534457</v>
      </c>
      <c r="G1506" s="3">
        <v>46282.42815439956</v>
      </c>
      <c r="H1506">
        <v>10.96</v>
      </c>
      <c r="I1506" t="s">
        <v>3146</v>
      </c>
      <c r="J1506" t="s">
        <v>3157</v>
      </c>
      <c r="K1506" t="s">
        <v>3174</v>
      </c>
      <c r="L1506" t="str">
        <f>_xlfn.XLOOKUP(C1506,[1]!Table1[Shift_ID],[1]!Table1[Shift_ID])</f>
        <v>S01</v>
      </c>
      <c r="M1506" t="str">
        <f>_xlfn.XLOOKUP(D1506,[2]!Table1[Machine_ID],[2]!Table1[Machine_ID])</f>
        <v>M001</v>
      </c>
      <c r="N1506" t="str">
        <f>_xlfn.XLOOKUP(E1506,[3]Sheet1!$A$2:$A$391,[3]Sheet1!$A$2:$A$391)</f>
        <v>PO10101</v>
      </c>
    </row>
    <row r="1507" spans="1:14" x14ac:dyDescent="0.2">
      <c r="A1507" t="s">
        <v>1516</v>
      </c>
      <c r="B1507" s="2">
        <v>46282</v>
      </c>
      <c r="C1507" t="s">
        <v>2940</v>
      </c>
      <c r="D1507" t="s">
        <v>2943</v>
      </c>
      <c r="E1507" t="s">
        <v>3051</v>
      </c>
      <c r="F1507" s="3">
        <v>46282.25978361434</v>
      </c>
      <c r="G1507" s="3">
        <v>46282.267586537571</v>
      </c>
      <c r="H1507">
        <v>11.24</v>
      </c>
      <c r="I1507" t="s">
        <v>3148</v>
      </c>
      <c r="J1507" t="s">
        <v>3155</v>
      </c>
      <c r="K1507" t="s">
        <v>3180</v>
      </c>
      <c r="L1507" t="str">
        <f>_xlfn.XLOOKUP(C1507,[1]!Table1[Shift_ID],[1]!Table1[Shift_ID])</f>
        <v>S01</v>
      </c>
      <c r="M1507" t="str">
        <f>_xlfn.XLOOKUP(D1507,[2]!Table1[Machine_ID],[2]!Table1[Machine_ID])</f>
        <v>M002</v>
      </c>
      <c r="N1507" t="str">
        <f>_xlfn.XLOOKUP(E1507,[3]Sheet1!$A$2:$A$391,[3]Sheet1!$A$2:$A$391)</f>
        <v>PO10101</v>
      </c>
    </row>
    <row r="1508" spans="1:14" x14ac:dyDescent="0.2">
      <c r="A1508" t="s">
        <v>1517</v>
      </c>
      <c r="B1508" s="2">
        <v>46282</v>
      </c>
      <c r="C1508" t="s">
        <v>2940</v>
      </c>
      <c r="D1508" t="s">
        <v>2944</v>
      </c>
      <c r="E1508" t="s">
        <v>3051</v>
      </c>
      <c r="F1508" s="3">
        <v>46282.56136520829</v>
      </c>
      <c r="G1508" s="3">
        <v>46282.574751038534</v>
      </c>
      <c r="H1508">
        <v>19.28</v>
      </c>
      <c r="I1508" t="s">
        <v>3146</v>
      </c>
      <c r="J1508" t="s">
        <v>3157</v>
      </c>
      <c r="K1508" t="s">
        <v>3174</v>
      </c>
      <c r="L1508" t="str">
        <f>_xlfn.XLOOKUP(C1508,[1]!Table1[Shift_ID],[1]!Table1[Shift_ID])</f>
        <v>S01</v>
      </c>
      <c r="M1508" t="str">
        <f>_xlfn.XLOOKUP(D1508,[2]!Table1[Machine_ID],[2]!Table1[Machine_ID])</f>
        <v>M003</v>
      </c>
      <c r="N1508" t="str">
        <f>_xlfn.XLOOKUP(E1508,[3]Sheet1!$A$2:$A$391,[3]Sheet1!$A$2:$A$391)</f>
        <v>PO10101</v>
      </c>
    </row>
    <row r="1509" spans="1:14" x14ac:dyDescent="0.2">
      <c r="A1509" t="s">
        <v>1518</v>
      </c>
      <c r="B1509" s="2">
        <v>46282</v>
      </c>
      <c r="C1509" t="s">
        <v>2940</v>
      </c>
      <c r="D1509" t="s">
        <v>2945</v>
      </c>
      <c r="E1509" t="s">
        <v>3051</v>
      </c>
      <c r="F1509" s="3">
        <v>46282.351485317697</v>
      </c>
      <c r="G1509" s="3">
        <v>46282.358630394083</v>
      </c>
      <c r="H1509">
        <v>10.29</v>
      </c>
      <c r="I1509" t="s">
        <v>3146</v>
      </c>
      <c r="J1509" t="s">
        <v>3156</v>
      </c>
      <c r="K1509" t="s">
        <v>3174</v>
      </c>
      <c r="L1509" t="str">
        <f>_xlfn.XLOOKUP(C1509,[1]!Table1[Shift_ID],[1]!Table1[Shift_ID])</f>
        <v>S01</v>
      </c>
      <c r="M1509" t="str">
        <f>_xlfn.XLOOKUP(D1509,[2]!Table1[Machine_ID],[2]!Table1[Machine_ID])</f>
        <v>M004</v>
      </c>
      <c r="N1509" t="str">
        <f>_xlfn.XLOOKUP(E1509,[3]Sheet1!$A$2:$A$391,[3]Sheet1!$A$2:$A$391)</f>
        <v>PO10101</v>
      </c>
    </row>
    <row r="1510" spans="1:14" x14ac:dyDescent="0.2">
      <c r="A1510" t="s">
        <v>1519</v>
      </c>
      <c r="B1510" s="2">
        <v>46282</v>
      </c>
      <c r="C1510" t="s">
        <v>2940</v>
      </c>
      <c r="D1510" t="s">
        <v>2946</v>
      </c>
      <c r="E1510" t="s">
        <v>3051</v>
      </c>
      <c r="F1510" s="3">
        <v>46282.45853828801</v>
      </c>
      <c r="G1510" s="3">
        <v>46282.465254017603</v>
      </c>
      <c r="H1510">
        <v>9.67</v>
      </c>
      <c r="I1510" t="s">
        <v>3146</v>
      </c>
      <c r="J1510" t="s">
        <v>3156</v>
      </c>
      <c r="K1510" t="s">
        <v>3171</v>
      </c>
      <c r="L1510" t="str">
        <f>_xlfn.XLOOKUP(C1510,[1]!Table1[Shift_ID],[1]!Table1[Shift_ID])</f>
        <v>S01</v>
      </c>
      <c r="M1510" t="str">
        <f>_xlfn.XLOOKUP(D1510,[2]!Table1[Machine_ID],[2]!Table1[Machine_ID])</f>
        <v>M005</v>
      </c>
      <c r="N1510" t="str">
        <f>_xlfn.XLOOKUP(E1510,[3]Sheet1!$A$2:$A$391,[3]Sheet1!$A$2:$A$391)</f>
        <v>PO10101</v>
      </c>
    </row>
    <row r="1511" spans="1:14" x14ac:dyDescent="0.2">
      <c r="A1511" t="s">
        <v>1520</v>
      </c>
      <c r="B1511" s="2">
        <v>46282</v>
      </c>
      <c r="C1511" t="s">
        <v>2940</v>
      </c>
      <c r="D1511" t="s">
        <v>2947</v>
      </c>
      <c r="E1511" t="s">
        <v>3051</v>
      </c>
      <c r="F1511" s="3">
        <v>46282.434037935353</v>
      </c>
      <c r="G1511" s="3">
        <v>46282.465844021302</v>
      </c>
      <c r="H1511">
        <v>45.8</v>
      </c>
      <c r="I1511" t="s">
        <v>3150</v>
      </c>
      <c r="J1511" t="s">
        <v>3160</v>
      </c>
      <c r="K1511" t="s">
        <v>3177</v>
      </c>
      <c r="L1511" t="str">
        <f>_xlfn.XLOOKUP(C1511,[1]!Table1[Shift_ID],[1]!Table1[Shift_ID])</f>
        <v>S01</v>
      </c>
      <c r="M1511" t="str">
        <f>_xlfn.XLOOKUP(D1511,[2]!Table1[Machine_ID],[2]!Table1[Machine_ID])</f>
        <v>M006</v>
      </c>
      <c r="N1511" t="str">
        <f>_xlfn.XLOOKUP(E1511,[3]Sheet1!$A$2:$A$391,[3]Sheet1!$A$2:$A$391)</f>
        <v>PO10101</v>
      </c>
    </row>
    <row r="1512" spans="1:14" x14ac:dyDescent="0.2">
      <c r="A1512" t="s">
        <v>1521</v>
      </c>
      <c r="B1512" s="2">
        <v>46282</v>
      </c>
      <c r="C1512" t="s">
        <v>2940</v>
      </c>
      <c r="D1512" t="s">
        <v>2948</v>
      </c>
      <c r="E1512" t="s">
        <v>3051</v>
      </c>
      <c r="F1512" s="3">
        <v>46282.349973390337</v>
      </c>
      <c r="G1512" s="3">
        <v>46282.364103180873</v>
      </c>
      <c r="H1512">
        <v>20.350000000000001</v>
      </c>
      <c r="I1512" t="s">
        <v>3148</v>
      </c>
      <c r="J1512" t="s">
        <v>3155</v>
      </c>
      <c r="K1512" t="s">
        <v>3180</v>
      </c>
      <c r="L1512" t="str">
        <f>_xlfn.XLOOKUP(C1512,[1]!Table1[Shift_ID],[1]!Table1[Shift_ID])</f>
        <v>S01</v>
      </c>
      <c r="M1512" t="str">
        <f>_xlfn.XLOOKUP(D1512,[2]!Table1[Machine_ID],[2]!Table1[Machine_ID])</f>
        <v>M007</v>
      </c>
      <c r="N1512" t="str">
        <f>_xlfn.XLOOKUP(E1512,[3]Sheet1!$A$2:$A$391,[3]Sheet1!$A$2:$A$391)</f>
        <v>PO10101</v>
      </c>
    </row>
    <row r="1513" spans="1:14" x14ac:dyDescent="0.2">
      <c r="A1513" t="s">
        <v>1522</v>
      </c>
      <c r="B1513" s="2">
        <v>46282</v>
      </c>
      <c r="C1513" t="s">
        <v>2940</v>
      </c>
      <c r="D1513" t="s">
        <v>2949</v>
      </c>
      <c r="E1513" t="s">
        <v>3051</v>
      </c>
      <c r="F1513" s="3">
        <v>46282.27500251303</v>
      </c>
      <c r="G1513" s="3">
        <v>46282.278388360457</v>
      </c>
      <c r="H1513">
        <v>4.88</v>
      </c>
      <c r="I1513" t="s">
        <v>3150</v>
      </c>
      <c r="J1513" t="s">
        <v>3159</v>
      </c>
      <c r="K1513" t="s">
        <v>3177</v>
      </c>
      <c r="L1513" t="str">
        <f>_xlfn.XLOOKUP(C1513,[1]!Table1[Shift_ID],[1]!Table1[Shift_ID])</f>
        <v>S01</v>
      </c>
      <c r="M1513" t="str">
        <f>_xlfn.XLOOKUP(D1513,[2]!Table1[Machine_ID],[2]!Table1[Machine_ID])</f>
        <v>M008</v>
      </c>
      <c r="N1513" t="str">
        <f>_xlfn.XLOOKUP(E1513,[3]Sheet1!$A$2:$A$391,[3]Sheet1!$A$2:$A$391)</f>
        <v>PO10101</v>
      </c>
    </row>
    <row r="1514" spans="1:14" x14ac:dyDescent="0.2">
      <c r="A1514" t="s">
        <v>1523</v>
      </c>
      <c r="B1514" s="2">
        <v>46282</v>
      </c>
      <c r="C1514" t="s">
        <v>2940</v>
      </c>
      <c r="D1514" t="s">
        <v>2949</v>
      </c>
      <c r="E1514" t="s">
        <v>3051</v>
      </c>
      <c r="F1514" s="3">
        <v>46282.383152631519</v>
      </c>
      <c r="G1514" s="3">
        <v>46282.385030244302</v>
      </c>
      <c r="H1514">
        <v>2.7</v>
      </c>
      <c r="I1514" t="s">
        <v>3147</v>
      </c>
      <c r="J1514" t="s">
        <v>3153</v>
      </c>
      <c r="K1514" t="s">
        <v>3172</v>
      </c>
      <c r="L1514" t="str">
        <f>_xlfn.XLOOKUP(C1514,[1]!Table1[Shift_ID],[1]!Table1[Shift_ID])</f>
        <v>S01</v>
      </c>
      <c r="M1514" t="str">
        <f>_xlfn.XLOOKUP(D1514,[2]!Table1[Machine_ID],[2]!Table1[Machine_ID])</f>
        <v>M008</v>
      </c>
      <c r="N1514" t="str">
        <f>_xlfn.XLOOKUP(E1514,[3]Sheet1!$A$2:$A$391,[3]Sheet1!$A$2:$A$391)</f>
        <v>PO10101</v>
      </c>
    </row>
    <row r="1515" spans="1:14" x14ac:dyDescent="0.2">
      <c r="A1515" t="s">
        <v>1524</v>
      </c>
      <c r="B1515" s="2">
        <v>46282</v>
      </c>
      <c r="C1515" t="s">
        <v>2941</v>
      </c>
      <c r="D1515" t="s">
        <v>2942</v>
      </c>
      <c r="E1515" t="s">
        <v>3052</v>
      </c>
      <c r="F1515" s="3">
        <v>46282.645000316857</v>
      </c>
      <c r="G1515" s="3">
        <v>46282.646279539818</v>
      </c>
      <c r="H1515">
        <v>1.84</v>
      </c>
      <c r="I1515" t="s">
        <v>3151</v>
      </c>
      <c r="J1515" t="s">
        <v>3161</v>
      </c>
      <c r="K1515" t="s">
        <v>3188</v>
      </c>
      <c r="L1515" t="str">
        <f>_xlfn.XLOOKUP(C1515,[1]!Table1[Shift_ID],[1]!Table1[Shift_ID])</f>
        <v>S02</v>
      </c>
      <c r="M1515" t="str">
        <f>_xlfn.XLOOKUP(D1515,[2]!Table1[Machine_ID],[2]!Table1[Machine_ID])</f>
        <v>M001</v>
      </c>
      <c r="N1515" t="str">
        <f>_xlfn.XLOOKUP(E1515,[3]Sheet1!$A$2:$A$391,[3]Sheet1!$A$2:$A$391)</f>
        <v>PO10102</v>
      </c>
    </row>
    <row r="1516" spans="1:14" x14ac:dyDescent="0.2">
      <c r="A1516" t="s">
        <v>1525</v>
      </c>
      <c r="B1516" s="2">
        <v>46282</v>
      </c>
      <c r="C1516" t="s">
        <v>2941</v>
      </c>
      <c r="D1516" t="s">
        <v>2942</v>
      </c>
      <c r="E1516" t="s">
        <v>3052</v>
      </c>
      <c r="F1516" s="3">
        <v>46282.67363313205</v>
      </c>
      <c r="G1516" s="3">
        <v>46282.676548006239</v>
      </c>
      <c r="H1516">
        <v>4.2</v>
      </c>
      <c r="I1516" t="s">
        <v>3147</v>
      </c>
      <c r="J1516" t="s">
        <v>3167</v>
      </c>
      <c r="K1516" t="s">
        <v>3172</v>
      </c>
      <c r="L1516" t="str">
        <f>_xlfn.XLOOKUP(C1516,[1]!Table1[Shift_ID],[1]!Table1[Shift_ID])</f>
        <v>S02</v>
      </c>
      <c r="M1516" t="str">
        <f>_xlfn.XLOOKUP(D1516,[2]!Table1[Machine_ID],[2]!Table1[Machine_ID])</f>
        <v>M001</v>
      </c>
      <c r="N1516" t="str">
        <f>_xlfn.XLOOKUP(E1516,[3]Sheet1!$A$2:$A$391,[3]Sheet1!$A$2:$A$391)</f>
        <v>PO10102</v>
      </c>
    </row>
    <row r="1517" spans="1:14" x14ac:dyDescent="0.2">
      <c r="A1517" t="s">
        <v>1526</v>
      </c>
      <c r="B1517" s="2">
        <v>46282</v>
      </c>
      <c r="C1517" t="s">
        <v>2941</v>
      </c>
      <c r="D1517" t="s">
        <v>2942</v>
      </c>
      <c r="E1517" t="s">
        <v>3052</v>
      </c>
      <c r="F1517" s="3">
        <v>46282.805238995963</v>
      </c>
      <c r="G1517" s="3">
        <v>46282.806518218902</v>
      </c>
      <c r="H1517">
        <v>1.84</v>
      </c>
      <c r="I1517" t="s">
        <v>3150</v>
      </c>
      <c r="J1517" t="s">
        <v>3163</v>
      </c>
      <c r="K1517" t="s">
        <v>3179</v>
      </c>
      <c r="L1517" t="str">
        <f>_xlfn.XLOOKUP(C1517,[1]!Table1[Shift_ID],[1]!Table1[Shift_ID])</f>
        <v>S02</v>
      </c>
      <c r="M1517" t="str">
        <f>_xlfn.XLOOKUP(D1517,[2]!Table1[Machine_ID],[2]!Table1[Machine_ID])</f>
        <v>M001</v>
      </c>
      <c r="N1517" t="str">
        <f>_xlfn.XLOOKUP(E1517,[3]Sheet1!$A$2:$A$391,[3]Sheet1!$A$2:$A$391)</f>
        <v>PO10102</v>
      </c>
    </row>
    <row r="1518" spans="1:14" x14ac:dyDescent="0.2">
      <c r="A1518" t="s">
        <v>1527</v>
      </c>
      <c r="B1518" s="2">
        <v>46282</v>
      </c>
      <c r="C1518" t="s">
        <v>2941</v>
      </c>
      <c r="D1518" t="s">
        <v>2943</v>
      </c>
      <c r="E1518" t="s">
        <v>3052</v>
      </c>
      <c r="F1518" s="3">
        <v>46282.794296076099</v>
      </c>
      <c r="G1518" s="3">
        <v>46282.797363408172</v>
      </c>
      <c r="H1518">
        <v>4.42</v>
      </c>
      <c r="I1518" t="s">
        <v>3149</v>
      </c>
      <c r="J1518" t="s">
        <v>3168</v>
      </c>
      <c r="K1518" t="s">
        <v>3182</v>
      </c>
      <c r="L1518" t="str">
        <f>_xlfn.XLOOKUP(C1518,[1]!Table1[Shift_ID],[1]!Table1[Shift_ID])</f>
        <v>S02</v>
      </c>
      <c r="M1518" t="str">
        <f>_xlfn.XLOOKUP(D1518,[2]!Table1[Machine_ID],[2]!Table1[Machine_ID])</f>
        <v>M002</v>
      </c>
      <c r="N1518" t="str">
        <f>_xlfn.XLOOKUP(E1518,[3]Sheet1!$A$2:$A$391,[3]Sheet1!$A$2:$A$391)</f>
        <v>PO10102</v>
      </c>
    </row>
    <row r="1519" spans="1:14" x14ac:dyDescent="0.2">
      <c r="A1519" t="s">
        <v>1528</v>
      </c>
      <c r="B1519" s="2">
        <v>46282</v>
      </c>
      <c r="C1519" t="s">
        <v>2941</v>
      </c>
      <c r="D1519" t="s">
        <v>2943</v>
      </c>
      <c r="E1519" t="s">
        <v>3052</v>
      </c>
      <c r="F1519" s="3">
        <v>46282.842945484663</v>
      </c>
      <c r="G1519" s="3">
        <v>46282.847613717233</v>
      </c>
      <c r="H1519">
        <v>6.72</v>
      </c>
      <c r="I1519" t="s">
        <v>3147</v>
      </c>
      <c r="J1519" t="s">
        <v>3154</v>
      </c>
      <c r="K1519" t="s">
        <v>3172</v>
      </c>
      <c r="L1519" t="str">
        <f>_xlfn.XLOOKUP(C1519,[1]!Table1[Shift_ID],[1]!Table1[Shift_ID])</f>
        <v>S02</v>
      </c>
      <c r="M1519" t="str">
        <f>_xlfn.XLOOKUP(D1519,[2]!Table1[Machine_ID],[2]!Table1[Machine_ID])</f>
        <v>M002</v>
      </c>
      <c r="N1519" t="str">
        <f>_xlfn.XLOOKUP(E1519,[3]Sheet1!$A$2:$A$391,[3]Sheet1!$A$2:$A$391)</f>
        <v>PO10102</v>
      </c>
    </row>
    <row r="1520" spans="1:14" x14ac:dyDescent="0.2">
      <c r="A1520" t="s">
        <v>1529</v>
      </c>
      <c r="B1520" s="2">
        <v>46282</v>
      </c>
      <c r="C1520" t="s">
        <v>2941</v>
      </c>
      <c r="D1520" t="s">
        <v>2944</v>
      </c>
      <c r="E1520" t="s">
        <v>3052</v>
      </c>
      <c r="F1520" s="3">
        <v>46282.767845838149</v>
      </c>
      <c r="G1520" s="3">
        <v>46282.776325465442</v>
      </c>
      <c r="H1520">
        <v>12.21</v>
      </c>
      <c r="I1520" t="s">
        <v>3150</v>
      </c>
      <c r="J1520" t="s">
        <v>3166</v>
      </c>
      <c r="K1520" t="s">
        <v>3179</v>
      </c>
      <c r="L1520" t="str">
        <f>_xlfn.XLOOKUP(C1520,[1]!Table1[Shift_ID],[1]!Table1[Shift_ID])</f>
        <v>S02</v>
      </c>
      <c r="M1520" t="str">
        <f>_xlfn.XLOOKUP(D1520,[2]!Table1[Machine_ID],[2]!Table1[Machine_ID])</f>
        <v>M003</v>
      </c>
      <c r="N1520" t="str">
        <f>_xlfn.XLOOKUP(E1520,[3]Sheet1!$A$2:$A$391,[3]Sheet1!$A$2:$A$391)</f>
        <v>PO10102</v>
      </c>
    </row>
    <row r="1521" spans="1:14" x14ac:dyDescent="0.2">
      <c r="A1521" t="s">
        <v>1530</v>
      </c>
      <c r="B1521" s="2">
        <v>46282</v>
      </c>
      <c r="C1521" t="s">
        <v>2941</v>
      </c>
      <c r="D1521" t="s">
        <v>2944</v>
      </c>
      <c r="E1521" t="s">
        <v>3052</v>
      </c>
      <c r="F1521" s="3">
        <v>46282.791339239651</v>
      </c>
      <c r="G1521" s="3">
        <v>46282.793069923122</v>
      </c>
      <c r="H1521">
        <v>2.4900000000000002</v>
      </c>
      <c r="I1521" t="s">
        <v>3147</v>
      </c>
      <c r="J1521" t="s">
        <v>3167</v>
      </c>
      <c r="K1521" t="s">
        <v>3185</v>
      </c>
      <c r="L1521" t="str">
        <f>_xlfn.XLOOKUP(C1521,[1]!Table1[Shift_ID],[1]!Table1[Shift_ID])</f>
        <v>S02</v>
      </c>
      <c r="M1521" t="str">
        <f>_xlfn.XLOOKUP(D1521,[2]!Table1[Machine_ID],[2]!Table1[Machine_ID])</f>
        <v>M003</v>
      </c>
      <c r="N1521" t="str">
        <f>_xlfn.XLOOKUP(E1521,[3]Sheet1!$A$2:$A$391,[3]Sheet1!$A$2:$A$391)</f>
        <v>PO10102</v>
      </c>
    </row>
    <row r="1522" spans="1:14" x14ac:dyDescent="0.2">
      <c r="A1522" t="s">
        <v>1531</v>
      </c>
      <c r="B1522" s="2">
        <v>46282</v>
      </c>
      <c r="C1522" t="s">
        <v>2941</v>
      </c>
      <c r="D1522" t="s">
        <v>2945</v>
      </c>
      <c r="E1522" t="s">
        <v>3052</v>
      </c>
      <c r="F1522" s="3">
        <v>46282.88780786295</v>
      </c>
      <c r="G1522" s="3">
        <v>46282.895899248208</v>
      </c>
      <c r="H1522">
        <v>11.65</v>
      </c>
      <c r="I1522" t="s">
        <v>3148</v>
      </c>
      <c r="J1522" t="s">
        <v>3155</v>
      </c>
      <c r="K1522" t="s">
        <v>3180</v>
      </c>
      <c r="L1522" t="str">
        <f>_xlfn.XLOOKUP(C1522,[1]!Table1[Shift_ID],[1]!Table1[Shift_ID])</f>
        <v>S02</v>
      </c>
      <c r="M1522" t="str">
        <f>_xlfn.XLOOKUP(D1522,[2]!Table1[Machine_ID],[2]!Table1[Machine_ID])</f>
        <v>M004</v>
      </c>
      <c r="N1522" t="str">
        <f>_xlfn.XLOOKUP(E1522,[3]Sheet1!$A$2:$A$391,[3]Sheet1!$A$2:$A$391)</f>
        <v>PO10102</v>
      </c>
    </row>
    <row r="1523" spans="1:14" x14ac:dyDescent="0.2">
      <c r="A1523" t="s">
        <v>1532</v>
      </c>
      <c r="B1523" s="2">
        <v>46282</v>
      </c>
      <c r="C1523" t="s">
        <v>2941</v>
      </c>
      <c r="D1523" t="s">
        <v>2946</v>
      </c>
      <c r="E1523" t="s">
        <v>3052</v>
      </c>
      <c r="F1523" s="3">
        <v>46282.638924506929</v>
      </c>
      <c r="G1523" s="3">
        <v>46282.640447988932</v>
      </c>
      <c r="H1523">
        <v>2.19</v>
      </c>
      <c r="I1523" t="s">
        <v>3149</v>
      </c>
      <c r="J1523" t="s">
        <v>3158</v>
      </c>
      <c r="K1523" t="s">
        <v>3184</v>
      </c>
      <c r="L1523" t="str">
        <f>_xlfn.XLOOKUP(C1523,[1]!Table1[Shift_ID],[1]!Table1[Shift_ID])</f>
        <v>S02</v>
      </c>
      <c r="M1523" t="str">
        <f>_xlfn.XLOOKUP(D1523,[2]!Table1[Machine_ID],[2]!Table1[Machine_ID])</f>
        <v>M005</v>
      </c>
      <c r="N1523" t="str">
        <f>_xlfn.XLOOKUP(E1523,[3]Sheet1!$A$2:$A$391,[3]Sheet1!$A$2:$A$391)</f>
        <v>PO10102</v>
      </c>
    </row>
    <row r="1524" spans="1:14" x14ac:dyDescent="0.2">
      <c r="A1524" t="s">
        <v>1533</v>
      </c>
      <c r="B1524" s="2">
        <v>46282</v>
      </c>
      <c r="C1524" t="s">
        <v>2941</v>
      </c>
      <c r="D1524" t="s">
        <v>2946</v>
      </c>
      <c r="E1524" t="s">
        <v>3052</v>
      </c>
      <c r="F1524" s="3">
        <v>46282.689312600247</v>
      </c>
      <c r="G1524" s="3">
        <v>46282.690836082264</v>
      </c>
      <c r="H1524">
        <v>2.19</v>
      </c>
      <c r="I1524" t="s">
        <v>3146</v>
      </c>
      <c r="J1524" t="s">
        <v>3156</v>
      </c>
      <c r="K1524" t="s">
        <v>3175</v>
      </c>
      <c r="L1524" t="str">
        <f>_xlfn.XLOOKUP(C1524,[1]!Table1[Shift_ID],[1]!Table1[Shift_ID])</f>
        <v>S02</v>
      </c>
      <c r="M1524" t="str">
        <f>_xlfn.XLOOKUP(D1524,[2]!Table1[Machine_ID],[2]!Table1[Machine_ID])</f>
        <v>M005</v>
      </c>
      <c r="N1524" t="str">
        <f>_xlfn.XLOOKUP(E1524,[3]Sheet1!$A$2:$A$391,[3]Sheet1!$A$2:$A$391)</f>
        <v>PO10102</v>
      </c>
    </row>
    <row r="1525" spans="1:14" x14ac:dyDescent="0.2">
      <c r="A1525" t="s">
        <v>1534</v>
      </c>
      <c r="B1525" s="2">
        <v>46282</v>
      </c>
      <c r="C1525" t="s">
        <v>2941</v>
      </c>
      <c r="D1525" t="s">
        <v>2946</v>
      </c>
      <c r="E1525" t="s">
        <v>3052</v>
      </c>
      <c r="F1525" s="3">
        <v>46282.749462107859</v>
      </c>
      <c r="G1525" s="3">
        <v>46282.750985589853</v>
      </c>
      <c r="H1525">
        <v>2.19</v>
      </c>
      <c r="I1525" t="s">
        <v>3147</v>
      </c>
      <c r="J1525" t="s">
        <v>3153</v>
      </c>
      <c r="K1525" t="s">
        <v>3172</v>
      </c>
      <c r="L1525" t="str">
        <f>_xlfn.XLOOKUP(C1525,[1]!Table1[Shift_ID],[1]!Table1[Shift_ID])</f>
        <v>S02</v>
      </c>
      <c r="M1525" t="str">
        <f>_xlfn.XLOOKUP(D1525,[2]!Table1[Machine_ID],[2]!Table1[Machine_ID])</f>
        <v>M005</v>
      </c>
      <c r="N1525" t="str">
        <f>_xlfn.XLOOKUP(E1525,[3]Sheet1!$A$2:$A$391,[3]Sheet1!$A$2:$A$391)</f>
        <v>PO10102</v>
      </c>
    </row>
    <row r="1526" spans="1:14" x14ac:dyDescent="0.2">
      <c r="A1526" t="s">
        <v>1535</v>
      </c>
      <c r="B1526" s="2">
        <v>46282</v>
      </c>
      <c r="C1526" t="s">
        <v>2941</v>
      </c>
      <c r="D1526" t="s">
        <v>2946</v>
      </c>
      <c r="E1526" t="s">
        <v>3052</v>
      </c>
      <c r="F1526" s="3">
        <v>46282.897905252154</v>
      </c>
      <c r="G1526" s="3">
        <v>46282.900402412823</v>
      </c>
      <c r="H1526">
        <v>3.6</v>
      </c>
      <c r="I1526" t="s">
        <v>3148</v>
      </c>
      <c r="J1526" t="s">
        <v>3164</v>
      </c>
      <c r="K1526" t="s">
        <v>3180</v>
      </c>
      <c r="L1526" t="str">
        <f>_xlfn.XLOOKUP(C1526,[1]!Table1[Shift_ID],[1]!Table1[Shift_ID])</f>
        <v>S02</v>
      </c>
      <c r="M1526" t="str">
        <f>_xlfn.XLOOKUP(D1526,[2]!Table1[Machine_ID],[2]!Table1[Machine_ID])</f>
        <v>M005</v>
      </c>
      <c r="N1526" t="str">
        <f>_xlfn.XLOOKUP(E1526,[3]Sheet1!$A$2:$A$391,[3]Sheet1!$A$2:$A$391)</f>
        <v>PO10102</v>
      </c>
    </row>
    <row r="1527" spans="1:14" x14ac:dyDescent="0.2">
      <c r="A1527" t="s">
        <v>1536</v>
      </c>
      <c r="B1527" s="2">
        <v>46282</v>
      </c>
      <c r="C1527" t="s">
        <v>2941</v>
      </c>
      <c r="D1527" t="s">
        <v>2947</v>
      </c>
      <c r="E1527" t="s">
        <v>3052</v>
      </c>
      <c r="F1527" s="3">
        <v>46282.655127759281</v>
      </c>
      <c r="G1527" s="3">
        <v>46282.679094517684</v>
      </c>
      <c r="H1527">
        <v>34.51</v>
      </c>
      <c r="I1527" t="s">
        <v>3151</v>
      </c>
      <c r="J1527" t="s">
        <v>3169</v>
      </c>
      <c r="K1527" t="s">
        <v>3181</v>
      </c>
      <c r="L1527" t="str">
        <f>_xlfn.XLOOKUP(C1527,[1]!Table1[Shift_ID],[1]!Table1[Shift_ID])</f>
        <v>S02</v>
      </c>
      <c r="M1527" t="str">
        <f>_xlfn.XLOOKUP(D1527,[2]!Table1[Machine_ID],[2]!Table1[Machine_ID])</f>
        <v>M006</v>
      </c>
      <c r="N1527" t="str">
        <f>_xlfn.XLOOKUP(E1527,[3]Sheet1!$A$2:$A$391,[3]Sheet1!$A$2:$A$391)</f>
        <v>PO10102</v>
      </c>
    </row>
    <row r="1528" spans="1:14" x14ac:dyDescent="0.2">
      <c r="A1528" t="s">
        <v>1537</v>
      </c>
      <c r="B1528" s="2">
        <v>46282</v>
      </c>
      <c r="C1528" t="s">
        <v>2941</v>
      </c>
      <c r="D1528" t="s">
        <v>2948</v>
      </c>
      <c r="E1528" t="s">
        <v>3052</v>
      </c>
      <c r="F1528" s="3">
        <v>46282.630163037153</v>
      </c>
      <c r="G1528" s="3">
        <v>46282.642102225647</v>
      </c>
      <c r="H1528">
        <v>17.190000000000001</v>
      </c>
      <c r="I1528" t="s">
        <v>3150</v>
      </c>
      <c r="J1528" t="s">
        <v>3159</v>
      </c>
      <c r="K1528" t="s">
        <v>3179</v>
      </c>
      <c r="L1528" t="str">
        <f>_xlfn.XLOOKUP(C1528,[1]!Table1[Shift_ID],[1]!Table1[Shift_ID])</f>
        <v>S02</v>
      </c>
      <c r="M1528" t="str">
        <f>_xlfn.XLOOKUP(D1528,[2]!Table1[Machine_ID],[2]!Table1[Machine_ID])</f>
        <v>M007</v>
      </c>
      <c r="N1528" t="str">
        <f>_xlfn.XLOOKUP(E1528,[3]Sheet1!$A$2:$A$391,[3]Sheet1!$A$2:$A$391)</f>
        <v>PO10102</v>
      </c>
    </row>
    <row r="1529" spans="1:14" x14ac:dyDescent="0.2">
      <c r="A1529" t="s">
        <v>1538</v>
      </c>
      <c r="B1529" s="2">
        <v>46282</v>
      </c>
      <c r="C1529" t="s">
        <v>2941</v>
      </c>
      <c r="D1529" t="s">
        <v>2949</v>
      </c>
      <c r="E1529" t="s">
        <v>3052</v>
      </c>
      <c r="F1529" s="3">
        <v>46282.603511229587</v>
      </c>
      <c r="G1529" s="3">
        <v>46282.609121223541</v>
      </c>
      <c r="H1529">
        <v>8.08</v>
      </c>
      <c r="I1529" t="s">
        <v>3150</v>
      </c>
      <c r="J1529" t="s">
        <v>3166</v>
      </c>
      <c r="K1529" t="s">
        <v>3178</v>
      </c>
      <c r="L1529" t="str">
        <f>_xlfn.XLOOKUP(C1529,[1]!Table1[Shift_ID],[1]!Table1[Shift_ID])</f>
        <v>S02</v>
      </c>
      <c r="M1529" t="str">
        <f>_xlfn.XLOOKUP(D1529,[2]!Table1[Machine_ID],[2]!Table1[Machine_ID])</f>
        <v>M008</v>
      </c>
      <c r="N1529" t="str">
        <f>_xlfn.XLOOKUP(E1529,[3]Sheet1!$A$2:$A$391,[3]Sheet1!$A$2:$A$391)</f>
        <v>PO10102</v>
      </c>
    </row>
    <row r="1530" spans="1:14" x14ac:dyDescent="0.2">
      <c r="A1530" t="s">
        <v>1539</v>
      </c>
      <c r="B1530" s="2">
        <v>46283</v>
      </c>
      <c r="C1530" t="s">
        <v>2939</v>
      </c>
      <c r="D1530" t="s">
        <v>2942</v>
      </c>
      <c r="E1530" t="s">
        <v>3053</v>
      </c>
      <c r="F1530" s="3">
        <v>46284.192851434411</v>
      </c>
      <c r="G1530" s="3">
        <v>46284.199322144857</v>
      </c>
      <c r="H1530">
        <v>9.32</v>
      </c>
      <c r="I1530" t="s">
        <v>3147</v>
      </c>
      <c r="J1530" t="s">
        <v>3153</v>
      </c>
      <c r="K1530" t="s">
        <v>3172</v>
      </c>
      <c r="L1530" t="str">
        <f>_xlfn.XLOOKUP(C1530,[1]!Table1[Shift_ID],[1]!Table1[Shift_ID])</f>
        <v>S03</v>
      </c>
      <c r="M1530" t="str">
        <f>_xlfn.XLOOKUP(D1530,[2]!Table1[Machine_ID],[2]!Table1[Machine_ID])</f>
        <v>M001</v>
      </c>
      <c r="N1530" t="str">
        <f>_xlfn.XLOOKUP(E1530,[3]Sheet1!$A$2:$A$391,[3]Sheet1!$A$2:$A$391)</f>
        <v>PO10103</v>
      </c>
    </row>
    <row r="1531" spans="1:14" x14ac:dyDescent="0.2">
      <c r="A1531" t="s">
        <v>1540</v>
      </c>
      <c r="B1531" s="2">
        <v>46283</v>
      </c>
      <c r="C1531" t="s">
        <v>2939</v>
      </c>
      <c r="D1531" t="s">
        <v>2943</v>
      </c>
      <c r="E1531" t="s">
        <v>3053</v>
      </c>
      <c r="F1531" s="3">
        <v>46283.96391055244</v>
      </c>
      <c r="G1531" s="3">
        <v>46283.974222499302</v>
      </c>
      <c r="H1531">
        <v>14.85</v>
      </c>
      <c r="I1531" t="s">
        <v>3148</v>
      </c>
      <c r="J1531" t="s">
        <v>3155</v>
      </c>
      <c r="K1531" t="s">
        <v>3173</v>
      </c>
      <c r="L1531" t="str">
        <f>_xlfn.XLOOKUP(C1531,[1]!Table1[Shift_ID],[1]!Table1[Shift_ID])</f>
        <v>S03</v>
      </c>
      <c r="M1531" t="str">
        <f>_xlfn.XLOOKUP(D1531,[2]!Table1[Machine_ID],[2]!Table1[Machine_ID])</f>
        <v>M002</v>
      </c>
      <c r="N1531" t="str">
        <f>_xlfn.XLOOKUP(E1531,[3]Sheet1!$A$2:$A$391,[3]Sheet1!$A$2:$A$391)</f>
        <v>PO10103</v>
      </c>
    </row>
    <row r="1532" spans="1:14" x14ac:dyDescent="0.2">
      <c r="A1532" t="s">
        <v>1541</v>
      </c>
      <c r="B1532" s="2">
        <v>46283</v>
      </c>
      <c r="C1532" t="s">
        <v>2939</v>
      </c>
      <c r="D1532" t="s">
        <v>2944</v>
      </c>
      <c r="E1532" t="s">
        <v>3053</v>
      </c>
      <c r="F1532" s="3">
        <v>46284.095327497547</v>
      </c>
      <c r="G1532" s="3">
        <v>46284.109455701931</v>
      </c>
      <c r="H1532">
        <v>20.34</v>
      </c>
      <c r="I1532" t="s">
        <v>3149</v>
      </c>
      <c r="J1532" t="s">
        <v>3168</v>
      </c>
      <c r="K1532" t="s">
        <v>3176</v>
      </c>
      <c r="L1532" t="str">
        <f>_xlfn.XLOOKUP(C1532,[1]!Table1[Shift_ID],[1]!Table1[Shift_ID])</f>
        <v>S03</v>
      </c>
      <c r="M1532" t="str">
        <f>_xlfn.XLOOKUP(D1532,[2]!Table1[Machine_ID],[2]!Table1[Machine_ID])</f>
        <v>M003</v>
      </c>
      <c r="N1532" t="str">
        <f>_xlfn.XLOOKUP(E1532,[3]Sheet1!$A$2:$A$391,[3]Sheet1!$A$2:$A$391)</f>
        <v>PO10103</v>
      </c>
    </row>
    <row r="1533" spans="1:14" x14ac:dyDescent="0.2">
      <c r="A1533" t="s">
        <v>1542</v>
      </c>
      <c r="B1533" s="2">
        <v>46283</v>
      </c>
      <c r="C1533" t="s">
        <v>2939</v>
      </c>
      <c r="D1533" t="s">
        <v>2945</v>
      </c>
      <c r="E1533" t="s">
        <v>3053</v>
      </c>
      <c r="F1533" s="3">
        <v>46284.167497629918</v>
      </c>
      <c r="G1533" s="3">
        <v>46284.17662055332</v>
      </c>
      <c r="H1533">
        <v>13.14</v>
      </c>
      <c r="I1533" t="s">
        <v>3147</v>
      </c>
      <c r="J1533" t="s">
        <v>3154</v>
      </c>
      <c r="K1533" t="s">
        <v>3185</v>
      </c>
      <c r="L1533" t="str">
        <f>_xlfn.XLOOKUP(C1533,[1]!Table1[Shift_ID],[1]!Table1[Shift_ID])</f>
        <v>S03</v>
      </c>
      <c r="M1533" t="str">
        <f>_xlfn.XLOOKUP(D1533,[2]!Table1[Machine_ID],[2]!Table1[Machine_ID])</f>
        <v>M004</v>
      </c>
      <c r="N1533" t="str">
        <f>_xlfn.XLOOKUP(E1533,[3]Sheet1!$A$2:$A$391,[3]Sheet1!$A$2:$A$391)</f>
        <v>PO10103</v>
      </c>
    </row>
    <row r="1534" spans="1:14" x14ac:dyDescent="0.2">
      <c r="A1534" t="s">
        <v>1543</v>
      </c>
      <c r="B1534" s="2">
        <v>46283</v>
      </c>
      <c r="C1534" t="s">
        <v>2939</v>
      </c>
      <c r="D1534" t="s">
        <v>2946</v>
      </c>
      <c r="E1534" t="s">
        <v>3053</v>
      </c>
      <c r="F1534" s="3">
        <v>46284.158816811883</v>
      </c>
      <c r="G1534" s="3">
        <v>46284.167470097193</v>
      </c>
      <c r="H1534">
        <v>12.46</v>
      </c>
      <c r="I1534" t="s">
        <v>3146</v>
      </c>
      <c r="J1534" t="s">
        <v>3152</v>
      </c>
      <c r="K1534" t="s">
        <v>3174</v>
      </c>
      <c r="L1534" t="str">
        <f>_xlfn.XLOOKUP(C1534,[1]!Table1[Shift_ID],[1]!Table1[Shift_ID])</f>
        <v>S03</v>
      </c>
      <c r="M1534" t="str">
        <f>_xlfn.XLOOKUP(D1534,[2]!Table1[Machine_ID],[2]!Table1[Machine_ID])</f>
        <v>M005</v>
      </c>
      <c r="N1534" t="str">
        <f>_xlfn.XLOOKUP(E1534,[3]Sheet1!$A$2:$A$391,[3]Sheet1!$A$2:$A$391)</f>
        <v>PO10103</v>
      </c>
    </row>
    <row r="1535" spans="1:14" x14ac:dyDescent="0.2">
      <c r="A1535" t="s">
        <v>1544</v>
      </c>
      <c r="B1535" s="2">
        <v>46283</v>
      </c>
      <c r="C1535" t="s">
        <v>2939</v>
      </c>
      <c r="D1535" t="s">
        <v>2947</v>
      </c>
      <c r="E1535" t="s">
        <v>3053</v>
      </c>
      <c r="F1535" s="3">
        <v>46284.049589963128</v>
      </c>
      <c r="G1535" s="3">
        <v>46284.05252118667</v>
      </c>
      <c r="H1535">
        <v>4.22</v>
      </c>
      <c r="I1535" t="s">
        <v>3150</v>
      </c>
      <c r="J1535" t="s">
        <v>3163</v>
      </c>
      <c r="K1535" t="s">
        <v>3178</v>
      </c>
      <c r="L1535" t="str">
        <f>_xlfn.XLOOKUP(C1535,[1]!Table1[Shift_ID],[1]!Table1[Shift_ID])</f>
        <v>S03</v>
      </c>
      <c r="M1535" t="str">
        <f>_xlfn.XLOOKUP(D1535,[2]!Table1[Machine_ID],[2]!Table1[Machine_ID])</f>
        <v>M006</v>
      </c>
      <c r="N1535" t="str">
        <f>_xlfn.XLOOKUP(E1535,[3]Sheet1!$A$2:$A$391,[3]Sheet1!$A$2:$A$391)</f>
        <v>PO10103</v>
      </c>
    </row>
    <row r="1536" spans="1:14" x14ac:dyDescent="0.2">
      <c r="A1536" t="s">
        <v>1545</v>
      </c>
      <c r="B1536" s="2">
        <v>46283</v>
      </c>
      <c r="C1536" t="s">
        <v>2939</v>
      </c>
      <c r="D1536" t="s">
        <v>2947</v>
      </c>
      <c r="E1536" t="s">
        <v>3053</v>
      </c>
      <c r="F1536" s="3">
        <v>46284.155663524813</v>
      </c>
      <c r="G1536" s="3">
        <v>46284.16625034895</v>
      </c>
      <c r="H1536">
        <v>15.25</v>
      </c>
      <c r="I1536" t="s">
        <v>3146</v>
      </c>
      <c r="J1536" t="s">
        <v>3157</v>
      </c>
      <c r="K1536" t="s">
        <v>3171</v>
      </c>
      <c r="L1536" t="str">
        <f>_xlfn.XLOOKUP(C1536,[1]!Table1[Shift_ID],[1]!Table1[Shift_ID])</f>
        <v>S03</v>
      </c>
      <c r="M1536" t="str">
        <f>_xlfn.XLOOKUP(D1536,[2]!Table1[Machine_ID],[2]!Table1[Machine_ID])</f>
        <v>M006</v>
      </c>
      <c r="N1536" t="str">
        <f>_xlfn.XLOOKUP(E1536,[3]Sheet1!$A$2:$A$391,[3]Sheet1!$A$2:$A$391)</f>
        <v>PO10103</v>
      </c>
    </row>
    <row r="1537" spans="1:14" x14ac:dyDescent="0.2">
      <c r="A1537" t="s">
        <v>1546</v>
      </c>
      <c r="B1537" s="2">
        <v>46283</v>
      </c>
      <c r="C1537" t="s">
        <v>2939</v>
      </c>
      <c r="D1537" t="s">
        <v>2947</v>
      </c>
      <c r="E1537" t="s">
        <v>3053</v>
      </c>
      <c r="F1537" s="3">
        <v>46284.198916073539</v>
      </c>
      <c r="G1537" s="3">
        <v>46284.219212780117</v>
      </c>
      <c r="H1537">
        <v>29.23</v>
      </c>
      <c r="I1537" t="s">
        <v>3150</v>
      </c>
      <c r="J1537" t="s">
        <v>3159</v>
      </c>
      <c r="K1537" t="s">
        <v>3179</v>
      </c>
      <c r="L1537" t="str">
        <f>_xlfn.XLOOKUP(C1537,[1]!Table1[Shift_ID],[1]!Table1[Shift_ID])</f>
        <v>S03</v>
      </c>
      <c r="M1537" t="str">
        <f>_xlfn.XLOOKUP(D1537,[2]!Table1[Machine_ID],[2]!Table1[Machine_ID])</f>
        <v>M006</v>
      </c>
      <c r="N1537" t="str">
        <f>_xlfn.XLOOKUP(E1537,[3]Sheet1!$A$2:$A$391,[3]Sheet1!$A$2:$A$391)</f>
        <v>PO10103</v>
      </c>
    </row>
    <row r="1538" spans="1:14" x14ac:dyDescent="0.2">
      <c r="A1538" t="s">
        <v>1547</v>
      </c>
      <c r="B1538" s="2">
        <v>46283</v>
      </c>
      <c r="C1538" t="s">
        <v>2939</v>
      </c>
      <c r="D1538" t="s">
        <v>2948</v>
      </c>
      <c r="E1538" t="s">
        <v>3053</v>
      </c>
      <c r="F1538" s="3">
        <v>46283.925905835997</v>
      </c>
      <c r="G1538" s="3">
        <v>46283.939174991392</v>
      </c>
      <c r="H1538">
        <v>19.11</v>
      </c>
      <c r="I1538" t="s">
        <v>3150</v>
      </c>
      <c r="J1538" t="s">
        <v>3159</v>
      </c>
      <c r="K1538" t="s">
        <v>3179</v>
      </c>
      <c r="L1538" t="str">
        <f>_xlfn.XLOOKUP(C1538,[1]!Table1[Shift_ID],[1]!Table1[Shift_ID])</f>
        <v>S03</v>
      </c>
      <c r="M1538" t="str">
        <f>_xlfn.XLOOKUP(D1538,[2]!Table1[Machine_ID],[2]!Table1[Machine_ID])</f>
        <v>M007</v>
      </c>
      <c r="N1538" t="str">
        <f>_xlfn.XLOOKUP(E1538,[3]Sheet1!$A$2:$A$391,[3]Sheet1!$A$2:$A$391)</f>
        <v>PO10103</v>
      </c>
    </row>
    <row r="1539" spans="1:14" x14ac:dyDescent="0.2">
      <c r="A1539" t="s">
        <v>1548</v>
      </c>
      <c r="B1539" s="2">
        <v>46283</v>
      </c>
      <c r="C1539" t="s">
        <v>2939</v>
      </c>
      <c r="D1539" t="s">
        <v>2949</v>
      </c>
      <c r="E1539" t="s">
        <v>3053</v>
      </c>
      <c r="F1539" s="3">
        <v>46284.056655866021</v>
      </c>
      <c r="G1539" s="3">
        <v>46284.059049220246</v>
      </c>
      <c r="H1539">
        <v>3.45</v>
      </c>
      <c r="I1539" t="s">
        <v>3147</v>
      </c>
      <c r="J1539" t="s">
        <v>3154</v>
      </c>
      <c r="K1539" t="s">
        <v>3186</v>
      </c>
      <c r="L1539" t="str">
        <f>_xlfn.XLOOKUP(C1539,[1]!Table1[Shift_ID],[1]!Table1[Shift_ID])</f>
        <v>S03</v>
      </c>
      <c r="M1539" t="str">
        <f>_xlfn.XLOOKUP(D1539,[2]!Table1[Machine_ID],[2]!Table1[Machine_ID])</f>
        <v>M008</v>
      </c>
      <c r="N1539" t="str">
        <f>_xlfn.XLOOKUP(E1539,[3]Sheet1!$A$2:$A$391,[3]Sheet1!$A$2:$A$391)</f>
        <v>PO10103</v>
      </c>
    </row>
    <row r="1540" spans="1:14" x14ac:dyDescent="0.2">
      <c r="A1540" t="s">
        <v>1549</v>
      </c>
      <c r="B1540" s="2">
        <v>46283</v>
      </c>
      <c r="C1540" t="s">
        <v>2939</v>
      </c>
      <c r="D1540" t="s">
        <v>2949</v>
      </c>
      <c r="E1540" t="s">
        <v>3053</v>
      </c>
      <c r="F1540" s="3">
        <v>46284.148132320159</v>
      </c>
      <c r="G1540" s="3">
        <v>46284.150617138497</v>
      </c>
      <c r="H1540">
        <v>3.58</v>
      </c>
      <c r="I1540" t="s">
        <v>3149</v>
      </c>
      <c r="J1540" t="s">
        <v>3168</v>
      </c>
      <c r="K1540" t="s">
        <v>3184</v>
      </c>
      <c r="L1540" t="str">
        <f>_xlfn.XLOOKUP(C1540,[1]!Table1[Shift_ID],[1]!Table1[Shift_ID])</f>
        <v>S03</v>
      </c>
      <c r="M1540" t="str">
        <f>_xlfn.XLOOKUP(D1540,[2]!Table1[Machine_ID],[2]!Table1[Machine_ID])</f>
        <v>M008</v>
      </c>
      <c r="N1540" t="str">
        <f>_xlfn.XLOOKUP(E1540,[3]Sheet1!$A$2:$A$391,[3]Sheet1!$A$2:$A$391)</f>
        <v>PO10103</v>
      </c>
    </row>
    <row r="1541" spans="1:14" x14ac:dyDescent="0.2">
      <c r="A1541" t="s">
        <v>1550</v>
      </c>
      <c r="B1541" s="2">
        <v>46283</v>
      </c>
      <c r="C1541" t="s">
        <v>2940</v>
      </c>
      <c r="D1541" t="s">
        <v>2942</v>
      </c>
      <c r="E1541" t="s">
        <v>3054</v>
      </c>
      <c r="F1541" s="3">
        <v>46283.467164387723</v>
      </c>
      <c r="G1541" s="3">
        <v>46283.474063159447</v>
      </c>
      <c r="H1541">
        <v>9.93</v>
      </c>
      <c r="I1541" t="s">
        <v>3147</v>
      </c>
      <c r="J1541" t="s">
        <v>3154</v>
      </c>
      <c r="K1541" t="s">
        <v>3172</v>
      </c>
      <c r="L1541" t="str">
        <f>_xlfn.XLOOKUP(C1541,[1]!Table1[Shift_ID],[1]!Table1[Shift_ID])</f>
        <v>S01</v>
      </c>
      <c r="M1541" t="str">
        <f>_xlfn.XLOOKUP(D1541,[2]!Table1[Machine_ID],[2]!Table1[Machine_ID])</f>
        <v>M001</v>
      </c>
      <c r="N1541" t="str">
        <f>_xlfn.XLOOKUP(E1541,[3]Sheet1!$A$2:$A$391,[3]Sheet1!$A$2:$A$391)</f>
        <v>PO10104</v>
      </c>
    </row>
    <row r="1542" spans="1:14" x14ac:dyDescent="0.2">
      <c r="A1542" t="s">
        <v>1551</v>
      </c>
      <c r="B1542" s="2">
        <v>46283</v>
      </c>
      <c r="C1542" t="s">
        <v>2940</v>
      </c>
      <c r="D1542" t="s">
        <v>2943</v>
      </c>
      <c r="E1542" t="s">
        <v>3054</v>
      </c>
      <c r="F1542" s="3">
        <v>46283.302186158573</v>
      </c>
      <c r="G1542" s="3">
        <v>46283.311626489362</v>
      </c>
      <c r="H1542">
        <v>13.59</v>
      </c>
      <c r="I1542" t="s">
        <v>3151</v>
      </c>
      <c r="J1542" t="s">
        <v>3170</v>
      </c>
      <c r="K1542" t="s">
        <v>3187</v>
      </c>
      <c r="L1542" t="str">
        <f>_xlfn.XLOOKUP(C1542,[1]!Table1[Shift_ID],[1]!Table1[Shift_ID])</f>
        <v>S01</v>
      </c>
      <c r="M1542" t="str">
        <f>_xlfn.XLOOKUP(D1542,[2]!Table1[Machine_ID],[2]!Table1[Machine_ID])</f>
        <v>M002</v>
      </c>
      <c r="N1542" t="str">
        <f>_xlfn.XLOOKUP(E1542,[3]Sheet1!$A$2:$A$391,[3]Sheet1!$A$2:$A$391)</f>
        <v>PO10104</v>
      </c>
    </row>
    <row r="1543" spans="1:14" x14ac:dyDescent="0.2">
      <c r="A1543" t="s">
        <v>1552</v>
      </c>
      <c r="B1543" s="2">
        <v>46283</v>
      </c>
      <c r="C1543" t="s">
        <v>2940</v>
      </c>
      <c r="D1543" t="s">
        <v>2944</v>
      </c>
      <c r="E1543" t="s">
        <v>3054</v>
      </c>
      <c r="F1543" s="3">
        <v>46283.279634783277</v>
      </c>
      <c r="G1543" s="3">
        <v>46283.281043283358</v>
      </c>
      <c r="H1543">
        <v>2.0299999999999998</v>
      </c>
      <c r="I1543" t="s">
        <v>3147</v>
      </c>
      <c r="J1543" t="s">
        <v>3154</v>
      </c>
      <c r="K1543" t="s">
        <v>3172</v>
      </c>
      <c r="L1543" t="str">
        <f>_xlfn.XLOOKUP(C1543,[1]!Table1[Shift_ID],[1]!Table1[Shift_ID])</f>
        <v>S01</v>
      </c>
      <c r="M1543" t="str">
        <f>_xlfn.XLOOKUP(D1543,[2]!Table1[Machine_ID],[2]!Table1[Machine_ID])</f>
        <v>M003</v>
      </c>
      <c r="N1543" t="str">
        <f>_xlfn.XLOOKUP(E1543,[3]Sheet1!$A$2:$A$391,[3]Sheet1!$A$2:$A$391)</f>
        <v>PO10104</v>
      </c>
    </row>
    <row r="1544" spans="1:14" x14ac:dyDescent="0.2">
      <c r="A1544" t="s">
        <v>1553</v>
      </c>
      <c r="B1544" s="2">
        <v>46283</v>
      </c>
      <c r="C1544" t="s">
        <v>2940</v>
      </c>
      <c r="D1544" t="s">
        <v>2944</v>
      </c>
      <c r="E1544" t="s">
        <v>3054</v>
      </c>
      <c r="F1544" s="3">
        <v>46283.315653421028</v>
      </c>
      <c r="G1544" s="3">
        <v>46283.318327083289</v>
      </c>
      <c r="H1544">
        <v>3.85</v>
      </c>
      <c r="I1544" t="s">
        <v>3150</v>
      </c>
      <c r="J1544" t="s">
        <v>3166</v>
      </c>
      <c r="K1544" t="s">
        <v>3177</v>
      </c>
      <c r="L1544" t="str">
        <f>_xlfn.XLOOKUP(C1544,[1]!Table1[Shift_ID],[1]!Table1[Shift_ID])</f>
        <v>S01</v>
      </c>
      <c r="M1544" t="str">
        <f>_xlfn.XLOOKUP(D1544,[2]!Table1[Machine_ID],[2]!Table1[Machine_ID])</f>
        <v>M003</v>
      </c>
      <c r="N1544" t="str">
        <f>_xlfn.XLOOKUP(E1544,[3]Sheet1!$A$2:$A$391,[3]Sheet1!$A$2:$A$391)</f>
        <v>PO10104</v>
      </c>
    </row>
    <row r="1545" spans="1:14" x14ac:dyDescent="0.2">
      <c r="A1545" t="s">
        <v>1554</v>
      </c>
      <c r="B1545" s="2">
        <v>46283</v>
      </c>
      <c r="C1545" t="s">
        <v>2940</v>
      </c>
      <c r="D1545" t="s">
        <v>2944</v>
      </c>
      <c r="E1545" t="s">
        <v>3054</v>
      </c>
      <c r="F1545" s="3">
        <v>46283.445762934803</v>
      </c>
      <c r="G1545" s="3">
        <v>46283.447599174528</v>
      </c>
      <c r="H1545">
        <v>2.64</v>
      </c>
      <c r="I1545" t="s">
        <v>3150</v>
      </c>
      <c r="J1545" t="s">
        <v>3159</v>
      </c>
      <c r="K1545" t="s">
        <v>3179</v>
      </c>
      <c r="L1545" t="str">
        <f>_xlfn.XLOOKUP(C1545,[1]!Table1[Shift_ID],[1]!Table1[Shift_ID])</f>
        <v>S01</v>
      </c>
      <c r="M1545" t="str">
        <f>_xlfn.XLOOKUP(D1545,[2]!Table1[Machine_ID],[2]!Table1[Machine_ID])</f>
        <v>M003</v>
      </c>
      <c r="N1545" t="str">
        <f>_xlfn.XLOOKUP(E1545,[3]Sheet1!$A$2:$A$391,[3]Sheet1!$A$2:$A$391)</f>
        <v>PO10104</v>
      </c>
    </row>
    <row r="1546" spans="1:14" x14ac:dyDescent="0.2">
      <c r="A1546" t="s">
        <v>1555</v>
      </c>
      <c r="B1546" s="2">
        <v>46283</v>
      </c>
      <c r="C1546" t="s">
        <v>2940</v>
      </c>
      <c r="D1546" t="s">
        <v>2944</v>
      </c>
      <c r="E1546" t="s">
        <v>3054</v>
      </c>
      <c r="F1546" s="3">
        <v>46283.506855348322</v>
      </c>
      <c r="G1546" s="3">
        <v>46283.508263848416</v>
      </c>
      <c r="H1546">
        <v>2.0299999999999998</v>
      </c>
      <c r="I1546" t="s">
        <v>3151</v>
      </c>
      <c r="J1546" t="s">
        <v>3170</v>
      </c>
      <c r="K1546" t="s">
        <v>3181</v>
      </c>
      <c r="L1546" t="str">
        <f>_xlfn.XLOOKUP(C1546,[1]!Table1[Shift_ID],[1]!Table1[Shift_ID])</f>
        <v>S01</v>
      </c>
      <c r="M1546" t="str">
        <f>_xlfn.XLOOKUP(D1546,[2]!Table1[Machine_ID],[2]!Table1[Machine_ID])</f>
        <v>M003</v>
      </c>
      <c r="N1546" t="str">
        <f>_xlfn.XLOOKUP(E1546,[3]Sheet1!$A$2:$A$391,[3]Sheet1!$A$2:$A$391)</f>
        <v>PO10104</v>
      </c>
    </row>
    <row r="1547" spans="1:14" x14ac:dyDescent="0.2">
      <c r="A1547" t="s">
        <v>1556</v>
      </c>
      <c r="B1547" s="2">
        <v>46283</v>
      </c>
      <c r="C1547" t="s">
        <v>2940</v>
      </c>
      <c r="D1547" t="s">
        <v>2944</v>
      </c>
      <c r="E1547" t="s">
        <v>3054</v>
      </c>
      <c r="F1547" s="3">
        <v>46283.531859225077</v>
      </c>
      <c r="G1547" s="3">
        <v>46283.533267725172</v>
      </c>
      <c r="H1547">
        <v>2.0299999999999998</v>
      </c>
      <c r="I1547" t="s">
        <v>3147</v>
      </c>
      <c r="J1547" t="s">
        <v>3153</v>
      </c>
      <c r="K1547" t="s">
        <v>3185</v>
      </c>
      <c r="L1547" t="str">
        <f>_xlfn.XLOOKUP(C1547,[1]!Table1[Shift_ID],[1]!Table1[Shift_ID])</f>
        <v>S01</v>
      </c>
      <c r="M1547" t="str">
        <f>_xlfn.XLOOKUP(D1547,[2]!Table1[Machine_ID],[2]!Table1[Machine_ID])</f>
        <v>M003</v>
      </c>
      <c r="N1547" t="str">
        <f>_xlfn.XLOOKUP(E1547,[3]Sheet1!$A$2:$A$391,[3]Sheet1!$A$2:$A$391)</f>
        <v>PO10104</v>
      </c>
    </row>
    <row r="1548" spans="1:14" x14ac:dyDescent="0.2">
      <c r="A1548" t="s">
        <v>1557</v>
      </c>
      <c r="B1548" s="2">
        <v>46283</v>
      </c>
      <c r="C1548" t="s">
        <v>2940</v>
      </c>
      <c r="D1548" t="s">
        <v>2945</v>
      </c>
      <c r="E1548" t="s">
        <v>3054</v>
      </c>
      <c r="F1548" s="3">
        <v>46283.407563257118</v>
      </c>
      <c r="G1548" s="3">
        <v>46283.41625082853</v>
      </c>
      <c r="H1548">
        <v>12.51</v>
      </c>
      <c r="I1548" t="s">
        <v>3149</v>
      </c>
      <c r="J1548" t="s">
        <v>3158</v>
      </c>
      <c r="K1548" t="s">
        <v>3176</v>
      </c>
      <c r="L1548" t="str">
        <f>_xlfn.XLOOKUP(C1548,[1]!Table1[Shift_ID],[1]!Table1[Shift_ID])</f>
        <v>S01</v>
      </c>
      <c r="M1548" t="str">
        <f>_xlfn.XLOOKUP(D1548,[2]!Table1[Machine_ID],[2]!Table1[Machine_ID])</f>
        <v>M004</v>
      </c>
      <c r="N1548" t="str">
        <f>_xlfn.XLOOKUP(E1548,[3]Sheet1!$A$2:$A$391,[3]Sheet1!$A$2:$A$391)</f>
        <v>PO10104</v>
      </c>
    </row>
    <row r="1549" spans="1:14" x14ac:dyDescent="0.2">
      <c r="A1549" t="s">
        <v>1558</v>
      </c>
      <c r="B1549" s="2">
        <v>46283</v>
      </c>
      <c r="C1549" t="s">
        <v>2940</v>
      </c>
      <c r="D1549" t="s">
        <v>2946</v>
      </c>
      <c r="E1549" t="s">
        <v>3054</v>
      </c>
      <c r="F1549" s="3">
        <v>46283.258923487178</v>
      </c>
      <c r="G1549" s="3">
        <v>46283.260856544228</v>
      </c>
      <c r="H1549">
        <v>2.78</v>
      </c>
      <c r="I1549" t="s">
        <v>3147</v>
      </c>
      <c r="J1549" t="s">
        <v>3153</v>
      </c>
      <c r="K1549" t="s">
        <v>3185</v>
      </c>
      <c r="L1549" t="str">
        <f>_xlfn.XLOOKUP(C1549,[1]!Table1[Shift_ID],[1]!Table1[Shift_ID])</f>
        <v>S01</v>
      </c>
      <c r="M1549" t="str">
        <f>_xlfn.XLOOKUP(D1549,[2]!Table1[Machine_ID],[2]!Table1[Machine_ID])</f>
        <v>M005</v>
      </c>
      <c r="N1549" t="str">
        <f>_xlfn.XLOOKUP(E1549,[3]Sheet1!$A$2:$A$391,[3]Sheet1!$A$2:$A$391)</f>
        <v>PO10104</v>
      </c>
    </row>
    <row r="1550" spans="1:14" x14ac:dyDescent="0.2">
      <c r="A1550" t="s">
        <v>1559</v>
      </c>
      <c r="B1550" s="2">
        <v>46283</v>
      </c>
      <c r="C1550" t="s">
        <v>2940</v>
      </c>
      <c r="D1550" t="s">
        <v>2946</v>
      </c>
      <c r="E1550" t="s">
        <v>3054</v>
      </c>
      <c r="F1550" s="3">
        <v>46283.409160063158</v>
      </c>
      <c r="G1550" s="3">
        <v>46283.417023073947</v>
      </c>
      <c r="H1550">
        <v>11.32</v>
      </c>
      <c r="I1550" t="s">
        <v>3151</v>
      </c>
      <c r="J1550" t="s">
        <v>3169</v>
      </c>
      <c r="K1550" t="s">
        <v>3188</v>
      </c>
      <c r="L1550" t="str">
        <f>_xlfn.XLOOKUP(C1550,[1]!Table1[Shift_ID],[1]!Table1[Shift_ID])</f>
        <v>S01</v>
      </c>
      <c r="M1550" t="str">
        <f>_xlfn.XLOOKUP(D1550,[2]!Table1[Machine_ID],[2]!Table1[Machine_ID])</f>
        <v>M005</v>
      </c>
      <c r="N1550" t="str">
        <f>_xlfn.XLOOKUP(E1550,[3]Sheet1!$A$2:$A$391,[3]Sheet1!$A$2:$A$391)</f>
        <v>PO10104</v>
      </c>
    </row>
    <row r="1551" spans="1:14" x14ac:dyDescent="0.2">
      <c r="A1551" t="s">
        <v>1560</v>
      </c>
      <c r="B1551" s="2">
        <v>46283</v>
      </c>
      <c r="C1551" t="s">
        <v>2940</v>
      </c>
      <c r="D1551" t="s">
        <v>2947</v>
      </c>
      <c r="E1551" t="s">
        <v>3054</v>
      </c>
      <c r="F1551" s="3">
        <v>46283.413343601424</v>
      </c>
      <c r="G1551" s="3">
        <v>46283.417148849578</v>
      </c>
      <c r="H1551">
        <v>5.48</v>
      </c>
      <c r="I1551" t="s">
        <v>3151</v>
      </c>
      <c r="J1551" t="s">
        <v>3161</v>
      </c>
      <c r="K1551" t="s">
        <v>3181</v>
      </c>
      <c r="L1551" t="str">
        <f>_xlfn.XLOOKUP(C1551,[1]!Table1[Shift_ID],[1]!Table1[Shift_ID])</f>
        <v>S01</v>
      </c>
      <c r="M1551" t="str">
        <f>_xlfn.XLOOKUP(D1551,[2]!Table1[Machine_ID],[2]!Table1[Machine_ID])</f>
        <v>M006</v>
      </c>
      <c r="N1551" t="str">
        <f>_xlfn.XLOOKUP(E1551,[3]Sheet1!$A$2:$A$391,[3]Sheet1!$A$2:$A$391)</f>
        <v>PO10104</v>
      </c>
    </row>
    <row r="1552" spans="1:14" x14ac:dyDescent="0.2">
      <c r="A1552" t="s">
        <v>1561</v>
      </c>
      <c r="B1552" s="2">
        <v>46283</v>
      </c>
      <c r="C1552" t="s">
        <v>2940</v>
      </c>
      <c r="D1552" t="s">
        <v>2947</v>
      </c>
      <c r="E1552" t="s">
        <v>3054</v>
      </c>
      <c r="F1552" s="3">
        <v>46283.52317690308</v>
      </c>
      <c r="G1552" s="3">
        <v>46283.54471356127</v>
      </c>
      <c r="H1552">
        <v>31.01</v>
      </c>
      <c r="I1552" t="s">
        <v>3150</v>
      </c>
      <c r="J1552" t="s">
        <v>3163</v>
      </c>
      <c r="K1552" t="s">
        <v>3177</v>
      </c>
      <c r="L1552" t="str">
        <f>_xlfn.XLOOKUP(C1552,[1]!Table1[Shift_ID],[1]!Table1[Shift_ID])</f>
        <v>S01</v>
      </c>
      <c r="M1552" t="str">
        <f>_xlfn.XLOOKUP(D1552,[2]!Table1[Machine_ID],[2]!Table1[Machine_ID])</f>
        <v>M006</v>
      </c>
      <c r="N1552" t="str">
        <f>_xlfn.XLOOKUP(E1552,[3]Sheet1!$A$2:$A$391,[3]Sheet1!$A$2:$A$391)</f>
        <v>PO10104</v>
      </c>
    </row>
    <row r="1553" spans="1:14" x14ac:dyDescent="0.2">
      <c r="A1553" t="s">
        <v>1562</v>
      </c>
      <c r="B1553" s="2">
        <v>46283</v>
      </c>
      <c r="C1553" t="s">
        <v>2940</v>
      </c>
      <c r="D1553" t="s">
        <v>2948</v>
      </c>
      <c r="E1553" t="s">
        <v>3054</v>
      </c>
      <c r="F1553" s="3">
        <v>46283.40136592638</v>
      </c>
      <c r="G1553" s="3">
        <v>46283.41536904058</v>
      </c>
      <c r="H1553">
        <v>20.16</v>
      </c>
      <c r="I1553" t="s">
        <v>3146</v>
      </c>
      <c r="J1553" t="s">
        <v>3152</v>
      </c>
      <c r="K1553" t="s">
        <v>3175</v>
      </c>
      <c r="L1553" t="str">
        <f>_xlfn.XLOOKUP(C1553,[1]!Table1[Shift_ID],[1]!Table1[Shift_ID])</f>
        <v>S01</v>
      </c>
      <c r="M1553" t="str">
        <f>_xlfn.XLOOKUP(D1553,[2]!Table1[Machine_ID],[2]!Table1[Machine_ID])</f>
        <v>M007</v>
      </c>
      <c r="N1553" t="str">
        <f>_xlfn.XLOOKUP(E1553,[3]Sheet1!$A$2:$A$391,[3]Sheet1!$A$2:$A$391)</f>
        <v>PO10104</v>
      </c>
    </row>
    <row r="1554" spans="1:14" x14ac:dyDescent="0.2">
      <c r="A1554" t="s">
        <v>1563</v>
      </c>
      <c r="B1554" s="2">
        <v>46283</v>
      </c>
      <c r="C1554" t="s">
        <v>2940</v>
      </c>
      <c r="D1554" t="s">
        <v>2948</v>
      </c>
      <c r="E1554" t="s">
        <v>3054</v>
      </c>
      <c r="F1554" s="3">
        <v>46283.499418101317</v>
      </c>
      <c r="G1554" s="3">
        <v>46283.50257732832</v>
      </c>
      <c r="H1554">
        <v>4.55</v>
      </c>
      <c r="I1554" t="s">
        <v>3150</v>
      </c>
      <c r="J1554" t="s">
        <v>3159</v>
      </c>
      <c r="K1554" t="s">
        <v>3177</v>
      </c>
      <c r="L1554" t="str">
        <f>_xlfn.XLOOKUP(C1554,[1]!Table1[Shift_ID],[1]!Table1[Shift_ID])</f>
        <v>S01</v>
      </c>
      <c r="M1554" t="str">
        <f>_xlfn.XLOOKUP(D1554,[2]!Table1[Machine_ID],[2]!Table1[Machine_ID])</f>
        <v>M007</v>
      </c>
      <c r="N1554" t="str">
        <f>_xlfn.XLOOKUP(E1554,[3]Sheet1!$A$2:$A$391,[3]Sheet1!$A$2:$A$391)</f>
        <v>PO10104</v>
      </c>
    </row>
    <row r="1555" spans="1:14" x14ac:dyDescent="0.2">
      <c r="A1555" t="s">
        <v>1564</v>
      </c>
      <c r="B1555" s="2">
        <v>46283</v>
      </c>
      <c r="C1555" t="s">
        <v>2940</v>
      </c>
      <c r="D1555" t="s">
        <v>2949</v>
      </c>
      <c r="E1555" t="s">
        <v>3054</v>
      </c>
      <c r="F1555" s="3">
        <v>46283.412068705649</v>
      </c>
      <c r="G1555" s="3">
        <v>46283.418178541797</v>
      </c>
      <c r="H1555">
        <v>8.8000000000000007</v>
      </c>
      <c r="I1555" t="s">
        <v>3149</v>
      </c>
      <c r="J1555" t="s">
        <v>3168</v>
      </c>
      <c r="K1555" t="s">
        <v>3184</v>
      </c>
      <c r="L1555" t="str">
        <f>_xlfn.XLOOKUP(C1555,[1]!Table1[Shift_ID],[1]!Table1[Shift_ID])</f>
        <v>S01</v>
      </c>
      <c r="M1555" t="str">
        <f>_xlfn.XLOOKUP(D1555,[2]!Table1[Machine_ID],[2]!Table1[Machine_ID])</f>
        <v>M008</v>
      </c>
      <c r="N1555" t="str">
        <f>_xlfn.XLOOKUP(E1555,[3]Sheet1!$A$2:$A$391,[3]Sheet1!$A$2:$A$391)</f>
        <v>PO10104</v>
      </c>
    </row>
    <row r="1556" spans="1:14" x14ac:dyDescent="0.2">
      <c r="A1556" t="s">
        <v>1565</v>
      </c>
      <c r="B1556" s="2">
        <v>46283</v>
      </c>
      <c r="C1556" t="s">
        <v>2940</v>
      </c>
      <c r="D1556" t="s">
        <v>2949</v>
      </c>
      <c r="E1556" t="s">
        <v>3054</v>
      </c>
      <c r="F1556" s="3">
        <v>46283.467219289108</v>
      </c>
      <c r="G1556" s="3">
        <v>46283.468861775749</v>
      </c>
      <c r="H1556">
        <v>2.37</v>
      </c>
      <c r="I1556" t="s">
        <v>3150</v>
      </c>
      <c r="J1556" t="s">
        <v>3159</v>
      </c>
      <c r="K1556" t="s">
        <v>3178</v>
      </c>
      <c r="L1556" t="str">
        <f>_xlfn.XLOOKUP(C1556,[1]!Table1[Shift_ID],[1]!Table1[Shift_ID])</f>
        <v>S01</v>
      </c>
      <c r="M1556" t="str">
        <f>_xlfn.XLOOKUP(D1556,[2]!Table1[Machine_ID],[2]!Table1[Machine_ID])</f>
        <v>M008</v>
      </c>
      <c r="N1556" t="str">
        <f>_xlfn.XLOOKUP(E1556,[3]Sheet1!$A$2:$A$391,[3]Sheet1!$A$2:$A$391)</f>
        <v>PO10104</v>
      </c>
    </row>
    <row r="1557" spans="1:14" x14ac:dyDescent="0.2">
      <c r="A1557" t="s">
        <v>1566</v>
      </c>
      <c r="B1557" s="2">
        <v>46283</v>
      </c>
      <c r="C1557" t="s">
        <v>2941</v>
      </c>
      <c r="D1557" t="s">
        <v>2942</v>
      </c>
      <c r="E1557" t="s">
        <v>3055</v>
      </c>
      <c r="F1557" s="3">
        <v>46283.757722648588</v>
      </c>
      <c r="G1557" s="3">
        <v>46283.760041623573</v>
      </c>
      <c r="H1557">
        <v>3.34</v>
      </c>
      <c r="I1557" t="s">
        <v>3151</v>
      </c>
      <c r="J1557" t="s">
        <v>3161</v>
      </c>
      <c r="K1557" t="s">
        <v>3188</v>
      </c>
      <c r="L1557" t="str">
        <f>_xlfn.XLOOKUP(C1557,[1]!Table1[Shift_ID],[1]!Table1[Shift_ID])</f>
        <v>S02</v>
      </c>
      <c r="M1557" t="str">
        <f>_xlfn.XLOOKUP(D1557,[2]!Table1[Machine_ID],[2]!Table1[Machine_ID])</f>
        <v>M001</v>
      </c>
      <c r="N1557" t="str">
        <f>_xlfn.XLOOKUP(E1557,[3]Sheet1!$A$2:$A$391,[3]Sheet1!$A$2:$A$391)</f>
        <v>PO10105</v>
      </c>
    </row>
    <row r="1558" spans="1:14" x14ac:dyDescent="0.2">
      <c r="A1558" t="s">
        <v>1567</v>
      </c>
      <c r="B1558" s="2">
        <v>46283</v>
      </c>
      <c r="C1558" t="s">
        <v>2941</v>
      </c>
      <c r="D1558" t="s">
        <v>2942</v>
      </c>
      <c r="E1558" t="s">
        <v>3055</v>
      </c>
      <c r="F1558" s="3">
        <v>46283.897678691632</v>
      </c>
      <c r="G1558" s="3">
        <v>46283.900458616154</v>
      </c>
      <c r="H1558">
        <v>4</v>
      </c>
      <c r="I1558" t="s">
        <v>3147</v>
      </c>
      <c r="J1558" t="s">
        <v>3154</v>
      </c>
      <c r="K1558" t="s">
        <v>3186</v>
      </c>
      <c r="L1558" t="str">
        <f>_xlfn.XLOOKUP(C1558,[1]!Table1[Shift_ID],[1]!Table1[Shift_ID])</f>
        <v>S02</v>
      </c>
      <c r="M1558" t="str">
        <f>_xlfn.XLOOKUP(D1558,[2]!Table1[Machine_ID],[2]!Table1[Machine_ID])</f>
        <v>M001</v>
      </c>
      <c r="N1558" t="str">
        <f>_xlfn.XLOOKUP(E1558,[3]Sheet1!$A$2:$A$391,[3]Sheet1!$A$2:$A$391)</f>
        <v>PO10105</v>
      </c>
    </row>
    <row r="1559" spans="1:14" x14ac:dyDescent="0.2">
      <c r="A1559" t="s">
        <v>1568</v>
      </c>
      <c r="B1559" s="2">
        <v>46283</v>
      </c>
      <c r="C1559" t="s">
        <v>2941</v>
      </c>
      <c r="D1559" t="s">
        <v>2943</v>
      </c>
      <c r="E1559" t="s">
        <v>3055</v>
      </c>
      <c r="F1559" s="3">
        <v>46283.598813297212</v>
      </c>
      <c r="G1559" s="3">
        <v>46283.601227818457</v>
      </c>
      <c r="H1559">
        <v>3.48</v>
      </c>
      <c r="I1559" t="s">
        <v>3149</v>
      </c>
      <c r="J1559" t="s">
        <v>3168</v>
      </c>
      <c r="K1559" t="s">
        <v>3184</v>
      </c>
      <c r="L1559" t="str">
        <f>_xlfn.XLOOKUP(C1559,[1]!Table1[Shift_ID],[1]!Table1[Shift_ID])</f>
        <v>S02</v>
      </c>
      <c r="M1559" t="str">
        <f>_xlfn.XLOOKUP(D1559,[2]!Table1[Machine_ID],[2]!Table1[Machine_ID])</f>
        <v>M002</v>
      </c>
      <c r="N1559" t="str">
        <f>_xlfn.XLOOKUP(E1559,[3]Sheet1!$A$2:$A$391,[3]Sheet1!$A$2:$A$391)</f>
        <v>PO10105</v>
      </c>
    </row>
    <row r="1560" spans="1:14" x14ac:dyDescent="0.2">
      <c r="A1560" t="s">
        <v>1569</v>
      </c>
      <c r="B1560" s="2">
        <v>46283</v>
      </c>
      <c r="C1560" t="s">
        <v>2941</v>
      </c>
      <c r="D1560" t="s">
        <v>2943</v>
      </c>
      <c r="E1560" t="s">
        <v>3055</v>
      </c>
      <c r="F1560" s="3">
        <v>46283.814070331238</v>
      </c>
      <c r="G1560" s="3">
        <v>46283.819160460982</v>
      </c>
      <c r="H1560">
        <v>7.33</v>
      </c>
      <c r="I1560" t="s">
        <v>3147</v>
      </c>
      <c r="J1560" t="s">
        <v>3167</v>
      </c>
      <c r="K1560" t="s">
        <v>3185</v>
      </c>
      <c r="L1560" t="str">
        <f>_xlfn.XLOOKUP(C1560,[1]!Table1[Shift_ID],[1]!Table1[Shift_ID])</f>
        <v>S02</v>
      </c>
      <c r="M1560" t="str">
        <f>_xlfn.XLOOKUP(D1560,[2]!Table1[Machine_ID],[2]!Table1[Machine_ID])</f>
        <v>M002</v>
      </c>
      <c r="N1560" t="str">
        <f>_xlfn.XLOOKUP(E1560,[3]Sheet1!$A$2:$A$391,[3]Sheet1!$A$2:$A$391)</f>
        <v>PO10105</v>
      </c>
    </row>
    <row r="1561" spans="1:14" x14ac:dyDescent="0.2">
      <c r="A1561" t="s">
        <v>1570</v>
      </c>
      <c r="B1561" s="2">
        <v>46283</v>
      </c>
      <c r="C1561" t="s">
        <v>2941</v>
      </c>
      <c r="D1561" t="s">
        <v>2944</v>
      </c>
      <c r="E1561" t="s">
        <v>3055</v>
      </c>
      <c r="F1561" s="3">
        <v>46283.632614053939</v>
      </c>
      <c r="G1561" s="3">
        <v>46283.635980291467</v>
      </c>
      <c r="H1561">
        <v>4.8499999999999996</v>
      </c>
      <c r="I1561" t="s">
        <v>3148</v>
      </c>
      <c r="J1561" t="s">
        <v>3155</v>
      </c>
      <c r="K1561" t="s">
        <v>3180</v>
      </c>
      <c r="L1561" t="str">
        <f>_xlfn.XLOOKUP(C1561,[1]!Table1[Shift_ID],[1]!Table1[Shift_ID])</f>
        <v>S02</v>
      </c>
      <c r="M1561" t="str">
        <f>_xlfn.XLOOKUP(D1561,[2]!Table1[Machine_ID],[2]!Table1[Machine_ID])</f>
        <v>M003</v>
      </c>
      <c r="N1561" t="str">
        <f>_xlfn.XLOOKUP(E1561,[3]Sheet1!$A$2:$A$391,[3]Sheet1!$A$2:$A$391)</f>
        <v>PO10105</v>
      </c>
    </row>
    <row r="1562" spans="1:14" x14ac:dyDescent="0.2">
      <c r="A1562" t="s">
        <v>1571</v>
      </c>
      <c r="B1562" s="2">
        <v>46283</v>
      </c>
      <c r="C1562" t="s">
        <v>2941</v>
      </c>
      <c r="D1562" t="s">
        <v>2944</v>
      </c>
      <c r="E1562" t="s">
        <v>3055</v>
      </c>
      <c r="F1562" s="3">
        <v>46283.897852485403</v>
      </c>
      <c r="G1562" s="3">
        <v>46283.904043685303</v>
      </c>
      <c r="H1562">
        <v>8.92</v>
      </c>
      <c r="I1562" t="s">
        <v>3146</v>
      </c>
      <c r="J1562" t="s">
        <v>3156</v>
      </c>
      <c r="K1562" t="s">
        <v>3175</v>
      </c>
      <c r="L1562" t="str">
        <f>_xlfn.XLOOKUP(C1562,[1]!Table1[Shift_ID],[1]!Table1[Shift_ID])</f>
        <v>S02</v>
      </c>
      <c r="M1562" t="str">
        <f>_xlfn.XLOOKUP(D1562,[2]!Table1[Machine_ID],[2]!Table1[Machine_ID])</f>
        <v>M003</v>
      </c>
      <c r="N1562" t="str">
        <f>_xlfn.XLOOKUP(E1562,[3]Sheet1!$A$2:$A$391,[3]Sheet1!$A$2:$A$391)</f>
        <v>PO10105</v>
      </c>
    </row>
    <row r="1563" spans="1:14" x14ac:dyDescent="0.2">
      <c r="A1563" t="s">
        <v>1572</v>
      </c>
      <c r="B1563" s="2">
        <v>46283</v>
      </c>
      <c r="C1563" t="s">
        <v>2941</v>
      </c>
      <c r="D1563" t="s">
        <v>2945</v>
      </c>
      <c r="E1563" t="s">
        <v>3055</v>
      </c>
      <c r="F1563" s="3">
        <v>46283.68581615197</v>
      </c>
      <c r="G1563" s="3">
        <v>46283.693414906636</v>
      </c>
      <c r="H1563">
        <v>10.94</v>
      </c>
      <c r="I1563" t="s">
        <v>3149</v>
      </c>
      <c r="J1563" t="s">
        <v>3158</v>
      </c>
      <c r="K1563" t="s">
        <v>3184</v>
      </c>
      <c r="L1563" t="str">
        <f>_xlfn.XLOOKUP(C1563,[1]!Table1[Shift_ID],[1]!Table1[Shift_ID])</f>
        <v>S02</v>
      </c>
      <c r="M1563" t="str">
        <f>_xlfn.XLOOKUP(D1563,[2]!Table1[Machine_ID],[2]!Table1[Machine_ID])</f>
        <v>M004</v>
      </c>
      <c r="N1563" t="str">
        <f>_xlfn.XLOOKUP(E1563,[3]Sheet1!$A$2:$A$391,[3]Sheet1!$A$2:$A$391)</f>
        <v>PO10105</v>
      </c>
    </row>
    <row r="1564" spans="1:14" x14ac:dyDescent="0.2">
      <c r="A1564" t="s">
        <v>1573</v>
      </c>
      <c r="B1564" s="2">
        <v>46283</v>
      </c>
      <c r="C1564" t="s">
        <v>2941</v>
      </c>
      <c r="D1564" t="s">
        <v>2946</v>
      </c>
      <c r="E1564" t="s">
        <v>3055</v>
      </c>
      <c r="F1564" s="3">
        <v>46283.658012848922</v>
      </c>
      <c r="G1564" s="3">
        <v>46283.659711666332</v>
      </c>
      <c r="H1564">
        <v>2.4500000000000002</v>
      </c>
      <c r="I1564" t="s">
        <v>3149</v>
      </c>
      <c r="J1564" t="s">
        <v>3162</v>
      </c>
      <c r="K1564" t="s">
        <v>3182</v>
      </c>
      <c r="L1564" t="str">
        <f>_xlfn.XLOOKUP(C1564,[1]!Table1[Shift_ID],[1]!Table1[Shift_ID])</f>
        <v>S02</v>
      </c>
      <c r="M1564" t="str">
        <f>_xlfn.XLOOKUP(D1564,[2]!Table1[Machine_ID],[2]!Table1[Machine_ID])</f>
        <v>M005</v>
      </c>
      <c r="N1564" t="str">
        <f>_xlfn.XLOOKUP(E1564,[3]Sheet1!$A$2:$A$391,[3]Sheet1!$A$2:$A$391)</f>
        <v>PO10105</v>
      </c>
    </row>
    <row r="1565" spans="1:14" x14ac:dyDescent="0.2">
      <c r="A1565" t="s">
        <v>1574</v>
      </c>
      <c r="B1565" s="2">
        <v>46283</v>
      </c>
      <c r="C1565" t="s">
        <v>2941</v>
      </c>
      <c r="D1565" t="s">
        <v>2946</v>
      </c>
      <c r="E1565" t="s">
        <v>3055</v>
      </c>
      <c r="F1565" s="3">
        <v>46283.762817961258</v>
      </c>
      <c r="G1565" s="3">
        <v>46283.76521811101</v>
      </c>
      <c r="H1565">
        <v>3.46</v>
      </c>
      <c r="I1565" t="s">
        <v>3150</v>
      </c>
      <c r="J1565" t="s">
        <v>3163</v>
      </c>
      <c r="K1565" t="s">
        <v>3178</v>
      </c>
      <c r="L1565" t="str">
        <f>_xlfn.XLOOKUP(C1565,[1]!Table1[Shift_ID],[1]!Table1[Shift_ID])</f>
        <v>S02</v>
      </c>
      <c r="M1565" t="str">
        <f>_xlfn.XLOOKUP(D1565,[2]!Table1[Machine_ID],[2]!Table1[Machine_ID])</f>
        <v>M005</v>
      </c>
      <c r="N1565" t="str">
        <f>_xlfn.XLOOKUP(E1565,[3]Sheet1!$A$2:$A$391,[3]Sheet1!$A$2:$A$391)</f>
        <v>PO10105</v>
      </c>
    </row>
    <row r="1566" spans="1:14" x14ac:dyDescent="0.2">
      <c r="A1566" t="s">
        <v>1575</v>
      </c>
      <c r="B1566" s="2">
        <v>46283</v>
      </c>
      <c r="C1566" t="s">
        <v>2941</v>
      </c>
      <c r="D1566" t="s">
        <v>2946</v>
      </c>
      <c r="E1566" t="s">
        <v>3055</v>
      </c>
      <c r="F1566" s="3">
        <v>46283.799303049789</v>
      </c>
      <c r="G1566" s="3">
        <v>46283.802991865443</v>
      </c>
      <c r="H1566">
        <v>5.31</v>
      </c>
      <c r="I1566" t="s">
        <v>3151</v>
      </c>
      <c r="J1566" t="s">
        <v>3169</v>
      </c>
      <c r="K1566" t="s">
        <v>3181</v>
      </c>
      <c r="L1566" t="str">
        <f>_xlfn.XLOOKUP(C1566,[1]!Table1[Shift_ID],[1]!Table1[Shift_ID])</f>
        <v>S02</v>
      </c>
      <c r="M1566" t="str">
        <f>_xlfn.XLOOKUP(D1566,[2]!Table1[Machine_ID],[2]!Table1[Machine_ID])</f>
        <v>M005</v>
      </c>
      <c r="N1566" t="str">
        <f>_xlfn.XLOOKUP(E1566,[3]Sheet1!$A$2:$A$391,[3]Sheet1!$A$2:$A$391)</f>
        <v>PO10105</v>
      </c>
    </row>
    <row r="1567" spans="1:14" x14ac:dyDescent="0.2">
      <c r="A1567" t="s">
        <v>1576</v>
      </c>
      <c r="B1567" s="2">
        <v>46283</v>
      </c>
      <c r="C1567" t="s">
        <v>2941</v>
      </c>
      <c r="D1567" t="s">
        <v>2947</v>
      </c>
      <c r="E1567" t="s">
        <v>3055</v>
      </c>
      <c r="F1567" s="3">
        <v>46283.619171444872</v>
      </c>
      <c r="G1567" s="3">
        <v>46283.622864772908</v>
      </c>
      <c r="H1567">
        <v>5.32</v>
      </c>
      <c r="I1567" t="s">
        <v>3149</v>
      </c>
      <c r="J1567" t="s">
        <v>3162</v>
      </c>
      <c r="K1567" t="s">
        <v>3176</v>
      </c>
      <c r="L1567" t="str">
        <f>_xlfn.XLOOKUP(C1567,[1]!Table1[Shift_ID],[1]!Table1[Shift_ID])</f>
        <v>S02</v>
      </c>
      <c r="M1567" t="str">
        <f>_xlfn.XLOOKUP(D1567,[2]!Table1[Machine_ID],[2]!Table1[Machine_ID])</f>
        <v>M006</v>
      </c>
      <c r="N1567" t="str">
        <f>_xlfn.XLOOKUP(E1567,[3]Sheet1!$A$2:$A$391,[3]Sheet1!$A$2:$A$391)</f>
        <v>PO10105</v>
      </c>
    </row>
    <row r="1568" spans="1:14" x14ac:dyDescent="0.2">
      <c r="A1568" t="s">
        <v>1577</v>
      </c>
      <c r="B1568" s="2">
        <v>46283</v>
      </c>
      <c r="C1568" t="s">
        <v>2941</v>
      </c>
      <c r="D1568" t="s">
        <v>2947</v>
      </c>
      <c r="E1568" t="s">
        <v>3055</v>
      </c>
      <c r="F1568" s="3">
        <v>46283.669394668577</v>
      </c>
      <c r="G1568" s="3">
        <v>46283.676593461183</v>
      </c>
      <c r="H1568">
        <v>10.37</v>
      </c>
      <c r="I1568" t="s">
        <v>3147</v>
      </c>
      <c r="J1568" t="s">
        <v>3167</v>
      </c>
      <c r="K1568" t="s">
        <v>3185</v>
      </c>
      <c r="L1568" t="str">
        <f>_xlfn.XLOOKUP(C1568,[1]!Table1[Shift_ID],[1]!Table1[Shift_ID])</f>
        <v>S02</v>
      </c>
      <c r="M1568" t="str">
        <f>_xlfn.XLOOKUP(D1568,[2]!Table1[Machine_ID],[2]!Table1[Machine_ID])</f>
        <v>M006</v>
      </c>
      <c r="N1568" t="str">
        <f>_xlfn.XLOOKUP(E1568,[3]Sheet1!$A$2:$A$391,[3]Sheet1!$A$2:$A$391)</f>
        <v>PO10105</v>
      </c>
    </row>
    <row r="1569" spans="1:14" x14ac:dyDescent="0.2">
      <c r="A1569" t="s">
        <v>1578</v>
      </c>
      <c r="B1569" s="2">
        <v>46283</v>
      </c>
      <c r="C1569" t="s">
        <v>2941</v>
      </c>
      <c r="D1569" t="s">
        <v>2947</v>
      </c>
      <c r="E1569" t="s">
        <v>3055</v>
      </c>
      <c r="F1569" s="3">
        <v>46283.679216874567</v>
      </c>
      <c r="G1569" s="3">
        <v>46283.684580261768</v>
      </c>
      <c r="H1569">
        <v>7.72</v>
      </c>
      <c r="I1569" t="s">
        <v>3150</v>
      </c>
      <c r="J1569" t="s">
        <v>3163</v>
      </c>
      <c r="K1569" t="s">
        <v>3179</v>
      </c>
      <c r="L1569" t="str">
        <f>_xlfn.XLOOKUP(C1569,[1]!Table1[Shift_ID],[1]!Table1[Shift_ID])</f>
        <v>S02</v>
      </c>
      <c r="M1569" t="str">
        <f>_xlfn.XLOOKUP(D1569,[2]!Table1[Machine_ID],[2]!Table1[Machine_ID])</f>
        <v>M006</v>
      </c>
      <c r="N1569" t="str">
        <f>_xlfn.XLOOKUP(E1569,[3]Sheet1!$A$2:$A$391,[3]Sheet1!$A$2:$A$391)</f>
        <v>PO10105</v>
      </c>
    </row>
    <row r="1570" spans="1:14" x14ac:dyDescent="0.2">
      <c r="A1570" t="s">
        <v>1579</v>
      </c>
      <c r="B1570" s="2">
        <v>46283</v>
      </c>
      <c r="C1570" t="s">
        <v>2941</v>
      </c>
      <c r="D1570" t="s">
        <v>2947</v>
      </c>
      <c r="E1570" t="s">
        <v>3055</v>
      </c>
      <c r="F1570" s="3">
        <v>46283.720090770257</v>
      </c>
      <c r="G1570" s="3">
        <v>46283.722074517049</v>
      </c>
      <c r="H1570">
        <v>2.86</v>
      </c>
      <c r="I1570" t="s">
        <v>3146</v>
      </c>
      <c r="J1570" t="s">
        <v>3152</v>
      </c>
      <c r="K1570" t="s">
        <v>3171</v>
      </c>
      <c r="L1570" t="str">
        <f>_xlfn.XLOOKUP(C1570,[1]!Table1[Shift_ID],[1]!Table1[Shift_ID])</f>
        <v>S02</v>
      </c>
      <c r="M1570" t="str">
        <f>_xlfn.XLOOKUP(D1570,[2]!Table1[Machine_ID],[2]!Table1[Machine_ID])</f>
        <v>M006</v>
      </c>
      <c r="N1570" t="str">
        <f>_xlfn.XLOOKUP(E1570,[3]Sheet1!$A$2:$A$391,[3]Sheet1!$A$2:$A$391)</f>
        <v>PO10105</v>
      </c>
    </row>
    <row r="1571" spans="1:14" x14ac:dyDescent="0.2">
      <c r="A1571" t="s">
        <v>1580</v>
      </c>
      <c r="B1571" s="2">
        <v>46283</v>
      </c>
      <c r="C1571" t="s">
        <v>2941</v>
      </c>
      <c r="D1571" t="s">
        <v>2947</v>
      </c>
      <c r="E1571" t="s">
        <v>3055</v>
      </c>
      <c r="F1571" s="3">
        <v>46283.75827379954</v>
      </c>
      <c r="G1571" s="3">
        <v>46283.76770240016</v>
      </c>
      <c r="H1571">
        <v>13.58</v>
      </c>
      <c r="I1571" t="s">
        <v>3149</v>
      </c>
      <c r="J1571" t="s">
        <v>3168</v>
      </c>
      <c r="K1571" t="s">
        <v>3176</v>
      </c>
      <c r="L1571" t="str">
        <f>_xlfn.XLOOKUP(C1571,[1]!Table1[Shift_ID],[1]!Table1[Shift_ID])</f>
        <v>S02</v>
      </c>
      <c r="M1571" t="str">
        <f>_xlfn.XLOOKUP(D1571,[2]!Table1[Machine_ID],[2]!Table1[Machine_ID])</f>
        <v>M006</v>
      </c>
      <c r="N1571" t="str">
        <f>_xlfn.XLOOKUP(E1571,[3]Sheet1!$A$2:$A$391,[3]Sheet1!$A$2:$A$391)</f>
        <v>PO10105</v>
      </c>
    </row>
    <row r="1572" spans="1:14" x14ac:dyDescent="0.2">
      <c r="A1572" t="s">
        <v>1581</v>
      </c>
      <c r="B1572" s="2">
        <v>46283</v>
      </c>
      <c r="C1572" t="s">
        <v>2941</v>
      </c>
      <c r="D1572" t="s">
        <v>2947</v>
      </c>
      <c r="E1572" t="s">
        <v>3055</v>
      </c>
      <c r="F1572" s="3">
        <v>46283.766251678702</v>
      </c>
      <c r="G1572" s="3">
        <v>46283.770327982988</v>
      </c>
      <c r="H1572">
        <v>5.87</v>
      </c>
      <c r="I1572" t="s">
        <v>3150</v>
      </c>
      <c r="J1572" t="s">
        <v>3159</v>
      </c>
      <c r="K1572" t="s">
        <v>3178</v>
      </c>
      <c r="L1572" t="str">
        <f>_xlfn.XLOOKUP(C1572,[1]!Table1[Shift_ID],[1]!Table1[Shift_ID])</f>
        <v>S02</v>
      </c>
      <c r="M1572" t="str">
        <f>_xlfn.XLOOKUP(D1572,[2]!Table1[Machine_ID],[2]!Table1[Machine_ID])</f>
        <v>M006</v>
      </c>
      <c r="N1572" t="str">
        <f>_xlfn.XLOOKUP(E1572,[3]Sheet1!$A$2:$A$391,[3]Sheet1!$A$2:$A$391)</f>
        <v>PO10105</v>
      </c>
    </row>
    <row r="1573" spans="1:14" x14ac:dyDescent="0.2">
      <c r="A1573" t="s">
        <v>1582</v>
      </c>
      <c r="B1573" s="2">
        <v>46283</v>
      </c>
      <c r="C1573" t="s">
        <v>2941</v>
      </c>
      <c r="D1573" t="s">
        <v>2948</v>
      </c>
      <c r="E1573" t="s">
        <v>3055</v>
      </c>
      <c r="F1573" s="3">
        <v>46283.707192521448</v>
      </c>
      <c r="G1573" s="3">
        <v>46283.717845193889</v>
      </c>
      <c r="H1573">
        <v>15.34</v>
      </c>
      <c r="I1573" t="s">
        <v>3150</v>
      </c>
      <c r="J1573" t="s">
        <v>3160</v>
      </c>
      <c r="K1573" t="s">
        <v>3177</v>
      </c>
      <c r="L1573" t="str">
        <f>_xlfn.XLOOKUP(C1573,[1]!Table1[Shift_ID],[1]!Table1[Shift_ID])</f>
        <v>S02</v>
      </c>
      <c r="M1573" t="str">
        <f>_xlfn.XLOOKUP(D1573,[2]!Table1[Machine_ID],[2]!Table1[Machine_ID])</f>
        <v>M007</v>
      </c>
      <c r="N1573" t="str">
        <f>_xlfn.XLOOKUP(E1573,[3]Sheet1!$A$2:$A$391,[3]Sheet1!$A$2:$A$391)</f>
        <v>PO10105</v>
      </c>
    </row>
    <row r="1574" spans="1:14" x14ac:dyDescent="0.2">
      <c r="A1574" t="s">
        <v>1583</v>
      </c>
      <c r="B1574" s="2">
        <v>46283</v>
      </c>
      <c r="C1574" t="s">
        <v>2941</v>
      </c>
      <c r="D1574" t="s">
        <v>2948</v>
      </c>
      <c r="E1574" t="s">
        <v>3055</v>
      </c>
      <c r="F1574" s="3">
        <v>46283.783699716078</v>
      </c>
      <c r="G1574" s="3">
        <v>46283.788132678739</v>
      </c>
      <c r="H1574">
        <v>6.38</v>
      </c>
      <c r="I1574" t="s">
        <v>3147</v>
      </c>
      <c r="J1574" t="s">
        <v>3153</v>
      </c>
      <c r="K1574" t="s">
        <v>3186</v>
      </c>
      <c r="L1574" t="str">
        <f>_xlfn.XLOOKUP(C1574,[1]!Table1[Shift_ID],[1]!Table1[Shift_ID])</f>
        <v>S02</v>
      </c>
      <c r="M1574" t="str">
        <f>_xlfn.XLOOKUP(D1574,[2]!Table1[Machine_ID],[2]!Table1[Machine_ID])</f>
        <v>M007</v>
      </c>
      <c r="N1574" t="str">
        <f>_xlfn.XLOOKUP(E1574,[3]Sheet1!$A$2:$A$391,[3]Sheet1!$A$2:$A$391)</f>
        <v>PO10105</v>
      </c>
    </row>
    <row r="1575" spans="1:14" x14ac:dyDescent="0.2">
      <c r="A1575" t="s">
        <v>1584</v>
      </c>
      <c r="B1575" s="2">
        <v>46283</v>
      </c>
      <c r="C1575" t="s">
        <v>2941</v>
      </c>
      <c r="D1575" t="s">
        <v>2949</v>
      </c>
      <c r="E1575" t="s">
        <v>3055</v>
      </c>
      <c r="F1575" s="3">
        <v>46283.791678606329</v>
      </c>
      <c r="G1575" s="3">
        <v>46283.797059751021</v>
      </c>
      <c r="H1575">
        <v>7.75</v>
      </c>
      <c r="I1575" t="s">
        <v>3147</v>
      </c>
      <c r="J1575" t="s">
        <v>3154</v>
      </c>
      <c r="K1575" t="s">
        <v>3186</v>
      </c>
      <c r="L1575" t="str">
        <f>_xlfn.XLOOKUP(C1575,[1]!Table1[Shift_ID],[1]!Table1[Shift_ID])</f>
        <v>S02</v>
      </c>
      <c r="M1575" t="str">
        <f>_xlfn.XLOOKUP(D1575,[2]!Table1[Machine_ID],[2]!Table1[Machine_ID])</f>
        <v>M008</v>
      </c>
      <c r="N1575" t="str">
        <f>_xlfn.XLOOKUP(E1575,[3]Sheet1!$A$2:$A$391,[3]Sheet1!$A$2:$A$391)</f>
        <v>PO10105</v>
      </c>
    </row>
    <row r="1576" spans="1:14" x14ac:dyDescent="0.2">
      <c r="A1576" t="s">
        <v>1585</v>
      </c>
      <c r="B1576" s="2">
        <v>46286</v>
      </c>
      <c r="C1576" t="s">
        <v>2939</v>
      </c>
      <c r="D1576" t="s">
        <v>2942</v>
      </c>
      <c r="E1576" t="s">
        <v>3056</v>
      </c>
      <c r="F1576" s="3">
        <v>46287.193822440087</v>
      </c>
      <c r="G1576" s="3">
        <v>46287.195458872462</v>
      </c>
      <c r="H1576">
        <v>2.36</v>
      </c>
      <c r="I1576" t="s">
        <v>3146</v>
      </c>
      <c r="J1576" t="s">
        <v>3157</v>
      </c>
      <c r="K1576" t="s">
        <v>3175</v>
      </c>
      <c r="L1576" t="str">
        <f>_xlfn.XLOOKUP(C1576,[1]!Table1[Shift_ID],[1]!Table1[Shift_ID])</f>
        <v>S03</v>
      </c>
      <c r="M1576" t="str">
        <f>_xlfn.XLOOKUP(D1576,[2]!Table1[Machine_ID],[2]!Table1[Machine_ID])</f>
        <v>M001</v>
      </c>
      <c r="N1576" t="str">
        <f>_xlfn.XLOOKUP(E1576,[3]Sheet1!$A$2:$A$391,[3]Sheet1!$A$2:$A$391)</f>
        <v>PO10106</v>
      </c>
    </row>
    <row r="1577" spans="1:14" x14ac:dyDescent="0.2">
      <c r="A1577" t="s">
        <v>1586</v>
      </c>
      <c r="B1577" s="2">
        <v>46286</v>
      </c>
      <c r="C1577" t="s">
        <v>2939</v>
      </c>
      <c r="D1577" t="s">
        <v>2942</v>
      </c>
      <c r="E1577" t="s">
        <v>3056</v>
      </c>
      <c r="F1577" s="3">
        <v>46287.211515267278</v>
      </c>
      <c r="G1577" s="3">
        <v>46287.216961996492</v>
      </c>
      <c r="H1577">
        <v>7.84</v>
      </c>
      <c r="I1577" t="s">
        <v>3149</v>
      </c>
      <c r="J1577" t="s">
        <v>3158</v>
      </c>
      <c r="K1577" t="s">
        <v>3184</v>
      </c>
      <c r="L1577" t="str">
        <f>_xlfn.XLOOKUP(C1577,[1]!Table1[Shift_ID],[1]!Table1[Shift_ID])</f>
        <v>S03</v>
      </c>
      <c r="M1577" t="str">
        <f>_xlfn.XLOOKUP(D1577,[2]!Table1[Machine_ID],[2]!Table1[Machine_ID])</f>
        <v>M001</v>
      </c>
      <c r="N1577" t="str">
        <f>_xlfn.XLOOKUP(E1577,[3]Sheet1!$A$2:$A$391,[3]Sheet1!$A$2:$A$391)</f>
        <v>PO10106</v>
      </c>
    </row>
    <row r="1578" spans="1:14" x14ac:dyDescent="0.2">
      <c r="A1578" t="s">
        <v>1587</v>
      </c>
      <c r="B1578" s="2">
        <v>46286</v>
      </c>
      <c r="C1578" t="s">
        <v>2939</v>
      </c>
      <c r="D1578" t="s">
        <v>2943</v>
      </c>
      <c r="E1578" t="s">
        <v>3056</v>
      </c>
      <c r="F1578" s="3">
        <v>46286.921484834631</v>
      </c>
      <c r="G1578" s="3">
        <v>46286.930695430638</v>
      </c>
      <c r="H1578">
        <v>13.26</v>
      </c>
      <c r="I1578" t="s">
        <v>3147</v>
      </c>
      <c r="J1578" t="s">
        <v>3154</v>
      </c>
      <c r="K1578" t="s">
        <v>3186</v>
      </c>
      <c r="L1578" t="str">
        <f>_xlfn.XLOOKUP(C1578,[1]!Table1[Shift_ID],[1]!Table1[Shift_ID])</f>
        <v>S03</v>
      </c>
      <c r="M1578" t="str">
        <f>_xlfn.XLOOKUP(D1578,[2]!Table1[Machine_ID],[2]!Table1[Machine_ID])</f>
        <v>M002</v>
      </c>
      <c r="N1578" t="str">
        <f>_xlfn.XLOOKUP(E1578,[3]Sheet1!$A$2:$A$391,[3]Sheet1!$A$2:$A$391)</f>
        <v>PO10106</v>
      </c>
    </row>
    <row r="1579" spans="1:14" x14ac:dyDescent="0.2">
      <c r="A1579" t="s">
        <v>1588</v>
      </c>
      <c r="B1579" s="2">
        <v>46286</v>
      </c>
      <c r="C1579" t="s">
        <v>2939</v>
      </c>
      <c r="D1579" t="s">
        <v>2944</v>
      </c>
      <c r="E1579" t="s">
        <v>3056</v>
      </c>
      <c r="F1579" s="3">
        <v>46287.237541194263</v>
      </c>
      <c r="G1579" s="3">
        <v>46287.246922636506</v>
      </c>
      <c r="H1579">
        <v>13.51</v>
      </c>
      <c r="I1579" t="s">
        <v>3150</v>
      </c>
      <c r="J1579" t="s">
        <v>3160</v>
      </c>
      <c r="K1579" t="s">
        <v>3178</v>
      </c>
      <c r="L1579" t="str">
        <f>_xlfn.XLOOKUP(C1579,[1]!Table1[Shift_ID],[1]!Table1[Shift_ID])</f>
        <v>S03</v>
      </c>
      <c r="M1579" t="str">
        <f>_xlfn.XLOOKUP(D1579,[2]!Table1[Machine_ID],[2]!Table1[Machine_ID])</f>
        <v>M003</v>
      </c>
      <c r="N1579" t="str">
        <f>_xlfn.XLOOKUP(E1579,[3]Sheet1!$A$2:$A$391,[3]Sheet1!$A$2:$A$391)</f>
        <v>PO10106</v>
      </c>
    </row>
    <row r="1580" spans="1:14" x14ac:dyDescent="0.2">
      <c r="A1580" t="s">
        <v>1589</v>
      </c>
      <c r="B1580" s="2">
        <v>46286</v>
      </c>
      <c r="C1580" t="s">
        <v>2939</v>
      </c>
      <c r="D1580" t="s">
        <v>2945</v>
      </c>
      <c r="E1580" t="s">
        <v>3056</v>
      </c>
      <c r="F1580" s="3">
        <v>46286.970184301987</v>
      </c>
      <c r="G1580" s="3">
        <v>46286.975819209598</v>
      </c>
      <c r="H1580">
        <v>8.11</v>
      </c>
      <c r="I1580" t="s">
        <v>3149</v>
      </c>
      <c r="J1580" t="s">
        <v>3168</v>
      </c>
      <c r="K1580" t="s">
        <v>3176</v>
      </c>
      <c r="L1580" t="str">
        <f>_xlfn.XLOOKUP(C1580,[1]!Table1[Shift_ID],[1]!Table1[Shift_ID])</f>
        <v>S03</v>
      </c>
      <c r="M1580" t="str">
        <f>_xlfn.XLOOKUP(D1580,[2]!Table1[Machine_ID],[2]!Table1[Machine_ID])</f>
        <v>M004</v>
      </c>
      <c r="N1580" t="str">
        <f>_xlfn.XLOOKUP(E1580,[3]Sheet1!$A$2:$A$391,[3]Sheet1!$A$2:$A$391)</f>
        <v>PO10106</v>
      </c>
    </row>
    <row r="1581" spans="1:14" x14ac:dyDescent="0.2">
      <c r="A1581" t="s">
        <v>1590</v>
      </c>
      <c r="B1581" s="2">
        <v>46286</v>
      </c>
      <c r="C1581" t="s">
        <v>2939</v>
      </c>
      <c r="D1581" t="s">
        <v>2945</v>
      </c>
      <c r="E1581" t="s">
        <v>3056</v>
      </c>
      <c r="F1581" s="3">
        <v>46287.128978909313</v>
      </c>
      <c r="G1581" s="3">
        <v>46287.13241141531</v>
      </c>
      <c r="H1581">
        <v>4.9400000000000004</v>
      </c>
      <c r="I1581" t="s">
        <v>3151</v>
      </c>
      <c r="J1581" t="s">
        <v>3170</v>
      </c>
      <c r="K1581" t="s">
        <v>3188</v>
      </c>
      <c r="L1581" t="str">
        <f>_xlfn.XLOOKUP(C1581,[1]!Table1[Shift_ID],[1]!Table1[Shift_ID])</f>
        <v>S03</v>
      </c>
      <c r="M1581" t="str">
        <f>_xlfn.XLOOKUP(D1581,[2]!Table1[Machine_ID],[2]!Table1[Machine_ID])</f>
        <v>M004</v>
      </c>
      <c r="N1581" t="str">
        <f>_xlfn.XLOOKUP(E1581,[3]Sheet1!$A$2:$A$391,[3]Sheet1!$A$2:$A$391)</f>
        <v>PO10106</v>
      </c>
    </row>
    <row r="1582" spans="1:14" x14ac:dyDescent="0.2">
      <c r="A1582" t="s">
        <v>1591</v>
      </c>
      <c r="B1582" s="2">
        <v>46286</v>
      </c>
      <c r="C1582" t="s">
        <v>2939</v>
      </c>
      <c r="D1582" t="s">
        <v>2946</v>
      </c>
      <c r="E1582" t="s">
        <v>3056</v>
      </c>
      <c r="F1582" s="3">
        <v>46286.922167400582</v>
      </c>
      <c r="G1582" s="3">
        <v>46286.923517888303</v>
      </c>
      <c r="H1582">
        <v>1.94</v>
      </c>
      <c r="I1582" t="s">
        <v>3149</v>
      </c>
      <c r="J1582" t="s">
        <v>3162</v>
      </c>
      <c r="K1582" t="s">
        <v>3184</v>
      </c>
      <c r="L1582" t="str">
        <f>_xlfn.XLOOKUP(C1582,[1]!Table1[Shift_ID],[1]!Table1[Shift_ID])</f>
        <v>S03</v>
      </c>
      <c r="M1582" t="str">
        <f>_xlfn.XLOOKUP(D1582,[2]!Table1[Machine_ID],[2]!Table1[Machine_ID])</f>
        <v>M005</v>
      </c>
      <c r="N1582" t="str">
        <f>_xlfn.XLOOKUP(E1582,[3]Sheet1!$A$2:$A$391,[3]Sheet1!$A$2:$A$391)</f>
        <v>PO10106</v>
      </c>
    </row>
    <row r="1583" spans="1:14" x14ac:dyDescent="0.2">
      <c r="A1583" t="s">
        <v>1592</v>
      </c>
      <c r="B1583" s="2">
        <v>46286</v>
      </c>
      <c r="C1583" t="s">
        <v>2939</v>
      </c>
      <c r="D1583" t="s">
        <v>2946</v>
      </c>
      <c r="E1583" t="s">
        <v>3056</v>
      </c>
      <c r="F1583" s="3">
        <v>46287.083057280797</v>
      </c>
      <c r="G1583" s="3">
        <v>46287.084407768518</v>
      </c>
      <c r="H1583">
        <v>1.94</v>
      </c>
      <c r="I1583" t="s">
        <v>3150</v>
      </c>
      <c r="J1583" t="s">
        <v>3159</v>
      </c>
      <c r="K1583" t="s">
        <v>3177</v>
      </c>
      <c r="L1583" t="str">
        <f>_xlfn.XLOOKUP(C1583,[1]!Table1[Shift_ID],[1]!Table1[Shift_ID])</f>
        <v>S03</v>
      </c>
      <c r="M1583" t="str">
        <f>_xlfn.XLOOKUP(D1583,[2]!Table1[Machine_ID],[2]!Table1[Machine_ID])</f>
        <v>M005</v>
      </c>
      <c r="N1583" t="str">
        <f>_xlfn.XLOOKUP(E1583,[3]Sheet1!$A$2:$A$391,[3]Sheet1!$A$2:$A$391)</f>
        <v>PO10106</v>
      </c>
    </row>
    <row r="1584" spans="1:14" x14ac:dyDescent="0.2">
      <c r="A1584" t="s">
        <v>1593</v>
      </c>
      <c r="B1584" s="2">
        <v>46286</v>
      </c>
      <c r="C1584" t="s">
        <v>2939</v>
      </c>
      <c r="D1584" t="s">
        <v>2946</v>
      </c>
      <c r="E1584" t="s">
        <v>3056</v>
      </c>
      <c r="F1584" s="3">
        <v>46287.128348612947</v>
      </c>
      <c r="G1584" s="3">
        <v>46287.131648198767</v>
      </c>
      <c r="H1584">
        <v>4.75</v>
      </c>
      <c r="I1584" t="s">
        <v>3151</v>
      </c>
      <c r="J1584" t="s">
        <v>3161</v>
      </c>
      <c r="K1584" t="s">
        <v>3181</v>
      </c>
      <c r="L1584" t="str">
        <f>_xlfn.XLOOKUP(C1584,[1]!Table1[Shift_ID],[1]!Table1[Shift_ID])</f>
        <v>S03</v>
      </c>
      <c r="M1584" t="str">
        <f>_xlfn.XLOOKUP(D1584,[2]!Table1[Machine_ID],[2]!Table1[Machine_ID])</f>
        <v>M005</v>
      </c>
      <c r="N1584" t="str">
        <f>_xlfn.XLOOKUP(E1584,[3]Sheet1!$A$2:$A$391,[3]Sheet1!$A$2:$A$391)</f>
        <v>PO10106</v>
      </c>
    </row>
    <row r="1585" spans="1:14" x14ac:dyDescent="0.2">
      <c r="A1585" t="s">
        <v>1594</v>
      </c>
      <c r="B1585" s="2">
        <v>46286</v>
      </c>
      <c r="C1585" t="s">
        <v>2939</v>
      </c>
      <c r="D1585" t="s">
        <v>2946</v>
      </c>
      <c r="E1585" t="s">
        <v>3056</v>
      </c>
      <c r="F1585" s="3">
        <v>46287.161893328368</v>
      </c>
      <c r="G1585" s="3">
        <v>46287.163243816089</v>
      </c>
      <c r="H1585">
        <v>1.94</v>
      </c>
      <c r="I1585" t="s">
        <v>3151</v>
      </c>
      <c r="J1585" t="s">
        <v>3161</v>
      </c>
      <c r="K1585" t="s">
        <v>3181</v>
      </c>
      <c r="L1585" t="str">
        <f>_xlfn.XLOOKUP(C1585,[1]!Table1[Shift_ID],[1]!Table1[Shift_ID])</f>
        <v>S03</v>
      </c>
      <c r="M1585" t="str">
        <f>_xlfn.XLOOKUP(D1585,[2]!Table1[Machine_ID],[2]!Table1[Machine_ID])</f>
        <v>M005</v>
      </c>
      <c r="N1585" t="str">
        <f>_xlfn.XLOOKUP(E1585,[3]Sheet1!$A$2:$A$391,[3]Sheet1!$A$2:$A$391)</f>
        <v>PO10106</v>
      </c>
    </row>
    <row r="1586" spans="1:14" x14ac:dyDescent="0.2">
      <c r="A1586" t="s">
        <v>1595</v>
      </c>
      <c r="B1586" s="2">
        <v>46286</v>
      </c>
      <c r="C1586" t="s">
        <v>2939</v>
      </c>
      <c r="D1586" t="s">
        <v>2946</v>
      </c>
      <c r="E1586" t="s">
        <v>3056</v>
      </c>
      <c r="F1586" s="3">
        <v>46287.197844327828</v>
      </c>
      <c r="G1586" s="3">
        <v>46287.200130196034</v>
      </c>
      <c r="H1586">
        <v>3.29</v>
      </c>
      <c r="I1586" t="s">
        <v>3149</v>
      </c>
      <c r="J1586" t="s">
        <v>3158</v>
      </c>
      <c r="K1586" t="s">
        <v>3182</v>
      </c>
      <c r="L1586" t="str">
        <f>_xlfn.XLOOKUP(C1586,[1]!Table1[Shift_ID],[1]!Table1[Shift_ID])</f>
        <v>S03</v>
      </c>
      <c r="M1586" t="str">
        <f>_xlfn.XLOOKUP(D1586,[2]!Table1[Machine_ID],[2]!Table1[Machine_ID])</f>
        <v>M005</v>
      </c>
      <c r="N1586" t="str">
        <f>_xlfn.XLOOKUP(E1586,[3]Sheet1!$A$2:$A$391,[3]Sheet1!$A$2:$A$391)</f>
        <v>PO10106</v>
      </c>
    </row>
    <row r="1587" spans="1:14" x14ac:dyDescent="0.2">
      <c r="A1587" t="s">
        <v>1596</v>
      </c>
      <c r="B1587" s="2">
        <v>46286</v>
      </c>
      <c r="C1587" t="s">
        <v>2939</v>
      </c>
      <c r="D1587" t="s">
        <v>2947</v>
      </c>
      <c r="E1587" t="s">
        <v>3056</v>
      </c>
      <c r="F1587" s="3">
        <v>46287.040702118997</v>
      </c>
      <c r="G1587" s="3">
        <v>46287.060410797189</v>
      </c>
      <c r="H1587">
        <v>28.38</v>
      </c>
      <c r="I1587" t="s">
        <v>3149</v>
      </c>
      <c r="J1587" t="s">
        <v>3158</v>
      </c>
      <c r="K1587" t="s">
        <v>3176</v>
      </c>
      <c r="L1587" t="str">
        <f>_xlfn.XLOOKUP(C1587,[1]!Table1[Shift_ID],[1]!Table1[Shift_ID])</f>
        <v>S03</v>
      </c>
      <c r="M1587" t="str">
        <f>_xlfn.XLOOKUP(D1587,[2]!Table1[Machine_ID],[2]!Table1[Machine_ID])</f>
        <v>M006</v>
      </c>
      <c r="N1587" t="str">
        <f>_xlfn.XLOOKUP(E1587,[3]Sheet1!$A$2:$A$391,[3]Sheet1!$A$2:$A$391)</f>
        <v>PO10106</v>
      </c>
    </row>
    <row r="1588" spans="1:14" x14ac:dyDescent="0.2">
      <c r="A1588" t="s">
        <v>1597</v>
      </c>
      <c r="B1588" s="2">
        <v>46286</v>
      </c>
      <c r="C1588" t="s">
        <v>2939</v>
      </c>
      <c r="D1588" t="s">
        <v>2947</v>
      </c>
      <c r="E1588" t="s">
        <v>3056</v>
      </c>
      <c r="F1588" s="3">
        <v>46287.066042320483</v>
      </c>
      <c r="G1588" s="3">
        <v>46287.075711735139</v>
      </c>
      <c r="H1588">
        <v>13.92</v>
      </c>
      <c r="I1588" t="s">
        <v>3148</v>
      </c>
      <c r="J1588" t="s">
        <v>3165</v>
      </c>
      <c r="K1588" t="s">
        <v>3173</v>
      </c>
      <c r="L1588" t="str">
        <f>_xlfn.XLOOKUP(C1588,[1]!Table1[Shift_ID],[1]!Table1[Shift_ID])</f>
        <v>S03</v>
      </c>
      <c r="M1588" t="str">
        <f>_xlfn.XLOOKUP(D1588,[2]!Table1[Machine_ID],[2]!Table1[Machine_ID])</f>
        <v>M006</v>
      </c>
      <c r="N1588" t="str">
        <f>_xlfn.XLOOKUP(E1588,[3]Sheet1!$A$2:$A$391,[3]Sheet1!$A$2:$A$391)</f>
        <v>PO10106</v>
      </c>
    </row>
    <row r="1589" spans="1:14" x14ac:dyDescent="0.2">
      <c r="A1589" t="s">
        <v>1598</v>
      </c>
      <c r="B1589" s="2">
        <v>46286</v>
      </c>
      <c r="C1589" t="s">
        <v>2939</v>
      </c>
      <c r="D1589" t="s">
        <v>2947</v>
      </c>
      <c r="E1589" t="s">
        <v>3056</v>
      </c>
      <c r="F1589" s="3">
        <v>46287.226990375777</v>
      </c>
      <c r="G1589" s="3">
        <v>46287.231501848997</v>
      </c>
      <c r="H1589">
        <v>6.5</v>
      </c>
      <c r="I1589" t="s">
        <v>3150</v>
      </c>
      <c r="J1589" t="s">
        <v>3160</v>
      </c>
      <c r="K1589" t="s">
        <v>3179</v>
      </c>
      <c r="L1589" t="str">
        <f>_xlfn.XLOOKUP(C1589,[1]!Table1[Shift_ID],[1]!Table1[Shift_ID])</f>
        <v>S03</v>
      </c>
      <c r="M1589" t="str">
        <f>_xlfn.XLOOKUP(D1589,[2]!Table1[Machine_ID],[2]!Table1[Machine_ID])</f>
        <v>M006</v>
      </c>
      <c r="N1589" t="str">
        <f>_xlfn.XLOOKUP(E1589,[3]Sheet1!$A$2:$A$391,[3]Sheet1!$A$2:$A$391)</f>
        <v>PO10106</v>
      </c>
    </row>
    <row r="1590" spans="1:14" x14ac:dyDescent="0.2">
      <c r="A1590" t="s">
        <v>1599</v>
      </c>
      <c r="B1590" s="2">
        <v>46286</v>
      </c>
      <c r="C1590" t="s">
        <v>2939</v>
      </c>
      <c r="D1590" t="s">
        <v>2948</v>
      </c>
      <c r="E1590" t="s">
        <v>3056</v>
      </c>
      <c r="F1590" s="3">
        <v>46286.944727430688</v>
      </c>
      <c r="G1590" s="3">
        <v>46286.949957463832</v>
      </c>
      <c r="H1590">
        <v>7.53</v>
      </c>
      <c r="I1590" t="s">
        <v>3147</v>
      </c>
      <c r="J1590" t="s">
        <v>3153</v>
      </c>
      <c r="K1590" t="s">
        <v>3172</v>
      </c>
      <c r="L1590" t="str">
        <f>_xlfn.XLOOKUP(C1590,[1]!Table1[Shift_ID],[1]!Table1[Shift_ID])</f>
        <v>S03</v>
      </c>
      <c r="M1590" t="str">
        <f>_xlfn.XLOOKUP(D1590,[2]!Table1[Machine_ID],[2]!Table1[Machine_ID])</f>
        <v>M007</v>
      </c>
      <c r="N1590" t="str">
        <f>_xlfn.XLOOKUP(E1590,[3]Sheet1!$A$2:$A$391,[3]Sheet1!$A$2:$A$391)</f>
        <v>PO10106</v>
      </c>
    </row>
    <row r="1591" spans="1:14" x14ac:dyDescent="0.2">
      <c r="A1591" t="s">
        <v>1600</v>
      </c>
      <c r="B1591" s="2">
        <v>46286</v>
      </c>
      <c r="C1591" t="s">
        <v>2939</v>
      </c>
      <c r="D1591" t="s">
        <v>2948</v>
      </c>
      <c r="E1591" t="s">
        <v>3056</v>
      </c>
      <c r="F1591" s="3">
        <v>46286.954198358631</v>
      </c>
      <c r="G1591" s="3">
        <v>46286.956794362639</v>
      </c>
      <c r="H1591">
        <v>3.74</v>
      </c>
      <c r="I1591" t="s">
        <v>3150</v>
      </c>
      <c r="J1591" t="s">
        <v>3166</v>
      </c>
      <c r="K1591" t="s">
        <v>3178</v>
      </c>
      <c r="L1591" t="str">
        <f>_xlfn.XLOOKUP(C1591,[1]!Table1[Shift_ID],[1]!Table1[Shift_ID])</f>
        <v>S03</v>
      </c>
      <c r="M1591" t="str">
        <f>_xlfn.XLOOKUP(D1591,[2]!Table1[Machine_ID],[2]!Table1[Machine_ID])</f>
        <v>M007</v>
      </c>
      <c r="N1591" t="str">
        <f>_xlfn.XLOOKUP(E1591,[3]Sheet1!$A$2:$A$391,[3]Sheet1!$A$2:$A$391)</f>
        <v>PO10106</v>
      </c>
    </row>
    <row r="1592" spans="1:14" x14ac:dyDescent="0.2">
      <c r="A1592" t="s">
        <v>1601</v>
      </c>
      <c r="B1592" s="2">
        <v>46286</v>
      </c>
      <c r="C1592" t="s">
        <v>2939</v>
      </c>
      <c r="D1592" t="s">
        <v>2948</v>
      </c>
      <c r="E1592" t="s">
        <v>3056</v>
      </c>
      <c r="F1592" s="3">
        <v>46287.086200280151</v>
      </c>
      <c r="G1592" s="3">
        <v>46287.089770249731</v>
      </c>
      <c r="H1592">
        <v>5.14</v>
      </c>
      <c r="I1592" t="s">
        <v>3147</v>
      </c>
      <c r="J1592" t="s">
        <v>3167</v>
      </c>
      <c r="K1592" t="s">
        <v>3185</v>
      </c>
      <c r="L1592" t="str">
        <f>_xlfn.XLOOKUP(C1592,[1]!Table1[Shift_ID],[1]!Table1[Shift_ID])</f>
        <v>S03</v>
      </c>
      <c r="M1592" t="str">
        <f>_xlfn.XLOOKUP(D1592,[2]!Table1[Machine_ID],[2]!Table1[Machine_ID])</f>
        <v>M007</v>
      </c>
      <c r="N1592" t="str">
        <f>_xlfn.XLOOKUP(E1592,[3]Sheet1!$A$2:$A$391,[3]Sheet1!$A$2:$A$391)</f>
        <v>PO10106</v>
      </c>
    </row>
    <row r="1593" spans="1:14" x14ac:dyDescent="0.2">
      <c r="A1593" t="s">
        <v>1602</v>
      </c>
      <c r="B1593" s="2">
        <v>46286</v>
      </c>
      <c r="C1593" t="s">
        <v>2939</v>
      </c>
      <c r="D1593" t="s">
        <v>2949</v>
      </c>
      <c r="E1593" t="s">
        <v>3056</v>
      </c>
      <c r="F1593" s="3">
        <v>46287.167719588833</v>
      </c>
      <c r="G1593" s="3">
        <v>46287.173733749783</v>
      </c>
      <c r="H1593">
        <v>8.66</v>
      </c>
      <c r="I1593" t="s">
        <v>3150</v>
      </c>
      <c r="J1593" t="s">
        <v>3160</v>
      </c>
      <c r="K1593" t="s">
        <v>3178</v>
      </c>
      <c r="L1593" t="str">
        <f>_xlfn.XLOOKUP(C1593,[1]!Table1[Shift_ID],[1]!Table1[Shift_ID])</f>
        <v>S03</v>
      </c>
      <c r="M1593" t="str">
        <f>_xlfn.XLOOKUP(D1593,[2]!Table1[Machine_ID],[2]!Table1[Machine_ID])</f>
        <v>M008</v>
      </c>
      <c r="N1593" t="str">
        <f>_xlfn.XLOOKUP(E1593,[3]Sheet1!$A$2:$A$391,[3]Sheet1!$A$2:$A$391)</f>
        <v>PO10106</v>
      </c>
    </row>
    <row r="1594" spans="1:14" x14ac:dyDescent="0.2">
      <c r="A1594" t="s">
        <v>1603</v>
      </c>
      <c r="B1594" s="2">
        <v>46286</v>
      </c>
      <c r="C1594" t="s">
        <v>2940</v>
      </c>
      <c r="D1594" t="s">
        <v>2942</v>
      </c>
      <c r="E1594" t="s">
        <v>3057</v>
      </c>
      <c r="F1594" s="3">
        <v>46286.360568987999</v>
      </c>
      <c r="G1594" s="3">
        <v>46286.368229170817</v>
      </c>
      <c r="H1594">
        <v>11.03</v>
      </c>
      <c r="I1594" t="s">
        <v>3146</v>
      </c>
      <c r="J1594" t="s">
        <v>3152</v>
      </c>
      <c r="K1594" t="s">
        <v>3174</v>
      </c>
      <c r="L1594" t="str">
        <f>_xlfn.XLOOKUP(C1594,[1]!Table1[Shift_ID],[1]!Table1[Shift_ID])</f>
        <v>S01</v>
      </c>
      <c r="M1594" t="str">
        <f>_xlfn.XLOOKUP(D1594,[2]!Table1[Machine_ID],[2]!Table1[Machine_ID])</f>
        <v>M001</v>
      </c>
      <c r="N1594" t="str">
        <f>_xlfn.XLOOKUP(E1594,[3]Sheet1!$A$2:$A$391,[3]Sheet1!$A$2:$A$391)</f>
        <v>PO10107</v>
      </c>
    </row>
    <row r="1595" spans="1:14" x14ac:dyDescent="0.2">
      <c r="A1595" t="s">
        <v>1604</v>
      </c>
      <c r="B1595" s="2">
        <v>46286</v>
      </c>
      <c r="C1595" t="s">
        <v>2940</v>
      </c>
      <c r="D1595" t="s">
        <v>2943</v>
      </c>
      <c r="E1595" t="s">
        <v>3057</v>
      </c>
      <c r="F1595" s="3">
        <v>46286.277050330842</v>
      </c>
      <c r="G1595" s="3">
        <v>46286.280530870717</v>
      </c>
      <c r="H1595">
        <v>5.01</v>
      </c>
      <c r="I1595" t="s">
        <v>3150</v>
      </c>
      <c r="J1595" t="s">
        <v>3159</v>
      </c>
      <c r="K1595" t="s">
        <v>3178</v>
      </c>
      <c r="L1595" t="str">
        <f>_xlfn.XLOOKUP(C1595,[1]!Table1[Shift_ID],[1]!Table1[Shift_ID])</f>
        <v>S01</v>
      </c>
      <c r="M1595" t="str">
        <f>_xlfn.XLOOKUP(D1595,[2]!Table1[Machine_ID],[2]!Table1[Machine_ID])</f>
        <v>M002</v>
      </c>
      <c r="N1595" t="str">
        <f>_xlfn.XLOOKUP(E1595,[3]Sheet1!$A$2:$A$391,[3]Sheet1!$A$2:$A$391)</f>
        <v>PO10107</v>
      </c>
    </row>
    <row r="1596" spans="1:14" x14ac:dyDescent="0.2">
      <c r="A1596" t="s">
        <v>1605</v>
      </c>
      <c r="B1596" s="2">
        <v>46286</v>
      </c>
      <c r="C1596" t="s">
        <v>2940</v>
      </c>
      <c r="D1596" t="s">
        <v>2943</v>
      </c>
      <c r="E1596" t="s">
        <v>3057</v>
      </c>
      <c r="F1596" s="3">
        <v>46286.320318641432</v>
      </c>
      <c r="G1596" s="3">
        <v>46286.323241489983</v>
      </c>
      <c r="H1596">
        <v>4.21</v>
      </c>
      <c r="I1596" t="s">
        <v>3150</v>
      </c>
      <c r="J1596" t="s">
        <v>3159</v>
      </c>
      <c r="K1596" t="s">
        <v>3177</v>
      </c>
      <c r="L1596" t="str">
        <f>_xlfn.XLOOKUP(C1596,[1]!Table1[Shift_ID],[1]!Table1[Shift_ID])</f>
        <v>S01</v>
      </c>
      <c r="M1596" t="str">
        <f>_xlfn.XLOOKUP(D1596,[2]!Table1[Machine_ID],[2]!Table1[Machine_ID])</f>
        <v>M002</v>
      </c>
      <c r="N1596" t="str">
        <f>_xlfn.XLOOKUP(E1596,[3]Sheet1!$A$2:$A$391,[3]Sheet1!$A$2:$A$391)</f>
        <v>PO10107</v>
      </c>
    </row>
    <row r="1597" spans="1:14" x14ac:dyDescent="0.2">
      <c r="A1597" t="s">
        <v>1606</v>
      </c>
      <c r="B1597" s="2">
        <v>46286</v>
      </c>
      <c r="C1597" t="s">
        <v>2940</v>
      </c>
      <c r="D1597" t="s">
        <v>2944</v>
      </c>
      <c r="E1597" t="s">
        <v>3057</v>
      </c>
      <c r="F1597" s="3">
        <v>46286.320680058197</v>
      </c>
      <c r="G1597" s="3">
        <v>46286.324051763702</v>
      </c>
      <c r="H1597">
        <v>4.8600000000000003</v>
      </c>
      <c r="I1597" t="s">
        <v>3151</v>
      </c>
      <c r="J1597" t="s">
        <v>3161</v>
      </c>
      <c r="K1597" t="s">
        <v>3187</v>
      </c>
      <c r="L1597" t="str">
        <f>_xlfn.XLOOKUP(C1597,[1]!Table1[Shift_ID],[1]!Table1[Shift_ID])</f>
        <v>S01</v>
      </c>
      <c r="M1597" t="str">
        <f>_xlfn.XLOOKUP(D1597,[2]!Table1[Machine_ID],[2]!Table1[Machine_ID])</f>
        <v>M003</v>
      </c>
      <c r="N1597" t="str">
        <f>_xlfn.XLOOKUP(E1597,[3]Sheet1!$A$2:$A$391,[3]Sheet1!$A$2:$A$391)</f>
        <v>PO10107</v>
      </c>
    </row>
    <row r="1598" spans="1:14" x14ac:dyDescent="0.2">
      <c r="A1598" t="s">
        <v>1607</v>
      </c>
      <c r="B1598" s="2">
        <v>46286</v>
      </c>
      <c r="C1598" t="s">
        <v>2940</v>
      </c>
      <c r="D1598" t="s">
        <v>2944</v>
      </c>
      <c r="E1598" t="s">
        <v>3057</v>
      </c>
      <c r="F1598" s="3">
        <v>46286.353182145212</v>
      </c>
      <c r="G1598" s="3">
        <v>46286.354847983152</v>
      </c>
      <c r="H1598">
        <v>2.4</v>
      </c>
      <c r="I1598" t="s">
        <v>3148</v>
      </c>
      <c r="J1598" t="s">
        <v>3155</v>
      </c>
      <c r="K1598" t="s">
        <v>3180</v>
      </c>
      <c r="L1598" t="str">
        <f>_xlfn.XLOOKUP(C1598,[1]!Table1[Shift_ID],[1]!Table1[Shift_ID])</f>
        <v>S01</v>
      </c>
      <c r="M1598" t="str">
        <f>_xlfn.XLOOKUP(D1598,[2]!Table1[Machine_ID],[2]!Table1[Machine_ID])</f>
        <v>M003</v>
      </c>
      <c r="N1598" t="str">
        <f>_xlfn.XLOOKUP(E1598,[3]Sheet1!$A$2:$A$391,[3]Sheet1!$A$2:$A$391)</f>
        <v>PO10107</v>
      </c>
    </row>
    <row r="1599" spans="1:14" x14ac:dyDescent="0.2">
      <c r="A1599" t="s">
        <v>1608</v>
      </c>
      <c r="B1599" s="2">
        <v>46286</v>
      </c>
      <c r="C1599" t="s">
        <v>2940</v>
      </c>
      <c r="D1599" t="s">
        <v>2944</v>
      </c>
      <c r="E1599" t="s">
        <v>3057</v>
      </c>
      <c r="F1599" s="3">
        <v>46286.361211915297</v>
      </c>
      <c r="G1599" s="3">
        <v>46286.362877753243</v>
      </c>
      <c r="H1599">
        <v>2.4</v>
      </c>
      <c r="I1599" t="s">
        <v>3150</v>
      </c>
      <c r="J1599" t="s">
        <v>3160</v>
      </c>
      <c r="K1599" t="s">
        <v>3177</v>
      </c>
      <c r="L1599" t="str">
        <f>_xlfn.XLOOKUP(C1599,[1]!Table1[Shift_ID],[1]!Table1[Shift_ID])</f>
        <v>S01</v>
      </c>
      <c r="M1599" t="str">
        <f>_xlfn.XLOOKUP(D1599,[2]!Table1[Machine_ID],[2]!Table1[Machine_ID])</f>
        <v>M003</v>
      </c>
      <c r="N1599" t="str">
        <f>_xlfn.XLOOKUP(E1599,[3]Sheet1!$A$2:$A$391,[3]Sheet1!$A$2:$A$391)</f>
        <v>PO10107</v>
      </c>
    </row>
    <row r="1600" spans="1:14" x14ac:dyDescent="0.2">
      <c r="A1600" t="s">
        <v>1609</v>
      </c>
      <c r="B1600" s="2">
        <v>46286</v>
      </c>
      <c r="C1600" t="s">
        <v>2940</v>
      </c>
      <c r="D1600" t="s">
        <v>2944</v>
      </c>
      <c r="E1600" t="s">
        <v>3057</v>
      </c>
      <c r="F1600" s="3">
        <v>46286.525037449574</v>
      </c>
      <c r="G1600" s="3">
        <v>46286.529157207951</v>
      </c>
      <c r="H1600">
        <v>5.93</v>
      </c>
      <c r="I1600" t="s">
        <v>3150</v>
      </c>
      <c r="J1600" t="s">
        <v>3163</v>
      </c>
      <c r="K1600" t="s">
        <v>3178</v>
      </c>
      <c r="L1600" t="str">
        <f>_xlfn.XLOOKUP(C1600,[1]!Table1[Shift_ID],[1]!Table1[Shift_ID])</f>
        <v>S01</v>
      </c>
      <c r="M1600" t="str">
        <f>_xlfn.XLOOKUP(D1600,[2]!Table1[Machine_ID],[2]!Table1[Machine_ID])</f>
        <v>M003</v>
      </c>
      <c r="N1600" t="str">
        <f>_xlfn.XLOOKUP(E1600,[3]Sheet1!$A$2:$A$391,[3]Sheet1!$A$2:$A$391)</f>
        <v>PO10107</v>
      </c>
    </row>
    <row r="1601" spans="1:14" x14ac:dyDescent="0.2">
      <c r="A1601" t="s">
        <v>1610</v>
      </c>
      <c r="B1601" s="2">
        <v>46286</v>
      </c>
      <c r="C1601" t="s">
        <v>2940</v>
      </c>
      <c r="D1601" t="s">
        <v>2945</v>
      </c>
      <c r="E1601" t="s">
        <v>3057</v>
      </c>
      <c r="F1601" s="3">
        <v>46286.357304697733</v>
      </c>
      <c r="G1601" s="3">
        <v>46286.35883785152</v>
      </c>
      <c r="H1601">
        <v>2.21</v>
      </c>
      <c r="I1601" t="s">
        <v>3147</v>
      </c>
      <c r="J1601" t="s">
        <v>3153</v>
      </c>
      <c r="K1601" t="s">
        <v>3172</v>
      </c>
      <c r="L1601" t="str">
        <f>_xlfn.XLOOKUP(C1601,[1]!Table1[Shift_ID],[1]!Table1[Shift_ID])</f>
        <v>S01</v>
      </c>
      <c r="M1601" t="str">
        <f>_xlfn.XLOOKUP(D1601,[2]!Table1[Machine_ID],[2]!Table1[Machine_ID])</f>
        <v>M004</v>
      </c>
      <c r="N1601" t="str">
        <f>_xlfn.XLOOKUP(E1601,[3]Sheet1!$A$2:$A$391,[3]Sheet1!$A$2:$A$391)</f>
        <v>PO10107</v>
      </c>
    </row>
    <row r="1602" spans="1:14" x14ac:dyDescent="0.2">
      <c r="A1602" t="s">
        <v>1611</v>
      </c>
      <c r="B1602" s="2">
        <v>46286</v>
      </c>
      <c r="C1602" t="s">
        <v>2940</v>
      </c>
      <c r="D1602" t="s">
        <v>2945</v>
      </c>
      <c r="E1602" t="s">
        <v>3057</v>
      </c>
      <c r="F1602" s="3">
        <v>46286.461349571196</v>
      </c>
      <c r="G1602" s="3">
        <v>46286.462882724984</v>
      </c>
      <c r="H1602">
        <v>2.21</v>
      </c>
      <c r="I1602" t="s">
        <v>3147</v>
      </c>
      <c r="J1602" t="s">
        <v>3153</v>
      </c>
      <c r="K1602" t="s">
        <v>3186</v>
      </c>
      <c r="L1602" t="str">
        <f>_xlfn.XLOOKUP(C1602,[1]!Table1[Shift_ID],[1]!Table1[Shift_ID])</f>
        <v>S01</v>
      </c>
      <c r="M1602" t="str">
        <f>_xlfn.XLOOKUP(D1602,[2]!Table1[Machine_ID],[2]!Table1[Machine_ID])</f>
        <v>M004</v>
      </c>
      <c r="N1602" t="str">
        <f>_xlfn.XLOOKUP(E1602,[3]Sheet1!$A$2:$A$391,[3]Sheet1!$A$2:$A$391)</f>
        <v>PO10107</v>
      </c>
    </row>
    <row r="1603" spans="1:14" x14ac:dyDescent="0.2">
      <c r="A1603" t="s">
        <v>1612</v>
      </c>
      <c r="B1603" s="2">
        <v>46286</v>
      </c>
      <c r="C1603" t="s">
        <v>2940</v>
      </c>
      <c r="D1603" t="s">
        <v>2945</v>
      </c>
      <c r="E1603" t="s">
        <v>3057</v>
      </c>
      <c r="F1603" s="3">
        <v>46286.469634088528</v>
      </c>
      <c r="G1603" s="3">
        <v>46286.47491924632</v>
      </c>
      <c r="H1603">
        <v>7.61</v>
      </c>
      <c r="I1603" t="s">
        <v>3147</v>
      </c>
      <c r="J1603" t="s">
        <v>3153</v>
      </c>
      <c r="K1603" t="s">
        <v>3172</v>
      </c>
      <c r="L1603" t="str">
        <f>_xlfn.XLOOKUP(C1603,[1]!Table1[Shift_ID],[1]!Table1[Shift_ID])</f>
        <v>S01</v>
      </c>
      <c r="M1603" t="str">
        <f>_xlfn.XLOOKUP(D1603,[2]!Table1[Machine_ID],[2]!Table1[Machine_ID])</f>
        <v>M004</v>
      </c>
      <c r="N1603" t="str">
        <f>_xlfn.XLOOKUP(E1603,[3]Sheet1!$A$2:$A$391,[3]Sheet1!$A$2:$A$391)</f>
        <v>PO10107</v>
      </c>
    </row>
    <row r="1604" spans="1:14" x14ac:dyDescent="0.2">
      <c r="A1604" t="s">
        <v>1613</v>
      </c>
      <c r="B1604" s="2">
        <v>46286</v>
      </c>
      <c r="C1604" t="s">
        <v>2940</v>
      </c>
      <c r="D1604" t="s">
        <v>2946</v>
      </c>
      <c r="E1604" t="s">
        <v>3057</v>
      </c>
      <c r="F1604" s="3">
        <v>46286.437828731388</v>
      </c>
      <c r="G1604" s="3">
        <v>46286.446608468388</v>
      </c>
      <c r="H1604">
        <v>12.64</v>
      </c>
      <c r="I1604" t="s">
        <v>3149</v>
      </c>
      <c r="J1604" t="s">
        <v>3162</v>
      </c>
      <c r="K1604" t="s">
        <v>3182</v>
      </c>
      <c r="L1604" t="str">
        <f>_xlfn.XLOOKUP(C1604,[1]!Table1[Shift_ID],[1]!Table1[Shift_ID])</f>
        <v>S01</v>
      </c>
      <c r="M1604" t="str">
        <f>_xlfn.XLOOKUP(D1604,[2]!Table1[Machine_ID],[2]!Table1[Machine_ID])</f>
        <v>M005</v>
      </c>
      <c r="N1604" t="str">
        <f>_xlfn.XLOOKUP(E1604,[3]Sheet1!$A$2:$A$391,[3]Sheet1!$A$2:$A$391)</f>
        <v>PO10107</v>
      </c>
    </row>
    <row r="1605" spans="1:14" x14ac:dyDescent="0.2">
      <c r="A1605" t="s">
        <v>1614</v>
      </c>
      <c r="B1605" s="2">
        <v>46286</v>
      </c>
      <c r="C1605" t="s">
        <v>2940</v>
      </c>
      <c r="D1605" t="s">
        <v>2947</v>
      </c>
      <c r="E1605" t="s">
        <v>3057</v>
      </c>
      <c r="F1605" s="3">
        <v>46286.348754410887</v>
      </c>
      <c r="G1605" s="3">
        <v>46286.350731912287</v>
      </c>
      <c r="H1605">
        <v>2.85</v>
      </c>
      <c r="I1605" t="s">
        <v>3149</v>
      </c>
      <c r="J1605" t="s">
        <v>3168</v>
      </c>
      <c r="K1605" t="s">
        <v>3176</v>
      </c>
      <c r="L1605" t="str">
        <f>_xlfn.XLOOKUP(C1605,[1]!Table1[Shift_ID],[1]!Table1[Shift_ID])</f>
        <v>S01</v>
      </c>
      <c r="M1605" t="str">
        <f>_xlfn.XLOOKUP(D1605,[2]!Table1[Machine_ID],[2]!Table1[Machine_ID])</f>
        <v>M006</v>
      </c>
      <c r="N1605" t="str">
        <f>_xlfn.XLOOKUP(E1605,[3]Sheet1!$A$2:$A$391,[3]Sheet1!$A$2:$A$391)</f>
        <v>PO10107</v>
      </c>
    </row>
    <row r="1606" spans="1:14" x14ac:dyDescent="0.2">
      <c r="A1606" t="s">
        <v>1615</v>
      </c>
      <c r="B1606" s="2">
        <v>46286</v>
      </c>
      <c r="C1606" t="s">
        <v>2940</v>
      </c>
      <c r="D1606" t="s">
        <v>2947</v>
      </c>
      <c r="E1606" t="s">
        <v>3057</v>
      </c>
      <c r="F1606" s="3">
        <v>46286.367618539443</v>
      </c>
      <c r="G1606" s="3">
        <v>46286.370304139527</v>
      </c>
      <c r="H1606">
        <v>3.87</v>
      </c>
      <c r="I1606" t="s">
        <v>3147</v>
      </c>
      <c r="J1606" t="s">
        <v>3167</v>
      </c>
      <c r="K1606" t="s">
        <v>3185</v>
      </c>
      <c r="L1606" t="str">
        <f>_xlfn.XLOOKUP(C1606,[1]!Table1[Shift_ID],[1]!Table1[Shift_ID])</f>
        <v>S01</v>
      </c>
      <c r="M1606" t="str">
        <f>_xlfn.XLOOKUP(D1606,[2]!Table1[Machine_ID],[2]!Table1[Machine_ID])</f>
        <v>M006</v>
      </c>
      <c r="N1606" t="str">
        <f>_xlfn.XLOOKUP(E1606,[3]Sheet1!$A$2:$A$391,[3]Sheet1!$A$2:$A$391)</f>
        <v>PO10107</v>
      </c>
    </row>
    <row r="1607" spans="1:14" x14ac:dyDescent="0.2">
      <c r="A1607" t="s">
        <v>1616</v>
      </c>
      <c r="B1607" s="2">
        <v>46286</v>
      </c>
      <c r="C1607" t="s">
        <v>2940</v>
      </c>
      <c r="D1607" t="s">
        <v>2947</v>
      </c>
      <c r="E1607" t="s">
        <v>3057</v>
      </c>
      <c r="F1607" s="3">
        <v>46286.483392027039</v>
      </c>
      <c r="G1607" s="3">
        <v>46286.489841731309</v>
      </c>
      <c r="H1607">
        <v>9.2899999999999991</v>
      </c>
      <c r="I1607" t="s">
        <v>3149</v>
      </c>
      <c r="J1607" t="s">
        <v>3158</v>
      </c>
      <c r="K1607" t="s">
        <v>3176</v>
      </c>
      <c r="L1607" t="str">
        <f>_xlfn.XLOOKUP(C1607,[1]!Table1[Shift_ID],[1]!Table1[Shift_ID])</f>
        <v>S01</v>
      </c>
      <c r="M1607" t="str">
        <f>_xlfn.XLOOKUP(D1607,[2]!Table1[Machine_ID],[2]!Table1[Machine_ID])</f>
        <v>M006</v>
      </c>
      <c r="N1607" t="str">
        <f>_xlfn.XLOOKUP(E1607,[3]Sheet1!$A$2:$A$391,[3]Sheet1!$A$2:$A$391)</f>
        <v>PO10107</v>
      </c>
    </row>
    <row r="1608" spans="1:14" x14ac:dyDescent="0.2">
      <c r="A1608" t="s">
        <v>1617</v>
      </c>
      <c r="B1608" s="2">
        <v>46286</v>
      </c>
      <c r="C1608" t="s">
        <v>2940</v>
      </c>
      <c r="D1608" t="s">
        <v>2947</v>
      </c>
      <c r="E1608" t="s">
        <v>3057</v>
      </c>
      <c r="F1608" s="3">
        <v>46286.546325854193</v>
      </c>
      <c r="G1608" s="3">
        <v>46286.56325616211</v>
      </c>
      <c r="H1608">
        <v>24.38</v>
      </c>
      <c r="I1608" t="s">
        <v>3147</v>
      </c>
      <c r="J1608" t="s">
        <v>3153</v>
      </c>
      <c r="K1608" t="s">
        <v>3186</v>
      </c>
      <c r="L1608" t="str">
        <f>_xlfn.XLOOKUP(C1608,[1]!Table1[Shift_ID],[1]!Table1[Shift_ID])</f>
        <v>S01</v>
      </c>
      <c r="M1608" t="str">
        <f>_xlfn.XLOOKUP(D1608,[2]!Table1[Machine_ID],[2]!Table1[Machine_ID])</f>
        <v>M006</v>
      </c>
      <c r="N1608" t="str">
        <f>_xlfn.XLOOKUP(E1608,[3]Sheet1!$A$2:$A$391,[3]Sheet1!$A$2:$A$391)</f>
        <v>PO10107</v>
      </c>
    </row>
    <row r="1609" spans="1:14" x14ac:dyDescent="0.2">
      <c r="A1609" t="s">
        <v>1618</v>
      </c>
      <c r="B1609" s="2">
        <v>46286</v>
      </c>
      <c r="C1609" t="s">
        <v>2940</v>
      </c>
      <c r="D1609" t="s">
        <v>2947</v>
      </c>
      <c r="E1609" t="s">
        <v>3057</v>
      </c>
      <c r="F1609" s="3">
        <v>46286.566190621699</v>
      </c>
      <c r="G1609" s="3">
        <v>46286.572167030499</v>
      </c>
      <c r="H1609">
        <v>8.61</v>
      </c>
      <c r="I1609" t="s">
        <v>3148</v>
      </c>
      <c r="J1609" t="s">
        <v>3155</v>
      </c>
      <c r="K1609" t="s">
        <v>3180</v>
      </c>
      <c r="L1609" t="str">
        <f>_xlfn.XLOOKUP(C1609,[1]!Table1[Shift_ID],[1]!Table1[Shift_ID])</f>
        <v>S01</v>
      </c>
      <c r="M1609" t="str">
        <f>_xlfn.XLOOKUP(D1609,[2]!Table1[Machine_ID],[2]!Table1[Machine_ID])</f>
        <v>M006</v>
      </c>
      <c r="N1609" t="str">
        <f>_xlfn.XLOOKUP(E1609,[3]Sheet1!$A$2:$A$391,[3]Sheet1!$A$2:$A$391)</f>
        <v>PO10107</v>
      </c>
    </row>
    <row r="1610" spans="1:14" x14ac:dyDescent="0.2">
      <c r="A1610" t="s">
        <v>1619</v>
      </c>
      <c r="B1610" s="2">
        <v>46286</v>
      </c>
      <c r="C1610" t="s">
        <v>2940</v>
      </c>
      <c r="D1610" t="s">
        <v>2948</v>
      </c>
      <c r="E1610" t="s">
        <v>3057</v>
      </c>
      <c r="F1610" s="3">
        <v>46286.273812761778</v>
      </c>
      <c r="G1610" s="3">
        <v>46286.275912585079</v>
      </c>
      <c r="H1610">
        <v>3.02</v>
      </c>
      <c r="I1610" t="s">
        <v>3147</v>
      </c>
      <c r="J1610" t="s">
        <v>3154</v>
      </c>
      <c r="K1610" t="s">
        <v>3186</v>
      </c>
      <c r="L1610" t="str">
        <f>_xlfn.XLOOKUP(C1610,[1]!Table1[Shift_ID],[1]!Table1[Shift_ID])</f>
        <v>S01</v>
      </c>
      <c r="M1610" t="str">
        <f>_xlfn.XLOOKUP(D1610,[2]!Table1[Machine_ID],[2]!Table1[Machine_ID])</f>
        <v>M007</v>
      </c>
      <c r="N1610" t="str">
        <f>_xlfn.XLOOKUP(E1610,[3]Sheet1!$A$2:$A$391,[3]Sheet1!$A$2:$A$391)</f>
        <v>PO10107</v>
      </c>
    </row>
    <row r="1611" spans="1:14" x14ac:dyDescent="0.2">
      <c r="A1611" t="s">
        <v>1620</v>
      </c>
      <c r="B1611" s="2">
        <v>46286</v>
      </c>
      <c r="C1611" t="s">
        <v>2940</v>
      </c>
      <c r="D1611" t="s">
        <v>2948</v>
      </c>
      <c r="E1611" t="s">
        <v>3057</v>
      </c>
      <c r="F1611" s="3">
        <v>46286.350554567929</v>
      </c>
      <c r="G1611" s="3">
        <v>46286.354784030853</v>
      </c>
      <c r="H1611">
        <v>6.09</v>
      </c>
      <c r="I1611" t="s">
        <v>3148</v>
      </c>
      <c r="J1611" t="s">
        <v>3164</v>
      </c>
      <c r="K1611" t="s">
        <v>3183</v>
      </c>
      <c r="L1611" t="str">
        <f>_xlfn.XLOOKUP(C1611,[1]!Table1[Shift_ID],[1]!Table1[Shift_ID])</f>
        <v>S01</v>
      </c>
      <c r="M1611" t="str">
        <f>_xlfn.XLOOKUP(D1611,[2]!Table1[Machine_ID],[2]!Table1[Machine_ID])</f>
        <v>M007</v>
      </c>
      <c r="N1611" t="str">
        <f>_xlfn.XLOOKUP(E1611,[3]Sheet1!$A$2:$A$391,[3]Sheet1!$A$2:$A$391)</f>
        <v>PO10107</v>
      </c>
    </row>
    <row r="1612" spans="1:14" x14ac:dyDescent="0.2">
      <c r="A1612" t="s">
        <v>1621</v>
      </c>
      <c r="B1612" s="2">
        <v>46286</v>
      </c>
      <c r="C1612" t="s">
        <v>2940</v>
      </c>
      <c r="D1612" t="s">
        <v>2948</v>
      </c>
      <c r="E1612" t="s">
        <v>3057</v>
      </c>
      <c r="F1612" s="3">
        <v>46286.436416469362</v>
      </c>
      <c r="G1612" s="3">
        <v>46286.438511978449</v>
      </c>
      <c r="H1612">
        <v>3.02</v>
      </c>
      <c r="I1612" t="s">
        <v>3146</v>
      </c>
      <c r="J1612" t="s">
        <v>3156</v>
      </c>
      <c r="K1612" t="s">
        <v>3174</v>
      </c>
      <c r="L1612" t="str">
        <f>_xlfn.XLOOKUP(C1612,[1]!Table1[Shift_ID],[1]!Table1[Shift_ID])</f>
        <v>S01</v>
      </c>
      <c r="M1612" t="str">
        <f>_xlfn.XLOOKUP(D1612,[2]!Table1[Machine_ID],[2]!Table1[Machine_ID])</f>
        <v>M007</v>
      </c>
      <c r="N1612" t="str">
        <f>_xlfn.XLOOKUP(E1612,[3]Sheet1!$A$2:$A$391,[3]Sheet1!$A$2:$A$391)</f>
        <v>PO10107</v>
      </c>
    </row>
    <row r="1613" spans="1:14" x14ac:dyDescent="0.2">
      <c r="A1613" t="s">
        <v>1622</v>
      </c>
      <c r="B1613" s="2">
        <v>46286</v>
      </c>
      <c r="C1613" t="s">
        <v>2940</v>
      </c>
      <c r="D1613" t="s">
        <v>2948</v>
      </c>
      <c r="E1613" t="s">
        <v>3057</v>
      </c>
      <c r="F1613" s="3">
        <v>46286.452171577977</v>
      </c>
      <c r="G1613" s="3">
        <v>46286.457722575084</v>
      </c>
      <c r="H1613">
        <v>7.99</v>
      </c>
      <c r="I1613" t="s">
        <v>3148</v>
      </c>
      <c r="J1613" t="s">
        <v>3164</v>
      </c>
      <c r="K1613" t="s">
        <v>3183</v>
      </c>
      <c r="L1613" t="str">
        <f>_xlfn.XLOOKUP(C1613,[1]!Table1[Shift_ID],[1]!Table1[Shift_ID])</f>
        <v>S01</v>
      </c>
      <c r="M1613" t="str">
        <f>_xlfn.XLOOKUP(D1613,[2]!Table1[Machine_ID],[2]!Table1[Machine_ID])</f>
        <v>M007</v>
      </c>
      <c r="N1613" t="str">
        <f>_xlfn.XLOOKUP(E1613,[3]Sheet1!$A$2:$A$391,[3]Sheet1!$A$2:$A$391)</f>
        <v>PO10107</v>
      </c>
    </row>
    <row r="1614" spans="1:14" x14ac:dyDescent="0.2">
      <c r="A1614" t="s">
        <v>1623</v>
      </c>
      <c r="B1614" s="2">
        <v>46286</v>
      </c>
      <c r="C1614" t="s">
        <v>2940</v>
      </c>
      <c r="D1614" t="s">
        <v>2949</v>
      </c>
      <c r="E1614" t="s">
        <v>3057</v>
      </c>
      <c r="F1614" s="3">
        <v>46286.48728277647</v>
      </c>
      <c r="G1614" s="3">
        <v>46286.493758924044</v>
      </c>
      <c r="H1614">
        <v>9.33</v>
      </c>
      <c r="I1614" t="s">
        <v>3148</v>
      </c>
      <c r="J1614" t="s">
        <v>3155</v>
      </c>
      <c r="K1614" t="s">
        <v>3183</v>
      </c>
      <c r="L1614" t="str">
        <f>_xlfn.XLOOKUP(C1614,[1]!Table1[Shift_ID],[1]!Table1[Shift_ID])</f>
        <v>S01</v>
      </c>
      <c r="M1614" t="str">
        <f>_xlfn.XLOOKUP(D1614,[2]!Table1[Machine_ID],[2]!Table1[Machine_ID])</f>
        <v>M008</v>
      </c>
      <c r="N1614" t="str">
        <f>_xlfn.XLOOKUP(E1614,[3]Sheet1!$A$2:$A$391,[3]Sheet1!$A$2:$A$391)</f>
        <v>PO10107</v>
      </c>
    </row>
    <row r="1615" spans="1:14" x14ac:dyDescent="0.2">
      <c r="A1615" t="s">
        <v>1624</v>
      </c>
      <c r="B1615" s="2">
        <v>46286</v>
      </c>
      <c r="C1615" t="s">
        <v>2941</v>
      </c>
      <c r="D1615" t="s">
        <v>2942</v>
      </c>
      <c r="E1615" t="s">
        <v>3058</v>
      </c>
      <c r="F1615" s="3">
        <v>46286.776198534113</v>
      </c>
      <c r="G1615" s="3">
        <v>46286.782014661287</v>
      </c>
      <c r="H1615">
        <v>8.3800000000000008</v>
      </c>
      <c r="I1615" t="s">
        <v>3151</v>
      </c>
      <c r="J1615" t="s">
        <v>3169</v>
      </c>
      <c r="K1615" t="s">
        <v>3188</v>
      </c>
      <c r="L1615" t="str">
        <f>_xlfn.XLOOKUP(C1615,[1]!Table1[Shift_ID],[1]!Table1[Shift_ID])</f>
        <v>S02</v>
      </c>
      <c r="M1615" t="str">
        <f>_xlfn.XLOOKUP(D1615,[2]!Table1[Machine_ID],[2]!Table1[Machine_ID])</f>
        <v>M001</v>
      </c>
      <c r="N1615" t="str">
        <f>_xlfn.XLOOKUP(E1615,[3]Sheet1!$A$2:$A$391,[3]Sheet1!$A$2:$A$391)</f>
        <v>PO10108</v>
      </c>
    </row>
    <row r="1616" spans="1:14" x14ac:dyDescent="0.2">
      <c r="A1616" t="s">
        <v>1625</v>
      </c>
      <c r="B1616" s="2">
        <v>46286</v>
      </c>
      <c r="C1616" t="s">
        <v>2941</v>
      </c>
      <c r="D1616" t="s">
        <v>2943</v>
      </c>
      <c r="E1616" t="s">
        <v>3058</v>
      </c>
      <c r="F1616" s="3">
        <v>46286.621661643847</v>
      </c>
      <c r="G1616" s="3">
        <v>46286.625839109271</v>
      </c>
      <c r="H1616">
        <v>6.02</v>
      </c>
      <c r="I1616" t="s">
        <v>3151</v>
      </c>
      <c r="J1616" t="s">
        <v>3161</v>
      </c>
      <c r="K1616" t="s">
        <v>3181</v>
      </c>
      <c r="L1616" t="str">
        <f>_xlfn.XLOOKUP(C1616,[1]!Table1[Shift_ID],[1]!Table1[Shift_ID])</f>
        <v>S02</v>
      </c>
      <c r="M1616" t="str">
        <f>_xlfn.XLOOKUP(D1616,[2]!Table1[Machine_ID],[2]!Table1[Machine_ID])</f>
        <v>M002</v>
      </c>
      <c r="N1616" t="str">
        <f>_xlfn.XLOOKUP(E1616,[3]Sheet1!$A$2:$A$391,[3]Sheet1!$A$2:$A$391)</f>
        <v>PO10108</v>
      </c>
    </row>
    <row r="1617" spans="1:14" x14ac:dyDescent="0.2">
      <c r="A1617" t="s">
        <v>1626</v>
      </c>
      <c r="B1617" s="2">
        <v>46286</v>
      </c>
      <c r="C1617" t="s">
        <v>2941</v>
      </c>
      <c r="D1617" t="s">
        <v>2943</v>
      </c>
      <c r="E1617" t="s">
        <v>3058</v>
      </c>
      <c r="F1617" s="3">
        <v>46286.639137653357</v>
      </c>
      <c r="G1617" s="3">
        <v>46286.640822519279</v>
      </c>
      <c r="H1617">
        <v>2.4300000000000002</v>
      </c>
      <c r="I1617" t="s">
        <v>3150</v>
      </c>
      <c r="J1617" t="s">
        <v>3159</v>
      </c>
      <c r="K1617" t="s">
        <v>3177</v>
      </c>
      <c r="L1617" t="str">
        <f>_xlfn.XLOOKUP(C1617,[1]!Table1[Shift_ID],[1]!Table1[Shift_ID])</f>
        <v>S02</v>
      </c>
      <c r="M1617" t="str">
        <f>_xlfn.XLOOKUP(D1617,[2]!Table1[Machine_ID],[2]!Table1[Machine_ID])</f>
        <v>M002</v>
      </c>
      <c r="N1617" t="str">
        <f>_xlfn.XLOOKUP(E1617,[3]Sheet1!$A$2:$A$391,[3]Sheet1!$A$2:$A$391)</f>
        <v>PO10108</v>
      </c>
    </row>
    <row r="1618" spans="1:14" x14ac:dyDescent="0.2">
      <c r="A1618" t="s">
        <v>1627</v>
      </c>
      <c r="B1618" s="2">
        <v>46286</v>
      </c>
      <c r="C1618" t="s">
        <v>2941</v>
      </c>
      <c r="D1618" t="s">
        <v>2943</v>
      </c>
      <c r="E1618" t="s">
        <v>3058</v>
      </c>
      <c r="F1618" s="3">
        <v>46286.652255226218</v>
      </c>
      <c r="G1618" s="3">
        <v>46286.655162682931</v>
      </c>
      <c r="H1618">
        <v>4.1900000000000004</v>
      </c>
      <c r="I1618" t="s">
        <v>3148</v>
      </c>
      <c r="J1618" t="s">
        <v>3165</v>
      </c>
      <c r="K1618" t="s">
        <v>3173</v>
      </c>
      <c r="L1618" t="str">
        <f>_xlfn.XLOOKUP(C1618,[1]!Table1[Shift_ID],[1]!Table1[Shift_ID])</f>
        <v>S02</v>
      </c>
      <c r="M1618" t="str">
        <f>_xlfn.XLOOKUP(D1618,[2]!Table1[Machine_ID],[2]!Table1[Machine_ID])</f>
        <v>M002</v>
      </c>
      <c r="N1618" t="str">
        <f>_xlfn.XLOOKUP(E1618,[3]Sheet1!$A$2:$A$391,[3]Sheet1!$A$2:$A$391)</f>
        <v>PO10108</v>
      </c>
    </row>
    <row r="1619" spans="1:14" x14ac:dyDescent="0.2">
      <c r="A1619" t="s">
        <v>1628</v>
      </c>
      <c r="B1619" s="2">
        <v>46286</v>
      </c>
      <c r="C1619" t="s">
        <v>2941</v>
      </c>
      <c r="D1619" t="s">
        <v>2944</v>
      </c>
      <c r="E1619" t="s">
        <v>3058</v>
      </c>
      <c r="F1619" s="3">
        <v>46286.830515632733</v>
      </c>
      <c r="G1619" s="3">
        <v>46286.84096349273</v>
      </c>
      <c r="H1619">
        <v>15.04</v>
      </c>
      <c r="I1619" t="s">
        <v>3149</v>
      </c>
      <c r="J1619" t="s">
        <v>3168</v>
      </c>
      <c r="K1619" t="s">
        <v>3182</v>
      </c>
      <c r="L1619" t="str">
        <f>_xlfn.XLOOKUP(C1619,[1]!Table1[Shift_ID],[1]!Table1[Shift_ID])</f>
        <v>S02</v>
      </c>
      <c r="M1619" t="str">
        <f>_xlfn.XLOOKUP(D1619,[2]!Table1[Machine_ID],[2]!Table1[Machine_ID])</f>
        <v>M003</v>
      </c>
      <c r="N1619" t="str">
        <f>_xlfn.XLOOKUP(E1619,[3]Sheet1!$A$2:$A$391,[3]Sheet1!$A$2:$A$391)</f>
        <v>PO10108</v>
      </c>
    </row>
    <row r="1620" spans="1:14" x14ac:dyDescent="0.2">
      <c r="A1620" t="s">
        <v>1629</v>
      </c>
      <c r="B1620" s="2">
        <v>46286</v>
      </c>
      <c r="C1620" t="s">
        <v>2941</v>
      </c>
      <c r="D1620" t="s">
        <v>2945</v>
      </c>
      <c r="E1620" t="s">
        <v>3058</v>
      </c>
      <c r="F1620" s="3">
        <v>46286.621737152011</v>
      </c>
      <c r="G1620" s="3">
        <v>46286.625683799088</v>
      </c>
      <c r="H1620">
        <v>5.68</v>
      </c>
      <c r="I1620" t="s">
        <v>3147</v>
      </c>
      <c r="J1620" t="s">
        <v>3167</v>
      </c>
      <c r="K1620" t="s">
        <v>3185</v>
      </c>
      <c r="L1620" t="str">
        <f>_xlfn.XLOOKUP(C1620,[1]!Table1[Shift_ID],[1]!Table1[Shift_ID])</f>
        <v>S02</v>
      </c>
      <c r="M1620" t="str">
        <f>_xlfn.XLOOKUP(D1620,[2]!Table1[Machine_ID],[2]!Table1[Machine_ID])</f>
        <v>M004</v>
      </c>
      <c r="N1620" t="str">
        <f>_xlfn.XLOOKUP(E1620,[3]Sheet1!$A$2:$A$391,[3]Sheet1!$A$2:$A$391)</f>
        <v>PO10108</v>
      </c>
    </row>
    <row r="1621" spans="1:14" x14ac:dyDescent="0.2">
      <c r="A1621" t="s">
        <v>1630</v>
      </c>
      <c r="B1621" s="2">
        <v>46286</v>
      </c>
      <c r="C1621" t="s">
        <v>2941</v>
      </c>
      <c r="D1621" t="s">
        <v>2945</v>
      </c>
      <c r="E1621" t="s">
        <v>3058</v>
      </c>
      <c r="F1621" s="3">
        <v>46286.887345379277</v>
      </c>
      <c r="G1621" s="3">
        <v>46286.891609382343</v>
      </c>
      <c r="H1621">
        <v>6.14</v>
      </c>
      <c r="I1621" t="s">
        <v>3148</v>
      </c>
      <c r="J1621" t="s">
        <v>3155</v>
      </c>
      <c r="K1621" t="s">
        <v>3180</v>
      </c>
      <c r="L1621" t="str">
        <f>_xlfn.XLOOKUP(C1621,[1]!Table1[Shift_ID],[1]!Table1[Shift_ID])</f>
        <v>S02</v>
      </c>
      <c r="M1621" t="str">
        <f>_xlfn.XLOOKUP(D1621,[2]!Table1[Machine_ID],[2]!Table1[Machine_ID])</f>
        <v>M004</v>
      </c>
      <c r="N1621" t="str">
        <f>_xlfn.XLOOKUP(E1621,[3]Sheet1!$A$2:$A$391,[3]Sheet1!$A$2:$A$391)</f>
        <v>PO10108</v>
      </c>
    </row>
    <row r="1622" spans="1:14" x14ac:dyDescent="0.2">
      <c r="A1622" t="s">
        <v>1631</v>
      </c>
      <c r="B1622" s="2">
        <v>46286</v>
      </c>
      <c r="C1622" t="s">
        <v>2941</v>
      </c>
      <c r="D1622" t="s">
        <v>2946</v>
      </c>
      <c r="E1622" t="s">
        <v>3058</v>
      </c>
      <c r="F1622" s="3">
        <v>46286.906808754582</v>
      </c>
      <c r="G1622" s="3">
        <v>46286.915865992443</v>
      </c>
      <c r="H1622">
        <v>13.04</v>
      </c>
      <c r="I1622" t="s">
        <v>3150</v>
      </c>
      <c r="J1622" t="s">
        <v>3166</v>
      </c>
      <c r="K1622" t="s">
        <v>3178</v>
      </c>
      <c r="L1622" t="str">
        <f>_xlfn.XLOOKUP(C1622,[1]!Table1[Shift_ID],[1]!Table1[Shift_ID])</f>
        <v>S02</v>
      </c>
      <c r="M1622" t="str">
        <f>_xlfn.XLOOKUP(D1622,[2]!Table1[Machine_ID],[2]!Table1[Machine_ID])</f>
        <v>M005</v>
      </c>
      <c r="N1622" t="str">
        <f>_xlfn.XLOOKUP(E1622,[3]Sheet1!$A$2:$A$391,[3]Sheet1!$A$2:$A$391)</f>
        <v>PO10108</v>
      </c>
    </row>
    <row r="1623" spans="1:14" x14ac:dyDescent="0.2">
      <c r="A1623" t="s">
        <v>1632</v>
      </c>
      <c r="B1623" s="2">
        <v>46286</v>
      </c>
      <c r="C1623" t="s">
        <v>2941</v>
      </c>
      <c r="D1623" t="s">
        <v>2947</v>
      </c>
      <c r="E1623" t="s">
        <v>3058</v>
      </c>
      <c r="F1623" s="3">
        <v>46286.692068129843</v>
      </c>
      <c r="G1623" s="3">
        <v>46286.694925457348</v>
      </c>
      <c r="H1623">
        <v>4.1100000000000003</v>
      </c>
      <c r="I1623" t="s">
        <v>3149</v>
      </c>
      <c r="J1623" t="s">
        <v>3162</v>
      </c>
      <c r="K1623" t="s">
        <v>3182</v>
      </c>
      <c r="L1623" t="str">
        <f>_xlfn.XLOOKUP(C1623,[1]!Table1[Shift_ID],[1]!Table1[Shift_ID])</f>
        <v>S02</v>
      </c>
      <c r="M1623" t="str">
        <f>_xlfn.XLOOKUP(D1623,[2]!Table1[Machine_ID],[2]!Table1[Machine_ID])</f>
        <v>M006</v>
      </c>
      <c r="N1623" t="str">
        <f>_xlfn.XLOOKUP(E1623,[3]Sheet1!$A$2:$A$391,[3]Sheet1!$A$2:$A$391)</f>
        <v>PO10108</v>
      </c>
    </row>
    <row r="1624" spans="1:14" x14ac:dyDescent="0.2">
      <c r="A1624" t="s">
        <v>1633</v>
      </c>
      <c r="B1624" s="2">
        <v>46286</v>
      </c>
      <c r="C1624" t="s">
        <v>2941</v>
      </c>
      <c r="D1624" t="s">
        <v>2947</v>
      </c>
      <c r="E1624" t="s">
        <v>3058</v>
      </c>
      <c r="F1624" s="3">
        <v>46286.696938715148</v>
      </c>
      <c r="G1624" s="3">
        <v>46286.719184656657</v>
      </c>
      <c r="H1624">
        <v>32.03</v>
      </c>
      <c r="I1624" t="s">
        <v>3150</v>
      </c>
      <c r="J1624" t="s">
        <v>3163</v>
      </c>
      <c r="K1624" t="s">
        <v>3178</v>
      </c>
      <c r="L1624" t="str">
        <f>_xlfn.XLOOKUP(C1624,[1]!Table1[Shift_ID],[1]!Table1[Shift_ID])</f>
        <v>S02</v>
      </c>
      <c r="M1624" t="str">
        <f>_xlfn.XLOOKUP(D1624,[2]!Table1[Machine_ID],[2]!Table1[Machine_ID])</f>
        <v>M006</v>
      </c>
      <c r="N1624" t="str">
        <f>_xlfn.XLOOKUP(E1624,[3]Sheet1!$A$2:$A$391,[3]Sheet1!$A$2:$A$391)</f>
        <v>PO10108</v>
      </c>
    </row>
    <row r="1625" spans="1:14" x14ac:dyDescent="0.2">
      <c r="A1625" t="s">
        <v>1634</v>
      </c>
      <c r="B1625" s="2">
        <v>46286</v>
      </c>
      <c r="C1625" t="s">
        <v>2941</v>
      </c>
      <c r="D1625" t="s">
        <v>2948</v>
      </c>
      <c r="E1625" t="s">
        <v>3058</v>
      </c>
      <c r="F1625" s="3">
        <v>46286.631535059692</v>
      </c>
      <c r="G1625" s="3">
        <v>46286.63307393164</v>
      </c>
      <c r="H1625">
        <v>2.2200000000000002</v>
      </c>
      <c r="I1625" t="s">
        <v>3151</v>
      </c>
      <c r="J1625" t="s">
        <v>3161</v>
      </c>
      <c r="K1625" t="s">
        <v>3181</v>
      </c>
      <c r="L1625" t="str">
        <f>_xlfn.XLOOKUP(C1625,[1]!Table1[Shift_ID],[1]!Table1[Shift_ID])</f>
        <v>S02</v>
      </c>
      <c r="M1625" t="str">
        <f>_xlfn.XLOOKUP(D1625,[2]!Table1[Machine_ID],[2]!Table1[Machine_ID])</f>
        <v>M007</v>
      </c>
      <c r="N1625" t="str">
        <f>_xlfn.XLOOKUP(E1625,[3]Sheet1!$A$2:$A$391,[3]Sheet1!$A$2:$A$391)</f>
        <v>PO10108</v>
      </c>
    </row>
    <row r="1626" spans="1:14" x14ac:dyDescent="0.2">
      <c r="A1626" t="s">
        <v>1635</v>
      </c>
      <c r="B1626" s="2">
        <v>46286</v>
      </c>
      <c r="C1626" t="s">
        <v>2941</v>
      </c>
      <c r="D1626" t="s">
        <v>2948</v>
      </c>
      <c r="E1626" t="s">
        <v>3058</v>
      </c>
      <c r="F1626" s="3">
        <v>46286.703263579533</v>
      </c>
      <c r="G1626" s="3">
        <v>46286.704802451481</v>
      </c>
      <c r="H1626">
        <v>2.2200000000000002</v>
      </c>
      <c r="I1626" t="s">
        <v>3149</v>
      </c>
      <c r="J1626" t="s">
        <v>3158</v>
      </c>
      <c r="K1626" t="s">
        <v>3182</v>
      </c>
      <c r="L1626" t="str">
        <f>_xlfn.XLOOKUP(C1626,[1]!Table1[Shift_ID],[1]!Table1[Shift_ID])</f>
        <v>S02</v>
      </c>
      <c r="M1626" t="str">
        <f>_xlfn.XLOOKUP(D1626,[2]!Table1[Machine_ID],[2]!Table1[Machine_ID])</f>
        <v>M007</v>
      </c>
      <c r="N1626" t="str">
        <f>_xlfn.XLOOKUP(E1626,[3]Sheet1!$A$2:$A$391,[3]Sheet1!$A$2:$A$391)</f>
        <v>PO10108</v>
      </c>
    </row>
    <row r="1627" spans="1:14" x14ac:dyDescent="0.2">
      <c r="A1627" t="s">
        <v>1636</v>
      </c>
      <c r="B1627" s="2">
        <v>46286</v>
      </c>
      <c r="C1627" t="s">
        <v>2941</v>
      </c>
      <c r="D1627" t="s">
        <v>2948</v>
      </c>
      <c r="E1627" t="s">
        <v>3058</v>
      </c>
      <c r="F1627" s="3">
        <v>46286.738572055372</v>
      </c>
      <c r="G1627" s="3">
        <v>46286.740110927327</v>
      </c>
      <c r="H1627">
        <v>2.2200000000000002</v>
      </c>
      <c r="I1627" t="s">
        <v>3147</v>
      </c>
      <c r="J1627" t="s">
        <v>3153</v>
      </c>
      <c r="K1627" t="s">
        <v>3172</v>
      </c>
      <c r="L1627" t="str">
        <f>_xlfn.XLOOKUP(C1627,[1]!Table1[Shift_ID],[1]!Table1[Shift_ID])</f>
        <v>S02</v>
      </c>
      <c r="M1627" t="str">
        <f>_xlfn.XLOOKUP(D1627,[2]!Table1[Machine_ID],[2]!Table1[Machine_ID])</f>
        <v>M007</v>
      </c>
      <c r="N1627" t="str">
        <f>_xlfn.XLOOKUP(E1627,[3]Sheet1!$A$2:$A$391,[3]Sheet1!$A$2:$A$391)</f>
        <v>PO10108</v>
      </c>
    </row>
    <row r="1628" spans="1:14" x14ac:dyDescent="0.2">
      <c r="A1628" t="s">
        <v>1637</v>
      </c>
      <c r="B1628" s="2">
        <v>46286</v>
      </c>
      <c r="C1628" t="s">
        <v>2941</v>
      </c>
      <c r="D1628" t="s">
        <v>2948</v>
      </c>
      <c r="E1628" t="s">
        <v>3058</v>
      </c>
      <c r="F1628" s="3">
        <v>46286.78067403903</v>
      </c>
      <c r="G1628" s="3">
        <v>46286.782212910992</v>
      </c>
      <c r="H1628">
        <v>2.2200000000000002</v>
      </c>
      <c r="I1628" t="s">
        <v>3147</v>
      </c>
      <c r="J1628" t="s">
        <v>3153</v>
      </c>
      <c r="K1628" t="s">
        <v>3172</v>
      </c>
      <c r="L1628" t="str">
        <f>_xlfn.XLOOKUP(C1628,[1]!Table1[Shift_ID],[1]!Table1[Shift_ID])</f>
        <v>S02</v>
      </c>
      <c r="M1628" t="str">
        <f>_xlfn.XLOOKUP(D1628,[2]!Table1[Machine_ID],[2]!Table1[Machine_ID])</f>
        <v>M007</v>
      </c>
      <c r="N1628" t="str">
        <f>_xlfn.XLOOKUP(E1628,[3]Sheet1!$A$2:$A$391,[3]Sheet1!$A$2:$A$391)</f>
        <v>PO10108</v>
      </c>
    </row>
    <row r="1629" spans="1:14" x14ac:dyDescent="0.2">
      <c r="A1629" t="s">
        <v>1638</v>
      </c>
      <c r="B1629" s="2">
        <v>46286</v>
      </c>
      <c r="C1629" t="s">
        <v>2941</v>
      </c>
      <c r="D1629" t="s">
        <v>2948</v>
      </c>
      <c r="E1629" t="s">
        <v>3058</v>
      </c>
      <c r="F1629" s="3">
        <v>46286.831326136853</v>
      </c>
      <c r="G1629" s="3">
        <v>46286.832865008808</v>
      </c>
      <c r="H1629">
        <v>2.2200000000000002</v>
      </c>
      <c r="I1629" t="s">
        <v>3147</v>
      </c>
      <c r="J1629" t="s">
        <v>3153</v>
      </c>
      <c r="K1629" t="s">
        <v>3172</v>
      </c>
      <c r="L1629" t="str">
        <f>_xlfn.XLOOKUP(C1629,[1]!Table1[Shift_ID],[1]!Table1[Shift_ID])</f>
        <v>S02</v>
      </c>
      <c r="M1629" t="str">
        <f>_xlfn.XLOOKUP(D1629,[2]!Table1[Machine_ID],[2]!Table1[Machine_ID])</f>
        <v>M007</v>
      </c>
      <c r="N1629" t="str">
        <f>_xlfn.XLOOKUP(E1629,[3]Sheet1!$A$2:$A$391,[3]Sheet1!$A$2:$A$391)</f>
        <v>PO10108</v>
      </c>
    </row>
    <row r="1630" spans="1:14" x14ac:dyDescent="0.2">
      <c r="A1630" t="s">
        <v>1639</v>
      </c>
      <c r="B1630" s="2">
        <v>46286</v>
      </c>
      <c r="C1630" t="s">
        <v>2941</v>
      </c>
      <c r="D1630" t="s">
        <v>2948</v>
      </c>
      <c r="E1630" t="s">
        <v>3058</v>
      </c>
      <c r="F1630" s="3">
        <v>46286.836646562428</v>
      </c>
      <c r="G1630" s="3">
        <v>46286.84081144954</v>
      </c>
      <c r="H1630">
        <v>6</v>
      </c>
      <c r="I1630" t="s">
        <v>3148</v>
      </c>
      <c r="J1630" t="s">
        <v>3155</v>
      </c>
      <c r="K1630" t="s">
        <v>3173</v>
      </c>
      <c r="L1630" t="str">
        <f>_xlfn.XLOOKUP(C1630,[1]!Table1[Shift_ID],[1]!Table1[Shift_ID])</f>
        <v>S02</v>
      </c>
      <c r="M1630" t="str">
        <f>_xlfn.XLOOKUP(D1630,[2]!Table1[Machine_ID],[2]!Table1[Machine_ID])</f>
        <v>M007</v>
      </c>
      <c r="N1630" t="str">
        <f>_xlfn.XLOOKUP(E1630,[3]Sheet1!$A$2:$A$391,[3]Sheet1!$A$2:$A$391)</f>
        <v>PO10108</v>
      </c>
    </row>
    <row r="1631" spans="1:14" x14ac:dyDescent="0.2">
      <c r="A1631" t="s">
        <v>1640</v>
      </c>
      <c r="B1631" s="2">
        <v>46286</v>
      </c>
      <c r="C1631" t="s">
        <v>2941</v>
      </c>
      <c r="D1631" t="s">
        <v>2949</v>
      </c>
      <c r="E1631" t="s">
        <v>3058</v>
      </c>
      <c r="F1631" s="3">
        <v>46286.60457573022</v>
      </c>
      <c r="G1631" s="3">
        <v>46286.607414696307</v>
      </c>
      <c r="H1631">
        <v>4.09</v>
      </c>
      <c r="I1631" t="s">
        <v>3148</v>
      </c>
      <c r="J1631" t="s">
        <v>3164</v>
      </c>
      <c r="K1631" t="s">
        <v>3173</v>
      </c>
      <c r="L1631" t="str">
        <f>_xlfn.XLOOKUP(C1631,[1]!Table1[Shift_ID],[1]!Table1[Shift_ID])</f>
        <v>S02</v>
      </c>
      <c r="M1631" t="str">
        <f>_xlfn.XLOOKUP(D1631,[2]!Table1[Machine_ID],[2]!Table1[Machine_ID])</f>
        <v>M008</v>
      </c>
      <c r="N1631" t="str">
        <f>_xlfn.XLOOKUP(E1631,[3]Sheet1!$A$2:$A$391,[3]Sheet1!$A$2:$A$391)</f>
        <v>PO10108</v>
      </c>
    </row>
    <row r="1632" spans="1:14" x14ac:dyDescent="0.2">
      <c r="A1632" t="s">
        <v>1641</v>
      </c>
      <c r="B1632" s="2">
        <v>46286</v>
      </c>
      <c r="C1632" t="s">
        <v>2941</v>
      </c>
      <c r="D1632" t="s">
        <v>2949</v>
      </c>
      <c r="E1632" t="s">
        <v>3058</v>
      </c>
      <c r="F1632" s="3">
        <v>46286.719230705392</v>
      </c>
      <c r="G1632" s="3">
        <v>46286.721407753852</v>
      </c>
      <c r="H1632">
        <v>3.13</v>
      </c>
      <c r="I1632" t="s">
        <v>3149</v>
      </c>
      <c r="J1632" t="s">
        <v>3158</v>
      </c>
      <c r="K1632" t="s">
        <v>3176</v>
      </c>
      <c r="L1632" t="str">
        <f>_xlfn.XLOOKUP(C1632,[1]!Table1[Shift_ID],[1]!Table1[Shift_ID])</f>
        <v>S02</v>
      </c>
      <c r="M1632" t="str">
        <f>_xlfn.XLOOKUP(D1632,[2]!Table1[Machine_ID],[2]!Table1[Machine_ID])</f>
        <v>M008</v>
      </c>
      <c r="N1632" t="str">
        <f>_xlfn.XLOOKUP(E1632,[3]Sheet1!$A$2:$A$391,[3]Sheet1!$A$2:$A$391)</f>
        <v>PO10108</v>
      </c>
    </row>
    <row r="1633" spans="1:14" x14ac:dyDescent="0.2">
      <c r="A1633" t="s">
        <v>1642</v>
      </c>
      <c r="B1633" s="2">
        <v>46287</v>
      </c>
      <c r="C1633" t="s">
        <v>2939</v>
      </c>
      <c r="D1633" t="s">
        <v>2942</v>
      </c>
      <c r="E1633" t="s">
        <v>3059</v>
      </c>
      <c r="F1633" s="3">
        <v>46288.133704004737</v>
      </c>
      <c r="G1633" s="3">
        <v>46288.135383625871</v>
      </c>
      <c r="H1633">
        <v>2.42</v>
      </c>
      <c r="I1633" t="s">
        <v>3151</v>
      </c>
      <c r="J1633" t="s">
        <v>3161</v>
      </c>
      <c r="K1633" t="s">
        <v>3187</v>
      </c>
      <c r="L1633" t="str">
        <f>_xlfn.XLOOKUP(C1633,[1]!Table1[Shift_ID],[1]!Table1[Shift_ID])</f>
        <v>S03</v>
      </c>
      <c r="M1633" t="str">
        <f>_xlfn.XLOOKUP(D1633,[2]!Table1[Machine_ID],[2]!Table1[Machine_ID])</f>
        <v>M001</v>
      </c>
      <c r="N1633" t="str">
        <f>_xlfn.XLOOKUP(E1633,[3]Sheet1!$A$2:$A$391,[3]Sheet1!$A$2:$A$391)</f>
        <v>PO10109</v>
      </c>
    </row>
    <row r="1634" spans="1:14" x14ac:dyDescent="0.2">
      <c r="A1634" t="s">
        <v>1643</v>
      </c>
      <c r="B1634" s="2">
        <v>46287</v>
      </c>
      <c r="C1634" t="s">
        <v>2939</v>
      </c>
      <c r="D1634" t="s">
        <v>2942</v>
      </c>
      <c r="E1634" t="s">
        <v>3059</v>
      </c>
      <c r="F1634" s="3">
        <v>46288.15113963624</v>
      </c>
      <c r="G1634" s="3">
        <v>46288.15617780215</v>
      </c>
      <c r="H1634">
        <v>7.25</v>
      </c>
      <c r="I1634" t="s">
        <v>3149</v>
      </c>
      <c r="J1634" t="s">
        <v>3158</v>
      </c>
      <c r="K1634" t="s">
        <v>3182</v>
      </c>
      <c r="L1634" t="str">
        <f>_xlfn.XLOOKUP(C1634,[1]!Table1[Shift_ID],[1]!Table1[Shift_ID])</f>
        <v>S03</v>
      </c>
      <c r="M1634" t="str">
        <f>_xlfn.XLOOKUP(D1634,[2]!Table1[Machine_ID],[2]!Table1[Machine_ID])</f>
        <v>M001</v>
      </c>
      <c r="N1634" t="str">
        <f>_xlfn.XLOOKUP(E1634,[3]Sheet1!$A$2:$A$391,[3]Sheet1!$A$2:$A$391)</f>
        <v>PO10109</v>
      </c>
    </row>
    <row r="1635" spans="1:14" x14ac:dyDescent="0.2">
      <c r="A1635" t="s">
        <v>1644</v>
      </c>
      <c r="B1635" s="2">
        <v>46287</v>
      </c>
      <c r="C1635" t="s">
        <v>2939</v>
      </c>
      <c r="D1635" t="s">
        <v>2943</v>
      </c>
      <c r="E1635" t="s">
        <v>3059</v>
      </c>
      <c r="F1635" s="3">
        <v>46288.076923549823</v>
      </c>
      <c r="G1635" s="3">
        <v>46288.086197163961</v>
      </c>
      <c r="H1635">
        <v>13.35</v>
      </c>
      <c r="I1635" t="s">
        <v>3150</v>
      </c>
      <c r="J1635" t="s">
        <v>3160</v>
      </c>
      <c r="K1635" t="s">
        <v>3179</v>
      </c>
      <c r="L1635" t="str">
        <f>_xlfn.XLOOKUP(C1635,[1]!Table1[Shift_ID],[1]!Table1[Shift_ID])</f>
        <v>S03</v>
      </c>
      <c r="M1635" t="str">
        <f>_xlfn.XLOOKUP(D1635,[2]!Table1[Machine_ID],[2]!Table1[Machine_ID])</f>
        <v>M002</v>
      </c>
      <c r="N1635" t="str">
        <f>_xlfn.XLOOKUP(E1635,[3]Sheet1!$A$2:$A$391,[3]Sheet1!$A$2:$A$391)</f>
        <v>PO10109</v>
      </c>
    </row>
    <row r="1636" spans="1:14" x14ac:dyDescent="0.2">
      <c r="A1636" t="s">
        <v>1645</v>
      </c>
      <c r="B1636" s="2">
        <v>46287</v>
      </c>
      <c r="C1636" t="s">
        <v>2939</v>
      </c>
      <c r="D1636" t="s">
        <v>2944</v>
      </c>
      <c r="E1636" t="s">
        <v>3059</v>
      </c>
      <c r="F1636" s="3">
        <v>46288.161778389287</v>
      </c>
      <c r="G1636" s="3">
        <v>46288.173886553494</v>
      </c>
      <c r="H1636">
        <v>17.440000000000001</v>
      </c>
      <c r="I1636" t="s">
        <v>3151</v>
      </c>
      <c r="J1636" t="s">
        <v>3169</v>
      </c>
      <c r="K1636" t="s">
        <v>3188</v>
      </c>
      <c r="L1636" t="str">
        <f>_xlfn.XLOOKUP(C1636,[1]!Table1[Shift_ID],[1]!Table1[Shift_ID])</f>
        <v>S03</v>
      </c>
      <c r="M1636" t="str">
        <f>_xlfn.XLOOKUP(D1636,[2]!Table1[Machine_ID],[2]!Table1[Machine_ID])</f>
        <v>M003</v>
      </c>
      <c r="N1636" t="str">
        <f>_xlfn.XLOOKUP(E1636,[3]Sheet1!$A$2:$A$391,[3]Sheet1!$A$2:$A$391)</f>
        <v>PO10109</v>
      </c>
    </row>
    <row r="1637" spans="1:14" x14ac:dyDescent="0.2">
      <c r="A1637" t="s">
        <v>1646</v>
      </c>
      <c r="B1637" s="2">
        <v>46287</v>
      </c>
      <c r="C1637" t="s">
        <v>2939</v>
      </c>
      <c r="D1637" t="s">
        <v>2945</v>
      </c>
      <c r="E1637" t="s">
        <v>3059</v>
      </c>
      <c r="F1637" s="3">
        <v>46287.926446784179</v>
      </c>
      <c r="G1637" s="3">
        <v>46287.928336206613</v>
      </c>
      <c r="H1637">
        <v>2.72</v>
      </c>
      <c r="I1637" t="s">
        <v>3149</v>
      </c>
      <c r="J1637" t="s">
        <v>3168</v>
      </c>
      <c r="K1637" t="s">
        <v>3182</v>
      </c>
      <c r="L1637" t="str">
        <f>_xlfn.XLOOKUP(C1637,[1]!Table1[Shift_ID],[1]!Table1[Shift_ID])</f>
        <v>S03</v>
      </c>
      <c r="M1637" t="str">
        <f>_xlfn.XLOOKUP(D1637,[2]!Table1[Machine_ID],[2]!Table1[Machine_ID])</f>
        <v>M004</v>
      </c>
      <c r="N1637" t="str">
        <f>_xlfn.XLOOKUP(E1637,[3]Sheet1!$A$2:$A$391,[3]Sheet1!$A$2:$A$391)</f>
        <v>PO10109</v>
      </c>
    </row>
    <row r="1638" spans="1:14" x14ac:dyDescent="0.2">
      <c r="A1638" t="s">
        <v>1647</v>
      </c>
      <c r="B1638" s="2">
        <v>46287</v>
      </c>
      <c r="C1638" t="s">
        <v>2939</v>
      </c>
      <c r="D1638" t="s">
        <v>2945</v>
      </c>
      <c r="E1638" t="s">
        <v>3059</v>
      </c>
      <c r="F1638" s="3">
        <v>46288.017746923608</v>
      </c>
      <c r="G1638" s="3">
        <v>46288.019053017051</v>
      </c>
      <c r="H1638">
        <v>1.88</v>
      </c>
      <c r="I1638" t="s">
        <v>3147</v>
      </c>
      <c r="J1638" t="s">
        <v>3153</v>
      </c>
      <c r="K1638" t="s">
        <v>3186</v>
      </c>
      <c r="L1638" t="str">
        <f>_xlfn.XLOOKUP(C1638,[1]!Table1[Shift_ID],[1]!Table1[Shift_ID])</f>
        <v>S03</v>
      </c>
      <c r="M1638" t="str">
        <f>_xlfn.XLOOKUP(D1638,[2]!Table1[Machine_ID],[2]!Table1[Machine_ID])</f>
        <v>M004</v>
      </c>
      <c r="N1638" t="str">
        <f>_xlfn.XLOOKUP(E1638,[3]Sheet1!$A$2:$A$391,[3]Sheet1!$A$2:$A$391)</f>
        <v>PO10109</v>
      </c>
    </row>
    <row r="1639" spans="1:14" x14ac:dyDescent="0.2">
      <c r="A1639" t="s">
        <v>1648</v>
      </c>
      <c r="B1639" s="2">
        <v>46287</v>
      </c>
      <c r="C1639" t="s">
        <v>2939</v>
      </c>
      <c r="D1639" t="s">
        <v>2945</v>
      </c>
      <c r="E1639" t="s">
        <v>3059</v>
      </c>
      <c r="F1639" s="3">
        <v>46288.135009286663</v>
      </c>
      <c r="G1639" s="3">
        <v>46288.136315380107</v>
      </c>
      <c r="H1639">
        <v>1.88</v>
      </c>
      <c r="I1639" t="s">
        <v>3147</v>
      </c>
      <c r="J1639" t="s">
        <v>3154</v>
      </c>
      <c r="K1639" t="s">
        <v>3172</v>
      </c>
      <c r="L1639" t="str">
        <f>_xlfn.XLOOKUP(C1639,[1]!Table1[Shift_ID],[1]!Table1[Shift_ID])</f>
        <v>S03</v>
      </c>
      <c r="M1639" t="str">
        <f>_xlfn.XLOOKUP(D1639,[2]!Table1[Machine_ID],[2]!Table1[Machine_ID])</f>
        <v>M004</v>
      </c>
      <c r="N1639" t="str">
        <f>_xlfn.XLOOKUP(E1639,[3]Sheet1!$A$2:$A$391,[3]Sheet1!$A$2:$A$391)</f>
        <v>PO10109</v>
      </c>
    </row>
    <row r="1640" spans="1:14" x14ac:dyDescent="0.2">
      <c r="A1640" t="s">
        <v>1649</v>
      </c>
      <c r="B1640" s="2">
        <v>46287</v>
      </c>
      <c r="C1640" t="s">
        <v>2939</v>
      </c>
      <c r="D1640" t="s">
        <v>2945</v>
      </c>
      <c r="E1640" t="s">
        <v>3059</v>
      </c>
      <c r="F1640" s="3">
        <v>46288.158506306943</v>
      </c>
      <c r="G1640" s="3">
        <v>46288.159812400379</v>
      </c>
      <c r="H1640">
        <v>1.88</v>
      </c>
      <c r="I1640" t="s">
        <v>3149</v>
      </c>
      <c r="J1640" t="s">
        <v>3162</v>
      </c>
      <c r="K1640" t="s">
        <v>3176</v>
      </c>
      <c r="L1640" t="str">
        <f>_xlfn.XLOOKUP(C1640,[1]!Table1[Shift_ID],[1]!Table1[Shift_ID])</f>
        <v>S03</v>
      </c>
      <c r="M1640" t="str">
        <f>_xlfn.XLOOKUP(D1640,[2]!Table1[Machine_ID],[2]!Table1[Machine_ID])</f>
        <v>M004</v>
      </c>
      <c r="N1640" t="str">
        <f>_xlfn.XLOOKUP(E1640,[3]Sheet1!$A$2:$A$391,[3]Sheet1!$A$2:$A$391)</f>
        <v>PO10109</v>
      </c>
    </row>
    <row r="1641" spans="1:14" x14ac:dyDescent="0.2">
      <c r="A1641" t="s">
        <v>1650</v>
      </c>
      <c r="B1641" s="2">
        <v>46287</v>
      </c>
      <c r="C1641" t="s">
        <v>2939</v>
      </c>
      <c r="D1641" t="s">
        <v>2945</v>
      </c>
      <c r="E1641" t="s">
        <v>3059</v>
      </c>
      <c r="F1641" s="3">
        <v>46288.196973870807</v>
      </c>
      <c r="G1641" s="3">
        <v>46288.198964291587</v>
      </c>
      <c r="H1641">
        <v>2.87</v>
      </c>
      <c r="I1641" t="s">
        <v>3149</v>
      </c>
      <c r="J1641" t="s">
        <v>3158</v>
      </c>
      <c r="K1641" t="s">
        <v>3182</v>
      </c>
      <c r="L1641" t="str">
        <f>_xlfn.XLOOKUP(C1641,[1]!Table1[Shift_ID],[1]!Table1[Shift_ID])</f>
        <v>S03</v>
      </c>
      <c r="M1641" t="str">
        <f>_xlfn.XLOOKUP(D1641,[2]!Table1[Machine_ID],[2]!Table1[Machine_ID])</f>
        <v>M004</v>
      </c>
      <c r="N1641" t="str">
        <f>_xlfn.XLOOKUP(E1641,[3]Sheet1!$A$2:$A$391,[3]Sheet1!$A$2:$A$391)</f>
        <v>PO10109</v>
      </c>
    </row>
    <row r="1642" spans="1:14" x14ac:dyDescent="0.2">
      <c r="A1642" t="s">
        <v>1651</v>
      </c>
      <c r="B1642" s="2">
        <v>46287</v>
      </c>
      <c r="C1642" t="s">
        <v>2939</v>
      </c>
      <c r="D1642" t="s">
        <v>2946</v>
      </c>
      <c r="E1642" t="s">
        <v>3059</v>
      </c>
      <c r="F1642" s="3">
        <v>46287.974844650264</v>
      </c>
      <c r="G1642" s="3">
        <v>46287.98430576831</v>
      </c>
      <c r="H1642">
        <v>13.62</v>
      </c>
      <c r="I1642" t="s">
        <v>3149</v>
      </c>
      <c r="J1642" t="s">
        <v>3158</v>
      </c>
      <c r="K1642" t="s">
        <v>3184</v>
      </c>
      <c r="L1642" t="str">
        <f>_xlfn.XLOOKUP(C1642,[1]!Table1[Shift_ID],[1]!Table1[Shift_ID])</f>
        <v>S03</v>
      </c>
      <c r="M1642" t="str">
        <f>_xlfn.XLOOKUP(D1642,[2]!Table1[Machine_ID],[2]!Table1[Machine_ID])</f>
        <v>M005</v>
      </c>
      <c r="N1642" t="str">
        <f>_xlfn.XLOOKUP(E1642,[3]Sheet1!$A$2:$A$391,[3]Sheet1!$A$2:$A$391)</f>
        <v>PO10109</v>
      </c>
    </row>
    <row r="1643" spans="1:14" x14ac:dyDescent="0.2">
      <c r="A1643" t="s">
        <v>1652</v>
      </c>
      <c r="B1643" s="2">
        <v>46287</v>
      </c>
      <c r="C1643" t="s">
        <v>2939</v>
      </c>
      <c r="D1643" t="s">
        <v>2947</v>
      </c>
      <c r="E1643" t="s">
        <v>3059</v>
      </c>
      <c r="F1643" s="3">
        <v>46288.034149967352</v>
      </c>
      <c r="G1643" s="3">
        <v>46288.063033952938</v>
      </c>
      <c r="H1643">
        <v>41.59</v>
      </c>
      <c r="I1643" t="s">
        <v>3150</v>
      </c>
      <c r="J1643" t="s">
        <v>3159</v>
      </c>
      <c r="K1643" t="s">
        <v>3178</v>
      </c>
      <c r="L1643" t="str">
        <f>_xlfn.XLOOKUP(C1643,[1]!Table1[Shift_ID],[1]!Table1[Shift_ID])</f>
        <v>S03</v>
      </c>
      <c r="M1643" t="str">
        <f>_xlfn.XLOOKUP(D1643,[2]!Table1[Machine_ID],[2]!Table1[Machine_ID])</f>
        <v>M006</v>
      </c>
      <c r="N1643" t="str">
        <f>_xlfn.XLOOKUP(E1643,[3]Sheet1!$A$2:$A$391,[3]Sheet1!$A$2:$A$391)</f>
        <v>PO10109</v>
      </c>
    </row>
    <row r="1644" spans="1:14" x14ac:dyDescent="0.2">
      <c r="A1644" t="s">
        <v>1653</v>
      </c>
      <c r="B1644" s="2">
        <v>46287</v>
      </c>
      <c r="C1644" t="s">
        <v>2939</v>
      </c>
      <c r="D1644" t="s">
        <v>2948</v>
      </c>
      <c r="E1644" t="s">
        <v>3059</v>
      </c>
      <c r="F1644" s="3">
        <v>46288.003224559652</v>
      </c>
      <c r="G1644" s="3">
        <v>46288.005658736867</v>
      </c>
      <c r="H1644">
        <v>3.51</v>
      </c>
      <c r="I1644" t="s">
        <v>3147</v>
      </c>
      <c r="J1644" t="s">
        <v>3167</v>
      </c>
      <c r="K1644" t="s">
        <v>3172</v>
      </c>
      <c r="L1644" t="str">
        <f>_xlfn.XLOOKUP(C1644,[1]!Table1[Shift_ID],[1]!Table1[Shift_ID])</f>
        <v>S03</v>
      </c>
      <c r="M1644" t="str">
        <f>_xlfn.XLOOKUP(D1644,[2]!Table1[Machine_ID],[2]!Table1[Machine_ID])</f>
        <v>M007</v>
      </c>
      <c r="N1644" t="str">
        <f>_xlfn.XLOOKUP(E1644,[3]Sheet1!$A$2:$A$391,[3]Sheet1!$A$2:$A$391)</f>
        <v>PO10109</v>
      </c>
    </row>
    <row r="1645" spans="1:14" x14ac:dyDescent="0.2">
      <c r="A1645" t="s">
        <v>1654</v>
      </c>
      <c r="B1645" s="2">
        <v>46287</v>
      </c>
      <c r="C1645" t="s">
        <v>2939</v>
      </c>
      <c r="D1645" t="s">
        <v>2948</v>
      </c>
      <c r="E1645" t="s">
        <v>3059</v>
      </c>
      <c r="F1645" s="3">
        <v>46288.010177312892</v>
      </c>
      <c r="G1645" s="3">
        <v>46288.013041092672</v>
      </c>
      <c r="H1645">
        <v>4.12</v>
      </c>
      <c r="I1645" t="s">
        <v>3150</v>
      </c>
      <c r="J1645" t="s">
        <v>3159</v>
      </c>
      <c r="K1645" t="s">
        <v>3178</v>
      </c>
      <c r="L1645" t="str">
        <f>_xlfn.XLOOKUP(C1645,[1]!Table1[Shift_ID],[1]!Table1[Shift_ID])</f>
        <v>S03</v>
      </c>
      <c r="M1645" t="str">
        <f>_xlfn.XLOOKUP(D1645,[2]!Table1[Machine_ID],[2]!Table1[Machine_ID])</f>
        <v>M007</v>
      </c>
      <c r="N1645" t="str">
        <f>_xlfn.XLOOKUP(E1645,[3]Sheet1!$A$2:$A$391,[3]Sheet1!$A$2:$A$391)</f>
        <v>PO10109</v>
      </c>
    </row>
    <row r="1646" spans="1:14" x14ac:dyDescent="0.2">
      <c r="A1646" t="s">
        <v>1655</v>
      </c>
      <c r="B1646" s="2">
        <v>46287</v>
      </c>
      <c r="C1646" t="s">
        <v>2939</v>
      </c>
      <c r="D1646" t="s">
        <v>2948</v>
      </c>
      <c r="E1646" t="s">
        <v>3059</v>
      </c>
      <c r="F1646" s="3">
        <v>46288.023179256692</v>
      </c>
      <c r="G1646" s="3">
        <v>46288.026925938568</v>
      </c>
      <c r="H1646">
        <v>5.4</v>
      </c>
      <c r="I1646" t="s">
        <v>3147</v>
      </c>
      <c r="J1646" t="s">
        <v>3153</v>
      </c>
      <c r="K1646" t="s">
        <v>3185</v>
      </c>
      <c r="L1646" t="str">
        <f>_xlfn.XLOOKUP(C1646,[1]!Table1[Shift_ID],[1]!Table1[Shift_ID])</f>
        <v>S03</v>
      </c>
      <c r="M1646" t="str">
        <f>_xlfn.XLOOKUP(D1646,[2]!Table1[Machine_ID],[2]!Table1[Machine_ID])</f>
        <v>M007</v>
      </c>
      <c r="N1646" t="str">
        <f>_xlfn.XLOOKUP(E1646,[3]Sheet1!$A$2:$A$391,[3]Sheet1!$A$2:$A$391)</f>
        <v>PO10109</v>
      </c>
    </row>
    <row r="1647" spans="1:14" x14ac:dyDescent="0.2">
      <c r="A1647" t="s">
        <v>1656</v>
      </c>
      <c r="B1647" s="2">
        <v>46287</v>
      </c>
      <c r="C1647" t="s">
        <v>2939</v>
      </c>
      <c r="D1647" t="s">
        <v>2948</v>
      </c>
      <c r="E1647" t="s">
        <v>3059</v>
      </c>
      <c r="F1647" s="3">
        <v>46288.057554955543</v>
      </c>
      <c r="G1647" s="3">
        <v>46288.062223756497</v>
      </c>
      <c r="H1647">
        <v>6.72</v>
      </c>
      <c r="I1647" t="s">
        <v>3149</v>
      </c>
      <c r="J1647" t="s">
        <v>3168</v>
      </c>
      <c r="K1647" t="s">
        <v>3176</v>
      </c>
      <c r="L1647" t="str">
        <f>_xlfn.XLOOKUP(C1647,[1]!Table1[Shift_ID],[1]!Table1[Shift_ID])</f>
        <v>S03</v>
      </c>
      <c r="M1647" t="str">
        <f>_xlfn.XLOOKUP(D1647,[2]!Table1[Machine_ID],[2]!Table1[Machine_ID])</f>
        <v>M007</v>
      </c>
      <c r="N1647" t="str">
        <f>_xlfn.XLOOKUP(E1647,[3]Sheet1!$A$2:$A$391,[3]Sheet1!$A$2:$A$391)</f>
        <v>PO10109</v>
      </c>
    </row>
    <row r="1648" spans="1:14" x14ac:dyDescent="0.2">
      <c r="A1648" t="s">
        <v>1657</v>
      </c>
      <c r="B1648" s="2">
        <v>46287</v>
      </c>
      <c r="C1648" t="s">
        <v>2939</v>
      </c>
      <c r="D1648" t="s">
        <v>2949</v>
      </c>
      <c r="E1648" t="s">
        <v>3059</v>
      </c>
      <c r="F1648" s="3">
        <v>46288.004032749719</v>
      </c>
      <c r="G1648" s="3">
        <v>46288.009670777566</v>
      </c>
      <c r="H1648">
        <v>8.1199999999999992</v>
      </c>
      <c r="I1648" t="s">
        <v>3150</v>
      </c>
      <c r="J1648" t="s">
        <v>3166</v>
      </c>
      <c r="K1648" t="s">
        <v>3178</v>
      </c>
      <c r="L1648" t="str">
        <f>_xlfn.XLOOKUP(C1648,[1]!Table1[Shift_ID],[1]!Table1[Shift_ID])</f>
        <v>S03</v>
      </c>
      <c r="M1648" t="str">
        <f>_xlfn.XLOOKUP(D1648,[2]!Table1[Machine_ID],[2]!Table1[Machine_ID])</f>
        <v>M008</v>
      </c>
      <c r="N1648" t="str">
        <f>_xlfn.XLOOKUP(E1648,[3]Sheet1!$A$2:$A$391,[3]Sheet1!$A$2:$A$391)</f>
        <v>PO10109</v>
      </c>
    </row>
    <row r="1649" spans="1:14" x14ac:dyDescent="0.2">
      <c r="A1649" t="s">
        <v>1658</v>
      </c>
      <c r="B1649" s="2">
        <v>46287</v>
      </c>
      <c r="C1649" t="s">
        <v>2940</v>
      </c>
      <c r="D1649" t="s">
        <v>2942</v>
      </c>
      <c r="E1649" t="s">
        <v>3060</v>
      </c>
      <c r="F1649" s="3">
        <v>46287.288674323638</v>
      </c>
      <c r="G1649" s="3">
        <v>46287.291024123813</v>
      </c>
      <c r="H1649">
        <v>3.38</v>
      </c>
      <c r="I1649" t="s">
        <v>3147</v>
      </c>
      <c r="J1649" t="s">
        <v>3154</v>
      </c>
      <c r="K1649" t="s">
        <v>3185</v>
      </c>
      <c r="L1649" t="str">
        <f>_xlfn.XLOOKUP(C1649,[1]!Table1[Shift_ID],[1]!Table1[Shift_ID])</f>
        <v>S01</v>
      </c>
      <c r="M1649" t="str">
        <f>_xlfn.XLOOKUP(D1649,[2]!Table1[Machine_ID],[2]!Table1[Machine_ID])</f>
        <v>M001</v>
      </c>
      <c r="N1649" t="str">
        <f>_xlfn.XLOOKUP(E1649,[3]Sheet1!$A$2:$A$391,[3]Sheet1!$A$2:$A$391)</f>
        <v>PO10110</v>
      </c>
    </row>
    <row r="1650" spans="1:14" x14ac:dyDescent="0.2">
      <c r="A1650" t="s">
        <v>1659</v>
      </c>
      <c r="B1650" s="2">
        <v>46287</v>
      </c>
      <c r="C1650" t="s">
        <v>2940</v>
      </c>
      <c r="D1650" t="s">
        <v>2942</v>
      </c>
      <c r="E1650" t="s">
        <v>3060</v>
      </c>
      <c r="F1650" s="3">
        <v>46287.356055094198</v>
      </c>
      <c r="G1650" s="3">
        <v>46287.360902012209</v>
      </c>
      <c r="H1650">
        <v>6.98</v>
      </c>
      <c r="I1650" t="s">
        <v>3151</v>
      </c>
      <c r="J1650" t="s">
        <v>3161</v>
      </c>
      <c r="K1650" t="s">
        <v>3181</v>
      </c>
      <c r="L1650" t="str">
        <f>_xlfn.XLOOKUP(C1650,[1]!Table1[Shift_ID],[1]!Table1[Shift_ID])</f>
        <v>S01</v>
      </c>
      <c r="M1650" t="str">
        <f>_xlfn.XLOOKUP(D1650,[2]!Table1[Machine_ID],[2]!Table1[Machine_ID])</f>
        <v>M001</v>
      </c>
      <c r="N1650" t="str">
        <f>_xlfn.XLOOKUP(E1650,[3]Sheet1!$A$2:$A$391,[3]Sheet1!$A$2:$A$391)</f>
        <v>PO10110</v>
      </c>
    </row>
    <row r="1651" spans="1:14" x14ac:dyDescent="0.2">
      <c r="A1651" t="s">
        <v>1660</v>
      </c>
      <c r="B1651" s="2">
        <v>46287</v>
      </c>
      <c r="C1651" t="s">
        <v>2940</v>
      </c>
      <c r="D1651" t="s">
        <v>2943</v>
      </c>
      <c r="E1651" t="s">
        <v>3060</v>
      </c>
      <c r="F1651" s="3">
        <v>46287.385819184121</v>
      </c>
      <c r="G1651" s="3">
        <v>46287.395526228996</v>
      </c>
      <c r="H1651">
        <v>13.98</v>
      </c>
      <c r="I1651" t="s">
        <v>3148</v>
      </c>
      <c r="J1651" t="s">
        <v>3155</v>
      </c>
      <c r="K1651" t="s">
        <v>3173</v>
      </c>
      <c r="L1651" t="str">
        <f>_xlfn.XLOOKUP(C1651,[1]!Table1[Shift_ID],[1]!Table1[Shift_ID])</f>
        <v>S01</v>
      </c>
      <c r="M1651" t="str">
        <f>_xlfn.XLOOKUP(D1651,[2]!Table1[Machine_ID],[2]!Table1[Machine_ID])</f>
        <v>M002</v>
      </c>
      <c r="N1651" t="str">
        <f>_xlfn.XLOOKUP(E1651,[3]Sheet1!$A$2:$A$391,[3]Sheet1!$A$2:$A$391)</f>
        <v>PO10110</v>
      </c>
    </row>
    <row r="1652" spans="1:14" x14ac:dyDescent="0.2">
      <c r="A1652" t="s">
        <v>1661</v>
      </c>
      <c r="B1652" s="2">
        <v>46287</v>
      </c>
      <c r="C1652" t="s">
        <v>2940</v>
      </c>
      <c r="D1652" t="s">
        <v>2944</v>
      </c>
      <c r="E1652" t="s">
        <v>3060</v>
      </c>
      <c r="F1652" s="3">
        <v>46287.291176568811</v>
      </c>
      <c r="G1652" s="3">
        <v>46287.303708192907</v>
      </c>
      <c r="H1652">
        <v>18.05</v>
      </c>
      <c r="I1652" t="s">
        <v>3146</v>
      </c>
      <c r="J1652" t="s">
        <v>3157</v>
      </c>
      <c r="K1652" t="s">
        <v>3174</v>
      </c>
      <c r="L1652" t="str">
        <f>_xlfn.XLOOKUP(C1652,[1]!Table1[Shift_ID],[1]!Table1[Shift_ID])</f>
        <v>S01</v>
      </c>
      <c r="M1652" t="str">
        <f>_xlfn.XLOOKUP(D1652,[2]!Table1[Machine_ID],[2]!Table1[Machine_ID])</f>
        <v>M003</v>
      </c>
      <c r="N1652" t="str">
        <f>_xlfn.XLOOKUP(E1652,[3]Sheet1!$A$2:$A$391,[3]Sheet1!$A$2:$A$391)</f>
        <v>PO10110</v>
      </c>
    </row>
    <row r="1653" spans="1:14" x14ac:dyDescent="0.2">
      <c r="A1653" t="s">
        <v>1662</v>
      </c>
      <c r="B1653" s="2">
        <v>46287</v>
      </c>
      <c r="C1653" t="s">
        <v>2940</v>
      </c>
      <c r="D1653" t="s">
        <v>2945</v>
      </c>
      <c r="E1653" t="s">
        <v>3060</v>
      </c>
      <c r="F1653" s="3">
        <v>46287.373631934453</v>
      </c>
      <c r="G1653" s="3">
        <v>46287.380982254283</v>
      </c>
      <c r="H1653">
        <v>10.58</v>
      </c>
      <c r="I1653" t="s">
        <v>3149</v>
      </c>
      <c r="J1653" t="s">
        <v>3162</v>
      </c>
      <c r="K1653" t="s">
        <v>3184</v>
      </c>
      <c r="L1653" t="str">
        <f>_xlfn.XLOOKUP(C1653,[1]!Table1[Shift_ID],[1]!Table1[Shift_ID])</f>
        <v>S01</v>
      </c>
      <c r="M1653" t="str">
        <f>_xlfn.XLOOKUP(D1653,[2]!Table1[Machine_ID],[2]!Table1[Machine_ID])</f>
        <v>M004</v>
      </c>
      <c r="N1653" t="str">
        <f>_xlfn.XLOOKUP(E1653,[3]Sheet1!$A$2:$A$391,[3]Sheet1!$A$2:$A$391)</f>
        <v>PO10110</v>
      </c>
    </row>
    <row r="1654" spans="1:14" x14ac:dyDescent="0.2">
      <c r="A1654" t="s">
        <v>1663</v>
      </c>
      <c r="B1654" s="2">
        <v>46287</v>
      </c>
      <c r="C1654" t="s">
        <v>2940</v>
      </c>
      <c r="D1654" t="s">
        <v>2946</v>
      </c>
      <c r="E1654" t="s">
        <v>3060</v>
      </c>
      <c r="F1654" s="3">
        <v>46287.563260148992</v>
      </c>
      <c r="G1654" s="3">
        <v>46287.572587860719</v>
      </c>
      <c r="H1654">
        <v>13.43</v>
      </c>
      <c r="I1654" t="s">
        <v>3147</v>
      </c>
      <c r="J1654" t="s">
        <v>3167</v>
      </c>
      <c r="K1654" t="s">
        <v>3172</v>
      </c>
      <c r="L1654" t="str">
        <f>_xlfn.XLOOKUP(C1654,[1]!Table1[Shift_ID],[1]!Table1[Shift_ID])</f>
        <v>S01</v>
      </c>
      <c r="M1654" t="str">
        <f>_xlfn.XLOOKUP(D1654,[2]!Table1[Machine_ID],[2]!Table1[Machine_ID])</f>
        <v>M005</v>
      </c>
      <c r="N1654" t="str">
        <f>_xlfn.XLOOKUP(E1654,[3]Sheet1!$A$2:$A$391,[3]Sheet1!$A$2:$A$391)</f>
        <v>PO10110</v>
      </c>
    </row>
    <row r="1655" spans="1:14" x14ac:dyDescent="0.2">
      <c r="A1655" t="s">
        <v>1664</v>
      </c>
      <c r="B1655" s="2">
        <v>46287</v>
      </c>
      <c r="C1655" t="s">
        <v>2940</v>
      </c>
      <c r="D1655" t="s">
        <v>2947</v>
      </c>
      <c r="E1655" t="s">
        <v>3060</v>
      </c>
      <c r="F1655" s="3">
        <v>46287.395656756948</v>
      </c>
      <c r="G1655" s="3">
        <v>46287.399823032851</v>
      </c>
      <c r="H1655">
        <v>6</v>
      </c>
      <c r="I1655" t="s">
        <v>3149</v>
      </c>
      <c r="J1655" t="s">
        <v>3162</v>
      </c>
      <c r="K1655" t="s">
        <v>3184</v>
      </c>
      <c r="L1655" t="str">
        <f>_xlfn.XLOOKUP(C1655,[1]!Table1[Shift_ID],[1]!Table1[Shift_ID])</f>
        <v>S01</v>
      </c>
      <c r="M1655" t="str">
        <f>_xlfn.XLOOKUP(D1655,[2]!Table1[Machine_ID],[2]!Table1[Machine_ID])</f>
        <v>M006</v>
      </c>
      <c r="N1655" t="str">
        <f>_xlfn.XLOOKUP(E1655,[3]Sheet1!$A$2:$A$391,[3]Sheet1!$A$2:$A$391)</f>
        <v>PO10110</v>
      </c>
    </row>
    <row r="1656" spans="1:14" x14ac:dyDescent="0.2">
      <c r="A1656" t="s">
        <v>1665</v>
      </c>
      <c r="B1656" s="2">
        <v>46287</v>
      </c>
      <c r="C1656" t="s">
        <v>2940</v>
      </c>
      <c r="D1656" t="s">
        <v>2947</v>
      </c>
      <c r="E1656" t="s">
        <v>3060</v>
      </c>
      <c r="F1656" s="3">
        <v>46287.432622889537</v>
      </c>
      <c r="G1656" s="3">
        <v>46287.446353338637</v>
      </c>
      <c r="H1656">
        <v>19.77</v>
      </c>
      <c r="I1656" t="s">
        <v>3150</v>
      </c>
      <c r="J1656" t="s">
        <v>3160</v>
      </c>
      <c r="K1656" t="s">
        <v>3177</v>
      </c>
      <c r="L1656" t="str">
        <f>_xlfn.XLOOKUP(C1656,[1]!Table1[Shift_ID],[1]!Table1[Shift_ID])</f>
        <v>S01</v>
      </c>
      <c r="M1656" t="str">
        <f>_xlfn.XLOOKUP(D1656,[2]!Table1[Machine_ID],[2]!Table1[Machine_ID])</f>
        <v>M006</v>
      </c>
      <c r="N1656" t="str">
        <f>_xlfn.XLOOKUP(E1656,[3]Sheet1!$A$2:$A$391,[3]Sheet1!$A$2:$A$391)</f>
        <v>PO10110</v>
      </c>
    </row>
    <row r="1657" spans="1:14" x14ac:dyDescent="0.2">
      <c r="A1657" t="s">
        <v>1666</v>
      </c>
      <c r="B1657" s="2">
        <v>46287</v>
      </c>
      <c r="C1657" t="s">
        <v>2940</v>
      </c>
      <c r="D1657" t="s">
        <v>2947</v>
      </c>
      <c r="E1657" t="s">
        <v>3060</v>
      </c>
      <c r="F1657" s="3">
        <v>46287.434733931943</v>
      </c>
      <c r="G1657" s="3">
        <v>46287.437463108967</v>
      </c>
      <c r="H1657">
        <v>3.93</v>
      </c>
      <c r="I1657" t="s">
        <v>3146</v>
      </c>
      <c r="J1657" t="s">
        <v>3156</v>
      </c>
      <c r="K1657" t="s">
        <v>3171</v>
      </c>
      <c r="L1657" t="str">
        <f>_xlfn.XLOOKUP(C1657,[1]!Table1[Shift_ID],[1]!Table1[Shift_ID])</f>
        <v>S01</v>
      </c>
      <c r="M1657" t="str">
        <f>_xlfn.XLOOKUP(D1657,[2]!Table1[Machine_ID],[2]!Table1[Machine_ID])</f>
        <v>M006</v>
      </c>
      <c r="N1657" t="str">
        <f>_xlfn.XLOOKUP(E1657,[3]Sheet1!$A$2:$A$391,[3]Sheet1!$A$2:$A$391)</f>
        <v>PO10110</v>
      </c>
    </row>
    <row r="1658" spans="1:14" x14ac:dyDescent="0.2">
      <c r="A1658" t="s">
        <v>1667</v>
      </c>
      <c r="B1658" s="2">
        <v>46287</v>
      </c>
      <c r="C1658" t="s">
        <v>2940</v>
      </c>
      <c r="D1658" t="s">
        <v>2947</v>
      </c>
      <c r="E1658" t="s">
        <v>3060</v>
      </c>
      <c r="F1658" s="3">
        <v>46287.558349429462</v>
      </c>
      <c r="G1658" s="3">
        <v>46287.560420116803</v>
      </c>
      <c r="H1658">
        <v>2.98</v>
      </c>
      <c r="I1658" t="s">
        <v>3148</v>
      </c>
      <c r="J1658" t="s">
        <v>3165</v>
      </c>
      <c r="K1658" t="s">
        <v>3173</v>
      </c>
      <c r="L1658" t="str">
        <f>_xlfn.XLOOKUP(C1658,[1]!Table1[Shift_ID],[1]!Table1[Shift_ID])</f>
        <v>S01</v>
      </c>
      <c r="M1658" t="str">
        <f>_xlfn.XLOOKUP(D1658,[2]!Table1[Machine_ID],[2]!Table1[Machine_ID])</f>
        <v>M006</v>
      </c>
      <c r="N1658" t="str">
        <f>_xlfn.XLOOKUP(E1658,[3]Sheet1!$A$2:$A$391,[3]Sheet1!$A$2:$A$391)</f>
        <v>PO10110</v>
      </c>
    </row>
    <row r="1659" spans="1:14" x14ac:dyDescent="0.2">
      <c r="A1659" t="s">
        <v>1668</v>
      </c>
      <c r="B1659" s="2">
        <v>46287</v>
      </c>
      <c r="C1659" t="s">
        <v>2940</v>
      </c>
      <c r="D1659" t="s">
        <v>2948</v>
      </c>
      <c r="E1659" t="s">
        <v>3060</v>
      </c>
      <c r="F1659" s="3">
        <v>46287.5046275188</v>
      </c>
      <c r="G1659" s="3">
        <v>46287.519760659561</v>
      </c>
      <c r="H1659">
        <v>21.79</v>
      </c>
      <c r="I1659" t="s">
        <v>3150</v>
      </c>
      <c r="J1659" t="s">
        <v>3163</v>
      </c>
      <c r="K1659" t="s">
        <v>3179</v>
      </c>
      <c r="L1659" t="str">
        <f>_xlfn.XLOOKUP(C1659,[1]!Table1[Shift_ID],[1]!Table1[Shift_ID])</f>
        <v>S01</v>
      </c>
      <c r="M1659" t="str">
        <f>_xlfn.XLOOKUP(D1659,[2]!Table1[Machine_ID],[2]!Table1[Machine_ID])</f>
        <v>M007</v>
      </c>
      <c r="N1659" t="str">
        <f>_xlfn.XLOOKUP(E1659,[3]Sheet1!$A$2:$A$391,[3]Sheet1!$A$2:$A$391)</f>
        <v>PO10110</v>
      </c>
    </row>
    <row r="1660" spans="1:14" x14ac:dyDescent="0.2">
      <c r="A1660" t="s">
        <v>1669</v>
      </c>
      <c r="B1660" s="2">
        <v>46287</v>
      </c>
      <c r="C1660" t="s">
        <v>2940</v>
      </c>
      <c r="D1660" t="s">
        <v>2949</v>
      </c>
      <c r="E1660" t="s">
        <v>3060</v>
      </c>
      <c r="F1660" s="3">
        <v>46287.275614855847</v>
      </c>
      <c r="G1660" s="3">
        <v>46287.280679323703</v>
      </c>
      <c r="H1660">
        <v>7.29</v>
      </c>
      <c r="I1660" t="s">
        <v>3149</v>
      </c>
      <c r="J1660" t="s">
        <v>3168</v>
      </c>
      <c r="K1660" t="s">
        <v>3182</v>
      </c>
      <c r="L1660" t="str">
        <f>_xlfn.XLOOKUP(C1660,[1]!Table1[Shift_ID],[1]!Table1[Shift_ID])</f>
        <v>S01</v>
      </c>
      <c r="M1660" t="str">
        <f>_xlfn.XLOOKUP(D1660,[2]!Table1[Machine_ID],[2]!Table1[Machine_ID])</f>
        <v>M008</v>
      </c>
      <c r="N1660" t="str">
        <f>_xlfn.XLOOKUP(E1660,[3]Sheet1!$A$2:$A$391,[3]Sheet1!$A$2:$A$391)</f>
        <v>PO10110</v>
      </c>
    </row>
    <row r="1661" spans="1:14" x14ac:dyDescent="0.2">
      <c r="A1661" t="s">
        <v>1670</v>
      </c>
      <c r="B1661" s="2">
        <v>46287</v>
      </c>
      <c r="C1661" t="s">
        <v>2940</v>
      </c>
      <c r="D1661" t="s">
        <v>2949</v>
      </c>
      <c r="E1661" t="s">
        <v>3060</v>
      </c>
      <c r="F1661" s="3">
        <v>46287.569164535547</v>
      </c>
      <c r="G1661" s="3">
        <v>46287.570781158647</v>
      </c>
      <c r="H1661">
        <v>2.33</v>
      </c>
      <c r="I1661" t="s">
        <v>3149</v>
      </c>
      <c r="J1661" t="s">
        <v>3162</v>
      </c>
      <c r="K1661" t="s">
        <v>3176</v>
      </c>
      <c r="L1661" t="str">
        <f>_xlfn.XLOOKUP(C1661,[1]!Table1[Shift_ID],[1]!Table1[Shift_ID])</f>
        <v>S01</v>
      </c>
      <c r="M1661" t="str">
        <f>_xlfn.XLOOKUP(D1661,[2]!Table1[Machine_ID],[2]!Table1[Machine_ID])</f>
        <v>M008</v>
      </c>
      <c r="N1661" t="str">
        <f>_xlfn.XLOOKUP(E1661,[3]Sheet1!$A$2:$A$391,[3]Sheet1!$A$2:$A$391)</f>
        <v>PO10110</v>
      </c>
    </row>
    <row r="1662" spans="1:14" x14ac:dyDescent="0.2">
      <c r="A1662" t="s">
        <v>1671</v>
      </c>
      <c r="B1662" s="2">
        <v>46287</v>
      </c>
      <c r="C1662" t="s">
        <v>2941</v>
      </c>
      <c r="D1662" t="s">
        <v>2942</v>
      </c>
      <c r="E1662" t="s">
        <v>3061</v>
      </c>
      <c r="F1662" s="3">
        <v>46287.808148726457</v>
      </c>
      <c r="G1662" s="3">
        <v>46287.813328154647</v>
      </c>
      <c r="H1662">
        <v>7.46</v>
      </c>
      <c r="I1662" t="s">
        <v>3146</v>
      </c>
      <c r="J1662" t="s">
        <v>3152</v>
      </c>
      <c r="K1662" t="s">
        <v>3175</v>
      </c>
      <c r="L1662" t="str">
        <f>_xlfn.XLOOKUP(C1662,[1]!Table1[Shift_ID],[1]!Table1[Shift_ID])</f>
        <v>S02</v>
      </c>
      <c r="M1662" t="str">
        <f>_xlfn.XLOOKUP(D1662,[2]!Table1[Machine_ID],[2]!Table1[Machine_ID])</f>
        <v>M001</v>
      </c>
      <c r="N1662" t="str">
        <f>_xlfn.XLOOKUP(E1662,[3]Sheet1!$A$2:$A$391,[3]Sheet1!$A$2:$A$391)</f>
        <v>PO10111</v>
      </c>
    </row>
    <row r="1663" spans="1:14" x14ac:dyDescent="0.2">
      <c r="A1663" t="s">
        <v>1672</v>
      </c>
      <c r="B1663" s="2">
        <v>46287</v>
      </c>
      <c r="C1663" t="s">
        <v>2941</v>
      </c>
      <c r="D1663" t="s">
        <v>2943</v>
      </c>
      <c r="E1663" t="s">
        <v>3061</v>
      </c>
      <c r="F1663" s="3">
        <v>46287.610081429273</v>
      </c>
      <c r="G1663" s="3">
        <v>46287.611946923527</v>
      </c>
      <c r="H1663">
        <v>2.69</v>
      </c>
      <c r="I1663" t="s">
        <v>3151</v>
      </c>
      <c r="J1663" t="s">
        <v>3161</v>
      </c>
      <c r="K1663" t="s">
        <v>3188</v>
      </c>
      <c r="L1663" t="str">
        <f>_xlfn.XLOOKUP(C1663,[1]!Table1[Shift_ID],[1]!Table1[Shift_ID])</f>
        <v>S02</v>
      </c>
      <c r="M1663" t="str">
        <f>_xlfn.XLOOKUP(D1663,[2]!Table1[Machine_ID],[2]!Table1[Machine_ID])</f>
        <v>M002</v>
      </c>
      <c r="N1663" t="str">
        <f>_xlfn.XLOOKUP(E1663,[3]Sheet1!$A$2:$A$391,[3]Sheet1!$A$2:$A$391)</f>
        <v>PO10111</v>
      </c>
    </row>
    <row r="1664" spans="1:14" x14ac:dyDescent="0.2">
      <c r="A1664" t="s">
        <v>1673</v>
      </c>
      <c r="B1664" s="2">
        <v>46287</v>
      </c>
      <c r="C1664" t="s">
        <v>2941</v>
      </c>
      <c r="D1664" t="s">
        <v>2943</v>
      </c>
      <c r="E1664" t="s">
        <v>3061</v>
      </c>
      <c r="F1664" s="3">
        <v>46287.721899013697</v>
      </c>
      <c r="G1664" s="3">
        <v>46287.725923903148</v>
      </c>
      <c r="H1664">
        <v>5.8</v>
      </c>
      <c r="I1664" t="s">
        <v>3149</v>
      </c>
      <c r="J1664" t="s">
        <v>3162</v>
      </c>
      <c r="K1664" t="s">
        <v>3182</v>
      </c>
      <c r="L1664" t="str">
        <f>_xlfn.XLOOKUP(C1664,[1]!Table1[Shift_ID],[1]!Table1[Shift_ID])</f>
        <v>S02</v>
      </c>
      <c r="M1664" t="str">
        <f>_xlfn.XLOOKUP(D1664,[2]!Table1[Machine_ID],[2]!Table1[Machine_ID])</f>
        <v>M002</v>
      </c>
      <c r="N1664" t="str">
        <f>_xlfn.XLOOKUP(E1664,[3]Sheet1!$A$2:$A$391,[3]Sheet1!$A$2:$A$391)</f>
        <v>PO10111</v>
      </c>
    </row>
    <row r="1665" spans="1:14" x14ac:dyDescent="0.2">
      <c r="A1665" t="s">
        <v>1674</v>
      </c>
      <c r="B1665" s="2">
        <v>46287</v>
      </c>
      <c r="C1665" t="s">
        <v>2941</v>
      </c>
      <c r="D1665" t="s">
        <v>2943</v>
      </c>
      <c r="E1665" t="s">
        <v>3061</v>
      </c>
      <c r="F1665" s="3">
        <v>46287.797423319244</v>
      </c>
      <c r="G1665" s="3">
        <v>46287.801112984642</v>
      </c>
      <c r="H1665">
        <v>5.31</v>
      </c>
      <c r="I1665" t="s">
        <v>3146</v>
      </c>
      <c r="J1665" t="s">
        <v>3152</v>
      </c>
      <c r="K1665" t="s">
        <v>3171</v>
      </c>
      <c r="L1665" t="str">
        <f>_xlfn.XLOOKUP(C1665,[1]!Table1[Shift_ID],[1]!Table1[Shift_ID])</f>
        <v>S02</v>
      </c>
      <c r="M1665" t="str">
        <f>_xlfn.XLOOKUP(D1665,[2]!Table1[Machine_ID],[2]!Table1[Machine_ID])</f>
        <v>M002</v>
      </c>
      <c r="N1665" t="str">
        <f>_xlfn.XLOOKUP(E1665,[3]Sheet1!$A$2:$A$391,[3]Sheet1!$A$2:$A$391)</f>
        <v>PO10111</v>
      </c>
    </row>
    <row r="1666" spans="1:14" x14ac:dyDescent="0.2">
      <c r="A1666" t="s">
        <v>1675</v>
      </c>
      <c r="B1666" s="2">
        <v>46287</v>
      </c>
      <c r="C1666" t="s">
        <v>2941</v>
      </c>
      <c r="D1666" t="s">
        <v>2944</v>
      </c>
      <c r="E1666" t="s">
        <v>3061</v>
      </c>
      <c r="F1666" s="3">
        <v>46287.667154784052</v>
      </c>
      <c r="G1666" s="3">
        <v>46287.669432669791</v>
      </c>
      <c r="H1666">
        <v>3.28</v>
      </c>
      <c r="I1666" t="s">
        <v>3151</v>
      </c>
      <c r="J1666" t="s">
        <v>3169</v>
      </c>
      <c r="K1666" t="s">
        <v>3181</v>
      </c>
      <c r="L1666" t="str">
        <f>_xlfn.XLOOKUP(C1666,[1]!Table1[Shift_ID],[1]!Table1[Shift_ID])</f>
        <v>S02</v>
      </c>
      <c r="M1666" t="str">
        <f>_xlfn.XLOOKUP(D1666,[2]!Table1[Machine_ID],[2]!Table1[Machine_ID])</f>
        <v>M003</v>
      </c>
      <c r="N1666" t="str">
        <f>_xlfn.XLOOKUP(E1666,[3]Sheet1!$A$2:$A$391,[3]Sheet1!$A$2:$A$391)</f>
        <v>PO10111</v>
      </c>
    </row>
    <row r="1667" spans="1:14" x14ac:dyDescent="0.2">
      <c r="A1667" t="s">
        <v>1676</v>
      </c>
      <c r="B1667" s="2">
        <v>46287</v>
      </c>
      <c r="C1667" t="s">
        <v>2941</v>
      </c>
      <c r="D1667" t="s">
        <v>2944</v>
      </c>
      <c r="E1667" t="s">
        <v>3061</v>
      </c>
      <c r="F1667" s="3">
        <v>46287.667704082109</v>
      </c>
      <c r="G1667" s="3">
        <v>46287.669412958829</v>
      </c>
      <c r="H1667">
        <v>2.46</v>
      </c>
      <c r="I1667" t="s">
        <v>3147</v>
      </c>
      <c r="J1667" t="s">
        <v>3153</v>
      </c>
      <c r="K1667" t="s">
        <v>3186</v>
      </c>
      <c r="L1667" t="str">
        <f>_xlfn.XLOOKUP(C1667,[1]!Table1[Shift_ID],[1]!Table1[Shift_ID])</f>
        <v>S02</v>
      </c>
      <c r="M1667" t="str">
        <f>_xlfn.XLOOKUP(D1667,[2]!Table1[Machine_ID],[2]!Table1[Machine_ID])</f>
        <v>M003</v>
      </c>
      <c r="N1667" t="str">
        <f>_xlfn.XLOOKUP(E1667,[3]Sheet1!$A$2:$A$391,[3]Sheet1!$A$2:$A$391)</f>
        <v>PO10111</v>
      </c>
    </row>
    <row r="1668" spans="1:14" x14ac:dyDescent="0.2">
      <c r="A1668" t="s">
        <v>1677</v>
      </c>
      <c r="B1668" s="2">
        <v>46287</v>
      </c>
      <c r="C1668" t="s">
        <v>2941</v>
      </c>
      <c r="D1668" t="s">
        <v>2944</v>
      </c>
      <c r="E1668" t="s">
        <v>3061</v>
      </c>
      <c r="F1668" s="3">
        <v>46287.723608108223</v>
      </c>
      <c r="G1668" s="3">
        <v>46287.725316984957</v>
      </c>
      <c r="H1668">
        <v>2.46</v>
      </c>
      <c r="I1668" t="s">
        <v>3147</v>
      </c>
      <c r="J1668" t="s">
        <v>3153</v>
      </c>
      <c r="K1668" t="s">
        <v>3186</v>
      </c>
      <c r="L1668" t="str">
        <f>_xlfn.XLOOKUP(C1668,[1]!Table1[Shift_ID],[1]!Table1[Shift_ID])</f>
        <v>S02</v>
      </c>
      <c r="M1668" t="str">
        <f>_xlfn.XLOOKUP(D1668,[2]!Table1[Machine_ID],[2]!Table1[Machine_ID])</f>
        <v>M003</v>
      </c>
      <c r="N1668" t="str">
        <f>_xlfn.XLOOKUP(E1668,[3]Sheet1!$A$2:$A$391,[3]Sheet1!$A$2:$A$391)</f>
        <v>PO10111</v>
      </c>
    </row>
    <row r="1669" spans="1:14" x14ac:dyDescent="0.2">
      <c r="A1669" t="s">
        <v>1678</v>
      </c>
      <c r="B1669" s="2">
        <v>46287</v>
      </c>
      <c r="C1669" t="s">
        <v>2941</v>
      </c>
      <c r="D1669" t="s">
        <v>2944</v>
      </c>
      <c r="E1669" t="s">
        <v>3061</v>
      </c>
      <c r="F1669" s="3">
        <v>46287.897625740501</v>
      </c>
      <c r="G1669" s="3">
        <v>46287.904146175642</v>
      </c>
      <c r="H1669">
        <v>9.39</v>
      </c>
      <c r="I1669" t="s">
        <v>3146</v>
      </c>
      <c r="J1669" t="s">
        <v>3152</v>
      </c>
      <c r="K1669" t="s">
        <v>3174</v>
      </c>
      <c r="L1669" t="str">
        <f>_xlfn.XLOOKUP(C1669,[1]!Table1[Shift_ID],[1]!Table1[Shift_ID])</f>
        <v>S02</v>
      </c>
      <c r="M1669" t="str">
        <f>_xlfn.XLOOKUP(D1669,[2]!Table1[Machine_ID],[2]!Table1[Machine_ID])</f>
        <v>M003</v>
      </c>
      <c r="N1669" t="str">
        <f>_xlfn.XLOOKUP(E1669,[3]Sheet1!$A$2:$A$391,[3]Sheet1!$A$2:$A$391)</f>
        <v>PO10111</v>
      </c>
    </row>
    <row r="1670" spans="1:14" x14ac:dyDescent="0.2">
      <c r="A1670" t="s">
        <v>1679</v>
      </c>
      <c r="B1670" s="2">
        <v>46287</v>
      </c>
      <c r="C1670" t="s">
        <v>2941</v>
      </c>
      <c r="D1670" t="s">
        <v>2945</v>
      </c>
      <c r="E1670" t="s">
        <v>3061</v>
      </c>
      <c r="F1670" s="3">
        <v>46287.885240970812</v>
      </c>
      <c r="G1670" s="3">
        <v>46287.892336000892</v>
      </c>
      <c r="H1670">
        <v>10.220000000000001</v>
      </c>
      <c r="I1670" t="s">
        <v>3148</v>
      </c>
      <c r="J1670" t="s">
        <v>3155</v>
      </c>
      <c r="K1670" t="s">
        <v>3183</v>
      </c>
      <c r="L1670" t="str">
        <f>_xlfn.XLOOKUP(C1670,[1]!Table1[Shift_ID],[1]!Table1[Shift_ID])</f>
        <v>S02</v>
      </c>
      <c r="M1670" t="str">
        <f>_xlfn.XLOOKUP(D1670,[2]!Table1[Machine_ID],[2]!Table1[Machine_ID])</f>
        <v>M004</v>
      </c>
      <c r="N1670" t="str">
        <f>_xlfn.XLOOKUP(E1670,[3]Sheet1!$A$2:$A$391,[3]Sheet1!$A$2:$A$391)</f>
        <v>PO10111</v>
      </c>
    </row>
    <row r="1671" spans="1:14" x14ac:dyDescent="0.2">
      <c r="A1671" t="s">
        <v>1680</v>
      </c>
      <c r="B1671" s="2">
        <v>46287</v>
      </c>
      <c r="C1671" t="s">
        <v>2941</v>
      </c>
      <c r="D1671" t="s">
        <v>2946</v>
      </c>
      <c r="E1671" t="s">
        <v>3061</v>
      </c>
      <c r="F1671" s="3">
        <v>46287.649411107886</v>
      </c>
      <c r="G1671" s="3">
        <v>46287.652433729047</v>
      </c>
      <c r="H1671">
        <v>4.3499999999999996</v>
      </c>
      <c r="I1671" t="s">
        <v>3150</v>
      </c>
      <c r="J1671" t="s">
        <v>3163</v>
      </c>
      <c r="K1671" t="s">
        <v>3177</v>
      </c>
      <c r="L1671" t="str">
        <f>_xlfn.XLOOKUP(C1671,[1]!Table1[Shift_ID],[1]!Table1[Shift_ID])</f>
        <v>S02</v>
      </c>
      <c r="M1671" t="str">
        <f>_xlfn.XLOOKUP(D1671,[2]!Table1[Machine_ID],[2]!Table1[Machine_ID])</f>
        <v>M005</v>
      </c>
      <c r="N1671" t="str">
        <f>_xlfn.XLOOKUP(E1671,[3]Sheet1!$A$2:$A$391,[3]Sheet1!$A$2:$A$391)</f>
        <v>PO10111</v>
      </c>
    </row>
    <row r="1672" spans="1:14" x14ac:dyDescent="0.2">
      <c r="A1672" t="s">
        <v>1681</v>
      </c>
      <c r="B1672" s="2">
        <v>46287</v>
      </c>
      <c r="C1672" t="s">
        <v>2941</v>
      </c>
      <c r="D1672" t="s">
        <v>2946</v>
      </c>
      <c r="E1672" t="s">
        <v>3061</v>
      </c>
      <c r="F1672" s="3">
        <v>46287.703010337187</v>
      </c>
      <c r="G1672" s="3">
        <v>46287.708201563997</v>
      </c>
      <c r="H1672">
        <v>7.48</v>
      </c>
      <c r="I1672" t="s">
        <v>3148</v>
      </c>
      <c r="J1672" t="s">
        <v>3165</v>
      </c>
      <c r="K1672" t="s">
        <v>3180</v>
      </c>
      <c r="L1672" t="str">
        <f>_xlfn.XLOOKUP(C1672,[1]!Table1[Shift_ID],[1]!Table1[Shift_ID])</f>
        <v>S02</v>
      </c>
      <c r="M1672" t="str">
        <f>_xlfn.XLOOKUP(D1672,[2]!Table1[Machine_ID],[2]!Table1[Machine_ID])</f>
        <v>M005</v>
      </c>
      <c r="N1672" t="str">
        <f>_xlfn.XLOOKUP(E1672,[3]Sheet1!$A$2:$A$391,[3]Sheet1!$A$2:$A$391)</f>
        <v>PO10111</v>
      </c>
    </row>
    <row r="1673" spans="1:14" x14ac:dyDescent="0.2">
      <c r="A1673" t="s">
        <v>1682</v>
      </c>
      <c r="B1673" s="2">
        <v>46287</v>
      </c>
      <c r="C1673" t="s">
        <v>2941</v>
      </c>
      <c r="D1673" t="s">
        <v>2947</v>
      </c>
      <c r="E1673" t="s">
        <v>3061</v>
      </c>
      <c r="F1673" s="3">
        <v>46287.66592506734</v>
      </c>
      <c r="G1673" s="3">
        <v>46287.671416930571</v>
      </c>
      <c r="H1673">
        <v>7.91</v>
      </c>
      <c r="I1673" t="s">
        <v>3148</v>
      </c>
      <c r="J1673" t="s">
        <v>3165</v>
      </c>
      <c r="K1673" t="s">
        <v>3183</v>
      </c>
      <c r="L1673" t="str">
        <f>_xlfn.XLOOKUP(C1673,[1]!Table1[Shift_ID],[1]!Table1[Shift_ID])</f>
        <v>S02</v>
      </c>
      <c r="M1673" t="str">
        <f>_xlfn.XLOOKUP(D1673,[2]!Table1[Machine_ID],[2]!Table1[Machine_ID])</f>
        <v>M006</v>
      </c>
      <c r="N1673" t="str">
        <f>_xlfn.XLOOKUP(E1673,[3]Sheet1!$A$2:$A$391,[3]Sheet1!$A$2:$A$391)</f>
        <v>PO10111</v>
      </c>
    </row>
    <row r="1674" spans="1:14" x14ac:dyDescent="0.2">
      <c r="A1674" t="s">
        <v>1683</v>
      </c>
      <c r="B1674" s="2">
        <v>46287</v>
      </c>
      <c r="C1674" t="s">
        <v>2941</v>
      </c>
      <c r="D1674" t="s">
        <v>2947</v>
      </c>
      <c r="E1674" t="s">
        <v>3061</v>
      </c>
      <c r="F1674" s="3">
        <v>46287.890984677397</v>
      </c>
      <c r="G1674" s="3">
        <v>46287.91083451009</v>
      </c>
      <c r="H1674">
        <v>28.58</v>
      </c>
      <c r="I1674" t="s">
        <v>3147</v>
      </c>
      <c r="J1674" t="s">
        <v>3154</v>
      </c>
      <c r="K1674" t="s">
        <v>3186</v>
      </c>
      <c r="L1674" t="str">
        <f>_xlfn.XLOOKUP(C1674,[1]!Table1[Shift_ID],[1]!Table1[Shift_ID])</f>
        <v>S02</v>
      </c>
      <c r="M1674" t="str">
        <f>_xlfn.XLOOKUP(D1674,[2]!Table1[Machine_ID],[2]!Table1[Machine_ID])</f>
        <v>M006</v>
      </c>
      <c r="N1674" t="str">
        <f>_xlfn.XLOOKUP(E1674,[3]Sheet1!$A$2:$A$391,[3]Sheet1!$A$2:$A$391)</f>
        <v>PO10111</v>
      </c>
    </row>
    <row r="1675" spans="1:14" x14ac:dyDescent="0.2">
      <c r="A1675" t="s">
        <v>1684</v>
      </c>
      <c r="B1675" s="2">
        <v>46287</v>
      </c>
      <c r="C1675" t="s">
        <v>2941</v>
      </c>
      <c r="D1675" t="s">
        <v>2948</v>
      </c>
      <c r="E1675" t="s">
        <v>3061</v>
      </c>
      <c r="F1675" s="3">
        <v>46287.875137622163</v>
      </c>
      <c r="G1675" s="3">
        <v>46287.887353978149</v>
      </c>
      <c r="H1675">
        <v>17.59</v>
      </c>
      <c r="I1675" t="s">
        <v>3150</v>
      </c>
      <c r="J1675" t="s">
        <v>3166</v>
      </c>
      <c r="K1675" t="s">
        <v>3179</v>
      </c>
      <c r="L1675" t="str">
        <f>_xlfn.XLOOKUP(C1675,[1]!Table1[Shift_ID],[1]!Table1[Shift_ID])</f>
        <v>S02</v>
      </c>
      <c r="M1675" t="str">
        <f>_xlfn.XLOOKUP(D1675,[2]!Table1[Machine_ID],[2]!Table1[Machine_ID])</f>
        <v>M007</v>
      </c>
      <c r="N1675" t="str">
        <f>_xlfn.XLOOKUP(E1675,[3]Sheet1!$A$2:$A$391,[3]Sheet1!$A$2:$A$391)</f>
        <v>PO10111</v>
      </c>
    </row>
    <row r="1676" spans="1:14" x14ac:dyDescent="0.2">
      <c r="A1676" t="s">
        <v>1685</v>
      </c>
      <c r="B1676" s="2">
        <v>46287</v>
      </c>
      <c r="C1676" t="s">
        <v>2941</v>
      </c>
      <c r="D1676" t="s">
        <v>2949</v>
      </c>
      <c r="E1676" t="s">
        <v>3061</v>
      </c>
      <c r="F1676" s="3">
        <v>46287.843750180589</v>
      </c>
      <c r="G1676" s="3">
        <v>46287.850909018947</v>
      </c>
      <c r="H1676">
        <v>10.31</v>
      </c>
      <c r="I1676" t="s">
        <v>3149</v>
      </c>
      <c r="J1676" t="s">
        <v>3158</v>
      </c>
      <c r="K1676" t="s">
        <v>3182</v>
      </c>
      <c r="L1676" t="str">
        <f>_xlfn.XLOOKUP(C1676,[1]!Table1[Shift_ID],[1]!Table1[Shift_ID])</f>
        <v>S02</v>
      </c>
      <c r="M1676" t="str">
        <f>_xlfn.XLOOKUP(D1676,[2]!Table1[Machine_ID],[2]!Table1[Machine_ID])</f>
        <v>M008</v>
      </c>
      <c r="N1676" t="str">
        <f>_xlfn.XLOOKUP(E1676,[3]Sheet1!$A$2:$A$391,[3]Sheet1!$A$2:$A$391)</f>
        <v>PO10111</v>
      </c>
    </row>
    <row r="1677" spans="1:14" x14ac:dyDescent="0.2">
      <c r="A1677" t="s">
        <v>1686</v>
      </c>
      <c r="B1677" s="2">
        <v>46288</v>
      </c>
      <c r="C1677" t="s">
        <v>2939</v>
      </c>
      <c r="D1677" t="s">
        <v>2942</v>
      </c>
      <c r="E1677" t="s">
        <v>3062</v>
      </c>
      <c r="F1677" s="3">
        <v>46289.209974013487</v>
      </c>
      <c r="G1677" s="3">
        <v>46289.21554127735</v>
      </c>
      <c r="H1677">
        <v>8.02</v>
      </c>
      <c r="I1677" t="s">
        <v>3151</v>
      </c>
      <c r="J1677" t="s">
        <v>3161</v>
      </c>
      <c r="K1677" t="s">
        <v>3187</v>
      </c>
      <c r="L1677" t="str">
        <f>_xlfn.XLOOKUP(C1677,[1]!Table1[Shift_ID],[1]!Table1[Shift_ID])</f>
        <v>S03</v>
      </c>
      <c r="M1677" t="str">
        <f>_xlfn.XLOOKUP(D1677,[2]!Table1[Machine_ID],[2]!Table1[Machine_ID])</f>
        <v>M001</v>
      </c>
      <c r="N1677" t="str">
        <f>_xlfn.XLOOKUP(E1677,[3]Sheet1!$A$2:$A$391,[3]Sheet1!$A$2:$A$391)</f>
        <v>PO10112</v>
      </c>
    </row>
    <row r="1678" spans="1:14" x14ac:dyDescent="0.2">
      <c r="A1678" t="s">
        <v>1687</v>
      </c>
      <c r="B1678" s="2">
        <v>46288</v>
      </c>
      <c r="C1678" t="s">
        <v>2939</v>
      </c>
      <c r="D1678" t="s">
        <v>2943</v>
      </c>
      <c r="E1678" t="s">
        <v>3062</v>
      </c>
      <c r="F1678" s="3">
        <v>46288.952883295118</v>
      </c>
      <c r="G1678" s="3">
        <v>46288.958855905119</v>
      </c>
      <c r="H1678">
        <v>8.6</v>
      </c>
      <c r="I1678" t="s">
        <v>3147</v>
      </c>
      <c r="J1678" t="s">
        <v>3153</v>
      </c>
      <c r="K1678" t="s">
        <v>3185</v>
      </c>
      <c r="L1678" t="str">
        <f>_xlfn.XLOOKUP(C1678,[1]!Table1[Shift_ID],[1]!Table1[Shift_ID])</f>
        <v>S03</v>
      </c>
      <c r="M1678" t="str">
        <f>_xlfn.XLOOKUP(D1678,[2]!Table1[Machine_ID],[2]!Table1[Machine_ID])</f>
        <v>M002</v>
      </c>
      <c r="N1678" t="str">
        <f>_xlfn.XLOOKUP(E1678,[3]Sheet1!$A$2:$A$391,[3]Sheet1!$A$2:$A$391)</f>
        <v>PO10112</v>
      </c>
    </row>
    <row r="1679" spans="1:14" x14ac:dyDescent="0.2">
      <c r="A1679" t="s">
        <v>1688</v>
      </c>
      <c r="B1679" s="2">
        <v>46288</v>
      </c>
      <c r="C1679" t="s">
        <v>2939</v>
      </c>
      <c r="D1679" t="s">
        <v>2943</v>
      </c>
      <c r="E1679" t="s">
        <v>3062</v>
      </c>
      <c r="F1679" s="3">
        <v>46288.986534818658</v>
      </c>
      <c r="G1679" s="3">
        <v>46288.988119785819</v>
      </c>
      <c r="H1679">
        <v>2.2799999999999998</v>
      </c>
      <c r="I1679" t="s">
        <v>3149</v>
      </c>
      <c r="J1679" t="s">
        <v>3158</v>
      </c>
      <c r="K1679" t="s">
        <v>3184</v>
      </c>
      <c r="L1679" t="str">
        <f>_xlfn.XLOOKUP(C1679,[1]!Table1[Shift_ID],[1]!Table1[Shift_ID])</f>
        <v>S03</v>
      </c>
      <c r="M1679" t="str">
        <f>_xlfn.XLOOKUP(D1679,[2]!Table1[Machine_ID],[2]!Table1[Machine_ID])</f>
        <v>M002</v>
      </c>
      <c r="N1679" t="str">
        <f>_xlfn.XLOOKUP(E1679,[3]Sheet1!$A$2:$A$391,[3]Sheet1!$A$2:$A$391)</f>
        <v>PO10112</v>
      </c>
    </row>
    <row r="1680" spans="1:14" x14ac:dyDescent="0.2">
      <c r="A1680" t="s">
        <v>1689</v>
      </c>
      <c r="B1680" s="2">
        <v>46288</v>
      </c>
      <c r="C1680" t="s">
        <v>2939</v>
      </c>
      <c r="D1680" t="s">
        <v>2943</v>
      </c>
      <c r="E1680" t="s">
        <v>3062</v>
      </c>
      <c r="F1680" s="3">
        <v>46289.032174236287</v>
      </c>
      <c r="G1680" s="3">
        <v>46289.033759203463</v>
      </c>
      <c r="H1680">
        <v>2.2799999999999998</v>
      </c>
      <c r="I1680" t="s">
        <v>3146</v>
      </c>
      <c r="J1680" t="s">
        <v>3156</v>
      </c>
      <c r="K1680" t="s">
        <v>3174</v>
      </c>
      <c r="L1680" t="str">
        <f>_xlfn.XLOOKUP(C1680,[1]!Table1[Shift_ID],[1]!Table1[Shift_ID])</f>
        <v>S03</v>
      </c>
      <c r="M1680" t="str">
        <f>_xlfn.XLOOKUP(D1680,[2]!Table1[Machine_ID],[2]!Table1[Machine_ID])</f>
        <v>M002</v>
      </c>
      <c r="N1680" t="str">
        <f>_xlfn.XLOOKUP(E1680,[3]Sheet1!$A$2:$A$391,[3]Sheet1!$A$2:$A$391)</f>
        <v>PO10112</v>
      </c>
    </row>
    <row r="1681" spans="1:14" x14ac:dyDescent="0.2">
      <c r="A1681" t="s">
        <v>1690</v>
      </c>
      <c r="B1681" s="2">
        <v>46288</v>
      </c>
      <c r="C1681" t="s">
        <v>2939</v>
      </c>
      <c r="D1681" t="s">
        <v>2943</v>
      </c>
      <c r="E1681" t="s">
        <v>3062</v>
      </c>
      <c r="F1681" s="3">
        <v>46289.146714861483</v>
      </c>
      <c r="G1681" s="3">
        <v>46289.148299828637</v>
      </c>
      <c r="H1681">
        <v>2.2799999999999998</v>
      </c>
      <c r="I1681" t="s">
        <v>3148</v>
      </c>
      <c r="J1681" t="s">
        <v>3155</v>
      </c>
      <c r="K1681" t="s">
        <v>3173</v>
      </c>
      <c r="L1681" t="str">
        <f>_xlfn.XLOOKUP(C1681,[1]!Table1[Shift_ID],[1]!Table1[Shift_ID])</f>
        <v>S03</v>
      </c>
      <c r="M1681" t="str">
        <f>_xlfn.XLOOKUP(D1681,[2]!Table1[Machine_ID],[2]!Table1[Machine_ID])</f>
        <v>M002</v>
      </c>
      <c r="N1681" t="str">
        <f>_xlfn.XLOOKUP(E1681,[3]Sheet1!$A$2:$A$391,[3]Sheet1!$A$2:$A$391)</f>
        <v>PO10112</v>
      </c>
    </row>
    <row r="1682" spans="1:14" x14ac:dyDescent="0.2">
      <c r="A1682" t="s">
        <v>1691</v>
      </c>
      <c r="B1682" s="2">
        <v>46288</v>
      </c>
      <c r="C1682" t="s">
        <v>2939</v>
      </c>
      <c r="D1682" t="s">
        <v>2944</v>
      </c>
      <c r="E1682" t="s">
        <v>3062</v>
      </c>
      <c r="F1682" s="3">
        <v>46289.110494797249</v>
      </c>
      <c r="G1682" s="3">
        <v>46289.11621647948</v>
      </c>
      <c r="H1682">
        <v>8.24</v>
      </c>
      <c r="I1682" t="s">
        <v>3150</v>
      </c>
      <c r="J1682" t="s">
        <v>3160</v>
      </c>
      <c r="K1682" t="s">
        <v>3179</v>
      </c>
      <c r="L1682" t="str">
        <f>_xlfn.XLOOKUP(C1682,[1]!Table1[Shift_ID],[1]!Table1[Shift_ID])</f>
        <v>S03</v>
      </c>
      <c r="M1682" t="str">
        <f>_xlfn.XLOOKUP(D1682,[2]!Table1[Machine_ID],[2]!Table1[Machine_ID])</f>
        <v>M003</v>
      </c>
      <c r="N1682" t="str">
        <f>_xlfn.XLOOKUP(E1682,[3]Sheet1!$A$2:$A$391,[3]Sheet1!$A$2:$A$391)</f>
        <v>PO10112</v>
      </c>
    </row>
    <row r="1683" spans="1:14" x14ac:dyDescent="0.2">
      <c r="A1683" t="s">
        <v>1692</v>
      </c>
      <c r="B1683" s="2">
        <v>46288</v>
      </c>
      <c r="C1683" t="s">
        <v>2939</v>
      </c>
      <c r="D1683" t="s">
        <v>2944</v>
      </c>
      <c r="E1683" t="s">
        <v>3062</v>
      </c>
      <c r="F1683" s="3">
        <v>46289.153742093637</v>
      </c>
      <c r="G1683" s="3">
        <v>46289.155549789321</v>
      </c>
      <c r="H1683">
        <v>2.6</v>
      </c>
      <c r="I1683" t="s">
        <v>3147</v>
      </c>
      <c r="J1683" t="s">
        <v>3167</v>
      </c>
      <c r="K1683" t="s">
        <v>3185</v>
      </c>
      <c r="L1683" t="str">
        <f>_xlfn.XLOOKUP(C1683,[1]!Table1[Shift_ID],[1]!Table1[Shift_ID])</f>
        <v>S03</v>
      </c>
      <c r="M1683" t="str">
        <f>_xlfn.XLOOKUP(D1683,[2]!Table1[Machine_ID],[2]!Table1[Machine_ID])</f>
        <v>M003</v>
      </c>
      <c r="N1683" t="str">
        <f>_xlfn.XLOOKUP(E1683,[3]Sheet1!$A$2:$A$391,[3]Sheet1!$A$2:$A$391)</f>
        <v>PO10112</v>
      </c>
    </row>
    <row r="1684" spans="1:14" x14ac:dyDescent="0.2">
      <c r="A1684" t="s">
        <v>1693</v>
      </c>
      <c r="B1684" s="2">
        <v>46288</v>
      </c>
      <c r="C1684" t="s">
        <v>2939</v>
      </c>
      <c r="D1684" t="s">
        <v>2944</v>
      </c>
      <c r="E1684" t="s">
        <v>3062</v>
      </c>
      <c r="F1684" s="3">
        <v>46289.179837540949</v>
      </c>
      <c r="G1684" s="3">
        <v>46289.184405052387</v>
      </c>
      <c r="H1684">
        <v>6.58</v>
      </c>
      <c r="I1684" t="s">
        <v>3147</v>
      </c>
      <c r="J1684" t="s">
        <v>3154</v>
      </c>
      <c r="K1684" t="s">
        <v>3172</v>
      </c>
      <c r="L1684" t="str">
        <f>_xlfn.XLOOKUP(C1684,[1]!Table1[Shift_ID],[1]!Table1[Shift_ID])</f>
        <v>S03</v>
      </c>
      <c r="M1684" t="str">
        <f>_xlfn.XLOOKUP(D1684,[2]!Table1[Machine_ID],[2]!Table1[Machine_ID])</f>
        <v>M003</v>
      </c>
      <c r="N1684" t="str">
        <f>_xlfn.XLOOKUP(E1684,[3]Sheet1!$A$2:$A$391,[3]Sheet1!$A$2:$A$391)</f>
        <v>PO10112</v>
      </c>
    </row>
    <row r="1685" spans="1:14" x14ac:dyDescent="0.2">
      <c r="A1685" t="s">
        <v>1694</v>
      </c>
      <c r="B1685" s="2">
        <v>46288</v>
      </c>
      <c r="C1685" t="s">
        <v>2939</v>
      </c>
      <c r="D1685" t="s">
        <v>2945</v>
      </c>
      <c r="E1685" t="s">
        <v>3062</v>
      </c>
      <c r="F1685" s="3">
        <v>46288.96411615589</v>
      </c>
      <c r="G1685" s="3">
        <v>46288.970337712359</v>
      </c>
      <c r="H1685">
        <v>8.9600000000000009</v>
      </c>
      <c r="I1685" t="s">
        <v>3147</v>
      </c>
      <c r="J1685" t="s">
        <v>3154</v>
      </c>
      <c r="K1685" t="s">
        <v>3186</v>
      </c>
      <c r="L1685" t="str">
        <f>_xlfn.XLOOKUP(C1685,[1]!Table1[Shift_ID],[1]!Table1[Shift_ID])</f>
        <v>S03</v>
      </c>
      <c r="M1685" t="str">
        <f>_xlfn.XLOOKUP(D1685,[2]!Table1[Machine_ID],[2]!Table1[Machine_ID])</f>
        <v>M004</v>
      </c>
      <c r="N1685" t="str">
        <f>_xlfn.XLOOKUP(E1685,[3]Sheet1!$A$2:$A$391,[3]Sheet1!$A$2:$A$391)</f>
        <v>PO10112</v>
      </c>
    </row>
    <row r="1686" spans="1:14" x14ac:dyDescent="0.2">
      <c r="A1686" t="s">
        <v>1695</v>
      </c>
      <c r="B1686" s="2">
        <v>46288</v>
      </c>
      <c r="C1686" t="s">
        <v>2939</v>
      </c>
      <c r="D1686" t="s">
        <v>2946</v>
      </c>
      <c r="E1686" t="s">
        <v>3062</v>
      </c>
      <c r="F1686" s="3">
        <v>46289.232334808163</v>
      </c>
      <c r="G1686" s="3">
        <v>46289.242729704201</v>
      </c>
      <c r="H1686">
        <v>14.97</v>
      </c>
      <c r="I1686" t="s">
        <v>3149</v>
      </c>
      <c r="J1686" t="s">
        <v>3158</v>
      </c>
      <c r="K1686" t="s">
        <v>3182</v>
      </c>
      <c r="L1686" t="str">
        <f>_xlfn.XLOOKUP(C1686,[1]!Table1[Shift_ID],[1]!Table1[Shift_ID])</f>
        <v>S03</v>
      </c>
      <c r="M1686" t="str">
        <f>_xlfn.XLOOKUP(D1686,[2]!Table1[Machine_ID],[2]!Table1[Machine_ID])</f>
        <v>M005</v>
      </c>
      <c r="N1686" t="str">
        <f>_xlfn.XLOOKUP(E1686,[3]Sheet1!$A$2:$A$391,[3]Sheet1!$A$2:$A$391)</f>
        <v>PO10112</v>
      </c>
    </row>
    <row r="1687" spans="1:14" x14ac:dyDescent="0.2">
      <c r="A1687" t="s">
        <v>1696</v>
      </c>
      <c r="B1687" s="2">
        <v>46288</v>
      </c>
      <c r="C1687" t="s">
        <v>2939</v>
      </c>
      <c r="D1687" t="s">
        <v>2947</v>
      </c>
      <c r="E1687" t="s">
        <v>3062</v>
      </c>
      <c r="F1687" s="3">
        <v>46288.943282066582</v>
      </c>
      <c r="G1687" s="3">
        <v>46288.969375539193</v>
      </c>
      <c r="H1687">
        <v>37.57</v>
      </c>
      <c r="I1687" t="s">
        <v>3147</v>
      </c>
      <c r="J1687" t="s">
        <v>3167</v>
      </c>
      <c r="K1687" t="s">
        <v>3186</v>
      </c>
      <c r="L1687" t="str">
        <f>_xlfn.XLOOKUP(C1687,[1]!Table1[Shift_ID],[1]!Table1[Shift_ID])</f>
        <v>S03</v>
      </c>
      <c r="M1687" t="str">
        <f>_xlfn.XLOOKUP(D1687,[2]!Table1[Machine_ID],[2]!Table1[Machine_ID])</f>
        <v>M006</v>
      </c>
      <c r="N1687" t="str">
        <f>_xlfn.XLOOKUP(E1687,[3]Sheet1!$A$2:$A$391,[3]Sheet1!$A$2:$A$391)</f>
        <v>PO10112</v>
      </c>
    </row>
    <row r="1688" spans="1:14" x14ac:dyDescent="0.2">
      <c r="A1688" t="s">
        <v>1697</v>
      </c>
      <c r="B1688" s="2">
        <v>46288</v>
      </c>
      <c r="C1688" t="s">
        <v>2939</v>
      </c>
      <c r="D1688" t="s">
        <v>2948</v>
      </c>
      <c r="E1688" t="s">
        <v>3062</v>
      </c>
      <c r="F1688" s="3">
        <v>46288.921756535718</v>
      </c>
      <c r="G1688" s="3">
        <v>46288.935804893321</v>
      </c>
      <c r="H1688">
        <v>20.23</v>
      </c>
      <c r="I1688" t="s">
        <v>3148</v>
      </c>
      <c r="J1688" t="s">
        <v>3155</v>
      </c>
      <c r="K1688" t="s">
        <v>3173</v>
      </c>
      <c r="L1688" t="str">
        <f>_xlfn.XLOOKUP(C1688,[1]!Table1[Shift_ID],[1]!Table1[Shift_ID])</f>
        <v>S03</v>
      </c>
      <c r="M1688" t="str">
        <f>_xlfn.XLOOKUP(D1688,[2]!Table1[Machine_ID],[2]!Table1[Machine_ID])</f>
        <v>M007</v>
      </c>
      <c r="N1688" t="str">
        <f>_xlfn.XLOOKUP(E1688,[3]Sheet1!$A$2:$A$391,[3]Sheet1!$A$2:$A$391)</f>
        <v>PO10112</v>
      </c>
    </row>
    <row r="1689" spans="1:14" x14ac:dyDescent="0.2">
      <c r="A1689" t="s">
        <v>1698</v>
      </c>
      <c r="B1689" s="2">
        <v>46288</v>
      </c>
      <c r="C1689" t="s">
        <v>2939</v>
      </c>
      <c r="D1689" t="s">
        <v>2949</v>
      </c>
      <c r="E1689" t="s">
        <v>3062</v>
      </c>
      <c r="F1689" s="3">
        <v>46288.933658171831</v>
      </c>
      <c r="G1689" s="3">
        <v>46288.935672483938</v>
      </c>
      <c r="H1689">
        <v>2.9</v>
      </c>
      <c r="I1689" t="s">
        <v>3149</v>
      </c>
      <c r="J1689" t="s">
        <v>3158</v>
      </c>
      <c r="K1689" t="s">
        <v>3184</v>
      </c>
      <c r="L1689" t="str">
        <f>_xlfn.XLOOKUP(C1689,[1]!Table1[Shift_ID],[1]!Table1[Shift_ID])</f>
        <v>S03</v>
      </c>
      <c r="M1689" t="str">
        <f>_xlfn.XLOOKUP(D1689,[2]!Table1[Machine_ID],[2]!Table1[Machine_ID])</f>
        <v>M008</v>
      </c>
      <c r="N1689" t="str">
        <f>_xlfn.XLOOKUP(E1689,[3]Sheet1!$A$2:$A$391,[3]Sheet1!$A$2:$A$391)</f>
        <v>PO10112</v>
      </c>
    </row>
    <row r="1690" spans="1:14" x14ac:dyDescent="0.2">
      <c r="A1690" t="s">
        <v>1699</v>
      </c>
      <c r="B1690" s="2">
        <v>46288</v>
      </c>
      <c r="C1690" t="s">
        <v>2939</v>
      </c>
      <c r="D1690" t="s">
        <v>2949</v>
      </c>
      <c r="E1690" t="s">
        <v>3062</v>
      </c>
      <c r="F1690" s="3">
        <v>46289.061648945193</v>
      </c>
      <c r="G1690" s="3">
        <v>46289.065079100437</v>
      </c>
      <c r="H1690">
        <v>4.9400000000000004</v>
      </c>
      <c r="I1690" t="s">
        <v>3151</v>
      </c>
      <c r="J1690" t="s">
        <v>3169</v>
      </c>
      <c r="K1690" t="s">
        <v>3181</v>
      </c>
      <c r="L1690" t="str">
        <f>_xlfn.XLOOKUP(C1690,[1]!Table1[Shift_ID],[1]!Table1[Shift_ID])</f>
        <v>S03</v>
      </c>
      <c r="M1690" t="str">
        <f>_xlfn.XLOOKUP(D1690,[2]!Table1[Machine_ID],[2]!Table1[Machine_ID])</f>
        <v>M008</v>
      </c>
      <c r="N1690" t="str">
        <f>_xlfn.XLOOKUP(E1690,[3]Sheet1!$A$2:$A$391,[3]Sheet1!$A$2:$A$391)</f>
        <v>PO10112</v>
      </c>
    </row>
    <row r="1691" spans="1:14" x14ac:dyDescent="0.2">
      <c r="A1691" t="s">
        <v>1700</v>
      </c>
      <c r="B1691" s="2">
        <v>46288</v>
      </c>
      <c r="C1691" t="s">
        <v>2940</v>
      </c>
      <c r="D1691" t="s">
        <v>2942</v>
      </c>
      <c r="E1691" t="s">
        <v>3063</v>
      </c>
      <c r="F1691" s="3">
        <v>46288.335503429837</v>
      </c>
      <c r="G1691" s="3">
        <v>46288.342596417373</v>
      </c>
      <c r="H1691">
        <v>10.210000000000001</v>
      </c>
      <c r="I1691" t="s">
        <v>3150</v>
      </c>
      <c r="J1691" t="s">
        <v>3163</v>
      </c>
      <c r="K1691" t="s">
        <v>3178</v>
      </c>
      <c r="L1691" t="str">
        <f>_xlfn.XLOOKUP(C1691,[1]!Table1[Shift_ID],[1]!Table1[Shift_ID])</f>
        <v>S01</v>
      </c>
      <c r="M1691" t="str">
        <f>_xlfn.XLOOKUP(D1691,[2]!Table1[Machine_ID],[2]!Table1[Machine_ID])</f>
        <v>M001</v>
      </c>
      <c r="N1691" t="str">
        <f>_xlfn.XLOOKUP(E1691,[3]Sheet1!$A$2:$A$391,[3]Sheet1!$A$2:$A$391)</f>
        <v>PO10113</v>
      </c>
    </row>
    <row r="1692" spans="1:14" x14ac:dyDescent="0.2">
      <c r="A1692" t="s">
        <v>1701</v>
      </c>
      <c r="B1692" s="2">
        <v>46288</v>
      </c>
      <c r="C1692" t="s">
        <v>2940</v>
      </c>
      <c r="D1692" t="s">
        <v>2943</v>
      </c>
      <c r="E1692" t="s">
        <v>3063</v>
      </c>
      <c r="F1692" s="3">
        <v>46288.364986561028</v>
      </c>
      <c r="G1692" s="3">
        <v>46288.373942503247</v>
      </c>
      <c r="H1692">
        <v>12.9</v>
      </c>
      <c r="I1692" t="s">
        <v>3148</v>
      </c>
      <c r="J1692" t="s">
        <v>3155</v>
      </c>
      <c r="K1692" t="s">
        <v>3173</v>
      </c>
      <c r="L1692" t="str">
        <f>_xlfn.XLOOKUP(C1692,[1]!Table1[Shift_ID],[1]!Table1[Shift_ID])</f>
        <v>S01</v>
      </c>
      <c r="M1692" t="str">
        <f>_xlfn.XLOOKUP(D1692,[2]!Table1[Machine_ID],[2]!Table1[Machine_ID])</f>
        <v>M002</v>
      </c>
      <c r="N1692" t="str">
        <f>_xlfn.XLOOKUP(E1692,[3]Sheet1!$A$2:$A$391,[3]Sheet1!$A$2:$A$391)</f>
        <v>PO10113</v>
      </c>
    </row>
    <row r="1693" spans="1:14" x14ac:dyDescent="0.2">
      <c r="A1693" t="s">
        <v>1702</v>
      </c>
      <c r="B1693" s="2">
        <v>46288</v>
      </c>
      <c r="C1693" t="s">
        <v>2940</v>
      </c>
      <c r="D1693" t="s">
        <v>2944</v>
      </c>
      <c r="E1693" t="s">
        <v>3063</v>
      </c>
      <c r="F1693" s="3">
        <v>46288.28847360838</v>
      </c>
      <c r="G1693" s="3">
        <v>46288.290366821137</v>
      </c>
      <c r="H1693">
        <v>2.73</v>
      </c>
      <c r="I1693" t="s">
        <v>3148</v>
      </c>
      <c r="J1693" t="s">
        <v>3164</v>
      </c>
      <c r="K1693" t="s">
        <v>3183</v>
      </c>
      <c r="L1693" t="str">
        <f>_xlfn.XLOOKUP(C1693,[1]!Table1[Shift_ID],[1]!Table1[Shift_ID])</f>
        <v>S01</v>
      </c>
      <c r="M1693" t="str">
        <f>_xlfn.XLOOKUP(D1693,[2]!Table1[Machine_ID],[2]!Table1[Machine_ID])</f>
        <v>M003</v>
      </c>
      <c r="N1693" t="str">
        <f>_xlfn.XLOOKUP(E1693,[3]Sheet1!$A$2:$A$391,[3]Sheet1!$A$2:$A$391)</f>
        <v>PO10113</v>
      </c>
    </row>
    <row r="1694" spans="1:14" x14ac:dyDescent="0.2">
      <c r="A1694" t="s">
        <v>1703</v>
      </c>
      <c r="B1694" s="2">
        <v>46288</v>
      </c>
      <c r="C1694" t="s">
        <v>2940</v>
      </c>
      <c r="D1694" t="s">
        <v>2944</v>
      </c>
      <c r="E1694" t="s">
        <v>3063</v>
      </c>
      <c r="F1694" s="3">
        <v>46288.408376146137</v>
      </c>
      <c r="G1694" s="3">
        <v>46288.41296495295</v>
      </c>
      <c r="H1694">
        <v>6.61</v>
      </c>
      <c r="I1694" t="s">
        <v>3147</v>
      </c>
      <c r="J1694" t="s">
        <v>3167</v>
      </c>
      <c r="K1694" t="s">
        <v>3186</v>
      </c>
      <c r="L1694" t="str">
        <f>_xlfn.XLOOKUP(C1694,[1]!Table1[Shift_ID],[1]!Table1[Shift_ID])</f>
        <v>S01</v>
      </c>
      <c r="M1694" t="str">
        <f>_xlfn.XLOOKUP(D1694,[2]!Table1[Machine_ID],[2]!Table1[Machine_ID])</f>
        <v>M003</v>
      </c>
      <c r="N1694" t="str">
        <f>_xlfn.XLOOKUP(E1694,[3]Sheet1!$A$2:$A$391,[3]Sheet1!$A$2:$A$391)</f>
        <v>PO10113</v>
      </c>
    </row>
    <row r="1695" spans="1:14" x14ac:dyDescent="0.2">
      <c r="A1695" t="s">
        <v>1704</v>
      </c>
      <c r="B1695" s="2">
        <v>46288</v>
      </c>
      <c r="C1695" t="s">
        <v>2940</v>
      </c>
      <c r="D1695" t="s">
        <v>2944</v>
      </c>
      <c r="E1695" t="s">
        <v>3063</v>
      </c>
      <c r="F1695" s="3">
        <v>46288.422025895074</v>
      </c>
      <c r="G1695" s="3">
        <v>46288.427868069142</v>
      </c>
      <c r="H1695">
        <v>8.41</v>
      </c>
      <c r="I1695" t="s">
        <v>3150</v>
      </c>
      <c r="J1695" t="s">
        <v>3163</v>
      </c>
      <c r="K1695" t="s">
        <v>3177</v>
      </c>
      <c r="L1695" t="str">
        <f>_xlfn.XLOOKUP(C1695,[1]!Table1[Shift_ID],[1]!Table1[Shift_ID])</f>
        <v>S01</v>
      </c>
      <c r="M1695" t="str">
        <f>_xlfn.XLOOKUP(D1695,[2]!Table1[Machine_ID],[2]!Table1[Machine_ID])</f>
        <v>M003</v>
      </c>
      <c r="N1695" t="str">
        <f>_xlfn.XLOOKUP(E1695,[3]Sheet1!$A$2:$A$391,[3]Sheet1!$A$2:$A$391)</f>
        <v>PO10113</v>
      </c>
    </row>
    <row r="1696" spans="1:14" x14ac:dyDescent="0.2">
      <c r="A1696" t="s">
        <v>1705</v>
      </c>
      <c r="B1696" s="2">
        <v>46288</v>
      </c>
      <c r="C1696" t="s">
        <v>2940</v>
      </c>
      <c r="D1696" t="s">
        <v>2945</v>
      </c>
      <c r="E1696" t="s">
        <v>3063</v>
      </c>
      <c r="F1696" s="3">
        <v>46288.274801842294</v>
      </c>
      <c r="G1696" s="3">
        <v>46288.281219720193</v>
      </c>
      <c r="H1696">
        <v>9.24</v>
      </c>
      <c r="I1696" t="s">
        <v>3149</v>
      </c>
      <c r="J1696" t="s">
        <v>3158</v>
      </c>
      <c r="K1696" t="s">
        <v>3176</v>
      </c>
      <c r="L1696" t="str">
        <f>_xlfn.XLOOKUP(C1696,[1]!Table1[Shift_ID],[1]!Table1[Shift_ID])</f>
        <v>S01</v>
      </c>
      <c r="M1696" t="str">
        <f>_xlfn.XLOOKUP(D1696,[2]!Table1[Machine_ID],[2]!Table1[Machine_ID])</f>
        <v>M004</v>
      </c>
      <c r="N1696" t="str">
        <f>_xlfn.XLOOKUP(E1696,[3]Sheet1!$A$2:$A$391,[3]Sheet1!$A$2:$A$391)</f>
        <v>PO10113</v>
      </c>
    </row>
    <row r="1697" spans="1:14" x14ac:dyDescent="0.2">
      <c r="A1697" t="s">
        <v>1706</v>
      </c>
      <c r="B1697" s="2">
        <v>46288</v>
      </c>
      <c r="C1697" t="s">
        <v>2940</v>
      </c>
      <c r="D1697" t="s">
        <v>2945</v>
      </c>
      <c r="E1697" t="s">
        <v>3063</v>
      </c>
      <c r="F1697" s="3">
        <v>46288.543940375617</v>
      </c>
      <c r="G1697" s="3">
        <v>46288.545752667407</v>
      </c>
      <c r="H1697">
        <v>2.61</v>
      </c>
      <c r="I1697" t="s">
        <v>3149</v>
      </c>
      <c r="J1697" t="s">
        <v>3168</v>
      </c>
      <c r="K1697" t="s">
        <v>3184</v>
      </c>
      <c r="L1697" t="str">
        <f>_xlfn.XLOOKUP(C1697,[1]!Table1[Shift_ID],[1]!Table1[Shift_ID])</f>
        <v>S01</v>
      </c>
      <c r="M1697" t="str">
        <f>_xlfn.XLOOKUP(D1697,[2]!Table1[Machine_ID],[2]!Table1[Machine_ID])</f>
        <v>M004</v>
      </c>
      <c r="N1697" t="str">
        <f>_xlfn.XLOOKUP(E1697,[3]Sheet1!$A$2:$A$391,[3]Sheet1!$A$2:$A$391)</f>
        <v>PO10113</v>
      </c>
    </row>
    <row r="1698" spans="1:14" x14ac:dyDescent="0.2">
      <c r="A1698" t="s">
        <v>1707</v>
      </c>
      <c r="B1698" s="2">
        <v>46288</v>
      </c>
      <c r="C1698" t="s">
        <v>2940</v>
      </c>
      <c r="D1698" t="s">
        <v>2946</v>
      </c>
      <c r="E1698" t="s">
        <v>3063</v>
      </c>
      <c r="F1698" s="3">
        <v>46288.313124071479</v>
      </c>
      <c r="G1698" s="3">
        <v>46288.320114547263</v>
      </c>
      <c r="H1698">
        <v>10.07</v>
      </c>
      <c r="I1698" t="s">
        <v>3147</v>
      </c>
      <c r="J1698" t="s">
        <v>3167</v>
      </c>
      <c r="K1698" t="s">
        <v>3185</v>
      </c>
      <c r="L1698" t="str">
        <f>_xlfn.XLOOKUP(C1698,[1]!Table1[Shift_ID],[1]!Table1[Shift_ID])</f>
        <v>S01</v>
      </c>
      <c r="M1698" t="str">
        <f>_xlfn.XLOOKUP(D1698,[2]!Table1[Machine_ID],[2]!Table1[Machine_ID])</f>
        <v>M005</v>
      </c>
      <c r="N1698" t="str">
        <f>_xlfn.XLOOKUP(E1698,[3]Sheet1!$A$2:$A$391,[3]Sheet1!$A$2:$A$391)</f>
        <v>PO10113</v>
      </c>
    </row>
    <row r="1699" spans="1:14" x14ac:dyDescent="0.2">
      <c r="A1699" t="s">
        <v>1708</v>
      </c>
      <c r="B1699" s="2">
        <v>46288</v>
      </c>
      <c r="C1699" t="s">
        <v>2940</v>
      </c>
      <c r="D1699" t="s">
        <v>2947</v>
      </c>
      <c r="E1699" t="s">
        <v>3063</v>
      </c>
      <c r="F1699" s="3">
        <v>46288.282636061733</v>
      </c>
      <c r="G1699" s="3">
        <v>46288.284745748802</v>
      </c>
      <c r="H1699">
        <v>3.04</v>
      </c>
      <c r="I1699" t="s">
        <v>3147</v>
      </c>
      <c r="J1699" t="s">
        <v>3167</v>
      </c>
      <c r="K1699" t="s">
        <v>3186</v>
      </c>
      <c r="L1699" t="str">
        <f>_xlfn.XLOOKUP(C1699,[1]!Table1[Shift_ID],[1]!Table1[Shift_ID])</f>
        <v>S01</v>
      </c>
      <c r="M1699" t="str">
        <f>_xlfn.XLOOKUP(D1699,[2]!Table1[Machine_ID],[2]!Table1[Machine_ID])</f>
        <v>M006</v>
      </c>
      <c r="N1699" t="str">
        <f>_xlfn.XLOOKUP(E1699,[3]Sheet1!$A$2:$A$391,[3]Sheet1!$A$2:$A$391)</f>
        <v>PO10113</v>
      </c>
    </row>
    <row r="1700" spans="1:14" x14ac:dyDescent="0.2">
      <c r="A1700" t="s">
        <v>1709</v>
      </c>
      <c r="B1700" s="2">
        <v>46288</v>
      </c>
      <c r="C1700" t="s">
        <v>2940</v>
      </c>
      <c r="D1700" t="s">
        <v>2947</v>
      </c>
      <c r="E1700" t="s">
        <v>3063</v>
      </c>
      <c r="F1700" s="3">
        <v>46288.377469717852</v>
      </c>
      <c r="G1700" s="3">
        <v>46288.384503473942</v>
      </c>
      <c r="H1700">
        <v>10.130000000000001</v>
      </c>
      <c r="I1700" t="s">
        <v>3146</v>
      </c>
      <c r="J1700" t="s">
        <v>3157</v>
      </c>
      <c r="K1700" t="s">
        <v>3171</v>
      </c>
      <c r="L1700" t="str">
        <f>_xlfn.XLOOKUP(C1700,[1]!Table1[Shift_ID],[1]!Table1[Shift_ID])</f>
        <v>S01</v>
      </c>
      <c r="M1700" t="str">
        <f>_xlfn.XLOOKUP(D1700,[2]!Table1[Machine_ID],[2]!Table1[Machine_ID])</f>
        <v>M006</v>
      </c>
      <c r="N1700" t="str">
        <f>_xlfn.XLOOKUP(E1700,[3]Sheet1!$A$2:$A$391,[3]Sheet1!$A$2:$A$391)</f>
        <v>PO10113</v>
      </c>
    </row>
    <row r="1701" spans="1:14" x14ac:dyDescent="0.2">
      <c r="A1701" t="s">
        <v>1710</v>
      </c>
      <c r="B1701" s="2">
        <v>46288</v>
      </c>
      <c r="C1701" t="s">
        <v>2940</v>
      </c>
      <c r="D1701" t="s">
        <v>2947</v>
      </c>
      <c r="E1701" t="s">
        <v>3063</v>
      </c>
      <c r="F1701" s="3">
        <v>46288.490343425379</v>
      </c>
      <c r="G1701" s="3">
        <v>46288.510602596652</v>
      </c>
      <c r="H1701">
        <v>29.17</v>
      </c>
      <c r="I1701" t="s">
        <v>3149</v>
      </c>
      <c r="J1701" t="s">
        <v>3168</v>
      </c>
      <c r="K1701" t="s">
        <v>3184</v>
      </c>
      <c r="L1701" t="str">
        <f>_xlfn.XLOOKUP(C1701,[1]!Table1[Shift_ID],[1]!Table1[Shift_ID])</f>
        <v>S01</v>
      </c>
      <c r="M1701" t="str">
        <f>_xlfn.XLOOKUP(D1701,[2]!Table1[Machine_ID],[2]!Table1[Machine_ID])</f>
        <v>M006</v>
      </c>
      <c r="N1701" t="str">
        <f>_xlfn.XLOOKUP(E1701,[3]Sheet1!$A$2:$A$391,[3]Sheet1!$A$2:$A$391)</f>
        <v>PO10113</v>
      </c>
    </row>
    <row r="1702" spans="1:14" x14ac:dyDescent="0.2">
      <c r="A1702" t="s">
        <v>1711</v>
      </c>
      <c r="B1702" s="2">
        <v>46288</v>
      </c>
      <c r="C1702" t="s">
        <v>2940</v>
      </c>
      <c r="D1702" t="s">
        <v>2948</v>
      </c>
      <c r="E1702" t="s">
        <v>3063</v>
      </c>
      <c r="F1702" s="3">
        <v>46288.411622783227</v>
      </c>
      <c r="G1702" s="3">
        <v>46288.420930955661</v>
      </c>
      <c r="H1702">
        <v>13.4</v>
      </c>
      <c r="I1702" t="s">
        <v>3150</v>
      </c>
      <c r="J1702" t="s">
        <v>3166</v>
      </c>
      <c r="K1702" t="s">
        <v>3179</v>
      </c>
      <c r="L1702" t="str">
        <f>_xlfn.XLOOKUP(C1702,[1]!Table1[Shift_ID],[1]!Table1[Shift_ID])</f>
        <v>S01</v>
      </c>
      <c r="M1702" t="str">
        <f>_xlfn.XLOOKUP(D1702,[2]!Table1[Machine_ID],[2]!Table1[Machine_ID])</f>
        <v>M007</v>
      </c>
      <c r="N1702" t="str">
        <f>_xlfn.XLOOKUP(E1702,[3]Sheet1!$A$2:$A$391,[3]Sheet1!$A$2:$A$391)</f>
        <v>PO10113</v>
      </c>
    </row>
    <row r="1703" spans="1:14" x14ac:dyDescent="0.2">
      <c r="A1703" t="s">
        <v>1712</v>
      </c>
      <c r="B1703" s="2">
        <v>46288</v>
      </c>
      <c r="C1703" t="s">
        <v>2940</v>
      </c>
      <c r="D1703" t="s">
        <v>2948</v>
      </c>
      <c r="E1703" t="s">
        <v>3063</v>
      </c>
      <c r="F1703" s="3">
        <v>46288.511716302193</v>
      </c>
      <c r="G1703" s="3">
        <v>46288.5144294661</v>
      </c>
      <c r="H1703">
        <v>3.91</v>
      </c>
      <c r="I1703" t="s">
        <v>3151</v>
      </c>
      <c r="J1703" t="s">
        <v>3170</v>
      </c>
      <c r="K1703" t="s">
        <v>3188</v>
      </c>
      <c r="L1703" t="str">
        <f>_xlfn.XLOOKUP(C1703,[1]!Table1[Shift_ID],[1]!Table1[Shift_ID])</f>
        <v>S01</v>
      </c>
      <c r="M1703" t="str">
        <f>_xlfn.XLOOKUP(D1703,[2]!Table1[Machine_ID],[2]!Table1[Machine_ID])</f>
        <v>M007</v>
      </c>
      <c r="N1703" t="str">
        <f>_xlfn.XLOOKUP(E1703,[3]Sheet1!$A$2:$A$391,[3]Sheet1!$A$2:$A$391)</f>
        <v>PO10113</v>
      </c>
    </row>
    <row r="1704" spans="1:14" x14ac:dyDescent="0.2">
      <c r="A1704" t="s">
        <v>1713</v>
      </c>
      <c r="B1704" s="2">
        <v>46288</v>
      </c>
      <c r="C1704" t="s">
        <v>2940</v>
      </c>
      <c r="D1704" t="s">
        <v>2949</v>
      </c>
      <c r="E1704" t="s">
        <v>3063</v>
      </c>
      <c r="F1704" s="3">
        <v>46288.353449523311</v>
      </c>
      <c r="G1704" s="3">
        <v>46288.360968374996</v>
      </c>
      <c r="H1704">
        <v>10.83</v>
      </c>
      <c r="I1704" t="s">
        <v>3147</v>
      </c>
      <c r="J1704" t="s">
        <v>3153</v>
      </c>
      <c r="K1704" t="s">
        <v>3172</v>
      </c>
      <c r="L1704" t="str">
        <f>_xlfn.XLOOKUP(C1704,[1]!Table1[Shift_ID],[1]!Table1[Shift_ID])</f>
        <v>S01</v>
      </c>
      <c r="M1704" t="str">
        <f>_xlfn.XLOOKUP(D1704,[2]!Table1[Machine_ID],[2]!Table1[Machine_ID])</f>
        <v>M008</v>
      </c>
      <c r="N1704" t="str">
        <f>_xlfn.XLOOKUP(E1704,[3]Sheet1!$A$2:$A$391,[3]Sheet1!$A$2:$A$391)</f>
        <v>PO10113</v>
      </c>
    </row>
    <row r="1705" spans="1:14" x14ac:dyDescent="0.2">
      <c r="A1705" t="s">
        <v>1714</v>
      </c>
      <c r="B1705" s="2">
        <v>46288</v>
      </c>
      <c r="C1705" t="s">
        <v>2941</v>
      </c>
      <c r="D1705" t="s">
        <v>2942</v>
      </c>
      <c r="E1705" t="s">
        <v>3064</v>
      </c>
      <c r="F1705" s="3">
        <v>46288.615821373853</v>
      </c>
      <c r="G1705" s="3">
        <v>46288.617248682582</v>
      </c>
      <c r="H1705">
        <v>2.06</v>
      </c>
      <c r="I1705" t="s">
        <v>3150</v>
      </c>
      <c r="J1705" t="s">
        <v>3163</v>
      </c>
      <c r="K1705" t="s">
        <v>3179</v>
      </c>
      <c r="L1705" t="str">
        <f>_xlfn.XLOOKUP(C1705,[1]!Table1[Shift_ID],[1]!Table1[Shift_ID])</f>
        <v>S02</v>
      </c>
      <c r="M1705" t="str">
        <f>_xlfn.XLOOKUP(D1705,[2]!Table1[Machine_ID],[2]!Table1[Machine_ID])</f>
        <v>M001</v>
      </c>
      <c r="N1705" t="str">
        <f>_xlfn.XLOOKUP(E1705,[3]Sheet1!$A$2:$A$391,[3]Sheet1!$A$2:$A$391)</f>
        <v>PO10114</v>
      </c>
    </row>
    <row r="1706" spans="1:14" x14ac:dyDescent="0.2">
      <c r="A1706" t="s">
        <v>1715</v>
      </c>
      <c r="B1706" s="2">
        <v>46288</v>
      </c>
      <c r="C1706" t="s">
        <v>2941</v>
      </c>
      <c r="D1706" t="s">
        <v>2942</v>
      </c>
      <c r="E1706" t="s">
        <v>3064</v>
      </c>
      <c r="F1706" s="3">
        <v>46288.7261253834</v>
      </c>
      <c r="G1706" s="3">
        <v>46288.727552692129</v>
      </c>
      <c r="H1706">
        <v>2.06</v>
      </c>
      <c r="I1706" t="s">
        <v>3149</v>
      </c>
      <c r="J1706" t="s">
        <v>3168</v>
      </c>
      <c r="K1706" t="s">
        <v>3184</v>
      </c>
      <c r="L1706" t="str">
        <f>_xlfn.XLOOKUP(C1706,[1]!Table1[Shift_ID],[1]!Table1[Shift_ID])</f>
        <v>S02</v>
      </c>
      <c r="M1706" t="str">
        <f>_xlfn.XLOOKUP(D1706,[2]!Table1[Machine_ID],[2]!Table1[Machine_ID])</f>
        <v>M001</v>
      </c>
      <c r="N1706" t="str">
        <f>_xlfn.XLOOKUP(E1706,[3]Sheet1!$A$2:$A$391,[3]Sheet1!$A$2:$A$391)</f>
        <v>PO10114</v>
      </c>
    </row>
    <row r="1707" spans="1:14" x14ac:dyDescent="0.2">
      <c r="A1707" t="s">
        <v>1716</v>
      </c>
      <c r="B1707" s="2">
        <v>46288</v>
      </c>
      <c r="C1707" t="s">
        <v>2941</v>
      </c>
      <c r="D1707" t="s">
        <v>2942</v>
      </c>
      <c r="E1707" t="s">
        <v>3064</v>
      </c>
      <c r="F1707" s="3">
        <v>46288.855003676283</v>
      </c>
      <c r="G1707" s="3">
        <v>46288.85729300329</v>
      </c>
      <c r="H1707">
        <v>3.3</v>
      </c>
      <c r="I1707" t="s">
        <v>3150</v>
      </c>
      <c r="J1707" t="s">
        <v>3160</v>
      </c>
      <c r="K1707" t="s">
        <v>3179</v>
      </c>
      <c r="L1707" t="str">
        <f>_xlfn.XLOOKUP(C1707,[1]!Table1[Shift_ID],[1]!Table1[Shift_ID])</f>
        <v>S02</v>
      </c>
      <c r="M1707" t="str">
        <f>_xlfn.XLOOKUP(D1707,[2]!Table1[Machine_ID],[2]!Table1[Machine_ID])</f>
        <v>M001</v>
      </c>
      <c r="N1707" t="str">
        <f>_xlfn.XLOOKUP(E1707,[3]Sheet1!$A$2:$A$391,[3]Sheet1!$A$2:$A$391)</f>
        <v>PO10114</v>
      </c>
    </row>
    <row r="1708" spans="1:14" x14ac:dyDescent="0.2">
      <c r="A1708" t="s">
        <v>1717</v>
      </c>
      <c r="B1708" s="2">
        <v>46288</v>
      </c>
      <c r="C1708" t="s">
        <v>2941</v>
      </c>
      <c r="D1708" t="s">
        <v>2943</v>
      </c>
      <c r="E1708" t="s">
        <v>3064</v>
      </c>
      <c r="F1708" s="3">
        <v>46288.775120086153</v>
      </c>
      <c r="G1708" s="3">
        <v>46288.776768569267</v>
      </c>
      <c r="H1708">
        <v>2.37</v>
      </c>
      <c r="I1708" t="s">
        <v>3150</v>
      </c>
      <c r="J1708" t="s">
        <v>3166</v>
      </c>
      <c r="K1708" t="s">
        <v>3179</v>
      </c>
      <c r="L1708" t="str">
        <f>_xlfn.XLOOKUP(C1708,[1]!Table1[Shift_ID],[1]!Table1[Shift_ID])</f>
        <v>S02</v>
      </c>
      <c r="M1708" t="str">
        <f>_xlfn.XLOOKUP(D1708,[2]!Table1[Machine_ID],[2]!Table1[Machine_ID])</f>
        <v>M002</v>
      </c>
      <c r="N1708" t="str">
        <f>_xlfn.XLOOKUP(E1708,[3]Sheet1!$A$2:$A$391,[3]Sheet1!$A$2:$A$391)</f>
        <v>PO10114</v>
      </c>
    </row>
    <row r="1709" spans="1:14" x14ac:dyDescent="0.2">
      <c r="A1709" t="s">
        <v>1718</v>
      </c>
      <c r="B1709" s="2">
        <v>46288</v>
      </c>
      <c r="C1709" t="s">
        <v>2941</v>
      </c>
      <c r="D1709" t="s">
        <v>2943</v>
      </c>
      <c r="E1709" t="s">
        <v>3064</v>
      </c>
      <c r="F1709" s="3">
        <v>46288.899361791133</v>
      </c>
      <c r="G1709" s="3">
        <v>46288.905348672859</v>
      </c>
      <c r="H1709">
        <v>8.6199999999999992</v>
      </c>
      <c r="I1709" t="s">
        <v>3147</v>
      </c>
      <c r="J1709" t="s">
        <v>3167</v>
      </c>
      <c r="K1709" t="s">
        <v>3185</v>
      </c>
      <c r="L1709" t="str">
        <f>_xlfn.XLOOKUP(C1709,[1]!Table1[Shift_ID],[1]!Table1[Shift_ID])</f>
        <v>S02</v>
      </c>
      <c r="M1709" t="str">
        <f>_xlfn.XLOOKUP(D1709,[2]!Table1[Machine_ID],[2]!Table1[Machine_ID])</f>
        <v>M002</v>
      </c>
      <c r="N1709" t="str">
        <f>_xlfn.XLOOKUP(E1709,[3]Sheet1!$A$2:$A$391,[3]Sheet1!$A$2:$A$391)</f>
        <v>PO10114</v>
      </c>
    </row>
    <row r="1710" spans="1:14" x14ac:dyDescent="0.2">
      <c r="A1710" t="s">
        <v>1719</v>
      </c>
      <c r="B1710" s="2">
        <v>46288</v>
      </c>
      <c r="C1710" t="s">
        <v>2941</v>
      </c>
      <c r="D1710" t="s">
        <v>2944</v>
      </c>
      <c r="E1710" t="s">
        <v>3064</v>
      </c>
      <c r="F1710" s="3">
        <v>46288.779596256252</v>
      </c>
      <c r="G1710" s="3">
        <v>46288.781689255033</v>
      </c>
      <c r="H1710">
        <v>3.01</v>
      </c>
      <c r="I1710" t="s">
        <v>3150</v>
      </c>
      <c r="J1710" t="s">
        <v>3163</v>
      </c>
      <c r="K1710" t="s">
        <v>3177</v>
      </c>
      <c r="L1710" t="str">
        <f>_xlfn.XLOOKUP(C1710,[1]!Table1[Shift_ID],[1]!Table1[Shift_ID])</f>
        <v>S02</v>
      </c>
      <c r="M1710" t="str">
        <f>_xlfn.XLOOKUP(D1710,[2]!Table1[Machine_ID],[2]!Table1[Machine_ID])</f>
        <v>M003</v>
      </c>
      <c r="N1710" t="str">
        <f>_xlfn.XLOOKUP(E1710,[3]Sheet1!$A$2:$A$391,[3]Sheet1!$A$2:$A$391)</f>
        <v>PO10114</v>
      </c>
    </row>
    <row r="1711" spans="1:14" x14ac:dyDescent="0.2">
      <c r="A1711" t="s">
        <v>1720</v>
      </c>
      <c r="B1711" s="2">
        <v>46288</v>
      </c>
      <c r="C1711" t="s">
        <v>2941</v>
      </c>
      <c r="D1711" t="s">
        <v>2944</v>
      </c>
      <c r="E1711" t="s">
        <v>3064</v>
      </c>
      <c r="F1711" s="3">
        <v>46288.800722255532</v>
      </c>
      <c r="G1711" s="3">
        <v>46288.811954842233</v>
      </c>
      <c r="H1711">
        <v>16.170000000000002</v>
      </c>
      <c r="I1711" t="s">
        <v>3149</v>
      </c>
      <c r="J1711" t="s">
        <v>3158</v>
      </c>
      <c r="K1711" t="s">
        <v>3182</v>
      </c>
      <c r="L1711" t="str">
        <f>_xlfn.XLOOKUP(C1711,[1]!Table1[Shift_ID],[1]!Table1[Shift_ID])</f>
        <v>S02</v>
      </c>
      <c r="M1711" t="str">
        <f>_xlfn.XLOOKUP(D1711,[2]!Table1[Machine_ID],[2]!Table1[Machine_ID])</f>
        <v>M003</v>
      </c>
      <c r="N1711" t="str">
        <f>_xlfn.XLOOKUP(E1711,[3]Sheet1!$A$2:$A$391,[3]Sheet1!$A$2:$A$391)</f>
        <v>PO10114</v>
      </c>
    </row>
    <row r="1712" spans="1:14" x14ac:dyDescent="0.2">
      <c r="A1712" t="s">
        <v>1721</v>
      </c>
      <c r="B1712" s="2">
        <v>46288</v>
      </c>
      <c r="C1712" t="s">
        <v>2941</v>
      </c>
      <c r="D1712" t="s">
        <v>2945</v>
      </c>
      <c r="E1712" t="s">
        <v>3064</v>
      </c>
      <c r="F1712" s="3">
        <v>46288.740711225488</v>
      </c>
      <c r="G1712" s="3">
        <v>46288.749412767313</v>
      </c>
      <c r="H1712">
        <v>12.53</v>
      </c>
      <c r="I1712" t="s">
        <v>3150</v>
      </c>
      <c r="J1712" t="s">
        <v>3163</v>
      </c>
      <c r="K1712" t="s">
        <v>3179</v>
      </c>
      <c r="L1712" t="str">
        <f>_xlfn.XLOOKUP(C1712,[1]!Table1[Shift_ID],[1]!Table1[Shift_ID])</f>
        <v>S02</v>
      </c>
      <c r="M1712" t="str">
        <f>_xlfn.XLOOKUP(D1712,[2]!Table1[Machine_ID],[2]!Table1[Machine_ID])</f>
        <v>M004</v>
      </c>
      <c r="N1712" t="str">
        <f>_xlfn.XLOOKUP(E1712,[3]Sheet1!$A$2:$A$391,[3]Sheet1!$A$2:$A$391)</f>
        <v>PO10114</v>
      </c>
    </row>
    <row r="1713" spans="1:14" x14ac:dyDescent="0.2">
      <c r="A1713" t="s">
        <v>1722</v>
      </c>
      <c r="B1713" s="2">
        <v>46288</v>
      </c>
      <c r="C1713" t="s">
        <v>2941</v>
      </c>
      <c r="D1713" t="s">
        <v>2946</v>
      </c>
      <c r="E1713" t="s">
        <v>3064</v>
      </c>
      <c r="F1713" s="3">
        <v>46288.59328728848</v>
      </c>
      <c r="G1713" s="3">
        <v>46288.594628914281</v>
      </c>
      <c r="H1713">
        <v>1.93</v>
      </c>
      <c r="I1713" t="s">
        <v>3149</v>
      </c>
      <c r="J1713" t="s">
        <v>3158</v>
      </c>
      <c r="K1713" t="s">
        <v>3184</v>
      </c>
      <c r="L1713" t="str">
        <f>_xlfn.XLOOKUP(C1713,[1]!Table1[Shift_ID],[1]!Table1[Shift_ID])</f>
        <v>S02</v>
      </c>
      <c r="M1713" t="str">
        <f>_xlfn.XLOOKUP(D1713,[2]!Table1[Machine_ID],[2]!Table1[Machine_ID])</f>
        <v>M005</v>
      </c>
      <c r="N1713" t="str">
        <f>_xlfn.XLOOKUP(E1713,[3]Sheet1!$A$2:$A$391,[3]Sheet1!$A$2:$A$391)</f>
        <v>PO10114</v>
      </c>
    </row>
    <row r="1714" spans="1:14" x14ac:dyDescent="0.2">
      <c r="A1714" t="s">
        <v>1723</v>
      </c>
      <c r="B1714" s="2">
        <v>46288</v>
      </c>
      <c r="C1714" t="s">
        <v>2941</v>
      </c>
      <c r="D1714" t="s">
        <v>2946</v>
      </c>
      <c r="E1714" t="s">
        <v>3064</v>
      </c>
      <c r="F1714" s="3">
        <v>46288.66361506965</v>
      </c>
      <c r="G1714" s="3">
        <v>46288.664956695451</v>
      </c>
      <c r="H1714">
        <v>1.93</v>
      </c>
      <c r="I1714" t="s">
        <v>3147</v>
      </c>
      <c r="J1714" t="s">
        <v>3153</v>
      </c>
      <c r="K1714" t="s">
        <v>3185</v>
      </c>
      <c r="L1714" t="str">
        <f>_xlfn.XLOOKUP(C1714,[1]!Table1[Shift_ID],[1]!Table1[Shift_ID])</f>
        <v>S02</v>
      </c>
      <c r="M1714" t="str">
        <f>_xlfn.XLOOKUP(D1714,[2]!Table1[Machine_ID],[2]!Table1[Machine_ID])</f>
        <v>M005</v>
      </c>
      <c r="N1714" t="str">
        <f>_xlfn.XLOOKUP(E1714,[3]Sheet1!$A$2:$A$391,[3]Sheet1!$A$2:$A$391)</f>
        <v>PO10114</v>
      </c>
    </row>
    <row r="1715" spans="1:14" x14ac:dyDescent="0.2">
      <c r="A1715" t="s">
        <v>1724</v>
      </c>
      <c r="B1715" s="2">
        <v>46288</v>
      </c>
      <c r="C1715" t="s">
        <v>2941</v>
      </c>
      <c r="D1715" t="s">
        <v>2946</v>
      </c>
      <c r="E1715" t="s">
        <v>3064</v>
      </c>
      <c r="F1715" s="3">
        <v>46288.870375386621</v>
      </c>
      <c r="G1715" s="3">
        <v>46288.87524945927</v>
      </c>
      <c r="H1715">
        <v>7.02</v>
      </c>
      <c r="I1715" t="s">
        <v>3147</v>
      </c>
      <c r="J1715" t="s">
        <v>3154</v>
      </c>
      <c r="K1715" t="s">
        <v>3185</v>
      </c>
      <c r="L1715" t="str">
        <f>_xlfn.XLOOKUP(C1715,[1]!Table1[Shift_ID],[1]!Table1[Shift_ID])</f>
        <v>S02</v>
      </c>
      <c r="M1715" t="str">
        <f>_xlfn.XLOOKUP(D1715,[2]!Table1[Machine_ID],[2]!Table1[Machine_ID])</f>
        <v>M005</v>
      </c>
      <c r="N1715" t="str">
        <f>_xlfn.XLOOKUP(E1715,[3]Sheet1!$A$2:$A$391,[3]Sheet1!$A$2:$A$391)</f>
        <v>PO10114</v>
      </c>
    </row>
    <row r="1716" spans="1:14" x14ac:dyDescent="0.2">
      <c r="A1716" t="s">
        <v>1725</v>
      </c>
      <c r="B1716" s="2">
        <v>46288</v>
      </c>
      <c r="C1716" t="s">
        <v>2941</v>
      </c>
      <c r="D1716" t="s">
        <v>2946</v>
      </c>
      <c r="E1716" t="s">
        <v>3064</v>
      </c>
      <c r="F1716" s="3">
        <v>46288.888280520441</v>
      </c>
      <c r="G1716" s="3">
        <v>46288.889622146242</v>
      </c>
      <c r="H1716">
        <v>1.93</v>
      </c>
      <c r="I1716" t="s">
        <v>3149</v>
      </c>
      <c r="J1716" t="s">
        <v>3162</v>
      </c>
      <c r="K1716" t="s">
        <v>3184</v>
      </c>
      <c r="L1716" t="str">
        <f>_xlfn.XLOOKUP(C1716,[1]!Table1[Shift_ID],[1]!Table1[Shift_ID])</f>
        <v>S02</v>
      </c>
      <c r="M1716" t="str">
        <f>_xlfn.XLOOKUP(D1716,[2]!Table1[Machine_ID],[2]!Table1[Machine_ID])</f>
        <v>M005</v>
      </c>
      <c r="N1716" t="str">
        <f>_xlfn.XLOOKUP(E1716,[3]Sheet1!$A$2:$A$391,[3]Sheet1!$A$2:$A$391)</f>
        <v>PO10114</v>
      </c>
    </row>
    <row r="1717" spans="1:14" x14ac:dyDescent="0.2">
      <c r="A1717" t="s">
        <v>1726</v>
      </c>
      <c r="B1717" s="2">
        <v>46288</v>
      </c>
      <c r="C1717" t="s">
        <v>2941</v>
      </c>
      <c r="D1717" t="s">
        <v>2947</v>
      </c>
      <c r="E1717" t="s">
        <v>3064</v>
      </c>
      <c r="F1717" s="3">
        <v>46288.83391772936</v>
      </c>
      <c r="G1717" s="3">
        <v>46288.855566175691</v>
      </c>
      <c r="H1717">
        <v>31.17</v>
      </c>
      <c r="I1717" t="s">
        <v>3147</v>
      </c>
      <c r="J1717" t="s">
        <v>3153</v>
      </c>
      <c r="K1717" t="s">
        <v>3172</v>
      </c>
      <c r="L1717" t="str">
        <f>_xlfn.XLOOKUP(C1717,[1]!Table1[Shift_ID],[1]!Table1[Shift_ID])</f>
        <v>S02</v>
      </c>
      <c r="M1717" t="str">
        <f>_xlfn.XLOOKUP(D1717,[2]!Table1[Machine_ID],[2]!Table1[Machine_ID])</f>
        <v>M006</v>
      </c>
      <c r="N1717" t="str">
        <f>_xlfn.XLOOKUP(E1717,[3]Sheet1!$A$2:$A$391,[3]Sheet1!$A$2:$A$391)</f>
        <v>PO10114</v>
      </c>
    </row>
    <row r="1718" spans="1:14" x14ac:dyDescent="0.2">
      <c r="A1718" t="s">
        <v>1727</v>
      </c>
      <c r="B1718" s="2">
        <v>46288</v>
      </c>
      <c r="C1718" t="s">
        <v>2941</v>
      </c>
      <c r="D1718" t="s">
        <v>2948</v>
      </c>
      <c r="E1718" t="s">
        <v>3064</v>
      </c>
      <c r="F1718" s="3">
        <v>46288.663431081477</v>
      </c>
      <c r="G1718" s="3">
        <v>46288.667381169122</v>
      </c>
      <c r="H1718">
        <v>5.69</v>
      </c>
      <c r="I1718" t="s">
        <v>3148</v>
      </c>
      <c r="J1718" t="s">
        <v>3165</v>
      </c>
      <c r="K1718" t="s">
        <v>3180</v>
      </c>
      <c r="L1718" t="str">
        <f>_xlfn.XLOOKUP(C1718,[1]!Table1[Shift_ID],[1]!Table1[Shift_ID])</f>
        <v>S02</v>
      </c>
      <c r="M1718" t="str">
        <f>_xlfn.XLOOKUP(D1718,[2]!Table1[Machine_ID],[2]!Table1[Machine_ID])</f>
        <v>M007</v>
      </c>
      <c r="N1718" t="str">
        <f>_xlfn.XLOOKUP(E1718,[3]Sheet1!$A$2:$A$391,[3]Sheet1!$A$2:$A$391)</f>
        <v>PO10114</v>
      </c>
    </row>
    <row r="1719" spans="1:14" x14ac:dyDescent="0.2">
      <c r="A1719" t="s">
        <v>1728</v>
      </c>
      <c r="B1719" s="2">
        <v>46288</v>
      </c>
      <c r="C1719" t="s">
        <v>2941</v>
      </c>
      <c r="D1719" t="s">
        <v>2948</v>
      </c>
      <c r="E1719" t="s">
        <v>3064</v>
      </c>
      <c r="F1719" s="3">
        <v>46288.702453460843</v>
      </c>
      <c r="G1719" s="3">
        <v>46288.705691334479</v>
      </c>
      <c r="H1719">
        <v>4.66</v>
      </c>
      <c r="I1719" t="s">
        <v>3150</v>
      </c>
      <c r="J1719" t="s">
        <v>3160</v>
      </c>
      <c r="K1719" t="s">
        <v>3179</v>
      </c>
      <c r="L1719" t="str">
        <f>_xlfn.XLOOKUP(C1719,[1]!Table1[Shift_ID],[1]!Table1[Shift_ID])</f>
        <v>S02</v>
      </c>
      <c r="M1719" t="str">
        <f>_xlfn.XLOOKUP(D1719,[2]!Table1[Machine_ID],[2]!Table1[Machine_ID])</f>
        <v>M007</v>
      </c>
      <c r="N1719" t="str">
        <f>_xlfn.XLOOKUP(E1719,[3]Sheet1!$A$2:$A$391,[3]Sheet1!$A$2:$A$391)</f>
        <v>PO10114</v>
      </c>
    </row>
    <row r="1720" spans="1:14" x14ac:dyDescent="0.2">
      <c r="A1720" t="s">
        <v>1729</v>
      </c>
      <c r="B1720" s="2">
        <v>46288</v>
      </c>
      <c r="C1720" t="s">
        <v>2941</v>
      </c>
      <c r="D1720" t="s">
        <v>2948</v>
      </c>
      <c r="E1720" t="s">
        <v>3064</v>
      </c>
      <c r="F1720" s="3">
        <v>46288.748546285497</v>
      </c>
      <c r="G1720" s="3">
        <v>46288.756014111161</v>
      </c>
      <c r="H1720">
        <v>10.75</v>
      </c>
      <c r="I1720" t="s">
        <v>3151</v>
      </c>
      <c r="J1720" t="s">
        <v>3161</v>
      </c>
      <c r="K1720" t="s">
        <v>3181</v>
      </c>
      <c r="L1720" t="str">
        <f>_xlfn.XLOOKUP(C1720,[1]!Table1[Shift_ID],[1]!Table1[Shift_ID])</f>
        <v>S02</v>
      </c>
      <c r="M1720" t="str">
        <f>_xlfn.XLOOKUP(D1720,[2]!Table1[Machine_ID],[2]!Table1[Machine_ID])</f>
        <v>M007</v>
      </c>
      <c r="N1720" t="str">
        <f>_xlfn.XLOOKUP(E1720,[3]Sheet1!$A$2:$A$391,[3]Sheet1!$A$2:$A$391)</f>
        <v>PO10114</v>
      </c>
    </row>
    <row r="1721" spans="1:14" x14ac:dyDescent="0.2">
      <c r="A1721" t="s">
        <v>1730</v>
      </c>
      <c r="B1721" s="2">
        <v>46288</v>
      </c>
      <c r="C1721" t="s">
        <v>2941</v>
      </c>
      <c r="D1721" t="s">
        <v>2949</v>
      </c>
      <c r="E1721" t="s">
        <v>3064</v>
      </c>
      <c r="F1721" s="3">
        <v>46288.658658307897</v>
      </c>
      <c r="G1721" s="3">
        <v>46288.665844184383</v>
      </c>
      <c r="H1721">
        <v>10.35</v>
      </c>
      <c r="I1721" t="s">
        <v>3148</v>
      </c>
      <c r="J1721" t="s">
        <v>3164</v>
      </c>
      <c r="K1721" t="s">
        <v>3183</v>
      </c>
      <c r="L1721" t="str">
        <f>_xlfn.XLOOKUP(C1721,[1]!Table1[Shift_ID],[1]!Table1[Shift_ID])</f>
        <v>S02</v>
      </c>
      <c r="M1721" t="str">
        <f>_xlfn.XLOOKUP(D1721,[2]!Table1[Machine_ID],[2]!Table1[Machine_ID])</f>
        <v>M008</v>
      </c>
      <c r="N1721" t="str">
        <f>_xlfn.XLOOKUP(E1721,[3]Sheet1!$A$2:$A$391,[3]Sheet1!$A$2:$A$391)</f>
        <v>PO10114</v>
      </c>
    </row>
    <row r="1722" spans="1:14" x14ac:dyDescent="0.2">
      <c r="A1722" t="s">
        <v>1731</v>
      </c>
      <c r="B1722" s="2">
        <v>46289</v>
      </c>
      <c r="C1722" t="s">
        <v>2939</v>
      </c>
      <c r="D1722" t="s">
        <v>2942</v>
      </c>
      <c r="E1722" t="s">
        <v>3065</v>
      </c>
      <c r="F1722" s="3">
        <v>46290.03832624248</v>
      </c>
      <c r="G1722" s="3">
        <v>46290.046193953851</v>
      </c>
      <c r="H1722">
        <v>11.33</v>
      </c>
      <c r="I1722" t="s">
        <v>3150</v>
      </c>
      <c r="J1722" t="s">
        <v>3163</v>
      </c>
      <c r="K1722" t="s">
        <v>3177</v>
      </c>
      <c r="L1722" t="str">
        <f>_xlfn.XLOOKUP(C1722,[1]!Table1[Shift_ID],[1]!Table1[Shift_ID])</f>
        <v>S03</v>
      </c>
      <c r="M1722" t="str">
        <f>_xlfn.XLOOKUP(D1722,[2]!Table1[Machine_ID],[2]!Table1[Machine_ID])</f>
        <v>M001</v>
      </c>
      <c r="N1722" t="str">
        <f>_xlfn.XLOOKUP(E1722,[3]Sheet1!$A$2:$A$391,[3]Sheet1!$A$2:$A$391)</f>
        <v>PO10115</v>
      </c>
    </row>
    <row r="1723" spans="1:14" x14ac:dyDescent="0.2">
      <c r="A1723" t="s">
        <v>1732</v>
      </c>
      <c r="B1723" s="2">
        <v>46289</v>
      </c>
      <c r="C1723" t="s">
        <v>2939</v>
      </c>
      <c r="D1723" t="s">
        <v>2943</v>
      </c>
      <c r="E1723" t="s">
        <v>3065</v>
      </c>
      <c r="F1723" s="3">
        <v>46290.044283057752</v>
      </c>
      <c r="G1723" s="3">
        <v>46290.049492184458</v>
      </c>
      <c r="H1723">
        <v>7.5</v>
      </c>
      <c r="I1723" t="s">
        <v>3147</v>
      </c>
      <c r="J1723" t="s">
        <v>3167</v>
      </c>
      <c r="K1723" t="s">
        <v>3186</v>
      </c>
      <c r="L1723" t="str">
        <f>_xlfn.XLOOKUP(C1723,[1]!Table1[Shift_ID],[1]!Table1[Shift_ID])</f>
        <v>S03</v>
      </c>
      <c r="M1723" t="str">
        <f>_xlfn.XLOOKUP(D1723,[2]!Table1[Machine_ID],[2]!Table1[Machine_ID])</f>
        <v>M002</v>
      </c>
      <c r="N1723" t="str">
        <f>_xlfn.XLOOKUP(E1723,[3]Sheet1!$A$2:$A$391,[3]Sheet1!$A$2:$A$391)</f>
        <v>PO10115</v>
      </c>
    </row>
    <row r="1724" spans="1:14" x14ac:dyDescent="0.2">
      <c r="A1724" t="s">
        <v>1733</v>
      </c>
      <c r="B1724" s="2">
        <v>46289</v>
      </c>
      <c r="C1724" t="s">
        <v>2939</v>
      </c>
      <c r="D1724" t="s">
        <v>2943</v>
      </c>
      <c r="E1724" t="s">
        <v>3065</v>
      </c>
      <c r="F1724" s="3">
        <v>46290.063143385632</v>
      </c>
      <c r="G1724" s="3">
        <v>46290.065326409152</v>
      </c>
      <c r="H1724">
        <v>3.14</v>
      </c>
      <c r="I1724" t="s">
        <v>3149</v>
      </c>
      <c r="J1724" t="s">
        <v>3158</v>
      </c>
      <c r="K1724" t="s">
        <v>3182</v>
      </c>
      <c r="L1724" t="str">
        <f>_xlfn.XLOOKUP(C1724,[1]!Table1[Shift_ID],[1]!Table1[Shift_ID])</f>
        <v>S03</v>
      </c>
      <c r="M1724" t="str">
        <f>_xlfn.XLOOKUP(D1724,[2]!Table1[Machine_ID],[2]!Table1[Machine_ID])</f>
        <v>M002</v>
      </c>
      <c r="N1724" t="str">
        <f>_xlfn.XLOOKUP(E1724,[3]Sheet1!$A$2:$A$391,[3]Sheet1!$A$2:$A$391)</f>
        <v>PO10115</v>
      </c>
    </row>
    <row r="1725" spans="1:14" x14ac:dyDescent="0.2">
      <c r="A1725" t="s">
        <v>1734</v>
      </c>
      <c r="B1725" s="2">
        <v>46289</v>
      </c>
      <c r="C1725" t="s">
        <v>2939</v>
      </c>
      <c r="D1725" t="s">
        <v>2943</v>
      </c>
      <c r="E1725" t="s">
        <v>3065</v>
      </c>
      <c r="F1725" s="3">
        <v>46290.142755514782</v>
      </c>
      <c r="G1725" s="3">
        <v>46290.144796296307</v>
      </c>
      <c r="H1725">
        <v>2.94</v>
      </c>
      <c r="I1725" t="s">
        <v>3147</v>
      </c>
      <c r="J1725" t="s">
        <v>3167</v>
      </c>
      <c r="K1725" t="s">
        <v>3185</v>
      </c>
      <c r="L1725" t="str">
        <f>_xlfn.XLOOKUP(C1725,[1]!Table1[Shift_ID],[1]!Table1[Shift_ID])</f>
        <v>S03</v>
      </c>
      <c r="M1725" t="str">
        <f>_xlfn.XLOOKUP(D1725,[2]!Table1[Machine_ID],[2]!Table1[Machine_ID])</f>
        <v>M002</v>
      </c>
      <c r="N1725" t="str">
        <f>_xlfn.XLOOKUP(E1725,[3]Sheet1!$A$2:$A$391,[3]Sheet1!$A$2:$A$391)</f>
        <v>PO10115</v>
      </c>
    </row>
    <row r="1726" spans="1:14" x14ac:dyDescent="0.2">
      <c r="A1726" t="s">
        <v>1735</v>
      </c>
      <c r="B1726" s="2">
        <v>46289</v>
      </c>
      <c r="C1726" t="s">
        <v>2939</v>
      </c>
      <c r="D1726" t="s">
        <v>2944</v>
      </c>
      <c r="E1726" t="s">
        <v>3065</v>
      </c>
      <c r="F1726" s="3">
        <v>46290.187799858417</v>
      </c>
      <c r="G1726" s="3">
        <v>46290.194415197548</v>
      </c>
      <c r="H1726">
        <v>9.5299999999999994</v>
      </c>
      <c r="I1726" t="s">
        <v>3151</v>
      </c>
      <c r="J1726" t="s">
        <v>3170</v>
      </c>
      <c r="K1726" t="s">
        <v>3188</v>
      </c>
      <c r="L1726" t="str">
        <f>_xlfn.XLOOKUP(C1726,[1]!Table1[Shift_ID],[1]!Table1[Shift_ID])</f>
        <v>S03</v>
      </c>
      <c r="M1726" t="str">
        <f>_xlfn.XLOOKUP(D1726,[2]!Table1[Machine_ID],[2]!Table1[Machine_ID])</f>
        <v>M003</v>
      </c>
      <c r="N1726" t="str">
        <f>_xlfn.XLOOKUP(E1726,[3]Sheet1!$A$2:$A$391,[3]Sheet1!$A$2:$A$391)</f>
        <v>PO10115</v>
      </c>
    </row>
    <row r="1727" spans="1:14" x14ac:dyDescent="0.2">
      <c r="A1727" t="s">
        <v>1736</v>
      </c>
      <c r="B1727" s="2">
        <v>46289</v>
      </c>
      <c r="C1727" t="s">
        <v>2939</v>
      </c>
      <c r="D1727" t="s">
        <v>2944</v>
      </c>
      <c r="E1727" t="s">
        <v>3065</v>
      </c>
      <c r="F1727" s="3">
        <v>46290.228175409007</v>
      </c>
      <c r="G1727" s="3">
        <v>46290.229938266988</v>
      </c>
      <c r="H1727">
        <v>2.54</v>
      </c>
      <c r="I1727" t="s">
        <v>3150</v>
      </c>
      <c r="J1727" t="s">
        <v>3159</v>
      </c>
      <c r="K1727" t="s">
        <v>3177</v>
      </c>
      <c r="L1727" t="str">
        <f>_xlfn.XLOOKUP(C1727,[1]!Table1[Shift_ID],[1]!Table1[Shift_ID])</f>
        <v>S03</v>
      </c>
      <c r="M1727" t="str">
        <f>_xlfn.XLOOKUP(D1727,[2]!Table1[Machine_ID],[2]!Table1[Machine_ID])</f>
        <v>M003</v>
      </c>
      <c r="N1727" t="str">
        <f>_xlfn.XLOOKUP(E1727,[3]Sheet1!$A$2:$A$391,[3]Sheet1!$A$2:$A$391)</f>
        <v>PO10115</v>
      </c>
    </row>
    <row r="1728" spans="1:14" x14ac:dyDescent="0.2">
      <c r="A1728" t="s">
        <v>1737</v>
      </c>
      <c r="B1728" s="2">
        <v>46289</v>
      </c>
      <c r="C1728" t="s">
        <v>2939</v>
      </c>
      <c r="D1728" t="s">
        <v>2944</v>
      </c>
      <c r="E1728" t="s">
        <v>3065</v>
      </c>
      <c r="F1728" s="3">
        <v>46290.234075205692</v>
      </c>
      <c r="G1728" s="3">
        <v>46290.237061984801</v>
      </c>
      <c r="H1728">
        <v>4.3</v>
      </c>
      <c r="I1728" t="s">
        <v>3150</v>
      </c>
      <c r="J1728" t="s">
        <v>3166</v>
      </c>
      <c r="K1728" t="s">
        <v>3177</v>
      </c>
      <c r="L1728" t="str">
        <f>_xlfn.XLOOKUP(C1728,[1]!Table1[Shift_ID],[1]!Table1[Shift_ID])</f>
        <v>S03</v>
      </c>
      <c r="M1728" t="str">
        <f>_xlfn.XLOOKUP(D1728,[2]!Table1[Machine_ID],[2]!Table1[Machine_ID])</f>
        <v>M003</v>
      </c>
      <c r="N1728" t="str">
        <f>_xlfn.XLOOKUP(E1728,[3]Sheet1!$A$2:$A$391,[3]Sheet1!$A$2:$A$391)</f>
        <v>PO10115</v>
      </c>
    </row>
    <row r="1729" spans="1:14" x14ac:dyDescent="0.2">
      <c r="A1729" t="s">
        <v>1738</v>
      </c>
      <c r="B1729" s="2">
        <v>46289</v>
      </c>
      <c r="C1729" t="s">
        <v>2939</v>
      </c>
      <c r="D1729" t="s">
        <v>2945</v>
      </c>
      <c r="E1729" t="s">
        <v>3065</v>
      </c>
      <c r="F1729" s="3">
        <v>46289.983621578707</v>
      </c>
      <c r="G1729" s="3">
        <v>46289.986164180707</v>
      </c>
      <c r="H1729">
        <v>3.66</v>
      </c>
      <c r="I1729" t="s">
        <v>3151</v>
      </c>
      <c r="J1729" t="s">
        <v>3170</v>
      </c>
      <c r="K1729" t="s">
        <v>3181</v>
      </c>
      <c r="L1729" t="str">
        <f>_xlfn.XLOOKUP(C1729,[1]!Table1[Shift_ID],[1]!Table1[Shift_ID])</f>
        <v>S03</v>
      </c>
      <c r="M1729" t="str">
        <f>_xlfn.XLOOKUP(D1729,[2]!Table1[Machine_ID],[2]!Table1[Machine_ID])</f>
        <v>M004</v>
      </c>
      <c r="N1729" t="str">
        <f>_xlfn.XLOOKUP(E1729,[3]Sheet1!$A$2:$A$391,[3]Sheet1!$A$2:$A$391)</f>
        <v>PO10115</v>
      </c>
    </row>
    <row r="1730" spans="1:14" x14ac:dyDescent="0.2">
      <c r="A1730" t="s">
        <v>1739</v>
      </c>
      <c r="B1730" s="2">
        <v>46289</v>
      </c>
      <c r="C1730" t="s">
        <v>2939</v>
      </c>
      <c r="D1730" t="s">
        <v>2945</v>
      </c>
      <c r="E1730" t="s">
        <v>3065</v>
      </c>
      <c r="F1730" s="3">
        <v>46289.985734221103</v>
      </c>
      <c r="G1730" s="3">
        <v>46289.987238572059</v>
      </c>
      <c r="H1730">
        <v>2.17</v>
      </c>
      <c r="I1730" t="s">
        <v>3147</v>
      </c>
      <c r="J1730" t="s">
        <v>3154</v>
      </c>
      <c r="K1730" t="s">
        <v>3185</v>
      </c>
      <c r="L1730" t="str">
        <f>_xlfn.XLOOKUP(C1730,[1]!Table1[Shift_ID],[1]!Table1[Shift_ID])</f>
        <v>S03</v>
      </c>
      <c r="M1730" t="str">
        <f>_xlfn.XLOOKUP(D1730,[2]!Table1[Machine_ID],[2]!Table1[Machine_ID])</f>
        <v>M004</v>
      </c>
      <c r="N1730" t="str">
        <f>_xlfn.XLOOKUP(E1730,[3]Sheet1!$A$2:$A$391,[3]Sheet1!$A$2:$A$391)</f>
        <v>PO10115</v>
      </c>
    </row>
    <row r="1731" spans="1:14" x14ac:dyDescent="0.2">
      <c r="A1731" t="s">
        <v>1740</v>
      </c>
      <c r="B1731" s="2">
        <v>46289</v>
      </c>
      <c r="C1731" t="s">
        <v>2939</v>
      </c>
      <c r="D1731" t="s">
        <v>2945</v>
      </c>
      <c r="E1731" t="s">
        <v>3065</v>
      </c>
      <c r="F1731" s="3">
        <v>46290.022535172939</v>
      </c>
      <c r="G1731" s="3">
        <v>46290.024039523909</v>
      </c>
      <c r="H1731">
        <v>2.17</v>
      </c>
      <c r="I1731" t="s">
        <v>3147</v>
      </c>
      <c r="J1731" t="s">
        <v>3167</v>
      </c>
      <c r="K1731" t="s">
        <v>3172</v>
      </c>
      <c r="L1731" t="str">
        <f>_xlfn.XLOOKUP(C1731,[1]!Table1[Shift_ID],[1]!Table1[Shift_ID])</f>
        <v>S03</v>
      </c>
      <c r="M1731" t="str">
        <f>_xlfn.XLOOKUP(D1731,[2]!Table1[Machine_ID],[2]!Table1[Machine_ID])</f>
        <v>M004</v>
      </c>
      <c r="N1731" t="str">
        <f>_xlfn.XLOOKUP(E1731,[3]Sheet1!$A$2:$A$391,[3]Sheet1!$A$2:$A$391)</f>
        <v>PO10115</v>
      </c>
    </row>
    <row r="1732" spans="1:14" x14ac:dyDescent="0.2">
      <c r="A1732" t="s">
        <v>1741</v>
      </c>
      <c r="B1732" s="2">
        <v>46289</v>
      </c>
      <c r="C1732" t="s">
        <v>2939</v>
      </c>
      <c r="D1732" t="s">
        <v>2945</v>
      </c>
      <c r="E1732" t="s">
        <v>3065</v>
      </c>
      <c r="F1732" s="3">
        <v>46290.176919008038</v>
      </c>
      <c r="G1732" s="3">
        <v>46290.178423359008</v>
      </c>
      <c r="H1732">
        <v>2.17</v>
      </c>
      <c r="I1732" t="s">
        <v>3150</v>
      </c>
      <c r="J1732" t="s">
        <v>3166</v>
      </c>
      <c r="K1732" t="s">
        <v>3177</v>
      </c>
      <c r="L1732" t="str">
        <f>_xlfn.XLOOKUP(C1732,[1]!Table1[Shift_ID],[1]!Table1[Shift_ID])</f>
        <v>S03</v>
      </c>
      <c r="M1732" t="str">
        <f>_xlfn.XLOOKUP(D1732,[2]!Table1[Machine_ID],[2]!Table1[Machine_ID])</f>
        <v>M004</v>
      </c>
      <c r="N1732" t="str">
        <f>_xlfn.XLOOKUP(E1732,[3]Sheet1!$A$2:$A$391,[3]Sheet1!$A$2:$A$391)</f>
        <v>PO10115</v>
      </c>
    </row>
    <row r="1733" spans="1:14" x14ac:dyDescent="0.2">
      <c r="A1733" t="s">
        <v>1742</v>
      </c>
      <c r="B1733" s="2">
        <v>46289</v>
      </c>
      <c r="C1733" t="s">
        <v>2939</v>
      </c>
      <c r="D1733" t="s">
        <v>2945</v>
      </c>
      <c r="E1733" t="s">
        <v>3065</v>
      </c>
      <c r="F1733" s="3">
        <v>46290.188390189673</v>
      </c>
      <c r="G1733" s="3">
        <v>46290.190125782523</v>
      </c>
      <c r="H1733">
        <v>2.5</v>
      </c>
      <c r="I1733" t="s">
        <v>3151</v>
      </c>
      <c r="J1733" t="s">
        <v>3170</v>
      </c>
      <c r="K1733" t="s">
        <v>3188</v>
      </c>
      <c r="L1733" t="str">
        <f>_xlfn.XLOOKUP(C1733,[1]!Table1[Shift_ID],[1]!Table1[Shift_ID])</f>
        <v>S03</v>
      </c>
      <c r="M1733" t="str">
        <f>_xlfn.XLOOKUP(D1733,[2]!Table1[Machine_ID],[2]!Table1[Machine_ID])</f>
        <v>M004</v>
      </c>
      <c r="N1733" t="str">
        <f>_xlfn.XLOOKUP(E1733,[3]Sheet1!$A$2:$A$391,[3]Sheet1!$A$2:$A$391)</f>
        <v>PO10115</v>
      </c>
    </row>
    <row r="1734" spans="1:14" x14ac:dyDescent="0.2">
      <c r="A1734" t="s">
        <v>1743</v>
      </c>
      <c r="B1734" s="2">
        <v>46289</v>
      </c>
      <c r="C1734" t="s">
        <v>2939</v>
      </c>
      <c r="D1734" t="s">
        <v>2946</v>
      </c>
      <c r="E1734" t="s">
        <v>3065</v>
      </c>
      <c r="F1734" s="3">
        <v>46290.005432946491</v>
      </c>
      <c r="G1734" s="3">
        <v>46290.013731884581</v>
      </c>
      <c r="H1734">
        <v>11.95</v>
      </c>
      <c r="I1734" t="s">
        <v>3148</v>
      </c>
      <c r="J1734" t="s">
        <v>3155</v>
      </c>
      <c r="K1734" t="s">
        <v>3183</v>
      </c>
      <c r="L1734" t="str">
        <f>_xlfn.XLOOKUP(C1734,[1]!Table1[Shift_ID],[1]!Table1[Shift_ID])</f>
        <v>S03</v>
      </c>
      <c r="M1734" t="str">
        <f>_xlfn.XLOOKUP(D1734,[2]!Table1[Machine_ID],[2]!Table1[Machine_ID])</f>
        <v>M005</v>
      </c>
      <c r="N1734" t="str">
        <f>_xlfn.XLOOKUP(E1734,[3]Sheet1!$A$2:$A$391,[3]Sheet1!$A$2:$A$391)</f>
        <v>PO10115</v>
      </c>
    </row>
    <row r="1735" spans="1:14" x14ac:dyDescent="0.2">
      <c r="A1735" t="s">
        <v>1744</v>
      </c>
      <c r="B1735" s="2">
        <v>46289</v>
      </c>
      <c r="C1735" t="s">
        <v>2939</v>
      </c>
      <c r="D1735" t="s">
        <v>2946</v>
      </c>
      <c r="E1735" t="s">
        <v>3065</v>
      </c>
      <c r="F1735" s="3">
        <v>46290.146344055102</v>
      </c>
      <c r="G1735" s="3">
        <v>46290.148461988792</v>
      </c>
      <c r="H1735">
        <v>3.05</v>
      </c>
      <c r="I1735" t="s">
        <v>3147</v>
      </c>
      <c r="J1735" t="s">
        <v>3153</v>
      </c>
      <c r="K1735" t="s">
        <v>3172</v>
      </c>
      <c r="L1735" t="str">
        <f>_xlfn.XLOOKUP(C1735,[1]!Table1[Shift_ID],[1]!Table1[Shift_ID])</f>
        <v>S03</v>
      </c>
      <c r="M1735" t="str">
        <f>_xlfn.XLOOKUP(D1735,[2]!Table1[Machine_ID],[2]!Table1[Machine_ID])</f>
        <v>M005</v>
      </c>
      <c r="N1735" t="str">
        <f>_xlfn.XLOOKUP(E1735,[3]Sheet1!$A$2:$A$391,[3]Sheet1!$A$2:$A$391)</f>
        <v>PO10115</v>
      </c>
    </row>
    <row r="1736" spans="1:14" x14ac:dyDescent="0.2">
      <c r="A1736" t="s">
        <v>1745</v>
      </c>
      <c r="B1736" s="2">
        <v>46289</v>
      </c>
      <c r="C1736" t="s">
        <v>2939</v>
      </c>
      <c r="D1736" t="s">
        <v>2947</v>
      </c>
      <c r="E1736" t="s">
        <v>3065</v>
      </c>
      <c r="F1736" s="3">
        <v>46290.124630510647</v>
      </c>
      <c r="G1736" s="3">
        <v>46290.15791523287</v>
      </c>
      <c r="H1736">
        <v>47.93</v>
      </c>
      <c r="I1736" t="s">
        <v>3150</v>
      </c>
      <c r="J1736" t="s">
        <v>3159</v>
      </c>
      <c r="K1736" t="s">
        <v>3178</v>
      </c>
      <c r="L1736" t="str">
        <f>_xlfn.XLOOKUP(C1736,[1]!Table1[Shift_ID],[1]!Table1[Shift_ID])</f>
        <v>S03</v>
      </c>
      <c r="M1736" t="str">
        <f>_xlfn.XLOOKUP(D1736,[2]!Table1[Machine_ID],[2]!Table1[Machine_ID])</f>
        <v>M006</v>
      </c>
      <c r="N1736" t="str">
        <f>_xlfn.XLOOKUP(E1736,[3]Sheet1!$A$2:$A$391,[3]Sheet1!$A$2:$A$391)</f>
        <v>PO10115</v>
      </c>
    </row>
    <row r="1737" spans="1:14" x14ac:dyDescent="0.2">
      <c r="A1737" t="s">
        <v>1746</v>
      </c>
      <c r="B1737" s="2">
        <v>46289</v>
      </c>
      <c r="C1737" t="s">
        <v>2939</v>
      </c>
      <c r="D1737" t="s">
        <v>2948</v>
      </c>
      <c r="E1737" t="s">
        <v>3065</v>
      </c>
      <c r="F1737" s="3">
        <v>46290.157085351857</v>
      </c>
      <c r="G1737" s="3">
        <v>46290.1756820542</v>
      </c>
      <c r="H1737">
        <v>26.78</v>
      </c>
      <c r="I1737" t="s">
        <v>3148</v>
      </c>
      <c r="J1737" t="s">
        <v>3164</v>
      </c>
      <c r="K1737" t="s">
        <v>3180</v>
      </c>
      <c r="L1737" t="str">
        <f>_xlfn.XLOOKUP(C1737,[1]!Table1[Shift_ID],[1]!Table1[Shift_ID])</f>
        <v>S03</v>
      </c>
      <c r="M1737" t="str">
        <f>_xlfn.XLOOKUP(D1737,[2]!Table1[Machine_ID],[2]!Table1[Machine_ID])</f>
        <v>M007</v>
      </c>
      <c r="N1737" t="str">
        <f>_xlfn.XLOOKUP(E1737,[3]Sheet1!$A$2:$A$391,[3]Sheet1!$A$2:$A$391)</f>
        <v>PO10115</v>
      </c>
    </row>
    <row r="1738" spans="1:14" x14ac:dyDescent="0.2">
      <c r="A1738" t="s">
        <v>1747</v>
      </c>
      <c r="B1738" s="2">
        <v>46289</v>
      </c>
      <c r="C1738" t="s">
        <v>2939</v>
      </c>
      <c r="D1738" t="s">
        <v>2949</v>
      </c>
      <c r="E1738" t="s">
        <v>3065</v>
      </c>
      <c r="F1738" s="3">
        <v>46290.028005593689</v>
      </c>
      <c r="G1738" s="3">
        <v>46290.035720071712</v>
      </c>
      <c r="H1738">
        <v>11.11</v>
      </c>
      <c r="I1738" t="s">
        <v>3148</v>
      </c>
      <c r="J1738" t="s">
        <v>3155</v>
      </c>
      <c r="K1738" t="s">
        <v>3180</v>
      </c>
      <c r="L1738" t="str">
        <f>_xlfn.XLOOKUP(C1738,[1]!Table1[Shift_ID],[1]!Table1[Shift_ID])</f>
        <v>S03</v>
      </c>
      <c r="M1738" t="str">
        <f>_xlfn.XLOOKUP(D1738,[2]!Table1[Machine_ID],[2]!Table1[Machine_ID])</f>
        <v>M008</v>
      </c>
      <c r="N1738" t="str">
        <f>_xlfn.XLOOKUP(E1738,[3]Sheet1!$A$2:$A$391,[3]Sheet1!$A$2:$A$391)</f>
        <v>PO10115</v>
      </c>
    </row>
    <row r="1739" spans="1:14" x14ac:dyDescent="0.2">
      <c r="A1739" t="s">
        <v>1748</v>
      </c>
      <c r="B1739" s="2">
        <v>46289</v>
      </c>
      <c r="C1739" t="s">
        <v>2940</v>
      </c>
      <c r="D1739" t="s">
        <v>2942</v>
      </c>
      <c r="E1739" t="s">
        <v>3066</v>
      </c>
      <c r="F1739" s="3">
        <v>46289.542047671734</v>
      </c>
      <c r="G1739" s="3">
        <v>46289.548856491412</v>
      </c>
      <c r="H1739">
        <v>9.8000000000000007</v>
      </c>
      <c r="I1739" t="s">
        <v>3149</v>
      </c>
      <c r="J1739" t="s">
        <v>3168</v>
      </c>
      <c r="K1739" t="s">
        <v>3176</v>
      </c>
      <c r="L1739" t="str">
        <f>_xlfn.XLOOKUP(C1739,[1]!Table1[Shift_ID],[1]!Table1[Shift_ID])</f>
        <v>S01</v>
      </c>
      <c r="M1739" t="str">
        <f>_xlfn.XLOOKUP(D1739,[2]!Table1[Machine_ID],[2]!Table1[Machine_ID])</f>
        <v>M001</v>
      </c>
      <c r="N1739" t="str">
        <f>_xlfn.XLOOKUP(E1739,[3]Sheet1!$A$2:$A$391,[3]Sheet1!$A$2:$A$391)</f>
        <v>PO10116</v>
      </c>
    </row>
    <row r="1740" spans="1:14" x14ac:dyDescent="0.2">
      <c r="A1740" t="s">
        <v>1749</v>
      </c>
      <c r="B1740" s="2">
        <v>46289</v>
      </c>
      <c r="C1740" t="s">
        <v>2940</v>
      </c>
      <c r="D1740" t="s">
        <v>2943</v>
      </c>
      <c r="E1740" t="s">
        <v>3066</v>
      </c>
      <c r="F1740" s="3">
        <v>46289.265229473072</v>
      </c>
      <c r="G1740" s="3">
        <v>46289.268789495</v>
      </c>
      <c r="H1740">
        <v>5.13</v>
      </c>
      <c r="I1740" t="s">
        <v>3147</v>
      </c>
      <c r="J1740" t="s">
        <v>3167</v>
      </c>
      <c r="K1740" t="s">
        <v>3186</v>
      </c>
      <c r="L1740" t="str">
        <f>_xlfn.XLOOKUP(C1740,[1]!Table1[Shift_ID],[1]!Table1[Shift_ID])</f>
        <v>S01</v>
      </c>
      <c r="M1740" t="str">
        <f>_xlfn.XLOOKUP(D1740,[2]!Table1[Machine_ID],[2]!Table1[Machine_ID])</f>
        <v>M002</v>
      </c>
      <c r="N1740" t="str">
        <f>_xlfn.XLOOKUP(E1740,[3]Sheet1!$A$2:$A$391,[3]Sheet1!$A$2:$A$391)</f>
        <v>PO10116</v>
      </c>
    </row>
    <row r="1741" spans="1:14" x14ac:dyDescent="0.2">
      <c r="A1741" t="s">
        <v>1750</v>
      </c>
      <c r="B1741" s="2">
        <v>46289</v>
      </c>
      <c r="C1741" t="s">
        <v>2940</v>
      </c>
      <c r="D1741" t="s">
        <v>2943</v>
      </c>
      <c r="E1741" t="s">
        <v>3066</v>
      </c>
      <c r="F1741" s="3">
        <v>46289.329645700651</v>
      </c>
      <c r="G1741" s="3">
        <v>46289.331172939877</v>
      </c>
      <c r="H1741">
        <v>2.2000000000000002</v>
      </c>
      <c r="I1741" t="s">
        <v>3151</v>
      </c>
      <c r="J1741" t="s">
        <v>3170</v>
      </c>
      <c r="K1741" t="s">
        <v>3188</v>
      </c>
      <c r="L1741" t="str">
        <f>_xlfn.XLOOKUP(C1741,[1]!Table1[Shift_ID],[1]!Table1[Shift_ID])</f>
        <v>S01</v>
      </c>
      <c r="M1741" t="str">
        <f>_xlfn.XLOOKUP(D1741,[2]!Table1[Machine_ID],[2]!Table1[Machine_ID])</f>
        <v>M002</v>
      </c>
      <c r="N1741" t="str">
        <f>_xlfn.XLOOKUP(E1741,[3]Sheet1!$A$2:$A$391,[3]Sheet1!$A$2:$A$391)</f>
        <v>PO10116</v>
      </c>
    </row>
    <row r="1742" spans="1:14" x14ac:dyDescent="0.2">
      <c r="A1742" t="s">
        <v>1751</v>
      </c>
      <c r="B1742" s="2">
        <v>46289</v>
      </c>
      <c r="C1742" t="s">
        <v>2940</v>
      </c>
      <c r="D1742" t="s">
        <v>2943</v>
      </c>
      <c r="E1742" t="s">
        <v>3066</v>
      </c>
      <c r="F1742" s="3">
        <v>46289.569507376567</v>
      </c>
      <c r="G1742" s="3">
        <v>46289.571034615801</v>
      </c>
      <c r="H1742">
        <v>2.2000000000000002</v>
      </c>
      <c r="I1742" t="s">
        <v>3148</v>
      </c>
      <c r="J1742" t="s">
        <v>3165</v>
      </c>
      <c r="K1742" t="s">
        <v>3183</v>
      </c>
      <c r="L1742" t="str">
        <f>_xlfn.XLOOKUP(C1742,[1]!Table1[Shift_ID],[1]!Table1[Shift_ID])</f>
        <v>S01</v>
      </c>
      <c r="M1742" t="str">
        <f>_xlfn.XLOOKUP(D1742,[2]!Table1[Machine_ID],[2]!Table1[Machine_ID])</f>
        <v>M002</v>
      </c>
      <c r="N1742" t="str">
        <f>_xlfn.XLOOKUP(E1742,[3]Sheet1!$A$2:$A$391,[3]Sheet1!$A$2:$A$391)</f>
        <v>PO10116</v>
      </c>
    </row>
    <row r="1743" spans="1:14" x14ac:dyDescent="0.2">
      <c r="A1743" t="s">
        <v>1752</v>
      </c>
      <c r="B1743" s="2">
        <v>46289</v>
      </c>
      <c r="C1743" t="s">
        <v>2940</v>
      </c>
      <c r="D1743" t="s">
        <v>2944</v>
      </c>
      <c r="E1743" t="s">
        <v>3066</v>
      </c>
      <c r="F1743" s="3">
        <v>46289.350818746039</v>
      </c>
      <c r="G1743" s="3">
        <v>46289.352660656237</v>
      </c>
      <c r="H1743">
        <v>2.65</v>
      </c>
      <c r="I1743" t="s">
        <v>3150</v>
      </c>
      <c r="J1743" t="s">
        <v>3160</v>
      </c>
      <c r="K1743" t="s">
        <v>3177</v>
      </c>
      <c r="L1743" t="str">
        <f>_xlfn.XLOOKUP(C1743,[1]!Table1[Shift_ID],[1]!Table1[Shift_ID])</f>
        <v>S01</v>
      </c>
      <c r="M1743" t="str">
        <f>_xlfn.XLOOKUP(D1743,[2]!Table1[Machine_ID],[2]!Table1[Machine_ID])</f>
        <v>M003</v>
      </c>
      <c r="N1743" t="str">
        <f>_xlfn.XLOOKUP(E1743,[3]Sheet1!$A$2:$A$391,[3]Sheet1!$A$2:$A$391)</f>
        <v>PO10116</v>
      </c>
    </row>
    <row r="1744" spans="1:14" x14ac:dyDescent="0.2">
      <c r="A1744" t="s">
        <v>1753</v>
      </c>
      <c r="B1744" s="2">
        <v>46289</v>
      </c>
      <c r="C1744" t="s">
        <v>2940</v>
      </c>
      <c r="D1744" t="s">
        <v>2944</v>
      </c>
      <c r="E1744" t="s">
        <v>3066</v>
      </c>
      <c r="F1744" s="3">
        <v>46289.354861177198</v>
      </c>
      <c r="G1744" s="3">
        <v>46289.357511558097</v>
      </c>
      <c r="H1744">
        <v>3.82</v>
      </c>
      <c r="I1744" t="s">
        <v>3146</v>
      </c>
      <c r="J1744" t="s">
        <v>3156</v>
      </c>
      <c r="K1744" t="s">
        <v>3174</v>
      </c>
      <c r="L1744" t="str">
        <f>_xlfn.XLOOKUP(C1744,[1]!Table1[Shift_ID],[1]!Table1[Shift_ID])</f>
        <v>S01</v>
      </c>
      <c r="M1744" t="str">
        <f>_xlfn.XLOOKUP(D1744,[2]!Table1[Machine_ID],[2]!Table1[Machine_ID])</f>
        <v>M003</v>
      </c>
      <c r="N1744" t="str">
        <f>_xlfn.XLOOKUP(E1744,[3]Sheet1!$A$2:$A$391,[3]Sheet1!$A$2:$A$391)</f>
        <v>PO10116</v>
      </c>
    </row>
    <row r="1745" spans="1:14" x14ac:dyDescent="0.2">
      <c r="A1745" t="s">
        <v>1754</v>
      </c>
      <c r="B1745" s="2">
        <v>46289</v>
      </c>
      <c r="C1745" t="s">
        <v>2940</v>
      </c>
      <c r="D1745" t="s">
        <v>2944</v>
      </c>
      <c r="E1745" t="s">
        <v>3066</v>
      </c>
      <c r="F1745" s="3">
        <v>46289.487345444722</v>
      </c>
      <c r="G1745" s="3">
        <v>46289.495018026522</v>
      </c>
      <c r="H1745">
        <v>11.05</v>
      </c>
      <c r="I1745" t="s">
        <v>3148</v>
      </c>
      <c r="J1745" t="s">
        <v>3155</v>
      </c>
      <c r="K1745" t="s">
        <v>3173</v>
      </c>
      <c r="L1745" t="str">
        <f>_xlfn.XLOOKUP(C1745,[1]!Table1[Shift_ID],[1]!Table1[Shift_ID])</f>
        <v>S01</v>
      </c>
      <c r="M1745" t="str">
        <f>_xlfn.XLOOKUP(D1745,[2]!Table1[Machine_ID],[2]!Table1[Machine_ID])</f>
        <v>M003</v>
      </c>
      <c r="N1745" t="str">
        <f>_xlfn.XLOOKUP(E1745,[3]Sheet1!$A$2:$A$391,[3]Sheet1!$A$2:$A$391)</f>
        <v>PO10116</v>
      </c>
    </row>
    <row r="1746" spans="1:14" x14ac:dyDescent="0.2">
      <c r="A1746" t="s">
        <v>1755</v>
      </c>
      <c r="B1746" s="2">
        <v>46289</v>
      </c>
      <c r="C1746" t="s">
        <v>2940</v>
      </c>
      <c r="D1746" t="s">
        <v>2945</v>
      </c>
      <c r="E1746" t="s">
        <v>3066</v>
      </c>
      <c r="F1746" s="3">
        <v>46289.387275779452</v>
      </c>
      <c r="G1746" s="3">
        <v>46289.396115214848</v>
      </c>
      <c r="H1746">
        <v>12.73</v>
      </c>
      <c r="I1746" t="s">
        <v>3149</v>
      </c>
      <c r="J1746" t="s">
        <v>3158</v>
      </c>
      <c r="K1746" t="s">
        <v>3184</v>
      </c>
      <c r="L1746" t="str">
        <f>_xlfn.XLOOKUP(C1746,[1]!Table1[Shift_ID],[1]!Table1[Shift_ID])</f>
        <v>S01</v>
      </c>
      <c r="M1746" t="str">
        <f>_xlfn.XLOOKUP(D1746,[2]!Table1[Machine_ID],[2]!Table1[Machine_ID])</f>
        <v>M004</v>
      </c>
      <c r="N1746" t="str">
        <f>_xlfn.XLOOKUP(E1746,[3]Sheet1!$A$2:$A$391,[3]Sheet1!$A$2:$A$391)</f>
        <v>PO10116</v>
      </c>
    </row>
    <row r="1747" spans="1:14" x14ac:dyDescent="0.2">
      <c r="A1747" t="s">
        <v>1756</v>
      </c>
      <c r="B1747" s="2">
        <v>46289</v>
      </c>
      <c r="C1747" t="s">
        <v>2940</v>
      </c>
      <c r="D1747" t="s">
        <v>2946</v>
      </c>
      <c r="E1747" t="s">
        <v>3066</v>
      </c>
      <c r="F1747" s="3">
        <v>46289.548949028453</v>
      </c>
      <c r="G1747" s="3">
        <v>46289.557450377994</v>
      </c>
      <c r="H1747">
        <v>12.24</v>
      </c>
      <c r="I1747" t="s">
        <v>3147</v>
      </c>
      <c r="J1747" t="s">
        <v>3154</v>
      </c>
      <c r="K1747" t="s">
        <v>3186</v>
      </c>
      <c r="L1747" t="str">
        <f>_xlfn.XLOOKUP(C1747,[1]!Table1[Shift_ID],[1]!Table1[Shift_ID])</f>
        <v>S01</v>
      </c>
      <c r="M1747" t="str">
        <f>_xlfn.XLOOKUP(D1747,[2]!Table1[Machine_ID],[2]!Table1[Machine_ID])</f>
        <v>M005</v>
      </c>
      <c r="N1747" t="str">
        <f>_xlfn.XLOOKUP(E1747,[3]Sheet1!$A$2:$A$391,[3]Sheet1!$A$2:$A$391)</f>
        <v>PO10116</v>
      </c>
    </row>
    <row r="1748" spans="1:14" x14ac:dyDescent="0.2">
      <c r="A1748" t="s">
        <v>1757</v>
      </c>
      <c r="B1748" s="2">
        <v>46289</v>
      </c>
      <c r="C1748" t="s">
        <v>2940</v>
      </c>
      <c r="D1748" t="s">
        <v>2947</v>
      </c>
      <c r="E1748" t="s">
        <v>3066</v>
      </c>
      <c r="F1748" s="3">
        <v>46289.286425353966</v>
      </c>
      <c r="G1748" s="3">
        <v>46289.302402272799</v>
      </c>
      <c r="H1748">
        <v>23.01</v>
      </c>
      <c r="I1748" t="s">
        <v>3150</v>
      </c>
      <c r="J1748" t="s">
        <v>3159</v>
      </c>
      <c r="K1748" t="s">
        <v>3177</v>
      </c>
      <c r="L1748" t="str">
        <f>_xlfn.XLOOKUP(C1748,[1]!Table1[Shift_ID],[1]!Table1[Shift_ID])</f>
        <v>S01</v>
      </c>
      <c r="M1748" t="str">
        <f>_xlfn.XLOOKUP(D1748,[2]!Table1[Machine_ID],[2]!Table1[Machine_ID])</f>
        <v>M006</v>
      </c>
      <c r="N1748" t="str">
        <f>_xlfn.XLOOKUP(E1748,[3]Sheet1!$A$2:$A$391,[3]Sheet1!$A$2:$A$391)</f>
        <v>PO10116</v>
      </c>
    </row>
    <row r="1749" spans="1:14" x14ac:dyDescent="0.2">
      <c r="A1749" t="s">
        <v>1758</v>
      </c>
      <c r="B1749" s="2">
        <v>46289</v>
      </c>
      <c r="C1749" t="s">
        <v>2940</v>
      </c>
      <c r="D1749" t="s">
        <v>2947</v>
      </c>
      <c r="E1749" t="s">
        <v>3066</v>
      </c>
      <c r="F1749" s="3">
        <v>46289.296054547201</v>
      </c>
      <c r="G1749" s="3">
        <v>46289.304431479854</v>
      </c>
      <c r="H1749">
        <v>12.06</v>
      </c>
      <c r="I1749" t="s">
        <v>3150</v>
      </c>
      <c r="J1749" t="s">
        <v>3159</v>
      </c>
      <c r="K1749" t="s">
        <v>3177</v>
      </c>
      <c r="L1749" t="str">
        <f>_xlfn.XLOOKUP(C1749,[1]!Table1[Shift_ID],[1]!Table1[Shift_ID])</f>
        <v>S01</v>
      </c>
      <c r="M1749" t="str">
        <f>_xlfn.XLOOKUP(D1749,[2]!Table1[Machine_ID],[2]!Table1[Machine_ID])</f>
        <v>M006</v>
      </c>
      <c r="N1749" t="str">
        <f>_xlfn.XLOOKUP(E1749,[3]Sheet1!$A$2:$A$391,[3]Sheet1!$A$2:$A$391)</f>
        <v>PO10116</v>
      </c>
    </row>
    <row r="1750" spans="1:14" x14ac:dyDescent="0.2">
      <c r="A1750" t="s">
        <v>1759</v>
      </c>
      <c r="B1750" s="2">
        <v>46289</v>
      </c>
      <c r="C1750" t="s">
        <v>2940</v>
      </c>
      <c r="D1750" t="s">
        <v>2948</v>
      </c>
      <c r="E1750" t="s">
        <v>3066</v>
      </c>
      <c r="F1750" s="3">
        <v>46289.369650622837</v>
      </c>
      <c r="G1750" s="3">
        <v>46289.382944288518</v>
      </c>
      <c r="H1750">
        <v>19.14</v>
      </c>
      <c r="I1750" t="s">
        <v>3149</v>
      </c>
      <c r="J1750" t="s">
        <v>3158</v>
      </c>
      <c r="K1750" t="s">
        <v>3176</v>
      </c>
      <c r="L1750" t="str">
        <f>_xlfn.XLOOKUP(C1750,[1]!Table1[Shift_ID],[1]!Table1[Shift_ID])</f>
        <v>S01</v>
      </c>
      <c r="M1750" t="str">
        <f>_xlfn.XLOOKUP(D1750,[2]!Table1[Machine_ID],[2]!Table1[Machine_ID])</f>
        <v>M007</v>
      </c>
      <c r="N1750" t="str">
        <f>_xlfn.XLOOKUP(E1750,[3]Sheet1!$A$2:$A$391,[3]Sheet1!$A$2:$A$391)</f>
        <v>PO10116</v>
      </c>
    </row>
    <row r="1751" spans="1:14" x14ac:dyDescent="0.2">
      <c r="A1751" t="s">
        <v>1760</v>
      </c>
      <c r="B1751" s="2">
        <v>46289</v>
      </c>
      <c r="C1751" t="s">
        <v>2940</v>
      </c>
      <c r="D1751" t="s">
        <v>2949</v>
      </c>
      <c r="E1751" t="s">
        <v>3066</v>
      </c>
      <c r="F1751" s="3">
        <v>46289.376077474088</v>
      </c>
      <c r="G1751" s="3">
        <v>46289.381746020241</v>
      </c>
      <c r="H1751">
        <v>8.16</v>
      </c>
      <c r="I1751" t="s">
        <v>3146</v>
      </c>
      <c r="J1751" t="s">
        <v>3152</v>
      </c>
      <c r="K1751" t="s">
        <v>3171</v>
      </c>
      <c r="L1751" t="str">
        <f>_xlfn.XLOOKUP(C1751,[1]!Table1[Shift_ID],[1]!Table1[Shift_ID])</f>
        <v>S01</v>
      </c>
      <c r="M1751" t="str">
        <f>_xlfn.XLOOKUP(D1751,[2]!Table1[Machine_ID],[2]!Table1[Machine_ID])</f>
        <v>M008</v>
      </c>
      <c r="N1751" t="str">
        <f>_xlfn.XLOOKUP(E1751,[3]Sheet1!$A$2:$A$391,[3]Sheet1!$A$2:$A$391)</f>
        <v>PO10116</v>
      </c>
    </row>
    <row r="1752" spans="1:14" x14ac:dyDescent="0.2">
      <c r="A1752" t="s">
        <v>1761</v>
      </c>
      <c r="B1752" s="2">
        <v>46289</v>
      </c>
      <c r="C1752" t="s">
        <v>2941</v>
      </c>
      <c r="D1752" t="s">
        <v>2942</v>
      </c>
      <c r="E1752" t="s">
        <v>3067</v>
      </c>
      <c r="F1752" s="3">
        <v>46289.671217722142</v>
      </c>
      <c r="G1752" s="3">
        <v>46289.675614391999</v>
      </c>
      <c r="H1752">
        <v>6.33</v>
      </c>
      <c r="I1752" t="s">
        <v>3149</v>
      </c>
      <c r="J1752" t="s">
        <v>3168</v>
      </c>
      <c r="K1752" t="s">
        <v>3184</v>
      </c>
      <c r="L1752" t="str">
        <f>_xlfn.XLOOKUP(C1752,[1]!Table1[Shift_ID],[1]!Table1[Shift_ID])</f>
        <v>S02</v>
      </c>
      <c r="M1752" t="str">
        <f>_xlfn.XLOOKUP(D1752,[2]!Table1[Machine_ID],[2]!Table1[Machine_ID])</f>
        <v>M001</v>
      </c>
      <c r="N1752" t="str">
        <f>_xlfn.XLOOKUP(E1752,[3]Sheet1!$A$2:$A$391,[3]Sheet1!$A$2:$A$391)</f>
        <v>PO10117</v>
      </c>
    </row>
    <row r="1753" spans="1:14" x14ac:dyDescent="0.2">
      <c r="A1753" t="s">
        <v>1762</v>
      </c>
      <c r="B1753" s="2">
        <v>46289</v>
      </c>
      <c r="C1753" t="s">
        <v>2941</v>
      </c>
      <c r="D1753" t="s">
        <v>2943</v>
      </c>
      <c r="E1753" t="s">
        <v>3067</v>
      </c>
      <c r="F1753" s="3">
        <v>46289.596030579181</v>
      </c>
      <c r="G1753" s="3">
        <v>46289.60209009418</v>
      </c>
      <c r="H1753">
        <v>8.73</v>
      </c>
      <c r="I1753" t="s">
        <v>3149</v>
      </c>
      <c r="J1753" t="s">
        <v>3158</v>
      </c>
      <c r="K1753" t="s">
        <v>3176</v>
      </c>
      <c r="L1753" t="str">
        <f>_xlfn.XLOOKUP(C1753,[1]!Table1[Shift_ID],[1]!Table1[Shift_ID])</f>
        <v>S02</v>
      </c>
      <c r="M1753" t="str">
        <f>_xlfn.XLOOKUP(D1753,[2]!Table1[Machine_ID],[2]!Table1[Machine_ID])</f>
        <v>M002</v>
      </c>
      <c r="N1753" t="str">
        <f>_xlfn.XLOOKUP(E1753,[3]Sheet1!$A$2:$A$391,[3]Sheet1!$A$2:$A$391)</f>
        <v>PO10117</v>
      </c>
    </row>
    <row r="1754" spans="1:14" x14ac:dyDescent="0.2">
      <c r="A1754" t="s">
        <v>1763</v>
      </c>
      <c r="B1754" s="2">
        <v>46289</v>
      </c>
      <c r="C1754" t="s">
        <v>2941</v>
      </c>
      <c r="D1754" t="s">
        <v>2943</v>
      </c>
      <c r="E1754" t="s">
        <v>3067</v>
      </c>
      <c r="F1754" s="3">
        <v>46289.698851739893</v>
      </c>
      <c r="G1754" s="3">
        <v>46289.700766873451</v>
      </c>
      <c r="H1754">
        <v>2.76</v>
      </c>
      <c r="I1754" t="s">
        <v>3149</v>
      </c>
      <c r="J1754" t="s">
        <v>3158</v>
      </c>
      <c r="K1754" t="s">
        <v>3176</v>
      </c>
      <c r="L1754" t="str">
        <f>_xlfn.XLOOKUP(C1754,[1]!Table1[Shift_ID],[1]!Table1[Shift_ID])</f>
        <v>S02</v>
      </c>
      <c r="M1754" t="str">
        <f>_xlfn.XLOOKUP(D1754,[2]!Table1[Machine_ID],[2]!Table1[Machine_ID])</f>
        <v>M002</v>
      </c>
      <c r="N1754" t="str">
        <f>_xlfn.XLOOKUP(E1754,[3]Sheet1!$A$2:$A$391,[3]Sheet1!$A$2:$A$391)</f>
        <v>PO10117</v>
      </c>
    </row>
    <row r="1755" spans="1:14" x14ac:dyDescent="0.2">
      <c r="A1755" t="s">
        <v>1764</v>
      </c>
      <c r="B1755" s="2">
        <v>46289</v>
      </c>
      <c r="C1755" t="s">
        <v>2941</v>
      </c>
      <c r="D1755" t="s">
        <v>2944</v>
      </c>
      <c r="E1755" t="s">
        <v>3067</v>
      </c>
      <c r="F1755" s="3">
        <v>46289.798672828932</v>
      </c>
      <c r="G1755" s="3">
        <v>46289.801629303664</v>
      </c>
      <c r="H1755">
        <v>4.26</v>
      </c>
      <c r="I1755" t="s">
        <v>3150</v>
      </c>
      <c r="J1755" t="s">
        <v>3166</v>
      </c>
      <c r="K1755" t="s">
        <v>3177</v>
      </c>
      <c r="L1755" t="str">
        <f>_xlfn.XLOOKUP(C1755,[1]!Table1[Shift_ID],[1]!Table1[Shift_ID])</f>
        <v>S02</v>
      </c>
      <c r="M1755" t="str">
        <f>_xlfn.XLOOKUP(D1755,[2]!Table1[Machine_ID],[2]!Table1[Machine_ID])</f>
        <v>M003</v>
      </c>
      <c r="N1755" t="str">
        <f>_xlfn.XLOOKUP(E1755,[3]Sheet1!$A$2:$A$391,[3]Sheet1!$A$2:$A$391)</f>
        <v>PO10117</v>
      </c>
    </row>
    <row r="1756" spans="1:14" x14ac:dyDescent="0.2">
      <c r="A1756" t="s">
        <v>1765</v>
      </c>
      <c r="B1756" s="2">
        <v>46289</v>
      </c>
      <c r="C1756" t="s">
        <v>2941</v>
      </c>
      <c r="D1756" t="s">
        <v>2944</v>
      </c>
      <c r="E1756" t="s">
        <v>3067</v>
      </c>
      <c r="F1756" s="3">
        <v>46289.847917924839</v>
      </c>
      <c r="G1756" s="3">
        <v>46289.855251349341</v>
      </c>
      <c r="H1756">
        <v>10.56</v>
      </c>
      <c r="I1756" t="s">
        <v>3149</v>
      </c>
      <c r="J1756" t="s">
        <v>3162</v>
      </c>
      <c r="K1756" t="s">
        <v>3182</v>
      </c>
      <c r="L1756" t="str">
        <f>_xlfn.XLOOKUP(C1756,[1]!Table1[Shift_ID],[1]!Table1[Shift_ID])</f>
        <v>S02</v>
      </c>
      <c r="M1756" t="str">
        <f>_xlfn.XLOOKUP(D1756,[2]!Table1[Machine_ID],[2]!Table1[Machine_ID])</f>
        <v>M003</v>
      </c>
      <c r="N1756" t="str">
        <f>_xlfn.XLOOKUP(E1756,[3]Sheet1!$A$2:$A$391,[3]Sheet1!$A$2:$A$391)</f>
        <v>PO10117</v>
      </c>
    </row>
    <row r="1757" spans="1:14" x14ac:dyDescent="0.2">
      <c r="A1757" t="s">
        <v>1766</v>
      </c>
      <c r="B1757" s="2">
        <v>46289</v>
      </c>
      <c r="C1757" t="s">
        <v>2941</v>
      </c>
      <c r="D1757" t="s">
        <v>2945</v>
      </c>
      <c r="E1757" t="s">
        <v>3067</v>
      </c>
      <c r="F1757" s="3">
        <v>46289.681110767502</v>
      </c>
      <c r="G1757" s="3">
        <v>46289.682402234233</v>
      </c>
      <c r="H1757">
        <v>1.86</v>
      </c>
      <c r="I1757" t="s">
        <v>3146</v>
      </c>
      <c r="J1757" t="s">
        <v>3156</v>
      </c>
      <c r="K1757" t="s">
        <v>3175</v>
      </c>
      <c r="L1757" t="str">
        <f>_xlfn.XLOOKUP(C1757,[1]!Table1[Shift_ID],[1]!Table1[Shift_ID])</f>
        <v>S02</v>
      </c>
      <c r="M1757" t="str">
        <f>_xlfn.XLOOKUP(D1757,[2]!Table1[Machine_ID],[2]!Table1[Machine_ID])</f>
        <v>M004</v>
      </c>
      <c r="N1757" t="str">
        <f>_xlfn.XLOOKUP(E1757,[3]Sheet1!$A$2:$A$391,[3]Sheet1!$A$2:$A$391)</f>
        <v>PO10117</v>
      </c>
    </row>
    <row r="1758" spans="1:14" x14ac:dyDescent="0.2">
      <c r="A1758" t="s">
        <v>1767</v>
      </c>
      <c r="B1758" s="2">
        <v>46289</v>
      </c>
      <c r="C1758" t="s">
        <v>2941</v>
      </c>
      <c r="D1758" t="s">
        <v>2945</v>
      </c>
      <c r="E1758" t="s">
        <v>3067</v>
      </c>
      <c r="F1758" s="3">
        <v>46289.688745594911</v>
      </c>
      <c r="G1758" s="3">
        <v>46289.69003706162</v>
      </c>
      <c r="H1758">
        <v>1.86</v>
      </c>
      <c r="I1758" t="s">
        <v>3149</v>
      </c>
      <c r="J1758" t="s">
        <v>3162</v>
      </c>
      <c r="K1758" t="s">
        <v>3184</v>
      </c>
      <c r="L1758" t="str">
        <f>_xlfn.XLOOKUP(C1758,[1]!Table1[Shift_ID],[1]!Table1[Shift_ID])</f>
        <v>S02</v>
      </c>
      <c r="M1758" t="str">
        <f>_xlfn.XLOOKUP(D1758,[2]!Table1[Machine_ID],[2]!Table1[Machine_ID])</f>
        <v>M004</v>
      </c>
      <c r="N1758" t="str">
        <f>_xlfn.XLOOKUP(E1758,[3]Sheet1!$A$2:$A$391,[3]Sheet1!$A$2:$A$391)</f>
        <v>PO10117</v>
      </c>
    </row>
    <row r="1759" spans="1:14" x14ac:dyDescent="0.2">
      <c r="A1759" t="s">
        <v>1768</v>
      </c>
      <c r="B1759" s="2">
        <v>46289</v>
      </c>
      <c r="C1759" t="s">
        <v>2941</v>
      </c>
      <c r="D1759" t="s">
        <v>2945</v>
      </c>
      <c r="E1759" t="s">
        <v>3067</v>
      </c>
      <c r="F1759" s="3">
        <v>46289.847500516698</v>
      </c>
      <c r="G1759" s="3">
        <v>46289.851174721902</v>
      </c>
      <c r="H1759">
        <v>5.29</v>
      </c>
      <c r="I1759" t="s">
        <v>3147</v>
      </c>
      <c r="J1759" t="s">
        <v>3153</v>
      </c>
      <c r="K1759" t="s">
        <v>3186</v>
      </c>
      <c r="L1759" t="str">
        <f>_xlfn.XLOOKUP(C1759,[1]!Table1[Shift_ID],[1]!Table1[Shift_ID])</f>
        <v>S02</v>
      </c>
      <c r="M1759" t="str">
        <f>_xlfn.XLOOKUP(D1759,[2]!Table1[Machine_ID],[2]!Table1[Machine_ID])</f>
        <v>M004</v>
      </c>
      <c r="N1759" t="str">
        <f>_xlfn.XLOOKUP(E1759,[3]Sheet1!$A$2:$A$391,[3]Sheet1!$A$2:$A$391)</f>
        <v>PO10117</v>
      </c>
    </row>
    <row r="1760" spans="1:14" x14ac:dyDescent="0.2">
      <c r="A1760" t="s">
        <v>1769</v>
      </c>
      <c r="B1760" s="2">
        <v>46289</v>
      </c>
      <c r="C1760" t="s">
        <v>2941</v>
      </c>
      <c r="D1760" t="s">
        <v>2946</v>
      </c>
      <c r="E1760" t="s">
        <v>3067</v>
      </c>
      <c r="F1760" s="3">
        <v>46289.774684740958</v>
      </c>
      <c r="G1760" s="3">
        <v>46289.777134148448</v>
      </c>
      <c r="H1760">
        <v>3.53</v>
      </c>
      <c r="I1760" t="s">
        <v>3149</v>
      </c>
      <c r="J1760" t="s">
        <v>3168</v>
      </c>
      <c r="K1760" t="s">
        <v>3184</v>
      </c>
      <c r="L1760" t="str">
        <f>_xlfn.XLOOKUP(C1760,[1]!Table1[Shift_ID],[1]!Table1[Shift_ID])</f>
        <v>S02</v>
      </c>
      <c r="M1760" t="str">
        <f>_xlfn.XLOOKUP(D1760,[2]!Table1[Machine_ID],[2]!Table1[Machine_ID])</f>
        <v>M005</v>
      </c>
      <c r="N1760" t="str">
        <f>_xlfn.XLOOKUP(E1760,[3]Sheet1!$A$2:$A$391,[3]Sheet1!$A$2:$A$391)</f>
        <v>PO10117</v>
      </c>
    </row>
    <row r="1761" spans="1:14" x14ac:dyDescent="0.2">
      <c r="A1761" t="s">
        <v>1770</v>
      </c>
      <c r="B1761" s="2">
        <v>46289</v>
      </c>
      <c r="C1761" t="s">
        <v>2941</v>
      </c>
      <c r="D1761" t="s">
        <v>2946</v>
      </c>
      <c r="E1761" t="s">
        <v>3067</v>
      </c>
      <c r="F1761" s="3">
        <v>46289.849895443513</v>
      </c>
      <c r="G1761" s="3">
        <v>46289.851253943278</v>
      </c>
      <c r="H1761">
        <v>1.96</v>
      </c>
      <c r="I1761" t="s">
        <v>3147</v>
      </c>
      <c r="J1761" t="s">
        <v>3154</v>
      </c>
      <c r="K1761" t="s">
        <v>3172</v>
      </c>
      <c r="L1761" t="str">
        <f>_xlfn.XLOOKUP(C1761,[1]!Table1[Shift_ID],[1]!Table1[Shift_ID])</f>
        <v>S02</v>
      </c>
      <c r="M1761" t="str">
        <f>_xlfn.XLOOKUP(D1761,[2]!Table1[Machine_ID],[2]!Table1[Machine_ID])</f>
        <v>M005</v>
      </c>
      <c r="N1761" t="str">
        <f>_xlfn.XLOOKUP(E1761,[3]Sheet1!$A$2:$A$391,[3]Sheet1!$A$2:$A$391)</f>
        <v>PO10117</v>
      </c>
    </row>
    <row r="1762" spans="1:14" x14ac:dyDescent="0.2">
      <c r="A1762" t="s">
        <v>1771</v>
      </c>
      <c r="B1762" s="2">
        <v>46289</v>
      </c>
      <c r="C1762" t="s">
        <v>2941</v>
      </c>
      <c r="D1762" t="s">
        <v>2946</v>
      </c>
      <c r="E1762" t="s">
        <v>3067</v>
      </c>
      <c r="F1762" s="3">
        <v>46289.850632844536</v>
      </c>
      <c r="G1762" s="3">
        <v>46289.851991344309</v>
      </c>
      <c r="H1762">
        <v>1.96</v>
      </c>
      <c r="I1762" t="s">
        <v>3150</v>
      </c>
      <c r="J1762" t="s">
        <v>3159</v>
      </c>
      <c r="K1762" t="s">
        <v>3179</v>
      </c>
      <c r="L1762" t="str">
        <f>_xlfn.XLOOKUP(C1762,[1]!Table1[Shift_ID],[1]!Table1[Shift_ID])</f>
        <v>S02</v>
      </c>
      <c r="M1762" t="str">
        <f>_xlfn.XLOOKUP(D1762,[2]!Table1[Machine_ID],[2]!Table1[Machine_ID])</f>
        <v>M005</v>
      </c>
      <c r="N1762" t="str">
        <f>_xlfn.XLOOKUP(E1762,[3]Sheet1!$A$2:$A$391,[3]Sheet1!$A$2:$A$391)</f>
        <v>PO10117</v>
      </c>
    </row>
    <row r="1763" spans="1:14" x14ac:dyDescent="0.2">
      <c r="A1763" t="s">
        <v>1772</v>
      </c>
      <c r="B1763" s="2">
        <v>46289</v>
      </c>
      <c r="C1763" t="s">
        <v>2941</v>
      </c>
      <c r="D1763" t="s">
        <v>2946</v>
      </c>
      <c r="E1763" t="s">
        <v>3067</v>
      </c>
      <c r="F1763" s="3">
        <v>46289.894898924373</v>
      </c>
      <c r="G1763" s="3">
        <v>46289.89625742413</v>
      </c>
      <c r="H1763">
        <v>1.96</v>
      </c>
      <c r="I1763" t="s">
        <v>3149</v>
      </c>
      <c r="J1763" t="s">
        <v>3168</v>
      </c>
      <c r="K1763" t="s">
        <v>3184</v>
      </c>
      <c r="L1763" t="str">
        <f>_xlfn.XLOOKUP(C1763,[1]!Table1[Shift_ID],[1]!Table1[Shift_ID])</f>
        <v>S02</v>
      </c>
      <c r="M1763" t="str">
        <f>_xlfn.XLOOKUP(D1763,[2]!Table1[Machine_ID],[2]!Table1[Machine_ID])</f>
        <v>M005</v>
      </c>
      <c r="N1763" t="str">
        <f>_xlfn.XLOOKUP(E1763,[3]Sheet1!$A$2:$A$391,[3]Sheet1!$A$2:$A$391)</f>
        <v>PO10117</v>
      </c>
    </row>
    <row r="1764" spans="1:14" x14ac:dyDescent="0.2">
      <c r="A1764" t="s">
        <v>1773</v>
      </c>
      <c r="B1764" s="2">
        <v>46289</v>
      </c>
      <c r="C1764" t="s">
        <v>2941</v>
      </c>
      <c r="D1764" t="s">
        <v>2947</v>
      </c>
      <c r="E1764" t="s">
        <v>3067</v>
      </c>
      <c r="F1764" s="3">
        <v>46289.583499149383</v>
      </c>
      <c r="G1764" s="3">
        <v>46289.585156046363</v>
      </c>
      <c r="H1764">
        <v>2.39</v>
      </c>
      <c r="I1764" t="s">
        <v>3149</v>
      </c>
      <c r="J1764" t="s">
        <v>3162</v>
      </c>
      <c r="K1764" t="s">
        <v>3176</v>
      </c>
      <c r="L1764" t="str">
        <f>_xlfn.XLOOKUP(C1764,[1]!Table1[Shift_ID],[1]!Table1[Shift_ID])</f>
        <v>S02</v>
      </c>
      <c r="M1764" t="str">
        <f>_xlfn.XLOOKUP(D1764,[2]!Table1[Machine_ID],[2]!Table1[Machine_ID])</f>
        <v>M006</v>
      </c>
      <c r="N1764" t="str">
        <f>_xlfn.XLOOKUP(E1764,[3]Sheet1!$A$2:$A$391,[3]Sheet1!$A$2:$A$391)</f>
        <v>PO10117</v>
      </c>
    </row>
    <row r="1765" spans="1:14" x14ac:dyDescent="0.2">
      <c r="A1765" t="s">
        <v>1774</v>
      </c>
      <c r="B1765" s="2">
        <v>46289</v>
      </c>
      <c r="C1765" t="s">
        <v>2941</v>
      </c>
      <c r="D1765" t="s">
        <v>2947</v>
      </c>
      <c r="E1765" t="s">
        <v>3067</v>
      </c>
      <c r="F1765" s="3">
        <v>46289.584220294797</v>
      </c>
      <c r="G1765" s="3">
        <v>46289.588204644897</v>
      </c>
      <c r="H1765">
        <v>5.74</v>
      </c>
      <c r="I1765" t="s">
        <v>3149</v>
      </c>
      <c r="J1765" t="s">
        <v>3168</v>
      </c>
      <c r="K1765" t="s">
        <v>3182</v>
      </c>
      <c r="L1765" t="str">
        <f>_xlfn.XLOOKUP(C1765,[1]!Table1[Shift_ID],[1]!Table1[Shift_ID])</f>
        <v>S02</v>
      </c>
      <c r="M1765" t="str">
        <f>_xlfn.XLOOKUP(D1765,[2]!Table1[Machine_ID],[2]!Table1[Machine_ID])</f>
        <v>M006</v>
      </c>
      <c r="N1765" t="str">
        <f>_xlfn.XLOOKUP(E1765,[3]Sheet1!$A$2:$A$391,[3]Sheet1!$A$2:$A$391)</f>
        <v>PO10117</v>
      </c>
    </row>
    <row r="1766" spans="1:14" x14ac:dyDescent="0.2">
      <c r="A1766" t="s">
        <v>1775</v>
      </c>
      <c r="B1766" s="2">
        <v>46289</v>
      </c>
      <c r="C1766" t="s">
        <v>2941</v>
      </c>
      <c r="D1766" t="s">
        <v>2947</v>
      </c>
      <c r="E1766" t="s">
        <v>3067</v>
      </c>
      <c r="F1766" s="3">
        <v>46289.6350601456</v>
      </c>
      <c r="G1766" s="3">
        <v>46289.636717042587</v>
      </c>
      <c r="H1766">
        <v>2.39</v>
      </c>
      <c r="I1766" t="s">
        <v>3146</v>
      </c>
      <c r="J1766" t="s">
        <v>3152</v>
      </c>
      <c r="K1766" t="s">
        <v>3174</v>
      </c>
      <c r="L1766" t="str">
        <f>_xlfn.XLOOKUP(C1766,[1]!Table1[Shift_ID],[1]!Table1[Shift_ID])</f>
        <v>S02</v>
      </c>
      <c r="M1766" t="str">
        <f>_xlfn.XLOOKUP(D1766,[2]!Table1[Machine_ID],[2]!Table1[Machine_ID])</f>
        <v>M006</v>
      </c>
      <c r="N1766" t="str">
        <f>_xlfn.XLOOKUP(E1766,[3]Sheet1!$A$2:$A$391,[3]Sheet1!$A$2:$A$391)</f>
        <v>PO10117</v>
      </c>
    </row>
    <row r="1767" spans="1:14" x14ac:dyDescent="0.2">
      <c r="A1767" t="s">
        <v>1776</v>
      </c>
      <c r="B1767" s="2">
        <v>46289</v>
      </c>
      <c r="C1767" t="s">
        <v>2941</v>
      </c>
      <c r="D1767" t="s">
        <v>2947</v>
      </c>
      <c r="E1767" t="s">
        <v>3067</v>
      </c>
      <c r="F1767" s="3">
        <v>46289.731338064048</v>
      </c>
      <c r="G1767" s="3">
        <v>46289.734787126326</v>
      </c>
      <c r="H1767">
        <v>4.97</v>
      </c>
      <c r="I1767" t="s">
        <v>3146</v>
      </c>
      <c r="J1767" t="s">
        <v>3152</v>
      </c>
      <c r="K1767" t="s">
        <v>3174</v>
      </c>
      <c r="L1767" t="str">
        <f>_xlfn.XLOOKUP(C1767,[1]!Table1[Shift_ID],[1]!Table1[Shift_ID])</f>
        <v>S02</v>
      </c>
      <c r="M1767" t="str">
        <f>_xlfn.XLOOKUP(D1767,[2]!Table1[Machine_ID],[2]!Table1[Machine_ID])</f>
        <v>M006</v>
      </c>
      <c r="N1767" t="str">
        <f>_xlfn.XLOOKUP(E1767,[3]Sheet1!$A$2:$A$391,[3]Sheet1!$A$2:$A$391)</f>
        <v>PO10117</v>
      </c>
    </row>
    <row r="1768" spans="1:14" x14ac:dyDescent="0.2">
      <c r="A1768" t="s">
        <v>1777</v>
      </c>
      <c r="B1768" s="2">
        <v>46289</v>
      </c>
      <c r="C1768" t="s">
        <v>2941</v>
      </c>
      <c r="D1768" t="s">
        <v>2947</v>
      </c>
      <c r="E1768" t="s">
        <v>3067</v>
      </c>
      <c r="F1768" s="3">
        <v>46289.744677776223</v>
      </c>
      <c r="G1768" s="3">
        <v>46289.746334673197</v>
      </c>
      <c r="H1768">
        <v>2.39</v>
      </c>
      <c r="I1768" t="s">
        <v>3150</v>
      </c>
      <c r="J1768" t="s">
        <v>3160</v>
      </c>
      <c r="K1768" t="s">
        <v>3177</v>
      </c>
      <c r="L1768" t="str">
        <f>_xlfn.XLOOKUP(C1768,[1]!Table1[Shift_ID],[1]!Table1[Shift_ID])</f>
        <v>S02</v>
      </c>
      <c r="M1768" t="str">
        <f>_xlfn.XLOOKUP(D1768,[2]!Table1[Machine_ID],[2]!Table1[Machine_ID])</f>
        <v>M006</v>
      </c>
      <c r="N1768" t="str">
        <f>_xlfn.XLOOKUP(E1768,[3]Sheet1!$A$2:$A$391,[3]Sheet1!$A$2:$A$391)</f>
        <v>PO10117</v>
      </c>
    </row>
    <row r="1769" spans="1:14" x14ac:dyDescent="0.2">
      <c r="A1769" t="s">
        <v>1778</v>
      </c>
      <c r="B1769" s="2">
        <v>46289</v>
      </c>
      <c r="C1769" t="s">
        <v>2941</v>
      </c>
      <c r="D1769" t="s">
        <v>2947</v>
      </c>
      <c r="E1769" t="s">
        <v>3067</v>
      </c>
      <c r="F1769" s="3">
        <v>46289.765526722556</v>
      </c>
      <c r="G1769" s="3">
        <v>46289.767183619537</v>
      </c>
      <c r="H1769">
        <v>2.39</v>
      </c>
      <c r="I1769" t="s">
        <v>3151</v>
      </c>
      <c r="J1769" t="s">
        <v>3169</v>
      </c>
      <c r="K1769" t="s">
        <v>3187</v>
      </c>
      <c r="L1769" t="str">
        <f>_xlfn.XLOOKUP(C1769,[1]!Table1[Shift_ID],[1]!Table1[Shift_ID])</f>
        <v>S02</v>
      </c>
      <c r="M1769" t="str">
        <f>_xlfn.XLOOKUP(D1769,[2]!Table1[Machine_ID],[2]!Table1[Machine_ID])</f>
        <v>M006</v>
      </c>
      <c r="N1769" t="str">
        <f>_xlfn.XLOOKUP(E1769,[3]Sheet1!$A$2:$A$391,[3]Sheet1!$A$2:$A$391)</f>
        <v>PO10117</v>
      </c>
    </row>
    <row r="1770" spans="1:14" x14ac:dyDescent="0.2">
      <c r="A1770" t="s">
        <v>1779</v>
      </c>
      <c r="B1770" s="2">
        <v>46289</v>
      </c>
      <c r="C1770" t="s">
        <v>2941</v>
      </c>
      <c r="D1770" t="s">
        <v>2947</v>
      </c>
      <c r="E1770" t="s">
        <v>3067</v>
      </c>
      <c r="F1770" s="3">
        <v>46289.790751849963</v>
      </c>
      <c r="G1770" s="3">
        <v>46289.792408746936</v>
      </c>
      <c r="H1770">
        <v>2.39</v>
      </c>
      <c r="I1770" t="s">
        <v>3150</v>
      </c>
      <c r="J1770" t="s">
        <v>3159</v>
      </c>
      <c r="K1770" t="s">
        <v>3177</v>
      </c>
      <c r="L1770" t="str">
        <f>_xlfn.XLOOKUP(C1770,[1]!Table1[Shift_ID],[1]!Table1[Shift_ID])</f>
        <v>S02</v>
      </c>
      <c r="M1770" t="str">
        <f>_xlfn.XLOOKUP(D1770,[2]!Table1[Machine_ID],[2]!Table1[Machine_ID])</f>
        <v>M006</v>
      </c>
      <c r="N1770" t="str">
        <f>_xlfn.XLOOKUP(E1770,[3]Sheet1!$A$2:$A$391,[3]Sheet1!$A$2:$A$391)</f>
        <v>PO10117</v>
      </c>
    </row>
    <row r="1771" spans="1:14" x14ac:dyDescent="0.2">
      <c r="A1771" t="s">
        <v>1780</v>
      </c>
      <c r="B1771" s="2">
        <v>46289</v>
      </c>
      <c r="C1771" t="s">
        <v>2941</v>
      </c>
      <c r="D1771" t="s">
        <v>2947</v>
      </c>
      <c r="E1771" t="s">
        <v>3067</v>
      </c>
      <c r="F1771" s="3">
        <v>46289.880641594827</v>
      </c>
      <c r="G1771" s="3">
        <v>46289.886096298469</v>
      </c>
      <c r="H1771">
        <v>7.85</v>
      </c>
      <c r="I1771" t="s">
        <v>3150</v>
      </c>
      <c r="J1771" t="s">
        <v>3163</v>
      </c>
      <c r="K1771" t="s">
        <v>3177</v>
      </c>
      <c r="L1771" t="str">
        <f>_xlfn.XLOOKUP(C1771,[1]!Table1[Shift_ID],[1]!Table1[Shift_ID])</f>
        <v>S02</v>
      </c>
      <c r="M1771" t="str">
        <f>_xlfn.XLOOKUP(D1771,[2]!Table1[Machine_ID],[2]!Table1[Machine_ID])</f>
        <v>M006</v>
      </c>
      <c r="N1771" t="str">
        <f>_xlfn.XLOOKUP(E1771,[3]Sheet1!$A$2:$A$391,[3]Sheet1!$A$2:$A$391)</f>
        <v>PO10117</v>
      </c>
    </row>
    <row r="1772" spans="1:14" x14ac:dyDescent="0.2">
      <c r="A1772" t="s">
        <v>1781</v>
      </c>
      <c r="B1772" s="2">
        <v>46289</v>
      </c>
      <c r="C1772" t="s">
        <v>2941</v>
      </c>
      <c r="D1772" t="s">
        <v>2948</v>
      </c>
      <c r="E1772" t="s">
        <v>3067</v>
      </c>
      <c r="F1772" s="3">
        <v>46289.713417784827</v>
      </c>
      <c r="G1772" s="3">
        <v>46289.71927443242</v>
      </c>
      <c r="H1772">
        <v>8.43</v>
      </c>
      <c r="I1772" t="s">
        <v>3150</v>
      </c>
      <c r="J1772" t="s">
        <v>3159</v>
      </c>
      <c r="K1772" t="s">
        <v>3177</v>
      </c>
      <c r="L1772" t="str">
        <f>_xlfn.XLOOKUP(C1772,[1]!Table1[Shift_ID],[1]!Table1[Shift_ID])</f>
        <v>S02</v>
      </c>
      <c r="M1772" t="str">
        <f>_xlfn.XLOOKUP(D1772,[2]!Table1[Machine_ID],[2]!Table1[Machine_ID])</f>
        <v>M007</v>
      </c>
      <c r="N1772" t="str">
        <f>_xlfn.XLOOKUP(E1772,[3]Sheet1!$A$2:$A$391,[3]Sheet1!$A$2:$A$391)</f>
        <v>PO10117</v>
      </c>
    </row>
    <row r="1773" spans="1:14" x14ac:dyDescent="0.2">
      <c r="A1773" t="s">
        <v>1782</v>
      </c>
      <c r="B1773" s="2">
        <v>46289</v>
      </c>
      <c r="C1773" t="s">
        <v>2941</v>
      </c>
      <c r="D1773" t="s">
        <v>2948</v>
      </c>
      <c r="E1773" t="s">
        <v>3067</v>
      </c>
      <c r="F1773" s="3">
        <v>46289.837368964967</v>
      </c>
      <c r="G1773" s="3">
        <v>46289.84138127949</v>
      </c>
      <c r="H1773">
        <v>5.78</v>
      </c>
      <c r="I1773" t="s">
        <v>3149</v>
      </c>
      <c r="J1773" t="s">
        <v>3158</v>
      </c>
      <c r="K1773" t="s">
        <v>3182</v>
      </c>
      <c r="L1773" t="str">
        <f>_xlfn.XLOOKUP(C1773,[1]!Table1[Shift_ID],[1]!Table1[Shift_ID])</f>
        <v>S02</v>
      </c>
      <c r="M1773" t="str">
        <f>_xlfn.XLOOKUP(D1773,[2]!Table1[Machine_ID],[2]!Table1[Machine_ID])</f>
        <v>M007</v>
      </c>
      <c r="N1773" t="str">
        <f>_xlfn.XLOOKUP(E1773,[3]Sheet1!$A$2:$A$391,[3]Sheet1!$A$2:$A$391)</f>
        <v>PO10117</v>
      </c>
    </row>
    <row r="1774" spans="1:14" x14ac:dyDescent="0.2">
      <c r="A1774" t="s">
        <v>1783</v>
      </c>
      <c r="B1774" s="2">
        <v>46289</v>
      </c>
      <c r="C1774" t="s">
        <v>2941</v>
      </c>
      <c r="D1774" t="s">
        <v>2949</v>
      </c>
      <c r="E1774" t="s">
        <v>3067</v>
      </c>
      <c r="F1774" s="3">
        <v>46289.763772630467</v>
      </c>
      <c r="G1774" s="3">
        <v>46289.769319039689</v>
      </c>
      <c r="H1774">
        <v>7.99</v>
      </c>
      <c r="I1774" t="s">
        <v>3150</v>
      </c>
      <c r="J1774" t="s">
        <v>3159</v>
      </c>
      <c r="K1774" t="s">
        <v>3179</v>
      </c>
      <c r="L1774" t="str">
        <f>_xlfn.XLOOKUP(C1774,[1]!Table1[Shift_ID],[1]!Table1[Shift_ID])</f>
        <v>S02</v>
      </c>
      <c r="M1774" t="str">
        <f>_xlfn.XLOOKUP(D1774,[2]!Table1[Machine_ID],[2]!Table1[Machine_ID])</f>
        <v>M008</v>
      </c>
      <c r="N1774" t="str">
        <f>_xlfn.XLOOKUP(E1774,[3]Sheet1!$A$2:$A$391,[3]Sheet1!$A$2:$A$391)</f>
        <v>PO10117</v>
      </c>
    </row>
    <row r="1775" spans="1:14" x14ac:dyDescent="0.2">
      <c r="A1775" t="s">
        <v>1784</v>
      </c>
      <c r="B1775" s="2">
        <v>46290</v>
      </c>
      <c r="C1775" t="s">
        <v>2939</v>
      </c>
      <c r="D1775" t="s">
        <v>2942</v>
      </c>
      <c r="E1775" t="s">
        <v>3068</v>
      </c>
      <c r="F1775" s="3">
        <v>46291.081873930671</v>
      </c>
      <c r="G1775" s="3">
        <v>46291.089050333467</v>
      </c>
      <c r="H1775">
        <v>10.33</v>
      </c>
      <c r="I1775" t="s">
        <v>3151</v>
      </c>
      <c r="J1775" t="s">
        <v>3169</v>
      </c>
      <c r="K1775" t="s">
        <v>3188</v>
      </c>
      <c r="L1775" t="str">
        <f>_xlfn.XLOOKUP(C1775,[1]!Table1[Shift_ID],[1]!Table1[Shift_ID])</f>
        <v>S03</v>
      </c>
      <c r="M1775" t="str">
        <f>_xlfn.XLOOKUP(D1775,[2]!Table1[Machine_ID],[2]!Table1[Machine_ID])</f>
        <v>M001</v>
      </c>
      <c r="N1775" t="str">
        <f>_xlfn.XLOOKUP(E1775,[3]Sheet1!$A$2:$A$391,[3]Sheet1!$A$2:$A$391)</f>
        <v>PO10118</v>
      </c>
    </row>
    <row r="1776" spans="1:14" x14ac:dyDescent="0.2">
      <c r="A1776" t="s">
        <v>1785</v>
      </c>
      <c r="B1776" s="2">
        <v>46290</v>
      </c>
      <c r="C1776" t="s">
        <v>2939</v>
      </c>
      <c r="D1776" t="s">
        <v>2943</v>
      </c>
      <c r="E1776" t="s">
        <v>3068</v>
      </c>
      <c r="F1776" s="3">
        <v>46291.073500094673</v>
      </c>
      <c r="G1776" s="3">
        <v>46291.082597111374</v>
      </c>
      <c r="H1776">
        <v>13.1</v>
      </c>
      <c r="I1776" t="s">
        <v>3150</v>
      </c>
      <c r="J1776" t="s">
        <v>3166</v>
      </c>
      <c r="K1776" t="s">
        <v>3179</v>
      </c>
      <c r="L1776" t="str">
        <f>_xlfn.XLOOKUP(C1776,[1]!Table1[Shift_ID],[1]!Table1[Shift_ID])</f>
        <v>S03</v>
      </c>
      <c r="M1776" t="str">
        <f>_xlfn.XLOOKUP(D1776,[2]!Table1[Machine_ID],[2]!Table1[Machine_ID])</f>
        <v>M002</v>
      </c>
      <c r="N1776" t="str">
        <f>_xlfn.XLOOKUP(E1776,[3]Sheet1!$A$2:$A$391,[3]Sheet1!$A$2:$A$391)</f>
        <v>PO10118</v>
      </c>
    </row>
    <row r="1777" spans="1:14" x14ac:dyDescent="0.2">
      <c r="A1777" t="s">
        <v>1786</v>
      </c>
      <c r="B1777" s="2">
        <v>46290</v>
      </c>
      <c r="C1777" t="s">
        <v>2939</v>
      </c>
      <c r="D1777" t="s">
        <v>2944</v>
      </c>
      <c r="E1777" t="s">
        <v>3068</v>
      </c>
      <c r="F1777" s="3">
        <v>46291.194966032839</v>
      </c>
      <c r="G1777" s="3">
        <v>46291.208925338236</v>
      </c>
      <c r="H1777">
        <v>20.100000000000001</v>
      </c>
      <c r="I1777" t="s">
        <v>3148</v>
      </c>
      <c r="J1777" t="s">
        <v>3165</v>
      </c>
      <c r="K1777" t="s">
        <v>3183</v>
      </c>
      <c r="L1777" t="str">
        <f>_xlfn.XLOOKUP(C1777,[1]!Table1[Shift_ID],[1]!Table1[Shift_ID])</f>
        <v>S03</v>
      </c>
      <c r="M1777" t="str">
        <f>_xlfn.XLOOKUP(D1777,[2]!Table1[Machine_ID],[2]!Table1[Machine_ID])</f>
        <v>M003</v>
      </c>
      <c r="N1777" t="str">
        <f>_xlfn.XLOOKUP(E1777,[3]Sheet1!$A$2:$A$391,[3]Sheet1!$A$2:$A$391)</f>
        <v>PO10118</v>
      </c>
    </row>
    <row r="1778" spans="1:14" x14ac:dyDescent="0.2">
      <c r="A1778" t="s">
        <v>1787</v>
      </c>
      <c r="B1778" s="2">
        <v>46290</v>
      </c>
      <c r="C1778" t="s">
        <v>2939</v>
      </c>
      <c r="D1778" t="s">
        <v>2945</v>
      </c>
      <c r="E1778" t="s">
        <v>3068</v>
      </c>
      <c r="F1778" s="3">
        <v>46291.177158142833</v>
      </c>
      <c r="G1778" s="3">
        <v>46291.179573304558</v>
      </c>
      <c r="H1778">
        <v>3.48</v>
      </c>
      <c r="I1778" t="s">
        <v>3147</v>
      </c>
      <c r="J1778" t="s">
        <v>3167</v>
      </c>
      <c r="K1778" t="s">
        <v>3186</v>
      </c>
      <c r="L1778" t="str">
        <f>_xlfn.XLOOKUP(C1778,[1]!Table1[Shift_ID],[1]!Table1[Shift_ID])</f>
        <v>S03</v>
      </c>
      <c r="M1778" t="str">
        <f>_xlfn.XLOOKUP(D1778,[2]!Table1[Machine_ID],[2]!Table1[Machine_ID])</f>
        <v>M004</v>
      </c>
      <c r="N1778" t="str">
        <f>_xlfn.XLOOKUP(E1778,[3]Sheet1!$A$2:$A$391,[3]Sheet1!$A$2:$A$391)</f>
        <v>PO10118</v>
      </c>
    </row>
    <row r="1779" spans="1:14" x14ac:dyDescent="0.2">
      <c r="A1779" t="s">
        <v>1788</v>
      </c>
      <c r="B1779" s="2">
        <v>46290</v>
      </c>
      <c r="C1779" t="s">
        <v>2939</v>
      </c>
      <c r="D1779" t="s">
        <v>2945</v>
      </c>
      <c r="E1779" t="s">
        <v>3068</v>
      </c>
      <c r="F1779" s="3">
        <v>46291.222318890403</v>
      </c>
      <c r="G1779" s="3">
        <v>46291.227430176041</v>
      </c>
      <c r="H1779">
        <v>7.36</v>
      </c>
      <c r="I1779" t="s">
        <v>3147</v>
      </c>
      <c r="J1779" t="s">
        <v>3167</v>
      </c>
      <c r="K1779" t="s">
        <v>3186</v>
      </c>
      <c r="L1779" t="str">
        <f>_xlfn.XLOOKUP(C1779,[1]!Table1[Shift_ID],[1]!Table1[Shift_ID])</f>
        <v>S03</v>
      </c>
      <c r="M1779" t="str">
        <f>_xlfn.XLOOKUP(D1779,[2]!Table1[Machine_ID],[2]!Table1[Machine_ID])</f>
        <v>M004</v>
      </c>
      <c r="N1779" t="str">
        <f>_xlfn.XLOOKUP(E1779,[3]Sheet1!$A$2:$A$391,[3]Sheet1!$A$2:$A$391)</f>
        <v>PO10118</v>
      </c>
    </row>
    <row r="1780" spans="1:14" x14ac:dyDescent="0.2">
      <c r="A1780" t="s">
        <v>1789</v>
      </c>
      <c r="B1780" s="2">
        <v>46290</v>
      </c>
      <c r="C1780" t="s">
        <v>2939</v>
      </c>
      <c r="D1780" t="s">
        <v>2946</v>
      </c>
      <c r="E1780" t="s">
        <v>3068</v>
      </c>
      <c r="F1780" s="3">
        <v>46291.206780696673</v>
      </c>
      <c r="G1780" s="3">
        <v>46291.216024748472</v>
      </c>
      <c r="H1780">
        <v>13.31</v>
      </c>
      <c r="I1780" t="s">
        <v>3147</v>
      </c>
      <c r="J1780" t="s">
        <v>3153</v>
      </c>
      <c r="K1780" t="s">
        <v>3172</v>
      </c>
      <c r="L1780" t="str">
        <f>_xlfn.XLOOKUP(C1780,[1]!Table1[Shift_ID],[1]!Table1[Shift_ID])</f>
        <v>S03</v>
      </c>
      <c r="M1780" t="str">
        <f>_xlfn.XLOOKUP(D1780,[2]!Table1[Machine_ID],[2]!Table1[Machine_ID])</f>
        <v>M005</v>
      </c>
      <c r="N1780" t="str">
        <f>_xlfn.XLOOKUP(E1780,[3]Sheet1!$A$2:$A$391,[3]Sheet1!$A$2:$A$391)</f>
        <v>PO10118</v>
      </c>
    </row>
    <row r="1781" spans="1:14" x14ac:dyDescent="0.2">
      <c r="A1781" t="s">
        <v>1790</v>
      </c>
      <c r="B1781" s="2">
        <v>46290</v>
      </c>
      <c r="C1781" t="s">
        <v>2939</v>
      </c>
      <c r="D1781" t="s">
        <v>2947</v>
      </c>
      <c r="E1781" t="s">
        <v>3068</v>
      </c>
      <c r="F1781" s="3">
        <v>46291.017345983331</v>
      </c>
      <c r="G1781" s="3">
        <v>46291.025889190591</v>
      </c>
      <c r="H1781">
        <v>12.3</v>
      </c>
      <c r="I1781" t="s">
        <v>3150</v>
      </c>
      <c r="J1781" t="s">
        <v>3160</v>
      </c>
      <c r="K1781" t="s">
        <v>3178</v>
      </c>
      <c r="L1781" t="str">
        <f>_xlfn.XLOOKUP(C1781,[1]!Table1[Shift_ID],[1]!Table1[Shift_ID])</f>
        <v>S03</v>
      </c>
      <c r="M1781" t="str">
        <f>_xlfn.XLOOKUP(D1781,[2]!Table1[Machine_ID],[2]!Table1[Machine_ID])</f>
        <v>M006</v>
      </c>
      <c r="N1781" t="str">
        <f>_xlfn.XLOOKUP(E1781,[3]Sheet1!$A$2:$A$391,[3]Sheet1!$A$2:$A$391)</f>
        <v>PO10118</v>
      </c>
    </row>
    <row r="1782" spans="1:14" x14ac:dyDescent="0.2">
      <c r="A1782" t="s">
        <v>1791</v>
      </c>
      <c r="B1782" s="2">
        <v>46290</v>
      </c>
      <c r="C1782" t="s">
        <v>2939</v>
      </c>
      <c r="D1782" t="s">
        <v>2947</v>
      </c>
      <c r="E1782" t="s">
        <v>3068</v>
      </c>
      <c r="F1782" s="3">
        <v>46291.035008969571</v>
      </c>
      <c r="G1782" s="3">
        <v>46291.041540159393</v>
      </c>
      <c r="H1782">
        <v>9.4</v>
      </c>
      <c r="I1782" t="s">
        <v>3150</v>
      </c>
      <c r="J1782" t="s">
        <v>3159</v>
      </c>
      <c r="K1782" t="s">
        <v>3177</v>
      </c>
      <c r="L1782" t="str">
        <f>_xlfn.XLOOKUP(C1782,[1]!Table1[Shift_ID],[1]!Table1[Shift_ID])</f>
        <v>S03</v>
      </c>
      <c r="M1782" t="str">
        <f>_xlfn.XLOOKUP(D1782,[2]!Table1[Machine_ID],[2]!Table1[Machine_ID])</f>
        <v>M006</v>
      </c>
      <c r="N1782" t="str">
        <f>_xlfn.XLOOKUP(E1782,[3]Sheet1!$A$2:$A$391,[3]Sheet1!$A$2:$A$391)</f>
        <v>PO10118</v>
      </c>
    </row>
    <row r="1783" spans="1:14" x14ac:dyDescent="0.2">
      <c r="A1783" t="s">
        <v>1792</v>
      </c>
      <c r="B1783" s="2">
        <v>46290</v>
      </c>
      <c r="C1783" t="s">
        <v>2939</v>
      </c>
      <c r="D1783" t="s">
        <v>2947</v>
      </c>
      <c r="E1783" t="s">
        <v>3068</v>
      </c>
      <c r="F1783" s="3">
        <v>46291.099296596978</v>
      </c>
      <c r="G1783" s="3">
        <v>46291.103069987672</v>
      </c>
      <c r="H1783">
        <v>5.43</v>
      </c>
      <c r="I1783" t="s">
        <v>3150</v>
      </c>
      <c r="J1783" t="s">
        <v>3160</v>
      </c>
      <c r="K1783" t="s">
        <v>3179</v>
      </c>
      <c r="L1783" t="str">
        <f>_xlfn.XLOOKUP(C1783,[1]!Table1[Shift_ID],[1]!Table1[Shift_ID])</f>
        <v>S03</v>
      </c>
      <c r="M1783" t="str">
        <f>_xlfn.XLOOKUP(D1783,[2]!Table1[Machine_ID],[2]!Table1[Machine_ID])</f>
        <v>M006</v>
      </c>
      <c r="N1783" t="str">
        <f>_xlfn.XLOOKUP(E1783,[3]Sheet1!$A$2:$A$391,[3]Sheet1!$A$2:$A$391)</f>
        <v>PO10118</v>
      </c>
    </row>
    <row r="1784" spans="1:14" x14ac:dyDescent="0.2">
      <c r="A1784" t="s">
        <v>1793</v>
      </c>
      <c r="B1784" s="2">
        <v>46290</v>
      </c>
      <c r="C1784" t="s">
        <v>2939</v>
      </c>
      <c r="D1784" t="s">
        <v>2947</v>
      </c>
      <c r="E1784" t="s">
        <v>3068</v>
      </c>
      <c r="F1784" s="3">
        <v>46291.104696699047</v>
      </c>
      <c r="G1784" s="3">
        <v>46291.112741564742</v>
      </c>
      <c r="H1784">
        <v>11.58</v>
      </c>
      <c r="I1784" t="s">
        <v>3149</v>
      </c>
      <c r="J1784" t="s">
        <v>3158</v>
      </c>
      <c r="K1784" t="s">
        <v>3184</v>
      </c>
      <c r="L1784" t="str">
        <f>_xlfn.XLOOKUP(C1784,[1]!Table1[Shift_ID],[1]!Table1[Shift_ID])</f>
        <v>S03</v>
      </c>
      <c r="M1784" t="str">
        <f>_xlfn.XLOOKUP(D1784,[2]!Table1[Machine_ID],[2]!Table1[Machine_ID])</f>
        <v>M006</v>
      </c>
      <c r="N1784" t="str">
        <f>_xlfn.XLOOKUP(E1784,[3]Sheet1!$A$2:$A$391,[3]Sheet1!$A$2:$A$391)</f>
        <v>PO10118</v>
      </c>
    </row>
    <row r="1785" spans="1:14" x14ac:dyDescent="0.2">
      <c r="A1785" t="s">
        <v>1794</v>
      </c>
      <c r="B1785" s="2">
        <v>46290</v>
      </c>
      <c r="C1785" t="s">
        <v>2939</v>
      </c>
      <c r="D1785" t="s">
        <v>2947</v>
      </c>
      <c r="E1785" t="s">
        <v>3068</v>
      </c>
      <c r="F1785" s="3">
        <v>46291.182747461171</v>
      </c>
      <c r="G1785" s="3">
        <v>46291.184802295124</v>
      </c>
      <c r="H1785">
        <v>2.96</v>
      </c>
      <c r="I1785" t="s">
        <v>3149</v>
      </c>
      <c r="J1785" t="s">
        <v>3168</v>
      </c>
      <c r="K1785" t="s">
        <v>3182</v>
      </c>
      <c r="L1785" t="str">
        <f>_xlfn.XLOOKUP(C1785,[1]!Table1[Shift_ID],[1]!Table1[Shift_ID])</f>
        <v>S03</v>
      </c>
      <c r="M1785" t="str">
        <f>_xlfn.XLOOKUP(D1785,[2]!Table1[Machine_ID],[2]!Table1[Machine_ID])</f>
        <v>M006</v>
      </c>
      <c r="N1785" t="str">
        <f>_xlfn.XLOOKUP(E1785,[3]Sheet1!$A$2:$A$391,[3]Sheet1!$A$2:$A$391)</f>
        <v>PO10118</v>
      </c>
    </row>
    <row r="1786" spans="1:14" x14ac:dyDescent="0.2">
      <c r="A1786" t="s">
        <v>1795</v>
      </c>
      <c r="B1786" s="2">
        <v>46290</v>
      </c>
      <c r="C1786" t="s">
        <v>2939</v>
      </c>
      <c r="D1786" t="s">
        <v>2948</v>
      </c>
      <c r="E1786" t="s">
        <v>3068</v>
      </c>
      <c r="F1786" s="3">
        <v>46291.039897791132</v>
      </c>
      <c r="G1786" s="3">
        <v>46291.056408192198</v>
      </c>
      <c r="H1786">
        <v>23.77</v>
      </c>
      <c r="I1786" t="s">
        <v>3150</v>
      </c>
      <c r="J1786" t="s">
        <v>3163</v>
      </c>
      <c r="K1786" t="s">
        <v>3178</v>
      </c>
      <c r="L1786" t="str">
        <f>_xlfn.XLOOKUP(C1786,[1]!Table1[Shift_ID],[1]!Table1[Shift_ID])</f>
        <v>S03</v>
      </c>
      <c r="M1786" t="str">
        <f>_xlfn.XLOOKUP(D1786,[2]!Table1[Machine_ID],[2]!Table1[Machine_ID])</f>
        <v>M007</v>
      </c>
      <c r="N1786" t="str">
        <f>_xlfn.XLOOKUP(E1786,[3]Sheet1!$A$2:$A$391,[3]Sheet1!$A$2:$A$391)</f>
        <v>PO10118</v>
      </c>
    </row>
    <row r="1787" spans="1:14" x14ac:dyDescent="0.2">
      <c r="A1787" t="s">
        <v>1796</v>
      </c>
      <c r="B1787" s="2">
        <v>46290</v>
      </c>
      <c r="C1787" t="s">
        <v>2939</v>
      </c>
      <c r="D1787" t="s">
        <v>2948</v>
      </c>
      <c r="E1787" t="s">
        <v>3068</v>
      </c>
      <c r="F1787" s="3">
        <v>46291.141282501492</v>
      </c>
      <c r="G1787" s="3">
        <v>46291.143327102931</v>
      </c>
      <c r="H1787">
        <v>2.94</v>
      </c>
      <c r="I1787" t="s">
        <v>3148</v>
      </c>
      <c r="J1787" t="s">
        <v>3164</v>
      </c>
      <c r="K1787" t="s">
        <v>3180</v>
      </c>
      <c r="L1787" t="str">
        <f>_xlfn.XLOOKUP(C1787,[1]!Table1[Shift_ID],[1]!Table1[Shift_ID])</f>
        <v>S03</v>
      </c>
      <c r="M1787" t="str">
        <f>_xlfn.XLOOKUP(D1787,[2]!Table1[Machine_ID],[2]!Table1[Machine_ID])</f>
        <v>M007</v>
      </c>
      <c r="N1787" t="str">
        <f>_xlfn.XLOOKUP(E1787,[3]Sheet1!$A$2:$A$391,[3]Sheet1!$A$2:$A$391)</f>
        <v>PO10118</v>
      </c>
    </row>
    <row r="1788" spans="1:14" x14ac:dyDescent="0.2">
      <c r="A1788" t="s">
        <v>1797</v>
      </c>
      <c r="B1788" s="2">
        <v>46290</v>
      </c>
      <c r="C1788" t="s">
        <v>2939</v>
      </c>
      <c r="D1788" t="s">
        <v>2949</v>
      </c>
      <c r="E1788" t="s">
        <v>3068</v>
      </c>
      <c r="F1788" s="3">
        <v>46290.974483593971</v>
      </c>
      <c r="G1788" s="3">
        <v>46290.978237557763</v>
      </c>
      <c r="H1788">
        <v>5.41</v>
      </c>
      <c r="I1788" t="s">
        <v>3148</v>
      </c>
      <c r="J1788" t="s">
        <v>3165</v>
      </c>
      <c r="K1788" t="s">
        <v>3180</v>
      </c>
      <c r="L1788" t="str">
        <f>_xlfn.XLOOKUP(C1788,[1]!Table1[Shift_ID],[1]!Table1[Shift_ID])</f>
        <v>S03</v>
      </c>
      <c r="M1788" t="str">
        <f>_xlfn.XLOOKUP(D1788,[2]!Table1[Machine_ID],[2]!Table1[Machine_ID])</f>
        <v>M008</v>
      </c>
      <c r="N1788" t="str">
        <f>_xlfn.XLOOKUP(E1788,[3]Sheet1!$A$2:$A$391,[3]Sheet1!$A$2:$A$391)</f>
        <v>PO10118</v>
      </c>
    </row>
    <row r="1789" spans="1:14" x14ac:dyDescent="0.2">
      <c r="A1789" t="s">
        <v>1798</v>
      </c>
      <c r="B1789" s="2">
        <v>46290</v>
      </c>
      <c r="C1789" t="s">
        <v>2939</v>
      </c>
      <c r="D1789" t="s">
        <v>2949</v>
      </c>
      <c r="E1789" t="s">
        <v>3068</v>
      </c>
      <c r="F1789" s="3">
        <v>46290.977051884198</v>
      </c>
      <c r="G1789" s="3">
        <v>46290.978412529497</v>
      </c>
      <c r="H1789">
        <v>1.96</v>
      </c>
      <c r="I1789" t="s">
        <v>3148</v>
      </c>
      <c r="J1789" t="s">
        <v>3165</v>
      </c>
      <c r="K1789" t="s">
        <v>3180</v>
      </c>
      <c r="L1789" t="str">
        <f>_xlfn.XLOOKUP(C1789,[1]!Table1[Shift_ID],[1]!Table1[Shift_ID])</f>
        <v>S03</v>
      </c>
      <c r="M1789" t="str">
        <f>_xlfn.XLOOKUP(D1789,[2]!Table1[Machine_ID],[2]!Table1[Machine_ID])</f>
        <v>M008</v>
      </c>
      <c r="N1789" t="str">
        <f>_xlfn.XLOOKUP(E1789,[3]Sheet1!$A$2:$A$391,[3]Sheet1!$A$2:$A$391)</f>
        <v>PO10118</v>
      </c>
    </row>
    <row r="1790" spans="1:14" x14ac:dyDescent="0.2">
      <c r="A1790" t="s">
        <v>1799</v>
      </c>
      <c r="B1790" s="2">
        <v>46290</v>
      </c>
      <c r="C1790" t="s">
        <v>2939</v>
      </c>
      <c r="D1790" t="s">
        <v>2949</v>
      </c>
      <c r="E1790" t="s">
        <v>3068</v>
      </c>
      <c r="F1790" s="3">
        <v>46291.167680832521</v>
      </c>
      <c r="G1790" s="3">
        <v>46291.169041477828</v>
      </c>
      <c r="H1790">
        <v>1.96</v>
      </c>
      <c r="I1790" t="s">
        <v>3148</v>
      </c>
      <c r="J1790" t="s">
        <v>3164</v>
      </c>
      <c r="K1790" t="s">
        <v>3173</v>
      </c>
      <c r="L1790" t="str">
        <f>_xlfn.XLOOKUP(C1790,[1]!Table1[Shift_ID],[1]!Table1[Shift_ID])</f>
        <v>S03</v>
      </c>
      <c r="M1790" t="str">
        <f>_xlfn.XLOOKUP(D1790,[2]!Table1[Machine_ID],[2]!Table1[Machine_ID])</f>
        <v>M008</v>
      </c>
      <c r="N1790" t="str">
        <f>_xlfn.XLOOKUP(E1790,[3]Sheet1!$A$2:$A$391,[3]Sheet1!$A$2:$A$391)</f>
        <v>PO10118</v>
      </c>
    </row>
    <row r="1791" spans="1:14" x14ac:dyDescent="0.2">
      <c r="A1791" t="s">
        <v>1800</v>
      </c>
      <c r="B1791" s="2">
        <v>46290</v>
      </c>
      <c r="C1791" t="s">
        <v>2940</v>
      </c>
      <c r="D1791" t="s">
        <v>2942</v>
      </c>
      <c r="E1791" t="s">
        <v>3069</v>
      </c>
      <c r="F1791" s="3">
        <v>46290.499305219862</v>
      </c>
      <c r="G1791" s="3">
        <v>46290.505660043797</v>
      </c>
      <c r="H1791">
        <v>9.15</v>
      </c>
      <c r="I1791" t="s">
        <v>3149</v>
      </c>
      <c r="J1791" t="s">
        <v>3168</v>
      </c>
      <c r="K1791" t="s">
        <v>3176</v>
      </c>
      <c r="L1791" t="str">
        <f>_xlfn.XLOOKUP(C1791,[1]!Table1[Shift_ID],[1]!Table1[Shift_ID])</f>
        <v>S01</v>
      </c>
      <c r="M1791" t="str">
        <f>_xlfn.XLOOKUP(D1791,[2]!Table1[Machine_ID],[2]!Table1[Machine_ID])</f>
        <v>M001</v>
      </c>
      <c r="N1791" t="str">
        <f>_xlfn.XLOOKUP(E1791,[3]Sheet1!$A$2:$A$391,[3]Sheet1!$A$2:$A$391)</f>
        <v>PO10119</v>
      </c>
    </row>
    <row r="1792" spans="1:14" x14ac:dyDescent="0.2">
      <c r="A1792" t="s">
        <v>1801</v>
      </c>
      <c r="B1792" s="2">
        <v>46290</v>
      </c>
      <c r="C1792" t="s">
        <v>2940</v>
      </c>
      <c r="D1792" t="s">
        <v>2943</v>
      </c>
      <c r="E1792" t="s">
        <v>3069</v>
      </c>
      <c r="F1792" s="3">
        <v>46290.435482161563</v>
      </c>
      <c r="G1792" s="3">
        <v>46290.437332855188</v>
      </c>
      <c r="H1792">
        <v>2.66</v>
      </c>
      <c r="I1792" t="s">
        <v>3149</v>
      </c>
      <c r="J1792" t="s">
        <v>3158</v>
      </c>
      <c r="K1792" t="s">
        <v>3176</v>
      </c>
      <c r="L1792" t="str">
        <f>_xlfn.XLOOKUP(C1792,[1]!Table1[Shift_ID],[1]!Table1[Shift_ID])</f>
        <v>S01</v>
      </c>
      <c r="M1792" t="str">
        <f>_xlfn.XLOOKUP(D1792,[2]!Table1[Machine_ID],[2]!Table1[Machine_ID])</f>
        <v>M002</v>
      </c>
      <c r="N1792" t="str">
        <f>_xlfn.XLOOKUP(E1792,[3]Sheet1!$A$2:$A$391,[3]Sheet1!$A$2:$A$391)</f>
        <v>PO10119</v>
      </c>
    </row>
    <row r="1793" spans="1:14" x14ac:dyDescent="0.2">
      <c r="A1793" t="s">
        <v>1802</v>
      </c>
      <c r="B1793" s="2">
        <v>46290</v>
      </c>
      <c r="C1793" t="s">
        <v>2940</v>
      </c>
      <c r="D1793" t="s">
        <v>2943</v>
      </c>
      <c r="E1793" t="s">
        <v>3069</v>
      </c>
      <c r="F1793" s="3">
        <v>46290.526825272151</v>
      </c>
      <c r="G1793" s="3">
        <v>46290.531474639058</v>
      </c>
      <c r="H1793">
        <v>6.7</v>
      </c>
      <c r="I1793" t="s">
        <v>3146</v>
      </c>
      <c r="J1793" t="s">
        <v>3152</v>
      </c>
      <c r="K1793" t="s">
        <v>3171</v>
      </c>
      <c r="L1793" t="str">
        <f>_xlfn.XLOOKUP(C1793,[1]!Table1[Shift_ID],[1]!Table1[Shift_ID])</f>
        <v>S01</v>
      </c>
      <c r="M1793" t="str">
        <f>_xlfn.XLOOKUP(D1793,[2]!Table1[Machine_ID],[2]!Table1[Machine_ID])</f>
        <v>M002</v>
      </c>
      <c r="N1793" t="str">
        <f>_xlfn.XLOOKUP(E1793,[3]Sheet1!$A$2:$A$391,[3]Sheet1!$A$2:$A$391)</f>
        <v>PO10119</v>
      </c>
    </row>
    <row r="1794" spans="1:14" x14ac:dyDescent="0.2">
      <c r="A1794" t="s">
        <v>1803</v>
      </c>
      <c r="B1794" s="2">
        <v>46290</v>
      </c>
      <c r="C1794" t="s">
        <v>2940</v>
      </c>
      <c r="D1794" t="s">
        <v>2944</v>
      </c>
      <c r="E1794" t="s">
        <v>3069</v>
      </c>
      <c r="F1794" s="3">
        <v>46290.357077155568</v>
      </c>
      <c r="G1794" s="3">
        <v>46290.368369989788</v>
      </c>
      <c r="H1794">
        <v>16.260000000000002</v>
      </c>
      <c r="I1794" t="s">
        <v>3147</v>
      </c>
      <c r="J1794" t="s">
        <v>3154</v>
      </c>
      <c r="K1794" t="s">
        <v>3185</v>
      </c>
      <c r="L1794" t="str">
        <f>_xlfn.XLOOKUP(C1794,[1]!Table1[Shift_ID],[1]!Table1[Shift_ID])</f>
        <v>S01</v>
      </c>
      <c r="M1794" t="str">
        <f>_xlfn.XLOOKUP(D1794,[2]!Table1[Machine_ID],[2]!Table1[Machine_ID])</f>
        <v>M003</v>
      </c>
      <c r="N1794" t="str">
        <f>_xlfn.XLOOKUP(E1794,[3]Sheet1!$A$2:$A$391,[3]Sheet1!$A$2:$A$391)</f>
        <v>PO10119</v>
      </c>
    </row>
    <row r="1795" spans="1:14" x14ac:dyDescent="0.2">
      <c r="A1795" t="s">
        <v>1804</v>
      </c>
      <c r="B1795" s="2">
        <v>46290</v>
      </c>
      <c r="C1795" t="s">
        <v>2940</v>
      </c>
      <c r="D1795" t="s">
        <v>2945</v>
      </c>
      <c r="E1795" t="s">
        <v>3069</v>
      </c>
      <c r="F1795" s="3">
        <v>46290.377157670708</v>
      </c>
      <c r="G1795" s="3">
        <v>46290.384699902323</v>
      </c>
      <c r="H1795">
        <v>10.86</v>
      </c>
      <c r="I1795" t="s">
        <v>3151</v>
      </c>
      <c r="J1795" t="s">
        <v>3170</v>
      </c>
      <c r="K1795" t="s">
        <v>3188</v>
      </c>
      <c r="L1795" t="str">
        <f>_xlfn.XLOOKUP(C1795,[1]!Table1[Shift_ID],[1]!Table1[Shift_ID])</f>
        <v>S01</v>
      </c>
      <c r="M1795" t="str">
        <f>_xlfn.XLOOKUP(D1795,[2]!Table1[Machine_ID],[2]!Table1[Machine_ID])</f>
        <v>M004</v>
      </c>
      <c r="N1795" t="str">
        <f>_xlfn.XLOOKUP(E1795,[3]Sheet1!$A$2:$A$391,[3]Sheet1!$A$2:$A$391)</f>
        <v>PO10119</v>
      </c>
    </row>
    <row r="1796" spans="1:14" x14ac:dyDescent="0.2">
      <c r="A1796" t="s">
        <v>1805</v>
      </c>
      <c r="B1796" s="2">
        <v>46290</v>
      </c>
      <c r="C1796" t="s">
        <v>2940</v>
      </c>
      <c r="D1796" t="s">
        <v>2946</v>
      </c>
      <c r="E1796" t="s">
        <v>3069</v>
      </c>
      <c r="F1796" s="3">
        <v>46290.344144030387</v>
      </c>
      <c r="G1796" s="3">
        <v>46290.35402815976</v>
      </c>
      <c r="H1796">
        <v>14.23</v>
      </c>
      <c r="I1796" t="s">
        <v>3149</v>
      </c>
      <c r="J1796" t="s">
        <v>3158</v>
      </c>
      <c r="K1796" t="s">
        <v>3184</v>
      </c>
      <c r="L1796" t="str">
        <f>_xlfn.XLOOKUP(C1796,[1]!Table1[Shift_ID],[1]!Table1[Shift_ID])</f>
        <v>S01</v>
      </c>
      <c r="M1796" t="str">
        <f>_xlfn.XLOOKUP(D1796,[2]!Table1[Machine_ID],[2]!Table1[Machine_ID])</f>
        <v>M005</v>
      </c>
      <c r="N1796" t="str">
        <f>_xlfn.XLOOKUP(E1796,[3]Sheet1!$A$2:$A$391,[3]Sheet1!$A$2:$A$391)</f>
        <v>PO10119</v>
      </c>
    </row>
    <row r="1797" spans="1:14" x14ac:dyDescent="0.2">
      <c r="A1797" t="s">
        <v>1806</v>
      </c>
      <c r="B1797" s="2">
        <v>46290</v>
      </c>
      <c r="C1797" t="s">
        <v>2940</v>
      </c>
      <c r="D1797" t="s">
        <v>2947</v>
      </c>
      <c r="E1797" t="s">
        <v>3069</v>
      </c>
      <c r="F1797" s="3">
        <v>46290.380918163588</v>
      </c>
      <c r="G1797" s="3">
        <v>46290.397077492773</v>
      </c>
      <c r="H1797">
        <v>23.27</v>
      </c>
      <c r="I1797" t="s">
        <v>3150</v>
      </c>
      <c r="J1797" t="s">
        <v>3166</v>
      </c>
      <c r="K1797" t="s">
        <v>3179</v>
      </c>
      <c r="L1797" t="str">
        <f>_xlfn.XLOOKUP(C1797,[1]!Table1[Shift_ID],[1]!Table1[Shift_ID])</f>
        <v>S01</v>
      </c>
      <c r="M1797" t="str">
        <f>_xlfn.XLOOKUP(D1797,[2]!Table1[Machine_ID],[2]!Table1[Machine_ID])</f>
        <v>M006</v>
      </c>
      <c r="N1797" t="str">
        <f>_xlfn.XLOOKUP(E1797,[3]Sheet1!$A$2:$A$391,[3]Sheet1!$A$2:$A$391)</f>
        <v>PO10119</v>
      </c>
    </row>
    <row r="1798" spans="1:14" x14ac:dyDescent="0.2">
      <c r="A1798" t="s">
        <v>1807</v>
      </c>
      <c r="B1798" s="2">
        <v>46290</v>
      </c>
      <c r="C1798" t="s">
        <v>2940</v>
      </c>
      <c r="D1798" t="s">
        <v>2947</v>
      </c>
      <c r="E1798" t="s">
        <v>3069</v>
      </c>
      <c r="F1798" s="3">
        <v>46290.41676981515</v>
      </c>
      <c r="G1798" s="3">
        <v>46290.422491496749</v>
      </c>
      <c r="H1798">
        <v>8.24</v>
      </c>
      <c r="I1798" t="s">
        <v>3149</v>
      </c>
      <c r="J1798" t="s">
        <v>3168</v>
      </c>
      <c r="K1798" t="s">
        <v>3182</v>
      </c>
      <c r="L1798" t="str">
        <f>_xlfn.XLOOKUP(C1798,[1]!Table1[Shift_ID],[1]!Table1[Shift_ID])</f>
        <v>S01</v>
      </c>
      <c r="M1798" t="str">
        <f>_xlfn.XLOOKUP(D1798,[2]!Table1[Machine_ID],[2]!Table1[Machine_ID])</f>
        <v>M006</v>
      </c>
      <c r="N1798" t="str">
        <f>_xlfn.XLOOKUP(E1798,[3]Sheet1!$A$2:$A$391,[3]Sheet1!$A$2:$A$391)</f>
        <v>PO10119</v>
      </c>
    </row>
    <row r="1799" spans="1:14" x14ac:dyDescent="0.2">
      <c r="A1799" t="s">
        <v>1808</v>
      </c>
      <c r="B1799" s="2">
        <v>46290</v>
      </c>
      <c r="C1799" t="s">
        <v>2940</v>
      </c>
      <c r="D1799" t="s">
        <v>2948</v>
      </c>
      <c r="E1799" t="s">
        <v>3069</v>
      </c>
      <c r="F1799" s="3">
        <v>46290.283162307664</v>
      </c>
      <c r="G1799" s="3">
        <v>46290.286271394529</v>
      </c>
      <c r="H1799">
        <v>4.4800000000000004</v>
      </c>
      <c r="I1799" t="s">
        <v>3147</v>
      </c>
      <c r="J1799" t="s">
        <v>3167</v>
      </c>
      <c r="K1799" t="s">
        <v>3186</v>
      </c>
      <c r="L1799" t="str">
        <f>_xlfn.XLOOKUP(C1799,[1]!Table1[Shift_ID],[1]!Table1[Shift_ID])</f>
        <v>S01</v>
      </c>
      <c r="M1799" t="str">
        <f>_xlfn.XLOOKUP(D1799,[2]!Table1[Machine_ID],[2]!Table1[Machine_ID])</f>
        <v>M007</v>
      </c>
      <c r="N1799" t="str">
        <f>_xlfn.XLOOKUP(E1799,[3]Sheet1!$A$2:$A$391,[3]Sheet1!$A$2:$A$391)</f>
        <v>PO10119</v>
      </c>
    </row>
    <row r="1800" spans="1:14" x14ac:dyDescent="0.2">
      <c r="A1800" t="s">
        <v>1809</v>
      </c>
      <c r="B1800" s="2">
        <v>46290</v>
      </c>
      <c r="C1800" t="s">
        <v>2940</v>
      </c>
      <c r="D1800" t="s">
        <v>2948</v>
      </c>
      <c r="E1800" t="s">
        <v>3069</v>
      </c>
      <c r="F1800" s="3">
        <v>46290.325917617498</v>
      </c>
      <c r="G1800" s="3">
        <v>46290.328692576157</v>
      </c>
      <c r="H1800">
        <v>4</v>
      </c>
      <c r="I1800" t="s">
        <v>3148</v>
      </c>
      <c r="J1800" t="s">
        <v>3164</v>
      </c>
      <c r="K1800" t="s">
        <v>3180</v>
      </c>
      <c r="L1800" t="str">
        <f>_xlfn.XLOOKUP(C1800,[1]!Table1[Shift_ID],[1]!Table1[Shift_ID])</f>
        <v>S01</v>
      </c>
      <c r="M1800" t="str">
        <f>_xlfn.XLOOKUP(D1800,[2]!Table1[Machine_ID],[2]!Table1[Machine_ID])</f>
        <v>M007</v>
      </c>
      <c r="N1800" t="str">
        <f>_xlfn.XLOOKUP(E1800,[3]Sheet1!$A$2:$A$391,[3]Sheet1!$A$2:$A$391)</f>
        <v>PO10119</v>
      </c>
    </row>
    <row r="1801" spans="1:14" x14ac:dyDescent="0.2">
      <c r="A1801" t="s">
        <v>1810</v>
      </c>
      <c r="B1801" s="2">
        <v>46290</v>
      </c>
      <c r="C1801" t="s">
        <v>2940</v>
      </c>
      <c r="D1801" t="s">
        <v>2948</v>
      </c>
      <c r="E1801" t="s">
        <v>3069</v>
      </c>
      <c r="F1801" s="3">
        <v>46290.49466768869</v>
      </c>
      <c r="G1801" s="3">
        <v>46290.500318256461</v>
      </c>
      <c r="H1801">
        <v>8.14</v>
      </c>
      <c r="I1801" t="s">
        <v>3150</v>
      </c>
      <c r="J1801" t="s">
        <v>3159</v>
      </c>
      <c r="K1801" t="s">
        <v>3177</v>
      </c>
      <c r="L1801" t="str">
        <f>_xlfn.XLOOKUP(C1801,[1]!Table1[Shift_ID],[1]!Table1[Shift_ID])</f>
        <v>S01</v>
      </c>
      <c r="M1801" t="str">
        <f>_xlfn.XLOOKUP(D1801,[2]!Table1[Machine_ID],[2]!Table1[Machine_ID])</f>
        <v>M007</v>
      </c>
      <c r="N1801" t="str">
        <f>_xlfn.XLOOKUP(E1801,[3]Sheet1!$A$2:$A$391,[3]Sheet1!$A$2:$A$391)</f>
        <v>PO10119</v>
      </c>
    </row>
    <row r="1802" spans="1:14" x14ac:dyDescent="0.2">
      <c r="A1802" t="s">
        <v>1811</v>
      </c>
      <c r="B1802" s="2">
        <v>46290</v>
      </c>
      <c r="C1802" t="s">
        <v>2940</v>
      </c>
      <c r="D1802" t="s">
        <v>2949</v>
      </c>
      <c r="E1802" t="s">
        <v>3069</v>
      </c>
      <c r="F1802" s="3">
        <v>46290.405284863933</v>
      </c>
      <c r="G1802" s="3">
        <v>46290.409965565763</v>
      </c>
      <c r="H1802">
        <v>6.74</v>
      </c>
      <c r="I1802" t="s">
        <v>3147</v>
      </c>
      <c r="J1802" t="s">
        <v>3167</v>
      </c>
      <c r="K1802" t="s">
        <v>3185</v>
      </c>
      <c r="L1802" t="str">
        <f>_xlfn.XLOOKUP(C1802,[1]!Table1[Shift_ID],[1]!Table1[Shift_ID])</f>
        <v>S01</v>
      </c>
      <c r="M1802" t="str">
        <f>_xlfn.XLOOKUP(D1802,[2]!Table1[Machine_ID],[2]!Table1[Machine_ID])</f>
        <v>M008</v>
      </c>
      <c r="N1802" t="str">
        <f>_xlfn.XLOOKUP(E1802,[3]Sheet1!$A$2:$A$391,[3]Sheet1!$A$2:$A$391)</f>
        <v>PO10119</v>
      </c>
    </row>
    <row r="1803" spans="1:14" x14ac:dyDescent="0.2">
      <c r="A1803" t="s">
        <v>1812</v>
      </c>
      <c r="B1803" s="2">
        <v>46290</v>
      </c>
      <c r="C1803" t="s">
        <v>2941</v>
      </c>
      <c r="D1803" t="s">
        <v>2942</v>
      </c>
      <c r="E1803" t="s">
        <v>3070</v>
      </c>
      <c r="F1803" s="3">
        <v>46290.659787348348</v>
      </c>
      <c r="G1803" s="3">
        <v>46290.664089380487</v>
      </c>
      <c r="H1803">
        <v>6.19</v>
      </c>
      <c r="I1803" t="s">
        <v>3149</v>
      </c>
      <c r="J1803" t="s">
        <v>3162</v>
      </c>
      <c r="K1803" t="s">
        <v>3184</v>
      </c>
      <c r="L1803" t="str">
        <f>_xlfn.XLOOKUP(C1803,[1]!Table1[Shift_ID],[1]!Table1[Shift_ID])</f>
        <v>S02</v>
      </c>
      <c r="M1803" t="str">
        <f>_xlfn.XLOOKUP(D1803,[2]!Table1[Machine_ID],[2]!Table1[Machine_ID])</f>
        <v>M001</v>
      </c>
      <c r="N1803" t="str">
        <f>_xlfn.XLOOKUP(E1803,[3]Sheet1!$A$2:$A$391,[3]Sheet1!$A$2:$A$391)</f>
        <v>PO10120</v>
      </c>
    </row>
    <row r="1804" spans="1:14" x14ac:dyDescent="0.2">
      <c r="A1804" t="s">
        <v>1813</v>
      </c>
      <c r="B1804" s="2">
        <v>46290</v>
      </c>
      <c r="C1804" t="s">
        <v>2941</v>
      </c>
      <c r="D1804" t="s">
        <v>2942</v>
      </c>
      <c r="E1804" t="s">
        <v>3070</v>
      </c>
      <c r="F1804" s="3">
        <v>46290.726482156657</v>
      </c>
      <c r="G1804" s="3">
        <v>46290.728966011397</v>
      </c>
      <c r="H1804">
        <v>3.58</v>
      </c>
      <c r="I1804" t="s">
        <v>3147</v>
      </c>
      <c r="J1804" t="s">
        <v>3153</v>
      </c>
      <c r="K1804" t="s">
        <v>3186</v>
      </c>
      <c r="L1804" t="str">
        <f>_xlfn.XLOOKUP(C1804,[1]!Table1[Shift_ID],[1]!Table1[Shift_ID])</f>
        <v>S02</v>
      </c>
      <c r="M1804" t="str">
        <f>_xlfn.XLOOKUP(D1804,[2]!Table1[Machine_ID],[2]!Table1[Machine_ID])</f>
        <v>M001</v>
      </c>
      <c r="N1804" t="str">
        <f>_xlfn.XLOOKUP(E1804,[3]Sheet1!$A$2:$A$391,[3]Sheet1!$A$2:$A$391)</f>
        <v>PO10120</v>
      </c>
    </row>
    <row r="1805" spans="1:14" x14ac:dyDescent="0.2">
      <c r="A1805" t="s">
        <v>1814</v>
      </c>
      <c r="B1805" s="2">
        <v>46290</v>
      </c>
      <c r="C1805" t="s">
        <v>2941</v>
      </c>
      <c r="D1805" t="s">
        <v>2943</v>
      </c>
      <c r="E1805" t="s">
        <v>3070</v>
      </c>
      <c r="F1805" s="3">
        <v>46290.785353488573</v>
      </c>
      <c r="G1805" s="3">
        <v>46290.794499355397</v>
      </c>
      <c r="H1805">
        <v>13.17</v>
      </c>
      <c r="I1805" t="s">
        <v>3147</v>
      </c>
      <c r="J1805" t="s">
        <v>3153</v>
      </c>
      <c r="K1805" t="s">
        <v>3186</v>
      </c>
      <c r="L1805" t="str">
        <f>_xlfn.XLOOKUP(C1805,[1]!Table1[Shift_ID],[1]!Table1[Shift_ID])</f>
        <v>S02</v>
      </c>
      <c r="M1805" t="str">
        <f>_xlfn.XLOOKUP(D1805,[2]!Table1[Machine_ID],[2]!Table1[Machine_ID])</f>
        <v>M002</v>
      </c>
      <c r="N1805" t="str">
        <f>_xlfn.XLOOKUP(E1805,[3]Sheet1!$A$2:$A$391,[3]Sheet1!$A$2:$A$391)</f>
        <v>PO10120</v>
      </c>
    </row>
    <row r="1806" spans="1:14" x14ac:dyDescent="0.2">
      <c r="A1806" t="s">
        <v>1815</v>
      </c>
      <c r="B1806" s="2">
        <v>46290</v>
      </c>
      <c r="C1806" t="s">
        <v>2941</v>
      </c>
      <c r="D1806" t="s">
        <v>2944</v>
      </c>
      <c r="E1806" t="s">
        <v>3070</v>
      </c>
      <c r="F1806" s="3">
        <v>46290.889048406767</v>
      </c>
      <c r="G1806" s="3">
        <v>46290.900826717683</v>
      </c>
      <c r="H1806">
        <v>16.96</v>
      </c>
      <c r="I1806" t="s">
        <v>3149</v>
      </c>
      <c r="J1806" t="s">
        <v>3158</v>
      </c>
      <c r="K1806" t="s">
        <v>3182</v>
      </c>
      <c r="L1806" t="str">
        <f>_xlfn.XLOOKUP(C1806,[1]!Table1[Shift_ID],[1]!Table1[Shift_ID])</f>
        <v>S02</v>
      </c>
      <c r="M1806" t="str">
        <f>_xlfn.XLOOKUP(D1806,[2]!Table1[Machine_ID],[2]!Table1[Machine_ID])</f>
        <v>M003</v>
      </c>
      <c r="N1806" t="str">
        <f>_xlfn.XLOOKUP(E1806,[3]Sheet1!$A$2:$A$391,[3]Sheet1!$A$2:$A$391)</f>
        <v>PO10120</v>
      </c>
    </row>
    <row r="1807" spans="1:14" x14ac:dyDescent="0.2">
      <c r="A1807" t="s">
        <v>1816</v>
      </c>
      <c r="B1807" s="2">
        <v>46290</v>
      </c>
      <c r="C1807" t="s">
        <v>2941</v>
      </c>
      <c r="D1807" t="s">
        <v>2945</v>
      </c>
      <c r="E1807" t="s">
        <v>3070</v>
      </c>
      <c r="F1807" s="3">
        <v>46290.626356281879</v>
      </c>
      <c r="G1807" s="3">
        <v>46290.630866943939</v>
      </c>
      <c r="H1807">
        <v>6.5</v>
      </c>
      <c r="I1807" t="s">
        <v>3151</v>
      </c>
      <c r="J1807" t="s">
        <v>3169</v>
      </c>
      <c r="K1807" t="s">
        <v>3187</v>
      </c>
      <c r="L1807" t="str">
        <f>_xlfn.XLOOKUP(C1807,[1]!Table1[Shift_ID],[1]!Table1[Shift_ID])</f>
        <v>S02</v>
      </c>
      <c r="M1807" t="str">
        <f>_xlfn.XLOOKUP(D1807,[2]!Table1[Machine_ID],[2]!Table1[Machine_ID])</f>
        <v>M004</v>
      </c>
      <c r="N1807" t="str">
        <f>_xlfn.XLOOKUP(E1807,[3]Sheet1!$A$2:$A$391,[3]Sheet1!$A$2:$A$391)</f>
        <v>PO10120</v>
      </c>
    </row>
    <row r="1808" spans="1:14" x14ac:dyDescent="0.2">
      <c r="A1808" t="s">
        <v>1817</v>
      </c>
      <c r="B1808" s="2">
        <v>46290</v>
      </c>
      <c r="C1808" t="s">
        <v>2941</v>
      </c>
      <c r="D1808" t="s">
        <v>2945</v>
      </c>
      <c r="E1808" t="s">
        <v>3070</v>
      </c>
      <c r="F1808" s="3">
        <v>46290.731470790452</v>
      </c>
      <c r="G1808" s="3">
        <v>46290.733047090987</v>
      </c>
      <c r="H1808">
        <v>2.27</v>
      </c>
      <c r="I1808" t="s">
        <v>3151</v>
      </c>
      <c r="J1808" t="s">
        <v>3170</v>
      </c>
      <c r="K1808" t="s">
        <v>3188</v>
      </c>
      <c r="L1808" t="str">
        <f>_xlfn.XLOOKUP(C1808,[1]!Table1[Shift_ID],[1]!Table1[Shift_ID])</f>
        <v>S02</v>
      </c>
      <c r="M1808" t="str">
        <f>_xlfn.XLOOKUP(D1808,[2]!Table1[Machine_ID],[2]!Table1[Machine_ID])</f>
        <v>M004</v>
      </c>
      <c r="N1808" t="str">
        <f>_xlfn.XLOOKUP(E1808,[3]Sheet1!$A$2:$A$391,[3]Sheet1!$A$2:$A$391)</f>
        <v>PO10120</v>
      </c>
    </row>
    <row r="1809" spans="1:14" x14ac:dyDescent="0.2">
      <c r="A1809" t="s">
        <v>1818</v>
      </c>
      <c r="B1809" s="2">
        <v>46290</v>
      </c>
      <c r="C1809" t="s">
        <v>2941</v>
      </c>
      <c r="D1809" t="s">
        <v>2945</v>
      </c>
      <c r="E1809" t="s">
        <v>3070</v>
      </c>
      <c r="F1809" s="3">
        <v>46290.858894771132</v>
      </c>
      <c r="G1809" s="3">
        <v>46290.860471071668</v>
      </c>
      <c r="H1809">
        <v>2.27</v>
      </c>
      <c r="I1809" t="s">
        <v>3147</v>
      </c>
      <c r="J1809" t="s">
        <v>3154</v>
      </c>
      <c r="K1809" t="s">
        <v>3185</v>
      </c>
      <c r="L1809" t="str">
        <f>_xlfn.XLOOKUP(C1809,[1]!Table1[Shift_ID],[1]!Table1[Shift_ID])</f>
        <v>S02</v>
      </c>
      <c r="M1809" t="str">
        <f>_xlfn.XLOOKUP(D1809,[2]!Table1[Machine_ID],[2]!Table1[Machine_ID])</f>
        <v>M004</v>
      </c>
      <c r="N1809" t="str">
        <f>_xlfn.XLOOKUP(E1809,[3]Sheet1!$A$2:$A$391,[3]Sheet1!$A$2:$A$391)</f>
        <v>PO10120</v>
      </c>
    </row>
    <row r="1810" spans="1:14" x14ac:dyDescent="0.2">
      <c r="A1810" t="s">
        <v>1819</v>
      </c>
      <c r="B1810" s="2">
        <v>46290</v>
      </c>
      <c r="C1810" t="s">
        <v>2941</v>
      </c>
      <c r="D1810" t="s">
        <v>2946</v>
      </c>
      <c r="E1810" t="s">
        <v>3070</v>
      </c>
      <c r="F1810" s="3">
        <v>46290.740106801553</v>
      </c>
      <c r="G1810" s="3">
        <v>46290.749785264386</v>
      </c>
      <c r="H1810">
        <v>13.94</v>
      </c>
      <c r="I1810" t="s">
        <v>3150</v>
      </c>
      <c r="J1810" t="s">
        <v>3163</v>
      </c>
      <c r="K1810" t="s">
        <v>3178</v>
      </c>
      <c r="L1810" t="str">
        <f>_xlfn.XLOOKUP(C1810,[1]!Table1[Shift_ID],[1]!Table1[Shift_ID])</f>
        <v>S02</v>
      </c>
      <c r="M1810" t="str">
        <f>_xlfn.XLOOKUP(D1810,[2]!Table1[Machine_ID],[2]!Table1[Machine_ID])</f>
        <v>M005</v>
      </c>
      <c r="N1810" t="str">
        <f>_xlfn.XLOOKUP(E1810,[3]Sheet1!$A$2:$A$391,[3]Sheet1!$A$2:$A$391)</f>
        <v>PO10120</v>
      </c>
    </row>
    <row r="1811" spans="1:14" x14ac:dyDescent="0.2">
      <c r="A1811" t="s">
        <v>1820</v>
      </c>
      <c r="B1811" s="2">
        <v>46290</v>
      </c>
      <c r="C1811" t="s">
        <v>2941</v>
      </c>
      <c r="D1811" t="s">
        <v>2947</v>
      </c>
      <c r="E1811" t="s">
        <v>3070</v>
      </c>
      <c r="F1811" s="3">
        <v>46290.814779515043</v>
      </c>
      <c r="G1811" s="3">
        <v>46290.82110226748</v>
      </c>
      <c r="H1811">
        <v>9.1</v>
      </c>
      <c r="I1811" t="s">
        <v>3148</v>
      </c>
      <c r="J1811" t="s">
        <v>3155</v>
      </c>
      <c r="K1811" t="s">
        <v>3180</v>
      </c>
      <c r="L1811" t="str">
        <f>_xlfn.XLOOKUP(C1811,[1]!Table1[Shift_ID],[1]!Table1[Shift_ID])</f>
        <v>S02</v>
      </c>
      <c r="M1811" t="str">
        <f>_xlfn.XLOOKUP(D1811,[2]!Table1[Machine_ID],[2]!Table1[Machine_ID])</f>
        <v>M006</v>
      </c>
      <c r="N1811" t="str">
        <f>_xlfn.XLOOKUP(E1811,[3]Sheet1!$A$2:$A$391,[3]Sheet1!$A$2:$A$391)</f>
        <v>PO10120</v>
      </c>
    </row>
    <row r="1812" spans="1:14" x14ac:dyDescent="0.2">
      <c r="A1812" t="s">
        <v>1821</v>
      </c>
      <c r="B1812" s="2">
        <v>46290</v>
      </c>
      <c r="C1812" t="s">
        <v>2941</v>
      </c>
      <c r="D1812" t="s">
        <v>2947</v>
      </c>
      <c r="E1812" t="s">
        <v>3070</v>
      </c>
      <c r="F1812" s="3">
        <v>46290.847347042552</v>
      </c>
      <c r="G1812" s="3">
        <v>46290.863090877698</v>
      </c>
      <c r="H1812">
        <v>22.67</v>
      </c>
      <c r="I1812" t="s">
        <v>3149</v>
      </c>
      <c r="J1812" t="s">
        <v>3158</v>
      </c>
      <c r="K1812" t="s">
        <v>3184</v>
      </c>
      <c r="L1812" t="str">
        <f>_xlfn.XLOOKUP(C1812,[1]!Table1[Shift_ID],[1]!Table1[Shift_ID])</f>
        <v>S02</v>
      </c>
      <c r="M1812" t="str">
        <f>_xlfn.XLOOKUP(D1812,[2]!Table1[Machine_ID],[2]!Table1[Machine_ID])</f>
        <v>M006</v>
      </c>
      <c r="N1812" t="str">
        <f>_xlfn.XLOOKUP(E1812,[3]Sheet1!$A$2:$A$391,[3]Sheet1!$A$2:$A$391)</f>
        <v>PO10120</v>
      </c>
    </row>
    <row r="1813" spans="1:14" x14ac:dyDescent="0.2">
      <c r="A1813" t="s">
        <v>1822</v>
      </c>
      <c r="B1813" s="2">
        <v>46290</v>
      </c>
      <c r="C1813" t="s">
        <v>2941</v>
      </c>
      <c r="D1813" t="s">
        <v>2948</v>
      </c>
      <c r="E1813" t="s">
        <v>3070</v>
      </c>
      <c r="F1813" s="3">
        <v>46290.619967611863</v>
      </c>
      <c r="G1813" s="3">
        <v>46290.623359245983</v>
      </c>
      <c r="H1813">
        <v>4.88</v>
      </c>
      <c r="I1813" t="s">
        <v>3146</v>
      </c>
      <c r="J1813" t="s">
        <v>3152</v>
      </c>
      <c r="K1813" t="s">
        <v>3174</v>
      </c>
      <c r="L1813" t="str">
        <f>_xlfn.XLOOKUP(C1813,[1]!Table1[Shift_ID],[1]!Table1[Shift_ID])</f>
        <v>S02</v>
      </c>
      <c r="M1813" t="str">
        <f>_xlfn.XLOOKUP(D1813,[2]!Table1[Machine_ID],[2]!Table1[Machine_ID])</f>
        <v>M007</v>
      </c>
      <c r="N1813" t="str">
        <f>_xlfn.XLOOKUP(E1813,[3]Sheet1!$A$2:$A$391,[3]Sheet1!$A$2:$A$391)</f>
        <v>PO10120</v>
      </c>
    </row>
    <row r="1814" spans="1:14" x14ac:dyDescent="0.2">
      <c r="A1814" t="s">
        <v>1823</v>
      </c>
      <c r="B1814" s="2">
        <v>46290</v>
      </c>
      <c r="C1814" t="s">
        <v>2941</v>
      </c>
      <c r="D1814" t="s">
        <v>2948</v>
      </c>
      <c r="E1814" t="s">
        <v>3070</v>
      </c>
      <c r="F1814" s="3">
        <v>46290.874746173307</v>
      </c>
      <c r="G1814" s="3">
        <v>46290.882372429893</v>
      </c>
      <c r="H1814">
        <v>10.98</v>
      </c>
      <c r="I1814" t="s">
        <v>3150</v>
      </c>
      <c r="J1814" t="s">
        <v>3160</v>
      </c>
      <c r="K1814" t="s">
        <v>3177</v>
      </c>
      <c r="L1814" t="str">
        <f>_xlfn.XLOOKUP(C1814,[1]!Table1[Shift_ID],[1]!Table1[Shift_ID])</f>
        <v>S02</v>
      </c>
      <c r="M1814" t="str">
        <f>_xlfn.XLOOKUP(D1814,[2]!Table1[Machine_ID],[2]!Table1[Machine_ID])</f>
        <v>M007</v>
      </c>
      <c r="N1814" t="str">
        <f>_xlfn.XLOOKUP(E1814,[3]Sheet1!$A$2:$A$391,[3]Sheet1!$A$2:$A$391)</f>
        <v>PO10120</v>
      </c>
    </row>
    <row r="1815" spans="1:14" x14ac:dyDescent="0.2">
      <c r="A1815" t="s">
        <v>1824</v>
      </c>
      <c r="B1815" s="2">
        <v>46290</v>
      </c>
      <c r="C1815" t="s">
        <v>2941</v>
      </c>
      <c r="D1815" t="s">
        <v>2949</v>
      </c>
      <c r="E1815" t="s">
        <v>3070</v>
      </c>
      <c r="F1815" s="3">
        <v>46290.886346126041</v>
      </c>
      <c r="G1815" s="3">
        <v>46290.893036550151</v>
      </c>
      <c r="H1815">
        <v>9.6300000000000008</v>
      </c>
      <c r="I1815" t="s">
        <v>3148</v>
      </c>
      <c r="J1815" t="s">
        <v>3155</v>
      </c>
      <c r="K1815" t="s">
        <v>3183</v>
      </c>
      <c r="L1815" t="str">
        <f>_xlfn.XLOOKUP(C1815,[1]!Table1[Shift_ID],[1]!Table1[Shift_ID])</f>
        <v>S02</v>
      </c>
      <c r="M1815" t="str">
        <f>_xlfn.XLOOKUP(D1815,[2]!Table1[Machine_ID],[2]!Table1[Machine_ID])</f>
        <v>M008</v>
      </c>
      <c r="N1815" t="str">
        <f>_xlfn.XLOOKUP(E1815,[3]Sheet1!$A$2:$A$391,[3]Sheet1!$A$2:$A$391)</f>
        <v>PO10120</v>
      </c>
    </row>
    <row r="1816" spans="1:14" x14ac:dyDescent="0.2">
      <c r="A1816" t="s">
        <v>1825</v>
      </c>
      <c r="B1816" s="2">
        <v>46293</v>
      </c>
      <c r="C1816" t="s">
        <v>2939</v>
      </c>
      <c r="D1816" t="s">
        <v>2942</v>
      </c>
      <c r="E1816" t="s">
        <v>3071</v>
      </c>
      <c r="F1816" s="3">
        <v>46294.026384543933</v>
      </c>
      <c r="G1816" s="3">
        <v>46294.02781715602</v>
      </c>
      <c r="H1816">
        <v>2.06</v>
      </c>
      <c r="I1816" t="s">
        <v>3151</v>
      </c>
      <c r="J1816" t="s">
        <v>3161</v>
      </c>
      <c r="K1816" t="s">
        <v>3187</v>
      </c>
      <c r="L1816" t="str">
        <f>_xlfn.XLOOKUP(C1816,[1]!Table1[Shift_ID],[1]!Table1[Shift_ID])</f>
        <v>S03</v>
      </c>
      <c r="M1816" t="str">
        <f>_xlfn.XLOOKUP(D1816,[2]!Table1[Machine_ID],[2]!Table1[Machine_ID])</f>
        <v>M001</v>
      </c>
      <c r="N1816" t="str">
        <f>_xlfn.XLOOKUP(E1816,[3]Sheet1!$A$2:$A$391,[3]Sheet1!$A$2:$A$391)</f>
        <v>PO10121</v>
      </c>
    </row>
    <row r="1817" spans="1:14" x14ac:dyDescent="0.2">
      <c r="A1817" t="s">
        <v>1826</v>
      </c>
      <c r="B1817" s="2">
        <v>46293</v>
      </c>
      <c r="C1817" t="s">
        <v>2939</v>
      </c>
      <c r="D1817" t="s">
        <v>2942</v>
      </c>
      <c r="E1817" t="s">
        <v>3071</v>
      </c>
      <c r="F1817" s="3">
        <v>46294.110942439293</v>
      </c>
      <c r="G1817" s="3">
        <v>46294.112965885914</v>
      </c>
      <c r="H1817">
        <v>2.91</v>
      </c>
      <c r="I1817" t="s">
        <v>3151</v>
      </c>
      <c r="J1817" t="s">
        <v>3161</v>
      </c>
      <c r="K1817" t="s">
        <v>3181</v>
      </c>
      <c r="L1817" t="str">
        <f>_xlfn.XLOOKUP(C1817,[1]!Table1[Shift_ID],[1]!Table1[Shift_ID])</f>
        <v>S03</v>
      </c>
      <c r="M1817" t="str">
        <f>_xlfn.XLOOKUP(D1817,[2]!Table1[Machine_ID],[2]!Table1[Machine_ID])</f>
        <v>M001</v>
      </c>
      <c r="N1817" t="str">
        <f>_xlfn.XLOOKUP(E1817,[3]Sheet1!$A$2:$A$391,[3]Sheet1!$A$2:$A$391)</f>
        <v>PO10121</v>
      </c>
    </row>
    <row r="1818" spans="1:14" x14ac:dyDescent="0.2">
      <c r="A1818" t="s">
        <v>1827</v>
      </c>
      <c r="B1818" s="2">
        <v>46293</v>
      </c>
      <c r="C1818" t="s">
        <v>2939</v>
      </c>
      <c r="D1818" t="s">
        <v>2942</v>
      </c>
      <c r="E1818" t="s">
        <v>3071</v>
      </c>
      <c r="F1818" s="3">
        <v>46294.168930352636</v>
      </c>
      <c r="G1818" s="3">
        <v>46294.170362964731</v>
      </c>
      <c r="H1818">
        <v>2.06</v>
      </c>
      <c r="I1818" t="s">
        <v>3151</v>
      </c>
      <c r="J1818" t="s">
        <v>3161</v>
      </c>
      <c r="K1818" t="s">
        <v>3187</v>
      </c>
      <c r="L1818" t="str">
        <f>_xlfn.XLOOKUP(C1818,[1]!Table1[Shift_ID],[1]!Table1[Shift_ID])</f>
        <v>S03</v>
      </c>
      <c r="M1818" t="str">
        <f>_xlfn.XLOOKUP(D1818,[2]!Table1[Machine_ID],[2]!Table1[Machine_ID])</f>
        <v>M001</v>
      </c>
      <c r="N1818" t="str">
        <f>_xlfn.XLOOKUP(E1818,[3]Sheet1!$A$2:$A$391,[3]Sheet1!$A$2:$A$391)</f>
        <v>PO10121</v>
      </c>
    </row>
    <row r="1819" spans="1:14" x14ac:dyDescent="0.2">
      <c r="A1819" t="s">
        <v>1828</v>
      </c>
      <c r="B1819" s="2">
        <v>46293</v>
      </c>
      <c r="C1819" t="s">
        <v>2939</v>
      </c>
      <c r="D1819" t="s">
        <v>2942</v>
      </c>
      <c r="E1819" t="s">
        <v>3071</v>
      </c>
      <c r="F1819" s="3">
        <v>46294.236374094282</v>
      </c>
      <c r="G1819" s="3">
        <v>46294.237806706376</v>
      </c>
      <c r="H1819">
        <v>2.06</v>
      </c>
      <c r="I1819" t="s">
        <v>3149</v>
      </c>
      <c r="J1819" t="s">
        <v>3158</v>
      </c>
      <c r="K1819" t="s">
        <v>3176</v>
      </c>
      <c r="L1819" t="str">
        <f>_xlfn.XLOOKUP(C1819,[1]!Table1[Shift_ID],[1]!Table1[Shift_ID])</f>
        <v>S03</v>
      </c>
      <c r="M1819" t="str">
        <f>_xlfn.XLOOKUP(D1819,[2]!Table1[Machine_ID],[2]!Table1[Machine_ID])</f>
        <v>M001</v>
      </c>
      <c r="N1819" t="str">
        <f>_xlfn.XLOOKUP(E1819,[3]Sheet1!$A$2:$A$391,[3]Sheet1!$A$2:$A$391)</f>
        <v>PO10121</v>
      </c>
    </row>
    <row r="1820" spans="1:14" x14ac:dyDescent="0.2">
      <c r="A1820" t="s">
        <v>1829</v>
      </c>
      <c r="B1820" s="2">
        <v>46293</v>
      </c>
      <c r="C1820" t="s">
        <v>2939</v>
      </c>
      <c r="D1820" t="s">
        <v>2943</v>
      </c>
      <c r="E1820" t="s">
        <v>3071</v>
      </c>
      <c r="F1820" s="3">
        <v>46293.959635855579</v>
      </c>
      <c r="G1820" s="3">
        <v>46293.961270832267</v>
      </c>
      <c r="H1820">
        <v>2.35</v>
      </c>
      <c r="I1820" t="s">
        <v>3151</v>
      </c>
      <c r="J1820" t="s">
        <v>3170</v>
      </c>
      <c r="K1820" t="s">
        <v>3187</v>
      </c>
      <c r="L1820" t="str">
        <f>_xlfn.XLOOKUP(C1820,[1]!Table1[Shift_ID],[1]!Table1[Shift_ID])</f>
        <v>S03</v>
      </c>
      <c r="M1820" t="str">
        <f>_xlfn.XLOOKUP(D1820,[2]!Table1[Machine_ID],[2]!Table1[Machine_ID])</f>
        <v>M002</v>
      </c>
      <c r="N1820" t="str">
        <f>_xlfn.XLOOKUP(E1820,[3]Sheet1!$A$2:$A$391,[3]Sheet1!$A$2:$A$391)</f>
        <v>PO10121</v>
      </c>
    </row>
    <row r="1821" spans="1:14" x14ac:dyDescent="0.2">
      <c r="A1821" t="s">
        <v>1830</v>
      </c>
      <c r="B1821" s="2">
        <v>46293</v>
      </c>
      <c r="C1821" t="s">
        <v>2939</v>
      </c>
      <c r="D1821" t="s">
        <v>2943</v>
      </c>
      <c r="E1821" t="s">
        <v>3071</v>
      </c>
      <c r="F1821" s="3">
        <v>46294.002388076573</v>
      </c>
      <c r="G1821" s="3">
        <v>46294.004023053283</v>
      </c>
      <c r="H1821">
        <v>2.35</v>
      </c>
      <c r="I1821" t="s">
        <v>3147</v>
      </c>
      <c r="J1821" t="s">
        <v>3167</v>
      </c>
      <c r="K1821" t="s">
        <v>3172</v>
      </c>
      <c r="L1821" t="str">
        <f>_xlfn.XLOOKUP(C1821,[1]!Table1[Shift_ID],[1]!Table1[Shift_ID])</f>
        <v>S03</v>
      </c>
      <c r="M1821" t="str">
        <f>_xlfn.XLOOKUP(D1821,[2]!Table1[Machine_ID],[2]!Table1[Machine_ID])</f>
        <v>M002</v>
      </c>
      <c r="N1821" t="str">
        <f>_xlfn.XLOOKUP(E1821,[3]Sheet1!$A$2:$A$391,[3]Sheet1!$A$2:$A$391)</f>
        <v>PO10121</v>
      </c>
    </row>
    <row r="1822" spans="1:14" x14ac:dyDescent="0.2">
      <c r="A1822" t="s">
        <v>1831</v>
      </c>
      <c r="B1822" s="2">
        <v>46293</v>
      </c>
      <c r="C1822" t="s">
        <v>2939</v>
      </c>
      <c r="D1822" t="s">
        <v>2943</v>
      </c>
      <c r="E1822" t="s">
        <v>3071</v>
      </c>
      <c r="F1822" s="3">
        <v>46294.01358155191</v>
      </c>
      <c r="G1822" s="3">
        <v>46294.018204816733</v>
      </c>
      <c r="H1822">
        <v>6.66</v>
      </c>
      <c r="I1822" t="s">
        <v>3150</v>
      </c>
      <c r="J1822" t="s">
        <v>3159</v>
      </c>
      <c r="K1822" t="s">
        <v>3178</v>
      </c>
      <c r="L1822" t="str">
        <f>_xlfn.XLOOKUP(C1822,[1]!Table1[Shift_ID],[1]!Table1[Shift_ID])</f>
        <v>S03</v>
      </c>
      <c r="M1822" t="str">
        <f>_xlfn.XLOOKUP(D1822,[2]!Table1[Machine_ID],[2]!Table1[Machine_ID])</f>
        <v>M002</v>
      </c>
      <c r="N1822" t="str">
        <f>_xlfn.XLOOKUP(E1822,[3]Sheet1!$A$2:$A$391,[3]Sheet1!$A$2:$A$391)</f>
        <v>PO10121</v>
      </c>
    </row>
    <row r="1823" spans="1:14" x14ac:dyDescent="0.2">
      <c r="A1823" t="s">
        <v>1832</v>
      </c>
      <c r="B1823" s="2">
        <v>46293</v>
      </c>
      <c r="C1823" t="s">
        <v>2939</v>
      </c>
      <c r="D1823" t="s">
        <v>2944</v>
      </c>
      <c r="E1823" t="s">
        <v>3071</v>
      </c>
      <c r="F1823" s="3">
        <v>46294.036295973172</v>
      </c>
      <c r="G1823" s="3">
        <v>46294.04087673773</v>
      </c>
      <c r="H1823">
        <v>6.6</v>
      </c>
      <c r="I1823" t="s">
        <v>3150</v>
      </c>
      <c r="J1823" t="s">
        <v>3160</v>
      </c>
      <c r="K1823" t="s">
        <v>3178</v>
      </c>
      <c r="L1823" t="str">
        <f>_xlfn.XLOOKUP(C1823,[1]!Table1[Shift_ID],[1]!Table1[Shift_ID])</f>
        <v>S03</v>
      </c>
      <c r="M1823" t="str">
        <f>_xlfn.XLOOKUP(D1823,[2]!Table1[Machine_ID],[2]!Table1[Machine_ID])</f>
        <v>M003</v>
      </c>
      <c r="N1823" t="str">
        <f>_xlfn.XLOOKUP(E1823,[3]Sheet1!$A$2:$A$391,[3]Sheet1!$A$2:$A$391)</f>
        <v>PO10121</v>
      </c>
    </row>
    <row r="1824" spans="1:14" x14ac:dyDescent="0.2">
      <c r="A1824" t="s">
        <v>1833</v>
      </c>
      <c r="B1824" s="2">
        <v>46293</v>
      </c>
      <c r="C1824" t="s">
        <v>2939</v>
      </c>
      <c r="D1824" t="s">
        <v>2944</v>
      </c>
      <c r="E1824" t="s">
        <v>3071</v>
      </c>
      <c r="F1824" s="3">
        <v>46294.063969273448</v>
      </c>
      <c r="G1824" s="3">
        <v>46294.071539903991</v>
      </c>
      <c r="H1824">
        <v>10.9</v>
      </c>
      <c r="I1824" t="s">
        <v>3148</v>
      </c>
      <c r="J1824" t="s">
        <v>3165</v>
      </c>
      <c r="K1824" t="s">
        <v>3183</v>
      </c>
      <c r="L1824" t="str">
        <f>_xlfn.XLOOKUP(C1824,[1]!Table1[Shift_ID],[1]!Table1[Shift_ID])</f>
        <v>S03</v>
      </c>
      <c r="M1824" t="str">
        <f>_xlfn.XLOOKUP(D1824,[2]!Table1[Machine_ID],[2]!Table1[Machine_ID])</f>
        <v>M003</v>
      </c>
      <c r="N1824" t="str">
        <f>_xlfn.XLOOKUP(E1824,[3]Sheet1!$A$2:$A$391,[3]Sheet1!$A$2:$A$391)</f>
        <v>PO10121</v>
      </c>
    </row>
    <row r="1825" spans="1:14" x14ac:dyDescent="0.2">
      <c r="A1825" t="s">
        <v>1834</v>
      </c>
      <c r="B1825" s="2">
        <v>46293</v>
      </c>
      <c r="C1825" t="s">
        <v>2939</v>
      </c>
      <c r="D1825" t="s">
        <v>2945</v>
      </c>
      <c r="E1825" t="s">
        <v>3071</v>
      </c>
      <c r="F1825" s="3">
        <v>46294.116464894571</v>
      </c>
      <c r="G1825" s="3">
        <v>46294.123981965589</v>
      </c>
      <c r="H1825">
        <v>10.82</v>
      </c>
      <c r="I1825" t="s">
        <v>3151</v>
      </c>
      <c r="J1825" t="s">
        <v>3161</v>
      </c>
      <c r="K1825" t="s">
        <v>3181</v>
      </c>
      <c r="L1825" t="str">
        <f>_xlfn.XLOOKUP(C1825,[1]!Table1[Shift_ID],[1]!Table1[Shift_ID])</f>
        <v>S03</v>
      </c>
      <c r="M1825" t="str">
        <f>_xlfn.XLOOKUP(D1825,[2]!Table1[Machine_ID],[2]!Table1[Machine_ID])</f>
        <v>M004</v>
      </c>
      <c r="N1825" t="str">
        <f>_xlfn.XLOOKUP(E1825,[3]Sheet1!$A$2:$A$391,[3]Sheet1!$A$2:$A$391)</f>
        <v>PO10121</v>
      </c>
    </row>
    <row r="1826" spans="1:14" x14ac:dyDescent="0.2">
      <c r="A1826" t="s">
        <v>1835</v>
      </c>
      <c r="B1826" s="2">
        <v>46293</v>
      </c>
      <c r="C1826" t="s">
        <v>2939</v>
      </c>
      <c r="D1826" t="s">
        <v>2946</v>
      </c>
      <c r="E1826" t="s">
        <v>3071</v>
      </c>
      <c r="F1826" s="3">
        <v>46293.988473883423</v>
      </c>
      <c r="G1826" s="3">
        <v>46293.993880944399</v>
      </c>
      <c r="H1826">
        <v>7.79</v>
      </c>
      <c r="I1826" t="s">
        <v>3149</v>
      </c>
      <c r="J1826" t="s">
        <v>3162</v>
      </c>
      <c r="K1826" t="s">
        <v>3182</v>
      </c>
      <c r="L1826" t="str">
        <f>_xlfn.XLOOKUP(C1826,[1]!Table1[Shift_ID],[1]!Table1[Shift_ID])</f>
        <v>S03</v>
      </c>
      <c r="M1826" t="str">
        <f>_xlfn.XLOOKUP(D1826,[2]!Table1[Machine_ID],[2]!Table1[Machine_ID])</f>
        <v>M005</v>
      </c>
      <c r="N1826" t="str">
        <f>_xlfn.XLOOKUP(E1826,[3]Sheet1!$A$2:$A$391,[3]Sheet1!$A$2:$A$391)</f>
        <v>PO10121</v>
      </c>
    </row>
    <row r="1827" spans="1:14" x14ac:dyDescent="0.2">
      <c r="A1827" t="s">
        <v>1836</v>
      </c>
      <c r="B1827" s="2">
        <v>46293</v>
      </c>
      <c r="C1827" t="s">
        <v>2939</v>
      </c>
      <c r="D1827" t="s">
        <v>2946</v>
      </c>
      <c r="E1827" t="s">
        <v>3071</v>
      </c>
      <c r="F1827" s="3">
        <v>46294.061550638777</v>
      </c>
      <c r="G1827" s="3">
        <v>46294.064137437686</v>
      </c>
      <c r="H1827">
        <v>3.72</v>
      </c>
      <c r="I1827" t="s">
        <v>3150</v>
      </c>
      <c r="J1827" t="s">
        <v>3166</v>
      </c>
      <c r="K1827" t="s">
        <v>3177</v>
      </c>
      <c r="L1827" t="str">
        <f>_xlfn.XLOOKUP(C1827,[1]!Table1[Shift_ID],[1]!Table1[Shift_ID])</f>
        <v>S03</v>
      </c>
      <c r="M1827" t="str">
        <f>_xlfn.XLOOKUP(D1827,[2]!Table1[Machine_ID],[2]!Table1[Machine_ID])</f>
        <v>M005</v>
      </c>
      <c r="N1827" t="str">
        <f>_xlfn.XLOOKUP(E1827,[3]Sheet1!$A$2:$A$391,[3]Sheet1!$A$2:$A$391)</f>
        <v>PO10121</v>
      </c>
    </row>
    <row r="1828" spans="1:14" x14ac:dyDescent="0.2">
      <c r="A1828" t="s">
        <v>1837</v>
      </c>
      <c r="B1828" s="2">
        <v>46293</v>
      </c>
      <c r="C1828" t="s">
        <v>2939</v>
      </c>
      <c r="D1828" t="s">
        <v>2947</v>
      </c>
      <c r="E1828" t="s">
        <v>3071</v>
      </c>
      <c r="F1828" s="3">
        <v>46293.944618835638</v>
      </c>
      <c r="G1828" s="3">
        <v>46293.95271558081</v>
      </c>
      <c r="H1828">
        <v>11.66</v>
      </c>
      <c r="I1828" t="s">
        <v>3149</v>
      </c>
      <c r="J1828" t="s">
        <v>3168</v>
      </c>
      <c r="K1828" t="s">
        <v>3184</v>
      </c>
      <c r="L1828" t="str">
        <f>_xlfn.XLOOKUP(C1828,[1]!Table1[Shift_ID],[1]!Table1[Shift_ID])</f>
        <v>S03</v>
      </c>
      <c r="M1828" t="str">
        <f>_xlfn.XLOOKUP(D1828,[2]!Table1[Machine_ID],[2]!Table1[Machine_ID])</f>
        <v>M006</v>
      </c>
      <c r="N1828" t="str">
        <f>_xlfn.XLOOKUP(E1828,[3]Sheet1!$A$2:$A$391,[3]Sheet1!$A$2:$A$391)</f>
        <v>PO10121</v>
      </c>
    </row>
    <row r="1829" spans="1:14" x14ac:dyDescent="0.2">
      <c r="A1829" t="s">
        <v>1838</v>
      </c>
      <c r="B1829" s="2">
        <v>46293</v>
      </c>
      <c r="C1829" t="s">
        <v>2939</v>
      </c>
      <c r="D1829" t="s">
        <v>2947</v>
      </c>
      <c r="E1829" t="s">
        <v>3071</v>
      </c>
      <c r="F1829" s="3">
        <v>46294.040380429258</v>
      </c>
      <c r="G1829" s="3">
        <v>46294.048725138528</v>
      </c>
      <c r="H1829">
        <v>12.02</v>
      </c>
      <c r="I1829" t="s">
        <v>3149</v>
      </c>
      <c r="J1829" t="s">
        <v>3168</v>
      </c>
      <c r="K1829" t="s">
        <v>3182</v>
      </c>
      <c r="L1829" t="str">
        <f>_xlfn.XLOOKUP(C1829,[1]!Table1[Shift_ID],[1]!Table1[Shift_ID])</f>
        <v>S03</v>
      </c>
      <c r="M1829" t="str">
        <f>_xlfn.XLOOKUP(D1829,[2]!Table1[Machine_ID],[2]!Table1[Machine_ID])</f>
        <v>M006</v>
      </c>
      <c r="N1829" t="str">
        <f>_xlfn.XLOOKUP(E1829,[3]Sheet1!$A$2:$A$391,[3]Sheet1!$A$2:$A$391)</f>
        <v>PO10121</v>
      </c>
    </row>
    <row r="1830" spans="1:14" x14ac:dyDescent="0.2">
      <c r="A1830" t="s">
        <v>1839</v>
      </c>
      <c r="B1830" s="2">
        <v>46293</v>
      </c>
      <c r="C1830" t="s">
        <v>2939</v>
      </c>
      <c r="D1830" t="s">
        <v>2947</v>
      </c>
      <c r="E1830" t="s">
        <v>3071</v>
      </c>
      <c r="F1830" s="3">
        <v>46294.074774502013</v>
      </c>
      <c r="G1830" s="3">
        <v>46294.076694898649</v>
      </c>
      <c r="H1830">
        <v>2.77</v>
      </c>
      <c r="I1830" t="s">
        <v>3149</v>
      </c>
      <c r="J1830" t="s">
        <v>3168</v>
      </c>
      <c r="K1830" t="s">
        <v>3184</v>
      </c>
      <c r="L1830" t="str">
        <f>_xlfn.XLOOKUP(C1830,[1]!Table1[Shift_ID],[1]!Table1[Shift_ID])</f>
        <v>S03</v>
      </c>
      <c r="M1830" t="str">
        <f>_xlfn.XLOOKUP(D1830,[2]!Table1[Machine_ID],[2]!Table1[Machine_ID])</f>
        <v>M006</v>
      </c>
      <c r="N1830" t="str">
        <f>_xlfn.XLOOKUP(E1830,[3]Sheet1!$A$2:$A$391,[3]Sheet1!$A$2:$A$391)</f>
        <v>PO10121</v>
      </c>
    </row>
    <row r="1831" spans="1:14" x14ac:dyDescent="0.2">
      <c r="A1831" t="s">
        <v>1840</v>
      </c>
      <c r="B1831" s="2">
        <v>46293</v>
      </c>
      <c r="C1831" t="s">
        <v>2939</v>
      </c>
      <c r="D1831" t="s">
        <v>2947</v>
      </c>
      <c r="E1831" t="s">
        <v>3071</v>
      </c>
      <c r="F1831" s="3">
        <v>46294.137702436426</v>
      </c>
      <c r="G1831" s="3">
        <v>46294.139762165709</v>
      </c>
      <c r="H1831">
        <v>2.97</v>
      </c>
      <c r="I1831" t="s">
        <v>3147</v>
      </c>
      <c r="J1831" t="s">
        <v>3153</v>
      </c>
      <c r="K1831" t="s">
        <v>3172</v>
      </c>
      <c r="L1831" t="str">
        <f>_xlfn.XLOOKUP(C1831,[1]!Table1[Shift_ID],[1]!Table1[Shift_ID])</f>
        <v>S03</v>
      </c>
      <c r="M1831" t="str">
        <f>_xlfn.XLOOKUP(D1831,[2]!Table1[Machine_ID],[2]!Table1[Machine_ID])</f>
        <v>M006</v>
      </c>
      <c r="N1831" t="str">
        <f>_xlfn.XLOOKUP(E1831,[3]Sheet1!$A$2:$A$391,[3]Sheet1!$A$2:$A$391)</f>
        <v>PO10121</v>
      </c>
    </row>
    <row r="1832" spans="1:14" x14ac:dyDescent="0.2">
      <c r="A1832" t="s">
        <v>1841</v>
      </c>
      <c r="B1832" s="2">
        <v>46293</v>
      </c>
      <c r="C1832" t="s">
        <v>2939</v>
      </c>
      <c r="D1832" t="s">
        <v>2947</v>
      </c>
      <c r="E1832" t="s">
        <v>3071</v>
      </c>
      <c r="F1832" s="3">
        <v>46294.20761461139</v>
      </c>
      <c r="G1832" s="3">
        <v>46294.210791655343</v>
      </c>
      <c r="H1832">
        <v>4.57</v>
      </c>
      <c r="I1832" t="s">
        <v>3149</v>
      </c>
      <c r="J1832" t="s">
        <v>3168</v>
      </c>
      <c r="K1832" t="s">
        <v>3176</v>
      </c>
      <c r="L1832" t="str">
        <f>_xlfn.XLOOKUP(C1832,[1]!Table1[Shift_ID],[1]!Table1[Shift_ID])</f>
        <v>S03</v>
      </c>
      <c r="M1832" t="str">
        <f>_xlfn.XLOOKUP(D1832,[2]!Table1[Machine_ID],[2]!Table1[Machine_ID])</f>
        <v>M006</v>
      </c>
      <c r="N1832" t="str">
        <f>_xlfn.XLOOKUP(E1832,[3]Sheet1!$A$2:$A$391,[3]Sheet1!$A$2:$A$391)</f>
        <v>PO10121</v>
      </c>
    </row>
    <row r="1833" spans="1:14" x14ac:dyDescent="0.2">
      <c r="A1833" t="s">
        <v>1842</v>
      </c>
      <c r="B1833" s="2">
        <v>46293</v>
      </c>
      <c r="C1833" t="s">
        <v>2939</v>
      </c>
      <c r="D1833" t="s">
        <v>2948</v>
      </c>
      <c r="E1833" t="s">
        <v>3071</v>
      </c>
      <c r="F1833" s="3">
        <v>46293.981809851379</v>
      </c>
      <c r="G1833" s="3">
        <v>46293.995827393672</v>
      </c>
      <c r="H1833">
        <v>20.190000000000001</v>
      </c>
      <c r="I1833" t="s">
        <v>3149</v>
      </c>
      <c r="J1833" t="s">
        <v>3162</v>
      </c>
      <c r="K1833" t="s">
        <v>3182</v>
      </c>
      <c r="L1833" t="str">
        <f>_xlfn.XLOOKUP(C1833,[1]!Table1[Shift_ID],[1]!Table1[Shift_ID])</f>
        <v>S03</v>
      </c>
      <c r="M1833" t="str">
        <f>_xlfn.XLOOKUP(D1833,[2]!Table1[Machine_ID],[2]!Table1[Machine_ID])</f>
        <v>M007</v>
      </c>
      <c r="N1833" t="str">
        <f>_xlfn.XLOOKUP(E1833,[3]Sheet1!$A$2:$A$391,[3]Sheet1!$A$2:$A$391)</f>
        <v>PO10121</v>
      </c>
    </row>
    <row r="1834" spans="1:14" x14ac:dyDescent="0.2">
      <c r="A1834" t="s">
        <v>1843</v>
      </c>
      <c r="B1834" s="2">
        <v>46293</v>
      </c>
      <c r="C1834" t="s">
        <v>2939</v>
      </c>
      <c r="D1834" t="s">
        <v>2949</v>
      </c>
      <c r="E1834" t="s">
        <v>3071</v>
      </c>
      <c r="F1834" s="3">
        <v>46294.075167274546</v>
      </c>
      <c r="G1834" s="3">
        <v>46294.081985482757</v>
      </c>
      <c r="H1834">
        <v>9.82</v>
      </c>
      <c r="I1834" t="s">
        <v>3148</v>
      </c>
      <c r="J1834" t="s">
        <v>3164</v>
      </c>
      <c r="K1834" t="s">
        <v>3173</v>
      </c>
      <c r="L1834" t="str">
        <f>_xlfn.XLOOKUP(C1834,[1]!Table1[Shift_ID],[1]!Table1[Shift_ID])</f>
        <v>S03</v>
      </c>
      <c r="M1834" t="str">
        <f>_xlfn.XLOOKUP(D1834,[2]!Table1[Machine_ID],[2]!Table1[Machine_ID])</f>
        <v>M008</v>
      </c>
      <c r="N1834" t="str">
        <f>_xlfn.XLOOKUP(E1834,[3]Sheet1!$A$2:$A$391,[3]Sheet1!$A$2:$A$391)</f>
        <v>PO10121</v>
      </c>
    </row>
    <row r="1835" spans="1:14" x14ac:dyDescent="0.2">
      <c r="A1835" t="s">
        <v>1844</v>
      </c>
      <c r="B1835" s="2">
        <v>46293</v>
      </c>
      <c r="C1835" t="s">
        <v>2940</v>
      </c>
      <c r="D1835" t="s">
        <v>2942</v>
      </c>
      <c r="E1835" t="s">
        <v>3072</v>
      </c>
      <c r="F1835" s="3">
        <v>46293.56968659757</v>
      </c>
      <c r="G1835" s="3">
        <v>46293.575213690659</v>
      </c>
      <c r="H1835">
        <v>7.96</v>
      </c>
      <c r="I1835" t="s">
        <v>3147</v>
      </c>
      <c r="J1835" t="s">
        <v>3153</v>
      </c>
      <c r="K1835" t="s">
        <v>3185</v>
      </c>
      <c r="L1835" t="str">
        <f>_xlfn.XLOOKUP(C1835,[1]!Table1[Shift_ID],[1]!Table1[Shift_ID])</f>
        <v>S01</v>
      </c>
      <c r="M1835" t="str">
        <f>_xlfn.XLOOKUP(D1835,[2]!Table1[Machine_ID],[2]!Table1[Machine_ID])</f>
        <v>M001</v>
      </c>
      <c r="N1835" t="str">
        <f>_xlfn.XLOOKUP(E1835,[3]Sheet1!$A$2:$A$391,[3]Sheet1!$A$2:$A$391)</f>
        <v>PO10122</v>
      </c>
    </row>
    <row r="1836" spans="1:14" x14ac:dyDescent="0.2">
      <c r="A1836" t="s">
        <v>1845</v>
      </c>
      <c r="B1836" s="2">
        <v>46293</v>
      </c>
      <c r="C1836" t="s">
        <v>2940</v>
      </c>
      <c r="D1836" t="s">
        <v>2943</v>
      </c>
      <c r="E1836" t="s">
        <v>3072</v>
      </c>
      <c r="F1836" s="3">
        <v>46293.272216793761</v>
      </c>
      <c r="G1836" s="3">
        <v>46293.279672416887</v>
      </c>
      <c r="H1836">
        <v>10.74</v>
      </c>
      <c r="I1836" t="s">
        <v>3147</v>
      </c>
      <c r="J1836" t="s">
        <v>3153</v>
      </c>
      <c r="K1836" t="s">
        <v>3186</v>
      </c>
      <c r="L1836" t="str">
        <f>_xlfn.XLOOKUP(C1836,[1]!Table1[Shift_ID],[1]!Table1[Shift_ID])</f>
        <v>S01</v>
      </c>
      <c r="M1836" t="str">
        <f>_xlfn.XLOOKUP(D1836,[2]!Table1[Machine_ID],[2]!Table1[Machine_ID])</f>
        <v>M002</v>
      </c>
      <c r="N1836" t="str">
        <f>_xlfn.XLOOKUP(E1836,[3]Sheet1!$A$2:$A$391,[3]Sheet1!$A$2:$A$391)</f>
        <v>PO10122</v>
      </c>
    </row>
    <row r="1837" spans="1:14" x14ac:dyDescent="0.2">
      <c r="A1837" t="s">
        <v>1846</v>
      </c>
      <c r="B1837" s="2">
        <v>46293</v>
      </c>
      <c r="C1837" t="s">
        <v>2940</v>
      </c>
      <c r="D1837" t="s">
        <v>2944</v>
      </c>
      <c r="E1837" t="s">
        <v>3072</v>
      </c>
      <c r="F1837" s="3">
        <v>46293.386820990461</v>
      </c>
      <c r="G1837" s="3">
        <v>46293.400017663298</v>
      </c>
      <c r="H1837">
        <v>19</v>
      </c>
      <c r="I1837" t="s">
        <v>3150</v>
      </c>
      <c r="J1837" t="s">
        <v>3159</v>
      </c>
      <c r="K1837" t="s">
        <v>3178</v>
      </c>
      <c r="L1837" t="str">
        <f>_xlfn.XLOOKUP(C1837,[1]!Table1[Shift_ID],[1]!Table1[Shift_ID])</f>
        <v>S01</v>
      </c>
      <c r="M1837" t="str">
        <f>_xlfn.XLOOKUP(D1837,[2]!Table1[Machine_ID],[2]!Table1[Machine_ID])</f>
        <v>M003</v>
      </c>
      <c r="N1837" t="str">
        <f>_xlfn.XLOOKUP(E1837,[3]Sheet1!$A$2:$A$391,[3]Sheet1!$A$2:$A$391)</f>
        <v>PO10122</v>
      </c>
    </row>
    <row r="1838" spans="1:14" x14ac:dyDescent="0.2">
      <c r="A1838" t="s">
        <v>1847</v>
      </c>
      <c r="B1838" s="2">
        <v>46293</v>
      </c>
      <c r="C1838" t="s">
        <v>2940</v>
      </c>
      <c r="D1838" t="s">
        <v>2945</v>
      </c>
      <c r="E1838" t="s">
        <v>3072</v>
      </c>
      <c r="F1838" s="3">
        <v>46293.326474679598</v>
      </c>
      <c r="G1838" s="3">
        <v>46293.328616673993</v>
      </c>
      <c r="H1838">
        <v>3.08</v>
      </c>
      <c r="I1838" t="s">
        <v>3146</v>
      </c>
      <c r="J1838" t="s">
        <v>3157</v>
      </c>
      <c r="K1838" t="s">
        <v>3171</v>
      </c>
      <c r="L1838" t="str">
        <f>_xlfn.XLOOKUP(C1838,[1]!Table1[Shift_ID],[1]!Table1[Shift_ID])</f>
        <v>S01</v>
      </c>
      <c r="M1838" t="str">
        <f>_xlfn.XLOOKUP(D1838,[2]!Table1[Machine_ID],[2]!Table1[Machine_ID])</f>
        <v>M004</v>
      </c>
      <c r="N1838" t="str">
        <f>_xlfn.XLOOKUP(E1838,[3]Sheet1!$A$2:$A$391,[3]Sheet1!$A$2:$A$391)</f>
        <v>PO10122</v>
      </c>
    </row>
    <row r="1839" spans="1:14" x14ac:dyDescent="0.2">
      <c r="A1839" t="s">
        <v>1848</v>
      </c>
      <c r="B1839" s="2">
        <v>46293</v>
      </c>
      <c r="C1839" t="s">
        <v>2940</v>
      </c>
      <c r="D1839" t="s">
        <v>2945</v>
      </c>
      <c r="E1839" t="s">
        <v>3072</v>
      </c>
      <c r="F1839" s="3">
        <v>46293.409548005082</v>
      </c>
      <c r="G1839" s="3">
        <v>46293.412129451041</v>
      </c>
      <c r="H1839">
        <v>3.72</v>
      </c>
      <c r="I1839" t="s">
        <v>3149</v>
      </c>
      <c r="J1839" t="s">
        <v>3168</v>
      </c>
      <c r="K1839" t="s">
        <v>3184</v>
      </c>
      <c r="L1839" t="str">
        <f>_xlfn.XLOOKUP(C1839,[1]!Table1[Shift_ID],[1]!Table1[Shift_ID])</f>
        <v>S01</v>
      </c>
      <c r="M1839" t="str">
        <f>_xlfn.XLOOKUP(D1839,[2]!Table1[Machine_ID],[2]!Table1[Machine_ID])</f>
        <v>M004</v>
      </c>
      <c r="N1839" t="str">
        <f>_xlfn.XLOOKUP(E1839,[3]Sheet1!$A$2:$A$391,[3]Sheet1!$A$2:$A$391)</f>
        <v>PO10122</v>
      </c>
    </row>
    <row r="1840" spans="1:14" x14ac:dyDescent="0.2">
      <c r="A1840" t="s">
        <v>1849</v>
      </c>
      <c r="B1840" s="2">
        <v>46293</v>
      </c>
      <c r="C1840" t="s">
        <v>2940</v>
      </c>
      <c r="D1840" t="s">
        <v>2945</v>
      </c>
      <c r="E1840" t="s">
        <v>3072</v>
      </c>
      <c r="F1840" s="3">
        <v>46293.530498354397</v>
      </c>
      <c r="G1840" s="3">
        <v>46293.532303669403</v>
      </c>
      <c r="H1840">
        <v>2.6</v>
      </c>
      <c r="I1840" t="s">
        <v>3147</v>
      </c>
      <c r="J1840" t="s">
        <v>3153</v>
      </c>
      <c r="K1840" t="s">
        <v>3185</v>
      </c>
      <c r="L1840" t="str">
        <f>_xlfn.XLOOKUP(C1840,[1]!Table1[Shift_ID],[1]!Table1[Shift_ID])</f>
        <v>S01</v>
      </c>
      <c r="M1840" t="str">
        <f>_xlfn.XLOOKUP(D1840,[2]!Table1[Machine_ID],[2]!Table1[Machine_ID])</f>
        <v>M004</v>
      </c>
      <c r="N1840" t="str">
        <f>_xlfn.XLOOKUP(E1840,[3]Sheet1!$A$2:$A$391,[3]Sheet1!$A$2:$A$391)</f>
        <v>PO10122</v>
      </c>
    </row>
    <row r="1841" spans="1:14" x14ac:dyDescent="0.2">
      <c r="A1841" t="s">
        <v>1850</v>
      </c>
      <c r="B1841" s="2">
        <v>46293</v>
      </c>
      <c r="C1841" t="s">
        <v>2940</v>
      </c>
      <c r="D1841" t="s">
        <v>2946</v>
      </c>
      <c r="E1841" t="s">
        <v>3072</v>
      </c>
      <c r="F1841" s="3">
        <v>46293.45501694236</v>
      </c>
      <c r="G1841" s="3">
        <v>46293.456770353187</v>
      </c>
      <c r="H1841">
        <v>2.52</v>
      </c>
      <c r="I1841" t="s">
        <v>3146</v>
      </c>
      <c r="J1841" t="s">
        <v>3157</v>
      </c>
      <c r="K1841" t="s">
        <v>3171</v>
      </c>
      <c r="L1841" t="str">
        <f>_xlfn.XLOOKUP(C1841,[1]!Table1[Shift_ID],[1]!Table1[Shift_ID])</f>
        <v>S01</v>
      </c>
      <c r="M1841" t="str">
        <f>_xlfn.XLOOKUP(D1841,[2]!Table1[Machine_ID],[2]!Table1[Machine_ID])</f>
        <v>M005</v>
      </c>
      <c r="N1841" t="str">
        <f>_xlfn.XLOOKUP(E1841,[3]Sheet1!$A$2:$A$391,[3]Sheet1!$A$2:$A$391)</f>
        <v>PO10122</v>
      </c>
    </row>
    <row r="1842" spans="1:14" x14ac:dyDescent="0.2">
      <c r="A1842" t="s">
        <v>1851</v>
      </c>
      <c r="B1842" s="2">
        <v>46293</v>
      </c>
      <c r="C1842" t="s">
        <v>2940</v>
      </c>
      <c r="D1842" t="s">
        <v>2946</v>
      </c>
      <c r="E1842" t="s">
        <v>3072</v>
      </c>
      <c r="F1842" s="3">
        <v>46293.480338000612</v>
      </c>
      <c r="G1842" s="3">
        <v>46293.485097019962</v>
      </c>
      <c r="H1842">
        <v>6.85</v>
      </c>
      <c r="I1842" t="s">
        <v>3147</v>
      </c>
      <c r="J1842" t="s">
        <v>3167</v>
      </c>
      <c r="K1842" t="s">
        <v>3172</v>
      </c>
      <c r="L1842" t="str">
        <f>_xlfn.XLOOKUP(C1842,[1]!Table1[Shift_ID],[1]!Table1[Shift_ID])</f>
        <v>S01</v>
      </c>
      <c r="M1842" t="str">
        <f>_xlfn.XLOOKUP(D1842,[2]!Table1[Machine_ID],[2]!Table1[Machine_ID])</f>
        <v>M005</v>
      </c>
      <c r="N1842" t="str">
        <f>_xlfn.XLOOKUP(E1842,[3]Sheet1!$A$2:$A$391,[3]Sheet1!$A$2:$A$391)</f>
        <v>PO10122</v>
      </c>
    </row>
    <row r="1843" spans="1:14" x14ac:dyDescent="0.2">
      <c r="A1843" t="s">
        <v>1852</v>
      </c>
      <c r="B1843" s="2">
        <v>46293</v>
      </c>
      <c r="C1843" t="s">
        <v>2940</v>
      </c>
      <c r="D1843" t="s">
        <v>2946</v>
      </c>
      <c r="E1843" t="s">
        <v>3072</v>
      </c>
      <c r="F1843" s="3">
        <v>46293.514276567053</v>
      </c>
      <c r="G1843" s="3">
        <v>46293.51602997788</v>
      </c>
      <c r="H1843">
        <v>2.52</v>
      </c>
      <c r="I1843" t="s">
        <v>3150</v>
      </c>
      <c r="J1843" t="s">
        <v>3160</v>
      </c>
      <c r="K1843" t="s">
        <v>3178</v>
      </c>
      <c r="L1843" t="str">
        <f>_xlfn.XLOOKUP(C1843,[1]!Table1[Shift_ID],[1]!Table1[Shift_ID])</f>
        <v>S01</v>
      </c>
      <c r="M1843" t="str">
        <f>_xlfn.XLOOKUP(D1843,[2]!Table1[Machine_ID],[2]!Table1[Machine_ID])</f>
        <v>M005</v>
      </c>
      <c r="N1843" t="str">
        <f>_xlfn.XLOOKUP(E1843,[3]Sheet1!$A$2:$A$391,[3]Sheet1!$A$2:$A$391)</f>
        <v>PO10122</v>
      </c>
    </row>
    <row r="1844" spans="1:14" x14ac:dyDescent="0.2">
      <c r="A1844" t="s">
        <v>1853</v>
      </c>
      <c r="B1844" s="2">
        <v>46293</v>
      </c>
      <c r="C1844" t="s">
        <v>2940</v>
      </c>
      <c r="D1844" t="s">
        <v>2946</v>
      </c>
      <c r="E1844" t="s">
        <v>3072</v>
      </c>
      <c r="F1844" s="3">
        <v>46293.555269358621</v>
      </c>
      <c r="G1844" s="3">
        <v>46293.557022769448</v>
      </c>
      <c r="H1844">
        <v>2.52</v>
      </c>
      <c r="I1844" t="s">
        <v>3150</v>
      </c>
      <c r="J1844" t="s">
        <v>3163</v>
      </c>
      <c r="K1844" t="s">
        <v>3178</v>
      </c>
      <c r="L1844" t="str">
        <f>_xlfn.XLOOKUP(C1844,[1]!Table1[Shift_ID],[1]!Table1[Shift_ID])</f>
        <v>S01</v>
      </c>
      <c r="M1844" t="str">
        <f>_xlfn.XLOOKUP(D1844,[2]!Table1[Machine_ID],[2]!Table1[Machine_ID])</f>
        <v>M005</v>
      </c>
      <c r="N1844" t="str">
        <f>_xlfn.XLOOKUP(E1844,[3]Sheet1!$A$2:$A$391,[3]Sheet1!$A$2:$A$391)</f>
        <v>PO10122</v>
      </c>
    </row>
    <row r="1845" spans="1:14" x14ac:dyDescent="0.2">
      <c r="A1845" t="s">
        <v>1854</v>
      </c>
      <c r="B1845" s="2">
        <v>46293</v>
      </c>
      <c r="C1845" t="s">
        <v>2940</v>
      </c>
      <c r="D1845" t="s">
        <v>2947</v>
      </c>
      <c r="E1845" t="s">
        <v>3072</v>
      </c>
      <c r="F1845" s="3">
        <v>46293.322281834582</v>
      </c>
      <c r="G1845" s="3">
        <v>46293.338602013268</v>
      </c>
      <c r="H1845">
        <v>23.5</v>
      </c>
      <c r="I1845" t="s">
        <v>3150</v>
      </c>
      <c r="J1845" t="s">
        <v>3166</v>
      </c>
      <c r="K1845" t="s">
        <v>3179</v>
      </c>
      <c r="L1845" t="str">
        <f>_xlfn.XLOOKUP(C1845,[1]!Table1[Shift_ID],[1]!Table1[Shift_ID])</f>
        <v>S01</v>
      </c>
      <c r="M1845" t="str">
        <f>_xlfn.XLOOKUP(D1845,[2]!Table1[Machine_ID],[2]!Table1[Machine_ID])</f>
        <v>M006</v>
      </c>
      <c r="N1845" t="str">
        <f>_xlfn.XLOOKUP(E1845,[3]Sheet1!$A$2:$A$391,[3]Sheet1!$A$2:$A$391)</f>
        <v>PO10122</v>
      </c>
    </row>
    <row r="1846" spans="1:14" x14ac:dyDescent="0.2">
      <c r="A1846" t="s">
        <v>1855</v>
      </c>
      <c r="B1846" s="2">
        <v>46293</v>
      </c>
      <c r="C1846" t="s">
        <v>2940</v>
      </c>
      <c r="D1846" t="s">
        <v>2947</v>
      </c>
      <c r="E1846" t="s">
        <v>3072</v>
      </c>
      <c r="F1846" s="3">
        <v>46293.352516733226</v>
      </c>
      <c r="G1846" s="3">
        <v>46293.354520523353</v>
      </c>
      <c r="H1846">
        <v>2.89</v>
      </c>
      <c r="I1846" t="s">
        <v>3148</v>
      </c>
      <c r="J1846" t="s">
        <v>3155</v>
      </c>
      <c r="K1846" t="s">
        <v>3173</v>
      </c>
      <c r="L1846" t="str">
        <f>_xlfn.XLOOKUP(C1846,[1]!Table1[Shift_ID],[1]!Table1[Shift_ID])</f>
        <v>S01</v>
      </c>
      <c r="M1846" t="str">
        <f>_xlfn.XLOOKUP(D1846,[2]!Table1[Machine_ID],[2]!Table1[Machine_ID])</f>
        <v>M006</v>
      </c>
      <c r="N1846" t="str">
        <f>_xlfn.XLOOKUP(E1846,[3]Sheet1!$A$2:$A$391,[3]Sheet1!$A$2:$A$391)</f>
        <v>PO10122</v>
      </c>
    </row>
    <row r="1847" spans="1:14" x14ac:dyDescent="0.2">
      <c r="A1847" t="s">
        <v>1856</v>
      </c>
      <c r="B1847" s="2">
        <v>46293</v>
      </c>
      <c r="C1847" t="s">
        <v>2940</v>
      </c>
      <c r="D1847" t="s">
        <v>2947</v>
      </c>
      <c r="E1847" t="s">
        <v>3072</v>
      </c>
      <c r="F1847" s="3">
        <v>46293.529311029517</v>
      </c>
      <c r="G1847" s="3">
        <v>46293.541516842473</v>
      </c>
      <c r="H1847">
        <v>17.579999999999998</v>
      </c>
      <c r="I1847" t="s">
        <v>3148</v>
      </c>
      <c r="J1847" t="s">
        <v>3155</v>
      </c>
      <c r="K1847" t="s">
        <v>3180</v>
      </c>
      <c r="L1847" t="str">
        <f>_xlfn.XLOOKUP(C1847,[1]!Table1[Shift_ID],[1]!Table1[Shift_ID])</f>
        <v>S01</v>
      </c>
      <c r="M1847" t="str">
        <f>_xlfn.XLOOKUP(D1847,[2]!Table1[Machine_ID],[2]!Table1[Machine_ID])</f>
        <v>M006</v>
      </c>
      <c r="N1847" t="str">
        <f>_xlfn.XLOOKUP(E1847,[3]Sheet1!$A$2:$A$391,[3]Sheet1!$A$2:$A$391)</f>
        <v>PO10122</v>
      </c>
    </row>
    <row r="1848" spans="1:14" x14ac:dyDescent="0.2">
      <c r="A1848" t="s">
        <v>1857</v>
      </c>
      <c r="B1848" s="2">
        <v>46293</v>
      </c>
      <c r="C1848" t="s">
        <v>2940</v>
      </c>
      <c r="D1848" t="s">
        <v>2948</v>
      </c>
      <c r="E1848" t="s">
        <v>3072</v>
      </c>
      <c r="F1848" s="3">
        <v>46293.323850797693</v>
      </c>
      <c r="G1848" s="3">
        <v>46293.338103467693</v>
      </c>
      <c r="H1848">
        <v>20.52</v>
      </c>
      <c r="I1848" t="s">
        <v>3147</v>
      </c>
      <c r="J1848" t="s">
        <v>3154</v>
      </c>
      <c r="K1848" t="s">
        <v>3186</v>
      </c>
      <c r="L1848" t="str">
        <f>_xlfn.XLOOKUP(C1848,[1]!Table1[Shift_ID],[1]!Table1[Shift_ID])</f>
        <v>S01</v>
      </c>
      <c r="M1848" t="str">
        <f>_xlfn.XLOOKUP(D1848,[2]!Table1[Machine_ID],[2]!Table1[Machine_ID])</f>
        <v>M007</v>
      </c>
      <c r="N1848" t="str">
        <f>_xlfn.XLOOKUP(E1848,[3]Sheet1!$A$2:$A$391,[3]Sheet1!$A$2:$A$391)</f>
        <v>PO10122</v>
      </c>
    </row>
    <row r="1849" spans="1:14" x14ac:dyDescent="0.2">
      <c r="A1849" t="s">
        <v>1858</v>
      </c>
      <c r="B1849" s="2">
        <v>46293</v>
      </c>
      <c r="C1849" t="s">
        <v>2940</v>
      </c>
      <c r="D1849" t="s">
        <v>2948</v>
      </c>
      <c r="E1849" t="s">
        <v>3072</v>
      </c>
      <c r="F1849" s="3">
        <v>46293.568826208197</v>
      </c>
      <c r="G1849" s="3">
        <v>46293.572711832763</v>
      </c>
      <c r="H1849">
        <v>5.6</v>
      </c>
      <c r="I1849" t="s">
        <v>3147</v>
      </c>
      <c r="J1849" t="s">
        <v>3167</v>
      </c>
      <c r="K1849" t="s">
        <v>3186</v>
      </c>
      <c r="L1849" t="str">
        <f>_xlfn.XLOOKUP(C1849,[1]!Table1[Shift_ID],[1]!Table1[Shift_ID])</f>
        <v>S01</v>
      </c>
      <c r="M1849" t="str">
        <f>_xlfn.XLOOKUP(D1849,[2]!Table1[Machine_ID],[2]!Table1[Machine_ID])</f>
        <v>M007</v>
      </c>
      <c r="N1849" t="str">
        <f>_xlfn.XLOOKUP(E1849,[3]Sheet1!$A$2:$A$391,[3]Sheet1!$A$2:$A$391)</f>
        <v>PO10122</v>
      </c>
    </row>
    <row r="1850" spans="1:14" x14ac:dyDescent="0.2">
      <c r="A1850" t="s">
        <v>1859</v>
      </c>
      <c r="B1850" s="2">
        <v>46293</v>
      </c>
      <c r="C1850" t="s">
        <v>2940</v>
      </c>
      <c r="D1850" t="s">
        <v>2949</v>
      </c>
      <c r="E1850" t="s">
        <v>3072</v>
      </c>
      <c r="F1850" s="3">
        <v>46293.521123189043</v>
      </c>
      <c r="G1850" s="3">
        <v>46293.528581713981</v>
      </c>
      <c r="H1850">
        <v>10.74</v>
      </c>
      <c r="I1850" t="s">
        <v>3148</v>
      </c>
      <c r="J1850" t="s">
        <v>3164</v>
      </c>
      <c r="K1850" t="s">
        <v>3180</v>
      </c>
      <c r="L1850" t="str">
        <f>_xlfn.XLOOKUP(C1850,[1]!Table1[Shift_ID],[1]!Table1[Shift_ID])</f>
        <v>S01</v>
      </c>
      <c r="M1850" t="str">
        <f>_xlfn.XLOOKUP(D1850,[2]!Table1[Machine_ID],[2]!Table1[Machine_ID])</f>
        <v>M008</v>
      </c>
      <c r="N1850" t="str">
        <f>_xlfn.XLOOKUP(E1850,[3]Sheet1!$A$2:$A$391,[3]Sheet1!$A$2:$A$391)</f>
        <v>PO10122</v>
      </c>
    </row>
    <row r="1851" spans="1:14" x14ac:dyDescent="0.2">
      <c r="A1851" t="s">
        <v>1860</v>
      </c>
      <c r="B1851" s="2">
        <v>46293</v>
      </c>
      <c r="C1851" t="s">
        <v>2941</v>
      </c>
      <c r="D1851" t="s">
        <v>2942</v>
      </c>
      <c r="E1851" t="s">
        <v>3073</v>
      </c>
      <c r="F1851" s="3">
        <v>46293.808204560431</v>
      </c>
      <c r="G1851" s="3">
        <v>46293.8144510153</v>
      </c>
      <c r="H1851">
        <v>8.99</v>
      </c>
      <c r="I1851" t="s">
        <v>3149</v>
      </c>
      <c r="J1851" t="s">
        <v>3162</v>
      </c>
      <c r="K1851" t="s">
        <v>3182</v>
      </c>
      <c r="L1851" t="str">
        <f>_xlfn.XLOOKUP(C1851,[1]!Table1[Shift_ID],[1]!Table1[Shift_ID])</f>
        <v>S02</v>
      </c>
      <c r="M1851" t="str">
        <f>_xlfn.XLOOKUP(D1851,[2]!Table1[Machine_ID],[2]!Table1[Machine_ID])</f>
        <v>M001</v>
      </c>
      <c r="N1851" t="str">
        <f>_xlfn.XLOOKUP(E1851,[3]Sheet1!$A$2:$A$391,[3]Sheet1!$A$2:$A$391)</f>
        <v>PO10123</v>
      </c>
    </row>
    <row r="1852" spans="1:14" x14ac:dyDescent="0.2">
      <c r="A1852" t="s">
        <v>1861</v>
      </c>
      <c r="B1852" s="2">
        <v>46293</v>
      </c>
      <c r="C1852" t="s">
        <v>2941</v>
      </c>
      <c r="D1852" t="s">
        <v>2943</v>
      </c>
      <c r="E1852" t="s">
        <v>3073</v>
      </c>
      <c r="F1852" s="3">
        <v>46293.628550795162</v>
      </c>
      <c r="G1852" s="3">
        <v>46293.631407503162</v>
      </c>
      <c r="H1852">
        <v>4.1100000000000003</v>
      </c>
      <c r="I1852" t="s">
        <v>3147</v>
      </c>
      <c r="J1852" t="s">
        <v>3154</v>
      </c>
      <c r="K1852" t="s">
        <v>3185</v>
      </c>
      <c r="L1852" t="str">
        <f>_xlfn.XLOOKUP(C1852,[1]!Table1[Shift_ID],[1]!Table1[Shift_ID])</f>
        <v>S02</v>
      </c>
      <c r="M1852" t="str">
        <f>_xlfn.XLOOKUP(D1852,[2]!Table1[Machine_ID],[2]!Table1[Machine_ID])</f>
        <v>M002</v>
      </c>
      <c r="N1852" t="str">
        <f>_xlfn.XLOOKUP(E1852,[3]Sheet1!$A$2:$A$391,[3]Sheet1!$A$2:$A$391)</f>
        <v>PO10123</v>
      </c>
    </row>
    <row r="1853" spans="1:14" x14ac:dyDescent="0.2">
      <c r="A1853" t="s">
        <v>1862</v>
      </c>
      <c r="B1853" s="2">
        <v>46293</v>
      </c>
      <c r="C1853" t="s">
        <v>2941</v>
      </c>
      <c r="D1853" t="s">
        <v>2943</v>
      </c>
      <c r="E1853" t="s">
        <v>3073</v>
      </c>
      <c r="F1853" s="3">
        <v>46293.710303518972</v>
      </c>
      <c r="G1853" s="3">
        <v>46293.714064605447</v>
      </c>
      <c r="H1853">
        <v>5.42</v>
      </c>
      <c r="I1853" t="s">
        <v>3148</v>
      </c>
      <c r="J1853" t="s">
        <v>3165</v>
      </c>
      <c r="K1853" t="s">
        <v>3180</v>
      </c>
      <c r="L1853" t="str">
        <f>_xlfn.XLOOKUP(C1853,[1]!Table1[Shift_ID],[1]!Table1[Shift_ID])</f>
        <v>S02</v>
      </c>
      <c r="M1853" t="str">
        <f>_xlfn.XLOOKUP(D1853,[2]!Table1[Machine_ID],[2]!Table1[Machine_ID])</f>
        <v>M002</v>
      </c>
      <c r="N1853" t="str">
        <f>_xlfn.XLOOKUP(E1853,[3]Sheet1!$A$2:$A$391,[3]Sheet1!$A$2:$A$391)</f>
        <v>PO10123</v>
      </c>
    </row>
    <row r="1854" spans="1:14" x14ac:dyDescent="0.2">
      <c r="A1854" t="s">
        <v>1863</v>
      </c>
      <c r="B1854" s="2">
        <v>46293</v>
      </c>
      <c r="C1854" t="s">
        <v>2941</v>
      </c>
      <c r="D1854" t="s">
        <v>2944</v>
      </c>
      <c r="E1854" t="s">
        <v>3073</v>
      </c>
      <c r="F1854" s="3">
        <v>46293.714227412427</v>
      </c>
      <c r="G1854" s="3">
        <v>46293.723490263241</v>
      </c>
      <c r="H1854">
        <v>13.34</v>
      </c>
      <c r="I1854" t="s">
        <v>3147</v>
      </c>
      <c r="J1854" t="s">
        <v>3167</v>
      </c>
      <c r="K1854" t="s">
        <v>3186</v>
      </c>
      <c r="L1854" t="str">
        <f>_xlfn.XLOOKUP(C1854,[1]!Table1[Shift_ID],[1]!Table1[Shift_ID])</f>
        <v>S02</v>
      </c>
      <c r="M1854" t="str">
        <f>_xlfn.XLOOKUP(D1854,[2]!Table1[Machine_ID],[2]!Table1[Machine_ID])</f>
        <v>M003</v>
      </c>
      <c r="N1854" t="str">
        <f>_xlfn.XLOOKUP(E1854,[3]Sheet1!$A$2:$A$391,[3]Sheet1!$A$2:$A$391)</f>
        <v>PO10123</v>
      </c>
    </row>
    <row r="1855" spans="1:14" x14ac:dyDescent="0.2">
      <c r="A1855" t="s">
        <v>1864</v>
      </c>
      <c r="B1855" s="2">
        <v>46293</v>
      </c>
      <c r="C1855" t="s">
        <v>2941</v>
      </c>
      <c r="D1855" t="s">
        <v>2944</v>
      </c>
      <c r="E1855" t="s">
        <v>3073</v>
      </c>
      <c r="F1855" s="3">
        <v>46293.893509510868</v>
      </c>
      <c r="G1855" s="3">
        <v>46293.895538817938</v>
      </c>
      <c r="H1855">
        <v>2.92</v>
      </c>
      <c r="I1855" t="s">
        <v>3148</v>
      </c>
      <c r="J1855" t="s">
        <v>3164</v>
      </c>
      <c r="K1855" t="s">
        <v>3173</v>
      </c>
      <c r="L1855" t="str">
        <f>_xlfn.XLOOKUP(C1855,[1]!Table1[Shift_ID],[1]!Table1[Shift_ID])</f>
        <v>S02</v>
      </c>
      <c r="M1855" t="str">
        <f>_xlfn.XLOOKUP(D1855,[2]!Table1[Machine_ID],[2]!Table1[Machine_ID])</f>
        <v>M003</v>
      </c>
      <c r="N1855" t="str">
        <f>_xlfn.XLOOKUP(E1855,[3]Sheet1!$A$2:$A$391,[3]Sheet1!$A$2:$A$391)</f>
        <v>PO10123</v>
      </c>
    </row>
    <row r="1856" spans="1:14" x14ac:dyDescent="0.2">
      <c r="A1856" t="s">
        <v>1865</v>
      </c>
      <c r="B1856" s="2">
        <v>46293</v>
      </c>
      <c r="C1856" t="s">
        <v>2941</v>
      </c>
      <c r="D1856" t="s">
        <v>2945</v>
      </c>
      <c r="E1856" t="s">
        <v>3073</v>
      </c>
      <c r="F1856" s="3">
        <v>46293.791153277278</v>
      </c>
      <c r="G1856" s="3">
        <v>46293.798723637403</v>
      </c>
      <c r="H1856">
        <v>10.9</v>
      </c>
      <c r="I1856" t="s">
        <v>3149</v>
      </c>
      <c r="J1856" t="s">
        <v>3162</v>
      </c>
      <c r="K1856" t="s">
        <v>3176</v>
      </c>
      <c r="L1856" t="str">
        <f>_xlfn.XLOOKUP(C1856,[1]!Table1[Shift_ID],[1]!Table1[Shift_ID])</f>
        <v>S02</v>
      </c>
      <c r="M1856" t="str">
        <f>_xlfn.XLOOKUP(D1856,[2]!Table1[Machine_ID],[2]!Table1[Machine_ID])</f>
        <v>M004</v>
      </c>
      <c r="N1856" t="str">
        <f>_xlfn.XLOOKUP(E1856,[3]Sheet1!$A$2:$A$391,[3]Sheet1!$A$2:$A$391)</f>
        <v>PO10123</v>
      </c>
    </row>
    <row r="1857" spans="1:14" x14ac:dyDescent="0.2">
      <c r="A1857" t="s">
        <v>1866</v>
      </c>
      <c r="B1857" s="2">
        <v>46293</v>
      </c>
      <c r="C1857" t="s">
        <v>2941</v>
      </c>
      <c r="D1857" t="s">
        <v>2946</v>
      </c>
      <c r="E1857" t="s">
        <v>3073</v>
      </c>
      <c r="F1857" s="3">
        <v>46293.689950756023</v>
      </c>
      <c r="G1857" s="3">
        <v>46293.691849278483</v>
      </c>
      <c r="H1857">
        <v>2.73</v>
      </c>
      <c r="I1857" t="s">
        <v>3150</v>
      </c>
      <c r="J1857" t="s">
        <v>3166</v>
      </c>
      <c r="K1857" t="s">
        <v>3179</v>
      </c>
      <c r="L1857" t="str">
        <f>_xlfn.XLOOKUP(C1857,[1]!Table1[Shift_ID],[1]!Table1[Shift_ID])</f>
        <v>S02</v>
      </c>
      <c r="M1857" t="str">
        <f>_xlfn.XLOOKUP(D1857,[2]!Table1[Machine_ID],[2]!Table1[Machine_ID])</f>
        <v>M005</v>
      </c>
      <c r="N1857" t="str">
        <f>_xlfn.XLOOKUP(E1857,[3]Sheet1!$A$2:$A$391,[3]Sheet1!$A$2:$A$391)</f>
        <v>PO10123</v>
      </c>
    </row>
    <row r="1858" spans="1:14" x14ac:dyDescent="0.2">
      <c r="A1858" t="s">
        <v>1867</v>
      </c>
      <c r="B1858" s="2">
        <v>46293</v>
      </c>
      <c r="C1858" t="s">
        <v>2941</v>
      </c>
      <c r="D1858" t="s">
        <v>2946</v>
      </c>
      <c r="E1858" t="s">
        <v>3073</v>
      </c>
      <c r="F1858" s="3">
        <v>46293.772848547713</v>
      </c>
      <c r="G1858" s="3">
        <v>46293.778563185901</v>
      </c>
      <c r="H1858">
        <v>8.23</v>
      </c>
      <c r="I1858" t="s">
        <v>3148</v>
      </c>
      <c r="J1858" t="s">
        <v>3164</v>
      </c>
      <c r="K1858" t="s">
        <v>3183</v>
      </c>
      <c r="L1858" t="str">
        <f>_xlfn.XLOOKUP(C1858,[1]!Table1[Shift_ID],[1]!Table1[Shift_ID])</f>
        <v>S02</v>
      </c>
      <c r="M1858" t="str">
        <f>_xlfn.XLOOKUP(D1858,[2]!Table1[Machine_ID],[2]!Table1[Machine_ID])</f>
        <v>M005</v>
      </c>
      <c r="N1858" t="str">
        <f>_xlfn.XLOOKUP(E1858,[3]Sheet1!$A$2:$A$391,[3]Sheet1!$A$2:$A$391)</f>
        <v>PO10123</v>
      </c>
    </row>
    <row r="1859" spans="1:14" x14ac:dyDescent="0.2">
      <c r="A1859" t="s">
        <v>1868</v>
      </c>
      <c r="B1859" s="2">
        <v>46293</v>
      </c>
      <c r="C1859" t="s">
        <v>2941</v>
      </c>
      <c r="D1859" t="s">
        <v>2947</v>
      </c>
      <c r="E1859" t="s">
        <v>3073</v>
      </c>
      <c r="F1859" s="3">
        <v>46293.832661883433</v>
      </c>
      <c r="G1859" s="3">
        <v>46293.853216369098</v>
      </c>
      <c r="H1859">
        <v>29.6</v>
      </c>
      <c r="I1859" t="s">
        <v>3148</v>
      </c>
      <c r="J1859" t="s">
        <v>3155</v>
      </c>
      <c r="K1859" t="s">
        <v>3180</v>
      </c>
      <c r="L1859" t="str">
        <f>_xlfn.XLOOKUP(C1859,[1]!Table1[Shift_ID],[1]!Table1[Shift_ID])</f>
        <v>S02</v>
      </c>
      <c r="M1859" t="str">
        <f>_xlfn.XLOOKUP(D1859,[2]!Table1[Machine_ID],[2]!Table1[Machine_ID])</f>
        <v>M006</v>
      </c>
      <c r="N1859" t="str">
        <f>_xlfn.XLOOKUP(E1859,[3]Sheet1!$A$2:$A$391,[3]Sheet1!$A$2:$A$391)</f>
        <v>PO10123</v>
      </c>
    </row>
    <row r="1860" spans="1:14" x14ac:dyDescent="0.2">
      <c r="A1860" t="s">
        <v>1869</v>
      </c>
      <c r="B1860" s="2">
        <v>46293</v>
      </c>
      <c r="C1860" t="s">
        <v>2941</v>
      </c>
      <c r="D1860" t="s">
        <v>2947</v>
      </c>
      <c r="E1860" t="s">
        <v>3073</v>
      </c>
      <c r="F1860" s="3">
        <v>46293.88357149074</v>
      </c>
      <c r="G1860" s="3">
        <v>46293.887112995413</v>
      </c>
      <c r="H1860">
        <v>5.0999999999999996</v>
      </c>
      <c r="I1860" t="s">
        <v>3151</v>
      </c>
      <c r="J1860" t="s">
        <v>3169</v>
      </c>
      <c r="K1860" t="s">
        <v>3187</v>
      </c>
      <c r="L1860" t="str">
        <f>_xlfn.XLOOKUP(C1860,[1]!Table1[Shift_ID],[1]!Table1[Shift_ID])</f>
        <v>S02</v>
      </c>
      <c r="M1860" t="str">
        <f>_xlfn.XLOOKUP(D1860,[2]!Table1[Machine_ID],[2]!Table1[Machine_ID])</f>
        <v>M006</v>
      </c>
      <c r="N1860" t="str">
        <f>_xlfn.XLOOKUP(E1860,[3]Sheet1!$A$2:$A$391,[3]Sheet1!$A$2:$A$391)</f>
        <v>PO10123</v>
      </c>
    </row>
    <row r="1861" spans="1:14" x14ac:dyDescent="0.2">
      <c r="A1861" t="s">
        <v>1870</v>
      </c>
      <c r="B1861" s="2">
        <v>46293</v>
      </c>
      <c r="C1861" t="s">
        <v>2941</v>
      </c>
      <c r="D1861" t="s">
        <v>2948</v>
      </c>
      <c r="E1861" t="s">
        <v>3073</v>
      </c>
      <c r="F1861" s="3">
        <v>46293.660045817131</v>
      </c>
      <c r="G1861" s="3">
        <v>46293.671601482463</v>
      </c>
      <c r="H1861">
        <v>16.64</v>
      </c>
      <c r="I1861" t="s">
        <v>3151</v>
      </c>
      <c r="J1861" t="s">
        <v>3170</v>
      </c>
      <c r="K1861" t="s">
        <v>3181</v>
      </c>
      <c r="L1861" t="str">
        <f>_xlfn.XLOOKUP(C1861,[1]!Table1[Shift_ID],[1]!Table1[Shift_ID])</f>
        <v>S02</v>
      </c>
      <c r="M1861" t="str">
        <f>_xlfn.XLOOKUP(D1861,[2]!Table1[Machine_ID],[2]!Table1[Machine_ID])</f>
        <v>M007</v>
      </c>
      <c r="N1861" t="str">
        <f>_xlfn.XLOOKUP(E1861,[3]Sheet1!$A$2:$A$391,[3]Sheet1!$A$2:$A$391)</f>
        <v>PO10123</v>
      </c>
    </row>
    <row r="1862" spans="1:14" x14ac:dyDescent="0.2">
      <c r="A1862" t="s">
        <v>1871</v>
      </c>
      <c r="B1862" s="2">
        <v>46293</v>
      </c>
      <c r="C1862" t="s">
        <v>2941</v>
      </c>
      <c r="D1862" t="s">
        <v>2949</v>
      </c>
      <c r="E1862" t="s">
        <v>3073</v>
      </c>
      <c r="F1862" s="3">
        <v>46293.858383515617</v>
      </c>
      <c r="G1862" s="3">
        <v>46293.86365563146</v>
      </c>
      <c r="H1862">
        <v>7.59</v>
      </c>
      <c r="I1862" t="s">
        <v>3148</v>
      </c>
      <c r="J1862" t="s">
        <v>3155</v>
      </c>
      <c r="K1862" t="s">
        <v>3173</v>
      </c>
      <c r="L1862" t="str">
        <f>_xlfn.XLOOKUP(C1862,[1]!Table1[Shift_ID],[1]!Table1[Shift_ID])</f>
        <v>S02</v>
      </c>
      <c r="M1862" t="str">
        <f>_xlfn.XLOOKUP(D1862,[2]!Table1[Machine_ID],[2]!Table1[Machine_ID])</f>
        <v>M008</v>
      </c>
      <c r="N1862" t="str">
        <f>_xlfn.XLOOKUP(E1862,[3]Sheet1!$A$2:$A$391,[3]Sheet1!$A$2:$A$391)</f>
        <v>PO10123</v>
      </c>
    </row>
    <row r="1863" spans="1:14" x14ac:dyDescent="0.2">
      <c r="A1863" t="s">
        <v>1872</v>
      </c>
      <c r="B1863" s="2">
        <v>46294</v>
      </c>
      <c r="C1863" t="s">
        <v>2939</v>
      </c>
      <c r="D1863" t="s">
        <v>2942</v>
      </c>
      <c r="E1863" t="s">
        <v>3074</v>
      </c>
      <c r="F1863" s="3">
        <v>46294.959285893441</v>
      </c>
      <c r="G1863" s="3">
        <v>46294.966523933937</v>
      </c>
      <c r="H1863">
        <v>10.42</v>
      </c>
      <c r="I1863" t="s">
        <v>3151</v>
      </c>
      <c r="J1863" t="s">
        <v>3170</v>
      </c>
      <c r="K1863" t="s">
        <v>3187</v>
      </c>
      <c r="L1863" t="str">
        <f>_xlfn.XLOOKUP(C1863,[1]!Table1[Shift_ID],[1]!Table1[Shift_ID])</f>
        <v>S03</v>
      </c>
      <c r="M1863" t="str">
        <f>_xlfn.XLOOKUP(D1863,[2]!Table1[Machine_ID],[2]!Table1[Machine_ID])</f>
        <v>M001</v>
      </c>
      <c r="N1863" t="str">
        <f>_xlfn.XLOOKUP(E1863,[3]Sheet1!$A$2:$A$391,[3]Sheet1!$A$2:$A$391)</f>
        <v>PO10124</v>
      </c>
    </row>
    <row r="1864" spans="1:14" x14ac:dyDescent="0.2">
      <c r="A1864" t="s">
        <v>1873</v>
      </c>
      <c r="B1864" s="2">
        <v>46294</v>
      </c>
      <c r="C1864" t="s">
        <v>2939</v>
      </c>
      <c r="D1864" t="s">
        <v>2943</v>
      </c>
      <c r="E1864" t="s">
        <v>3074</v>
      </c>
      <c r="F1864" s="3">
        <v>46295.202699154223</v>
      </c>
      <c r="G1864" s="3">
        <v>46295.21313426859</v>
      </c>
      <c r="H1864">
        <v>15.03</v>
      </c>
      <c r="I1864" t="s">
        <v>3149</v>
      </c>
      <c r="J1864" t="s">
        <v>3158</v>
      </c>
      <c r="K1864" t="s">
        <v>3182</v>
      </c>
      <c r="L1864" t="str">
        <f>_xlfn.XLOOKUP(C1864,[1]!Table1[Shift_ID],[1]!Table1[Shift_ID])</f>
        <v>S03</v>
      </c>
      <c r="M1864" t="str">
        <f>_xlfn.XLOOKUP(D1864,[2]!Table1[Machine_ID],[2]!Table1[Machine_ID])</f>
        <v>M002</v>
      </c>
      <c r="N1864" t="str">
        <f>_xlfn.XLOOKUP(E1864,[3]Sheet1!$A$2:$A$391,[3]Sheet1!$A$2:$A$391)</f>
        <v>PO10124</v>
      </c>
    </row>
    <row r="1865" spans="1:14" x14ac:dyDescent="0.2">
      <c r="A1865" t="s">
        <v>1874</v>
      </c>
      <c r="B1865" s="2">
        <v>46294</v>
      </c>
      <c r="C1865" t="s">
        <v>2939</v>
      </c>
      <c r="D1865" t="s">
        <v>2944</v>
      </c>
      <c r="E1865" t="s">
        <v>3074</v>
      </c>
      <c r="F1865" s="3">
        <v>46295.085131049389</v>
      </c>
      <c r="G1865" s="3">
        <v>46295.090716638661</v>
      </c>
      <c r="H1865">
        <v>8.0399999999999991</v>
      </c>
      <c r="I1865" t="s">
        <v>3148</v>
      </c>
      <c r="J1865" t="s">
        <v>3165</v>
      </c>
      <c r="K1865" t="s">
        <v>3173</v>
      </c>
      <c r="L1865" t="str">
        <f>_xlfn.XLOOKUP(C1865,[1]!Table1[Shift_ID],[1]!Table1[Shift_ID])</f>
        <v>S03</v>
      </c>
      <c r="M1865" t="str">
        <f>_xlfn.XLOOKUP(D1865,[2]!Table1[Machine_ID],[2]!Table1[Machine_ID])</f>
        <v>M003</v>
      </c>
      <c r="N1865" t="str">
        <f>_xlfn.XLOOKUP(E1865,[3]Sheet1!$A$2:$A$391,[3]Sheet1!$A$2:$A$391)</f>
        <v>PO10124</v>
      </c>
    </row>
    <row r="1866" spans="1:14" x14ac:dyDescent="0.2">
      <c r="A1866" t="s">
        <v>1875</v>
      </c>
      <c r="B1866" s="2">
        <v>46294</v>
      </c>
      <c r="C1866" t="s">
        <v>2939</v>
      </c>
      <c r="D1866" t="s">
        <v>2944</v>
      </c>
      <c r="E1866" t="s">
        <v>3074</v>
      </c>
      <c r="F1866" s="3">
        <v>46295.09520466235</v>
      </c>
      <c r="G1866" s="3">
        <v>46295.102699221286</v>
      </c>
      <c r="H1866">
        <v>10.79</v>
      </c>
      <c r="I1866" t="s">
        <v>3150</v>
      </c>
      <c r="J1866" t="s">
        <v>3166</v>
      </c>
      <c r="K1866" t="s">
        <v>3179</v>
      </c>
      <c r="L1866" t="str">
        <f>_xlfn.XLOOKUP(C1866,[1]!Table1[Shift_ID],[1]!Table1[Shift_ID])</f>
        <v>S03</v>
      </c>
      <c r="M1866" t="str">
        <f>_xlfn.XLOOKUP(D1866,[2]!Table1[Machine_ID],[2]!Table1[Machine_ID])</f>
        <v>M003</v>
      </c>
      <c r="N1866" t="str">
        <f>_xlfn.XLOOKUP(E1866,[3]Sheet1!$A$2:$A$391,[3]Sheet1!$A$2:$A$391)</f>
        <v>PO10124</v>
      </c>
    </row>
    <row r="1867" spans="1:14" x14ac:dyDescent="0.2">
      <c r="A1867" t="s">
        <v>1876</v>
      </c>
      <c r="B1867" s="2">
        <v>46294</v>
      </c>
      <c r="C1867" t="s">
        <v>2939</v>
      </c>
      <c r="D1867" t="s">
        <v>2945</v>
      </c>
      <c r="E1867" t="s">
        <v>3074</v>
      </c>
      <c r="F1867" s="3">
        <v>46294.929846974839</v>
      </c>
      <c r="G1867" s="3">
        <v>46294.933492824282</v>
      </c>
      <c r="H1867">
        <v>5.25</v>
      </c>
      <c r="I1867" t="s">
        <v>3149</v>
      </c>
      <c r="J1867" t="s">
        <v>3168</v>
      </c>
      <c r="K1867" t="s">
        <v>3176</v>
      </c>
      <c r="L1867" t="str">
        <f>_xlfn.XLOOKUP(C1867,[1]!Table1[Shift_ID],[1]!Table1[Shift_ID])</f>
        <v>S03</v>
      </c>
      <c r="M1867" t="str">
        <f>_xlfn.XLOOKUP(D1867,[2]!Table1[Machine_ID],[2]!Table1[Machine_ID])</f>
        <v>M004</v>
      </c>
      <c r="N1867" t="str">
        <f>_xlfn.XLOOKUP(E1867,[3]Sheet1!$A$2:$A$391,[3]Sheet1!$A$2:$A$391)</f>
        <v>PO10124</v>
      </c>
    </row>
    <row r="1868" spans="1:14" x14ac:dyDescent="0.2">
      <c r="A1868" t="s">
        <v>1877</v>
      </c>
      <c r="B1868" s="2">
        <v>46294</v>
      </c>
      <c r="C1868" t="s">
        <v>2939</v>
      </c>
      <c r="D1868" t="s">
        <v>2945</v>
      </c>
      <c r="E1868" t="s">
        <v>3074</v>
      </c>
      <c r="F1868" s="3">
        <v>46295.068361486803</v>
      </c>
      <c r="G1868" s="3">
        <v>46295.072699720193</v>
      </c>
      <c r="H1868">
        <v>6.25</v>
      </c>
      <c r="I1868" t="s">
        <v>3150</v>
      </c>
      <c r="J1868" t="s">
        <v>3163</v>
      </c>
      <c r="K1868" t="s">
        <v>3177</v>
      </c>
      <c r="L1868" t="str">
        <f>_xlfn.XLOOKUP(C1868,[1]!Table1[Shift_ID],[1]!Table1[Shift_ID])</f>
        <v>S03</v>
      </c>
      <c r="M1868" t="str">
        <f>_xlfn.XLOOKUP(D1868,[2]!Table1[Machine_ID],[2]!Table1[Machine_ID])</f>
        <v>M004</v>
      </c>
      <c r="N1868" t="str">
        <f>_xlfn.XLOOKUP(E1868,[3]Sheet1!$A$2:$A$391,[3]Sheet1!$A$2:$A$391)</f>
        <v>PO10124</v>
      </c>
    </row>
    <row r="1869" spans="1:14" x14ac:dyDescent="0.2">
      <c r="A1869" t="s">
        <v>1878</v>
      </c>
      <c r="B1869" s="2">
        <v>46294</v>
      </c>
      <c r="C1869" t="s">
        <v>2939</v>
      </c>
      <c r="D1869" t="s">
        <v>2946</v>
      </c>
      <c r="E1869" t="s">
        <v>3074</v>
      </c>
      <c r="F1869" s="3">
        <v>46294.937560553357</v>
      </c>
      <c r="G1869" s="3">
        <v>46294.942702252003</v>
      </c>
      <c r="H1869">
        <v>7.4</v>
      </c>
      <c r="I1869" t="s">
        <v>3146</v>
      </c>
      <c r="J1869" t="s">
        <v>3156</v>
      </c>
      <c r="K1869" t="s">
        <v>3171</v>
      </c>
      <c r="L1869" t="str">
        <f>_xlfn.XLOOKUP(C1869,[1]!Table1[Shift_ID],[1]!Table1[Shift_ID])</f>
        <v>S03</v>
      </c>
      <c r="M1869" t="str">
        <f>_xlfn.XLOOKUP(D1869,[2]!Table1[Machine_ID],[2]!Table1[Machine_ID])</f>
        <v>M005</v>
      </c>
      <c r="N1869" t="str">
        <f>_xlfn.XLOOKUP(E1869,[3]Sheet1!$A$2:$A$391,[3]Sheet1!$A$2:$A$391)</f>
        <v>PO10124</v>
      </c>
    </row>
    <row r="1870" spans="1:14" x14ac:dyDescent="0.2">
      <c r="A1870" t="s">
        <v>1879</v>
      </c>
      <c r="B1870" s="2">
        <v>46294</v>
      </c>
      <c r="C1870" t="s">
        <v>2939</v>
      </c>
      <c r="D1870" t="s">
        <v>2946</v>
      </c>
      <c r="E1870" t="s">
        <v>3074</v>
      </c>
      <c r="F1870" s="3">
        <v>46295.089979903118</v>
      </c>
      <c r="G1870" s="3">
        <v>46295.092627361963</v>
      </c>
      <c r="H1870">
        <v>3.81</v>
      </c>
      <c r="I1870" t="s">
        <v>3149</v>
      </c>
      <c r="J1870" t="s">
        <v>3168</v>
      </c>
      <c r="K1870" t="s">
        <v>3182</v>
      </c>
      <c r="L1870" t="str">
        <f>_xlfn.XLOOKUP(C1870,[1]!Table1[Shift_ID],[1]!Table1[Shift_ID])</f>
        <v>S03</v>
      </c>
      <c r="M1870" t="str">
        <f>_xlfn.XLOOKUP(D1870,[2]!Table1[Machine_ID],[2]!Table1[Machine_ID])</f>
        <v>M005</v>
      </c>
      <c r="N1870" t="str">
        <f>_xlfn.XLOOKUP(E1870,[3]Sheet1!$A$2:$A$391,[3]Sheet1!$A$2:$A$391)</f>
        <v>PO10124</v>
      </c>
    </row>
    <row r="1871" spans="1:14" x14ac:dyDescent="0.2">
      <c r="A1871" t="s">
        <v>1880</v>
      </c>
      <c r="B1871" s="2">
        <v>46294</v>
      </c>
      <c r="C1871" t="s">
        <v>2939</v>
      </c>
      <c r="D1871" t="s">
        <v>2947</v>
      </c>
      <c r="E1871" t="s">
        <v>3074</v>
      </c>
      <c r="F1871" s="3">
        <v>46294.995536507537</v>
      </c>
      <c r="G1871" s="3">
        <v>46295.000862006244</v>
      </c>
      <c r="H1871">
        <v>7.67</v>
      </c>
      <c r="I1871" t="s">
        <v>3150</v>
      </c>
      <c r="J1871" t="s">
        <v>3163</v>
      </c>
      <c r="K1871" t="s">
        <v>3179</v>
      </c>
      <c r="L1871" t="str">
        <f>_xlfn.XLOOKUP(C1871,[1]!Table1[Shift_ID],[1]!Table1[Shift_ID])</f>
        <v>S03</v>
      </c>
      <c r="M1871" t="str">
        <f>_xlfn.XLOOKUP(D1871,[2]!Table1[Machine_ID],[2]!Table1[Machine_ID])</f>
        <v>M006</v>
      </c>
      <c r="N1871" t="str">
        <f>_xlfn.XLOOKUP(E1871,[3]Sheet1!$A$2:$A$391,[3]Sheet1!$A$2:$A$391)</f>
        <v>PO10124</v>
      </c>
    </row>
    <row r="1872" spans="1:14" x14ac:dyDescent="0.2">
      <c r="A1872" t="s">
        <v>1881</v>
      </c>
      <c r="B1872" s="2">
        <v>46294</v>
      </c>
      <c r="C1872" t="s">
        <v>2939</v>
      </c>
      <c r="D1872" t="s">
        <v>2947</v>
      </c>
      <c r="E1872" t="s">
        <v>3074</v>
      </c>
      <c r="F1872" s="3">
        <v>46295.055813433042</v>
      </c>
      <c r="G1872" s="3">
        <v>46295.067889667742</v>
      </c>
      <c r="H1872">
        <v>17.39</v>
      </c>
      <c r="I1872" t="s">
        <v>3149</v>
      </c>
      <c r="J1872" t="s">
        <v>3158</v>
      </c>
      <c r="K1872" t="s">
        <v>3184</v>
      </c>
      <c r="L1872" t="str">
        <f>_xlfn.XLOOKUP(C1872,[1]!Table1[Shift_ID],[1]!Table1[Shift_ID])</f>
        <v>S03</v>
      </c>
      <c r="M1872" t="str">
        <f>_xlfn.XLOOKUP(D1872,[2]!Table1[Machine_ID],[2]!Table1[Machine_ID])</f>
        <v>M006</v>
      </c>
      <c r="N1872" t="str">
        <f>_xlfn.XLOOKUP(E1872,[3]Sheet1!$A$2:$A$391,[3]Sheet1!$A$2:$A$391)</f>
        <v>PO10124</v>
      </c>
    </row>
    <row r="1873" spans="1:14" x14ac:dyDescent="0.2">
      <c r="A1873" t="s">
        <v>1882</v>
      </c>
      <c r="B1873" s="2">
        <v>46294</v>
      </c>
      <c r="C1873" t="s">
        <v>2939</v>
      </c>
      <c r="D1873" t="s">
        <v>2947</v>
      </c>
      <c r="E1873" t="s">
        <v>3074</v>
      </c>
      <c r="F1873" s="3">
        <v>46295.199869780517</v>
      </c>
      <c r="G1873" s="3">
        <v>46295.20757262205</v>
      </c>
      <c r="H1873">
        <v>11.09</v>
      </c>
      <c r="I1873" t="s">
        <v>3150</v>
      </c>
      <c r="J1873" t="s">
        <v>3166</v>
      </c>
      <c r="K1873" t="s">
        <v>3178</v>
      </c>
      <c r="L1873" t="str">
        <f>_xlfn.XLOOKUP(C1873,[1]!Table1[Shift_ID],[1]!Table1[Shift_ID])</f>
        <v>S03</v>
      </c>
      <c r="M1873" t="str">
        <f>_xlfn.XLOOKUP(D1873,[2]!Table1[Machine_ID],[2]!Table1[Machine_ID])</f>
        <v>M006</v>
      </c>
      <c r="N1873" t="str">
        <f>_xlfn.XLOOKUP(E1873,[3]Sheet1!$A$2:$A$391,[3]Sheet1!$A$2:$A$391)</f>
        <v>PO10124</v>
      </c>
    </row>
    <row r="1874" spans="1:14" x14ac:dyDescent="0.2">
      <c r="A1874" t="s">
        <v>1883</v>
      </c>
      <c r="B1874" s="2">
        <v>46294</v>
      </c>
      <c r="C1874" t="s">
        <v>2939</v>
      </c>
      <c r="D1874" t="s">
        <v>2948</v>
      </c>
      <c r="E1874" t="s">
        <v>3074</v>
      </c>
      <c r="F1874" s="3">
        <v>46295.137408807903</v>
      </c>
      <c r="G1874" s="3">
        <v>46295.140532151723</v>
      </c>
      <c r="H1874">
        <v>4.5</v>
      </c>
      <c r="I1874" t="s">
        <v>3147</v>
      </c>
      <c r="J1874" t="s">
        <v>3167</v>
      </c>
      <c r="K1874" t="s">
        <v>3172</v>
      </c>
      <c r="L1874" t="str">
        <f>_xlfn.XLOOKUP(C1874,[1]!Table1[Shift_ID],[1]!Table1[Shift_ID])</f>
        <v>S03</v>
      </c>
      <c r="M1874" t="str">
        <f>_xlfn.XLOOKUP(D1874,[2]!Table1[Machine_ID],[2]!Table1[Machine_ID])</f>
        <v>M007</v>
      </c>
      <c r="N1874" t="str">
        <f>_xlfn.XLOOKUP(E1874,[3]Sheet1!$A$2:$A$391,[3]Sheet1!$A$2:$A$391)</f>
        <v>PO10124</v>
      </c>
    </row>
    <row r="1875" spans="1:14" x14ac:dyDescent="0.2">
      <c r="A1875" t="s">
        <v>1884</v>
      </c>
      <c r="B1875" s="2">
        <v>46294</v>
      </c>
      <c r="C1875" t="s">
        <v>2939</v>
      </c>
      <c r="D1875" t="s">
        <v>2948</v>
      </c>
      <c r="E1875" t="s">
        <v>3074</v>
      </c>
      <c r="F1875" s="3">
        <v>46295.199062365493</v>
      </c>
      <c r="G1875" s="3">
        <v>46295.214984659528</v>
      </c>
      <c r="H1875">
        <v>22.93</v>
      </c>
      <c r="I1875" t="s">
        <v>3150</v>
      </c>
      <c r="J1875" t="s">
        <v>3163</v>
      </c>
      <c r="K1875" t="s">
        <v>3177</v>
      </c>
      <c r="L1875" t="str">
        <f>_xlfn.XLOOKUP(C1875,[1]!Table1[Shift_ID],[1]!Table1[Shift_ID])</f>
        <v>S03</v>
      </c>
      <c r="M1875" t="str">
        <f>_xlfn.XLOOKUP(D1875,[2]!Table1[Machine_ID],[2]!Table1[Machine_ID])</f>
        <v>M007</v>
      </c>
      <c r="N1875" t="str">
        <f>_xlfn.XLOOKUP(E1875,[3]Sheet1!$A$2:$A$391,[3]Sheet1!$A$2:$A$391)</f>
        <v>PO10124</v>
      </c>
    </row>
    <row r="1876" spans="1:14" x14ac:dyDescent="0.2">
      <c r="A1876" t="s">
        <v>1885</v>
      </c>
      <c r="B1876" s="2">
        <v>46294</v>
      </c>
      <c r="C1876" t="s">
        <v>2939</v>
      </c>
      <c r="D1876" t="s">
        <v>2949</v>
      </c>
      <c r="E1876" t="s">
        <v>3074</v>
      </c>
      <c r="F1876" s="3">
        <v>46295.034140866548</v>
      </c>
      <c r="G1876" s="3">
        <v>46295.040862058937</v>
      </c>
      <c r="H1876">
        <v>9.68</v>
      </c>
      <c r="I1876" t="s">
        <v>3148</v>
      </c>
      <c r="J1876" t="s">
        <v>3164</v>
      </c>
      <c r="K1876" t="s">
        <v>3173</v>
      </c>
      <c r="L1876" t="str">
        <f>_xlfn.XLOOKUP(C1876,[1]!Table1[Shift_ID],[1]!Table1[Shift_ID])</f>
        <v>S03</v>
      </c>
      <c r="M1876" t="str">
        <f>_xlfn.XLOOKUP(D1876,[2]!Table1[Machine_ID],[2]!Table1[Machine_ID])</f>
        <v>M008</v>
      </c>
      <c r="N1876" t="str">
        <f>_xlfn.XLOOKUP(E1876,[3]Sheet1!$A$2:$A$391,[3]Sheet1!$A$2:$A$391)</f>
        <v>PO10124</v>
      </c>
    </row>
    <row r="1877" spans="1:14" x14ac:dyDescent="0.2">
      <c r="A1877" t="s">
        <v>1886</v>
      </c>
      <c r="B1877" s="2">
        <v>46294</v>
      </c>
      <c r="C1877" t="s">
        <v>2940</v>
      </c>
      <c r="D1877" t="s">
        <v>2942</v>
      </c>
      <c r="E1877" t="s">
        <v>3075</v>
      </c>
      <c r="F1877" s="3">
        <v>46294.450065652949</v>
      </c>
      <c r="G1877" s="3">
        <v>46294.454289893343</v>
      </c>
      <c r="H1877">
        <v>6.08</v>
      </c>
      <c r="I1877" t="s">
        <v>3150</v>
      </c>
      <c r="J1877" t="s">
        <v>3163</v>
      </c>
      <c r="K1877" t="s">
        <v>3177</v>
      </c>
      <c r="L1877" t="str">
        <f>_xlfn.XLOOKUP(C1877,[1]!Table1[Shift_ID],[1]!Table1[Shift_ID])</f>
        <v>S01</v>
      </c>
      <c r="M1877" t="str">
        <f>_xlfn.XLOOKUP(D1877,[2]!Table1[Machine_ID],[2]!Table1[Machine_ID])</f>
        <v>M001</v>
      </c>
      <c r="N1877" t="str">
        <f>_xlfn.XLOOKUP(E1877,[3]Sheet1!$A$2:$A$391,[3]Sheet1!$A$2:$A$391)</f>
        <v>PO10125</v>
      </c>
    </row>
    <row r="1878" spans="1:14" x14ac:dyDescent="0.2">
      <c r="A1878" t="s">
        <v>1887</v>
      </c>
      <c r="B1878" s="2">
        <v>46294</v>
      </c>
      <c r="C1878" t="s">
        <v>2940</v>
      </c>
      <c r="D1878" t="s">
        <v>2942</v>
      </c>
      <c r="E1878" t="s">
        <v>3075</v>
      </c>
      <c r="F1878" s="3">
        <v>46294.452807276219</v>
      </c>
      <c r="G1878" s="3">
        <v>46294.454665802259</v>
      </c>
      <c r="H1878">
        <v>2.68</v>
      </c>
      <c r="I1878" t="s">
        <v>3150</v>
      </c>
      <c r="J1878" t="s">
        <v>3160</v>
      </c>
      <c r="K1878" t="s">
        <v>3179</v>
      </c>
      <c r="L1878" t="str">
        <f>_xlfn.XLOOKUP(C1878,[1]!Table1[Shift_ID],[1]!Table1[Shift_ID])</f>
        <v>S01</v>
      </c>
      <c r="M1878" t="str">
        <f>_xlfn.XLOOKUP(D1878,[2]!Table1[Machine_ID],[2]!Table1[Machine_ID])</f>
        <v>M001</v>
      </c>
      <c r="N1878" t="str">
        <f>_xlfn.XLOOKUP(E1878,[3]Sheet1!$A$2:$A$391,[3]Sheet1!$A$2:$A$391)</f>
        <v>PO10125</v>
      </c>
    </row>
    <row r="1879" spans="1:14" x14ac:dyDescent="0.2">
      <c r="A1879" t="s">
        <v>1888</v>
      </c>
      <c r="B1879" s="2">
        <v>46294</v>
      </c>
      <c r="C1879" t="s">
        <v>2940</v>
      </c>
      <c r="D1879" t="s">
        <v>2943</v>
      </c>
      <c r="E1879" t="s">
        <v>3075</v>
      </c>
      <c r="F1879" s="3">
        <v>46294.287063025367</v>
      </c>
      <c r="G1879" s="3">
        <v>46294.288385766493</v>
      </c>
      <c r="H1879">
        <v>1.9</v>
      </c>
      <c r="I1879" t="s">
        <v>3147</v>
      </c>
      <c r="J1879" t="s">
        <v>3154</v>
      </c>
      <c r="K1879" t="s">
        <v>3185</v>
      </c>
      <c r="L1879" t="str">
        <f>_xlfn.XLOOKUP(C1879,[1]!Table1[Shift_ID],[1]!Table1[Shift_ID])</f>
        <v>S01</v>
      </c>
      <c r="M1879" t="str">
        <f>_xlfn.XLOOKUP(D1879,[2]!Table1[Machine_ID],[2]!Table1[Machine_ID])</f>
        <v>M002</v>
      </c>
      <c r="N1879" t="str">
        <f>_xlfn.XLOOKUP(E1879,[3]Sheet1!$A$2:$A$391,[3]Sheet1!$A$2:$A$391)</f>
        <v>PO10125</v>
      </c>
    </row>
    <row r="1880" spans="1:14" x14ac:dyDescent="0.2">
      <c r="A1880" t="s">
        <v>1889</v>
      </c>
      <c r="B1880" s="2">
        <v>46294</v>
      </c>
      <c r="C1880" t="s">
        <v>2940</v>
      </c>
      <c r="D1880" t="s">
        <v>2943</v>
      </c>
      <c r="E1880" t="s">
        <v>3075</v>
      </c>
      <c r="F1880" s="3">
        <v>46294.287172838427</v>
      </c>
      <c r="G1880" s="3">
        <v>46294.288495579553</v>
      </c>
      <c r="H1880">
        <v>1.9</v>
      </c>
      <c r="I1880" t="s">
        <v>3147</v>
      </c>
      <c r="J1880" t="s">
        <v>3167</v>
      </c>
      <c r="K1880" t="s">
        <v>3186</v>
      </c>
      <c r="L1880" t="str">
        <f>_xlfn.XLOOKUP(C1880,[1]!Table1[Shift_ID],[1]!Table1[Shift_ID])</f>
        <v>S01</v>
      </c>
      <c r="M1880" t="str">
        <f>_xlfn.XLOOKUP(D1880,[2]!Table1[Machine_ID],[2]!Table1[Machine_ID])</f>
        <v>M002</v>
      </c>
      <c r="N1880" t="str">
        <f>_xlfn.XLOOKUP(E1880,[3]Sheet1!$A$2:$A$391,[3]Sheet1!$A$2:$A$391)</f>
        <v>PO10125</v>
      </c>
    </row>
    <row r="1881" spans="1:14" x14ac:dyDescent="0.2">
      <c r="A1881" t="s">
        <v>1890</v>
      </c>
      <c r="B1881" s="2">
        <v>46294</v>
      </c>
      <c r="C1881" t="s">
        <v>2940</v>
      </c>
      <c r="D1881" t="s">
        <v>2943</v>
      </c>
      <c r="E1881" t="s">
        <v>3075</v>
      </c>
      <c r="F1881" s="3">
        <v>46294.440599041613</v>
      </c>
      <c r="G1881" s="3">
        <v>46294.441921782753</v>
      </c>
      <c r="H1881">
        <v>1.9</v>
      </c>
      <c r="I1881" t="s">
        <v>3149</v>
      </c>
      <c r="J1881" t="s">
        <v>3158</v>
      </c>
      <c r="K1881" t="s">
        <v>3176</v>
      </c>
      <c r="L1881" t="str">
        <f>_xlfn.XLOOKUP(C1881,[1]!Table1[Shift_ID],[1]!Table1[Shift_ID])</f>
        <v>S01</v>
      </c>
      <c r="M1881" t="str">
        <f>_xlfn.XLOOKUP(D1881,[2]!Table1[Machine_ID],[2]!Table1[Machine_ID])</f>
        <v>M002</v>
      </c>
      <c r="N1881" t="str">
        <f>_xlfn.XLOOKUP(E1881,[3]Sheet1!$A$2:$A$391,[3]Sheet1!$A$2:$A$391)</f>
        <v>PO10125</v>
      </c>
    </row>
    <row r="1882" spans="1:14" x14ac:dyDescent="0.2">
      <c r="A1882" t="s">
        <v>1891</v>
      </c>
      <c r="B1882" s="2">
        <v>46294</v>
      </c>
      <c r="C1882" t="s">
        <v>2940</v>
      </c>
      <c r="D1882" t="s">
        <v>2943</v>
      </c>
      <c r="E1882" t="s">
        <v>3075</v>
      </c>
      <c r="F1882" s="3">
        <v>46294.457911448997</v>
      </c>
      <c r="G1882" s="3">
        <v>46294.459295391352</v>
      </c>
      <c r="H1882">
        <v>1.99</v>
      </c>
      <c r="I1882" t="s">
        <v>3150</v>
      </c>
      <c r="J1882" t="s">
        <v>3166</v>
      </c>
      <c r="K1882" t="s">
        <v>3177</v>
      </c>
      <c r="L1882" t="str">
        <f>_xlfn.XLOOKUP(C1882,[1]!Table1[Shift_ID],[1]!Table1[Shift_ID])</f>
        <v>S01</v>
      </c>
      <c r="M1882" t="str">
        <f>_xlfn.XLOOKUP(D1882,[2]!Table1[Machine_ID],[2]!Table1[Machine_ID])</f>
        <v>M002</v>
      </c>
      <c r="N1882" t="str">
        <f>_xlfn.XLOOKUP(E1882,[3]Sheet1!$A$2:$A$391,[3]Sheet1!$A$2:$A$391)</f>
        <v>PO10125</v>
      </c>
    </row>
    <row r="1883" spans="1:14" x14ac:dyDescent="0.2">
      <c r="A1883" t="s">
        <v>1892</v>
      </c>
      <c r="B1883" s="2">
        <v>46294</v>
      </c>
      <c r="C1883" t="s">
        <v>2940</v>
      </c>
      <c r="D1883" t="s">
        <v>2943</v>
      </c>
      <c r="E1883" t="s">
        <v>3075</v>
      </c>
      <c r="F1883" s="3">
        <v>46294.45808300309</v>
      </c>
      <c r="G1883" s="3">
        <v>46294.460107668659</v>
      </c>
      <c r="H1883">
        <v>2.92</v>
      </c>
      <c r="I1883" t="s">
        <v>3151</v>
      </c>
      <c r="J1883" t="s">
        <v>3169</v>
      </c>
      <c r="K1883" t="s">
        <v>3181</v>
      </c>
      <c r="L1883" t="str">
        <f>_xlfn.XLOOKUP(C1883,[1]!Table1[Shift_ID],[1]!Table1[Shift_ID])</f>
        <v>S01</v>
      </c>
      <c r="M1883" t="str">
        <f>_xlfn.XLOOKUP(D1883,[2]!Table1[Machine_ID],[2]!Table1[Machine_ID])</f>
        <v>M002</v>
      </c>
      <c r="N1883" t="str">
        <f>_xlfn.XLOOKUP(E1883,[3]Sheet1!$A$2:$A$391,[3]Sheet1!$A$2:$A$391)</f>
        <v>PO10125</v>
      </c>
    </row>
    <row r="1884" spans="1:14" x14ac:dyDescent="0.2">
      <c r="A1884" t="s">
        <v>1893</v>
      </c>
      <c r="B1884" s="2">
        <v>46294</v>
      </c>
      <c r="C1884" t="s">
        <v>2940</v>
      </c>
      <c r="D1884" t="s">
        <v>2943</v>
      </c>
      <c r="E1884" t="s">
        <v>3075</v>
      </c>
      <c r="F1884" s="3">
        <v>46294.476599767833</v>
      </c>
      <c r="G1884" s="3">
        <v>46294.477922508937</v>
      </c>
      <c r="H1884">
        <v>1.9</v>
      </c>
      <c r="I1884" t="s">
        <v>3148</v>
      </c>
      <c r="J1884" t="s">
        <v>3155</v>
      </c>
      <c r="K1884" t="s">
        <v>3183</v>
      </c>
      <c r="L1884" t="str">
        <f>_xlfn.XLOOKUP(C1884,[1]!Table1[Shift_ID],[1]!Table1[Shift_ID])</f>
        <v>S01</v>
      </c>
      <c r="M1884" t="str">
        <f>_xlfn.XLOOKUP(D1884,[2]!Table1[Machine_ID],[2]!Table1[Machine_ID])</f>
        <v>M002</v>
      </c>
      <c r="N1884" t="str">
        <f>_xlfn.XLOOKUP(E1884,[3]Sheet1!$A$2:$A$391,[3]Sheet1!$A$2:$A$391)</f>
        <v>PO10125</v>
      </c>
    </row>
    <row r="1885" spans="1:14" x14ac:dyDescent="0.2">
      <c r="A1885" t="s">
        <v>1894</v>
      </c>
      <c r="B1885" s="2">
        <v>46294</v>
      </c>
      <c r="C1885" t="s">
        <v>2940</v>
      </c>
      <c r="D1885" t="s">
        <v>2944</v>
      </c>
      <c r="E1885" t="s">
        <v>3075</v>
      </c>
      <c r="F1885" s="3">
        <v>46294.303746901751</v>
      </c>
      <c r="G1885" s="3">
        <v>46294.305544890572</v>
      </c>
      <c r="H1885">
        <v>2.59</v>
      </c>
      <c r="I1885" t="s">
        <v>3147</v>
      </c>
      <c r="J1885" t="s">
        <v>3154</v>
      </c>
      <c r="K1885" t="s">
        <v>3172</v>
      </c>
      <c r="L1885" t="str">
        <f>_xlfn.XLOOKUP(C1885,[1]!Table1[Shift_ID],[1]!Table1[Shift_ID])</f>
        <v>S01</v>
      </c>
      <c r="M1885" t="str">
        <f>_xlfn.XLOOKUP(D1885,[2]!Table1[Machine_ID],[2]!Table1[Machine_ID])</f>
        <v>M003</v>
      </c>
      <c r="N1885" t="str">
        <f>_xlfn.XLOOKUP(E1885,[3]Sheet1!$A$2:$A$391,[3]Sheet1!$A$2:$A$391)</f>
        <v>PO10125</v>
      </c>
    </row>
    <row r="1886" spans="1:14" x14ac:dyDescent="0.2">
      <c r="A1886" t="s">
        <v>1895</v>
      </c>
      <c r="B1886" s="2">
        <v>46294</v>
      </c>
      <c r="C1886" t="s">
        <v>2940</v>
      </c>
      <c r="D1886" t="s">
        <v>2944</v>
      </c>
      <c r="E1886" t="s">
        <v>3075</v>
      </c>
      <c r="F1886" s="3">
        <v>46294.342327639388</v>
      </c>
      <c r="G1886" s="3">
        <v>46294.345890811608</v>
      </c>
      <c r="H1886">
        <v>5.13</v>
      </c>
      <c r="I1886" t="s">
        <v>3147</v>
      </c>
      <c r="J1886" t="s">
        <v>3153</v>
      </c>
      <c r="K1886" t="s">
        <v>3186</v>
      </c>
      <c r="L1886" t="str">
        <f>_xlfn.XLOOKUP(C1886,[1]!Table1[Shift_ID],[1]!Table1[Shift_ID])</f>
        <v>S01</v>
      </c>
      <c r="M1886" t="str">
        <f>_xlfn.XLOOKUP(D1886,[2]!Table1[Machine_ID],[2]!Table1[Machine_ID])</f>
        <v>M003</v>
      </c>
      <c r="N1886" t="str">
        <f>_xlfn.XLOOKUP(E1886,[3]Sheet1!$A$2:$A$391,[3]Sheet1!$A$2:$A$391)</f>
        <v>PO10125</v>
      </c>
    </row>
    <row r="1887" spans="1:14" x14ac:dyDescent="0.2">
      <c r="A1887" t="s">
        <v>1896</v>
      </c>
      <c r="B1887" s="2">
        <v>46294</v>
      </c>
      <c r="C1887" t="s">
        <v>2940</v>
      </c>
      <c r="D1887" t="s">
        <v>2944</v>
      </c>
      <c r="E1887" t="s">
        <v>3075</v>
      </c>
      <c r="F1887" s="3">
        <v>46294.349415920537</v>
      </c>
      <c r="G1887" s="3">
        <v>46294.353799615354</v>
      </c>
      <c r="H1887">
        <v>6.31</v>
      </c>
      <c r="I1887" t="s">
        <v>3151</v>
      </c>
      <c r="J1887" t="s">
        <v>3170</v>
      </c>
      <c r="K1887" t="s">
        <v>3188</v>
      </c>
      <c r="L1887" t="str">
        <f>_xlfn.XLOOKUP(C1887,[1]!Table1[Shift_ID],[1]!Table1[Shift_ID])</f>
        <v>S01</v>
      </c>
      <c r="M1887" t="str">
        <f>_xlfn.XLOOKUP(D1887,[2]!Table1[Machine_ID],[2]!Table1[Machine_ID])</f>
        <v>M003</v>
      </c>
      <c r="N1887" t="str">
        <f>_xlfn.XLOOKUP(E1887,[3]Sheet1!$A$2:$A$391,[3]Sheet1!$A$2:$A$391)</f>
        <v>PO10125</v>
      </c>
    </row>
    <row r="1888" spans="1:14" x14ac:dyDescent="0.2">
      <c r="A1888" t="s">
        <v>1897</v>
      </c>
      <c r="B1888" s="2">
        <v>46294</v>
      </c>
      <c r="C1888" t="s">
        <v>2940</v>
      </c>
      <c r="D1888" t="s">
        <v>2945</v>
      </c>
      <c r="E1888" t="s">
        <v>3075</v>
      </c>
      <c r="F1888" s="3">
        <v>46294.36037202461</v>
      </c>
      <c r="G1888" s="3">
        <v>46294.36837897604</v>
      </c>
      <c r="H1888">
        <v>11.53</v>
      </c>
      <c r="I1888" t="s">
        <v>3148</v>
      </c>
      <c r="J1888" t="s">
        <v>3164</v>
      </c>
      <c r="K1888" t="s">
        <v>3173</v>
      </c>
      <c r="L1888" t="str">
        <f>_xlfn.XLOOKUP(C1888,[1]!Table1[Shift_ID],[1]!Table1[Shift_ID])</f>
        <v>S01</v>
      </c>
      <c r="M1888" t="str">
        <f>_xlfn.XLOOKUP(D1888,[2]!Table1[Machine_ID],[2]!Table1[Machine_ID])</f>
        <v>M004</v>
      </c>
      <c r="N1888" t="str">
        <f>_xlfn.XLOOKUP(E1888,[3]Sheet1!$A$2:$A$391,[3]Sheet1!$A$2:$A$391)</f>
        <v>PO10125</v>
      </c>
    </row>
    <row r="1889" spans="1:14" x14ac:dyDescent="0.2">
      <c r="A1889" t="s">
        <v>1898</v>
      </c>
      <c r="B1889" s="2">
        <v>46294</v>
      </c>
      <c r="C1889" t="s">
        <v>2940</v>
      </c>
      <c r="D1889" t="s">
        <v>2946</v>
      </c>
      <c r="E1889" t="s">
        <v>3075</v>
      </c>
      <c r="F1889" s="3">
        <v>46294.412631470623</v>
      </c>
      <c r="G1889" s="3">
        <v>46294.41979416876</v>
      </c>
      <c r="H1889">
        <v>10.31</v>
      </c>
      <c r="I1889" t="s">
        <v>3149</v>
      </c>
      <c r="J1889" t="s">
        <v>3158</v>
      </c>
      <c r="K1889" t="s">
        <v>3182</v>
      </c>
      <c r="L1889" t="str">
        <f>_xlfn.XLOOKUP(C1889,[1]!Table1[Shift_ID],[1]!Table1[Shift_ID])</f>
        <v>S01</v>
      </c>
      <c r="M1889" t="str">
        <f>_xlfn.XLOOKUP(D1889,[2]!Table1[Machine_ID],[2]!Table1[Machine_ID])</f>
        <v>M005</v>
      </c>
      <c r="N1889" t="str">
        <f>_xlfn.XLOOKUP(E1889,[3]Sheet1!$A$2:$A$391,[3]Sheet1!$A$2:$A$391)</f>
        <v>PO10125</v>
      </c>
    </row>
    <row r="1890" spans="1:14" x14ac:dyDescent="0.2">
      <c r="A1890" t="s">
        <v>1899</v>
      </c>
      <c r="B1890" s="2">
        <v>46294</v>
      </c>
      <c r="C1890" t="s">
        <v>2940</v>
      </c>
      <c r="D1890" t="s">
        <v>2947</v>
      </c>
      <c r="E1890" t="s">
        <v>3075</v>
      </c>
      <c r="F1890" s="3">
        <v>46294.336168109061</v>
      </c>
      <c r="G1890" s="3">
        <v>46294.348292880022</v>
      </c>
      <c r="H1890">
        <v>17.46</v>
      </c>
      <c r="I1890" t="s">
        <v>3150</v>
      </c>
      <c r="J1890" t="s">
        <v>3160</v>
      </c>
      <c r="K1890" t="s">
        <v>3177</v>
      </c>
      <c r="L1890" t="str">
        <f>_xlfn.XLOOKUP(C1890,[1]!Table1[Shift_ID],[1]!Table1[Shift_ID])</f>
        <v>S01</v>
      </c>
      <c r="M1890" t="str">
        <f>_xlfn.XLOOKUP(D1890,[2]!Table1[Machine_ID],[2]!Table1[Machine_ID])</f>
        <v>M006</v>
      </c>
      <c r="N1890" t="str">
        <f>_xlfn.XLOOKUP(E1890,[3]Sheet1!$A$2:$A$391,[3]Sheet1!$A$2:$A$391)</f>
        <v>PO10125</v>
      </c>
    </row>
    <row r="1891" spans="1:14" x14ac:dyDescent="0.2">
      <c r="A1891" t="s">
        <v>1900</v>
      </c>
      <c r="B1891" s="2">
        <v>46294</v>
      </c>
      <c r="C1891" t="s">
        <v>2940</v>
      </c>
      <c r="D1891" t="s">
        <v>2947</v>
      </c>
      <c r="E1891" t="s">
        <v>3075</v>
      </c>
      <c r="F1891" s="3">
        <v>46294.458916924632</v>
      </c>
      <c r="G1891" s="3">
        <v>46294.466430985107</v>
      </c>
      <c r="H1891">
        <v>10.82</v>
      </c>
      <c r="I1891" t="s">
        <v>3150</v>
      </c>
      <c r="J1891" t="s">
        <v>3166</v>
      </c>
      <c r="K1891" t="s">
        <v>3177</v>
      </c>
      <c r="L1891" t="str">
        <f>_xlfn.XLOOKUP(C1891,[1]!Table1[Shift_ID],[1]!Table1[Shift_ID])</f>
        <v>S01</v>
      </c>
      <c r="M1891" t="str">
        <f>_xlfn.XLOOKUP(D1891,[2]!Table1[Machine_ID],[2]!Table1[Machine_ID])</f>
        <v>M006</v>
      </c>
      <c r="N1891" t="str">
        <f>_xlfn.XLOOKUP(E1891,[3]Sheet1!$A$2:$A$391,[3]Sheet1!$A$2:$A$391)</f>
        <v>PO10125</v>
      </c>
    </row>
    <row r="1892" spans="1:14" x14ac:dyDescent="0.2">
      <c r="A1892" t="s">
        <v>1901</v>
      </c>
      <c r="B1892" s="2">
        <v>46294</v>
      </c>
      <c r="C1892" t="s">
        <v>2940</v>
      </c>
      <c r="D1892" t="s">
        <v>2948</v>
      </c>
      <c r="E1892" t="s">
        <v>3075</v>
      </c>
      <c r="F1892" s="3">
        <v>46294.371115475267</v>
      </c>
      <c r="G1892" s="3">
        <v>46294.372882562231</v>
      </c>
      <c r="H1892">
        <v>2.54</v>
      </c>
      <c r="I1892" t="s">
        <v>3150</v>
      </c>
      <c r="J1892" t="s">
        <v>3160</v>
      </c>
      <c r="K1892" t="s">
        <v>3178</v>
      </c>
      <c r="L1892" t="str">
        <f>_xlfn.XLOOKUP(C1892,[1]!Table1[Shift_ID],[1]!Table1[Shift_ID])</f>
        <v>S01</v>
      </c>
      <c r="M1892" t="str">
        <f>_xlfn.XLOOKUP(D1892,[2]!Table1[Machine_ID],[2]!Table1[Machine_ID])</f>
        <v>M007</v>
      </c>
      <c r="N1892" t="str">
        <f>_xlfn.XLOOKUP(E1892,[3]Sheet1!$A$2:$A$391,[3]Sheet1!$A$2:$A$391)</f>
        <v>PO10125</v>
      </c>
    </row>
    <row r="1893" spans="1:14" x14ac:dyDescent="0.2">
      <c r="A1893" t="s">
        <v>1902</v>
      </c>
      <c r="B1893" s="2">
        <v>46294</v>
      </c>
      <c r="C1893" t="s">
        <v>2940</v>
      </c>
      <c r="D1893" t="s">
        <v>2948</v>
      </c>
      <c r="E1893" t="s">
        <v>3075</v>
      </c>
      <c r="F1893" s="3">
        <v>46294.422819701453</v>
      </c>
      <c r="G1893" s="3">
        <v>46294.427112230289</v>
      </c>
      <c r="H1893">
        <v>6.18</v>
      </c>
      <c r="I1893" t="s">
        <v>3150</v>
      </c>
      <c r="J1893" t="s">
        <v>3166</v>
      </c>
      <c r="K1893" t="s">
        <v>3179</v>
      </c>
      <c r="L1893" t="str">
        <f>_xlfn.XLOOKUP(C1893,[1]!Table1[Shift_ID],[1]!Table1[Shift_ID])</f>
        <v>S01</v>
      </c>
      <c r="M1893" t="str">
        <f>_xlfn.XLOOKUP(D1893,[2]!Table1[Machine_ID],[2]!Table1[Machine_ID])</f>
        <v>M007</v>
      </c>
      <c r="N1893" t="str">
        <f>_xlfn.XLOOKUP(E1893,[3]Sheet1!$A$2:$A$391,[3]Sheet1!$A$2:$A$391)</f>
        <v>PO10125</v>
      </c>
    </row>
    <row r="1894" spans="1:14" x14ac:dyDescent="0.2">
      <c r="A1894" t="s">
        <v>1903</v>
      </c>
      <c r="B1894" s="2">
        <v>46294</v>
      </c>
      <c r="C1894" t="s">
        <v>2940</v>
      </c>
      <c r="D1894" t="s">
        <v>2948</v>
      </c>
      <c r="E1894" t="s">
        <v>3075</v>
      </c>
      <c r="F1894" s="3">
        <v>46294.459136107223</v>
      </c>
      <c r="G1894" s="3">
        <v>46294.464190560837</v>
      </c>
      <c r="H1894">
        <v>7.28</v>
      </c>
      <c r="I1894" t="s">
        <v>3148</v>
      </c>
      <c r="J1894" t="s">
        <v>3164</v>
      </c>
      <c r="K1894" t="s">
        <v>3183</v>
      </c>
      <c r="L1894" t="str">
        <f>_xlfn.XLOOKUP(C1894,[1]!Table1[Shift_ID],[1]!Table1[Shift_ID])</f>
        <v>S01</v>
      </c>
      <c r="M1894" t="str">
        <f>_xlfn.XLOOKUP(D1894,[2]!Table1[Machine_ID],[2]!Table1[Machine_ID])</f>
        <v>M007</v>
      </c>
      <c r="N1894" t="str">
        <f>_xlfn.XLOOKUP(E1894,[3]Sheet1!$A$2:$A$391,[3]Sheet1!$A$2:$A$391)</f>
        <v>PO10125</v>
      </c>
    </row>
    <row r="1895" spans="1:14" x14ac:dyDescent="0.2">
      <c r="A1895" t="s">
        <v>1904</v>
      </c>
      <c r="B1895" s="2">
        <v>46294</v>
      </c>
      <c r="C1895" t="s">
        <v>2940</v>
      </c>
      <c r="D1895" t="s">
        <v>2949</v>
      </c>
      <c r="E1895" t="s">
        <v>3075</v>
      </c>
      <c r="F1895" s="3">
        <v>46294.381732203059</v>
      </c>
      <c r="G1895" s="3">
        <v>46294.386586297507</v>
      </c>
      <c r="H1895">
        <v>6.99</v>
      </c>
      <c r="I1895" t="s">
        <v>3148</v>
      </c>
      <c r="J1895" t="s">
        <v>3155</v>
      </c>
      <c r="K1895" t="s">
        <v>3173</v>
      </c>
      <c r="L1895" t="str">
        <f>_xlfn.XLOOKUP(C1895,[1]!Table1[Shift_ID],[1]!Table1[Shift_ID])</f>
        <v>S01</v>
      </c>
      <c r="M1895" t="str">
        <f>_xlfn.XLOOKUP(D1895,[2]!Table1[Machine_ID],[2]!Table1[Machine_ID])</f>
        <v>M008</v>
      </c>
      <c r="N1895" t="str">
        <f>_xlfn.XLOOKUP(E1895,[3]Sheet1!$A$2:$A$391,[3]Sheet1!$A$2:$A$391)</f>
        <v>PO10125</v>
      </c>
    </row>
    <row r="1896" spans="1:14" x14ac:dyDescent="0.2">
      <c r="A1896" t="s">
        <v>1905</v>
      </c>
      <c r="B1896" s="2">
        <v>46294</v>
      </c>
      <c r="C1896" t="s">
        <v>2941</v>
      </c>
      <c r="D1896" t="s">
        <v>2942</v>
      </c>
      <c r="E1896" t="s">
        <v>3076</v>
      </c>
      <c r="F1896" s="3">
        <v>46294.626473749537</v>
      </c>
      <c r="G1896" s="3">
        <v>46294.631571967213</v>
      </c>
      <c r="H1896">
        <v>7.34</v>
      </c>
      <c r="I1896" t="s">
        <v>3146</v>
      </c>
      <c r="J1896" t="s">
        <v>3156</v>
      </c>
      <c r="K1896" t="s">
        <v>3174</v>
      </c>
      <c r="L1896" t="str">
        <f>_xlfn.XLOOKUP(C1896,[1]!Table1[Shift_ID],[1]!Table1[Shift_ID])</f>
        <v>S02</v>
      </c>
      <c r="M1896" t="str">
        <f>_xlfn.XLOOKUP(D1896,[2]!Table1[Machine_ID],[2]!Table1[Machine_ID])</f>
        <v>M001</v>
      </c>
      <c r="N1896" t="str">
        <f>_xlfn.XLOOKUP(E1896,[3]Sheet1!$A$2:$A$391,[3]Sheet1!$A$2:$A$391)</f>
        <v>PO10126</v>
      </c>
    </row>
    <row r="1897" spans="1:14" x14ac:dyDescent="0.2">
      <c r="A1897" t="s">
        <v>1906</v>
      </c>
      <c r="B1897" s="2">
        <v>46294</v>
      </c>
      <c r="C1897" t="s">
        <v>2941</v>
      </c>
      <c r="D1897" t="s">
        <v>2943</v>
      </c>
      <c r="E1897" t="s">
        <v>3076</v>
      </c>
      <c r="F1897" s="3">
        <v>46294.888457647678</v>
      </c>
      <c r="G1897" s="3">
        <v>46294.89454423391</v>
      </c>
      <c r="H1897">
        <v>8.76</v>
      </c>
      <c r="I1897" t="s">
        <v>3149</v>
      </c>
      <c r="J1897" t="s">
        <v>3158</v>
      </c>
      <c r="K1897" t="s">
        <v>3184</v>
      </c>
      <c r="L1897" t="str">
        <f>_xlfn.XLOOKUP(C1897,[1]!Table1[Shift_ID],[1]!Table1[Shift_ID])</f>
        <v>S02</v>
      </c>
      <c r="M1897" t="str">
        <f>_xlfn.XLOOKUP(D1897,[2]!Table1[Machine_ID],[2]!Table1[Machine_ID])</f>
        <v>M002</v>
      </c>
      <c r="N1897" t="str">
        <f>_xlfn.XLOOKUP(E1897,[3]Sheet1!$A$2:$A$391,[3]Sheet1!$A$2:$A$391)</f>
        <v>PO10126</v>
      </c>
    </row>
    <row r="1898" spans="1:14" x14ac:dyDescent="0.2">
      <c r="A1898" t="s">
        <v>1907</v>
      </c>
      <c r="B1898" s="2">
        <v>46294</v>
      </c>
      <c r="C1898" t="s">
        <v>2941</v>
      </c>
      <c r="D1898" t="s">
        <v>2944</v>
      </c>
      <c r="E1898" t="s">
        <v>3076</v>
      </c>
      <c r="F1898" s="3">
        <v>46294.749296120928</v>
      </c>
      <c r="G1898" s="3">
        <v>46294.758553784442</v>
      </c>
      <c r="H1898">
        <v>13.33</v>
      </c>
      <c r="I1898" t="s">
        <v>3149</v>
      </c>
      <c r="J1898" t="s">
        <v>3158</v>
      </c>
      <c r="K1898" t="s">
        <v>3176</v>
      </c>
      <c r="L1898" t="str">
        <f>_xlfn.XLOOKUP(C1898,[1]!Table1[Shift_ID],[1]!Table1[Shift_ID])</f>
        <v>S02</v>
      </c>
      <c r="M1898" t="str">
        <f>_xlfn.XLOOKUP(D1898,[2]!Table1[Machine_ID],[2]!Table1[Machine_ID])</f>
        <v>M003</v>
      </c>
      <c r="N1898" t="str">
        <f>_xlfn.XLOOKUP(E1898,[3]Sheet1!$A$2:$A$391,[3]Sheet1!$A$2:$A$391)</f>
        <v>PO10126</v>
      </c>
    </row>
    <row r="1899" spans="1:14" x14ac:dyDescent="0.2">
      <c r="A1899" t="s">
        <v>1908</v>
      </c>
      <c r="B1899" s="2">
        <v>46294</v>
      </c>
      <c r="C1899" t="s">
        <v>2941</v>
      </c>
      <c r="D1899" t="s">
        <v>2945</v>
      </c>
      <c r="E1899" t="s">
        <v>3076</v>
      </c>
      <c r="F1899" s="3">
        <v>46294.805464701283</v>
      </c>
      <c r="G1899" s="3">
        <v>46294.814393518573</v>
      </c>
      <c r="H1899">
        <v>12.86</v>
      </c>
      <c r="I1899" t="s">
        <v>3147</v>
      </c>
      <c r="J1899" t="s">
        <v>3154</v>
      </c>
      <c r="K1899" t="s">
        <v>3186</v>
      </c>
      <c r="L1899" t="str">
        <f>_xlfn.XLOOKUP(C1899,[1]!Table1[Shift_ID],[1]!Table1[Shift_ID])</f>
        <v>S02</v>
      </c>
      <c r="M1899" t="str">
        <f>_xlfn.XLOOKUP(D1899,[2]!Table1[Machine_ID],[2]!Table1[Machine_ID])</f>
        <v>M004</v>
      </c>
      <c r="N1899" t="str">
        <f>_xlfn.XLOOKUP(E1899,[3]Sheet1!$A$2:$A$391,[3]Sheet1!$A$2:$A$391)</f>
        <v>PO10126</v>
      </c>
    </row>
    <row r="1900" spans="1:14" x14ac:dyDescent="0.2">
      <c r="A1900" t="s">
        <v>1909</v>
      </c>
      <c r="B1900" s="2">
        <v>46294</v>
      </c>
      <c r="C1900" t="s">
        <v>2941</v>
      </c>
      <c r="D1900" t="s">
        <v>2946</v>
      </c>
      <c r="E1900" t="s">
        <v>3076</v>
      </c>
      <c r="F1900" s="3">
        <v>46294.899501449298</v>
      </c>
      <c r="G1900" s="3">
        <v>46294.909308104972</v>
      </c>
      <c r="H1900">
        <v>14.12</v>
      </c>
      <c r="I1900" t="s">
        <v>3149</v>
      </c>
      <c r="J1900" t="s">
        <v>3158</v>
      </c>
      <c r="K1900" t="s">
        <v>3184</v>
      </c>
      <c r="L1900" t="str">
        <f>_xlfn.XLOOKUP(C1900,[1]!Table1[Shift_ID],[1]!Table1[Shift_ID])</f>
        <v>S02</v>
      </c>
      <c r="M1900" t="str">
        <f>_xlfn.XLOOKUP(D1900,[2]!Table1[Machine_ID],[2]!Table1[Machine_ID])</f>
        <v>M005</v>
      </c>
      <c r="N1900" t="str">
        <f>_xlfn.XLOOKUP(E1900,[3]Sheet1!$A$2:$A$391,[3]Sheet1!$A$2:$A$391)</f>
        <v>PO10126</v>
      </c>
    </row>
    <row r="1901" spans="1:14" x14ac:dyDescent="0.2">
      <c r="A1901" t="s">
        <v>1910</v>
      </c>
      <c r="B1901" s="2">
        <v>46294</v>
      </c>
      <c r="C1901" t="s">
        <v>2941</v>
      </c>
      <c r="D1901" t="s">
        <v>2947</v>
      </c>
      <c r="E1901" t="s">
        <v>3076</v>
      </c>
      <c r="F1901" s="3">
        <v>46294.896738529198</v>
      </c>
      <c r="G1901" s="3">
        <v>46294.916666666657</v>
      </c>
      <c r="H1901">
        <v>28.7</v>
      </c>
      <c r="I1901" t="s">
        <v>3146</v>
      </c>
      <c r="J1901" t="s">
        <v>3156</v>
      </c>
      <c r="K1901" t="s">
        <v>3175</v>
      </c>
      <c r="L1901" t="str">
        <f>_xlfn.XLOOKUP(C1901,[1]!Table1[Shift_ID],[1]!Table1[Shift_ID])</f>
        <v>S02</v>
      </c>
      <c r="M1901" t="str">
        <f>_xlfn.XLOOKUP(D1901,[2]!Table1[Machine_ID],[2]!Table1[Machine_ID])</f>
        <v>M006</v>
      </c>
      <c r="N1901" t="str">
        <f>_xlfn.XLOOKUP(E1901,[3]Sheet1!$A$2:$A$391,[3]Sheet1!$A$2:$A$391)</f>
        <v>PO10126</v>
      </c>
    </row>
    <row r="1902" spans="1:14" x14ac:dyDescent="0.2">
      <c r="A1902" t="s">
        <v>1911</v>
      </c>
      <c r="B1902" s="2">
        <v>46294</v>
      </c>
      <c r="C1902" t="s">
        <v>2941</v>
      </c>
      <c r="D1902" t="s">
        <v>2948</v>
      </c>
      <c r="E1902" t="s">
        <v>3076</v>
      </c>
      <c r="F1902" s="3">
        <v>46294.838999766063</v>
      </c>
      <c r="G1902" s="3">
        <v>46294.849817965704</v>
      </c>
      <c r="H1902">
        <v>15.58</v>
      </c>
      <c r="I1902" t="s">
        <v>3147</v>
      </c>
      <c r="J1902" t="s">
        <v>3153</v>
      </c>
      <c r="K1902" t="s">
        <v>3185</v>
      </c>
      <c r="L1902" t="str">
        <f>_xlfn.XLOOKUP(C1902,[1]!Table1[Shift_ID],[1]!Table1[Shift_ID])</f>
        <v>S02</v>
      </c>
      <c r="M1902" t="str">
        <f>_xlfn.XLOOKUP(D1902,[2]!Table1[Machine_ID],[2]!Table1[Machine_ID])</f>
        <v>M007</v>
      </c>
      <c r="N1902" t="str">
        <f>_xlfn.XLOOKUP(E1902,[3]Sheet1!$A$2:$A$391,[3]Sheet1!$A$2:$A$391)</f>
        <v>PO10126</v>
      </c>
    </row>
    <row r="1903" spans="1:14" x14ac:dyDescent="0.2">
      <c r="A1903" t="s">
        <v>1912</v>
      </c>
      <c r="B1903" s="2">
        <v>46294</v>
      </c>
      <c r="C1903" t="s">
        <v>2941</v>
      </c>
      <c r="D1903" t="s">
        <v>2949</v>
      </c>
      <c r="E1903" t="s">
        <v>3076</v>
      </c>
      <c r="F1903" s="3">
        <v>46294.747350059857</v>
      </c>
      <c r="G1903" s="3">
        <v>46294.753498027138</v>
      </c>
      <c r="H1903">
        <v>8.85</v>
      </c>
      <c r="I1903" t="s">
        <v>3149</v>
      </c>
      <c r="J1903" t="s">
        <v>3158</v>
      </c>
      <c r="K1903" t="s">
        <v>3182</v>
      </c>
      <c r="L1903" t="str">
        <f>_xlfn.XLOOKUP(C1903,[1]!Table1[Shift_ID],[1]!Table1[Shift_ID])</f>
        <v>S02</v>
      </c>
      <c r="M1903" t="str">
        <f>_xlfn.XLOOKUP(D1903,[2]!Table1[Machine_ID],[2]!Table1[Machine_ID])</f>
        <v>M008</v>
      </c>
      <c r="N1903" t="str">
        <f>_xlfn.XLOOKUP(E1903,[3]Sheet1!$A$2:$A$391,[3]Sheet1!$A$2:$A$391)</f>
        <v>PO10126</v>
      </c>
    </row>
    <row r="1904" spans="1:14" x14ac:dyDescent="0.2">
      <c r="A1904" t="s">
        <v>1913</v>
      </c>
      <c r="B1904" s="2">
        <v>46295</v>
      </c>
      <c r="C1904" t="s">
        <v>2939</v>
      </c>
      <c r="D1904" t="s">
        <v>2942</v>
      </c>
      <c r="E1904" t="s">
        <v>3077</v>
      </c>
      <c r="F1904" s="3">
        <v>46296.04788971848</v>
      </c>
      <c r="G1904" s="3">
        <v>46296.055131086352</v>
      </c>
      <c r="H1904">
        <v>10.43</v>
      </c>
      <c r="I1904" t="s">
        <v>3146</v>
      </c>
      <c r="J1904" t="s">
        <v>3152</v>
      </c>
      <c r="K1904" t="s">
        <v>3171</v>
      </c>
      <c r="L1904" t="str">
        <f>_xlfn.XLOOKUP(C1904,[1]!Table1[Shift_ID],[1]!Table1[Shift_ID])</f>
        <v>S03</v>
      </c>
      <c r="M1904" t="str">
        <f>_xlfn.XLOOKUP(D1904,[2]!Table1[Machine_ID],[2]!Table1[Machine_ID])</f>
        <v>M001</v>
      </c>
      <c r="N1904" t="str">
        <f>_xlfn.XLOOKUP(E1904,[3]Sheet1!$A$2:$A$391,[3]Sheet1!$A$2:$A$391)</f>
        <v>PO10127</v>
      </c>
    </row>
    <row r="1905" spans="1:14" x14ac:dyDescent="0.2">
      <c r="A1905" t="s">
        <v>1914</v>
      </c>
      <c r="B1905" s="2">
        <v>46295</v>
      </c>
      <c r="C1905" t="s">
        <v>2939</v>
      </c>
      <c r="D1905" t="s">
        <v>2943</v>
      </c>
      <c r="E1905" t="s">
        <v>3077</v>
      </c>
      <c r="F1905" s="3">
        <v>46295.939736459703</v>
      </c>
      <c r="G1905" s="3">
        <v>46295.947750557119</v>
      </c>
      <c r="H1905">
        <v>11.54</v>
      </c>
      <c r="I1905" t="s">
        <v>3149</v>
      </c>
      <c r="J1905" t="s">
        <v>3158</v>
      </c>
      <c r="K1905" t="s">
        <v>3182</v>
      </c>
      <c r="L1905" t="str">
        <f>_xlfn.XLOOKUP(C1905,[1]!Table1[Shift_ID],[1]!Table1[Shift_ID])</f>
        <v>S03</v>
      </c>
      <c r="M1905" t="str">
        <f>_xlfn.XLOOKUP(D1905,[2]!Table1[Machine_ID],[2]!Table1[Machine_ID])</f>
        <v>M002</v>
      </c>
      <c r="N1905" t="str">
        <f>_xlfn.XLOOKUP(E1905,[3]Sheet1!$A$2:$A$391,[3]Sheet1!$A$2:$A$391)</f>
        <v>PO10127</v>
      </c>
    </row>
    <row r="1906" spans="1:14" x14ac:dyDescent="0.2">
      <c r="A1906" t="s">
        <v>1915</v>
      </c>
      <c r="B1906" s="2">
        <v>46295</v>
      </c>
      <c r="C1906" t="s">
        <v>2939</v>
      </c>
      <c r="D1906" t="s">
        <v>2943</v>
      </c>
      <c r="E1906" t="s">
        <v>3077</v>
      </c>
      <c r="F1906" s="3">
        <v>46296.006208090512</v>
      </c>
      <c r="G1906" s="3">
        <v>46296.007978825917</v>
      </c>
      <c r="H1906">
        <v>2.5499999999999998</v>
      </c>
      <c r="I1906" t="s">
        <v>3148</v>
      </c>
      <c r="J1906" t="s">
        <v>3165</v>
      </c>
      <c r="K1906" t="s">
        <v>3183</v>
      </c>
      <c r="L1906" t="str">
        <f>_xlfn.XLOOKUP(C1906,[1]!Table1[Shift_ID],[1]!Table1[Shift_ID])</f>
        <v>S03</v>
      </c>
      <c r="M1906" t="str">
        <f>_xlfn.XLOOKUP(D1906,[2]!Table1[Machine_ID],[2]!Table1[Machine_ID])</f>
        <v>M002</v>
      </c>
      <c r="N1906" t="str">
        <f>_xlfn.XLOOKUP(E1906,[3]Sheet1!$A$2:$A$391,[3]Sheet1!$A$2:$A$391)</f>
        <v>PO10127</v>
      </c>
    </row>
    <row r="1907" spans="1:14" x14ac:dyDescent="0.2">
      <c r="A1907" t="s">
        <v>1916</v>
      </c>
      <c r="B1907" s="2">
        <v>46295</v>
      </c>
      <c r="C1907" t="s">
        <v>2939</v>
      </c>
      <c r="D1907" t="s">
        <v>2944</v>
      </c>
      <c r="E1907" t="s">
        <v>3077</v>
      </c>
      <c r="F1907" s="3">
        <v>46296.022669653583</v>
      </c>
      <c r="G1907" s="3">
        <v>46296.033138963008</v>
      </c>
      <c r="H1907">
        <v>15.08</v>
      </c>
      <c r="I1907" t="s">
        <v>3151</v>
      </c>
      <c r="J1907" t="s">
        <v>3170</v>
      </c>
      <c r="K1907" t="s">
        <v>3181</v>
      </c>
      <c r="L1907" t="str">
        <f>_xlfn.XLOOKUP(C1907,[1]!Table1[Shift_ID],[1]!Table1[Shift_ID])</f>
        <v>S03</v>
      </c>
      <c r="M1907" t="str">
        <f>_xlfn.XLOOKUP(D1907,[2]!Table1[Machine_ID],[2]!Table1[Machine_ID])</f>
        <v>M003</v>
      </c>
      <c r="N1907" t="str">
        <f>_xlfn.XLOOKUP(E1907,[3]Sheet1!$A$2:$A$391,[3]Sheet1!$A$2:$A$391)</f>
        <v>PO10127</v>
      </c>
    </row>
    <row r="1908" spans="1:14" x14ac:dyDescent="0.2">
      <c r="A1908" t="s">
        <v>1917</v>
      </c>
      <c r="B1908" s="2">
        <v>46295</v>
      </c>
      <c r="C1908" t="s">
        <v>2939</v>
      </c>
      <c r="D1908" t="s">
        <v>2945</v>
      </c>
      <c r="E1908" t="s">
        <v>3077</v>
      </c>
      <c r="F1908" s="3">
        <v>46295.994924159168</v>
      </c>
      <c r="G1908" s="3">
        <v>46295.998202336727</v>
      </c>
      <c r="H1908">
        <v>4.72</v>
      </c>
      <c r="I1908" t="s">
        <v>3149</v>
      </c>
      <c r="J1908" t="s">
        <v>3168</v>
      </c>
      <c r="K1908" t="s">
        <v>3182</v>
      </c>
      <c r="L1908" t="str">
        <f>_xlfn.XLOOKUP(C1908,[1]!Table1[Shift_ID],[1]!Table1[Shift_ID])</f>
        <v>S03</v>
      </c>
      <c r="M1908" t="str">
        <f>_xlfn.XLOOKUP(D1908,[2]!Table1[Machine_ID],[2]!Table1[Machine_ID])</f>
        <v>M004</v>
      </c>
      <c r="N1908" t="str">
        <f>_xlfn.XLOOKUP(E1908,[3]Sheet1!$A$2:$A$391,[3]Sheet1!$A$2:$A$391)</f>
        <v>PO10127</v>
      </c>
    </row>
    <row r="1909" spans="1:14" x14ac:dyDescent="0.2">
      <c r="A1909" t="s">
        <v>1918</v>
      </c>
      <c r="B1909" s="2">
        <v>46295</v>
      </c>
      <c r="C1909" t="s">
        <v>2939</v>
      </c>
      <c r="D1909" t="s">
        <v>2945</v>
      </c>
      <c r="E1909" t="s">
        <v>3077</v>
      </c>
      <c r="F1909" s="3">
        <v>46296.138104651298</v>
      </c>
      <c r="G1909" s="3">
        <v>46296.140089050343</v>
      </c>
      <c r="H1909">
        <v>2.86</v>
      </c>
      <c r="I1909" t="s">
        <v>3146</v>
      </c>
      <c r="J1909" t="s">
        <v>3152</v>
      </c>
      <c r="K1909" t="s">
        <v>3171</v>
      </c>
      <c r="L1909" t="str">
        <f>_xlfn.XLOOKUP(C1909,[1]!Table1[Shift_ID],[1]!Table1[Shift_ID])</f>
        <v>S03</v>
      </c>
      <c r="M1909" t="str">
        <f>_xlfn.XLOOKUP(D1909,[2]!Table1[Machine_ID],[2]!Table1[Machine_ID])</f>
        <v>M004</v>
      </c>
      <c r="N1909" t="str">
        <f>_xlfn.XLOOKUP(E1909,[3]Sheet1!$A$2:$A$391,[3]Sheet1!$A$2:$A$391)</f>
        <v>PO10127</v>
      </c>
    </row>
    <row r="1910" spans="1:14" x14ac:dyDescent="0.2">
      <c r="A1910" t="s">
        <v>1919</v>
      </c>
      <c r="B1910" s="2">
        <v>46295</v>
      </c>
      <c r="C1910" t="s">
        <v>2939</v>
      </c>
      <c r="D1910" t="s">
        <v>2945</v>
      </c>
      <c r="E1910" t="s">
        <v>3077</v>
      </c>
      <c r="F1910" s="3">
        <v>46296.216679898389</v>
      </c>
      <c r="G1910" s="3">
        <v>46296.219752009907</v>
      </c>
      <c r="H1910">
        <v>4.42</v>
      </c>
      <c r="I1910" t="s">
        <v>3147</v>
      </c>
      <c r="J1910" t="s">
        <v>3154</v>
      </c>
      <c r="K1910" t="s">
        <v>3185</v>
      </c>
      <c r="L1910" t="str">
        <f>_xlfn.XLOOKUP(C1910,[1]!Table1[Shift_ID],[1]!Table1[Shift_ID])</f>
        <v>S03</v>
      </c>
      <c r="M1910" t="str">
        <f>_xlfn.XLOOKUP(D1910,[2]!Table1[Machine_ID],[2]!Table1[Machine_ID])</f>
        <v>M004</v>
      </c>
      <c r="N1910" t="str">
        <f>_xlfn.XLOOKUP(E1910,[3]Sheet1!$A$2:$A$391,[3]Sheet1!$A$2:$A$391)</f>
        <v>PO10127</v>
      </c>
    </row>
    <row r="1911" spans="1:14" x14ac:dyDescent="0.2">
      <c r="A1911" t="s">
        <v>1920</v>
      </c>
      <c r="B1911" s="2">
        <v>46295</v>
      </c>
      <c r="C1911" t="s">
        <v>2939</v>
      </c>
      <c r="D1911" t="s">
        <v>2946</v>
      </c>
      <c r="E1911" t="s">
        <v>3077</v>
      </c>
      <c r="F1911" s="3">
        <v>46296.118820127231</v>
      </c>
      <c r="G1911" s="3">
        <v>46296.127476231602</v>
      </c>
      <c r="H1911">
        <v>12.46</v>
      </c>
      <c r="I1911" t="s">
        <v>3149</v>
      </c>
      <c r="J1911" t="s">
        <v>3158</v>
      </c>
      <c r="K1911" t="s">
        <v>3176</v>
      </c>
      <c r="L1911" t="str">
        <f>_xlfn.XLOOKUP(C1911,[1]!Table1[Shift_ID],[1]!Table1[Shift_ID])</f>
        <v>S03</v>
      </c>
      <c r="M1911" t="str">
        <f>_xlfn.XLOOKUP(D1911,[2]!Table1[Machine_ID],[2]!Table1[Machine_ID])</f>
        <v>M005</v>
      </c>
      <c r="N1911" t="str">
        <f>_xlfn.XLOOKUP(E1911,[3]Sheet1!$A$2:$A$391,[3]Sheet1!$A$2:$A$391)</f>
        <v>PO10127</v>
      </c>
    </row>
    <row r="1912" spans="1:14" x14ac:dyDescent="0.2">
      <c r="A1912" t="s">
        <v>1921</v>
      </c>
      <c r="B1912" s="2">
        <v>46295</v>
      </c>
      <c r="C1912" t="s">
        <v>2939</v>
      </c>
      <c r="D1912" t="s">
        <v>2947</v>
      </c>
      <c r="E1912" t="s">
        <v>3077</v>
      </c>
      <c r="F1912" s="3">
        <v>46296.105284521604</v>
      </c>
      <c r="G1912" s="3">
        <v>46296.141527287902</v>
      </c>
      <c r="H1912">
        <v>52.19</v>
      </c>
      <c r="I1912" t="s">
        <v>3151</v>
      </c>
      <c r="J1912" t="s">
        <v>3169</v>
      </c>
      <c r="K1912" t="s">
        <v>3188</v>
      </c>
      <c r="L1912" t="str">
        <f>_xlfn.XLOOKUP(C1912,[1]!Table1[Shift_ID],[1]!Table1[Shift_ID])</f>
        <v>S03</v>
      </c>
      <c r="M1912" t="str">
        <f>_xlfn.XLOOKUP(D1912,[2]!Table1[Machine_ID],[2]!Table1[Machine_ID])</f>
        <v>M006</v>
      </c>
      <c r="N1912" t="str">
        <f>_xlfn.XLOOKUP(E1912,[3]Sheet1!$A$2:$A$391,[3]Sheet1!$A$2:$A$391)</f>
        <v>PO10127</v>
      </c>
    </row>
    <row r="1913" spans="1:14" x14ac:dyDescent="0.2">
      <c r="A1913" t="s">
        <v>1922</v>
      </c>
      <c r="B1913" s="2">
        <v>46295</v>
      </c>
      <c r="C1913" t="s">
        <v>2939</v>
      </c>
      <c r="D1913" t="s">
        <v>2948</v>
      </c>
      <c r="E1913" t="s">
        <v>3077</v>
      </c>
      <c r="F1913" s="3">
        <v>46296.225652571353</v>
      </c>
      <c r="G1913" s="3">
        <v>46296.239538613358</v>
      </c>
      <c r="H1913">
        <v>20</v>
      </c>
      <c r="I1913" t="s">
        <v>3148</v>
      </c>
      <c r="J1913" t="s">
        <v>3165</v>
      </c>
      <c r="K1913" t="s">
        <v>3183</v>
      </c>
      <c r="L1913" t="str">
        <f>_xlfn.XLOOKUP(C1913,[1]!Table1[Shift_ID],[1]!Table1[Shift_ID])</f>
        <v>S03</v>
      </c>
      <c r="M1913" t="str">
        <f>_xlfn.XLOOKUP(D1913,[2]!Table1[Machine_ID],[2]!Table1[Machine_ID])</f>
        <v>M007</v>
      </c>
      <c r="N1913" t="str">
        <f>_xlfn.XLOOKUP(E1913,[3]Sheet1!$A$2:$A$391,[3]Sheet1!$A$2:$A$391)</f>
        <v>PO10127</v>
      </c>
    </row>
    <row r="1914" spans="1:14" x14ac:dyDescent="0.2">
      <c r="A1914" t="s">
        <v>1923</v>
      </c>
      <c r="B1914" s="2">
        <v>46295</v>
      </c>
      <c r="C1914" t="s">
        <v>2939</v>
      </c>
      <c r="D1914" t="s">
        <v>2949</v>
      </c>
      <c r="E1914" t="s">
        <v>3077</v>
      </c>
      <c r="F1914" s="3">
        <v>46295.963779770289</v>
      </c>
      <c r="G1914" s="3">
        <v>46295.969976008098</v>
      </c>
      <c r="H1914">
        <v>8.92</v>
      </c>
      <c r="I1914" t="s">
        <v>3148</v>
      </c>
      <c r="J1914" t="s">
        <v>3155</v>
      </c>
      <c r="K1914" t="s">
        <v>3173</v>
      </c>
      <c r="L1914" t="str">
        <f>_xlfn.XLOOKUP(C1914,[1]!Table1[Shift_ID],[1]!Table1[Shift_ID])</f>
        <v>S03</v>
      </c>
      <c r="M1914" t="str">
        <f>_xlfn.XLOOKUP(D1914,[2]!Table1[Machine_ID],[2]!Table1[Machine_ID])</f>
        <v>M008</v>
      </c>
      <c r="N1914" t="str">
        <f>_xlfn.XLOOKUP(E1914,[3]Sheet1!$A$2:$A$391,[3]Sheet1!$A$2:$A$391)</f>
        <v>PO10127</v>
      </c>
    </row>
    <row r="1915" spans="1:14" x14ac:dyDescent="0.2">
      <c r="A1915" t="s">
        <v>1924</v>
      </c>
      <c r="B1915" s="2">
        <v>46295</v>
      </c>
      <c r="C1915" t="s">
        <v>2940</v>
      </c>
      <c r="D1915" t="s">
        <v>2942</v>
      </c>
      <c r="E1915" t="s">
        <v>3078</v>
      </c>
      <c r="F1915" s="3">
        <v>46295.446023954173</v>
      </c>
      <c r="G1915" s="3">
        <v>46295.454301155332</v>
      </c>
      <c r="H1915">
        <v>11.92</v>
      </c>
      <c r="I1915" t="s">
        <v>3149</v>
      </c>
      <c r="J1915" t="s">
        <v>3158</v>
      </c>
      <c r="K1915" t="s">
        <v>3176</v>
      </c>
      <c r="L1915" t="str">
        <f>_xlfn.XLOOKUP(C1915,[1]!Table1[Shift_ID],[1]!Table1[Shift_ID])</f>
        <v>S01</v>
      </c>
      <c r="M1915" t="str">
        <f>_xlfn.XLOOKUP(D1915,[2]!Table1[Machine_ID],[2]!Table1[Machine_ID])</f>
        <v>M001</v>
      </c>
      <c r="N1915" t="str">
        <f>_xlfn.XLOOKUP(E1915,[3]Sheet1!$A$2:$A$391,[3]Sheet1!$A$2:$A$391)</f>
        <v>PO10128</v>
      </c>
    </row>
    <row r="1916" spans="1:14" x14ac:dyDescent="0.2">
      <c r="A1916" t="s">
        <v>1925</v>
      </c>
      <c r="B1916" s="2">
        <v>46295</v>
      </c>
      <c r="C1916" t="s">
        <v>2940</v>
      </c>
      <c r="D1916" t="s">
        <v>2943</v>
      </c>
      <c r="E1916" t="s">
        <v>3078</v>
      </c>
      <c r="F1916" s="3">
        <v>46295.483188942228</v>
      </c>
      <c r="G1916" s="3">
        <v>46295.494378380397</v>
      </c>
      <c r="H1916">
        <v>16.11</v>
      </c>
      <c r="I1916" t="s">
        <v>3150</v>
      </c>
      <c r="J1916" t="s">
        <v>3159</v>
      </c>
      <c r="K1916" t="s">
        <v>3178</v>
      </c>
      <c r="L1916" t="str">
        <f>_xlfn.XLOOKUP(C1916,[1]!Table1[Shift_ID],[1]!Table1[Shift_ID])</f>
        <v>S01</v>
      </c>
      <c r="M1916" t="str">
        <f>_xlfn.XLOOKUP(D1916,[2]!Table1[Machine_ID],[2]!Table1[Machine_ID])</f>
        <v>M002</v>
      </c>
      <c r="N1916" t="str">
        <f>_xlfn.XLOOKUP(E1916,[3]Sheet1!$A$2:$A$391,[3]Sheet1!$A$2:$A$391)</f>
        <v>PO10128</v>
      </c>
    </row>
    <row r="1917" spans="1:14" x14ac:dyDescent="0.2">
      <c r="A1917" t="s">
        <v>1926</v>
      </c>
      <c r="B1917" s="2">
        <v>46295</v>
      </c>
      <c r="C1917" t="s">
        <v>2940</v>
      </c>
      <c r="D1917" t="s">
        <v>2944</v>
      </c>
      <c r="E1917" t="s">
        <v>3078</v>
      </c>
      <c r="F1917" s="3">
        <v>46295.317350335579</v>
      </c>
      <c r="G1917" s="3">
        <v>46295.3291576255</v>
      </c>
      <c r="H1917">
        <v>17</v>
      </c>
      <c r="I1917" t="s">
        <v>3147</v>
      </c>
      <c r="J1917" t="s">
        <v>3167</v>
      </c>
      <c r="K1917" t="s">
        <v>3185</v>
      </c>
      <c r="L1917" t="str">
        <f>_xlfn.XLOOKUP(C1917,[1]!Table1[Shift_ID],[1]!Table1[Shift_ID])</f>
        <v>S01</v>
      </c>
      <c r="M1917" t="str">
        <f>_xlfn.XLOOKUP(D1917,[2]!Table1[Machine_ID],[2]!Table1[Machine_ID])</f>
        <v>M003</v>
      </c>
      <c r="N1917" t="str">
        <f>_xlfn.XLOOKUP(E1917,[3]Sheet1!$A$2:$A$391,[3]Sheet1!$A$2:$A$391)</f>
        <v>PO10128</v>
      </c>
    </row>
    <row r="1918" spans="1:14" x14ac:dyDescent="0.2">
      <c r="A1918" t="s">
        <v>1927</v>
      </c>
      <c r="B1918" s="2">
        <v>46295</v>
      </c>
      <c r="C1918" t="s">
        <v>2940</v>
      </c>
      <c r="D1918" t="s">
        <v>2944</v>
      </c>
      <c r="E1918" t="s">
        <v>3078</v>
      </c>
      <c r="F1918" s="3">
        <v>46295.457866923272</v>
      </c>
      <c r="G1918" s="3">
        <v>46295.459818206953</v>
      </c>
      <c r="H1918">
        <v>2.81</v>
      </c>
      <c r="I1918" t="s">
        <v>3147</v>
      </c>
      <c r="J1918" t="s">
        <v>3154</v>
      </c>
      <c r="K1918" t="s">
        <v>3172</v>
      </c>
      <c r="L1918" t="str">
        <f>_xlfn.XLOOKUP(C1918,[1]!Table1[Shift_ID],[1]!Table1[Shift_ID])</f>
        <v>S01</v>
      </c>
      <c r="M1918" t="str">
        <f>_xlfn.XLOOKUP(D1918,[2]!Table1[Machine_ID],[2]!Table1[Machine_ID])</f>
        <v>M003</v>
      </c>
      <c r="N1918" t="str">
        <f>_xlfn.XLOOKUP(E1918,[3]Sheet1!$A$2:$A$391,[3]Sheet1!$A$2:$A$391)</f>
        <v>PO10128</v>
      </c>
    </row>
    <row r="1919" spans="1:14" x14ac:dyDescent="0.2">
      <c r="A1919" t="s">
        <v>1928</v>
      </c>
      <c r="B1919" s="2">
        <v>46295</v>
      </c>
      <c r="C1919" t="s">
        <v>2940</v>
      </c>
      <c r="D1919" t="s">
        <v>2945</v>
      </c>
      <c r="E1919" t="s">
        <v>3078</v>
      </c>
      <c r="F1919" s="3">
        <v>46295.496033366653</v>
      </c>
      <c r="G1919" s="3">
        <v>46295.50280965789</v>
      </c>
      <c r="H1919">
        <v>9.76</v>
      </c>
      <c r="I1919" t="s">
        <v>3147</v>
      </c>
      <c r="J1919" t="s">
        <v>3153</v>
      </c>
      <c r="K1919" t="s">
        <v>3186</v>
      </c>
      <c r="L1919" t="str">
        <f>_xlfn.XLOOKUP(C1919,[1]!Table1[Shift_ID],[1]!Table1[Shift_ID])</f>
        <v>S01</v>
      </c>
      <c r="M1919" t="str">
        <f>_xlfn.XLOOKUP(D1919,[2]!Table1[Machine_ID],[2]!Table1[Machine_ID])</f>
        <v>M004</v>
      </c>
      <c r="N1919" t="str">
        <f>_xlfn.XLOOKUP(E1919,[3]Sheet1!$A$2:$A$391,[3]Sheet1!$A$2:$A$391)</f>
        <v>PO10128</v>
      </c>
    </row>
    <row r="1920" spans="1:14" x14ac:dyDescent="0.2">
      <c r="A1920" t="s">
        <v>1929</v>
      </c>
      <c r="B1920" s="2">
        <v>46295</v>
      </c>
      <c r="C1920" t="s">
        <v>2940</v>
      </c>
      <c r="D1920" t="s">
        <v>2946</v>
      </c>
      <c r="E1920" t="s">
        <v>3078</v>
      </c>
      <c r="F1920" s="3">
        <v>46295.25917376233</v>
      </c>
      <c r="G1920" s="3">
        <v>46295.263701754979</v>
      </c>
      <c r="H1920">
        <v>6.52</v>
      </c>
      <c r="I1920" t="s">
        <v>3146</v>
      </c>
      <c r="J1920" t="s">
        <v>3157</v>
      </c>
      <c r="K1920" t="s">
        <v>3174</v>
      </c>
      <c r="L1920" t="str">
        <f>_xlfn.XLOOKUP(C1920,[1]!Table1[Shift_ID],[1]!Table1[Shift_ID])</f>
        <v>S01</v>
      </c>
      <c r="M1920" t="str">
        <f>_xlfn.XLOOKUP(D1920,[2]!Table1[Machine_ID],[2]!Table1[Machine_ID])</f>
        <v>M005</v>
      </c>
      <c r="N1920" t="str">
        <f>_xlfn.XLOOKUP(E1920,[3]Sheet1!$A$2:$A$391,[3]Sheet1!$A$2:$A$391)</f>
        <v>PO10128</v>
      </c>
    </row>
    <row r="1921" spans="1:14" x14ac:dyDescent="0.2">
      <c r="A1921" t="s">
        <v>1930</v>
      </c>
      <c r="B1921" s="2">
        <v>46295</v>
      </c>
      <c r="C1921" t="s">
        <v>2940</v>
      </c>
      <c r="D1921" t="s">
        <v>2946</v>
      </c>
      <c r="E1921" t="s">
        <v>3078</v>
      </c>
      <c r="F1921" s="3">
        <v>46295.312717978937</v>
      </c>
      <c r="G1921" s="3">
        <v>46295.316466261829</v>
      </c>
      <c r="H1921">
        <v>5.4</v>
      </c>
      <c r="I1921" t="s">
        <v>3148</v>
      </c>
      <c r="J1921" t="s">
        <v>3165</v>
      </c>
      <c r="K1921" t="s">
        <v>3180</v>
      </c>
      <c r="L1921" t="str">
        <f>_xlfn.XLOOKUP(C1921,[1]!Table1[Shift_ID],[1]!Table1[Shift_ID])</f>
        <v>S01</v>
      </c>
      <c r="M1921" t="str">
        <f>_xlfn.XLOOKUP(D1921,[2]!Table1[Machine_ID],[2]!Table1[Machine_ID])</f>
        <v>M005</v>
      </c>
      <c r="N1921" t="str">
        <f>_xlfn.XLOOKUP(E1921,[3]Sheet1!$A$2:$A$391,[3]Sheet1!$A$2:$A$391)</f>
        <v>PO10128</v>
      </c>
    </row>
    <row r="1922" spans="1:14" x14ac:dyDescent="0.2">
      <c r="A1922" t="s">
        <v>1931</v>
      </c>
      <c r="B1922" s="2">
        <v>46295</v>
      </c>
      <c r="C1922" t="s">
        <v>2940</v>
      </c>
      <c r="D1922" t="s">
        <v>2946</v>
      </c>
      <c r="E1922" t="s">
        <v>3078</v>
      </c>
      <c r="F1922" s="3">
        <v>46295.555296175808</v>
      </c>
      <c r="G1922" s="3">
        <v>46295.558643310193</v>
      </c>
      <c r="H1922">
        <v>4.82</v>
      </c>
      <c r="I1922" t="s">
        <v>3147</v>
      </c>
      <c r="J1922" t="s">
        <v>3167</v>
      </c>
      <c r="K1922" t="s">
        <v>3185</v>
      </c>
      <c r="L1922" t="str">
        <f>_xlfn.XLOOKUP(C1922,[1]!Table1[Shift_ID],[1]!Table1[Shift_ID])</f>
        <v>S01</v>
      </c>
      <c r="M1922" t="str">
        <f>_xlfn.XLOOKUP(D1922,[2]!Table1[Machine_ID],[2]!Table1[Machine_ID])</f>
        <v>M005</v>
      </c>
      <c r="N1922" t="str">
        <f>_xlfn.XLOOKUP(E1922,[3]Sheet1!$A$2:$A$391,[3]Sheet1!$A$2:$A$391)</f>
        <v>PO10128</v>
      </c>
    </row>
    <row r="1923" spans="1:14" x14ac:dyDescent="0.2">
      <c r="A1923" t="s">
        <v>1932</v>
      </c>
      <c r="B1923" s="2">
        <v>46295</v>
      </c>
      <c r="C1923" t="s">
        <v>2940</v>
      </c>
      <c r="D1923" t="s">
        <v>2947</v>
      </c>
      <c r="E1923" t="s">
        <v>3078</v>
      </c>
      <c r="F1923" s="3">
        <v>46295.35702244928</v>
      </c>
      <c r="G1923" s="3">
        <v>46295.358820622903</v>
      </c>
      <c r="H1923">
        <v>2.59</v>
      </c>
      <c r="I1923" t="s">
        <v>3147</v>
      </c>
      <c r="J1923" t="s">
        <v>3153</v>
      </c>
      <c r="K1923" t="s">
        <v>3185</v>
      </c>
      <c r="L1923" t="str">
        <f>_xlfn.XLOOKUP(C1923,[1]!Table1[Shift_ID],[1]!Table1[Shift_ID])</f>
        <v>S01</v>
      </c>
      <c r="M1923" t="str">
        <f>_xlfn.XLOOKUP(D1923,[2]!Table1[Machine_ID],[2]!Table1[Machine_ID])</f>
        <v>M006</v>
      </c>
      <c r="N1923" t="str">
        <f>_xlfn.XLOOKUP(E1923,[3]Sheet1!$A$2:$A$391,[3]Sheet1!$A$2:$A$391)</f>
        <v>PO10128</v>
      </c>
    </row>
    <row r="1924" spans="1:14" x14ac:dyDescent="0.2">
      <c r="A1924" t="s">
        <v>1933</v>
      </c>
      <c r="B1924" s="2">
        <v>46295</v>
      </c>
      <c r="C1924" t="s">
        <v>2940</v>
      </c>
      <c r="D1924" t="s">
        <v>2947</v>
      </c>
      <c r="E1924" t="s">
        <v>3078</v>
      </c>
      <c r="F1924" s="3">
        <v>46295.392086185188</v>
      </c>
      <c r="G1924" s="3">
        <v>46295.393884358833</v>
      </c>
      <c r="H1924">
        <v>2.59</v>
      </c>
      <c r="I1924" t="s">
        <v>3150</v>
      </c>
      <c r="J1924" t="s">
        <v>3159</v>
      </c>
      <c r="K1924" t="s">
        <v>3177</v>
      </c>
      <c r="L1924" t="str">
        <f>_xlfn.XLOOKUP(C1924,[1]!Table1[Shift_ID],[1]!Table1[Shift_ID])</f>
        <v>S01</v>
      </c>
      <c r="M1924" t="str">
        <f>_xlfn.XLOOKUP(D1924,[2]!Table1[Machine_ID],[2]!Table1[Machine_ID])</f>
        <v>M006</v>
      </c>
      <c r="N1924" t="str">
        <f>_xlfn.XLOOKUP(E1924,[3]Sheet1!$A$2:$A$391,[3]Sheet1!$A$2:$A$391)</f>
        <v>PO10128</v>
      </c>
    </row>
    <row r="1925" spans="1:14" x14ac:dyDescent="0.2">
      <c r="A1925" t="s">
        <v>1934</v>
      </c>
      <c r="B1925" s="2">
        <v>46295</v>
      </c>
      <c r="C1925" t="s">
        <v>2940</v>
      </c>
      <c r="D1925" t="s">
        <v>2947</v>
      </c>
      <c r="E1925" t="s">
        <v>3078</v>
      </c>
      <c r="F1925" s="3">
        <v>46295.400926995993</v>
      </c>
      <c r="G1925" s="3">
        <v>46295.403640747478</v>
      </c>
      <c r="H1925">
        <v>3.91</v>
      </c>
      <c r="I1925" t="s">
        <v>3150</v>
      </c>
      <c r="J1925" t="s">
        <v>3160</v>
      </c>
      <c r="K1925" t="s">
        <v>3177</v>
      </c>
      <c r="L1925" t="str">
        <f>_xlfn.XLOOKUP(C1925,[1]!Table1[Shift_ID],[1]!Table1[Shift_ID])</f>
        <v>S01</v>
      </c>
      <c r="M1925" t="str">
        <f>_xlfn.XLOOKUP(D1925,[2]!Table1[Machine_ID],[2]!Table1[Machine_ID])</f>
        <v>M006</v>
      </c>
      <c r="N1925" t="str">
        <f>_xlfn.XLOOKUP(E1925,[3]Sheet1!$A$2:$A$391,[3]Sheet1!$A$2:$A$391)</f>
        <v>PO10128</v>
      </c>
    </row>
    <row r="1926" spans="1:14" x14ac:dyDescent="0.2">
      <c r="A1926" t="s">
        <v>1935</v>
      </c>
      <c r="B1926" s="2">
        <v>46295</v>
      </c>
      <c r="C1926" t="s">
        <v>2940</v>
      </c>
      <c r="D1926" t="s">
        <v>2947</v>
      </c>
      <c r="E1926" t="s">
        <v>3078</v>
      </c>
      <c r="F1926" s="3">
        <v>46295.426680843892</v>
      </c>
      <c r="G1926" s="3">
        <v>46295.428793500258</v>
      </c>
      <c r="H1926">
        <v>3.04</v>
      </c>
      <c r="I1926" t="s">
        <v>3150</v>
      </c>
      <c r="J1926" t="s">
        <v>3159</v>
      </c>
      <c r="K1926" t="s">
        <v>3179</v>
      </c>
      <c r="L1926" t="str">
        <f>_xlfn.XLOOKUP(C1926,[1]!Table1[Shift_ID],[1]!Table1[Shift_ID])</f>
        <v>S01</v>
      </c>
      <c r="M1926" t="str">
        <f>_xlfn.XLOOKUP(D1926,[2]!Table1[Machine_ID],[2]!Table1[Machine_ID])</f>
        <v>M006</v>
      </c>
      <c r="N1926" t="str">
        <f>_xlfn.XLOOKUP(E1926,[3]Sheet1!$A$2:$A$391,[3]Sheet1!$A$2:$A$391)</f>
        <v>PO10128</v>
      </c>
    </row>
    <row r="1927" spans="1:14" x14ac:dyDescent="0.2">
      <c r="A1927" t="s">
        <v>1936</v>
      </c>
      <c r="B1927" s="2">
        <v>46295</v>
      </c>
      <c r="C1927" t="s">
        <v>2940</v>
      </c>
      <c r="D1927" t="s">
        <v>2947</v>
      </c>
      <c r="E1927" t="s">
        <v>3078</v>
      </c>
      <c r="F1927" s="3">
        <v>46295.459422671593</v>
      </c>
      <c r="G1927" s="3">
        <v>46295.461220845224</v>
      </c>
      <c r="H1927">
        <v>2.59</v>
      </c>
      <c r="I1927" t="s">
        <v>3149</v>
      </c>
      <c r="J1927" t="s">
        <v>3158</v>
      </c>
      <c r="K1927" t="s">
        <v>3182</v>
      </c>
      <c r="L1927" t="str">
        <f>_xlfn.XLOOKUP(C1927,[1]!Table1[Shift_ID],[1]!Table1[Shift_ID])</f>
        <v>S01</v>
      </c>
      <c r="M1927" t="str">
        <f>_xlfn.XLOOKUP(D1927,[2]!Table1[Machine_ID],[2]!Table1[Machine_ID])</f>
        <v>M006</v>
      </c>
      <c r="N1927" t="str">
        <f>_xlfn.XLOOKUP(E1927,[3]Sheet1!$A$2:$A$391,[3]Sheet1!$A$2:$A$391)</f>
        <v>PO10128</v>
      </c>
    </row>
    <row r="1928" spans="1:14" x14ac:dyDescent="0.2">
      <c r="A1928" t="s">
        <v>1937</v>
      </c>
      <c r="B1928" s="2">
        <v>46295</v>
      </c>
      <c r="C1928" t="s">
        <v>2940</v>
      </c>
      <c r="D1928" t="s">
        <v>2947</v>
      </c>
      <c r="E1928" t="s">
        <v>3078</v>
      </c>
      <c r="F1928" s="3">
        <v>46295.475208432683</v>
      </c>
      <c r="G1928" s="3">
        <v>46295.488279795463</v>
      </c>
      <c r="H1928">
        <v>18.82</v>
      </c>
      <c r="I1928" t="s">
        <v>3147</v>
      </c>
      <c r="J1928" t="s">
        <v>3167</v>
      </c>
      <c r="K1928" t="s">
        <v>3172</v>
      </c>
      <c r="L1928" t="str">
        <f>_xlfn.XLOOKUP(C1928,[1]!Table1[Shift_ID],[1]!Table1[Shift_ID])</f>
        <v>S01</v>
      </c>
      <c r="M1928" t="str">
        <f>_xlfn.XLOOKUP(D1928,[2]!Table1[Machine_ID],[2]!Table1[Machine_ID])</f>
        <v>M006</v>
      </c>
      <c r="N1928" t="str">
        <f>_xlfn.XLOOKUP(E1928,[3]Sheet1!$A$2:$A$391,[3]Sheet1!$A$2:$A$391)</f>
        <v>PO10128</v>
      </c>
    </row>
    <row r="1929" spans="1:14" x14ac:dyDescent="0.2">
      <c r="A1929" t="s">
        <v>1938</v>
      </c>
      <c r="B1929" s="2">
        <v>46295</v>
      </c>
      <c r="C1929" t="s">
        <v>2940</v>
      </c>
      <c r="D1929" t="s">
        <v>2948</v>
      </c>
      <c r="E1929" t="s">
        <v>3078</v>
      </c>
      <c r="F1929" s="3">
        <v>46295.364169874651</v>
      </c>
      <c r="G1929" s="3">
        <v>46295.37911762068</v>
      </c>
      <c r="H1929">
        <v>21.52</v>
      </c>
      <c r="I1929" t="s">
        <v>3149</v>
      </c>
      <c r="J1929" t="s">
        <v>3158</v>
      </c>
      <c r="K1929" t="s">
        <v>3184</v>
      </c>
      <c r="L1929" t="str">
        <f>_xlfn.XLOOKUP(C1929,[1]!Table1[Shift_ID],[1]!Table1[Shift_ID])</f>
        <v>S01</v>
      </c>
      <c r="M1929" t="str">
        <f>_xlfn.XLOOKUP(D1929,[2]!Table1[Machine_ID],[2]!Table1[Machine_ID])</f>
        <v>M007</v>
      </c>
      <c r="N1929" t="str">
        <f>_xlfn.XLOOKUP(E1929,[3]Sheet1!$A$2:$A$391,[3]Sheet1!$A$2:$A$391)</f>
        <v>PO10128</v>
      </c>
    </row>
    <row r="1930" spans="1:14" x14ac:dyDescent="0.2">
      <c r="A1930" t="s">
        <v>1939</v>
      </c>
      <c r="B1930" s="2">
        <v>46295</v>
      </c>
      <c r="C1930" t="s">
        <v>2940</v>
      </c>
      <c r="D1930" t="s">
        <v>2948</v>
      </c>
      <c r="E1930" t="s">
        <v>3078</v>
      </c>
      <c r="F1930" s="3">
        <v>46295.49467850737</v>
      </c>
      <c r="G1930" s="3">
        <v>46295.496508302698</v>
      </c>
      <c r="H1930">
        <v>2.63</v>
      </c>
      <c r="I1930" t="s">
        <v>3148</v>
      </c>
      <c r="J1930" t="s">
        <v>3155</v>
      </c>
      <c r="K1930" t="s">
        <v>3183</v>
      </c>
      <c r="L1930" t="str">
        <f>_xlfn.XLOOKUP(C1930,[1]!Table1[Shift_ID],[1]!Table1[Shift_ID])</f>
        <v>S01</v>
      </c>
      <c r="M1930" t="str">
        <f>_xlfn.XLOOKUP(D1930,[2]!Table1[Machine_ID],[2]!Table1[Machine_ID])</f>
        <v>M007</v>
      </c>
      <c r="N1930" t="str">
        <f>_xlfn.XLOOKUP(E1930,[3]Sheet1!$A$2:$A$391,[3]Sheet1!$A$2:$A$391)</f>
        <v>PO10128</v>
      </c>
    </row>
    <row r="1931" spans="1:14" x14ac:dyDescent="0.2">
      <c r="A1931" t="s">
        <v>1940</v>
      </c>
      <c r="B1931" s="2">
        <v>46295</v>
      </c>
      <c r="C1931" t="s">
        <v>2940</v>
      </c>
      <c r="D1931" t="s">
        <v>2948</v>
      </c>
      <c r="E1931" t="s">
        <v>3078</v>
      </c>
      <c r="F1931" s="3">
        <v>46295.501326334437</v>
      </c>
      <c r="G1931" s="3">
        <v>46295.503156129773</v>
      </c>
      <c r="H1931">
        <v>2.63</v>
      </c>
      <c r="I1931" t="s">
        <v>3147</v>
      </c>
      <c r="J1931" t="s">
        <v>3154</v>
      </c>
      <c r="K1931" t="s">
        <v>3185</v>
      </c>
      <c r="L1931" t="str">
        <f>_xlfn.XLOOKUP(C1931,[1]!Table1[Shift_ID],[1]!Table1[Shift_ID])</f>
        <v>S01</v>
      </c>
      <c r="M1931" t="str">
        <f>_xlfn.XLOOKUP(D1931,[2]!Table1[Machine_ID],[2]!Table1[Machine_ID])</f>
        <v>M007</v>
      </c>
      <c r="N1931" t="str">
        <f>_xlfn.XLOOKUP(E1931,[3]Sheet1!$A$2:$A$391,[3]Sheet1!$A$2:$A$391)</f>
        <v>PO10128</v>
      </c>
    </row>
    <row r="1932" spans="1:14" x14ac:dyDescent="0.2">
      <c r="A1932" t="s">
        <v>1941</v>
      </c>
      <c r="B1932" s="2">
        <v>46295</v>
      </c>
      <c r="C1932" t="s">
        <v>2940</v>
      </c>
      <c r="D1932" t="s">
        <v>2949</v>
      </c>
      <c r="E1932" t="s">
        <v>3078</v>
      </c>
      <c r="F1932" s="3">
        <v>46295.376118376444</v>
      </c>
      <c r="G1932" s="3">
        <v>46295.384457422952</v>
      </c>
      <c r="H1932">
        <v>12.01</v>
      </c>
      <c r="I1932" t="s">
        <v>3148</v>
      </c>
      <c r="J1932" t="s">
        <v>3164</v>
      </c>
      <c r="K1932" t="s">
        <v>3183</v>
      </c>
      <c r="L1932" t="str">
        <f>_xlfn.XLOOKUP(C1932,[1]!Table1[Shift_ID],[1]!Table1[Shift_ID])</f>
        <v>S01</v>
      </c>
      <c r="M1932" t="str">
        <f>_xlfn.XLOOKUP(D1932,[2]!Table1[Machine_ID],[2]!Table1[Machine_ID])</f>
        <v>M008</v>
      </c>
      <c r="N1932" t="str">
        <f>_xlfn.XLOOKUP(E1932,[3]Sheet1!$A$2:$A$391,[3]Sheet1!$A$2:$A$391)</f>
        <v>PO10128</v>
      </c>
    </row>
    <row r="1933" spans="1:14" x14ac:dyDescent="0.2">
      <c r="A1933" t="s">
        <v>1942</v>
      </c>
      <c r="B1933" s="2">
        <v>46295</v>
      </c>
      <c r="C1933" t="s">
        <v>2941</v>
      </c>
      <c r="D1933" t="s">
        <v>2942</v>
      </c>
      <c r="E1933" t="s">
        <v>3079</v>
      </c>
      <c r="F1933" s="3">
        <v>46295.900253405453</v>
      </c>
      <c r="G1933" s="3">
        <v>46295.905452128412</v>
      </c>
      <c r="H1933">
        <v>7.49</v>
      </c>
      <c r="I1933" t="s">
        <v>3150</v>
      </c>
      <c r="J1933" t="s">
        <v>3159</v>
      </c>
      <c r="K1933" t="s">
        <v>3177</v>
      </c>
      <c r="L1933" t="str">
        <f>_xlfn.XLOOKUP(C1933,[1]!Table1[Shift_ID],[1]!Table1[Shift_ID])</f>
        <v>S02</v>
      </c>
      <c r="M1933" t="str">
        <f>_xlfn.XLOOKUP(D1933,[2]!Table1[Machine_ID],[2]!Table1[Machine_ID])</f>
        <v>M001</v>
      </c>
      <c r="N1933" t="str">
        <f>_xlfn.XLOOKUP(E1933,[3]Sheet1!$A$2:$A$391,[3]Sheet1!$A$2:$A$391)</f>
        <v>PO10129</v>
      </c>
    </row>
    <row r="1934" spans="1:14" x14ac:dyDescent="0.2">
      <c r="A1934" t="s">
        <v>1943</v>
      </c>
      <c r="B1934" s="2">
        <v>46295</v>
      </c>
      <c r="C1934" t="s">
        <v>2941</v>
      </c>
      <c r="D1934" t="s">
        <v>2943</v>
      </c>
      <c r="E1934" t="s">
        <v>3079</v>
      </c>
      <c r="F1934" s="3">
        <v>46295.651887134532</v>
      </c>
      <c r="G1934" s="3">
        <v>46295.658606644647</v>
      </c>
      <c r="H1934">
        <v>9.68</v>
      </c>
      <c r="I1934" t="s">
        <v>3146</v>
      </c>
      <c r="J1934" t="s">
        <v>3152</v>
      </c>
      <c r="K1934" t="s">
        <v>3171</v>
      </c>
      <c r="L1934" t="str">
        <f>_xlfn.XLOOKUP(C1934,[1]!Table1[Shift_ID],[1]!Table1[Shift_ID])</f>
        <v>S02</v>
      </c>
      <c r="M1934" t="str">
        <f>_xlfn.XLOOKUP(D1934,[2]!Table1[Machine_ID],[2]!Table1[Machine_ID])</f>
        <v>M002</v>
      </c>
      <c r="N1934" t="str">
        <f>_xlfn.XLOOKUP(E1934,[3]Sheet1!$A$2:$A$391,[3]Sheet1!$A$2:$A$391)</f>
        <v>PO10129</v>
      </c>
    </row>
    <row r="1935" spans="1:14" x14ac:dyDescent="0.2">
      <c r="A1935" t="s">
        <v>1944</v>
      </c>
      <c r="B1935" s="2">
        <v>46295</v>
      </c>
      <c r="C1935" t="s">
        <v>2941</v>
      </c>
      <c r="D1935" t="s">
        <v>2944</v>
      </c>
      <c r="E1935" t="s">
        <v>3079</v>
      </c>
      <c r="F1935" s="3">
        <v>46295.605474485354</v>
      </c>
      <c r="G1935" s="3">
        <v>46295.607694968799</v>
      </c>
      <c r="H1935">
        <v>3.2</v>
      </c>
      <c r="I1935" t="s">
        <v>3150</v>
      </c>
      <c r="J1935" t="s">
        <v>3159</v>
      </c>
      <c r="K1935" t="s">
        <v>3179</v>
      </c>
      <c r="L1935" t="str">
        <f>_xlfn.XLOOKUP(C1935,[1]!Table1[Shift_ID],[1]!Table1[Shift_ID])</f>
        <v>S02</v>
      </c>
      <c r="M1935" t="str">
        <f>_xlfn.XLOOKUP(D1935,[2]!Table1[Machine_ID],[2]!Table1[Machine_ID])</f>
        <v>M003</v>
      </c>
      <c r="N1935" t="str">
        <f>_xlfn.XLOOKUP(E1935,[3]Sheet1!$A$2:$A$391,[3]Sheet1!$A$2:$A$391)</f>
        <v>PO10129</v>
      </c>
    </row>
    <row r="1936" spans="1:14" x14ac:dyDescent="0.2">
      <c r="A1936" t="s">
        <v>1945</v>
      </c>
      <c r="B1936" s="2">
        <v>46295</v>
      </c>
      <c r="C1936" t="s">
        <v>2941</v>
      </c>
      <c r="D1936" t="s">
        <v>2944</v>
      </c>
      <c r="E1936" t="s">
        <v>3079</v>
      </c>
      <c r="F1936" s="3">
        <v>46295.625712647226</v>
      </c>
      <c r="G1936" s="3">
        <v>46295.62755067752</v>
      </c>
      <c r="H1936">
        <v>2.65</v>
      </c>
      <c r="I1936" t="s">
        <v>3148</v>
      </c>
      <c r="J1936" t="s">
        <v>3165</v>
      </c>
      <c r="K1936" t="s">
        <v>3180</v>
      </c>
      <c r="L1936" t="str">
        <f>_xlfn.XLOOKUP(C1936,[1]!Table1[Shift_ID],[1]!Table1[Shift_ID])</f>
        <v>S02</v>
      </c>
      <c r="M1936" t="str">
        <f>_xlfn.XLOOKUP(D1936,[2]!Table1[Machine_ID],[2]!Table1[Machine_ID])</f>
        <v>M003</v>
      </c>
      <c r="N1936" t="str">
        <f>_xlfn.XLOOKUP(E1936,[3]Sheet1!$A$2:$A$391,[3]Sheet1!$A$2:$A$391)</f>
        <v>PO10129</v>
      </c>
    </row>
    <row r="1937" spans="1:14" x14ac:dyDescent="0.2">
      <c r="A1937" t="s">
        <v>1946</v>
      </c>
      <c r="B1937" s="2">
        <v>46295</v>
      </c>
      <c r="C1937" t="s">
        <v>2941</v>
      </c>
      <c r="D1937" t="s">
        <v>2944</v>
      </c>
      <c r="E1937" t="s">
        <v>3079</v>
      </c>
      <c r="F1937" s="3">
        <v>46295.683819725768</v>
      </c>
      <c r="G1937" s="3">
        <v>46295.686334430036</v>
      </c>
      <c r="H1937">
        <v>3.62</v>
      </c>
      <c r="I1937" t="s">
        <v>3147</v>
      </c>
      <c r="J1937" t="s">
        <v>3154</v>
      </c>
      <c r="K1937" t="s">
        <v>3172</v>
      </c>
      <c r="L1937" t="str">
        <f>_xlfn.XLOOKUP(C1937,[1]!Table1[Shift_ID],[1]!Table1[Shift_ID])</f>
        <v>S02</v>
      </c>
      <c r="M1937" t="str">
        <f>_xlfn.XLOOKUP(D1937,[2]!Table1[Machine_ID],[2]!Table1[Machine_ID])</f>
        <v>M003</v>
      </c>
      <c r="N1937" t="str">
        <f>_xlfn.XLOOKUP(E1937,[3]Sheet1!$A$2:$A$391,[3]Sheet1!$A$2:$A$391)</f>
        <v>PO10129</v>
      </c>
    </row>
    <row r="1938" spans="1:14" x14ac:dyDescent="0.2">
      <c r="A1938" t="s">
        <v>1947</v>
      </c>
      <c r="B1938" s="2">
        <v>46295</v>
      </c>
      <c r="C1938" t="s">
        <v>2941</v>
      </c>
      <c r="D1938" t="s">
        <v>2944</v>
      </c>
      <c r="E1938" t="s">
        <v>3079</v>
      </c>
      <c r="F1938" s="3">
        <v>46295.691139207607</v>
      </c>
      <c r="G1938" s="3">
        <v>46295.696270435728</v>
      </c>
      <c r="H1938">
        <v>7.39</v>
      </c>
      <c r="I1938" t="s">
        <v>3147</v>
      </c>
      <c r="J1938" t="s">
        <v>3154</v>
      </c>
      <c r="K1938" t="s">
        <v>3186</v>
      </c>
      <c r="L1938" t="str">
        <f>_xlfn.XLOOKUP(C1938,[1]!Table1[Shift_ID],[1]!Table1[Shift_ID])</f>
        <v>S02</v>
      </c>
      <c r="M1938" t="str">
        <f>_xlfn.XLOOKUP(D1938,[2]!Table1[Machine_ID],[2]!Table1[Machine_ID])</f>
        <v>M003</v>
      </c>
      <c r="N1938" t="str">
        <f>_xlfn.XLOOKUP(E1938,[3]Sheet1!$A$2:$A$391,[3]Sheet1!$A$2:$A$391)</f>
        <v>PO10129</v>
      </c>
    </row>
    <row r="1939" spans="1:14" x14ac:dyDescent="0.2">
      <c r="A1939" t="s">
        <v>1948</v>
      </c>
      <c r="B1939" s="2">
        <v>46295</v>
      </c>
      <c r="C1939" t="s">
        <v>2941</v>
      </c>
      <c r="D1939" t="s">
        <v>2945</v>
      </c>
      <c r="E1939" t="s">
        <v>3079</v>
      </c>
      <c r="F1939" s="3">
        <v>46295.783932958053</v>
      </c>
      <c r="G1939" s="3">
        <v>46295.786018153078</v>
      </c>
      <c r="H1939">
        <v>3</v>
      </c>
      <c r="I1939" t="s">
        <v>3147</v>
      </c>
      <c r="J1939" t="s">
        <v>3167</v>
      </c>
      <c r="K1939" t="s">
        <v>3185</v>
      </c>
      <c r="L1939" t="str">
        <f>_xlfn.XLOOKUP(C1939,[1]!Table1[Shift_ID],[1]!Table1[Shift_ID])</f>
        <v>S02</v>
      </c>
      <c r="M1939" t="str">
        <f>_xlfn.XLOOKUP(D1939,[2]!Table1[Machine_ID],[2]!Table1[Machine_ID])</f>
        <v>M004</v>
      </c>
      <c r="N1939" t="str">
        <f>_xlfn.XLOOKUP(E1939,[3]Sheet1!$A$2:$A$391,[3]Sheet1!$A$2:$A$391)</f>
        <v>PO10129</v>
      </c>
    </row>
    <row r="1940" spans="1:14" x14ac:dyDescent="0.2">
      <c r="A1940" t="s">
        <v>1949</v>
      </c>
      <c r="B1940" s="2">
        <v>46295</v>
      </c>
      <c r="C1940" t="s">
        <v>2941</v>
      </c>
      <c r="D1940" t="s">
        <v>2945</v>
      </c>
      <c r="E1940" t="s">
        <v>3079</v>
      </c>
      <c r="F1940" s="3">
        <v>46295.907175223751</v>
      </c>
      <c r="G1940" s="3">
        <v>46295.911427022722</v>
      </c>
      <c r="H1940">
        <v>6.12</v>
      </c>
      <c r="I1940" t="s">
        <v>3150</v>
      </c>
      <c r="J1940" t="s">
        <v>3163</v>
      </c>
      <c r="K1940" t="s">
        <v>3178</v>
      </c>
      <c r="L1940" t="str">
        <f>_xlfn.XLOOKUP(C1940,[1]!Table1[Shift_ID],[1]!Table1[Shift_ID])</f>
        <v>S02</v>
      </c>
      <c r="M1940" t="str">
        <f>_xlfn.XLOOKUP(D1940,[2]!Table1[Machine_ID],[2]!Table1[Machine_ID])</f>
        <v>M004</v>
      </c>
      <c r="N1940" t="str">
        <f>_xlfn.XLOOKUP(E1940,[3]Sheet1!$A$2:$A$391,[3]Sheet1!$A$2:$A$391)</f>
        <v>PO10129</v>
      </c>
    </row>
    <row r="1941" spans="1:14" x14ac:dyDescent="0.2">
      <c r="A1941" t="s">
        <v>1950</v>
      </c>
      <c r="B1941" s="2">
        <v>46295</v>
      </c>
      <c r="C1941" t="s">
        <v>2941</v>
      </c>
      <c r="D1941" t="s">
        <v>2946</v>
      </c>
      <c r="E1941" t="s">
        <v>3079</v>
      </c>
      <c r="F1941" s="3">
        <v>46295.679764446773</v>
      </c>
      <c r="G1941" s="3">
        <v>46295.687323749698</v>
      </c>
      <c r="H1941">
        <v>10.89</v>
      </c>
      <c r="I1941" t="s">
        <v>3150</v>
      </c>
      <c r="J1941" t="s">
        <v>3159</v>
      </c>
      <c r="K1941" t="s">
        <v>3179</v>
      </c>
      <c r="L1941" t="str">
        <f>_xlfn.XLOOKUP(C1941,[1]!Table1[Shift_ID],[1]!Table1[Shift_ID])</f>
        <v>S02</v>
      </c>
      <c r="M1941" t="str">
        <f>_xlfn.XLOOKUP(D1941,[2]!Table1[Machine_ID],[2]!Table1[Machine_ID])</f>
        <v>M005</v>
      </c>
      <c r="N1941" t="str">
        <f>_xlfn.XLOOKUP(E1941,[3]Sheet1!$A$2:$A$391,[3]Sheet1!$A$2:$A$391)</f>
        <v>PO10129</v>
      </c>
    </row>
    <row r="1942" spans="1:14" x14ac:dyDescent="0.2">
      <c r="A1942" t="s">
        <v>1951</v>
      </c>
      <c r="B1942" s="2">
        <v>46295</v>
      </c>
      <c r="C1942" t="s">
        <v>2941</v>
      </c>
      <c r="D1942" t="s">
        <v>2947</v>
      </c>
      <c r="E1942" t="s">
        <v>3079</v>
      </c>
      <c r="F1942" s="3">
        <v>46295.659464081073</v>
      </c>
      <c r="G1942" s="3">
        <v>46295.663082027793</v>
      </c>
      <c r="H1942">
        <v>5.21</v>
      </c>
      <c r="I1942" t="s">
        <v>3150</v>
      </c>
      <c r="J1942" t="s">
        <v>3159</v>
      </c>
      <c r="K1942" t="s">
        <v>3177</v>
      </c>
      <c r="L1942" t="str">
        <f>_xlfn.XLOOKUP(C1942,[1]!Table1[Shift_ID],[1]!Table1[Shift_ID])</f>
        <v>S02</v>
      </c>
      <c r="M1942" t="str">
        <f>_xlfn.XLOOKUP(D1942,[2]!Table1[Machine_ID],[2]!Table1[Machine_ID])</f>
        <v>M006</v>
      </c>
      <c r="N1942" t="str">
        <f>_xlfn.XLOOKUP(E1942,[3]Sheet1!$A$2:$A$391,[3]Sheet1!$A$2:$A$391)</f>
        <v>PO10129</v>
      </c>
    </row>
    <row r="1943" spans="1:14" x14ac:dyDescent="0.2">
      <c r="A1943" t="s">
        <v>1952</v>
      </c>
      <c r="B1943" s="2">
        <v>46295</v>
      </c>
      <c r="C1943" t="s">
        <v>2941</v>
      </c>
      <c r="D1943" t="s">
        <v>2947</v>
      </c>
      <c r="E1943" t="s">
        <v>3079</v>
      </c>
      <c r="F1943" s="3">
        <v>46295.70036046888</v>
      </c>
      <c r="G1943" s="3">
        <v>46295.70721081744</v>
      </c>
      <c r="H1943">
        <v>9.86</v>
      </c>
      <c r="I1943" t="s">
        <v>3149</v>
      </c>
      <c r="J1943" t="s">
        <v>3162</v>
      </c>
      <c r="K1943" t="s">
        <v>3182</v>
      </c>
      <c r="L1943" t="str">
        <f>_xlfn.XLOOKUP(C1943,[1]!Table1[Shift_ID],[1]!Table1[Shift_ID])</f>
        <v>S02</v>
      </c>
      <c r="M1943" t="str">
        <f>_xlfn.XLOOKUP(D1943,[2]!Table1[Machine_ID],[2]!Table1[Machine_ID])</f>
        <v>M006</v>
      </c>
      <c r="N1943" t="str">
        <f>_xlfn.XLOOKUP(E1943,[3]Sheet1!$A$2:$A$391,[3]Sheet1!$A$2:$A$391)</f>
        <v>PO10129</v>
      </c>
    </row>
    <row r="1944" spans="1:14" x14ac:dyDescent="0.2">
      <c r="A1944" t="s">
        <v>1953</v>
      </c>
      <c r="B1944" s="2">
        <v>46295</v>
      </c>
      <c r="C1944" t="s">
        <v>2941</v>
      </c>
      <c r="D1944" t="s">
        <v>2947</v>
      </c>
      <c r="E1944" t="s">
        <v>3079</v>
      </c>
      <c r="F1944" s="3">
        <v>46295.706077916271</v>
      </c>
      <c r="G1944" s="3">
        <v>46295.714053960954</v>
      </c>
      <c r="H1944">
        <v>11.49</v>
      </c>
      <c r="I1944" t="s">
        <v>3151</v>
      </c>
      <c r="J1944" t="s">
        <v>3169</v>
      </c>
      <c r="K1944" t="s">
        <v>3181</v>
      </c>
      <c r="L1944" t="str">
        <f>_xlfn.XLOOKUP(C1944,[1]!Table1[Shift_ID],[1]!Table1[Shift_ID])</f>
        <v>S02</v>
      </c>
      <c r="M1944" t="str">
        <f>_xlfn.XLOOKUP(D1944,[2]!Table1[Machine_ID],[2]!Table1[Machine_ID])</f>
        <v>M006</v>
      </c>
      <c r="N1944" t="str">
        <f>_xlfn.XLOOKUP(E1944,[3]Sheet1!$A$2:$A$391,[3]Sheet1!$A$2:$A$391)</f>
        <v>PO10129</v>
      </c>
    </row>
    <row r="1945" spans="1:14" x14ac:dyDescent="0.2">
      <c r="A1945" t="s">
        <v>1954</v>
      </c>
      <c r="B1945" s="2">
        <v>46295</v>
      </c>
      <c r="C1945" t="s">
        <v>2941</v>
      </c>
      <c r="D1945" t="s">
        <v>2947</v>
      </c>
      <c r="E1945" t="s">
        <v>3079</v>
      </c>
      <c r="F1945" s="3">
        <v>46295.765556987142</v>
      </c>
      <c r="G1945" s="3">
        <v>46295.7675230061</v>
      </c>
      <c r="H1945">
        <v>2.83</v>
      </c>
      <c r="I1945" t="s">
        <v>3147</v>
      </c>
      <c r="J1945" t="s">
        <v>3154</v>
      </c>
      <c r="K1945" t="s">
        <v>3185</v>
      </c>
      <c r="L1945" t="str">
        <f>_xlfn.XLOOKUP(C1945,[1]!Table1[Shift_ID],[1]!Table1[Shift_ID])</f>
        <v>S02</v>
      </c>
      <c r="M1945" t="str">
        <f>_xlfn.XLOOKUP(D1945,[2]!Table1[Machine_ID],[2]!Table1[Machine_ID])</f>
        <v>M006</v>
      </c>
      <c r="N1945" t="str">
        <f>_xlfn.XLOOKUP(E1945,[3]Sheet1!$A$2:$A$391,[3]Sheet1!$A$2:$A$391)</f>
        <v>PO10129</v>
      </c>
    </row>
    <row r="1946" spans="1:14" x14ac:dyDescent="0.2">
      <c r="A1946" t="s">
        <v>1955</v>
      </c>
      <c r="B1946" s="2">
        <v>46295</v>
      </c>
      <c r="C1946" t="s">
        <v>2941</v>
      </c>
      <c r="D1946" t="s">
        <v>2947</v>
      </c>
      <c r="E1946" t="s">
        <v>3079</v>
      </c>
      <c r="F1946" s="3">
        <v>46295.898159384851</v>
      </c>
      <c r="G1946" s="3">
        <v>46295.904630286772</v>
      </c>
      <c r="H1946">
        <v>9.32</v>
      </c>
      <c r="I1946" t="s">
        <v>3150</v>
      </c>
      <c r="J1946" t="s">
        <v>3163</v>
      </c>
      <c r="K1946" t="s">
        <v>3177</v>
      </c>
      <c r="L1946" t="str">
        <f>_xlfn.XLOOKUP(C1946,[1]!Table1[Shift_ID],[1]!Table1[Shift_ID])</f>
        <v>S02</v>
      </c>
      <c r="M1946" t="str">
        <f>_xlfn.XLOOKUP(D1946,[2]!Table1[Machine_ID],[2]!Table1[Machine_ID])</f>
        <v>M006</v>
      </c>
      <c r="N1946" t="str">
        <f>_xlfn.XLOOKUP(E1946,[3]Sheet1!$A$2:$A$391,[3]Sheet1!$A$2:$A$391)</f>
        <v>PO10129</v>
      </c>
    </row>
    <row r="1947" spans="1:14" x14ac:dyDescent="0.2">
      <c r="A1947" t="s">
        <v>1956</v>
      </c>
      <c r="B1947" s="2">
        <v>46295</v>
      </c>
      <c r="C1947" t="s">
        <v>2941</v>
      </c>
      <c r="D1947" t="s">
        <v>2948</v>
      </c>
      <c r="E1947" t="s">
        <v>3079</v>
      </c>
      <c r="F1947" s="3">
        <v>46295.650801104071</v>
      </c>
      <c r="G1947" s="3">
        <v>46295.664599693497</v>
      </c>
      <c r="H1947">
        <v>19.87</v>
      </c>
      <c r="I1947" t="s">
        <v>3148</v>
      </c>
      <c r="J1947" t="s">
        <v>3164</v>
      </c>
      <c r="K1947" t="s">
        <v>3183</v>
      </c>
      <c r="L1947" t="str">
        <f>_xlfn.XLOOKUP(C1947,[1]!Table1[Shift_ID],[1]!Table1[Shift_ID])</f>
        <v>S02</v>
      </c>
      <c r="M1947" t="str">
        <f>_xlfn.XLOOKUP(D1947,[2]!Table1[Machine_ID],[2]!Table1[Machine_ID])</f>
        <v>M007</v>
      </c>
      <c r="N1947" t="str">
        <f>_xlfn.XLOOKUP(E1947,[3]Sheet1!$A$2:$A$391,[3]Sheet1!$A$2:$A$391)</f>
        <v>PO10129</v>
      </c>
    </row>
    <row r="1948" spans="1:14" x14ac:dyDescent="0.2">
      <c r="A1948" t="s">
        <v>1957</v>
      </c>
      <c r="B1948" s="2">
        <v>46295</v>
      </c>
      <c r="C1948" t="s">
        <v>2941</v>
      </c>
      <c r="D1948" t="s">
        <v>2948</v>
      </c>
      <c r="E1948" t="s">
        <v>3079</v>
      </c>
      <c r="F1948" s="3">
        <v>46295.743163520303</v>
      </c>
      <c r="G1948" s="3">
        <v>46295.745092370729</v>
      </c>
      <c r="H1948">
        <v>2.78</v>
      </c>
      <c r="I1948" t="s">
        <v>3149</v>
      </c>
      <c r="J1948" t="s">
        <v>3158</v>
      </c>
      <c r="K1948" t="s">
        <v>3176</v>
      </c>
      <c r="L1948" t="str">
        <f>_xlfn.XLOOKUP(C1948,[1]!Table1[Shift_ID],[1]!Table1[Shift_ID])</f>
        <v>S02</v>
      </c>
      <c r="M1948" t="str">
        <f>_xlfn.XLOOKUP(D1948,[2]!Table1[Machine_ID],[2]!Table1[Machine_ID])</f>
        <v>M007</v>
      </c>
      <c r="N1948" t="str">
        <f>_xlfn.XLOOKUP(E1948,[3]Sheet1!$A$2:$A$391,[3]Sheet1!$A$2:$A$391)</f>
        <v>PO10129</v>
      </c>
    </row>
    <row r="1949" spans="1:14" x14ac:dyDescent="0.2">
      <c r="A1949" t="s">
        <v>1958</v>
      </c>
      <c r="B1949" s="2">
        <v>46295</v>
      </c>
      <c r="C1949" t="s">
        <v>2941</v>
      </c>
      <c r="D1949" t="s">
        <v>2949</v>
      </c>
      <c r="E1949" t="s">
        <v>3079</v>
      </c>
      <c r="F1949" s="3">
        <v>46295.749444844951</v>
      </c>
      <c r="G1949" s="3">
        <v>46295.754386491681</v>
      </c>
      <c r="H1949">
        <v>7.12</v>
      </c>
      <c r="I1949" t="s">
        <v>3148</v>
      </c>
      <c r="J1949" t="s">
        <v>3165</v>
      </c>
      <c r="K1949" t="s">
        <v>3180</v>
      </c>
      <c r="L1949" t="str">
        <f>_xlfn.XLOOKUP(C1949,[1]!Table1[Shift_ID],[1]!Table1[Shift_ID])</f>
        <v>S02</v>
      </c>
      <c r="M1949" t="str">
        <f>_xlfn.XLOOKUP(D1949,[2]!Table1[Machine_ID],[2]!Table1[Machine_ID])</f>
        <v>M008</v>
      </c>
      <c r="N1949" t="str">
        <f>_xlfn.XLOOKUP(E1949,[3]Sheet1!$A$2:$A$391,[3]Sheet1!$A$2:$A$391)</f>
        <v>PO10129</v>
      </c>
    </row>
    <row r="1950" spans="1:14" x14ac:dyDescent="0.2">
      <c r="A1950" t="s">
        <v>1959</v>
      </c>
      <c r="B1950" s="2">
        <v>46296</v>
      </c>
      <c r="C1950" t="s">
        <v>2939</v>
      </c>
      <c r="D1950" t="s">
        <v>2942</v>
      </c>
      <c r="E1950" t="s">
        <v>3080</v>
      </c>
      <c r="F1950" s="3">
        <v>46297.177289041218</v>
      </c>
      <c r="G1950" s="3">
        <v>46297.18418636368</v>
      </c>
      <c r="H1950">
        <v>9.93</v>
      </c>
      <c r="I1950" t="s">
        <v>3151</v>
      </c>
      <c r="J1950" t="s">
        <v>3170</v>
      </c>
      <c r="K1950" t="s">
        <v>3181</v>
      </c>
      <c r="L1950" t="str">
        <f>_xlfn.XLOOKUP(C1950,[1]!Table1[Shift_ID],[1]!Table1[Shift_ID])</f>
        <v>S03</v>
      </c>
      <c r="M1950" t="str">
        <f>_xlfn.XLOOKUP(D1950,[2]!Table1[Machine_ID],[2]!Table1[Machine_ID])</f>
        <v>M001</v>
      </c>
      <c r="N1950" t="str">
        <f>_xlfn.XLOOKUP(E1950,[3]Sheet1!$A$2:$A$391,[3]Sheet1!$A$2:$A$391)</f>
        <v>PO10130</v>
      </c>
    </row>
    <row r="1951" spans="1:14" x14ac:dyDescent="0.2">
      <c r="A1951" t="s">
        <v>1960</v>
      </c>
      <c r="B1951" s="2">
        <v>46296</v>
      </c>
      <c r="C1951" t="s">
        <v>2939</v>
      </c>
      <c r="D1951" t="s">
        <v>2943</v>
      </c>
      <c r="E1951" t="s">
        <v>3080</v>
      </c>
      <c r="F1951" s="3">
        <v>46297.083823108936</v>
      </c>
      <c r="G1951" s="3">
        <v>46297.093443961588</v>
      </c>
      <c r="H1951">
        <v>13.85</v>
      </c>
      <c r="I1951" t="s">
        <v>3150</v>
      </c>
      <c r="J1951" t="s">
        <v>3160</v>
      </c>
      <c r="K1951" t="s">
        <v>3178</v>
      </c>
      <c r="L1951" t="str">
        <f>_xlfn.XLOOKUP(C1951,[1]!Table1[Shift_ID],[1]!Table1[Shift_ID])</f>
        <v>S03</v>
      </c>
      <c r="M1951" t="str">
        <f>_xlfn.XLOOKUP(D1951,[2]!Table1[Machine_ID],[2]!Table1[Machine_ID])</f>
        <v>M002</v>
      </c>
      <c r="N1951" t="str">
        <f>_xlfn.XLOOKUP(E1951,[3]Sheet1!$A$2:$A$391,[3]Sheet1!$A$2:$A$391)</f>
        <v>PO10130</v>
      </c>
    </row>
    <row r="1952" spans="1:14" x14ac:dyDescent="0.2">
      <c r="A1952" t="s">
        <v>1961</v>
      </c>
      <c r="B1952" s="2">
        <v>46296</v>
      </c>
      <c r="C1952" t="s">
        <v>2939</v>
      </c>
      <c r="D1952" t="s">
        <v>2944</v>
      </c>
      <c r="E1952" t="s">
        <v>3080</v>
      </c>
      <c r="F1952" s="3">
        <v>46296.953278820853</v>
      </c>
      <c r="G1952" s="3">
        <v>46296.959992576878</v>
      </c>
      <c r="H1952">
        <v>9.67</v>
      </c>
      <c r="I1952" t="s">
        <v>3151</v>
      </c>
      <c r="J1952" t="s">
        <v>3161</v>
      </c>
      <c r="K1952" t="s">
        <v>3188</v>
      </c>
      <c r="L1952" t="str">
        <f>_xlfn.XLOOKUP(C1952,[1]!Table1[Shift_ID],[1]!Table1[Shift_ID])</f>
        <v>S03</v>
      </c>
      <c r="M1952" t="str">
        <f>_xlfn.XLOOKUP(D1952,[2]!Table1[Machine_ID],[2]!Table1[Machine_ID])</f>
        <v>M003</v>
      </c>
      <c r="N1952" t="str">
        <f>_xlfn.XLOOKUP(E1952,[3]Sheet1!$A$2:$A$391,[3]Sheet1!$A$2:$A$391)</f>
        <v>PO10130</v>
      </c>
    </row>
    <row r="1953" spans="1:14" x14ac:dyDescent="0.2">
      <c r="A1953" t="s">
        <v>1962</v>
      </c>
      <c r="B1953" s="2">
        <v>46296</v>
      </c>
      <c r="C1953" t="s">
        <v>2939</v>
      </c>
      <c r="D1953" t="s">
        <v>2944</v>
      </c>
      <c r="E1953" t="s">
        <v>3080</v>
      </c>
      <c r="F1953" s="3">
        <v>46297.166102317489</v>
      </c>
      <c r="G1953" s="3">
        <v>46297.167942342719</v>
      </c>
      <c r="H1953">
        <v>2.65</v>
      </c>
      <c r="I1953" t="s">
        <v>3147</v>
      </c>
      <c r="J1953" t="s">
        <v>3154</v>
      </c>
      <c r="K1953" t="s">
        <v>3185</v>
      </c>
      <c r="L1953" t="str">
        <f>_xlfn.XLOOKUP(C1953,[1]!Table1[Shift_ID],[1]!Table1[Shift_ID])</f>
        <v>S03</v>
      </c>
      <c r="M1953" t="str">
        <f>_xlfn.XLOOKUP(D1953,[2]!Table1[Machine_ID],[2]!Table1[Machine_ID])</f>
        <v>M003</v>
      </c>
      <c r="N1953" t="str">
        <f>_xlfn.XLOOKUP(E1953,[3]Sheet1!$A$2:$A$391,[3]Sheet1!$A$2:$A$391)</f>
        <v>PO10130</v>
      </c>
    </row>
    <row r="1954" spans="1:14" x14ac:dyDescent="0.2">
      <c r="A1954" t="s">
        <v>1963</v>
      </c>
      <c r="B1954" s="2">
        <v>46296</v>
      </c>
      <c r="C1954" t="s">
        <v>2939</v>
      </c>
      <c r="D1954" t="s">
        <v>2945</v>
      </c>
      <c r="E1954" t="s">
        <v>3080</v>
      </c>
      <c r="F1954" s="3">
        <v>46297.033424022113</v>
      </c>
      <c r="G1954" s="3">
        <v>46297.039296424307</v>
      </c>
      <c r="H1954">
        <v>8.4600000000000009</v>
      </c>
      <c r="I1954" t="s">
        <v>3151</v>
      </c>
      <c r="J1954" t="s">
        <v>3161</v>
      </c>
      <c r="K1954" t="s">
        <v>3188</v>
      </c>
      <c r="L1954" t="str">
        <f>_xlfn.XLOOKUP(C1954,[1]!Table1[Shift_ID],[1]!Table1[Shift_ID])</f>
        <v>S03</v>
      </c>
      <c r="M1954" t="str">
        <f>_xlfn.XLOOKUP(D1954,[2]!Table1[Machine_ID],[2]!Table1[Machine_ID])</f>
        <v>M004</v>
      </c>
      <c r="N1954" t="str">
        <f>_xlfn.XLOOKUP(E1954,[3]Sheet1!$A$2:$A$391,[3]Sheet1!$A$2:$A$391)</f>
        <v>PO10130</v>
      </c>
    </row>
    <row r="1955" spans="1:14" x14ac:dyDescent="0.2">
      <c r="A1955" t="s">
        <v>1964</v>
      </c>
      <c r="B1955" s="2">
        <v>46296</v>
      </c>
      <c r="C1955" t="s">
        <v>2939</v>
      </c>
      <c r="D1955" t="s">
        <v>2945</v>
      </c>
      <c r="E1955" t="s">
        <v>3080</v>
      </c>
      <c r="F1955" s="3">
        <v>46297.05653879021</v>
      </c>
      <c r="G1955" s="3">
        <v>46297.058257525263</v>
      </c>
      <c r="H1955">
        <v>2.4700000000000002</v>
      </c>
      <c r="I1955" t="s">
        <v>3149</v>
      </c>
      <c r="J1955" t="s">
        <v>3162</v>
      </c>
      <c r="K1955" t="s">
        <v>3176</v>
      </c>
      <c r="L1955" t="str">
        <f>_xlfn.XLOOKUP(C1955,[1]!Table1[Shift_ID],[1]!Table1[Shift_ID])</f>
        <v>S03</v>
      </c>
      <c r="M1955" t="str">
        <f>_xlfn.XLOOKUP(D1955,[2]!Table1[Machine_ID],[2]!Table1[Machine_ID])</f>
        <v>M004</v>
      </c>
      <c r="N1955" t="str">
        <f>_xlfn.XLOOKUP(E1955,[3]Sheet1!$A$2:$A$391,[3]Sheet1!$A$2:$A$391)</f>
        <v>PO10130</v>
      </c>
    </row>
    <row r="1956" spans="1:14" x14ac:dyDescent="0.2">
      <c r="A1956" t="s">
        <v>1965</v>
      </c>
      <c r="B1956" s="2">
        <v>46296</v>
      </c>
      <c r="C1956" t="s">
        <v>2939</v>
      </c>
      <c r="D1956" t="s">
        <v>2946</v>
      </c>
      <c r="E1956" t="s">
        <v>3080</v>
      </c>
      <c r="F1956" s="3">
        <v>46296.942584997727</v>
      </c>
      <c r="G1956" s="3">
        <v>46296.947005689733</v>
      </c>
      <c r="H1956">
        <v>6.37</v>
      </c>
      <c r="I1956" t="s">
        <v>3147</v>
      </c>
      <c r="J1956" t="s">
        <v>3153</v>
      </c>
      <c r="K1956" t="s">
        <v>3185</v>
      </c>
      <c r="L1956" t="str">
        <f>_xlfn.XLOOKUP(C1956,[1]!Table1[Shift_ID],[1]!Table1[Shift_ID])</f>
        <v>S03</v>
      </c>
      <c r="M1956" t="str">
        <f>_xlfn.XLOOKUP(D1956,[2]!Table1[Machine_ID],[2]!Table1[Machine_ID])</f>
        <v>M005</v>
      </c>
      <c r="N1956" t="str">
        <f>_xlfn.XLOOKUP(E1956,[3]Sheet1!$A$2:$A$391,[3]Sheet1!$A$2:$A$391)</f>
        <v>PO10130</v>
      </c>
    </row>
    <row r="1957" spans="1:14" x14ac:dyDescent="0.2">
      <c r="A1957" t="s">
        <v>1966</v>
      </c>
      <c r="B1957" s="2">
        <v>46296</v>
      </c>
      <c r="C1957" t="s">
        <v>2939</v>
      </c>
      <c r="D1957" t="s">
        <v>2946</v>
      </c>
      <c r="E1957" t="s">
        <v>3080</v>
      </c>
      <c r="F1957" s="3">
        <v>46296.978436659942</v>
      </c>
      <c r="G1957" s="3">
        <v>46296.98019530272</v>
      </c>
      <c r="H1957">
        <v>2.5299999999999998</v>
      </c>
      <c r="I1957" t="s">
        <v>3149</v>
      </c>
      <c r="J1957" t="s">
        <v>3168</v>
      </c>
      <c r="K1957" t="s">
        <v>3184</v>
      </c>
      <c r="L1957" t="str">
        <f>_xlfn.XLOOKUP(C1957,[1]!Table1[Shift_ID],[1]!Table1[Shift_ID])</f>
        <v>S03</v>
      </c>
      <c r="M1957" t="str">
        <f>_xlfn.XLOOKUP(D1957,[2]!Table1[Machine_ID],[2]!Table1[Machine_ID])</f>
        <v>M005</v>
      </c>
      <c r="N1957" t="str">
        <f>_xlfn.XLOOKUP(E1957,[3]Sheet1!$A$2:$A$391,[3]Sheet1!$A$2:$A$391)</f>
        <v>PO10130</v>
      </c>
    </row>
    <row r="1958" spans="1:14" x14ac:dyDescent="0.2">
      <c r="A1958" t="s">
        <v>1967</v>
      </c>
      <c r="B1958" s="2">
        <v>46296</v>
      </c>
      <c r="C1958" t="s">
        <v>2939</v>
      </c>
      <c r="D1958" t="s">
        <v>2947</v>
      </c>
      <c r="E1958" t="s">
        <v>3080</v>
      </c>
      <c r="F1958" s="3">
        <v>46296.973957840077</v>
      </c>
      <c r="G1958" s="3">
        <v>46296.979023913373</v>
      </c>
      <c r="H1958">
        <v>7.3</v>
      </c>
      <c r="I1958" t="s">
        <v>3149</v>
      </c>
      <c r="J1958" t="s">
        <v>3168</v>
      </c>
      <c r="K1958" t="s">
        <v>3184</v>
      </c>
      <c r="L1958" t="str">
        <f>_xlfn.XLOOKUP(C1958,[1]!Table1[Shift_ID],[1]!Table1[Shift_ID])</f>
        <v>S03</v>
      </c>
      <c r="M1958" t="str">
        <f>_xlfn.XLOOKUP(D1958,[2]!Table1[Machine_ID],[2]!Table1[Machine_ID])</f>
        <v>M006</v>
      </c>
      <c r="N1958" t="str">
        <f>_xlfn.XLOOKUP(E1958,[3]Sheet1!$A$2:$A$391,[3]Sheet1!$A$2:$A$391)</f>
        <v>PO10130</v>
      </c>
    </row>
    <row r="1959" spans="1:14" x14ac:dyDescent="0.2">
      <c r="A1959" t="s">
        <v>1968</v>
      </c>
      <c r="B1959" s="2">
        <v>46296</v>
      </c>
      <c r="C1959" t="s">
        <v>2939</v>
      </c>
      <c r="D1959" t="s">
        <v>2947</v>
      </c>
      <c r="E1959" t="s">
        <v>3080</v>
      </c>
      <c r="F1959" s="3">
        <v>46297.156726342779</v>
      </c>
      <c r="G1959" s="3">
        <v>46297.169332242403</v>
      </c>
      <c r="H1959">
        <v>18.149999999999999</v>
      </c>
      <c r="I1959" t="s">
        <v>3149</v>
      </c>
      <c r="J1959" t="s">
        <v>3168</v>
      </c>
      <c r="K1959" t="s">
        <v>3184</v>
      </c>
      <c r="L1959" t="str">
        <f>_xlfn.XLOOKUP(C1959,[1]!Table1[Shift_ID],[1]!Table1[Shift_ID])</f>
        <v>S03</v>
      </c>
      <c r="M1959" t="str">
        <f>_xlfn.XLOOKUP(D1959,[2]!Table1[Machine_ID],[2]!Table1[Machine_ID])</f>
        <v>M006</v>
      </c>
      <c r="N1959" t="str">
        <f>_xlfn.XLOOKUP(E1959,[3]Sheet1!$A$2:$A$391,[3]Sheet1!$A$2:$A$391)</f>
        <v>PO10130</v>
      </c>
    </row>
    <row r="1960" spans="1:14" x14ac:dyDescent="0.2">
      <c r="A1960" t="s">
        <v>1969</v>
      </c>
      <c r="B1960" s="2">
        <v>46296</v>
      </c>
      <c r="C1960" t="s">
        <v>2939</v>
      </c>
      <c r="D1960" t="s">
        <v>2947</v>
      </c>
      <c r="E1960" t="s">
        <v>3080</v>
      </c>
      <c r="F1960" s="3">
        <v>46297.200720751513</v>
      </c>
      <c r="G1960" s="3">
        <v>46297.210654601171</v>
      </c>
      <c r="H1960">
        <v>14.3</v>
      </c>
      <c r="I1960" t="s">
        <v>3150</v>
      </c>
      <c r="J1960" t="s">
        <v>3159</v>
      </c>
      <c r="K1960" t="s">
        <v>3177</v>
      </c>
      <c r="L1960" t="str">
        <f>_xlfn.XLOOKUP(C1960,[1]!Table1[Shift_ID],[1]!Table1[Shift_ID])</f>
        <v>S03</v>
      </c>
      <c r="M1960" t="str">
        <f>_xlfn.XLOOKUP(D1960,[2]!Table1[Machine_ID],[2]!Table1[Machine_ID])</f>
        <v>M006</v>
      </c>
      <c r="N1960" t="str">
        <f>_xlfn.XLOOKUP(E1960,[3]Sheet1!$A$2:$A$391,[3]Sheet1!$A$2:$A$391)</f>
        <v>PO10130</v>
      </c>
    </row>
    <row r="1961" spans="1:14" x14ac:dyDescent="0.2">
      <c r="A1961" t="s">
        <v>1970</v>
      </c>
      <c r="B1961" s="2">
        <v>46296</v>
      </c>
      <c r="C1961" t="s">
        <v>2939</v>
      </c>
      <c r="D1961" t="s">
        <v>2947</v>
      </c>
      <c r="E1961" t="s">
        <v>3080</v>
      </c>
      <c r="F1961" s="3">
        <v>46297.201643451641</v>
      </c>
      <c r="G1961" s="3">
        <v>46297.20368110366</v>
      </c>
      <c r="H1961">
        <v>2.93</v>
      </c>
      <c r="I1961" t="s">
        <v>3146</v>
      </c>
      <c r="J1961" t="s">
        <v>3156</v>
      </c>
      <c r="K1961" t="s">
        <v>3175</v>
      </c>
      <c r="L1961" t="str">
        <f>_xlfn.XLOOKUP(C1961,[1]!Table1[Shift_ID],[1]!Table1[Shift_ID])</f>
        <v>S03</v>
      </c>
      <c r="M1961" t="str">
        <f>_xlfn.XLOOKUP(D1961,[2]!Table1[Machine_ID],[2]!Table1[Machine_ID])</f>
        <v>M006</v>
      </c>
      <c r="N1961" t="str">
        <f>_xlfn.XLOOKUP(E1961,[3]Sheet1!$A$2:$A$391,[3]Sheet1!$A$2:$A$391)</f>
        <v>PO10130</v>
      </c>
    </row>
    <row r="1962" spans="1:14" x14ac:dyDescent="0.2">
      <c r="A1962" t="s">
        <v>1971</v>
      </c>
      <c r="B1962" s="2">
        <v>46296</v>
      </c>
      <c r="C1962" t="s">
        <v>2939</v>
      </c>
      <c r="D1962" t="s">
        <v>2948</v>
      </c>
      <c r="E1962" t="s">
        <v>3080</v>
      </c>
      <c r="F1962" s="3">
        <v>46297.059670831841</v>
      </c>
      <c r="G1962" s="3">
        <v>46297.064583027437</v>
      </c>
      <c r="H1962">
        <v>7.07</v>
      </c>
      <c r="I1962" t="s">
        <v>3147</v>
      </c>
      <c r="J1962" t="s">
        <v>3154</v>
      </c>
      <c r="K1962" t="s">
        <v>3185</v>
      </c>
      <c r="L1962" t="str">
        <f>_xlfn.XLOOKUP(C1962,[1]!Table1[Shift_ID],[1]!Table1[Shift_ID])</f>
        <v>S03</v>
      </c>
      <c r="M1962" t="str">
        <f>_xlfn.XLOOKUP(D1962,[2]!Table1[Machine_ID],[2]!Table1[Machine_ID])</f>
        <v>M007</v>
      </c>
      <c r="N1962" t="str">
        <f>_xlfn.XLOOKUP(E1962,[3]Sheet1!$A$2:$A$391,[3]Sheet1!$A$2:$A$391)</f>
        <v>PO10130</v>
      </c>
    </row>
    <row r="1963" spans="1:14" x14ac:dyDescent="0.2">
      <c r="A1963" t="s">
        <v>1972</v>
      </c>
      <c r="B1963" s="2">
        <v>46296</v>
      </c>
      <c r="C1963" t="s">
        <v>2939</v>
      </c>
      <c r="D1963" t="s">
        <v>2948</v>
      </c>
      <c r="E1963" t="s">
        <v>3080</v>
      </c>
      <c r="F1963" s="3">
        <v>46297.108259279361</v>
      </c>
      <c r="G1963" s="3">
        <v>46297.119039015917</v>
      </c>
      <c r="H1963">
        <v>15.52</v>
      </c>
      <c r="I1963" t="s">
        <v>3146</v>
      </c>
      <c r="J1963" t="s">
        <v>3156</v>
      </c>
      <c r="K1963" t="s">
        <v>3175</v>
      </c>
      <c r="L1963" t="str">
        <f>_xlfn.XLOOKUP(C1963,[1]!Table1[Shift_ID],[1]!Table1[Shift_ID])</f>
        <v>S03</v>
      </c>
      <c r="M1963" t="str">
        <f>_xlfn.XLOOKUP(D1963,[2]!Table1[Machine_ID],[2]!Table1[Machine_ID])</f>
        <v>M007</v>
      </c>
      <c r="N1963" t="str">
        <f>_xlfn.XLOOKUP(E1963,[3]Sheet1!$A$2:$A$391,[3]Sheet1!$A$2:$A$391)</f>
        <v>PO10130</v>
      </c>
    </row>
    <row r="1964" spans="1:14" x14ac:dyDescent="0.2">
      <c r="A1964" t="s">
        <v>1973</v>
      </c>
      <c r="B1964" s="2">
        <v>46296</v>
      </c>
      <c r="C1964" t="s">
        <v>2939</v>
      </c>
      <c r="D1964" t="s">
        <v>2949</v>
      </c>
      <c r="E1964" t="s">
        <v>3080</v>
      </c>
      <c r="F1964" s="3">
        <v>46297.139884402823</v>
      </c>
      <c r="G1964" s="3">
        <v>46297.14476993656</v>
      </c>
      <c r="H1964">
        <v>7.04</v>
      </c>
      <c r="I1964" t="s">
        <v>3149</v>
      </c>
      <c r="J1964" t="s">
        <v>3158</v>
      </c>
      <c r="K1964" t="s">
        <v>3184</v>
      </c>
      <c r="L1964" t="str">
        <f>_xlfn.XLOOKUP(C1964,[1]!Table1[Shift_ID],[1]!Table1[Shift_ID])</f>
        <v>S03</v>
      </c>
      <c r="M1964" t="str">
        <f>_xlfn.XLOOKUP(D1964,[2]!Table1[Machine_ID],[2]!Table1[Machine_ID])</f>
        <v>M008</v>
      </c>
      <c r="N1964" t="str">
        <f>_xlfn.XLOOKUP(E1964,[3]Sheet1!$A$2:$A$391,[3]Sheet1!$A$2:$A$391)</f>
        <v>PO10130</v>
      </c>
    </row>
    <row r="1965" spans="1:14" x14ac:dyDescent="0.2">
      <c r="A1965" t="s">
        <v>1974</v>
      </c>
      <c r="B1965" s="2">
        <v>46296</v>
      </c>
      <c r="C1965" t="s">
        <v>2940</v>
      </c>
      <c r="D1965" t="s">
        <v>2942</v>
      </c>
      <c r="E1965" t="s">
        <v>3081</v>
      </c>
      <c r="F1965" s="3">
        <v>46296.506696119613</v>
      </c>
      <c r="G1965" s="3">
        <v>46296.515035912053</v>
      </c>
      <c r="H1965">
        <v>12.01</v>
      </c>
      <c r="I1965" t="s">
        <v>3151</v>
      </c>
      <c r="J1965" t="s">
        <v>3170</v>
      </c>
      <c r="K1965" t="s">
        <v>3188</v>
      </c>
      <c r="L1965" t="str">
        <f>_xlfn.XLOOKUP(C1965,[1]!Table1[Shift_ID],[1]!Table1[Shift_ID])</f>
        <v>S01</v>
      </c>
      <c r="M1965" t="str">
        <f>_xlfn.XLOOKUP(D1965,[2]!Table1[Machine_ID],[2]!Table1[Machine_ID])</f>
        <v>M001</v>
      </c>
      <c r="N1965" t="str">
        <f>_xlfn.XLOOKUP(E1965,[3]Sheet1!$A$2:$A$391,[3]Sheet1!$A$2:$A$391)</f>
        <v>PO10131</v>
      </c>
    </row>
    <row r="1966" spans="1:14" x14ac:dyDescent="0.2">
      <c r="A1966" t="s">
        <v>1975</v>
      </c>
      <c r="B1966" s="2">
        <v>46296</v>
      </c>
      <c r="C1966" t="s">
        <v>2940</v>
      </c>
      <c r="D1966" t="s">
        <v>2943</v>
      </c>
      <c r="E1966" t="s">
        <v>3081</v>
      </c>
      <c r="F1966" s="3">
        <v>46296.287947358353</v>
      </c>
      <c r="G1966" s="3">
        <v>46296.291472386387</v>
      </c>
      <c r="H1966">
        <v>5.08</v>
      </c>
      <c r="I1966" t="s">
        <v>3150</v>
      </c>
      <c r="J1966" t="s">
        <v>3163</v>
      </c>
      <c r="K1966" t="s">
        <v>3178</v>
      </c>
      <c r="L1966" t="str">
        <f>_xlfn.XLOOKUP(C1966,[1]!Table1[Shift_ID],[1]!Table1[Shift_ID])</f>
        <v>S01</v>
      </c>
      <c r="M1966" t="str">
        <f>_xlfn.XLOOKUP(D1966,[2]!Table1[Machine_ID],[2]!Table1[Machine_ID])</f>
        <v>M002</v>
      </c>
      <c r="N1966" t="str">
        <f>_xlfn.XLOOKUP(E1966,[3]Sheet1!$A$2:$A$391,[3]Sheet1!$A$2:$A$391)</f>
        <v>PO10131</v>
      </c>
    </row>
    <row r="1967" spans="1:14" x14ac:dyDescent="0.2">
      <c r="A1967" t="s">
        <v>1976</v>
      </c>
      <c r="B1967" s="2">
        <v>46296</v>
      </c>
      <c r="C1967" t="s">
        <v>2940</v>
      </c>
      <c r="D1967" t="s">
        <v>2943</v>
      </c>
      <c r="E1967" t="s">
        <v>3081</v>
      </c>
      <c r="F1967" s="3">
        <v>46296.52167081074</v>
      </c>
      <c r="G1967" s="3">
        <v>46296.525931552344</v>
      </c>
      <c r="H1967">
        <v>6.14</v>
      </c>
      <c r="I1967" t="s">
        <v>3150</v>
      </c>
      <c r="J1967" t="s">
        <v>3166</v>
      </c>
      <c r="K1967" t="s">
        <v>3179</v>
      </c>
      <c r="L1967" t="str">
        <f>_xlfn.XLOOKUP(C1967,[1]!Table1[Shift_ID],[1]!Table1[Shift_ID])</f>
        <v>S01</v>
      </c>
      <c r="M1967" t="str">
        <f>_xlfn.XLOOKUP(D1967,[2]!Table1[Machine_ID],[2]!Table1[Machine_ID])</f>
        <v>M002</v>
      </c>
      <c r="N1967" t="str">
        <f>_xlfn.XLOOKUP(E1967,[3]Sheet1!$A$2:$A$391,[3]Sheet1!$A$2:$A$391)</f>
        <v>PO10131</v>
      </c>
    </row>
    <row r="1968" spans="1:14" x14ac:dyDescent="0.2">
      <c r="A1968" t="s">
        <v>1977</v>
      </c>
      <c r="B1968" s="2">
        <v>46296</v>
      </c>
      <c r="C1968" t="s">
        <v>2940</v>
      </c>
      <c r="D1968" t="s">
        <v>2944</v>
      </c>
      <c r="E1968" t="s">
        <v>3081</v>
      </c>
      <c r="F1968" s="3">
        <v>46296.307148142543</v>
      </c>
      <c r="G1968" s="3">
        <v>46296.32228508273</v>
      </c>
      <c r="H1968">
        <v>21.8</v>
      </c>
      <c r="I1968" t="s">
        <v>3151</v>
      </c>
      <c r="J1968" t="s">
        <v>3170</v>
      </c>
      <c r="K1968" t="s">
        <v>3181</v>
      </c>
      <c r="L1968" t="str">
        <f>_xlfn.XLOOKUP(C1968,[1]!Table1[Shift_ID],[1]!Table1[Shift_ID])</f>
        <v>S01</v>
      </c>
      <c r="M1968" t="str">
        <f>_xlfn.XLOOKUP(D1968,[2]!Table1[Machine_ID],[2]!Table1[Machine_ID])</f>
        <v>M003</v>
      </c>
      <c r="N1968" t="str">
        <f>_xlfn.XLOOKUP(E1968,[3]Sheet1!$A$2:$A$391,[3]Sheet1!$A$2:$A$391)</f>
        <v>PO10131</v>
      </c>
    </row>
    <row r="1969" spans="1:14" x14ac:dyDescent="0.2">
      <c r="A1969" t="s">
        <v>1978</v>
      </c>
      <c r="B1969" s="2">
        <v>46296</v>
      </c>
      <c r="C1969" t="s">
        <v>2940</v>
      </c>
      <c r="D1969" t="s">
        <v>2945</v>
      </c>
      <c r="E1969" t="s">
        <v>3081</v>
      </c>
      <c r="F1969" s="3">
        <v>46296.433843268889</v>
      </c>
      <c r="G1969" s="3">
        <v>46296.441930626534</v>
      </c>
      <c r="H1969">
        <v>11.65</v>
      </c>
      <c r="I1969" t="s">
        <v>3149</v>
      </c>
      <c r="J1969" t="s">
        <v>3168</v>
      </c>
      <c r="K1969" t="s">
        <v>3182</v>
      </c>
      <c r="L1969" t="str">
        <f>_xlfn.XLOOKUP(C1969,[1]!Table1[Shift_ID],[1]!Table1[Shift_ID])</f>
        <v>S01</v>
      </c>
      <c r="M1969" t="str">
        <f>_xlfn.XLOOKUP(D1969,[2]!Table1[Machine_ID],[2]!Table1[Machine_ID])</f>
        <v>M004</v>
      </c>
      <c r="N1969" t="str">
        <f>_xlfn.XLOOKUP(E1969,[3]Sheet1!$A$2:$A$391,[3]Sheet1!$A$2:$A$391)</f>
        <v>PO10131</v>
      </c>
    </row>
    <row r="1970" spans="1:14" x14ac:dyDescent="0.2">
      <c r="A1970" t="s">
        <v>1979</v>
      </c>
      <c r="B1970" s="2">
        <v>46296</v>
      </c>
      <c r="C1970" t="s">
        <v>2940</v>
      </c>
      <c r="D1970" t="s">
        <v>2946</v>
      </c>
      <c r="E1970" t="s">
        <v>3081</v>
      </c>
      <c r="F1970" s="3">
        <v>46296.467140085413</v>
      </c>
      <c r="G1970" s="3">
        <v>46296.472817870301</v>
      </c>
      <c r="H1970">
        <v>8.18</v>
      </c>
      <c r="I1970" t="s">
        <v>3147</v>
      </c>
      <c r="J1970" t="s">
        <v>3154</v>
      </c>
      <c r="K1970" t="s">
        <v>3186</v>
      </c>
      <c r="L1970" t="str">
        <f>_xlfn.XLOOKUP(C1970,[1]!Table1[Shift_ID],[1]!Table1[Shift_ID])</f>
        <v>S01</v>
      </c>
      <c r="M1970" t="str">
        <f>_xlfn.XLOOKUP(D1970,[2]!Table1[Machine_ID],[2]!Table1[Machine_ID])</f>
        <v>M005</v>
      </c>
      <c r="N1970" t="str">
        <f>_xlfn.XLOOKUP(E1970,[3]Sheet1!$A$2:$A$391,[3]Sheet1!$A$2:$A$391)</f>
        <v>PO10131</v>
      </c>
    </row>
    <row r="1971" spans="1:14" x14ac:dyDescent="0.2">
      <c r="A1971" t="s">
        <v>1980</v>
      </c>
      <c r="B1971" s="2">
        <v>46296</v>
      </c>
      <c r="C1971" t="s">
        <v>2940</v>
      </c>
      <c r="D1971" t="s">
        <v>2946</v>
      </c>
      <c r="E1971" t="s">
        <v>3081</v>
      </c>
      <c r="F1971" s="3">
        <v>46296.514187346933</v>
      </c>
      <c r="G1971" s="3">
        <v>46296.515838803069</v>
      </c>
      <c r="H1971">
        <v>2.38</v>
      </c>
      <c r="I1971" t="s">
        <v>3150</v>
      </c>
      <c r="J1971" t="s">
        <v>3166</v>
      </c>
      <c r="K1971" t="s">
        <v>3177</v>
      </c>
      <c r="L1971" t="str">
        <f>_xlfn.XLOOKUP(C1971,[1]!Table1[Shift_ID],[1]!Table1[Shift_ID])</f>
        <v>S01</v>
      </c>
      <c r="M1971" t="str">
        <f>_xlfn.XLOOKUP(D1971,[2]!Table1[Machine_ID],[2]!Table1[Machine_ID])</f>
        <v>M005</v>
      </c>
      <c r="N1971" t="str">
        <f>_xlfn.XLOOKUP(E1971,[3]Sheet1!$A$2:$A$391,[3]Sheet1!$A$2:$A$391)</f>
        <v>PO10131</v>
      </c>
    </row>
    <row r="1972" spans="1:14" x14ac:dyDescent="0.2">
      <c r="A1972" t="s">
        <v>1981</v>
      </c>
      <c r="B1972" s="2">
        <v>46296</v>
      </c>
      <c r="C1972" t="s">
        <v>2940</v>
      </c>
      <c r="D1972" t="s">
        <v>2947</v>
      </c>
      <c r="E1972" t="s">
        <v>3081</v>
      </c>
      <c r="F1972" s="3">
        <v>46296.358102683756</v>
      </c>
      <c r="G1972" s="3">
        <v>46296.361416774656</v>
      </c>
      <c r="H1972">
        <v>4.7699999999999996</v>
      </c>
      <c r="I1972" t="s">
        <v>3147</v>
      </c>
      <c r="J1972" t="s">
        <v>3154</v>
      </c>
      <c r="K1972" t="s">
        <v>3186</v>
      </c>
      <c r="L1972" t="str">
        <f>_xlfn.XLOOKUP(C1972,[1]!Table1[Shift_ID],[1]!Table1[Shift_ID])</f>
        <v>S01</v>
      </c>
      <c r="M1972" t="str">
        <f>_xlfn.XLOOKUP(D1972,[2]!Table1[Machine_ID],[2]!Table1[Machine_ID])</f>
        <v>M006</v>
      </c>
      <c r="N1972" t="str">
        <f>_xlfn.XLOOKUP(E1972,[3]Sheet1!$A$2:$A$391,[3]Sheet1!$A$2:$A$391)</f>
        <v>PO10131</v>
      </c>
    </row>
    <row r="1973" spans="1:14" x14ac:dyDescent="0.2">
      <c r="A1973" t="s">
        <v>1982</v>
      </c>
      <c r="B1973" s="2">
        <v>46296</v>
      </c>
      <c r="C1973" t="s">
        <v>2940</v>
      </c>
      <c r="D1973" t="s">
        <v>2947</v>
      </c>
      <c r="E1973" t="s">
        <v>3081</v>
      </c>
      <c r="F1973" s="3">
        <v>46296.372267617422</v>
      </c>
      <c r="G1973" s="3">
        <v>46296.395092903913</v>
      </c>
      <c r="H1973">
        <v>32.869999999999997</v>
      </c>
      <c r="I1973" t="s">
        <v>3146</v>
      </c>
      <c r="J1973" t="s">
        <v>3156</v>
      </c>
      <c r="K1973" t="s">
        <v>3171</v>
      </c>
      <c r="L1973" t="str">
        <f>_xlfn.XLOOKUP(C1973,[1]!Table1[Shift_ID],[1]!Table1[Shift_ID])</f>
        <v>S01</v>
      </c>
      <c r="M1973" t="str">
        <f>_xlfn.XLOOKUP(D1973,[2]!Table1[Machine_ID],[2]!Table1[Machine_ID])</f>
        <v>M006</v>
      </c>
      <c r="N1973" t="str">
        <f>_xlfn.XLOOKUP(E1973,[3]Sheet1!$A$2:$A$391,[3]Sheet1!$A$2:$A$391)</f>
        <v>PO10131</v>
      </c>
    </row>
    <row r="1974" spans="1:14" x14ac:dyDescent="0.2">
      <c r="A1974" t="s">
        <v>1983</v>
      </c>
      <c r="B1974" s="2">
        <v>46296</v>
      </c>
      <c r="C1974" t="s">
        <v>2940</v>
      </c>
      <c r="D1974" t="s">
        <v>2948</v>
      </c>
      <c r="E1974" t="s">
        <v>3081</v>
      </c>
      <c r="F1974" s="3">
        <v>46296.384284860083</v>
      </c>
      <c r="G1974" s="3">
        <v>46296.38727006418</v>
      </c>
      <c r="H1974">
        <v>4.3</v>
      </c>
      <c r="I1974" t="s">
        <v>3150</v>
      </c>
      <c r="J1974" t="s">
        <v>3163</v>
      </c>
      <c r="K1974" t="s">
        <v>3177</v>
      </c>
      <c r="L1974" t="str">
        <f>_xlfn.XLOOKUP(C1974,[1]!Table1[Shift_ID],[1]!Table1[Shift_ID])</f>
        <v>S01</v>
      </c>
      <c r="M1974" t="str">
        <f>_xlfn.XLOOKUP(D1974,[2]!Table1[Machine_ID],[2]!Table1[Machine_ID])</f>
        <v>M007</v>
      </c>
      <c r="N1974" t="str">
        <f>_xlfn.XLOOKUP(E1974,[3]Sheet1!$A$2:$A$391,[3]Sheet1!$A$2:$A$391)</f>
        <v>PO10131</v>
      </c>
    </row>
    <row r="1975" spans="1:14" x14ac:dyDescent="0.2">
      <c r="A1975" t="s">
        <v>1984</v>
      </c>
      <c r="B1975" s="2">
        <v>46296</v>
      </c>
      <c r="C1975" t="s">
        <v>2940</v>
      </c>
      <c r="D1975" t="s">
        <v>2948</v>
      </c>
      <c r="E1975" t="s">
        <v>3081</v>
      </c>
      <c r="F1975" s="3">
        <v>46296.429954075553</v>
      </c>
      <c r="G1975" s="3">
        <v>46296.43192025309</v>
      </c>
      <c r="H1975">
        <v>2.83</v>
      </c>
      <c r="I1975" t="s">
        <v>3150</v>
      </c>
      <c r="J1975" t="s">
        <v>3163</v>
      </c>
      <c r="K1975" t="s">
        <v>3178</v>
      </c>
      <c r="L1975" t="str">
        <f>_xlfn.XLOOKUP(C1975,[1]!Table1[Shift_ID],[1]!Table1[Shift_ID])</f>
        <v>S01</v>
      </c>
      <c r="M1975" t="str">
        <f>_xlfn.XLOOKUP(D1975,[2]!Table1[Machine_ID],[2]!Table1[Machine_ID])</f>
        <v>M007</v>
      </c>
      <c r="N1975" t="str">
        <f>_xlfn.XLOOKUP(E1975,[3]Sheet1!$A$2:$A$391,[3]Sheet1!$A$2:$A$391)</f>
        <v>PO10131</v>
      </c>
    </row>
    <row r="1976" spans="1:14" x14ac:dyDescent="0.2">
      <c r="A1976" t="s">
        <v>1985</v>
      </c>
      <c r="B1976" s="2">
        <v>46296</v>
      </c>
      <c r="C1976" t="s">
        <v>2940</v>
      </c>
      <c r="D1976" t="s">
        <v>2948</v>
      </c>
      <c r="E1976" t="s">
        <v>3081</v>
      </c>
      <c r="F1976" s="3">
        <v>46296.46346392815</v>
      </c>
      <c r="G1976" s="3">
        <v>46296.472719087353</v>
      </c>
      <c r="H1976">
        <v>13.33</v>
      </c>
      <c r="I1976" t="s">
        <v>3148</v>
      </c>
      <c r="J1976" t="s">
        <v>3164</v>
      </c>
      <c r="K1976" t="s">
        <v>3180</v>
      </c>
      <c r="L1976" t="str">
        <f>_xlfn.XLOOKUP(C1976,[1]!Table1[Shift_ID],[1]!Table1[Shift_ID])</f>
        <v>S01</v>
      </c>
      <c r="M1976" t="str">
        <f>_xlfn.XLOOKUP(D1976,[2]!Table1[Machine_ID],[2]!Table1[Machine_ID])</f>
        <v>M007</v>
      </c>
      <c r="N1976" t="str">
        <f>_xlfn.XLOOKUP(E1976,[3]Sheet1!$A$2:$A$391,[3]Sheet1!$A$2:$A$391)</f>
        <v>PO10131</v>
      </c>
    </row>
    <row r="1977" spans="1:14" x14ac:dyDescent="0.2">
      <c r="A1977" t="s">
        <v>1986</v>
      </c>
      <c r="B1977" s="2">
        <v>46296</v>
      </c>
      <c r="C1977" t="s">
        <v>2940</v>
      </c>
      <c r="D1977" t="s">
        <v>2949</v>
      </c>
      <c r="E1977" t="s">
        <v>3081</v>
      </c>
      <c r="F1977" s="3">
        <v>46296.472663575507</v>
      </c>
      <c r="G1977" s="3">
        <v>46296.479514861901</v>
      </c>
      <c r="H1977">
        <v>9.8699999999999992</v>
      </c>
      <c r="I1977" t="s">
        <v>3150</v>
      </c>
      <c r="J1977" t="s">
        <v>3159</v>
      </c>
      <c r="K1977" t="s">
        <v>3178</v>
      </c>
      <c r="L1977" t="str">
        <f>_xlfn.XLOOKUP(C1977,[1]!Table1[Shift_ID],[1]!Table1[Shift_ID])</f>
        <v>S01</v>
      </c>
      <c r="M1977" t="str">
        <f>_xlfn.XLOOKUP(D1977,[2]!Table1[Machine_ID],[2]!Table1[Machine_ID])</f>
        <v>M008</v>
      </c>
      <c r="N1977" t="str">
        <f>_xlfn.XLOOKUP(E1977,[3]Sheet1!$A$2:$A$391,[3]Sheet1!$A$2:$A$391)</f>
        <v>PO10131</v>
      </c>
    </row>
    <row r="1978" spans="1:14" x14ac:dyDescent="0.2">
      <c r="A1978" t="s">
        <v>1987</v>
      </c>
      <c r="B1978" s="2">
        <v>46296</v>
      </c>
      <c r="C1978" t="s">
        <v>2941</v>
      </c>
      <c r="D1978" t="s">
        <v>2942</v>
      </c>
      <c r="E1978" t="s">
        <v>3082</v>
      </c>
      <c r="F1978" s="3">
        <v>46296.698609605432</v>
      </c>
      <c r="G1978" s="3">
        <v>46296.704454162827</v>
      </c>
      <c r="H1978">
        <v>8.42</v>
      </c>
      <c r="I1978" t="s">
        <v>3150</v>
      </c>
      <c r="J1978" t="s">
        <v>3160</v>
      </c>
      <c r="K1978" t="s">
        <v>3178</v>
      </c>
      <c r="L1978" t="str">
        <f>_xlfn.XLOOKUP(C1978,[1]!Table1[Shift_ID],[1]!Table1[Shift_ID])</f>
        <v>S02</v>
      </c>
      <c r="M1978" t="str">
        <f>_xlfn.XLOOKUP(D1978,[2]!Table1[Machine_ID],[2]!Table1[Machine_ID])</f>
        <v>M001</v>
      </c>
      <c r="N1978" t="str">
        <f>_xlfn.XLOOKUP(E1978,[3]Sheet1!$A$2:$A$391,[3]Sheet1!$A$2:$A$391)</f>
        <v>PO10132</v>
      </c>
    </row>
    <row r="1979" spans="1:14" x14ac:dyDescent="0.2">
      <c r="A1979" t="s">
        <v>1988</v>
      </c>
      <c r="B1979" s="2">
        <v>46296</v>
      </c>
      <c r="C1979" t="s">
        <v>2941</v>
      </c>
      <c r="D1979" t="s">
        <v>2943</v>
      </c>
      <c r="E1979" t="s">
        <v>3082</v>
      </c>
      <c r="F1979" s="3">
        <v>46296.614839927672</v>
      </c>
      <c r="G1979" s="3">
        <v>46296.617714162247</v>
      </c>
      <c r="H1979">
        <v>4.1399999999999997</v>
      </c>
      <c r="I1979" t="s">
        <v>3147</v>
      </c>
      <c r="J1979" t="s">
        <v>3153</v>
      </c>
      <c r="K1979" t="s">
        <v>3172</v>
      </c>
      <c r="L1979" t="str">
        <f>_xlfn.XLOOKUP(C1979,[1]!Table1[Shift_ID],[1]!Table1[Shift_ID])</f>
        <v>S02</v>
      </c>
      <c r="M1979" t="str">
        <f>_xlfn.XLOOKUP(D1979,[2]!Table1[Machine_ID],[2]!Table1[Machine_ID])</f>
        <v>M002</v>
      </c>
      <c r="N1979" t="str">
        <f>_xlfn.XLOOKUP(E1979,[3]Sheet1!$A$2:$A$391,[3]Sheet1!$A$2:$A$391)</f>
        <v>PO10132</v>
      </c>
    </row>
    <row r="1980" spans="1:14" x14ac:dyDescent="0.2">
      <c r="A1980" t="s">
        <v>1989</v>
      </c>
      <c r="B1980" s="2">
        <v>46296</v>
      </c>
      <c r="C1980" t="s">
        <v>2941</v>
      </c>
      <c r="D1980" t="s">
        <v>2943</v>
      </c>
      <c r="E1980" t="s">
        <v>3082</v>
      </c>
      <c r="F1980" s="3">
        <v>46296.752364520522</v>
      </c>
      <c r="G1980" s="3">
        <v>46296.754254071493</v>
      </c>
      <c r="H1980">
        <v>2.72</v>
      </c>
      <c r="I1980" t="s">
        <v>3146</v>
      </c>
      <c r="J1980" t="s">
        <v>3152</v>
      </c>
      <c r="K1980" t="s">
        <v>3171</v>
      </c>
      <c r="L1980" t="str">
        <f>_xlfn.XLOOKUP(C1980,[1]!Table1[Shift_ID],[1]!Table1[Shift_ID])</f>
        <v>S02</v>
      </c>
      <c r="M1980" t="str">
        <f>_xlfn.XLOOKUP(D1980,[2]!Table1[Machine_ID],[2]!Table1[Machine_ID])</f>
        <v>M002</v>
      </c>
      <c r="N1980" t="str">
        <f>_xlfn.XLOOKUP(E1980,[3]Sheet1!$A$2:$A$391,[3]Sheet1!$A$2:$A$391)</f>
        <v>PO10132</v>
      </c>
    </row>
    <row r="1981" spans="1:14" x14ac:dyDescent="0.2">
      <c r="A1981" t="s">
        <v>1990</v>
      </c>
      <c r="B1981" s="2">
        <v>46296</v>
      </c>
      <c r="C1981" t="s">
        <v>2941</v>
      </c>
      <c r="D1981" t="s">
        <v>2943</v>
      </c>
      <c r="E1981" t="s">
        <v>3082</v>
      </c>
      <c r="F1981" s="3">
        <v>46296.906624180418</v>
      </c>
      <c r="G1981" s="3">
        <v>46296.912051440297</v>
      </c>
      <c r="H1981">
        <v>7.82</v>
      </c>
      <c r="I1981" t="s">
        <v>3150</v>
      </c>
      <c r="J1981" t="s">
        <v>3160</v>
      </c>
      <c r="K1981" t="s">
        <v>3177</v>
      </c>
      <c r="L1981" t="str">
        <f>_xlfn.XLOOKUP(C1981,[1]!Table1[Shift_ID],[1]!Table1[Shift_ID])</f>
        <v>S02</v>
      </c>
      <c r="M1981" t="str">
        <f>_xlfn.XLOOKUP(D1981,[2]!Table1[Machine_ID],[2]!Table1[Machine_ID])</f>
        <v>M002</v>
      </c>
      <c r="N1981" t="str">
        <f>_xlfn.XLOOKUP(E1981,[3]Sheet1!$A$2:$A$391,[3]Sheet1!$A$2:$A$391)</f>
        <v>PO10132</v>
      </c>
    </row>
    <row r="1982" spans="1:14" x14ac:dyDescent="0.2">
      <c r="A1982" t="s">
        <v>1991</v>
      </c>
      <c r="B1982" s="2">
        <v>46296</v>
      </c>
      <c r="C1982" t="s">
        <v>2941</v>
      </c>
      <c r="D1982" t="s">
        <v>2944</v>
      </c>
      <c r="E1982" t="s">
        <v>3082</v>
      </c>
      <c r="F1982" s="3">
        <v>46296.656702271757</v>
      </c>
      <c r="G1982" s="3">
        <v>46296.668444551862</v>
      </c>
      <c r="H1982">
        <v>16.91</v>
      </c>
      <c r="I1982" t="s">
        <v>3147</v>
      </c>
      <c r="J1982" t="s">
        <v>3167</v>
      </c>
      <c r="K1982" t="s">
        <v>3186</v>
      </c>
      <c r="L1982" t="str">
        <f>_xlfn.XLOOKUP(C1982,[1]!Table1[Shift_ID],[1]!Table1[Shift_ID])</f>
        <v>S02</v>
      </c>
      <c r="M1982" t="str">
        <f>_xlfn.XLOOKUP(D1982,[2]!Table1[Machine_ID],[2]!Table1[Machine_ID])</f>
        <v>M003</v>
      </c>
      <c r="N1982" t="str">
        <f>_xlfn.XLOOKUP(E1982,[3]Sheet1!$A$2:$A$391,[3]Sheet1!$A$2:$A$391)</f>
        <v>PO10132</v>
      </c>
    </row>
    <row r="1983" spans="1:14" x14ac:dyDescent="0.2">
      <c r="A1983" t="s">
        <v>1992</v>
      </c>
      <c r="B1983" s="2">
        <v>46296</v>
      </c>
      <c r="C1983" t="s">
        <v>2941</v>
      </c>
      <c r="D1983" t="s">
        <v>2944</v>
      </c>
      <c r="E1983" t="s">
        <v>3082</v>
      </c>
      <c r="F1983" s="3">
        <v>46296.894363212559</v>
      </c>
      <c r="G1983" s="3">
        <v>46296.896596216699</v>
      </c>
      <c r="H1983">
        <v>3.22</v>
      </c>
      <c r="I1983" t="s">
        <v>3149</v>
      </c>
      <c r="J1983" t="s">
        <v>3168</v>
      </c>
      <c r="K1983" t="s">
        <v>3176</v>
      </c>
      <c r="L1983" t="str">
        <f>_xlfn.XLOOKUP(C1983,[1]!Table1[Shift_ID],[1]!Table1[Shift_ID])</f>
        <v>S02</v>
      </c>
      <c r="M1983" t="str">
        <f>_xlfn.XLOOKUP(D1983,[2]!Table1[Machine_ID],[2]!Table1[Machine_ID])</f>
        <v>M003</v>
      </c>
      <c r="N1983" t="str">
        <f>_xlfn.XLOOKUP(E1983,[3]Sheet1!$A$2:$A$391,[3]Sheet1!$A$2:$A$391)</f>
        <v>PO10132</v>
      </c>
    </row>
    <row r="1984" spans="1:14" x14ac:dyDescent="0.2">
      <c r="A1984" t="s">
        <v>1993</v>
      </c>
      <c r="B1984" s="2">
        <v>46296</v>
      </c>
      <c r="C1984" t="s">
        <v>2941</v>
      </c>
      <c r="D1984" t="s">
        <v>2945</v>
      </c>
      <c r="E1984" t="s">
        <v>3082</v>
      </c>
      <c r="F1984" s="3">
        <v>46296.590593585177</v>
      </c>
      <c r="G1984" s="3">
        <v>46296.600268759386</v>
      </c>
      <c r="H1984">
        <v>13.93</v>
      </c>
      <c r="I1984" t="s">
        <v>3149</v>
      </c>
      <c r="J1984" t="s">
        <v>3168</v>
      </c>
      <c r="K1984" t="s">
        <v>3176</v>
      </c>
      <c r="L1984" t="str">
        <f>_xlfn.XLOOKUP(C1984,[1]!Table1[Shift_ID],[1]!Table1[Shift_ID])</f>
        <v>S02</v>
      </c>
      <c r="M1984" t="str">
        <f>_xlfn.XLOOKUP(D1984,[2]!Table1[Machine_ID],[2]!Table1[Machine_ID])</f>
        <v>M004</v>
      </c>
      <c r="N1984" t="str">
        <f>_xlfn.XLOOKUP(E1984,[3]Sheet1!$A$2:$A$391,[3]Sheet1!$A$2:$A$391)</f>
        <v>PO10132</v>
      </c>
    </row>
    <row r="1985" spans="1:14" x14ac:dyDescent="0.2">
      <c r="A1985" t="s">
        <v>1994</v>
      </c>
      <c r="B1985" s="2">
        <v>46296</v>
      </c>
      <c r="C1985" t="s">
        <v>2941</v>
      </c>
      <c r="D1985" t="s">
        <v>2946</v>
      </c>
      <c r="E1985" t="s">
        <v>3082</v>
      </c>
      <c r="F1985" s="3">
        <v>46296.59102585668</v>
      </c>
      <c r="G1985" s="3">
        <v>46296.592541857077</v>
      </c>
      <c r="H1985">
        <v>2.1800000000000002</v>
      </c>
      <c r="I1985" t="s">
        <v>3151</v>
      </c>
      <c r="J1985" t="s">
        <v>3169</v>
      </c>
      <c r="K1985" t="s">
        <v>3187</v>
      </c>
      <c r="L1985" t="str">
        <f>_xlfn.XLOOKUP(C1985,[1]!Table1[Shift_ID],[1]!Table1[Shift_ID])</f>
        <v>S02</v>
      </c>
      <c r="M1985" t="str">
        <f>_xlfn.XLOOKUP(D1985,[2]!Table1[Machine_ID],[2]!Table1[Machine_ID])</f>
        <v>M005</v>
      </c>
      <c r="N1985" t="str">
        <f>_xlfn.XLOOKUP(E1985,[3]Sheet1!$A$2:$A$391,[3]Sheet1!$A$2:$A$391)</f>
        <v>PO10132</v>
      </c>
    </row>
    <row r="1986" spans="1:14" x14ac:dyDescent="0.2">
      <c r="A1986" t="s">
        <v>1995</v>
      </c>
      <c r="B1986" s="2">
        <v>46296</v>
      </c>
      <c r="C1986" t="s">
        <v>2941</v>
      </c>
      <c r="D1986" t="s">
        <v>2946</v>
      </c>
      <c r="E1986" t="s">
        <v>3082</v>
      </c>
      <c r="F1986" s="3">
        <v>46296.627499660273</v>
      </c>
      <c r="G1986" s="3">
        <v>46296.628951458762</v>
      </c>
      <c r="H1986">
        <v>2.09</v>
      </c>
      <c r="I1986" t="s">
        <v>3150</v>
      </c>
      <c r="J1986" t="s">
        <v>3159</v>
      </c>
      <c r="K1986" t="s">
        <v>3177</v>
      </c>
      <c r="L1986" t="str">
        <f>_xlfn.XLOOKUP(C1986,[1]!Table1[Shift_ID],[1]!Table1[Shift_ID])</f>
        <v>S02</v>
      </c>
      <c r="M1986" t="str">
        <f>_xlfn.XLOOKUP(D1986,[2]!Table1[Machine_ID],[2]!Table1[Machine_ID])</f>
        <v>M005</v>
      </c>
      <c r="N1986" t="str">
        <f>_xlfn.XLOOKUP(E1986,[3]Sheet1!$A$2:$A$391,[3]Sheet1!$A$2:$A$391)</f>
        <v>PO10132</v>
      </c>
    </row>
    <row r="1987" spans="1:14" x14ac:dyDescent="0.2">
      <c r="A1987" t="s">
        <v>1996</v>
      </c>
      <c r="B1987" s="2">
        <v>46296</v>
      </c>
      <c r="C1987" t="s">
        <v>2941</v>
      </c>
      <c r="D1987" t="s">
        <v>2946</v>
      </c>
      <c r="E1987" t="s">
        <v>3082</v>
      </c>
      <c r="F1987" s="3">
        <v>46296.644576607687</v>
      </c>
      <c r="G1987" s="3">
        <v>46296.646028406183</v>
      </c>
      <c r="H1987">
        <v>2.09</v>
      </c>
      <c r="I1987" t="s">
        <v>3151</v>
      </c>
      <c r="J1987" t="s">
        <v>3161</v>
      </c>
      <c r="K1987" t="s">
        <v>3188</v>
      </c>
      <c r="L1987" t="str">
        <f>_xlfn.XLOOKUP(C1987,[1]!Table1[Shift_ID],[1]!Table1[Shift_ID])</f>
        <v>S02</v>
      </c>
      <c r="M1987" t="str">
        <f>_xlfn.XLOOKUP(D1987,[2]!Table1[Machine_ID],[2]!Table1[Machine_ID])</f>
        <v>M005</v>
      </c>
      <c r="N1987" t="str">
        <f>_xlfn.XLOOKUP(E1987,[3]Sheet1!$A$2:$A$391,[3]Sheet1!$A$2:$A$391)</f>
        <v>PO10132</v>
      </c>
    </row>
    <row r="1988" spans="1:14" x14ac:dyDescent="0.2">
      <c r="A1988" t="s">
        <v>1997</v>
      </c>
      <c r="B1988" s="2">
        <v>46296</v>
      </c>
      <c r="C1988" t="s">
        <v>2941</v>
      </c>
      <c r="D1988" t="s">
        <v>2946</v>
      </c>
      <c r="E1988" t="s">
        <v>3082</v>
      </c>
      <c r="F1988" s="3">
        <v>46296.690298061993</v>
      </c>
      <c r="G1988" s="3">
        <v>46296.691749860467</v>
      </c>
      <c r="H1988">
        <v>2.09</v>
      </c>
      <c r="I1988" t="s">
        <v>3150</v>
      </c>
      <c r="J1988" t="s">
        <v>3159</v>
      </c>
      <c r="K1988" t="s">
        <v>3177</v>
      </c>
      <c r="L1988" t="str">
        <f>_xlfn.XLOOKUP(C1988,[1]!Table1[Shift_ID],[1]!Table1[Shift_ID])</f>
        <v>S02</v>
      </c>
      <c r="M1988" t="str">
        <f>_xlfn.XLOOKUP(D1988,[2]!Table1[Machine_ID],[2]!Table1[Machine_ID])</f>
        <v>M005</v>
      </c>
      <c r="N1988" t="str">
        <f>_xlfn.XLOOKUP(E1988,[3]Sheet1!$A$2:$A$391,[3]Sheet1!$A$2:$A$391)</f>
        <v>PO10132</v>
      </c>
    </row>
    <row r="1989" spans="1:14" x14ac:dyDescent="0.2">
      <c r="A1989" t="s">
        <v>1998</v>
      </c>
      <c r="B1989" s="2">
        <v>46296</v>
      </c>
      <c r="C1989" t="s">
        <v>2941</v>
      </c>
      <c r="D1989" t="s">
        <v>2946</v>
      </c>
      <c r="E1989" t="s">
        <v>3082</v>
      </c>
      <c r="F1989" s="3">
        <v>46296.705842134746</v>
      </c>
      <c r="G1989" s="3">
        <v>46296.708167926321</v>
      </c>
      <c r="H1989">
        <v>3.35</v>
      </c>
      <c r="I1989" t="s">
        <v>3150</v>
      </c>
      <c r="J1989" t="s">
        <v>3163</v>
      </c>
      <c r="K1989" t="s">
        <v>3177</v>
      </c>
      <c r="L1989" t="str">
        <f>_xlfn.XLOOKUP(C1989,[1]!Table1[Shift_ID],[1]!Table1[Shift_ID])</f>
        <v>S02</v>
      </c>
      <c r="M1989" t="str">
        <f>_xlfn.XLOOKUP(D1989,[2]!Table1[Machine_ID],[2]!Table1[Machine_ID])</f>
        <v>M005</v>
      </c>
      <c r="N1989" t="str">
        <f>_xlfn.XLOOKUP(E1989,[3]Sheet1!$A$2:$A$391,[3]Sheet1!$A$2:$A$391)</f>
        <v>PO10132</v>
      </c>
    </row>
    <row r="1990" spans="1:14" x14ac:dyDescent="0.2">
      <c r="A1990" t="s">
        <v>1999</v>
      </c>
      <c r="B1990" s="2">
        <v>46296</v>
      </c>
      <c r="C1990" t="s">
        <v>2941</v>
      </c>
      <c r="D1990" t="s">
        <v>2946</v>
      </c>
      <c r="E1990" t="s">
        <v>3082</v>
      </c>
      <c r="F1990" s="3">
        <v>46296.858083373969</v>
      </c>
      <c r="G1990" s="3">
        <v>46296.859535172451</v>
      </c>
      <c r="H1990">
        <v>2.09</v>
      </c>
      <c r="I1990" t="s">
        <v>3149</v>
      </c>
      <c r="J1990" t="s">
        <v>3158</v>
      </c>
      <c r="K1990" t="s">
        <v>3176</v>
      </c>
      <c r="L1990" t="str">
        <f>_xlfn.XLOOKUP(C1990,[1]!Table1[Shift_ID],[1]!Table1[Shift_ID])</f>
        <v>S02</v>
      </c>
      <c r="M1990" t="str">
        <f>_xlfn.XLOOKUP(D1990,[2]!Table1[Machine_ID],[2]!Table1[Machine_ID])</f>
        <v>M005</v>
      </c>
      <c r="N1990" t="str">
        <f>_xlfn.XLOOKUP(E1990,[3]Sheet1!$A$2:$A$391,[3]Sheet1!$A$2:$A$391)</f>
        <v>PO10132</v>
      </c>
    </row>
    <row r="1991" spans="1:14" x14ac:dyDescent="0.2">
      <c r="A1991" t="s">
        <v>2000</v>
      </c>
      <c r="B1991" s="2">
        <v>46296</v>
      </c>
      <c r="C1991" t="s">
        <v>2941</v>
      </c>
      <c r="D1991" t="s">
        <v>2947</v>
      </c>
      <c r="E1991" t="s">
        <v>3082</v>
      </c>
      <c r="F1991" s="3">
        <v>46296.739814606073</v>
      </c>
      <c r="G1991" s="3">
        <v>46296.762724248983</v>
      </c>
      <c r="H1991">
        <v>32.99</v>
      </c>
      <c r="I1991" t="s">
        <v>3150</v>
      </c>
      <c r="J1991" t="s">
        <v>3166</v>
      </c>
      <c r="K1991" t="s">
        <v>3177</v>
      </c>
      <c r="L1991" t="str">
        <f>_xlfn.XLOOKUP(C1991,[1]!Table1[Shift_ID],[1]!Table1[Shift_ID])</f>
        <v>S02</v>
      </c>
      <c r="M1991" t="str">
        <f>_xlfn.XLOOKUP(D1991,[2]!Table1[Machine_ID],[2]!Table1[Machine_ID])</f>
        <v>M006</v>
      </c>
      <c r="N1991" t="str">
        <f>_xlfn.XLOOKUP(E1991,[3]Sheet1!$A$2:$A$391,[3]Sheet1!$A$2:$A$391)</f>
        <v>PO10132</v>
      </c>
    </row>
    <row r="1992" spans="1:14" x14ac:dyDescent="0.2">
      <c r="A1992" t="s">
        <v>2001</v>
      </c>
      <c r="B1992" s="2">
        <v>46296</v>
      </c>
      <c r="C1992" t="s">
        <v>2941</v>
      </c>
      <c r="D1992" t="s">
        <v>2948</v>
      </c>
      <c r="E1992" t="s">
        <v>3082</v>
      </c>
      <c r="F1992" s="3">
        <v>46296.643916118694</v>
      </c>
      <c r="G1992" s="3">
        <v>46296.649551779687</v>
      </c>
      <c r="H1992">
        <v>8.1199999999999992</v>
      </c>
      <c r="I1992" t="s">
        <v>3148</v>
      </c>
      <c r="J1992" t="s">
        <v>3155</v>
      </c>
      <c r="K1992" t="s">
        <v>3183</v>
      </c>
      <c r="L1992" t="str">
        <f>_xlfn.XLOOKUP(C1992,[1]!Table1[Shift_ID],[1]!Table1[Shift_ID])</f>
        <v>S02</v>
      </c>
      <c r="M1992" t="str">
        <f>_xlfn.XLOOKUP(D1992,[2]!Table1[Machine_ID],[2]!Table1[Machine_ID])</f>
        <v>M007</v>
      </c>
      <c r="N1992" t="str">
        <f>_xlfn.XLOOKUP(E1992,[3]Sheet1!$A$2:$A$391,[3]Sheet1!$A$2:$A$391)</f>
        <v>PO10132</v>
      </c>
    </row>
    <row r="1993" spans="1:14" x14ac:dyDescent="0.2">
      <c r="A1993" t="s">
        <v>2002</v>
      </c>
      <c r="B1993" s="2">
        <v>46296</v>
      </c>
      <c r="C1993" t="s">
        <v>2941</v>
      </c>
      <c r="D1993" t="s">
        <v>2948</v>
      </c>
      <c r="E1993" t="s">
        <v>3082</v>
      </c>
      <c r="F1993" s="3">
        <v>46296.735178297648</v>
      </c>
      <c r="G1993" s="3">
        <v>46296.743035570253</v>
      </c>
      <c r="H1993">
        <v>11.31</v>
      </c>
      <c r="I1993" t="s">
        <v>3149</v>
      </c>
      <c r="J1993" t="s">
        <v>3158</v>
      </c>
      <c r="K1993" t="s">
        <v>3176</v>
      </c>
      <c r="L1993" t="str">
        <f>_xlfn.XLOOKUP(C1993,[1]!Table1[Shift_ID],[1]!Table1[Shift_ID])</f>
        <v>S02</v>
      </c>
      <c r="M1993" t="str">
        <f>_xlfn.XLOOKUP(D1993,[2]!Table1[Machine_ID],[2]!Table1[Machine_ID])</f>
        <v>M007</v>
      </c>
      <c r="N1993" t="str">
        <f>_xlfn.XLOOKUP(E1993,[3]Sheet1!$A$2:$A$391,[3]Sheet1!$A$2:$A$391)</f>
        <v>PO10132</v>
      </c>
    </row>
    <row r="1994" spans="1:14" x14ac:dyDescent="0.2">
      <c r="A1994" t="s">
        <v>2003</v>
      </c>
      <c r="B1994" s="2">
        <v>46296</v>
      </c>
      <c r="C1994" t="s">
        <v>2941</v>
      </c>
      <c r="D1994" t="s">
        <v>2949</v>
      </c>
      <c r="E1994" t="s">
        <v>3082</v>
      </c>
      <c r="F1994" s="3">
        <v>46296.793700276052</v>
      </c>
      <c r="G1994" s="3">
        <v>46296.80166260941</v>
      </c>
      <c r="H1994">
        <v>11.47</v>
      </c>
      <c r="I1994" t="s">
        <v>3148</v>
      </c>
      <c r="J1994" t="s">
        <v>3164</v>
      </c>
      <c r="K1994" t="s">
        <v>3173</v>
      </c>
      <c r="L1994" t="str">
        <f>_xlfn.XLOOKUP(C1994,[1]!Table1[Shift_ID],[1]!Table1[Shift_ID])</f>
        <v>S02</v>
      </c>
      <c r="M1994" t="str">
        <f>_xlfn.XLOOKUP(D1994,[2]!Table1[Machine_ID],[2]!Table1[Machine_ID])</f>
        <v>M008</v>
      </c>
      <c r="N1994" t="str">
        <f>_xlfn.XLOOKUP(E1994,[3]Sheet1!$A$2:$A$391,[3]Sheet1!$A$2:$A$391)</f>
        <v>PO10132</v>
      </c>
    </row>
    <row r="1995" spans="1:14" x14ac:dyDescent="0.2">
      <c r="A1995" t="s">
        <v>2004</v>
      </c>
      <c r="B1995" s="2">
        <v>46297</v>
      </c>
      <c r="C1995" t="s">
        <v>2939</v>
      </c>
      <c r="D1995" t="s">
        <v>2942</v>
      </c>
      <c r="E1995" t="s">
        <v>3083</v>
      </c>
      <c r="F1995" s="3">
        <v>46297.935137743567</v>
      </c>
      <c r="G1995" s="3">
        <v>46297.941389794389</v>
      </c>
      <c r="H1995">
        <v>9</v>
      </c>
      <c r="I1995" t="s">
        <v>3151</v>
      </c>
      <c r="J1995" t="s">
        <v>3169</v>
      </c>
      <c r="K1995" t="s">
        <v>3181</v>
      </c>
      <c r="L1995" t="str">
        <f>_xlfn.XLOOKUP(C1995,[1]!Table1[Shift_ID],[1]!Table1[Shift_ID])</f>
        <v>S03</v>
      </c>
      <c r="M1995" t="str">
        <f>_xlfn.XLOOKUP(D1995,[2]!Table1[Machine_ID],[2]!Table1[Machine_ID])</f>
        <v>M001</v>
      </c>
      <c r="N1995" t="str">
        <f>_xlfn.XLOOKUP(E1995,[3]Sheet1!$A$2:$A$391,[3]Sheet1!$A$2:$A$391)</f>
        <v>PO10133</v>
      </c>
    </row>
    <row r="1996" spans="1:14" x14ac:dyDescent="0.2">
      <c r="A1996" t="s">
        <v>2005</v>
      </c>
      <c r="B1996" s="2">
        <v>46297</v>
      </c>
      <c r="C1996" t="s">
        <v>2939</v>
      </c>
      <c r="D1996" t="s">
        <v>2943</v>
      </c>
      <c r="E1996" t="s">
        <v>3083</v>
      </c>
      <c r="F1996" s="3">
        <v>46298.028690710773</v>
      </c>
      <c r="G1996" s="3">
        <v>46298.033190722868</v>
      </c>
      <c r="H1996">
        <v>6.48</v>
      </c>
      <c r="I1996" t="s">
        <v>3148</v>
      </c>
      <c r="J1996" t="s">
        <v>3155</v>
      </c>
      <c r="K1996" t="s">
        <v>3180</v>
      </c>
      <c r="L1996" t="str">
        <f>_xlfn.XLOOKUP(C1996,[1]!Table1[Shift_ID],[1]!Table1[Shift_ID])</f>
        <v>S03</v>
      </c>
      <c r="M1996" t="str">
        <f>_xlfn.XLOOKUP(D1996,[2]!Table1[Machine_ID],[2]!Table1[Machine_ID])</f>
        <v>M002</v>
      </c>
      <c r="N1996" t="str">
        <f>_xlfn.XLOOKUP(E1996,[3]Sheet1!$A$2:$A$391,[3]Sheet1!$A$2:$A$391)</f>
        <v>PO10133</v>
      </c>
    </row>
    <row r="1997" spans="1:14" x14ac:dyDescent="0.2">
      <c r="A1997" t="s">
        <v>2006</v>
      </c>
      <c r="B1997" s="2">
        <v>46297</v>
      </c>
      <c r="C1997" t="s">
        <v>2939</v>
      </c>
      <c r="D1997" t="s">
        <v>2943</v>
      </c>
      <c r="E1997" t="s">
        <v>3083</v>
      </c>
      <c r="F1997" s="3">
        <v>46298.144299773288</v>
      </c>
      <c r="G1997" s="3">
        <v>46298.148243484116</v>
      </c>
      <c r="H1997">
        <v>5.68</v>
      </c>
      <c r="I1997" t="s">
        <v>3149</v>
      </c>
      <c r="J1997" t="s">
        <v>3168</v>
      </c>
      <c r="K1997" t="s">
        <v>3184</v>
      </c>
      <c r="L1997" t="str">
        <f>_xlfn.XLOOKUP(C1997,[1]!Table1[Shift_ID],[1]!Table1[Shift_ID])</f>
        <v>S03</v>
      </c>
      <c r="M1997" t="str">
        <f>_xlfn.XLOOKUP(D1997,[2]!Table1[Machine_ID],[2]!Table1[Machine_ID])</f>
        <v>M002</v>
      </c>
      <c r="N1997" t="str">
        <f>_xlfn.XLOOKUP(E1997,[3]Sheet1!$A$2:$A$391,[3]Sheet1!$A$2:$A$391)</f>
        <v>PO10133</v>
      </c>
    </row>
    <row r="1998" spans="1:14" x14ac:dyDescent="0.2">
      <c r="A1998" t="s">
        <v>2007</v>
      </c>
      <c r="B1998" s="2">
        <v>46297</v>
      </c>
      <c r="C1998" t="s">
        <v>2939</v>
      </c>
      <c r="D1998" t="s">
        <v>2944</v>
      </c>
      <c r="E1998" t="s">
        <v>3083</v>
      </c>
      <c r="F1998" s="3">
        <v>46297.94034795979</v>
      </c>
      <c r="G1998" s="3">
        <v>46297.952042672208</v>
      </c>
      <c r="H1998">
        <v>16.84</v>
      </c>
      <c r="I1998" t="s">
        <v>3150</v>
      </c>
      <c r="J1998" t="s">
        <v>3166</v>
      </c>
      <c r="K1998" t="s">
        <v>3178</v>
      </c>
      <c r="L1998" t="str">
        <f>_xlfn.XLOOKUP(C1998,[1]!Table1[Shift_ID],[1]!Table1[Shift_ID])</f>
        <v>S03</v>
      </c>
      <c r="M1998" t="str">
        <f>_xlfn.XLOOKUP(D1998,[2]!Table1[Machine_ID],[2]!Table1[Machine_ID])</f>
        <v>M003</v>
      </c>
      <c r="N1998" t="str">
        <f>_xlfn.XLOOKUP(E1998,[3]Sheet1!$A$2:$A$391,[3]Sheet1!$A$2:$A$391)</f>
        <v>PO10133</v>
      </c>
    </row>
    <row r="1999" spans="1:14" x14ac:dyDescent="0.2">
      <c r="A1999" t="s">
        <v>2008</v>
      </c>
      <c r="B1999" s="2">
        <v>46297</v>
      </c>
      <c r="C1999" t="s">
        <v>2939</v>
      </c>
      <c r="D1999" t="s">
        <v>2945</v>
      </c>
      <c r="E1999" t="s">
        <v>3083</v>
      </c>
      <c r="F1999" s="3">
        <v>46297.949023774199</v>
      </c>
      <c r="G1999" s="3">
        <v>46297.95598607495</v>
      </c>
      <c r="H1999">
        <v>10.029999999999999</v>
      </c>
      <c r="I1999" t="s">
        <v>3147</v>
      </c>
      <c r="J1999" t="s">
        <v>3167</v>
      </c>
      <c r="K1999" t="s">
        <v>3185</v>
      </c>
      <c r="L1999" t="str">
        <f>_xlfn.XLOOKUP(C1999,[1]!Table1[Shift_ID],[1]!Table1[Shift_ID])</f>
        <v>S03</v>
      </c>
      <c r="M1999" t="str">
        <f>_xlfn.XLOOKUP(D1999,[2]!Table1[Machine_ID],[2]!Table1[Machine_ID])</f>
        <v>M004</v>
      </c>
      <c r="N1999" t="str">
        <f>_xlfn.XLOOKUP(E1999,[3]Sheet1!$A$2:$A$391,[3]Sheet1!$A$2:$A$391)</f>
        <v>PO10133</v>
      </c>
    </row>
    <row r="2000" spans="1:14" x14ac:dyDescent="0.2">
      <c r="A2000" t="s">
        <v>2009</v>
      </c>
      <c r="B2000" s="2">
        <v>46297</v>
      </c>
      <c r="C2000" t="s">
        <v>2939</v>
      </c>
      <c r="D2000" t="s">
        <v>2946</v>
      </c>
      <c r="E2000" t="s">
        <v>3083</v>
      </c>
      <c r="F2000" s="3">
        <v>46298.17091953491</v>
      </c>
      <c r="G2000" s="3">
        <v>46298.178826988958</v>
      </c>
      <c r="H2000">
        <v>11.39</v>
      </c>
      <c r="I2000" t="s">
        <v>3147</v>
      </c>
      <c r="J2000" t="s">
        <v>3154</v>
      </c>
      <c r="K2000" t="s">
        <v>3172</v>
      </c>
      <c r="L2000" t="str">
        <f>_xlfn.XLOOKUP(C2000,[1]!Table1[Shift_ID],[1]!Table1[Shift_ID])</f>
        <v>S03</v>
      </c>
      <c r="M2000" t="str">
        <f>_xlfn.XLOOKUP(D2000,[2]!Table1[Machine_ID],[2]!Table1[Machine_ID])</f>
        <v>M005</v>
      </c>
      <c r="N2000" t="str">
        <f>_xlfn.XLOOKUP(E2000,[3]Sheet1!$A$2:$A$391,[3]Sheet1!$A$2:$A$391)</f>
        <v>PO10133</v>
      </c>
    </row>
    <row r="2001" spans="1:14" x14ac:dyDescent="0.2">
      <c r="A2001" t="s">
        <v>2010</v>
      </c>
      <c r="B2001" s="2">
        <v>46297</v>
      </c>
      <c r="C2001" t="s">
        <v>2939</v>
      </c>
      <c r="D2001" t="s">
        <v>2947</v>
      </c>
      <c r="E2001" t="s">
        <v>3083</v>
      </c>
      <c r="F2001" s="3">
        <v>46297.981731213527</v>
      </c>
      <c r="G2001" s="3">
        <v>46298.000763369979</v>
      </c>
      <c r="H2001">
        <v>27.41</v>
      </c>
      <c r="I2001" t="s">
        <v>3147</v>
      </c>
      <c r="J2001" t="s">
        <v>3167</v>
      </c>
      <c r="K2001" t="s">
        <v>3185</v>
      </c>
      <c r="L2001" t="str">
        <f>_xlfn.XLOOKUP(C2001,[1]!Table1[Shift_ID],[1]!Table1[Shift_ID])</f>
        <v>S03</v>
      </c>
      <c r="M2001" t="str">
        <f>_xlfn.XLOOKUP(D2001,[2]!Table1[Machine_ID],[2]!Table1[Machine_ID])</f>
        <v>M006</v>
      </c>
      <c r="N2001" t="str">
        <f>_xlfn.XLOOKUP(E2001,[3]Sheet1!$A$2:$A$391,[3]Sheet1!$A$2:$A$391)</f>
        <v>PO10133</v>
      </c>
    </row>
    <row r="2002" spans="1:14" x14ac:dyDescent="0.2">
      <c r="A2002" t="s">
        <v>2011</v>
      </c>
      <c r="B2002" s="2">
        <v>46297</v>
      </c>
      <c r="C2002" t="s">
        <v>2939</v>
      </c>
      <c r="D2002" t="s">
        <v>2947</v>
      </c>
      <c r="E2002" t="s">
        <v>3083</v>
      </c>
      <c r="F2002" s="3">
        <v>46297.988086749283</v>
      </c>
      <c r="G2002" s="3">
        <v>46297.995910203899</v>
      </c>
      <c r="H2002">
        <v>11.27</v>
      </c>
      <c r="I2002" t="s">
        <v>3149</v>
      </c>
      <c r="J2002" t="s">
        <v>3158</v>
      </c>
      <c r="K2002" t="s">
        <v>3176</v>
      </c>
      <c r="L2002" t="str">
        <f>_xlfn.XLOOKUP(C2002,[1]!Table1[Shift_ID],[1]!Table1[Shift_ID])</f>
        <v>S03</v>
      </c>
      <c r="M2002" t="str">
        <f>_xlfn.XLOOKUP(D2002,[2]!Table1[Machine_ID],[2]!Table1[Machine_ID])</f>
        <v>M006</v>
      </c>
      <c r="N2002" t="str">
        <f>_xlfn.XLOOKUP(E2002,[3]Sheet1!$A$2:$A$391,[3]Sheet1!$A$2:$A$391)</f>
        <v>PO10133</v>
      </c>
    </row>
    <row r="2003" spans="1:14" x14ac:dyDescent="0.2">
      <c r="A2003" t="s">
        <v>2012</v>
      </c>
      <c r="B2003" s="2">
        <v>46297</v>
      </c>
      <c r="C2003" t="s">
        <v>2939</v>
      </c>
      <c r="D2003" t="s">
        <v>2948</v>
      </c>
      <c r="E2003" t="s">
        <v>3083</v>
      </c>
      <c r="F2003" s="3">
        <v>46298.043822667307</v>
      </c>
      <c r="G2003" s="3">
        <v>46298.045496104292</v>
      </c>
      <c r="H2003">
        <v>2.41</v>
      </c>
      <c r="I2003" t="s">
        <v>3150</v>
      </c>
      <c r="J2003" t="s">
        <v>3160</v>
      </c>
      <c r="K2003" t="s">
        <v>3177</v>
      </c>
      <c r="L2003" t="str">
        <f>_xlfn.XLOOKUP(C2003,[1]!Table1[Shift_ID],[1]!Table1[Shift_ID])</f>
        <v>S03</v>
      </c>
      <c r="M2003" t="str">
        <f>_xlfn.XLOOKUP(D2003,[2]!Table1[Machine_ID],[2]!Table1[Machine_ID])</f>
        <v>M007</v>
      </c>
      <c r="N2003" t="str">
        <f>_xlfn.XLOOKUP(E2003,[3]Sheet1!$A$2:$A$391,[3]Sheet1!$A$2:$A$391)</f>
        <v>PO10133</v>
      </c>
    </row>
    <row r="2004" spans="1:14" x14ac:dyDescent="0.2">
      <c r="A2004" t="s">
        <v>2013</v>
      </c>
      <c r="B2004" s="2">
        <v>46297</v>
      </c>
      <c r="C2004" t="s">
        <v>2939</v>
      </c>
      <c r="D2004" t="s">
        <v>2948</v>
      </c>
      <c r="E2004" t="s">
        <v>3083</v>
      </c>
      <c r="F2004" s="3">
        <v>46298.050895568289</v>
      </c>
      <c r="G2004" s="3">
        <v>46298.060334970527</v>
      </c>
      <c r="H2004">
        <v>13.59</v>
      </c>
      <c r="I2004" t="s">
        <v>3146</v>
      </c>
      <c r="J2004" t="s">
        <v>3152</v>
      </c>
      <c r="K2004" t="s">
        <v>3175</v>
      </c>
      <c r="L2004" t="str">
        <f>_xlfn.XLOOKUP(C2004,[1]!Table1[Shift_ID],[1]!Table1[Shift_ID])</f>
        <v>S03</v>
      </c>
      <c r="M2004" t="str">
        <f>_xlfn.XLOOKUP(D2004,[2]!Table1[Machine_ID],[2]!Table1[Machine_ID])</f>
        <v>M007</v>
      </c>
      <c r="N2004" t="str">
        <f>_xlfn.XLOOKUP(E2004,[3]Sheet1!$A$2:$A$391,[3]Sheet1!$A$2:$A$391)</f>
        <v>PO10133</v>
      </c>
    </row>
    <row r="2005" spans="1:14" x14ac:dyDescent="0.2">
      <c r="A2005" t="s">
        <v>2014</v>
      </c>
      <c r="B2005" s="2">
        <v>46297</v>
      </c>
      <c r="C2005" t="s">
        <v>2939</v>
      </c>
      <c r="D2005" t="s">
        <v>2948</v>
      </c>
      <c r="E2005" t="s">
        <v>3083</v>
      </c>
      <c r="F2005" s="3">
        <v>46298.143838317177</v>
      </c>
      <c r="G2005" s="3">
        <v>46298.145511754163</v>
      </c>
      <c r="H2005">
        <v>2.41</v>
      </c>
      <c r="I2005" t="s">
        <v>3150</v>
      </c>
      <c r="J2005" t="s">
        <v>3163</v>
      </c>
      <c r="K2005" t="s">
        <v>3178</v>
      </c>
      <c r="L2005" t="str">
        <f>_xlfn.XLOOKUP(C2005,[1]!Table1[Shift_ID],[1]!Table1[Shift_ID])</f>
        <v>S03</v>
      </c>
      <c r="M2005" t="str">
        <f>_xlfn.XLOOKUP(D2005,[2]!Table1[Machine_ID],[2]!Table1[Machine_ID])</f>
        <v>M007</v>
      </c>
      <c r="N2005" t="str">
        <f>_xlfn.XLOOKUP(E2005,[3]Sheet1!$A$2:$A$391,[3]Sheet1!$A$2:$A$391)</f>
        <v>PO10133</v>
      </c>
    </row>
    <row r="2006" spans="1:14" x14ac:dyDescent="0.2">
      <c r="A2006" t="s">
        <v>2015</v>
      </c>
      <c r="B2006" s="2">
        <v>46297</v>
      </c>
      <c r="C2006" t="s">
        <v>2939</v>
      </c>
      <c r="D2006" t="s">
        <v>2948</v>
      </c>
      <c r="E2006" t="s">
        <v>3083</v>
      </c>
      <c r="F2006" s="3">
        <v>46298.177441719512</v>
      </c>
      <c r="G2006" s="3">
        <v>46298.17911515649</v>
      </c>
      <c r="H2006">
        <v>2.41</v>
      </c>
      <c r="I2006" t="s">
        <v>3149</v>
      </c>
      <c r="J2006" t="s">
        <v>3162</v>
      </c>
      <c r="K2006" t="s">
        <v>3176</v>
      </c>
      <c r="L2006" t="str">
        <f>_xlfn.XLOOKUP(C2006,[1]!Table1[Shift_ID],[1]!Table1[Shift_ID])</f>
        <v>S03</v>
      </c>
      <c r="M2006" t="str">
        <f>_xlfn.XLOOKUP(D2006,[2]!Table1[Machine_ID],[2]!Table1[Machine_ID])</f>
        <v>M007</v>
      </c>
      <c r="N2006" t="str">
        <f>_xlfn.XLOOKUP(E2006,[3]Sheet1!$A$2:$A$391,[3]Sheet1!$A$2:$A$391)</f>
        <v>PO10133</v>
      </c>
    </row>
    <row r="2007" spans="1:14" x14ac:dyDescent="0.2">
      <c r="A2007" t="s">
        <v>2016</v>
      </c>
      <c r="B2007" s="2">
        <v>46297</v>
      </c>
      <c r="C2007" t="s">
        <v>2939</v>
      </c>
      <c r="D2007" t="s">
        <v>2949</v>
      </c>
      <c r="E2007" t="s">
        <v>3083</v>
      </c>
      <c r="F2007" s="3">
        <v>46297.954108539183</v>
      </c>
      <c r="G2007" s="3">
        <v>46297.955615411411</v>
      </c>
      <c r="H2007">
        <v>2.17</v>
      </c>
      <c r="I2007" t="s">
        <v>3149</v>
      </c>
      <c r="J2007" t="s">
        <v>3162</v>
      </c>
      <c r="K2007" t="s">
        <v>3184</v>
      </c>
      <c r="L2007" t="str">
        <f>_xlfn.XLOOKUP(C2007,[1]!Table1[Shift_ID],[1]!Table1[Shift_ID])</f>
        <v>S03</v>
      </c>
      <c r="M2007" t="str">
        <f>_xlfn.XLOOKUP(D2007,[2]!Table1[Machine_ID],[2]!Table1[Machine_ID])</f>
        <v>M008</v>
      </c>
      <c r="N2007" t="str">
        <f>_xlfn.XLOOKUP(E2007,[3]Sheet1!$A$2:$A$391,[3]Sheet1!$A$2:$A$391)</f>
        <v>PO10133</v>
      </c>
    </row>
    <row r="2008" spans="1:14" x14ac:dyDescent="0.2">
      <c r="A2008" t="s">
        <v>2017</v>
      </c>
      <c r="B2008" s="2">
        <v>46297</v>
      </c>
      <c r="C2008" t="s">
        <v>2939</v>
      </c>
      <c r="D2008" t="s">
        <v>2949</v>
      </c>
      <c r="E2008" t="s">
        <v>3083</v>
      </c>
      <c r="F2008" s="3">
        <v>46298.075776369173</v>
      </c>
      <c r="G2008" s="3">
        <v>46298.077221274412</v>
      </c>
      <c r="H2008">
        <v>2.08</v>
      </c>
      <c r="I2008" t="s">
        <v>3147</v>
      </c>
      <c r="J2008" t="s">
        <v>3153</v>
      </c>
      <c r="K2008" t="s">
        <v>3186</v>
      </c>
      <c r="L2008" t="str">
        <f>_xlfn.XLOOKUP(C2008,[1]!Table1[Shift_ID],[1]!Table1[Shift_ID])</f>
        <v>S03</v>
      </c>
      <c r="M2008" t="str">
        <f>_xlfn.XLOOKUP(D2008,[2]!Table1[Machine_ID],[2]!Table1[Machine_ID])</f>
        <v>M008</v>
      </c>
      <c r="N2008" t="str">
        <f>_xlfn.XLOOKUP(E2008,[3]Sheet1!$A$2:$A$391,[3]Sheet1!$A$2:$A$391)</f>
        <v>PO10133</v>
      </c>
    </row>
    <row r="2009" spans="1:14" x14ac:dyDescent="0.2">
      <c r="A2009" t="s">
        <v>2018</v>
      </c>
      <c r="B2009" s="2">
        <v>46297</v>
      </c>
      <c r="C2009" t="s">
        <v>2939</v>
      </c>
      <c r="D2009" t="s">
        <v>2949</v>
      </c>
      <c r="E2009" t="s">
        <v>3083</v>
      </c>
      <c r="F2009" s="3">
        <v>46298.118239693293</v>
      </c>
      <c r="G2009" s="3">
        <v>46298.119684598532</v>
      </c>
      <c r="H2009">
        <v>2.08</v>
      </c>
      <c r="I2009" t="s">
        <v>3148</v>
      </c>
      <c r="J2009" t="s">
        <v>3165</v>
      </c>
      <c r="K2009" t="s">
        <v>3183</v>
      </c>
      <c r="L2009" t="str">
        <f>_xlfn.XLOOKUP(C2009,[1]!Table1[Shift_ID],[1]!Table1[Shift_ID])</f>
        <v>S03</v>
      </c>
      <c r="M2009" t="str">
        <f>_xlfn.XLOOKUP(D2009,[2]!Table1[Machine_ID],[2]!Table1[Machine_ID])</f>
        <v>M008</v>
      </c>
      <c r="N2009" t="str">
        <f>_xlfn.XLOOKUP(E2009,[3]Sheet1!$A$2:$A$391,[3]Sheet1!$A$2:$A$391)</f>
        <v>PO10133</v>
      </c>
    </row>
    <row r="2010" spans="1:14" x14ac:dyDescent="0.2">
      <c r="A2010" t="s">
        <v>2019</v>
      </c>
      <c r="B2010" s="2">
        <v>46297</v>
      </c>
      <c r="C2010" t="s">
        <v>2939</v>
      </c>
      <c r="D2010" t="s">
        <v>2949</v>
      </c>
      <c r="E2010" t="s">
        <v>3083</v>
      </c>
      <c r="F2010" s="3">
        <v>46298.212140212643</v>
      </c>
      <c r="G2010" s="3">
        <v>46298.214575564903</v>
      </c>
      <c r="H2010">
        <v>3.51</v>
      </c>
      <c r="I2010" t="s">
        <v>3148</v>
      </c>
      <c r="J2010" t="s">
        <v>3165</v>
      </c>
      <c r="K2010" t="s">
        <v>3173</v>
      </c>
      <c r="L2010" t="str">
        <f>_xlfn.XLOOKUP(C2010,[1]!Table1[Shift_ID],[1]!Table1[Shift_ID])</f>
        <v>S03</v>
      </c>
      <c r="M2010" t="str">
        <f>_xlfn.XLOOKUP(D2010,[2]!Table1[Machine_ID],[2]!Table1[Machine_ID])</f>
        <v>M008</v>
      </c>
      <c r="N2010" t="str">
        <f>_xlfn.XLOOKUP(E2010,[3]Sheet1!$A$2:$A$391,[3]Sheet1!$A$2:$A$391)</f>
        <v>PO10133</v>
      </c>
    </row>
    <row r="2011" spans="1:14" x14ac:dyDescent="0.2">
      <c r="A2011" t="s">
        <v>2020</v>
      </c>
      <c r="B2011" s="2">
        <v>46297</v>
      </c>
      <c r="C2011" t="s">
        <v>2940</v>
      </c>
      <c r="D2011" t="s">
        <v>2942</v>
      </c>
      <c r="E2011" t="s">
        <v>3084</v>
      </c>
      <c r="F2011" s="3">
        <v>46297.535505864937</v>
      </c>
      <c r="G2011" s="3">
        <v>46297.541823160107</v>
      </c>
      <c r="H2011">
        <v>9.1</v>
      </c>
      <c r="I2011" t="s">
        <v>3149</v>
      </c>
      <c r="J2011" t="s">
        <v>3158</v>
      </c>
      <c r="K2011" t="s">
        <v>3184</v>
      </c>
      <c r="L2011" t="str">
        <f>_xlfn.XLOOKUP(C2011,[1]!Table1[Shift_ID],[1]!Table1[Shift_ID])</f>
        <v>S01</v>
      </c>
      <c r="M2011" t="str">
        <f>_xlfn.XLOOKUP(D2011,[2]!Table1[Machine_ID],[2]!Table1[Machine_ID])</f>
        <v>M001</v>
      </c>
      <c r="N2011" t="str">
        <f>_xlfn.XLOOKUP(E2011,[3]Sheet1!$A$2:$A$391,[3]Sheet1!$A$2:$A$391)</f>
        <v>PO10134</v>
      </c>
    </row>
    <row r="2012" spans="1:14" x14ac:dyDescent="0.2">
      <c r="A2012" t="s">
        <v>2021</v>
      </c>
      <c r="B2012" s="2">
        <v>46297</v>
      </c>
      <c r="C2012" t="s">
        <v>2940</v>
      </c>
      <c r="D2012" t="s">
        <v>2943</v>
      </c>
      <c r="E2012" t="s">
        <v>3084</v>
      </c>
      <c r="F2012" s="3">
        <v>46297.329237048783</v>
      </c>
      <c r="G2012" s="3">
        <v>46297.333397540358</v>
      </c>
      <c r="H2012">
        <v>5.99</v>
      </c>
      <c r="I2012" t="s">
        <v>3147</v>
      </c>
      <c r="J2012" t="s">
        <v>3167</v>
      </c>
      <c r="K2012" t="s">
        <v>3186</v>
      </c>
      <c r="L2012" t="str">
        <f>_xlfn.XLOOKUP(C2012,[1]!Table1[Shift_ID],[1]!Table1[Shift_ID])</f>
        <v>S01</v>
      </c>
      <c r="M2012" t="str">
        <f>_xlfn.XLOOKUP(D2012,[2]!Table1[Machine_ID],[2]!Table1[Machine_ID])</f>
        <v>M002</v>
      </c>
      <c r="N2012" t="str">
        <f>_xlfn.XLOOKUP(E2012,[3]Sheet1!$A$2:$A$391,[3]Sheet1!$A$2:$A$391)</f>
        <v>PO10134</v>
      </c>
    </row>
    <row r="2013" spans="1:14" x14ac:dyDescent="0.2">
      <c r="A2013" t="s">
        <v>2022</v>
      </c>
      <c r="B2013" s="2">
        <v>46297</v>
      </c>
      <c r="C2013" t="s">
        <v>2940</v>
      </c>
      <c r="D2013" t="s">
        <v>2943</v>
      </c>
      <c r="E2013" t="s">
        <v>3084</v>
      </c>
      <c r="F2013" s="3">
        <v>46297.522023611717</v>
      </c>
      <c r="G2013" s="3">
        <v>46297.526391559957</v>
      </c>
      <c r="H2013">
        <v>6.29</v>
      </c>
      <c r="I2013" t="s">
        <v>3148</v>
      </c>
      <c r="J2013" t="s">
        <v>3164</v>
      </c>
      <c r="K2013" t="s">
        <v>3180</v>
      </c>
      <c r="L2013" t="str">
        <f>_xlfn.XLOOKUP(C2013,[1]!Table1[Shift_ID],[1]!Table1[Shift_ID])</f>
        <v>S01</v>
      </c>
      <c r="M2013" t="str">
        <f>_xlfn.XLOOKUP(D2013,[2]!Table1[Machine_ID],[2]!Table1[Machine_ID])</f>
        <v>M002</v>
      </c>
      <c r="N2013" t="str">
        <f>_xlfn.XLOOKUP(E2013,[3]Sheet1!$A$2:$A$391,[3]Sheet1!$A$2:$A$391)</f>
        <v>PO10134</v>
      </c>
    </row>
    <row r="2014" spans="1:14" x14ac:dyDescent="0.2">
      <c r="A2014" t="s">
        <v>2023</v>
      </c>
      <c r="B2014" s="2">
        <v>46297</v>
      </c>
      <c r="C2014" t="s">
        <v>2940</v>
      </c>
      <c r="D2014" t="s">
        <v>2944</v>
      </c>
      <c r="E2014" t="s">
        <v>3084</v>
      </c>
      <c r="F2014" s="3">
        <v>46297.297931977388</v>
      </c>
      <c r="G2014" s="3">
        <v>46297.307670335278</v>
      </c>
      <c r="H2014">
        <v>14.02</v>
      </c>
      <c r="I2014" t="s">
        <v>3148</v>
      </c>
      <c r="J2014" t="s">
        <v>3155</v>
      </c>
      <c r="K2014" t="s">
        <v>3183</v>
      </c>
      <c r="L2014" t="str">
        <f>_xlfn.XLOOKUP(C2014,[1]!Table1[Shift_ID],[1]!Table1[Shift_ID])</f>
        <v>S01</v>
      </c>
      <c r="M2014" t="str">
        <f>_xlfn.XLOOKUP(D2014,[2]!Table1[Machine_ID],[2]!Table1[Machine_ID])</f>
        <v>M003</v>
      </c>
      <c r="N2014" t="str">
        <f>_xlfn.XLOOKUP(E2014,[3]Sheet1!$A$2:$A$391,[3]Sheet1!$A$2:$A$391)</f>
        <v>PO10134</v>
      </c>
    </row>
    <row r="2015" spans="1:14" x14ac:dyDescent="0.2">
      <c r="A2015" t="s">
        <v>2024</v>
      </c>
      <c r="B2015" s="2">
        <v>46297</v>
      </c>
      <c r="C2015" t="s">
        <v>2940</v>
      </c>
      <c r="D2015" t="s">
        <v>2945</v>
      </c>
      <c r="E2015" t="s">
        <v>3084</v>
      </c>
      <c r="F2015" s="3">
        <v>46297.300872015141</v>
      </c>
      <c r="G2015" s="3">
        <v>46297.305490257582</v>
      </c>
      <c r="H2015">
        <v>6.65</v>
      </c>
      <c r="I2015" t="s">
        <v>3147</v>
      </c>
      <c r="J2015" t="s">
        <v>3154</v>
      </c>
      <c r="K2015" t="s">
        <v>3172</v>
      </c>
      <c r="L2015" t="str">
        <f>_xlfn.XLOOKUP(C2015,[1]!Table1[Shift_ID],[1]!Table1[Shift_ID])</f>
        <v>S01</v>
      </c>
      <c r="M2015" t="str">
        <f>_xlfn.XLOOKUP(D2015,[2]!Table1[Machine_ID],[2]!Table1[Machine_ID])</f>
        <v>M004</v>
      </c>
      <c r="N2015" t="str">
        <f>_xlfn.XLOOKUP(E2015,[3]Sheet1!$A$2:$A$391,[3]Sheet1!$A$2:$A$391)</f>
        <v>PO10134</v>
      </c>
    </row>
    <row r="2016" spans="1:14" x14ac:dyDescent="0.2">
      <c r="A2016" t="s">
        <v>2025</v>
      </c>
      <c r="B2016" s="2">
        <v>46297</v>
      </c>
      <c r="C2016" t="s">
        <v>2940</v>
      </c>
      <c r="D2016" t="s">
        <v>2945</v>
      </c>
      <c r="E2016" t="s">
        <v>3084</v>
      </c>
      <c r="F2016" s="3">
        <v>46297.527252676577</v>
      </c>
      <c r="G2016" s="3">
        <v>46297.531135765414</v>
      </c>
      <c r="H2016">
        <v>5.59</v>
      </c>
      <c r="I2016" t="s">
        <v>3149</v>
      </c>
      <c r="J2016" t="s">
        <v>3168</v>
      </c>
      <c r="K2016" t="s">
        <v>3184</v>
      </c>
      <c r="L2016" t="str">
        <f>_xlfn.XLOOKUP(C2016,[1]!Table1[Shift_ID],[1]!Table1[Shift_ID])</f>
        <v>S01</v>
      </c>
      <c r="M2016" t="str">
        <f>_xlfn.XLOOKUP(D2016,[2]!Table1[Machine_ID],[2]!Table1[Machine_ID])</f>
        <v>M004</v>
      </c>
      <c r="N2016" t="str">
        <f>_xlfn.XLOOKUP(E2016,[3]Sheet1!$A$2:$A$391,[3]Sheet1!$A$2:$A$391)</f>
        <v>PO10134</v>
      </c>
    </row>
    <row r="2017" spans="1:14" x14ac:dyDescent="0.2">
      <c r="A2017" t="s">
        <v>2026</v>
      </c>
      <c r="B2017" s="2">
        <v>46297</v>
      </c>
      <c r="C2017" t="s">
        <v>2940</v>
      </c>
      <c r="D2017" t="s">
        <v>2946</v>
      </c>
      <c r="E2017" t="s">
        <v>3084</v>
      </c>
      <c r="F2017" s="3">
        <v>46297.252740586642</v>
      </c>
      <c r="G2017" s="3">
        <v>46297.254376635152</v>
      </c>
      <c r="H2017">
        <v>2.36</v>
      </c>
      <c r="I2017" t="s">
        <v>3148</v>
      </c>
      <c r="J2017" t="s">
        <v>3164</v>
      </c>
      <c r="K2017" t="s">
        <v>3180</v>
      </c>
      <c r="L2017" t="str">
        <f>_xlfn.XLOOKUP(C2017,[1]!Table1[Shift_ID],[1]!Table1[Shift_ID])</f>
        <v>S01</v>
      </c>
      <c r="M2017" t="str">
        <f>_xlfn.XLOOKUP(D2017,[2]!Table1[Machine_ID],[2]!Table1[Machine_ID])</f>
        <v>M005</v>
      </c>
      <c r="N2017" t="str">
        <f>_xlfn.XLOOKUP(E2017,[3]Sheet1!$A$2:$A$391,[3]Sheet1!$A$2:$A$391)</f>
        <v>PO10134</v>
      </c>
    </row>
    <row r="2018" spans="1:14" x14ac:dyDescent="0.2">
      <c r="A2018" t="s">
        <v>2027</v>
      </c>
      <c r="B2018" s="2">
        <v>46297</v>
      </c>
      <c r="C2018" t="s">
        <v>2940</v>
      </c>
      <c r="D2018" t="s">
        <v>2946</v>
      </c>
      <c r="E2018" t="s">
        <v>3084</v>
      </c>
      <c r="F2018" s="3">
        <v>46297.468574564919</v>
      </c>
      <c r="G2018" s="3">
        <v>46297.473918629119</v>
      </c>
      <c r="H2018">
        <v>7.7</v>
      </c>
      <c r="I2018" t="s">
        <v>3149</v>
      </c>
      <c r="J2018" t="s">
        <v>3158</v>
      </c>
      <c r="K2018" t="s">
        <v>3176</v>
      </c>
      <c r="L2018" t="str">
        <f>_xlfn.XLOOKUP(C2018,[1]!Table1[Shift_ID],[1]!Table1[Shift_ID])</f>
        <v>S01</v>
      </c>
      <c r="M2018" t="str">
        <f>_xlfn.XLOOKUP(D2018,[2]!Table1[Machine_ID],[2]!Table1[Machine_ID])</f>
        <v>M005</v>
      </c>
      <c r="N2018" t="str">
        <f>_xlfn.XLOOKUP(E2018,[3]Sheet1!$A$2:$A$391,[3]Sheet1!$A$2:$A$391)</f>
        <v>PO10134</v>
      </c>
    </row>
    <row r="2019" spans="1:14" x14ac:dyDescent="0.2">
      <c r="A2019" t="s">
        <v>2028</v>
      </c>
      <c r="B2019" s="2">
        <v>46297</v>
      </c>
      <c r="C2019" t="s">
        <v>2940</v>
      </c>
      <c r="D2019" t="s">
        <v>2946</v>
      </c>
      <c r="E2019" t="s">
        <v>3084</v>
      </c>
      <c r="F2019" s="3">
        <v>46297.562092786051</v>
      </c>
      <c r="G2019" s="3">
        <v>46297.563728834561</v>
      </c>
      <c r="H2019">
        <v>2.36</v>
      </c>
      <c r="I2019" t="s">
        <v>3149</v>
      </c>
      <c r="J2019" t="s">
        <v>3158</v>
      </c>
      <c r="K2019" t="s">
        <v>3184</v>
      </c>
      <c r="L2019" t="str">
        <f>_xlfn.XLOOKUP(C2019,[1]!Table1[Shift_ID],[1]!Table1[Shift_ID])</f>
        <v>S01</v>
      </c>
      <c r="M2019" t="str">
        <f>_xlfn.XLOOKUP(D2019,[2]!Table1[Machine_ID],[2]!Table1[Machine_ID])</f>
        <v>M005</v>
      </c>
      <c r="N2019" t="str">
        <f>_xlfn.XLOOKUP(E2019,[3]Sheet1!$A$2:$A$391,[3]Sheet1!$A$2:$A$391)</f>
        <v>PO10134</v>
      </c>
    </row>
    <row r="2020" spans="1:14" x14ac:dyDescent="0.2">
      <c r="A2020" t="s">
        <v>2029</v>
      </c>
      <c r="B2020" s="2">
        <v>46297</v>
      </c>
      <c r="C2020" t="s">
        <v>2940</v>
      </c>
      <c r="D2020" t="s">
        <v>2947</v>
      </c>
      <c r="E2020" t="s">
        <v>3084</v>
      </c>
      <c r="F2020" s="3">
        <v>46297.565990053306</v>
      </c>
      <c r="G2020" s="3">
        <v>46297.583333333343</v>
      </c>
      <c r="H2020">
        <v>24.97</v>
      </c>
      <c r="I2020" t="s">
        <v>3148</v>
      </c>
      <c r="J2020" t="s">
        <v>3165</v>
      </c>
      <c r="K2020" t="s">
        <v>3173</v>
      </c>
      <c r="L2020" t="str">
        <f>_xlfn.XLOOKUP(C2020,[1]!Table1[Shift_ID],[1]!Table1[Shift_ID])</f>
        <v>S01</v>
      </c>
      <c r="M2020" t="str">
        <f>_xlfn.XLOOKUP(D2020,[2]!Table1[Machine_ID],[2]!Table1[Machine_ID])</f>
        <v>M006</v>
      </c>
      <c r="N2020" t="str">
        <f>_xlfn.XLOOKUP(E2020,[3]Sheet1!$A$2:$A$391,[3]Sheet1!$A$2:$A$391)</f>
        <v>PO10134</v>
      </c>
    </row>
    <row r="2021" spans="1:14" x14ac:dyDescent="0.2">
      <c r="A2021" t="s">
        <v>2030</v>
      </c>
      <c r="B2021" s="2">
        <v>46297</v>
      </c>
      <c r="C2021" t="s">
        <v>2940</v>
      </c>
      <c r="D2021" t="s">
        <v>2948</v>
      </c>
      <c r="E2021" t="s">
        <v>3084</v>
      </c>
      <c r="F2021" s="3">
        <v>46297.25245984389</v>
      </c>
      <c r="G2021" s="3">
        <v>46297.259157899163</v>
      </c>
      <c r="H2021">
        <v>9.65</v>
      </c>
      <c r="I2021" t="s">
        <v>3148</v>
      </c>
      <c r="J2021" t="s">
        <v>3164</v>
      </c>
      <c r="K2021" t="s">
        <v>3183</v>
      </c>
      <c r="L2021" t="str">
        <f>_xlfn.XLOOKUP(C2021,[1]!Table1[Shift_ID],[1]!Table1[Shift_ID])</f>
        <v>S01</v>
      </c>
      <c r="M2021" t="str">
        <f>_xlfn.XLOOKUP(D2021,[2]!Table1[Machine_ID],[2]!Table1[Machine_ID])</f>
        <v>M007</v>
      </c>
      <c r="N2021" t="str">
        <f>_xlfn.XLOOKUP(E2021,[3]Sheet1!$A$2:$A$391,[3]Sheet1!$A$2:$A$391)</f>
        <v>PO10134</v>
      </c>
    </row>
    <row r="2022" spans="1:14" x14ac:dyDescent="0.2">
      <c r="A2022" t="s">
        <v>2031</v>
      </c>
      <c r="B2022" s="2">
        <v>46297</v>
      </c>
      <c r="C2022" t="s">
        <v>2940</v>
      </c>
      <c r="D2022" t="s">
        <v>2948</v>
      </c>
      <c r="E2022" t="s">
        <v>3084</v>
      </c>
      <c r="F2022" s="3">
        <v>46297.28527899777</v>
      </c>
      <c r="G2022" s="3">
        <v>46297.287740779619</v>
      </c>
      <c r="H2022">
        <v>3.54</v>
      </c>
      <c r="I2022" t="s">
        <v>3148</v>
      </c>
      <c r="J2022" t="s">
        <v>3164</v>
      </c>
      <c r="K2022" t="s">
        <v>3180</v>
      </c>
      <c r="L2022" t="str">
        <f>_xlfn.XLOOKUP(C2022,[1]!Table1[Shift_ID],[1]!Table1[Shift_ID])</f>
        <v>S01</v>
      </c>
      <c r="M2022" t="str">
        <f>_xlfn.XLOOKUP(D2022,[2]!Table1[Machine_ID],[2]!Table1[Machine_ID])</f>
        <v>M007</v>
      </c>
      <c r="N2022" t="str">
        <f>_xlfn.XLOOKUP(E2022,[3]Sheet1!$A$2:$A$391,[3]Sheet1!$A$2:$A$391)</f>
        <v>PO10134</v>
      </c>
    </row>
    <row r="2023" spans="1:14" x14ac:dyDescent="0.2">
      <c r="A2023" t="s">
        <v>2032</v>
      </c>
      <c r="B2023" s="2">
        <v>46297</v>
      </c>
      <c r="C2023" t="s">
        <v>2940</v>
      </c>
      <c r="D2023" t="s">
        <v>2948</v>
      </c>
      <c r="E2023" t="s">
        <v>3084</v>
      </c>
      <c r="F2023" s="3">
        <v>46297.502247460761</v>
      </c>
      <c r="G2023" s="3">
        <v>46297.50406603486</v>
      </c>
      <c r="H2023">
        <v>2.62</v>
      </c>
      <c r="I2023" t="s">
        <v>3147</v>
      </c>
      <c r="J2023" t="s">
        <v>3167</v>
      </c>
      <c r="K2023" t="s">
        <v>3186</v>
      </c>
      <c r="L2023" t="str">
        <f>_xlfn.XLOOKUP(C2023,[1]!Table1[Shift_ID],[1]!Table1[Shift_ID])</f>
        <v>S01</v>
      </c>
      <c r="M2023" t="str">
        <f>_xlfn.XLOOKUP(D2023,[2]!Table1[Machine_ID],[2]!Table1[Machine_ID])</f>
        <v>M007</v>
      </c>
      <c r="N2023" t="str">
        <f>_xlfn.XLOOKUP(E2023,[3]Sheet1!$A$2:$A$391,[3]Sheet1!$A$2:$A$391)</f>
        <v>PO10134</v>
      </c>
    </row>
    <row r="2024" spans="1:14" x14ac:dyDescent="0.2">
      <c r="A2024" t="s">
        <v>2033</v>
      </c>
      <c r="B2024" s="2">
        <v>46297</v>
      </c>
      <c r="C2024" t="s">
        <v>2940</v>
      </c>
      <c r="D2024" t="s">
        <v>2949</v>
      </c>
      <c r="E2024" t="s">
        <v>3084</v>
      </c>
      <c r="F2024" s="3">
        <v>46297.554148955664</v>
      </c>
      <c r="G2024" s="3">
        <v>46297.561061811852</v>
      </c>
      <c r="H2024">
        <v>9.9499999999999993</v>
      </c>
      <c r="I2024" t="s">
        <v>3150</v>
      </c>
      <c r="J2024" t="s">
        <v>3160</v>
      </c>
      <c r="K2024" t="s">
        <v>3177</v>
      </c>
      <c r="L2024" t="str">
        <f>_xlfn.XLOOKUP(C2024,[1]!Table1[Shift_ID],[1]!Table1[Shift_ID])</f>
        <v>S01</v>
      </c>
      <c r="M2024" t="str">
        <f>_xlfn.XLOOKUP(D2024,[2]!Table1[Machine_ID],[2]!Table1[Machine_ID])</f>
        <v>M008</v>
      </c>
      <c r="N2024" t="str">
        <f>_xlfn.XLOOKUP(E2024,[3]Sheet1!$A$2:$A$391,[3]Sheet1!$A$2:$A$391)</f>
        <v>PO10134</v>
      </c>
    </row>
    <row r="2025" spans="1:14" x14ac:dyDescent="0.2">
      <c r="A2025" t="s">
        <v>2034</v>
      </c>
      <c r="B2025" s="2">
        <v>46297</v>
      </c>
      <c r="C2025" t="s">
        <v>2941</v>
      </c>
      <c r="D2025" t="s">
        <v>2942</v>
      </c>
      <c r="E2025" t="s">
        <v>3085</v>
      </c>
      <c r="F2025" s="3">
        <v>46297.694642527676</v>
      </c>
      <c r="G2025" s="3">
        <v>46297.698341618467</v>
      </c>
      <c r="H2025">
        <v>5.33</v>
      </c>
      <c r="I2025" t="s">
        <v>3150</v>
      </c>
      <c r="J2025" t="s">
        <v>3160</v>
      </c>
      <c r="K2025" t="s">
        <v>3178</v>
      </c>
      <c r="L2025" t="str">
        <f>_xlfn.XLOOKUP(C2025,[1]!Table1[Shift_ID],[1]!Table1[Shift_ID])</f>
        <v>S02</v>
      </c>
      <c r="M2025" t="str">
        <f>_xlfn.XLOOKUP(D2025,[2]!Table1[Machine_ID],[2]!Table1[Machine_ID])</f>
        <v>M001</v>
      </c>
      <c r="N2025" t="str">
        <f>_xlfn.XLOOKUP(E2025,[3]Sheet1!$A$2:$A$391,[3]Sheet1!$A$2:$A$391)</f>
        <v>PO10135</v>
      </c>
    </row>
    <row r="2026" spans="1:14" x14ac:dyDescent="0.2">
      <c r="A2026" t="s">
        <v>2035</v>
      </c>
      <c r="B2026" s="2">
        <v>46297</v>
      </c>
      <c r="C2026" t="s">
        <v>2941</v>
      </c>
      <c r="D2026" t="s">
        <v>2942</v>
      </c>
      <c r="E2026" t="s">
        <v>3085</v>
      </c>
      <c r="F2026" s="3">
        <v>46297.698140866567</v>
      </c>
      <c r="G2026" s="3">
        <v>46297.699442075347</v>
      </c>
      <c r="H2026">
        <v>1.87</v>
      </c>
      <c r="I2026" t="s">
        <v>3151</v>
      </c>
      <c r="J2026" t="s">
        <v>3170</v>
      </c>
      <c r="K2026" t="s">
        <v>3181</v>
      </c>
      <c r="L2026" t="str">
        <f>_xlfn.XLOOKUP(C2026,[1]!Table1[Shift_ID],[1]!Table1[Shift_ID])</f>
        <v>S02</v>
      </c>
      <c r="M2026" t="str">
        <f>_xlfn.XLOOKUP(D2026,[2]!Table1[Machine_ID],[2]!Table1[Machine_ID])</f>
        <v>M001</v>
      </c>
      <c r="N2026" t="str">
        <f>_xlfn.XLOOKUP(E2026,[3]Sheet1!$A$2:$A$391,[3]Sheet1!$A$2:$A$391)</f>
        <v>PO10135</v>
      </c>
    </row>
    <row r="2027" spans="1:14" x14ac:dyDescent="0.2">
      <c r="A2027" t="s">
        <v>2036</v>
      </c>
      <c r="B2027" s="2">
        <v>46297</v>
      </c>
      <c r="C2027" t="s">
        <v>2941</v>
      </c>
      <c r="D2027" t="s">
        <v>2942</v>
      </c>
      <c r="E2027" t="s">
        <v>3085</v>
      </c>
      <c r="F2027" s="3">
        <v>46297.701053430806</v>
      </c>
      <c r="G2027" s="3">
        <v>46297.702354639587</v>
      </c>
      <c r="H2027">
        <v>1.87</v>
      </c>
      <c r="I2027" t="s">
        <v>3151</v>
      </c>
      <c r="J2027" t="s">
        <v>3169</v>
      </c>
      <c r="K2027" t="s">
        <v>3188</v>
      </c>
      <c r="L2027" t="str">
        <f>_xlfn.XLOOKUP(C2027,[1]!Table1[Shift_ID],[1]!Table1[Shift_ID])</f>
        <v>S02</v>
      </c>
      <c r="M2027" t="str">
        <f>_xlfn.XLOOKUP(D2027,[2]!Table1[Machine_ID],[2]!Table1[Machine_ID])</f>
        <v>M001</v>
      </c>
      <c r="N2027" t="str">
        <f>_xlfn.XLOOKUP(E2027,[3]Sheet1!$A$2:$A$391,[3]Sheet1!$A$2:$A$391)</f>
        <v>PO10135</v>
      </c>
    </row>
    <row r="2028" spans="1:14" x14ac:dyDescent="0.2">
      <c r="A2028" t="s">
        <v>2037</v>
      </c>
      <c r="B2028" s="2">
        <v>46297</v>
      </c>
      <c r="C2028" t="s">
        <v>2941</v>
      </c>
      <c r="D2028" t="s">
        <v>2943</v>
      </c>
      <c r="E2028" t="s">
        <v>3085</v>
      </c>
      <c r="F2028" s="3">
        <v>46297.675527616608</v>
      </c>
      <c r="G2028" s="3">
        <v>46297.679527810593</v>
      </c>
      <c r="H2028">
        <v>5.76</v>
      </c>
      <c r="I2028" t="s">
        <v>3151</v>
      </c>
      <c r="J2028" t="s">
        <v>3161</v>
      </c>
      <c r="K2028" t="s">
        <v>3187</v>
      </c>
      <c r="L2028" t="str">
        <f>_xlfn.XLOOKUP(C2028,[1]!Table1[Shift_ID],[1]!Table1[Shift_ID])</f>
        <v>S02</v>
      </c>
      <c r="M2028" t="str">
        <f>_xlfn.XLOOKUP(D2028,[2]!Table1[Machine_ID],[2]!Table1[Machine_ID])</f>
        <v>M002</v>
      </c>
      <c r="N2028" t="str">
        <f>_xlfn.XLOOKUP(E2028,[3]Sheet1!$A$2:$A$391,[3]Sheet1!$A$2:$A$391)</f>
        <v>PO10135</v>
      </c>
    </row>
    <row r="2029" spans="1:14" x14ac:dyDescent="0.2">
      <c r="A2029" t="s">
        <v>2038</v>
      </c>
      <c r="B2029" s="2">
        <v>46297</v>
      </c>
      <c r="C2029" t="s">
        <v>2941</v>
      </c>
      <c r="D2029" t="s">
        <v>2943</v>
      </c>
      <c r="E2029" t="s">
        <v>3085</v>
      </c>
      <c r="F2029" s="3">
        <v>46297.875523973213</v>
      </c>
      <c r="G2029" s="3">
        <v>46297.881761162673</v>
      </c>
      <c r="H2029">
        <v>8.98</v>
      </c>
      <c r="I2029" t="s">
        <v>3149</v>
      </c>
      <c r="J2029" t="s">
        <v>3168</v>
      </c>
      <c r="K2029" t="s">
        <v>3182</v>
      </c>
      <c r="L2029" t="str">
        <f>_xlfn.XLOOKUP(C2029,[1]!Table1[Shift_ID],[1]!Table1[Shift_ID])</f>
        <v>S02</v>
      </c>
      <c r="M2029" t="str">
        <f>_xlfn.XLOOKUP(D2029,[2]!Table1[Machine_ID],[2]!Table1[Machine_ID])</f>
        <v>M002</v>
      </c>
      <c r="N2029" t="str">
        <f>_xlfn.XLOOKUP(E2029,[3]Sheet1!$A$2:$A$391,[3]Sheet1!$A$2:$A$391)</f>
        <v>PO10135</v>
      </c>
    </row>
    <row r="2030" spans="1:14" x14ac:dyDescent="0.2">
      <c r="A2030" t="s">
        <v>2039</v>
      </c>
      <c r="B2030" s="2">
        <v>46297</v>
      </c>
      <c r="C2030" t="s">
        <v>2941</v>
      </c>
      <c r="D2030" t="s">
        <v>2944</v>
      </c>
      <c r="E2030" t="s">
        <v>3085</v>
      </c>
      <c r="F2030" s="3">
        <v>46297.687730937243</v>
      </c>
      <c r="G2030" s="3">
        <v>46297.695354764408</v>
      </c>
      <c r="H2030">
        <v>10.98</v>
      </c>
      <c r="I2030" t="s">
        <v>3149</v>
      </c>
      <c r="J2030" t="s">
        <v>3162</v>
      </c>
      <c r="K2030" t="s">
        <v>3184</v>
      </c>
      <c r="L2030" t="str">
        <f>_xlfn.XLOOKUP(C2030,[1]!Table1[Shift_ID],[1]!Table1[Shift_ID])</f>
        <v>S02</v>
      </c>
      <c r="M2030" t="str">
        <f>_xlfn.XLOOKUP(D2030,[2]!Table1[Machine_ID],[2]!Table1[Machine_ID])</f>
        <v>M003</v>
      </c>
      <c r="N2030" t="str">
        <f>_xlfn.XLOOKUP(E2030,[3]Sheet1!$A$2:$A$391,[3]Sheet1!$A$2:$A$391)</f>
        <v>PO10135</v>
      </c>
    </row>
    <row r="2031" spans="1:14" x14ac:dyDescent="0.2">
      <c r="A2031" t="s">
        <v>2040</v>
      </c>
      <c r="B2031" s="2">
        <v>46297</v>
      </c>
      <c r="C2031" t="s">
        <v>2941</v>
      </c>
      <c r="D2031" t="s">
        <v>2944</v>
      </c>
      <c r="E2031" t="s">
        <v>3085</v>
      </c>
      <c r="F2031" s="3">
        <v>46297.690602517017</v>
      </c>
      <c r="G2031" s="3">
        <v>46297.696471484087</v>
      </c>
      <c r="H2031">
        <v>8.4499999999999993</v>
      </c>
      <c r="I2031" t="s">
        <v>3147</v>
      </c>
      <c r="J2031" t="s">
        <v>3153</v>
      </c>
      <c r="K2031" t="s">
        <v>3186</v>
      </c>
      <c r="L2031" t="str">
        <f>_xlfn.XLOOKUP(C2031,[1]!Table1[Shift_ID],[1]!Table1[Shift_ID])</f>
        <v>S02</v>
      </c>
      <c r="M2031" t="str">
        <f>_xlfn.XLOOKUP(D2031,[2]!Table1[Machine_ID],[2]!Table1[Machine_ID])</f>
        <v>M003</v>
      </c>
      <c r="N2031" t="str">
        <f>_xlfn.XLOOKUP(E2031,[3]Sheet1!$A$2:$A$391,[3]Sheet1!$A$2:$A$391)</f>
        <v>PO10135</v>
      </c>
    </row>
    <row r="2032" spans="1:14" x14ac:dyDescent="0.2">
      <c r="A2032" t="s">
        <v>2041</v>
      </c>
      <c r="B2032" s="2">
        <v>46297</v>
      </c>
      <c r="C2032" t="s">
        <v>2941</v>
      </c>
      <c r="D2032" t="s">
        <v>2945</v>
      </c>
      <c r="E2032" t="s">
        <v>3085</v>
      </c>
      <c r="F2032" s="3">
        <v>46297.616768409353</v>
      </c>
      <c r="G2032" s="3">
        <v>46297.622675000042</v>
      </c>
      <c r="H2032">
        <v>8.51</v>
      </c>
      <c r="I2032" t="s">
        <v>3149</v>
      </c>
      <c r="J2032" t="s">
        <v>3162</v>
      </c>
      <c r="K2032" t="s">
        <v>3176</v>
      </c>
      <c r="L2032" t="str">
        <f>_xlfn.XLOOKUP(C2032,[1]!Table1[Shift_ID],[1]!Table1[Shift_ID])</f>
        <v>S02</v>
      </c>
      <c r="M2032" t="str">
        <f>_xlfn.XLOOKUP(D2032,[2]!Table1[Machine_ID],[2]!Table1[Machine_ID])</f>
        <v>M004</v>
      </c>
      <c r="N2032" t="str">
        <f>_xlfn.XLOOKUP(E2032,[3]Sheet1!$A$2:$A$391,[3]Sheet1!$A$2:$A$391)</f>
        <v>PO10135</v>
      </c>
    </row>
    <row r="2033" spans="1:14" x14ac:dyDescent="0.2">
      <c r="A2033" t="s">
        <v>2042</v>
      </c>
      <c r="B2033" s="2">
        <v>46297</v>
      </c>
      <c r="C2033" t="s">
        <v>2941</v>
      </c>
      <c r="D2033" t="s">
        <v>2946</v>
      </c>
      <c r="E2033" t="s">
        <v>3085</v>
      </c>
      <c r="F2033" s="3">
        <v>46297.619975863767</v>
      </c>
      <c r="G2033" s="3">
        <v>46297.631006767777</v>
      </c>
      <c r="H2033">
        <v>15.88</v>
      </c>
      <c r="I2033" t="s">
        <v>3149</v>
      </c>
      <c r="J2033" t="s">
        <v>3162</v>
      </c>
      <c r="K2033" t="s">
        <v>3184</v>
      </c>
      <c r="L2033" t="str">
        <f>_xlfn.XLOOKUP(C2033,[1]!Table1[Shift_ID],[1]!Table1[Shift_ID])</f>
        <v>S02</v>
      </c>
      <c r="M2033" t="str">
        <f>_xlfn.XLOOKUP(D2033,[2]!Table1[Machine_ID],[2]!Table1[Machine_ID])</f>
        <v>M005</v>
      </c>
      <c r="N2033" t="str">
        <f>_xlfn.XLOOKUP(E2033,[3]Sheet1!$A$2:$A$391,[3]Sheet1!$A$2:$A$391)</f>
        <v>PO10135</v>
      </c>
    </row>
    <row r="2034" spans="1:14" x14ac:dyDescent="0.2">
      <c r="A2034" t="s">
        <v>2043</v>
      </c>
      <c r="B2034" s="2">
        <v>46297</v>
      </c>
      <c r="C2034" t="s">
        <v>2941</v>
      </c>
      <c r="D2034" t="s">
        <v>2947</v>
      </c>
      <c r="E2034" t="s">
        <v>3085</v>
      </c>
      <c r="F2034" s="3">
        <v>46297.584835010661</v>
      </c>
      <c r="G2034" s="3">
        <v>46297.59848538509</v>
      </c>
      <c r="H2034">
        <v>19.66</v>
      </c>
      <c r="I2034" t="s">
        <v>3151</v>
      </c>
      <c r="J2034" t="s">
        <v>3169</v>
      </c>
      <c r="K2034" t="s">
        <v>3187</v>
      </c>
      <c r="L2034" t="str">
        <f>_xlfn.XLOOKUP(C2034,[1]!Table1[Shift_ID],[1]!Table1[Shift_ID])</f>
        <v>S02</v>
      </c>
      <c r="M2034" t="str">
        <f>_xlfn.XLOOKUP(D2034,[2]!Table1[Machine_ID],[2]!Table1[Machine_ID])</f>
        <v>M006</v>
      </c>
      <c r="N2034" t="str">
        <f>_xlfn.XLOOKUP(E2034,[3]Sheet1!$A$2:$A$391,[3]Sheet1!$A$2:$A$391)</f>
        <v>PO10135</v>
      </c>
    </row>
    <row r="2035" spans="1:14" x14ac:dyDescent="0.2">
      <c r="A2035" t="s">
        <v>2044</v>
      </c>
      <c r="B2035" s="2">
        <v>46297</v>
      </c>
      <c r="C2035" t="s">
        <v>2941</v>
      </c>
      <c r="D2035" t="s">
        <v>2947</v>
      </c>
      <c r="E2035" t="s">
        <v>3085</v>
      </c>
      <c r="F2035" s="3">
        <v>46297.641796686541</v>
      </c>
      <c r="G2035" s="3">
        <v>46297.657666205218</v>
      </c>
      <c r="H2035">
        <v>22.85</v>
      </c>
      <c r="I2035" t="s">
        <v>3149</v>
      </c>
      <c r="J2035" t="s">
        <v>3168</v>
      </c>
      <c r="K2035" t="s">
        <v>3184</v>
      </c>
      <c r="L2035" t="str">
        <f>_xlfn.XLOOKUP(C2035,[1]!Table1[Shift_ID],[1]!Table1[Shift_ID])</f>
        <v>S02</v>
      </c>
      <c r="M2035" t="str">
        <f>_xlfn.XLOOKUP(D2035,[2]!Table1[Machine_ID],[2]!Table1[Machine_ID])</f>
        <v>M006</v>
      </c>
      <c r="N2035" t="str">
        <f>_xlfn.XLOOKUP(E2035,[3]Sheet1!$A$2:$A$391,[3]Sheet1!$A$2:$A$391)</f>
        <v>PO10135</v>
      </c>
    </row>
    <row r="2036" spans="1:14" x14ac:dyDescent="0.2">
      <c r="A2036" t="s">
        <v>2045</v>
      </c>
      <c r="B2036" s="2">
        <v>46297</v>
      </c>
      <c r="C2036" t="s">
        <v>2941</v>
      </c>
      <c r="D2036" t="s">
        <v>2948</v>
      </c>
      <c r="E2036" t="s">
        <v>3085</v>
      </c>
      <c r="F2036" s="3">
        <v>46297.668505192247</v>
      </c>
      <c r="G2036" s="3">
        <v>46297.673199794794</v>
      </c>
      <c r="H2036">
        <v>6.76</v>
      </c>
      <c r="I2036" t="s">
        <v>3148</v>
      </c>
      <c r="J2036" t="s">
        <v>3155</v>
      </c>
      <c r="K2036" t="s">
        <v>3180</v>
      </c>
      <c r="L2036" t="str">
        <f>_xlfn.XLOOKUP(C2036,[1]!Table1[Shift_ID],[1]!Table1[Shift_ID])</f>
        <v>S02</v>
      </c>
      <c r="M2036" t="str">
        <f>_xlfn.XLOOKUP(D2036,[2]!Table1[Machine_ID],[2]!Table1[Machine_ID])</f>
        <v>M007</v>
      </c>
      <c r="N2036" t="str">
        <f>_xlfn.XLOOKUP(E2036,[3]Sheet1!$A$2:$A$391,[3]Sheet1!$A$2:$A$391)</f>
        <v>PO10135</v>
      </c>
    </row>
    <row r="2037" spans="1:14" x14ac:dyDescent="0.2">
      <c r="A2037" t="s">
        <v>2046</v>
      </c>
      <c r="B2037" s="2">
        <v>46297</v>
      </c>
      <c r="C2037" t="s">
        <v>2941</v>
      </c>
      <c r="D2037" t="s">
        <v>2948</v>
      </c>
      <c r="E2037" t="s">
        <v>3085</v>
      </c>
      <c r="F2037" s="3">
        <v>46297.675317027511</v>
      </c>
      <c r="G2037" s="3">
        <v>46297.68309061553</v>
      </c>
      <c r="H2037">
        <v>11.19</v>
      </c>
      <c r="I2037" t="s">
        <v>3148</v>
      </c>
      <c r="J2037" t="s">
        <v>3155</v>
      </c>
      <c r="K2037" t="s">
        <v>3173</v>
      </c>
      <c r="L2037" t="str">
        <f>_xlfn.XLOOKUP(C2037,[1]!Table1[Shift_ID],[1]!Table1[Shift_ID])</f>
        <v>S02</v>
      </c>
      <c r="M2037" t="str">
        <f>_xlfn.XLOOKUP(D2037,[2]!Table1[Machine_ID],[2]!Table1[Machine_ID])</f>
        <v>M007</v>
      </c>
      <c r="N2037" t="str">
        <f>_xlfn.XLOOKUP(E2037,[3]Sheet1!$A$2:$A$391,[3]Sheet1!$A$2:$A$391)</f>
        <v>PO10135</v>
      </c>
    </row>
    <row r="2038" spans="1:14" x14ac:dyDescent="0.2">
      <c r="A2038" t="s">
        <v>2047</v>
      </c>
      <c r="B2038" s="2">
        <v>46297</v>
      </c>
      <c r="C2038" t="s">
        <v>2941</v>
      </c>
      <c r="D2038" t="s">
        <v>2948</v>
      </c>
      <c r="E2038" t="s">
        <v>3085</v>
      </c>
      <c r="F2038" s="3">
        <v>46297.868164013576</v>
      </c>
      <c r="G2038" s="3">
        <v>46297.873662580379</v>
      </c>
      <c r="H2038">
        <v>7.92</v>
      </c>
      <c r="I2038" t="s">
        <v>3147</v>
      </c>
      <c r="J2038" t="s">
        <v>3154</v>
      </c>
      <c r="K2038" t="s">
        <v>3185</v>
      </c>
      <c r="L2038" t="str">
        <f>_xlfn.XLOOKUP(C2038,[1]!Table1[Shift_ID],[1]!Table1[Shift_ID])</f>
        <v>S02</v>
      </c>
      <c r="M2038" t="str">
        <f>_xlfn.XLOOKUP(D2038,[2]!Table1[Machine_ID],[2]!Table1[Machine_ID])</f>
        <v>M007</v>
      </c>
      <c r="N2038" t="str">
        <f>_xlfn.XLOOKUP(E2038,[3]Sheet1!$A$2:$A$391,[3]Sheet1!$A$2:$A$391)</f>
        <v>PO10135</v>
      </c>
    </row>
    <row r="2039" spans="1:14" x14ac:dyDescent="0.2">
      <c r="A2039" t="s">
        <v>2048</v>
      </c>
      <c r="B2039" s="2">
        <v>46297</v>
      </c>
      <c r="C2039" t="s">
        <v>2941</v>
      </c>
      <c r="D2039" t="s">
        <v>2949</v>
      </c>
      <c r="E2039" t="s">
        <v>3085</v>
      </c>
      <c r="F2039" s="3">
        <v>46297.601921118992</v>
      </c>
      <c r="G2039" s="3">
        <v>46297.603868832914</v>
      </c>
      <c r="H2039">
        <v>2.8</v>
      </c>
      <c r="I2039" t="s">
        <v>3147</v>
      </c>
      <c r="J2039" t="s">
        <v>3154</v>
      </c>
      <c r="K2039" t="s">
        <v>3172</v>
      </c>
      <c r="L2039" t="str">
        <f>_xlfn.XLOOKUP(C2039,[1]!Table1[Shift_ID],[1]!Table1[Shift_ID])</f>
        <v>S02</v>
      </c>
      <c r="M2039" t="str">
        <f>_xlfn.XLOOKUP(D2039,[2]!Table1[Machine_ID],[2]!Table1[Machine_ID])</f>
        <v>M008</v>
      </c>
      <c r="N2039" t="str">
        <f>_xlfn.XLOOKUP(E2039,[3]Sheet1!$A$2:$A$391,[3]Sheet1!$A$2:$A$391)</f>
        <v>PO10135</v>
      </c>
    </row>
    <row r="2040" spans="1:14" x14ac:dyDescent="0.2">
      <c r="A2040" t="s">
        <v>2049</v>
      </c>
      <c r="B2040" s="2">
        <v>46297</v>
      </c>
      <c r="C2040" t="s">
        <v>2941</v>
      </c>
      <c r="D2040" t="s">
        <v>2949</v>
      </c>
      <c r="E2040" t="s">
        <v>3085</v>
      </c>
      <c r="F2040" s="3">
        <v>46297.816914560593</v>
      </c>
      <c r="G2040" s="3">
        <v>46297.819990860393</v>
      </c>
      <c r="H2040">
        <v>4.43</v>
      </c>
      <c r="I2040" t="s">
        <v>3150</v>
      </c>
      <c r="J2040" t="s">
        <v>3166</v>
      </c>
      <c r="K2040" t="s">
        <v>3179</v>
      </c>
      <c r="L2040" t="str">
        <f>_xlfn.XLOOKUP(C2040,[1]!Table1[Shift_ID],[1]!Table1[Shift_ID])</f>
        <v>S02</v>
      </c>
      <c r="M2040" t="str">
        <f>_xlfn.XLOOKUP(D2040,[2]!Table1[Machine_ID],[2]!Table1[Machine_ID])</f>
        <v>M008</v>
      </c>
      <c r="N2040" t="str">
        <f>_xlfn.XLOOKUP(E2040,[3]Sheet1!$A$2:$A$391,[3]Sheet1!$A$2:$A$391)</f>
        <v>PO10135</v>
      </c>
    </row>
    <row r="2041" spans="1:14" x14ac:dyDescent="0.2">
      <c r="A2041" t="s">
        <v>2050</v>
      </c>
      <c r="B2041" s="2">
        <v>46297</v>
      </c>
      <c r="C2041" t="s">
        <v>2941</v>
      </c>
      <c r="D2041" t="s">
        <v>2949</v>
      </c>
      <c r="E2041" t="s">
        <v>3085</v>
      </c>
      <c r="F2041" s="3">
        <v>46297.85389483883</v>
      </c>
      <c r="G2041" s="3">
        <v>46297.855842552752</v>
      </c>
      <c r="H2041">
        <v>2.8</v>
      </c>
      <c r="I2041" t="s">
        <v>3146</v>
      </c>
      <c r="J2041" t="s">
        <v>3156</v>
      </c>
      <c r="K2041" t="s">
        <v>3174</v>
      </c>
      <c r="L2041" t="str">
        <f>_xlfn.XLOOKUP(C2041,[1]!Table1[Shift_ID],[1]!Table1[Shift_ID])</f>
        <v>S02</v>
      </c>
      <c r="M2041" t="str">
        <f>_xlfn.XLOOKUP(D2041,[2]!Table1[Machine_ID],[2]!Table1[Machine_ID])</f>
        <v>M008</v>
      </c>
      <c r="N2041" t="str">
        <f>_xlfn.XLOOKUP(E2041,[3]Sheet1!$A$2:$A$391,[3]Sheet1!$A$2:$A$391)</f>
        <v>PO10135</v>
      </c>
    </row>
    <row r="2042" spans="1:14" x14ac:dyDescent="0.2">
      <c r="A2042" t="s">
        <v>2051</v>
      </c>
      <c r="B2042" s="2">
        <v>46300</v>
      </c>
      <c r="C2042" t="s">
        <v>2939</v>
      </c>
      <c r="D2042" t="s">
        <v>2942</v>
      </c>
      <c r="E2042" t="s">
        <v>3086</v>
      </c>
      <c r="F2042" s="3">
        <v>46300.96571164528</v>
      </c>
      <c r="G2042" s="3">
        <v>46300.970546903867</v>
      </c>
      <c r="H2042">
        <v>6.96</v>
      </c>
      <c r="I2042" t="s">
        <v>3151</v>
      </c>
      <c r="J2042" t="s">
        <v>3170</v>
      </c>
      <c r="K2042" t="s">
        <v>3181</v>
      </c>
      <c r="L2042" t="str">
        <f>_xlfn.XLOOKUP(C2042,[1]!Table1[Shift_ID],[1]!Table1[Shift_ID])</f>
        <v>S03</v>
      </c>
      <c r="M2042" t="str">
        <f>_xlfn.XLOOKUP(D2042,[2]!Table1[Machine_ID],[2]!Table1[Machine_ID])</f>
        <v>M001</v>
      </c>
      <c r="N2042" t="str">
        <f>_xlfn.XLOOKUP(E2042,[3]Sheet1!$A$2:$A$391,[3]Sheet1!$A$2:$A$391)</f>
        <v>PO10136</v>
      </c>
    </row>
    <row r="2043" spans="1:14" x14ac:dyDescent="0.2">
      <c r="A2043" t="s">
        <v>2052</v>
      </c>
      <c r="B2043" s="2">
        <v>46300</v>
      </c>
      <c r="C2043" t="s">
        <v>2939</v>
      </c>
      <c r="D2043" t="s">
        <v>2943</v>
      </c>
      <c r="E2043" t="s">
        <v>3086</v>
      </c>
      <c r="F2043" s="3">
        <v>46301.233986714062</v>
      </c>
      <c r="G2043" s="3">
        <v>46301.240533217016</v>
      </c>
      <c r="H2043">
        <v>9.43</v>
      </c>
      <c r="I2043" t="s">
        <v>3147</v>
      </c>
      <c r="J2043" t="s">
        <v>3167</v>
      </c>
      <c r="K2043" t="s">
        <v>3185</v>
      </c>
      <c r="L2043" t="str">
        <f>_xlfn.XLOOKUP(C2043,[1]!Table1[Shift_ID],[1]!Table1[Shift_ID])</f>
        <v>S03</v>
      </c>
      <c r="M2043" t="str">
        <f>_xlfn.XLOOKUP(D2043,[2]!Table1[Machine_ID],[2]!Table1[Machine_ID])</f>
        <v>M002</v>
      </c>
      <c r="N2043" t="str">
        <f>_xlfn.XLOOKUP(E2043,[3]Sheet1!$A$2:$A$391,[3]Sheet1!$A$2:$A$391)</f>
        <v>PO10136</v>
      </c>
    </row>
    <row r="2044" spans="1:14" x14ac:dyDescent="0.2">
      <c r="A2044" t="s">
        <v>2053</v>
      </c>
      <c r="B2044" s="2">
        <v>46300</v>
      </c>
      <c r="C2044" t="s">
        <v>2939</v>
      </c>
      <c r="D2044" t="s">
        <v>2944</v>
      </c>
      <c r="E2044" t="s">
        <v>3086</v>
      </c>
      <c r="F2044" s="3">
        <v>46301.01166006727</v>
      </c>
      <c r="G2044" s="3">
        <v>46301.014349080193</v>
      </c>
      <c r="H2044">
        <v>3.87</v>
      </c>
      <c r="I2044" t="s">
        <v>3147</v>
      </c>
      <c r="J2044" t="s">
        <v>3167</v>
      </c>
      <c r="K2044" t="s">
        <v>3186</v>
      </c>
      <c r="L2044" t="str">
        <f>_xlfn.XLOOKUP(C2044,[1]!Table1[Shift_ID],[1]!Table1[Shift_ID])</f>
        <v>S03</v>
      </c>
      <c r="M2044" t="str">
        <f>_xlfn.XLOOKUP(D2044,[2]!Table1[Machine_ID],[2]!Table1[Machine_ID])</f>
        <v>M003</v>
      </c>
      <c r="N2044" t="str">
        <f>_xlfn.XLOOKUP(E2044,[3]Sheet1!$A$2:$A$391,[3]Sheet1!$A$2:$A$391)</f>
        <v>PO10136</v>
      </c>
    </row>
    <row r="2045" spans="1:14" x14ac:dyDescent="0.2">
      <c r="A2045" t="s">
        <v>2054</v>
      </c>
      <c r="B2045" s="2">
        <v>46300</v>
      </c>
      <c r="C2045" t="s">
        <v>2939</v>
      </c>
      <c r="D2045" t="s">
        <v>2944</v>
      </c>
      <c r="E2045" t="s">
        <v>3086</v>
      </c>
      <c r="F2045" s="3">
        <v>46301.031006038153</v>
      </c>
      <c r="G2045" s="3">
        <v>46301.03659061138</v>
      </c>
      <c r="H2045">
        <v>8.0399999999999991</v>
      </c>
      <c r="I2045" t="s">
        <v>3146</v>
      </c>
      <c r="J2045" t="s">
        <v>3157</v>
      </c>
      <c r="K2045" t="s">
        <v>3171</v>
      </c>
      <c r="L2045" t="str">
        <f>_xlfn.XLOOKUP(C2045,[1]!Table1[Shift_ID],[1]!Table1[Shift_ID])</f>
        <v>S03</v>
      </c>
      <c r="M2045" t="str">
        <f>_xlfn.XLOOKUP(D2045,[2]!Table1[Machine_ID],[2]!Table1[Machine_ID])</f>
        <v>M003</v>
      </c>
      <c r="N2045" t="str">
        <f>_xlfn.XLOOKUP(E2045,[3]Sheet1!$A$2:$A$391,[3]Sheet1!$A$2:$A$391)</f>
        <v>PO10136</v>
      </c>
    </row>
    <row r="2046" spans="1:14" x14ac:dyDescent="0.2">
      <c r="A2046" t="s">
        <v>2055</v>
      </c>
      <c r="B2046" s="2">
        <v>46300</v>
      </c>
      <c r="C2046" t="s">
        <v>2939</v>
      </c>
      <c r="D2046" t="s">
        <v>2945</v>
      </c>
      <c r="E2046" t="s">
        <v>3086</v>
      </c>
      <c r="F2046" s="3">
        <v>46300.987035658763</v>
      </c>
      <c r="G2046" s="3">
        <v>46300.988833112278</v>
      </c>
      <c r="H2046">
        <v>2.59</v>
      </c>
      <c r="I2046" t="s">
        <v>3150</v>
      </c>
      <c r="J2046" t="s">
        <v>3163</v>
      </c>
      <c r="K2046" t="s">
        <v>3178</v>
      </c>
      <c r="L2046" t="str">
        <f>_xlfn.XLOOKUP(C2046,[1]!Table1[Shift_ID],[1]!Table1[Shift_ID])</f>
        <v>S03</v>
      </c>
      <c r="M2046" t="str">
        <f>_xlfn.XLOOKUP(D2046,[2]!Table1[Machine_ID],[2]!Table1[Machine_ID])</f>
        <v>M004</v>
      </c>
      <c r="N2046" t="str">
        <f>_xlfn.XLOOKUP(E2046,[3]Sheet1!$A$2:$A$391,[3]Sheet1!$A$2:$A$391)</f>
        <v>PO10136</v>
      </c>
    </row>
    <row r="2047" spans="1:14" x14ac:dyDescent="0.2">
      <c r="A2047" t="s">
        <v>2056</v>
      </c>
      <c r="B2047" s="2">
        <v>46300</v>
      </c>
      <c r="C2047" t="s">
        <v>2939</v>
      </c>
      <c r="D2047" t="s">
        <v>2945</v>
      </c>
      <c r="E2047" t="s">
        <v>3086</v>
      </c>
      <c r="F2047" s="3">
        <v>46301.186793738678</v>
      </c>
      <c r="G2047" s="3">
        <v>46301.1885911922</v>
      </c>
      <c r="H2047">
        <v>2.59</v>
      </c>
      <c r="I2047" t="s">
        <v>3150</v>
      </c>
      <c r="J2047" t="s">
        <v>3163</v>
      </c>
      <c r="K2047" t="s">
        <v>3178</v>
      </c>
      <c r="L2047" t="str">
        <f>_xlfn.XLOOKUP(C2047,[1]!Table1[Shift_ID],[1]!Table1[Shift_ID])</f>
        <v>S03</v>
      </c>
      <c r="M2047" t="str">
        <f>_xlfn.XLOOKUP(D2047,[2]!Table1[Machine_ID],[2]!Table1[Machine_ID])</f>
        <v>M004</v>
      </c>
      <c r="N2047" t="str">
        <f>_xlfn.XLOOKUP(E2047,[3]Sheet1!$A$2:$A$391,[3]Sheet1!$A$2:$A$391)</f>
        <v>PO10136</v>
      </c>
    </row>
    <row r="2048" spans="1:14" x14ac:dyDescent="0.2">
      <c r="A2048" t="s">
        <v>2057</v>
      </c>
      <c r="B2048" s="2">
        <v>46300</v>
      </c>
      <c r="C2048" t="s">
        <v>2939</v>
      </c>
      <c r="D2048" t="s">
        <v>2945</v>
      </c>
      <c r="E2048" t="s">
        <v>3086</v>
      </c>
      <c r="F2048" s="3">
        <v>46301.219323930323</v>
      </c>
      <c r="G2048" s="3">
        <v>46301.223074498354</v>
      </c>
      <c r="H2048">
        <v>5.4</v>
      </c>
      <c r="I2048" t="s">
        <v>3148</v>
      </c>
      <c r="J2048" t="s">
        <v>3155</v>
      </c>
      <c r="K2048" t="s">
        <v>3180</v>
      </c>
      <c r="L2048" t="str">
        <f>_xlfn.XLOOKUP(C2048,[1]!Table1[Shift_ID],[1]!Table1[Shift_ID])</f>
        <v>S03</v>
      </c>
      <c r="M2048" t="str">
        <f>_xlfn.XLOOKUP(D2048,[2]!Table1[Machine_ID],[2]!Table1[Machine_ID])</f>
        <v>M004</v>
      </c>
      <c r="N2048" t="str">
        <f>_xlfn.XLOOKUP(E2048,[3]Sheet1!$A$2:$A$391,[3]Sheet1!$A$2:$A$391)</f>
        <v>PO10136</v>
      </c>
    </row>
    <row r="2049" spans="1:14" x14ac:dyDescent="0.2">
      <c r="A2049" t="s">
        <v>2058</v>
      </c>
      <c r="B2049" s="2">
        <v>46300</v>
      </c>
      <c r="C2049" t="s">
        <v>2939</v>
      </c>
      <c r="D2049" t="s">
        <v>2946</v>
      </c>
      <c r="E2049" t="s">
        <v>3086</v>
      </c>
      <c r="F2049" s="3">
        <v>46301.206822063308</v>
      </c>
      <c r="G2049" s="3">
        <v>46301.213980661443</v>
      </c>
      <c r="H2049">
        <v>10.31</v>
      </c>
      <c r="I2049" t="s">
        <v>3150</v>
      </c>
      <c r="J2049" t="s">
        <v>3159</v>
      </c>
      <c r="K2049" t="s">
        <v>3177</v>
      </c>
      <c r="L2049" t="str">
        <f>_xlfn.XLOOKUP(C2049,[1]!Table1[Shift_ID],[1]!Table1[Shift_ID])</f>
        <v>S03</v>
      </c>
      <c r="M2049" t="str">
        <f>_xlfn.XLOOKUP(D2049,[2]!Table1[Machine_ID],[2]!Table1[Machine_ID])</f>
        <v>M005</v>
      </c>
      <c r="N2049" t="str">
        <f>_xlfn.XLOOKUP(E2049,[3]Sheet1!$A$2:$A$391,[3]Sheet1!$A$2:$A$391)</f>
        <v>PO10136</v>
      </c>
    </row>
    <row r="2050" spans="1:14" x14ac:dyDescent="0.2">
      <c r="A2050" t="s">
        <v>2059</v>
      </c>
      <c r="B2050" s="2">
        <v>46300</v>
      </c>
      <c r="C2050" t="s">
        <v>2939</v>
      </c>
      <c r="D2050" t="s">
        <v>2947</v>
      </c>
      <c r="E2050" t="s">
        <v>3086</v>
      </c>
      <c r="F2050" s="3">
        <v>46301.083140298899</v>
      </c>
      <c r="G2050" s="3">
        <v>46301.101797568357</v>
      </c>
      <c r="H2050">
        <v>26.87</v>
      </c>
      <c r="I2050" t="s">
        <v>3150</v>
      </c>
      <c r="J2050" t="s">
        <v>3166</v>
      </c>
      <c r="K2050" t="s">
        <v>3177</v>
      </c>
      <c r="L2050" t="str">
        <f>_xlfn.XLOOKUP(C2050,[1]!Table1[Shift_ID],[1]!Table1[Shift_ID])</f>
        <v>S03</v>
      </c>
      <c r="M2050" t="str">
        <f>_xlfn.XLOOKUP(D2050,[2]!Table1[Machine_ID],[2]!Table1[Machine_ID])</f>
        <v>M006</v>
      </c>
      <c r="N2050" t="str">
        <f>_xlfn.XLOOKUP(E2050,[3]Sheet1!$A$2:$A$391,[3]Sheet1!$A$2:$A$391)</f>
        <v>PO10136</v>
      </c>
    </row>
    <row r="2051" spans="1:14" x14ac:dyDescent="0.2">
      <c r="A2051" t="s">
        <v>2060</v>
      </c>
      <c r="B2051" s="2">
        <v>46300</v>
      </c>
      <c r="C2051" t="s">
        <v>2939</v>
      </c>
      <c r="D2051" t="s">
        <v>2948</v>
      </c>
      <c r="E2051" t="s">
        <v>3086</v>
      </c>
      <c r="F2051" s="3">
        <v>46300.973233994111</v>
      </c>
      <c r="G2051" s="3">
        <v>46300.976179312769</v>
      </c>
      <c r="H2051">
        <v>4.24</v>
      </c>
      <c r="I2051" t="s">
        <v>3150</v>
      </c>
      <c r="J2051" t="s">
        <v>3163</v>
      </c>
      <c r="K2051" t="s">
        <v>3179</v>
      </c>
      <c r="L2051" t="str">
        <f>_xlfn.XLOOKUP(C2051,[1]!Table1[Shift_ID],[1]!Table1[Shift_ID])</f>
        <v>S03</v>
      </c>
      <c r="M2051" t="str">
        <f>_xlfn.XLOOKUP(D2051,[2]!Table1[Machine_ID],[2]!Table1[Machine_ID])</f>
        <v>M007</v>
      </c>
      <c r="N2051" t="str">
        <f>_xlfn.XLOOKUP(E2051,[3]Sheet1!$A$2:$A$391,[3]Sheet1!$A$2:$A$391)</f>
        <v>PO10136</v>
      </c>
    </row>
    <row r="2052" spans="1:14" x14ac:dyDescent="0.2">
      <c r="A2052" t="s">
        <v>2061</v>
      </c>
      <c r="B2052" s="2">
        <v>46300</v>
      </c>
      <c r="C2052" t="s">
        <v>2939</v>
      </c>
      <c r="D2052" t="s">
        <v>2948</v>
      </c>
      <c r="E2052" t="s">
        <v>3086</v>
      </c>
      <c r="F2052" s="3">
        <v>46301.221964556753</v>
      </c>
      <c r="G2052" s="3">
        <v>46301.225914029339</v>
      </c>
      <c r="H2052">
        <v>5.69</v>
      </c>
      <c r="I2052" t="s">
        <v>3150</v>
      </c>
      <c r="J2052" t="s">
        <v>3159</v>
      </c>
      <c r="K2052" t="s">
        <v>3179</v>
      </c>
      <c r="L2052" t="str">
        <f>_xlfn.XLOOKUP(C2052,[1]!Table1[Shift_ID],[1]!Table1[Shift_ID])</f>
        <v>S03</v>
      </c>
      <c r="M2052" t="str">
        <f>_xlfn.XLOOKUP(D2052,[2]!Table1[Machine_ID],[2]!Table1[Machine_ID])</f>
        <v>M007</v>
      </c>
      <c r="N2052" t="str">
        <f>_xlfn.XLOOKUP(E2052,[3]Sheet1!$A$2:$A$391,[3]Sheet1!$A$2:$A$391)</f>
        <v>PO10136</v>
      </c>
    </row>
    <row r="2053" spans="1:14" x14ac:dyDescent="0.2">
      <c r="A2053" t="s">
        <v>2062</v>
      </c>
      <c r="B2053" s="2">
        <v>46300</v>
      </c>
      <c r="C2053" t="s">
        <v>2939</v>
      </c>
      <c r="D2053" t="s">
        <v>2948</v>
      </c>
      <c r="E2053" t="s">
        <v>3086</v>
      </c>
      <c r="F2053" s="3">
        <v>46301.226027579243</v>
      </c>
      <c r="G2053" s="3">
        <v>46301.231953128001</v>
      </c>
      <c r="H2053">
        <v>8.5299999999999994</v>
      </c>
      <c r="I2053" t="s">
        <v>3150</v>
      </c>
      <c r="J2053" t="s">
        <v>3163</v>
      </c>
      <c r="K2053" t="s">
        <v>3178</v>
      </c>
      <c r="L2053" t="str">
        <f>_xlfn.XLOOKUP(C2053,[1]!Table1[Shift_ID],[1]!Table1[Shift_ID])</f>
        <v>S03</v>
      </c>
      <c r="M2053" t="str">
        <f>_xlfn.XLOOKUP(D2053,[2]!Table1[Machine_ID],[2]!Table1[Machine_ID])</f>
        <v>M007</v>
      </c>
      <c r="N2053" t="str">
        <f>_xlfn.XLOOKUP(E2053,[3]Sheet1!$A$2:$A$391,[3]Sheet1!$A$2:$A$391)</f>
        <v>PO10136</v>
      </c>
    </row>
    <row r="2054" spans="1:14" x14ac:dyDescent="0.2">
      <c r="A2054" t="s">
        <v>2063</v>
      </c>
      <c r="B2054" s="2">
        <v>46300</v>
      </c>
      <c r="C2054" t="s">
        <v>2939</v>
      </c>
      <c r="D2054" t="s">
        <v>2948</v>
      </c>
      <c r="E2054" t="s">
        <v>3086</v>
      </c>
      <c r="F2054" s="3">
        <v>46301.239130143556</v>
      </c>
      <c r="G2054" s="3">
        <v>46301.240966485617</v>
      </c>
      <c r="H2054">
        <v>2.64</v>
      </c>
      <c r="I2054" t="s">
        <v>3148</v>
      </c>
      <c r="J2054" t="s">
        <v>3155</v>
      </c>
      <c r="K2054" t="s">
        <v>3173</v>
      </c>
      <c r="L2054" t="str">
        <f>_xlfn.XLOOKUP(C2054,[1]!Table1[Shift_ID],[1]!Table1[Shift_ID])</f>
        <v>S03</v>
      </c>
      <c r="M2054" t="str">
        <f>_xlfn.XLOOKUP(D2054,[2]!Table1[Machine_ID],[2]!Table1[Machine_ID])</f>
        <v>M007</v>
      </c>
      <c r="N2054" t="str">
        <f>_xlfn.XLOOKUP(E2054,[3]Sheet1!$A$2:$A$391,[3]Sheet1!$A$2:$A$391)</f>
        <v>PO10136</v>
      </c>
    </row>
    <row r="2055" spans="1:14" x14ac:dyDescent="0.2">
      <c r="A2055" t="s">
        <v>2064</v>
      </c>
      <c r="B2055" s="2">
        <v>46300</v>
      </c>
      <c r="C2055" t="s">
        <v>2939</v>
      </c>
      <c r="D2055" t="s">
        <v>2949</v>
      </c>
      <c r="E2055" t="s">
        <v>3086</v>
      </c>
      <c r="F2055" s="3">
        <v>46301.210751927661</v>
      </c>
      <c r="G2055" s="3">
        <v>46301.2174860995</v>
      </c>
      <c r="H2055">
        <v>9.6999999999999993</v>
      </c>
      <c r="I2055" t="s">
        <v>3150</v>
      </c>
      <c r="J2055" t="s">
        <v>3159</v>
      </c>
      <c r="K2055" t="s">
        <v>3179</v>
      </c>
      <c r="L2055" t="str">
        <f>_xlfn.XLOOKUP(C2055,[1]!Table1[Shift_ID],[1]!Table1[Shift_ID])</f>
        <v>S03</v>
      </c>
      <c r="M2055" t="str">
        <f>_xlfn.XLOOKUP(D2055,[2]!Table1[Machine_ID],[2]!Table1[Machine_ID])</f>
        <v>M008</v>
      </c>
      <c r="N2055" t="str">
        <f>_xlfn.XLOOKUP(E2055,[3]Sheet1!$A$2:$A$391,[3]Sheet1!$A$2:$A$391)</f>
        <v>PO10136</v>
      </c>
    </row>
    <row r="2056" spans="1:14" x14ac:dyDescent="0.2">
      <c r="A2056" t="s">
        <v>2065</v>
      </c>
      <c r="B2056" s="2">
        <v>46300</v>
      </c>
      <c r="C2056" t="s">
        <v>2940</v>
      </c>
      <c r="D2056" t="s">
        <v>2942</v>
      </c>
      <c r="E2056" t="s">
        <v>3087</v>
      </c>
      <c r="F2056" s="3">
        <v>46300.463768012887</v>
      </c>
      <c r="G2056" s="3">
        <v>46300.468519036876</v>
      </c>
      <c r="H2056">
        <v>6.84</v>
      </c>
      <c r="I2056" t="s">
        <v>3147</v>
      </c>
      <c r="J2056" t="s">
        <v>3154</v>
      </c>
      <c r="K2056" t="s">
        <v>3172</v>
      </c>
      <c r="L2056" t="str">
        <f>_xlfn.XLOOKUP(C2056,[1]!Table1[Shift_ID],[1]!Table1[Shift_ID])</f>
        <v>S01</v>
      </c>
      <c r="M2056" t="str">
        <f>_xlfn.XLOOKUP(D2056,[2]!Table1[Machine_ID],[2]!Table1[Machine_ID])</f>
        <v>M001</v>
      </c>
      <c r="N2056" t="str">
        <f>_xlfn.XLOOKUP(E2056,[3]Sheet1!$A$2:$A$391,[3]Sheet1!$A$2:$A$391)</f>
        <v>PO10137</v>
      </c>
    </row>
    <row r="2057" spans="1:14" x14ac:dyDescent="0.2">
      <c r="A2057" t="s">
        <v>2066</v>
      </c>
      <c r="B2057" s="2">
        <v>46300</v>
      </c>
      <c r="C2057" t="s">
        <v>2940</v>
      </c>
      <c r="D2057" t="s">
        <v>2942</v>
      </c>
      <c r="E2057" t="s">
        <v>3087</v>
      </c>
      <c r="F2057" s="3">
        <v>46300.468062182961</v>
      </c>
      <c r="G2057" s="3">
        <v>46300.469693918138</v>
      </c>
      <c r="H2057">
        <v>2.35</v>
      </c>
      <c r="I2057" t="s">
        <v>3150</v>
      </c>
      <c r="J2057" t="s">
        <v>3160</v>
      </c>
      <c r="K2057" t="s">
        <v>3177</v>
      </c>
      <c r="L2057" t="str">
        <f>_xlfn.XLOOKUP(C2057,[1]!Table1[Shift_ID],[1]!Table1[Shift_ID])</f>
        <v>S01</v>
      </c>
      <c r="M2057" t="str">
        <f>_xlfn.XLOOKUP(D2057,[2]!Table1[Machine_ID],[2]!Table1[Machine_ID])</f>
        <v>M001</v>
      </c>
      <c r="N2057" t="str">
        <f>_xlfn.XLOOKUP(E2057,[3]Sheet1!$A$2:$A$391,[3]Sheet1!$A$2:$A$391)</f>
        <v>PO10137</v>
      </c>
    </row>
    <row r="2058" spans="1:14" x14ac:dyDescent="0.2">
      <c r="A2058" t="s">
        <v>2067</v>
      </c>
      <c r="B2058" s="2">
        <v>46300</v>
      </c>
      <c r="C2058" t="s">
        <v>2940</v>
      </c>
      <c r="D2058" t="s">
        <v>2943</v>
      </c>
      <c r="E2058" t="s">
        <v>3087</v>
      </c>
      <c r="F2058" s="3">
        <v>46300.530191644917</v>
      </c>
      <c r="G2058" s="3">
        <v>46300.541316396513</v>
      </c>
      <c r="H2058">
        <v>16.02</v>
      </c>
      <c r="I2058" t="s">
        <v>3149</v>
      </c>
      <c r="J2058" t="s">
        <v>3158</v>
      </c>
      <c r="K2058" t="s">
        <v>3176</v>
      </c>
      <c r="L2058" t="str">
        <f>_xlfn.XLOOKUP(C2058,[1]!Table1[Shift_ID],[1]!Table1[Shift_ID])</f>
        <v>S01</v>
      </c>
      <c r="M2058" t="str">
        <f>_xlfn.XLOOKUP(D2058,[2]!Table1[Machine_ID],[2]!Table1[Machine_ID])</f>
        <v>M002</v>
      </c>
      <c r="N2058" t="str">
        <f>_xlfn.XLOOKUP(E2058,[3]Sheet1!$A$2:$A$391,[3]Sheet1!$A$2:$A$391)</f>
        <v>PO10137</v>
      </c>
    </row>
    <row r="2059" spans="1:14" x14ac:dyDescent="0.2">
      <c r="A2059" t="s">
        <v>2068</v>
      </c>
      <c r="B2059" s="2">
        <v>46300</v>
      </c>
      <c r="C2059" t="s">
        <v>2940</v>
      </c>
      <c r="D2059" t="s">
        <v>2944</v>
      </c>
      <c r="E2059" t="s">
        <v>3087</v>
      </c>
      <c r="F2059" s="3">
        <v>46300.283635972977</v>
      </c>
      <c r="G2059" s="3">
        <v>46300.287471096613</v>
      </c>
      <c r="H2059">
        <v>5.52</v>
      </c>
      <c r="I2059" t="s">
        <v>3150</v>
      </c>
      <c r="J2059" t="s">
        <v>3166</v>
      </c>
      <c r="K2059" t="s">
        <v>3178</v>
      </c>
      <c r="L2059" t="str">
        <f>_xlfn.XLOOKUP(C2059,[1]!Table1[Shift_ID],[1]!Table1[Shift_ID])</f>
        <v>S01</v>
      </c>
      <c r="M2059" t="str">
        <f>_xlfn.XLOOKUP(D2059,[2]!Table1[Machine_ID],[2]!Table1[Machine_ID])</f>
        <v>M003</v>
      </c>
      <c r="N2059" t="str">
        <f>_xlfn.XLOOKUP(E2059,[3]Sheet1!$A$2:$A$391,[3]Sheet1!$A$2:$A$391)</f>
        <v>PO10137</v>
      </c>
    </row>
    <row r="2060" spans="1:14" x14ac:dyDescent="0.2">
      <c r="A2060" t="s">
        <v>2069</v>
      </c>
      <c r="B2060" s="2">
        <v>46300</v>
      </c>
      <c r="C2060" t="s">
        <v>2940</v>
      </c>
      <c r="D2060" t="s">
        <v>2944</v>
      </c>
      <c r="E2060" t="s">
        <v>3087</v>
      </c>
      <c r="F2060" s="3">
        <v>46300.337735590998</v>
      </c>
      <c r="G2060" s="3">
        <v>46300.342410777717</v>
      </c>
      <c r="H2060">
        <v>6.73</v>
      </c>
      <c r="I2060" t="s">
        <v>3148</v>
      </c>
      <c r="J2060" t="s">
        <v>3155</v>
      </c>
      <c r="K2060" t="s">
        <v>3183</v>
      </c>
      <c r="L2060" t="str">
        <f>_xlfn.XLOOKUP(C2060,[1]!Table1[Shift_ID],[1]!Table1[Shift_ID])</f>
        <v>S01</v>
      </c>
      <c r="M2060" t="str">
        <f>_xlfn.XLOOKUP(D2060,[2]!Table1[Machine_ID],[2]!Table1[Machine_ID])</f>
        <v>M003</v>
      </c>
      <c r="N2060" t="str">
        <f>_xlfn.XLOOKUP(E2060,[3]Sheet1!$A$2:$A$391,[3]Sheet1!$A$2:$A$391)</f>
        <v>PO10137</v>
      </c>
    </row>
    <row r="2061" spans="1:14" x14ac:dyDescent="0.2">
      <c r="A2061" t="s">
        <v>2070</v>
      </c>
      <c r="B2061" s="2">
        <v>46300</v>
      </c>
      <c r="C2061" t="s">
        <v>2940</v>
      </c>
      <c r="D2061" t="s">
        <v>2944</v>
      </c>
      <c r="E2061" t="s">
        <v>3087</v>
      </c>
      <c r="F2061" s="3">
        <v>46300.464346832719</v>
      </c>
      <c r="G2061" s="3">
        <v>46300.466397949873</v>
      </c>
      <c r="H2061">
        <v>2.95</v>
      </c>
      <c r="I2061" t="s">
        <v>3146</v>
      </c>
      <c r="J2061" t="s">
        <v>3157</v>
      </c>
      <c r="K2061" t="s">
        <v>3171</v>
      </c>
      <c r="L2061" t="str">
        <f>_xlfn.XLOOKUP(C2061,[1]!Table1[Shift_ID],[1]!Table1[Shift_ID])</f>
        <v>S01</v>
      </c>
      <c r="M2061" t="str">
        <f>_xlfn.XLOOKUP(D2061,[2]!Table1[Machine_ID],[2]!Table1[Machine_ID])</f>
        <v>M003</v>
      </c>
      <c r="N2061" t="str">
        <f>_xlfn.XLOOKUP(E2061,[3]Sheet1!$A$2:$A$391,[3]Sheet1!$A$2:$A$391)</f>
        <v>PO10137</v>
      </c>
    </row>
    <row r="2062" spans="1:14" x14ac:dyDescent="0.2">
      <c r="A2062" t="s">
        <v>2071</v>
      </c>
      <c r="B2062" s="2">
        <v>46300</v>
      </c>
      <c r="C2062" t="s">
        <v>2940</v>
      </c>
      <c r="D2062" t="s">
        <v>2945</v>
      </c>
      <c r="E2062" t="s">
        <v>3087</v>
      </c>
      <c r="F2062" s="3">
        <v>46300.563107796333</v>
      </c>
      <c r="G2062" s="3">
        <v>46300.572818005443</v>
      </c>
      <c r="H2062">
        <v>13.98</v>
      </c>
      <c r="I2062" t="s">
        <v>3147</v>
      </c>
      <c r="J2062" t="s">
        <v>3167</v>
      </c>
      <c r="K2062" t="s">
        <v>3186</v>
      </c>
      <c r="L2062" t="str">
        <f>_xlfn.XLOOKUP(C2062,[1]!Table1[Shift_ID],[1]!Table1[Shift_ID])</f>
        <v>S01</v>
      </c>
      <c r="M2062" t="str">
        <f>_xlfn.XLOOKUP(D2062,[2]!Table1[Machine_ID],[2]!Table1[Machine_ID])</f>
        <v>M004</v>
      </c>
      <c r="N2062" t="str">
        <f>_xlfn.XLOOKUP(E2062,[3]Sheet1!$A$2:$A$391,[3]Sheet1!$A$2:$A$391)</f>
        <v>PO10137</v>
      </c>
    </row>
    <row r="2063" spans="1:14" x14ac:dyDescent="0.2">
      <c r="A2063" t="s">
        <v>2072</v>
      </c>
      <c r="B2063" s="2">
        <v>46300</v>
      </c>
      <c r="C2063" t="s">
        <v>2940</v>
      </c>
      <c r="D2063" t="s">
        <v>2946</v>
      </c>
      <c r="E2063" t="s">
        <v>3087</v>
      </c>
      <c r="F2063" s="3">
        <v>46300.280949004897</v>
      </c>
      <c r="G2063" s="3">
        <v>46300.284299996398</v>
      </c>
      <c r="H2063">
        <v>4.83</v>
      </c>
      <c r="I2063" t="s">
        <v>3150</v>
      </c>
      <c r="J2063" t="s">
        <v>3163</v>
      </c>
      <c r="K2063" t="s">
        <v>3178</v>
      </c>
      <c r="L2063" t="str">
        <f>_xlfn.XLOOKUP(C2063,[1]!Table1[Shift_ID],[1]!Table1[Shift_ID])</f>
        <v>S01</v>
      </c>
      <c r="M2063" t="str">
        <f>_xlfn.XLOOKUP(D2063,[2]!Table1[Machine_ID],[2]!Table1[Machine_ID])</f>
        <v>M005</v>
      </c>
      <c r="N2063" t="str">
        <f>_xlfn.XLOOKUP(E2063,[3]Sheet1!$A$2:$A$391,[3]Sheet1!$A$2:$A$391)</f>
        <v>PO10137</v>
      </c>
    </row>
    <row r="2064" spans="1:14" x14ac:dyDescent="0.2">
      <c r="A2064" t="s">
        <v>2073</v>
      </c>
      <c r="B2064" s="2">
        <v>46300</v>
      </c>
      <c r="C2064" t="s">
        <v>2940</v>
      </c>
      <c r="D2064" t="s">
        <v>2946</v>
      </c>
      <c r="E2064" t="s">
        <v>3087</v>
      </c>
      <c r="F2064" s="3">
        <v>46300.423675283913</v>
      </c>
      <c r="G2064" s="3">
        <v>46300.428016017548</v>
      </c>
      <c r="H2064">
        <v>6.25</v>
      </c>
      <c r="I2064" t="s">
        <v>3147</v>
      </c>
      <c r="J2064" t="s">
        <v>3167</v>
      </c>
      <c r="K2064" t="s">
        <v>3186</v>
      </c>
      <c r="L2064" t="str">
        <f>_xlfn.XLOOKUP(C2064,[1]!Table1[Shift_ID],[1]!Table1[Shift_ID])</f>
        <v>S01</v>
      </c>
      <c r="M2064" t="str">
        <f>_xlfn.XLOOKUP(D2064,[2]!Table1[Machine_ID],[2]!Table1[Machine_ID])</f>
        <v>M005</v>
      </c>
      <c r="N2064" t="str">
        <f>_xlfn.XLOOKUP(E2064,[3]Sheet1!$A$2:$A$391,[3]Sheet1!$A$2:$A$391)</f>
        <v>PO10137</v>
      </c>
    </row>
    <row r="2065" spans="1:14" x14ac:dyDescent="0.2">
      <c r="A2065" t="s">
        <v>2074</v>
      </c>
      <c r="B2065" s="2">
        <v>46300</v>
      </c>
      <c r="C2065" t="s">
        <v>2940</v>
      </c>
      <c r="D2065" t="s">
        <v>2947</v>
      </c>
      <c r="E2065" t="s">
        <v>3087</v>
      </c>
      <c r="F2065" s="3">
        <v>46300.338921819712</v>
      </c>
      <c r="G2065" s="3">
        <v>46300.349579562608</v>
      </c>
      <c r="H2065">
        <v>15.35</v>
      </c>
      <c r="I2065" t="s">
        <v>3150</v>
      </c>
      <c r="J2065" t="s">
        <v>3159</v>
      </c>
      <c r="K2065" t="s">
        <v>3177</v>
      </c>
      <c r="L2065" t="str">
        <f>_xlfn.XLOOKUP(C2065,[1]!Table1[Shift_ID],[1]!Table1[Shift_ID])</f>
        <v>S01</v>
      </c>
      <c r="M2065" t="str">
        <f>_xlfn.XLOOKUP(D2065,[2]!Table1[Machine_ID],[2]!Table1[Machine_ID])</f>
        <v>M006</v>
      </c>
      <c r="N2065" t="str">
        <f>_xlfn.XLOOKUP(E2065,[3]Sheet1!$A$2:$A$391,[3]Sheet1!$A$2:$A$391)</f>
        <v>PO10137</v>
      </c>
    </row>
    <row r="2066" spans="1:14" x14ac:dyDescent="0.2">
      <c r="A2066" t="s">
        <v>2075</v>
      </c>
      <c r="B2066" s="2">
        <v>46300</v>
      </c>
      <c r="C2066" t="s">
        <v>2940</v>
      </c>
      <c r="D2066" t="s">
        <v>2947</v>
      </c>
      <c r="E2066" t="s">
        <v>3087</v>
      </c>
      <c r="F2066" s="3">
        <v>46300.415812112813</v>
      </c>
      <c r="G2066" s="3">
        <v>46300.42344852598</v>
      </c>
      <c r="H2066">
        <v>11</v>
      </c>
      <c r="I2066" t="s">
        <v>3149</v>
      </c>
      <c r="J2066" t="s">
        <v>3168</v>
      </c>
      <c r="K2066" t="s">
        <v>3184</v>
      </c>
      <c r="L2066" t="str">
        <f>_xlfn.XLOOKUP(C2066,[1]!Table1[Shift_ID],[1]!Table1[Shift_ID])</f>
        <v>S01</v>
      </c>
      <c r="M2066" t="str">
        <f>_xlfn.XLOOKUP(D2066,[2]!Table1[Machine_ID],[2]!Table1[Machine_ID])</f>
        <v>M006</v>
      </c>
      <c r="N2066" t="str">
        <f>_xlfn.XLOOKUP(E2066,[3]Sheet1!$A$2:$A$391,[3]Sheet1!$A$2:$A$391)</f>
        <v>PO10137</v>
      </c>
    </row>
    <row r="2067" spans="1:14" x14ac:dyDescent="0.2">
      <c r="A2067" t="s">
        <v>2076</v>
      </c>
      <c r="B2067" s="2">
        <v>46300</v>
      </c>
      <c r="C2067" t="s">
        <v>2940</v>
      </c>
      <c r="D2067" t="s">
        <v>2947</v>
      </c>
      <c r="E2067" t="s">
        <v>3087</v>
      </c>
      <c r="F2067" s="3">
        <v>46300.560654285902</v>
      </c>
      <c r="G2067" s="3">
        <v>46300.567560932592</v>
      </c>
      <c r="H2067">
        <v>9.9499999999999993</v>
      </c>
      <c r="I2067" t="s">
        <v>3147</v>
      </c>
      <c r="J2067" t="s">
        <v>3154</v>
      </c>
      <c r="K2067" t="s">
        <v>3186</v>
      </c>
      <c r="L2067" t="str">
        <f>_xlfn.XLOOKUP(C2067,[1]!Table1[Shift_ID],[1]!Table1[Shift_ID])</f>
        <v>S01</v>
      </c>
      <c r="M2067" t="str">
        <f>_xlfn.XLOOKUP(D2067,[2]!Table1[Machine_ID],[2]!Table1[Machine_ID])</f>
        <v>M006</v>
      </c>
      <c r="N2067" t="str">
        <f>_xlfn.XLOOKUP(E2067,[3]Sheet1!$A$2:$A$391,[3]Sheet1!$A$2:$A$391)</f>
        <v>PO10137</v>
      </c>
    </row>
    <row r="2068" spans="1:14" x14ac:dyDescent="0.2">
      <c r="A2068" t="s">
        <v>2077</v>
      </c>
      <c r="B2068" s="2">
        <v>46300</v>
      </c>
      <c r="C2068" t="s">
        <v>2940</v>
      </c>
      <c r="D2068" t="s">
        <v>2948</v>
      </c>
      <c r="E2068" t="s">
        <v>3087</v>
      </c>
      <c r="F2068" s="3">
        <v>46300.307028132367</v>
      </c>
      <c r="G2068" s="3">
        <v>46300.31163134933</v>
      </c>
      <c r="H2068">
        <v>6.63</v>
      </c>
      <c r="I2068" t="s">
        <v>3151</v>
      </c>
      <c r="J2068" t="s">
        <v>3169</v>
      </c>
      <c r="K2068" t="s">
        <v>3188</v>
      </c>
      <c r="L2068" t="str">
        <f>_xlfn.XLOOKUP(C2068,[1]!Table1[Shift_ID],[1]!Table1[Shift_ID])</f>
        <v>S01</v>
      </c>
      <c r="M2068" t="str">
        <f>_xlfn.XLOOKUP(D2068,[2]!Table1[Machine_ID],[2]!Table1[Machine_ID])</f>
        <v>M007</v>
      </c>
      <c r="N2068" t="str">
        <f>_xlfn.XLOOKUP(E2068,[3]Sheet1!$A$2:$A$391,[3]Sheet1!$A$2:$A$391)</f>
        <v>PO10137</v>
      </c>
    </row>
    <row r="2069" spans="1:14" x14ac:dyDescent="0.2">
      <c r="A2069" t="s">
        <v>2078</v>
      </c>
      <c r="B2069" s="2">
        <v>46300</v>
      </c>
      <c r="C2069" t="s">
        <v>2940</v>
      </c>
      <c r="D2069" t="s">
        <v>2948</v>
      </c>
      <c r="E2069" t="s">
        <v>3087</v>
      </c>
      <c r="F2069" s="3">
        <v>46300.408514863862</v>
      </c>
      <c r="G2069" s="3">
        <v>46300.41681434463</v>
      </c>
      <c r="H2069">
        <v>11.95</v>
      </c>
      <c r="I2069" t="s">
        <v>3150</v>
      </c>
      <c r="J2069" t="s">
        <v>3166</v>
      </c>
      <c r="K2069" t="s">
        <v>3179</v>
      </c>
      <c r="L2069" t="str">
        <f>_xlfn.XLOOKUP(C2069,[1]!Table1[Shift_ID],[1]!Table1[Shift_ID])</f>
        <v>S01</v>
      </c>
      <c r="M2069" t="str">
        <f>_xlfn.XLOOKUP(D2069,[2]!Table1[Machine_ID],[2]!Table1[Machine_ID])</f>
        <v>M007</v>
      </c>
      <c r="N2069" t="str">
        <f>_xlfn.XLOOKUP(E2069,[3]Sheet1!$A$2:$A$391,[3]Sheet1!$A$2:$A$391)</f>
        <v>PO10137</v>
      </c>
    </row>
    <row r="2070" spans="1:14" x14ac:dyDescent="0.2">
      <c r="A2070" t="s">
        <v>2079</v>
      </c>
      <c r="B2070" s="2">
        <v>46300</v>
      </c>
      <c r="C2070" t="s">
        <v>2940</v>
      </c>
      <c r="D2070" t="s">
        <v>2949</v>
      </c>
      <c r="E2070" t="s">
        <v>3087</v>
      </c>
      <c r="F2070" s="3">
        <v>46300.396087315043</v>
      </c>
      <c r="G2070" s="3">
        <v>46300.401937273891</v>
      </c>
      <c r="H2070">
        <v>8.42</v>
      </c>
      <c r="I2070" t="s">
        <v>3146</v>
      </c>
      <c r="J2070" t="s">
        <v>3152</v>
      </c>
      <c r="K2070" t="s">
        <v>3174</v>
      </c>
      <c r="L2070" t="str">
        <f>_xlfn.XLOOKUP(C2070,[1]!Table1[Shift_ID],[1]!Table1[Shift_ID])</f>
        <v>S01</v>
      </c>
      <c r="M2070" t="str">
        <f>_xlfn.XLOOKUP(D2070,[2]!Table1[Machine_ID],[2]!Table1[Machine_ID])</f>
        <v>M008</v>
      </c>
      <c r="N2070" t="str">
        <f>_xlfn.XLOOKUP(E2070,[3]Sheet1!$A$2:$A$391,[3]Sheet1!$A$2:$A$391)</f>
        <v>PO10137</v>
      </c>
    </row>
    <row r="2071" spans="1:14" x14ac:dyDescent="0.2">
      <c r="A2071" t="s">
        <v>2080</v>
      </c>
      <c r="B2071" s="2">
        <v>46300</v>
      </c>
      <c r="C2071" t="s">
        <v>2941</v>
      </c>
      <c r="D2071" t="s">
        <v>2942</v>
      </c>
      <c r="E2071" t="s">
        <v>3088</v>
      </c>
      <c r="F2071" s="3">
        <v>46300.628566799001</v>
      </c>
      <c r="G2071" s="3">
        <v>46300.631893541657</v>
      </c>
      <c r="H2071">
        <v>4.79</v>
      </c>
      <c r="I2071" t="s">
        <v>3150</v>
      </c>
      <c r="J2071" t="s">
        <v>3163</v>
      </c>
      <c r="K2071" t="s">
        <v>3179</v>
      </c>
      <c r="L2071" t="str">
        <f>_xlfn.XLOOKUP(C2071,[1]!Table1[Shift_ID],[1]!Table1[Shift_ID])</f>
        <v>S02</v>
      </c>
      <c r="M2071" t="str">
        <f>_xlfn.XLOOKUP(D2071,[2]!Table1[Machine_ID],[2]!Table1[Machine_ID])</f>
        <v>M001</v>
      </c>
      <c r="N2071" t="str">
        <f>_xlfn.XLOOKUP(E2071,[3]Sheet1!$A$2:$A$391,[3]Sheet1!$A$2:$A$391)</f>
        <v>PO10138</v>
      </c>
    </row>
    <row r="2072" spans="1:14" x14ac:dyDescent="0.2">
      <c r="A2072" t="s">
        <v>2081</v>
      </c>
      <c r="B2072" s="2">
        <v>46300</v>
      </c>
      <c r="C2072" t="s">
        <v>2941</v>
      </c>
      <c r="D2072" t="s">
        <v>2942</v>
      </c>
      <c r="E2072" t="s">
        <v>3088</v>
      </c>
      <c r="F2072" s="3">
        <v>46300.642672653827</v>
      </c>
      <c r="G2072" s="3">
        <v>46300.64427737207</v>
      </c>
      <c r="H2072">
        <v>2.31</v>
      </c>
      <c r="I2072" t="s">
        <v>3151</v>
      </c>
      <c r="J2072" t="s">
        <v>3161</v>
      </c>
      <c r="K2072" t="s">
        <v>3181</v>
      </c>
      <c r="L2072" t="str">
        <f>_xlfn.XLOOKUP(C2072,[1]!Table1[Shift_ID],[1]!Table1[Shift_ID])</f>
        <v>S02</v>
      </c>
      <c r="M2072" t="str">
        <f>_xlfn.XLOOKUP(D2072,[2]!Table1[Machine_ID],[2]!Table1[Machine_ID])</f>
        <v>M001</v>
      </c>
      <c r="N2072" t="str">
        <f>_xlfn.XLOOKUP(E2072,[3]Sheet1!$A$2:$A$391,[3]Sheet1!$A$2:$A$391)</f>
        <v>PO10138</v>
      </c>
    </row>
    <row r="2073" spans="1:14" x14ac:dyDescent="0.2">
      <c r="A2073" t="s">
        <v>2082</v>
      </c>
      <c r="B2073" s="2">
        <v>46300</v>
      </c>
      <c r="C2073" t="s">
        <v>2941</v>
      </c>
      <c r="D2073" t="s">
        <v>2942</v>
      </c>
      <c r="E2073" t="s">
        <v>3088</v>
      </c>
      <c r="F2073" s="3">
        <v>46300.872498961282</v>
      </c>
      <c r="G2073" s="3">
        <v>46300.874103679533</v>
      </c>
      <c r="H2073">
        <v>2.31</v>
      </c>
      <c r="I2073" t="s">
        <v>3147</v>
      </c>
      <c r="J2073" t="s">
        <v>3154</v>
      </c>
      <c r="K2073" t="s">
        <v>3185</v>
      </c>
      <c r="L2073" t="str">
        <f>_xlfn.XLOOKUP(C2073,[1]!Table1[Shift_ID],[1]!Table1[Shift_ID])</f>
        <v>S02</v>
      </c>
      <c r="M2073" t="str">
        <f>_xlfn.XLOOKUP(D2073,[2]!Table1[Machine_ID],[2]!Table1[Machine_ID])</f>
        <v>M001</v>
      </c>
      <c r="N2073" t="str">
        <f>_xlfn.XLOOKUP(E2073,[3]Sheet1!$A$2:$A$391,[3]Sheet1!$A$2:$A$391)</f>
        <v>PO10138</v>
      </c>
    </row>
    <row r="2074" spans="1:14" x14ac:dyDescent="0.2">
      <c r="A2074" t="s">
        <v>2083</v>
      </c>
      <c r="B2074" s="2">
        <v>46300</v>
      </c>
      <c r="C2074" t="s">
        <v>2941</v>
      </c>
      <c r="D2074" t="s">
        <v>2943</v>
      </c>
      <c r="E2074" t="s">
        <v>3088</v>
      </c>
      <c r="F2074" s="3">
        <v>46300.74415588288</v>
      </c>
      <c r="G2074" s="3">
        <v>46300.751419723943</v>
      </c>
      <c r="H2074">
        <v>10.46</v>
      </c>
      <c r="I2074" t="s">
        <v>3146</v>
      </c>
      <c r="J2074" t="s">
        <v>3157</v>
      </c>
      <c r="K2074" t="s">
        <v>3175</v>
      </c>
      <c r="L2074" t="str">
        <f>_xlfn.XLOOKUP(C2074,[1]!Table1[Shift_ID],[1]!Table1[Shift_ID])</f>
        <v>S02</v>
      </c>
      <c r="M2074" t="str">
        <f>_xlfn.XLOOKUP(D2074,[2]!Table1[Machine_ID],[2]!Table1[Machine_ID])</f>
        <v>M002</v>
      </c>
      <c r="N2074" t="str">
        <f>_xlfn.XLOOKUP(E2074,[3]Sheet1!$A$2:$A$391,[3]Sheet1!$A$2:$A$391)</f>
        <v>PO10138</v>
      </c>
    </row>
    <row r="2075" spans="1:14" x14ac:dyDescent="0.2">
      <c r="A2075" t="s">
        <v>2084</v>
      </c>
      <c r="B2075" s="2">
        <v>46300</v>
      </c>
      <c r="C2075" t="s">
        <v>2941</v>
      </c>
      <c r="D2075" t="s">
        <v>2944</v>
      </c>
      <c r="E2075" t="s">
        <v>3088</v>
      </c>
      <c r="F2075" s="3">
        <v>46300.740011991467</v>
      </c>
      <c r="G2075" s="3">
        <v>46300.741821954427</v>
      </c>
      <c r="H2075">
        <v>2.61</v>
      </c>
      <c r="I2075" t="s">
        <v>3147</v>
      </c>
      <c r="J2075" t="s">
        <v>3167</v>
      </c>
      <c r="K2075" t="s">
        <v>3186</v>
      </c>
      <c r="L2075" t="str">
        <f>_xlfn.XLOOKUP(C2075,[1]!Table1[Shift_ID],[1]!Table1[Shift_ID])</f>
        <v>S02</v>
      </c>
      <c r="M2075" t="str">
        <f>_xlfn.XLOOKUP(D2075,[2]!Table1[Machine_ID],[2]!Table1[Machine_ID])</f>
        <v>M003</v>
      </c>
      <c r="N2075" t="str">
        <f>_xlfn.XLOOKUP(E2075,[3]Sheet1!$A$2:$A$391,[3]Sheet1!$A$2:$A$391)</f>
        <v>PO10138</v>
      </c>
    </row>
    <row r="2076" spans="1:14" x14ac:dyDescent="0.2">
      <c r="A2076" t="s">
        <v>2085</v>
      </c>
      <c r="B2076" s="2">
        <v>46300</v>
      </c>
      <c r="C2076" t="s">
        <v>2941</v>
      </c>
      <c r="D2076" t="s">
        <v>2944</v>
      </c>
      <c r="E2076" t="s">
        <v>3088</v>
      </c>
      <c r="F2076" s="3">
        <v>46300.772572078837</v>
      </c>
      <c r="G2076" s="3">
        <v>46300.782284290741</v>
      </c>
      <c r="H2076">
        <v>13.99</v>
      </c>
      <c r="I2076" t="s">
        <v>3147</v>
      </c>
      <c r="J2076" t="s">
        <v>3167</v>
      </c>
      <c r="K2076" t="s">
        <v>3186</v>
      </c>
      <c r="L2076" t="str">
        <f>_xlfn.XLOOKUP(C2076,[1]!Table1[Shift_ID],[1]!Table1[Shift_ID])</f>
        <v>S02</v>
      </c>
      <c r="M2076" t="str">
        <f>_xlfn.XLOOKUP(D2076,[2]!Table1[Machine_ID],[2]!Table1[Machine_ID])</f>
        <v>M003</v>
      </c>
      <c r="N2076" t="str">
        <f>_xlfn.XLOOKUP(E2076,[3]Sheet1!$A$2:$A$391,[3]Sheet1!$A$2:$A$391)</f>
        <v>PO10138</v>
      </c>
    </row>
    <row r="2077" spans="1:14" x14ac:dyDescent="0.2">
      <c r="A2077" t="s">
        <v>2086</v>
      </c>
      <c r="B2077" s="2">
        <v>46300</v>
      </c>
      <c r="C2077" t="s">
        <v>2941</v>
      </c>
      <c r="D2077" t="s">
        <v>2945</v>
      </c>
      <c r="E2077" t="s">
        <v>3088</v>
      </c>
      <c r="F2077" s="3">
        <v>46300.677306053047</v>
      </c>
      <c r="G2077" s="3">
        <v>46300.684153922513</v>
      </c>
      <c r="H2077">
        <v>9.86</v>
      </c>
      <c r="I2077" t="s">
        <v>3150</v>
      </c>
      <c r="J2077" t="s">
        <v>3160</v>
      </c>
      <c r="K2077" t="s">
        <v>3178</v>
      </c>
      <c r="L2077" t="str">
        <f>_xlfn.XLOOKUP(C2077,[1]!Table1[Shift_ID],[1]!Table1[Shift_ID])</f>
        <v>S02</v>
      </c>
      <c r="M2077" t="str">
        <f>_xlfn.XLOOKUP(D2077,[2]!Table1[Machine_ID],[2]!Table1[Machine_ID])</f>
        <v>M004</v>
      </c>
      <c r="N2077" t="str">
        <f>_xlfn.XLOOKUP(E2077,[3]Sheet1!$A$2:$A$391,[3]Sheet1!$A$2:$A$391)</f>
        <v>PO10138</v>
      </c>
    </row>
    <row r="2078" spans="1:14" x14ac:dyDescent="0.2">
      <c r="A2078" t="s">
        <v>2087</v>
      </c>
      <c r="B2078" s="2">
        <v>46300</v>
      </c>
      <c r="C2078" t="s">
        <v>2941</v>
      </c>
      <c r="D2078" t="s">
        <v>2946</v>
      </c>
      <c r="E2078" t="s">
        <v>3088</v>
      </c>
      <c r="F2078" s="3">
        <v>46300.898450189539</v>
      </c>
      <c r="G2078" s="3">
        <v>46300.905181114817</v>
      </c>
      <c r="H2078">
        <v>9.69</v>
      </c>
      <c r="I2078" t="s">
        <v>3147</v>
      </c>
      <c r="J2078" t="s">
        <v>3153</v>
      </c>
      <c r="K2078" t="s">
        <v>3172</v>
      </c>
      <c r="L2078" t="str">
        <f>_xlfn.XLOOKUP(C2078,[1]!Table1[Shift_ID],[1]!Table1[Shift_ID])</f>
        <v>S02</v>
      </c>
      <c r="M2078" t="str">
        <f>_xlfn.XLOOKUP(D2078,[2]!Table1[Machine_ID],[2]!Table1[Machine_ID])</f>
        <v>M005</v>
      </c>
      <c r="N2078" t="str">
        <f>_xlfn.XLOOKUP(E2078,[3]Sheet1!$A$2:$A$391,[3]Sheet1!$A$2:$A$391)</f>
        <v>PO10138</v>
      </c>
    </row>
    <row r="2079" spans="1:14" x14ac:dyDescent="0.2">
      <c r="A2079" t="s">
        <v>2088</v>
      </c>
      <c r="B2079" s="2">
        <v>46300</v>
      </c>
      <c r="C2079" t="s">
        <v>2941</v>
      </c>
      <c r="D2079" t="s">
        <v>2947</v>
      </c>
      <c r="E2079" t="s">
        <v>3088</v>
      </c>
      <c r="F2079" s="3">
        <v>46300.771743924262</v>
      </c>
      <c r="G2079" s="3">
        <v>46300.77975052096</v>
      </c>
      <c r="H2079">
        <v>11.53</v>
      </c>
      <c r="I2079" t="s">
        <v>3149</v>
      </c>
      <c r="J2079" t="s">
        <v>3162</v>
      </c>
      <c r="K2079" t="s">
        <v>3182</v>
      </c>
      <c r="L2079" t="str">
        <f>_xlfn.XLOOKUP(C2079,[1]!Table1[Shift_ID],[1]!Table1[Shift_ID])</f>
        <v>S02</v>
      </c>
      <c r="M2079" t="str">
        <f>_xlfn.XLOOKUP(D2079,[2]!Table1[Machine_ID],[2]!Table1[Machine_ID])</f>
        <v>M006</v>
      </c>
      <c r="N2079" t="str">
        <f>_xlfn.XLOOKUP(E2079,[3]Sheet1!$A$2:$A$391,[3]Sheet1!$A$2:$A$391)</f>
        <v>PO10138</v>
      </c>
    </row>
    <row r="2080" spans="1:14" x14ac:dyDescent="0.2">
      <c r="A2080" t="s">
        <v>2089</v>
      </c>
      <c r="B2080" s="2">
        <v>46300</v>
      </c>
      <c r="C2080" t="s">
        <v>2941</v>
      </c>
      <c r="D2080" t="s">
        <v>2947</v>
      </c>
      <c r="E2080" t="s">
        <v>3088</v>
      </c>
      <c r="F2080" s="3">
        <v>46300.861763755478</v>
      </c>
      <c r="G2080" s="3">
        <v>46300.863824727479</v>
      </c>
      <c r="H2080">
        <v>2.97</v>
      </c>
      <c r="I2080" t="s">
        <v>3147</v>
      </c>
      <c r="J2080" t="s">
        <v>3167</v>
      </c>
      <c r="K2080" t="s">
        <v>3185</v>
      </c>
      <c r="L2080" t="str">
        <f>_xlfn.XLOOKUP(C2080,[1]!Table1[Shift_ID],[1]!Table1[Shift_ID])</f>
        <v>S02</v>
      </c>
      <c r="M2080" t="str">
        <f>_xlfn.XLOOKUP(D2080,[2]!Table1[Machine_ID],[2]!Table1[Machine_ID])</f>
        <v>M006</v>
      </c>
      <c r="N2080" t="str">
        <f>_xlfn.XLOOKUP(E2080,[3]Sheet1!$A$2:$A$391,[3]Sheet1!$A$2:$A$391)</f>
        <v>PO10138</v>
      </c>
    </row>
    <row r="2081" spans="1:14" x14ac:dyDescent="0.2">
      <c r="A2081" t="s">
        <v>2090</v>
      </c>
      <c r="B2081" s="2">
        <v>46300</v>
      </c>
      <c r="C2081" t="s">
        <v>2941</v>
      </c>
      <c r="D2081" t="s">
        <v>2947</v>
      </c>
      <c r="E2081" t="s">
        <v>3088</v>
      </c>
      <c r="F2081" s="3">
        <v>46300.870969815172</v>
      </c>
      <c r="G2081" s="3">
        <v>46300.890170214072</v>
      </c>
      <c r="H2081">
        <v>27.65</v>
      </c>
      <c r="I2081" t="s">
        <v>3149</v>
      </c>
      <c r="J2081" t="s">
        <v>3158</v>
      </c>
      <c r="K2081" t="s">
        <v>3176</v>
      </c>
      <c r="L2081" t="str">
        <f>_xlfn.XLOOKUP(C2081,[1]!Table1[Shift_ID],[1]!Table1[Shift_ID])</f>
        <v>S02</v>
      </c>
      <c r="M2081" t="str">
        <f>_xlfn.XLOOKUP(D2081,[2]!Table1[Machine_ID],[2]!Table1[Machine_ID])</f>
        <v>M006</v>
      </c>
      <c r="N2081" t="str">
        <f>_xlfn.XLOOKUP(E2081,[3]Sheet1!$A$2:$A$391,[3]Sheet1!$A$2:$A$391)</f>
        <v>PO10138</v>
      </c>
    </row>
    <row r="2082" spans="1:14" x14ac:dyDescent="0.2">
      <c r="A2082" t="s">
        <v>2091</v>
      </c>
      <c r="B2082" s="2">
        <v>46300</v>
      </c>
      <c r="C2082" t="s">
        <v>2941</v>
      </c>
      <c r="D2082" t="s">
        <v>2948</v>
      </c>
      <c r="E2082" t="s">
        <v>3088</v>
      </c>
      <c r="F2082" s="3">
        <v>46300.680118707227</v>
      </c>
      <c r="G2082" s="3">
        <v>46300.692275986206</v>
      </c>
      <c r="H2082">
        <v>17.510000000000002</v>
      </c>
      <c r="I2082" t="s">
        <v>3146</v>
      </c>
      <c r="J2082" t="s">
        <v>3152</v>
      </c>
      <c r="K2082" t="s">
        <v>3174</v>
      </c>
      <c r="L2082" t="str">
        <f>_xlfn.XLOOKUP(C2082,[1]!Table1[Shift_ID],[1]!Table1[Shift_ID])</f>
        <v>S02</v>
      </c>
      <c r="M2082" t="str">
        <f>_xlfn.XLOOKUP(D2082,[2]!Table1[Machine_ID],[2]!Table1[Machine_ID])</f>
        <v>M007</v>
      </c>
      <c r="N2082" t="str">
        <f>_xlfn.XLOOKUP(E2082,[3]Sheet1!$A$2:$A$391,[3]Sheet1!$A$2:$A$391)</f>
        <v>PO10138</v>
      </c>
    </row>
    <row r="2083" spans="1:14" x14ac:dyDescent="0.2">
      <c r="A2083" t="s">
        <v>2092</v>
      </c>
      <c r="B2083" s="2">
        <v>46300</v>
      </c>
      <c r="C2083" t="s">
        <v>2941</v>
      </c>
      <c r="D2083" t="s">
        <v>2949</v>
      </c>
      <c r="E2083" t="s">
        <v>3088</v>
      </c>
      <c r="F2083" s="3">
        <v>46300.887252706772</v>
      </c>
      <c r="G2083" s="3">
        <v>46300.893832719878</v>
      </c>
      <c r="H2083">
        <v>9.48</v>
      </c>
      <c r="I2083" t="s">
        <v>3148</v>
      </c>
      <c r="J2083" t="s">
        <v>3165</v>
      </c>
      <c r="K2083" t="s">
        <v>3183</v>
      </c>
      <c r="L2083" t="str">
        <f>_xlfn.XLOOKUP(C2083,[1]!Table1[Shift_ID],[1]!Table1[Shift_ID])</f>
        <v>S02</v>
      </c>
      <c r="M2083" t="str">
        <f>_xlfn.XLOOKUP(D2083,[2]!Table1[Machine_ID],[2]!Table1[Machine_ID])</f>
        <v>M008</v>
      </c>
      <c r="N2083" t="str">
        <f>_xlfn.XLOOKUP(E2083,[3]Sheet1!$A$2:$A$391,[3]Sheet1!$A$2:$A$391)</f>
        <v>PO10138</v>
      </c>
    </row>
    <row r="2084" spans="1:14" x14ac:dyDescent="0.2">
      <c r="A2084" t="s">
        <v>2093</v>
      </c>
      <c r="B2084" s="2">
        <v>46301</v>
      </c>
      <c r="C2084" t="s">
        <v>2939</v>
      </c>
      <c r="D2084" t="s">
        <v>2942</v>
      </c>
      <c r="E2084" t="s">
        <v>3089</v>
      </c>
      <c r="F2084" s="3">
        <v>46302.026327390697</v>
      </c>
      <c r="G2084" s="3">
        <v>46302.031690933181</v>
      </c>
      <c r="H2084">
        <v>7.72</v>
      </c>
      <c r="I2084" t="s">
        <v>3149</v>
      </c>
      <c r="J2084" t="s">
        <v>3168</v>
      </c>
      <c r="K2084" t="s">
        <v>3176</v>
      </c>
      <c r="L2084" t="str">
        <f>_xlfn.XLOOKUP(C2084,[1]!Table1[Shift_ID],[1]!Table1[Shift_ID])</f>
        <v>S03</v>
      </c>
      <c r="M2084" t="str">
        <f>_xlfn.XLOOKUP(D2084,[2]!Table1[Machine_ID],[2]!Table1[Machine_ID])</f>
        <v>M001</v>
      </c>
      <c r="N2084" t="str">
        <f>_xlfn.XLOOKUP(E2084,[3]Sheet1!$A$2:$A$391,[3]Sheet1!$A$2:$A$391)</f>
        <v>PO10139</v>
      </c>
    </row>
    <row r="2085" spans="1:14" x14ac:dyDescent="0.2">
      <c r="A2085" t="s">
        <v>2094</v>
      </c>
      <c r="B2085" s="2">
        <v>46301</v>
      </c>
      <c r="C2085" t="s">
        <v>2939</v>
      </c>
      <c r="D2085" t="s">
        <v>2943</v>
      </c>
      <c r="E2085" t="s">
        <v>3089</v>
      </c>
      <c r="F2085" s="3">
        <v>46302.05940371185</v>
      </c>
      <c r="G2085" s="3">
        <v>46302.06666846024</v>
      </c>
      <c r="H2085">
        <v>10.46</v>
      </c>
      <c r="I2085" t="s">
        <v>3149</v>
      </c>
      <c r="J2085" t="s">
        <v>3158</v>
      </c>
      <c r="K2085" t="s">
        <v>3184</v>
      </c>
      <c r="L2085" t="str">
        <f>_xlfn.XLOOKUP(C2085,[1]!Table1[Shift_ID],[1]!Table1[Shift_ID])</f>
        <v>S03</v>
      </c>
      <c r="M2085" t="str">
        <f>_xlfn.XLOOKUP(D2085,[2]!Table1[Machine_ID],[2]!Table1[Machine_ID])</f>
        <v>M002</v>
      </c>
      <c r="N2085" t="str">
        <f>_xlfn.XLOOKUP(E2085,[3]Sheet1!$A$2:$A$391,[3]Sheet1!$A$2:$A$391)</f>
        <v>PO10139</v>
      </c>
    </row>
    <row r="2086" spans="1:14" x14ac:dyDescent="0.2">
      <c r="A2086" t="s">
        <v>2095</v>
      </c>
      <c r="B2086" s="2">
        <v>46301</v>
      </c>
      <c r="C2086" t="s">
        <v>2939</v>
      </c>
      <c r="D2086" t="s">
        <v>2944</v>
      </c>
      <c r="E2086" t="s">
        <v>3089</v>
      </c>
      <c r="F2086" s="3">
        <v>46302.136734673797</v>
      </c>
      <c r="G2086" s="3">
        <v>46302.138931127301</v>
      </c>
      <c r="H2086">
        <v>3.16</v>
      </c>
      <c r="I2086" t="s">
        <v>3151</v>
      </c>
      <c r="J2086" t="s">
        <v>3161</v>
      </c>
      <c r="K2086" t="s">
        <v>3181</v>
      </c>
      <c r="L2086" t="str">
        <f>_xlfn.XLOOKUP(C2086,[1]!Table1[Shift_ID],[1]!Table1[Shift_ID])</f>
        <v>S03</v>
      </c>
      <c r="M2086" t="str">
        <f>_xlfn.XLOOKUP(D2086,[2]!Table1[Machine_ID],[2]!Table1[Machine_ID])</f>
        <v>M003</v>
      </c>
      <c r="N2086" t="str">
        <f>_xlfn.XLOOKUP(E2086,[3]Sheet1!$A$2:$A$391,[3]Sheet1!$A$2:$A$391)</f>
        <v>PO10139</v>
      </c>
    </row>
    <row r="2087" spans="1:14" x14ac:dyDescent="0.2">
      <c r="A2087" t="s">
        <v>2096</v>
      </c>
      <c r="B2087" s="2">
        <v>46301</v>
      </c>
      <c r="C2087" t="s">
        <v>2939</v>
      </c>
      <c r="D2087" t="s">
        <v>2944</v>
      </c>
      <c r="E2087" t="s">
        <v>3089</v>
      </c>
      <c r="F2087" s="3">
        <v>46302.238852048671</v>
      </c>
      <c r="G2087" s="3">
        <v>46302.248951126283</v>
      </c>
      <c r="H2087">
        <v>14.54</v>
      </c>
      <c r="I2087" t="s">
        <v>3146</v>
      </c>
      <c r="J2087" t="s">
        <v>3152</v>
      </c>
      <c r="K2087" t="s">
        <v>3175</v>
      </c>
      <c r="L2087" t="str">
        <f>_xlfn.XLOOKUP(C2087,[1]!Table1[Shift_ID],[1]!Table1[Shift_ID])</f>
        <v>S03</v>
      </c>
      <c r="M2087" t="str">
        <f>_xlfn.XLOOKUP(D2087,[2]!Table1[Machine_ID],[2]!Table1[Machine_ID])</f>
        <v>M003</v>
      </c>
      <c r="N2087" t="str">
        <f>_xlfn.XLOOKUP(E2087,[3]Sheet1!$A$2:$A$391,[3]Sheet1!$A$2:$A$391)</f>
        <v>PO10139</v>
      </c>
    </row>
    <row r="2088" spans="1:14" x14ac:dyDescent="0.2">
      <c r="A2088" t="s">
        <v>2097</v>
      </c>
      <c r="B2088" s="2">
        <v>46301</v>
      </c>
      <c r="C2088" t="s">
        <v>2939</v>
      </c>
      <c r="D2088" t="s">
        <v>2945</v>
      </c>
      <c r="E2088" t="s">
        <v>3089</v>
      </c>
      <c r="F2088" s="3">
        <v>46301.967163214249</v>
      </c>
      <c r="G2088" s="3">
        <v>46301.974893408529</v>
      </c>
      <c r="H2088">
        <v>11.13</v>
      </c>
      <c r="I2088" t="s">
        <v>3147</v>
      </c>
      <c r="J2088" t="s">
        <v>3167</v>
      </c>
      <c r="K2088" t="s">
        <v>3186</v>
      </c>
      <c r="L2088" t="str">
        <f>_xlfn.XLOOKUP(C2088,[1]!Table1[Shift_ID],[1]!Table1[Shift_ID])</f>
        <v>S03</v>
      </c>
      <c r="M2088" t="str">
        <f>_xlfn.XLOOKUP(D2088,[2]!Table1[Machine_ID],[2]!Table1[Machine_ID])</f>
        <v>M004</v>
      </c>
      <c r="N2088" t="str">
        <f>_xlfn.XLOOKUP(E2088,[3]Sheet1!$A$2:$A$391,[3]Sheet1!$A$2:$A$391)</f>
        <v>PO10139</v>
      </c>
    </row>
    <row r="2089" spans="1:14" x14ac:dyDescent="0.2">
      <c r="A2089" t="s">
        <v>2098</v>
      </c>
      <c r="B2089" s="2">
        <v>46301</v>
      </c>
      <c r="C2089" t="s">
        <v>2939</v>
      </c>
      <c r="D2089" t="s">
        <v>2946</v>
      </c>
      <c r="E2089" t="s">
        <v>3089</v>
      </c>
      <c r="F2089" s="3">
        <v>46302.183086059587</v>
      </c>
      <c r="G2089" s="3">
        <v>46302.192079162713</v>
      </c>
      <c r="H2089">
        <v>12.95</v>
      </c>
      <c r="I2089" t="s">
        <v>3149</v>
      </c>
      <c r="J2089" t="s">
        <v>3168</v>
      </c>
      <c r="K2089" t="s">
        <v>3182</v>
      </c>
      <c r="L2089" t="str">
        <f>_xlfn.XLOOKUP(C2089,[1]!Table1[Shift_ID],[1]!Table1[Shift_ID])</f>
        <v>S03</v>
      </c>
      <c r="M2089" t="str">
        <f>_xlfn.XLOOKUP(D2089,[2]!Table1[Machine_ID],[2]!Table1[Machine_ID])</f>
        <v>M005</v>
      </c>
      <c r="N2089" t="str">
        <f>_xlfn.XLOOKUP(E2089,[3]Sheet1!$A$2:$A$391,[3]Sheet1!$A$2:$A$391)</f>
        <v>PO10139</v>
      </c>
    </row>
    <row r="2090" spans="1:14" x14ac:dyDescent="0.2">
      <c r="A2090" t="s">
        <v>2099</v>
      </c>
      <c r="B2090" s="2">
        <v>46301</v>
      </c>
      <c r="C2090" t="s">
        <v>2939</v>
      </c>
      <c r="D2090" t="s">
        <v>2947</v>
      </c>
      <c r="E2090" t="s">
        <v>3089</v>
      </c>
      <c r="F2090" s="3">
        <v>46301.987813905209</v>
      </c>
      <c r="G2090" s="3">
        <v>46301.994323059131</v>
      </c>
      <c r="H2090">
        <v>9.3699999999999992</v>
      </c>
      <c r="I2090" t="s">
        <v>3148</v>
      </c>
      <c r="J2090" t="s">
        <v>3155</v>
      </c>
      <c r="K2090" t="s">
        <v>3173</v>
      </c>
      <c r="L2090" t="str">
        <f>_xlfn.XLOOKUP(C2090,[1]!Table1[Shift_ID],[1]!Table1[Shift_ID])</f>
        <v>S03</v>
      </c>
      <c r="M2090" t="str">
        <f>_xlfn.XLOOKUP(D2090,[2]!Table1[Machine_ID],[2]!Table1[Machine_ID])</f>
        <v>M006</v>
      </c>
      <c r="N2090" t="str">
        <f>_xlfn.XLOOKUP(E2090,[3]Sheet1!$A$2:$A$391,[3]Sheet1!$A$2:$A$391)</f>
        <v>PO10139</v>
      </c>
    </row>
    <row r="2091" spans="1:14" x14ac:dyDescent="0.2">
      <c r="A2091" t="s">
        <v>2100</v>
      </c>
      <c r="B2091" s="2">
        <v>46301</v>
      </c>
      <c r="C2091" t="s">
        <v>2939</v>
      </c>
      <c r="D2091" t="s">
        <v>2947</v>
      </c>
      <c r="E2091" t="s">
        <v>3089</v>
      </c>
      <c r="F2091" s="3">
        <v>46302.20074771397</v>
      </c>
      <c r="G2091" s="3">
        <v>46302.217905886668</v>
      </c>
      <c r="H2091">
        <v>24.71</v>
      </c>
      <c r="I2091" t="s">
        <v>3146</v>
      </c>
      <c r="J2091" t="s">
        <v>3157</v>
      </c>
      <c r="K2091" t="s">
        <v>3175</v>
      </c>
      <c r="L2091" t="str">
        <f>_xlfn.XLOOKUP(C2091,[1]!Table1[Shift_ID],[1]!Table1[Shift_ID])</f>
        <v>S03</v>
      </c>
      <c r="M2091" t="str">
        <f>_xlfn.XLOOKUP(D2091,[2]!Table1[Machine_ID],[2]!Table1[Machine_ID])</f>
        <v>M006</v>
      </c>
      <c r="N2091" t="str">
        <f>_xlfn.XLOOKUP(E2091,[3]Sheet1!$A$2:$A$391,[3]Sheet1!$A$2:$A$391)</f>
        <v>PO10139</v>
      </c>
    </row>
    <row r="2092" spans="1:14" x14ac:dyDescent="0.2">
      <c r="A2092" t="s">
        <v>2101</v>
      </c>
      <c r="B2092" s="2">
        <v>46301</v>
      </c>
      <c r="C2092" t="s">
        <v>2939</v>
      </c>
      <c r="D2092" t="s">
        <v>2948</v>
      </c>
      <c r="E2092" t="s">
        <v>3089</v>
      </c>
      <c r="F2092" s="3">
        <v>46302.208709748891</v>
      </c>
      <c r="G2092" s="3">
        <v>46302.221594937917</v>
      </c>
      <c r="H2092">
        <v>18.55</v>
      </c>
      <c r="I2092" t="s">
        <v>3151</v>
      </c>
      <c r="J2092" t="s">
        <v>3169</v>
      </c>
      <c r="K2092" t="s">
        <v>3181</v>
      </c>
      <c r="L2092" t="str">
        <f>_xlfn.XLOOKUP(C2092,[1]!Table1[Shift_ID],[1]!Table1[Shift_ID])</f>
        <v>S03</v>
      </c>
      <c r="M2092" t="str">
        <f>_xlfn.XLOOKUP(D2092,[2]!Table1[Machine_ID],[2]!Table1[Machine_ID])</f>
        <v>M007</v>
      </c>
      <c r="N2092" t="str">
        <f>_xlfn.XLOOKUP(E2092,[3]Sheet1!$A$2:$A$391,[3]Sheet1!$A$2:$A$391)</f>
        <v>PO10139</v>
      </c>
    </row>
    <row r="2093" spans="1:14" x14ac:dyDescent="0.2">
      <c r="A2093" t="s">
        <v>2102</v>
      </c>
      <c r="B2093" s="2">
        <v>46301</v>
      </c>
      <c r="C2093" t="s">
        <v>2939</v>
      </c>
      <c r="D2093" t="s">
        <v>2949</v>
      </c>
      <c r="E2093" t="s">
        <v>3089</v>
      </c>
      <c r="F2093" s="3">
        <v>46302.137748315647</v>
      </c>
      <c r="G2093" s="3">
        <v>46302.143630480467</v>
      </c>
      <c r="H2093">
        <v>8.4700000000000006</v>
      </c>
      <c r="I2093" t="s">
        <v>3150</v>
      </c>
      <c r="J2093" t="s">
        <v>3160</v>
      </c>
      <c r="K2093" t="s">
        <v>3179</v>
      </c>
      <c r="L2093" t="str">
        <f>_xlfn.XLOOKUP(C2093,[1]!Table1[Shift_ID],[1]!Table1[Shift_ID])</f>
        <v>S03</v>
      </c>
      <c r="M2093" t="str">
        <f>_xlfn.XLOOKUP(D2093,[2]!Table1[Machine_ID],[2]!Table1[Machine_ID])</f>
        <v>M008</v>
      </c>
      <c r="N2093" t="str">
        <f>_xlfn.XLOOKUP(E2093,[3]Sheet1!$A$2:$A$391,[3]Sheet1!$A$2:$A$391)</f>
        <v>PO10139</v>
      </c>
    </row>
    <row r="2094" spans="1:14" x14ac:dyDescent="0.2">
      <c r="A2094" t="s">
        <v>2103</v>
      </c>
      <c r="B2094" s="2">
        <v>46301</v>
      </c>
      <c r="C2094" t="s">
        <v>2940</v>
      </c>
      <c r="D2094" t="s">
        <v>2942</v>
      </c>
      <c r="E2094" t="s">
        <v>3090</v>
      </c>
      <c r="F2094" s="3">
        <v>46301.27204975707</v>
      </c>
      <c r="G2094" s="3">
        <v>46301.274503995941</v>
      </c>
      <c r="H2094">
        <v>3.53</v>
      </c>
      <c r="I2094" t="s">
        <v>3151</v>
      </c>
      <c r="J2094" t="s">
        <v>3161</v>
      </c>
      <c r="K2094" t="s">
        <v>3181</v>
      </c>
      <c r="L2094" t="str">
        <f>_xlfn.XLOOKUP(C2094,[1]!Table1[Shift_ID],[1]!Table1[Shift_ID])</f>
        <v>S01</v>
      </c>
      <c r="M2094" t="str">
        <f>_xlfn.XLOOKUP(D2094,[2]!Table1[Machine_ID],[2]!Table1[Machine_ID])</f>
        <v>M001</v>
      </c>
      <c r="N2094" t="str">
        <f>_xlfn.XLOOKUP(E2094,[3]Sheet1!$A$2:$A$391,[3]Sheet1!$A$2:$A$391)</f>
        <v>PO10140</v>
      </c>
    </row>
    <row r="2095" spans="1:14" x14ac:dyDescent="0.2">
      <c r="A2095" t="s">
        <v>2104</v>
      </c>
      <c r="B2095" s="2">
        <v>46301</v>
      </c>
      <c r="C2095" t="s">
        <v>2940</v>
      </c>
      <c r="D2095" t="s">
        <v>2942</v>
      </c>
      <c r="E2095" t="s">
        <v>3090</v>
      </c>
      <c r="F2095" s="3">
        <v>46301.44051559065</v>
      </c>
      <c r="G2095" s="3">
        <v>46301.443349541827</v>
      </c>
      <c r="H2095">
        <v>4.08</v>
      </c>
      <c r="I2095" t="s">
        <v>3147</v>
      </c>
      <c r="J2095" t="s">
        <v>3154</v>
      </c>
      <c r="K2095" t="s">
        <v>3185</v>
      </c>
      <c r="L2095" t="str">
        <f>_xlfn.XLOOKUP(C2095,[1]!Table1[Shift_ID],[1]!Table1[Shift_ID])</f>
        <v>S01</v>
      </c>
      <c r="M2095" t="str">
        <f>_xlfn.XLOOKUP(D2095,[2]!Table1[Machine_ID],[2]!Table1[Machine_ID])</f>
        <v>M001</v>
      </c>
      <c r="N2095" t="str">
        <f>_xlfn.XLOOKUP(E2095,[3]Sheet1!$A$2:$A$391,[3]Sheet1!$A$2:$A$391)</f>
        <v>PO10140</v>
      </c>
    </row>
    <row r="2096" spans="1:14" x14ac:dyDescent="0.2">
      <c r="A2096" t="s">
        <v>2105</v>
      </c>
      <c r="B2096" s="2">
        <v>46301</v>
      </c>
      <c r="C2096" t="s">
        <v>2940</v>
      </c>
      <c r="D2096" t="s">
        <v>2943</v>
      </c>
      <c r="E2096" t="s">
        <v>3090</v>
      </c>
      <c r="F2096" s="3">
        <v>46301.506630459167</v>
      </c>
      <c r="G2096" s="3">
        <v>46301.512601584007</v>
      </c>
      <c r="H2096">
        <v>8.6</v>
      </c>
      <c r="I2096" t="s">
        <v>3147</v>
      </c>
      <c r="J2096" t="s">
        <v>3154</v>
      </c>
      <c r="K2096" t="s">
        <v>3172</v>
      </c>
      <c r="L2096" t="str">
        <f>_xlfn.XLOOKUP(C2096,[1]!Table1[Shift_ID],[1]!Table1[Shift_ID])</f>
        <v>S01</v>
      </c>
      <c r="M2096" t="str">
        <f>_xlfn.XLOOKUP(D2096,[2]!Table1[Machine_ID],[2]!Table1[Machine_ID])</f>
        <v>M002</v>
      </c>
      <c r="N2096" t="str">
        <f>_xlfn.XLOOKUP(E2096,[3]Sheet1!$A$2:$A$391,[3]Sheet1!$A$2:$A$391)</f>
        <v>PO10140</v>
      </c>
    </row>
    <row r="2097" spans="1:14" x14ac:dyDescent="0.2">
      <c r="A2097" t="s">
        <v>2106</v>
      </c>
      <c r="B2097" s="2">
        <v>46301</v>
      </c>
      <c r="C2097" t="s">
        <v>2940</v>
      </c>
      <c r="D2097" t="s">
        <v>2944</v>
      </c>
      <c r="E2097" t="s">
        <v>3090</v>
      </c>
      <c r="F2097" s="3">
        <v>46301.305455452442</v>
      </c>
      <c r="G2097" s="3">
        <v>46301.309353593562</v>
      </c>
      <c r="H2097">
        <v>5.61</v>
      </c>
      <c r="I2097" t="s">
        <v>3147</v>
      </c>
      <c r="J2097" t="s">
        <v>3167</v>
      </c>
      <c r="K2097" t="s">
        <v>3186</v>
      </c>
      <c r="L2097" t="str">
        <f>_xlfn.XLOOKUP(C2097,[1]!Table1[Shift_ID],[1]!Table1[Shift_ID])</f>
        <v>S01</v>
      </c>
      <c r="M2097" t="str">
        <f>_xlfn.XLOOKUP(D2097,[2]!Table1[Machine_ID],[2]!Table1[Machine_ID])</f>
        <v>M003</v>
      </c>
      <c r="N2097" t="str">
        <f>_xlfn.XLOOKUP(E2097,[3]Sheet1!$A$2:$A$391,[3]Sheet1!$A$2:$A$391)</f>
        <v>PO10140</v>
      </c>
    </row>
    <row r="2098" spans="1:14" x14ac:dyDescent="0.2">
      <c r="A2098" t="s">
        <v>2107</v>
      </c>
      <c r="B2098" s="2">
        <v>46301</v>
      </c>
      <c r="C2098" t="s">
        <v>2940</v>
      </c>
      <c r="D2098" t="s">
        <v>2944</v>
      </c>
      <c r="E2098" t="s">
        <v>3090</v>
      </c>
      <c r="F2098" s="3">
        <v>46301.471670414998</v>
      </c>
      <c r="G2098" s="3">
        <v>46301.477960687131</v>
      </c>
      <c r="H2098">
        <v>9.06</v>
      </c>
      <c r="I2098" t="s">
        <v>3147</v>
      </c>
      <c r="J2098" t="s">
        <v>3154</v>
      </c>
      <c r="K2098" t="s">
        <v>3172</v>
      </c>
      <c r="L2098" t="str">
        <f>_xlfn.XLOOKUP(C2098,[1]!Table1[Shift_ID],[1]!Table1[Shift_ID])</f>
        <v>S01</v>
      </c>
      <c r="M2098" t="str">
        <f>_xlfn.XLOOKUP(D2098,[2]!Table1[Machine_ID],[2]!Table1[Machine_ID])</f>
        <v>M003</v>
      </c>
      <c r="N2098" t="str">
        <f>_xlfn.XLOOKUP(E2098,[3]Sheet1!$A$2:$A$391,[3]Sheet1!$A$2:$A$391)</f>
        <v>PO10140</v>
      </c>
    </row>
    <row r="2099" spans="1:14" x14ac:dyDescent="0.2">
      <c r="A2099" t="s">
        <v>2108</v>
      </c>
      <c r="B2099" s="2">
        <v>46301</v>
      </c>
      <c r="C2099" t="s">
        <v>2940</v>
      </c>
      <c r="D2099" t="s">
        <v>2945</v>
      </c>
      <c r="E2099" t="s">
        <v>3090</v>
      </c>
      <c r="F2099" s="3">
        <v>46301.319278238392</v>
      </c>
      <c r="G2099" s="3">
        <v>46301.327586754553</v>
      </c>
      <c r="H2099">
        <v>11.96</v>
      </c>
      <c r="I2099" t="s">
        <v>3147</v>
      </c>
      <c r="J2099" t="s">
        <v>3154</v>
      </c>
      <c r="K2099" t="s">
        <v>3172</v>
      </c>
      <c r="L2099" t="str">
        <f>_xlfn.XLOOKUP(C2099,[1]!Table1[Shift_ID],[1]!Table1[Shift_ID])</f>
        <v>S01</v>
      </c>
      <c r="M2099" t="str">
        <f>_xlfn.XLOOKUP(D2099,[2]!Table1[Machine_ID],[2]!Table1[Machine_ID])</f>
        <v>M004</v>
      </c>
      <c r="N2099" t="str">
        <f>_xlfn.XLOOKUP(E2099,[3]Sheet1!$A$2:$A$391,[3]Sheet1!$A$2:$A$391)</f>
        <v>PO10140</v>
      </c>
    </row>
    <row r="2100" spans="1:14" x14ac:dyDescent="0.2">
      <c r="A2100" t="s">
        <v>2109</v>
      </c>
      <c r="B2100" s="2">
        <v>46301</v>
      </c>
      <c r="C2100" t="s">
        <v>2940</v>
      </c>
      <c r="D2100" t="s">
        <v>2946</v>
      </c>
      <c r="E2100" t="s">
        <v>3090</v>
      </c>
      <c r="F2100" s="3">
        <v>46301.485309438263</v>
      </c>
      <c r="G2100" s="3">
        <v>46301.493064644281</v>
      </c>
      <c r="H2100">
        <v>11.17</v>
      </c>
      <c r="I2100" t="s">
        <v>3149</v>
      </c>
      <c r="J2100" t="s">
        <v>3158</v>
      </c>
      <c r="K2100" t="s">
        <v>3176</v>
      </c>
      <c r="L2100" t="str">
        <f>_xlfn.XLOOKUP(C2100,[1]!Table1[Shift_ID],[1]!Table1[Shift_ID])</f>
        <v>S01</v>
      </c>
      <c r="M2100" t="str">
        <f>_xlfn.XLOOKUP(D2100,[2]!Table1[Machine_ID],[2]!Table1[Machine_ID])</f>
        <v>M005</v>
      </c>
      <c r="N2100" t="str">
        <f>_xlfn.XLOOKUP(E2100,[3]Sheet1!$A$2:$A$391,[3]Sheet1!$A$2:$A$391)</f>
        <v>PO10140</v>
      </c>
    </row>
    <row r="2101" spans="1:14" x14ac:dyDescent="0.2">
      <c r="A2101" t="s">
        <v>2110</v>
      </c>
      <c r="B2101" s="2">
        <v>46301</v>
      </c>
      <c r="C2101" t="s">
        <v>2940</v>
      </c>
      <c r="D2101" t="s">
        <v>2947</v>
      </c>
      <c r="E2101" t="s">
        <v>3090</v>
      </c>
      <c r="F2101" s="3">
        <v>46301.566048196051</v>
      </c>
      <c r="G2101" s="3">
        <v>46301.583333333343</v>
      </c>
      <c r="H2101">
        <v>24.89</v>
      </c>
      <c r="I2101" t="s">
        <v>3151</v>
      </c>
      <c r="J2101" t="s">
        <v>3169</v>
      </c>
      <c r="K2101" t="s">
        <v>3188</v>
      </c>
      <c r="L2101" t="str">
        <f>_xlfn.XLOOKUP(C2101,[1]!Table1[Shift_ID],[1]!Table1[Shift_ID])</f>
        <v>S01</v>
      </c>
      <c r="M2101" t="str">
        <f>_xlfn.XLOOKUP(D2101,[2]!Table1[Machine_ID],[2]!Table1[Machine_ID])</f>
        <v>M006</v>
      </c>
      <c r="N2101" t="str">
        <f>_xlfn.XLOOKUP(E2101,[3]Sheet1!$A$2:$A$391,[3]Sheet1!$A$2:$A$391)</f>
        <v>PO10140</v>
      </c>
    </row>
    <row r="2102" spans="1:14" x14ac:dyDescent="0.2">
      <c r="A2102" t="s">
        <v>2111</v>
      </c>
      <c r="B2102" s="2">
        <v>46301</v>
      </c>
      <c r="C2102" t="s">
        <v>2940</v>
      </c>
      <c r="D2102" t="s">
        <v>2948</v>
      </c>
      <c r="E2102" t="s">
        <v>3090</v>
      </c>
      <c r="F2102" s="3">
        <v>46301.294504241239</v>
      </c>
      <c r="G2102" s="3">
        <v>46301.310278371013</v>
      </c>
      <c r="H2102">
        <v>22.71</v>
      </c>
      <c r="I2102" t="s">
        <v>3148</v>
      </c>
      <c r="J2102" t="s">
        <v>3164</v>
      </c>
      <c r="K2102" t="s">
        <v>3183</v>
      </c>
      <c r="L2102" t="str">
        <f>_xlfn.XLOOKUP(C2102,[1]!Table1[Shift_ID],[1]!Table1[Shift_ID])</f>
        <v>S01</v>
      </c>
      <c r="M2102" t="str">
        <f>_xlfn.XLOOKUP(D2102,[2]!Table1[Machine_ID],[2]!Table1[Machine_ID])</f>
        <v>M007</v>
      </c>
      <c r="N2102" t="str">
        <f>_xlfn.XLOOKUP(E2102,[3]Sheet1!$A$2:$A$391,[3]Sheet1!$A$2:$A$391)</f>
        <v>PO10140</v>
      </c>
    </row>
    <row r="2103" spans="1:14" x14ac:dyDescent="0.2">
      <c r="A2103" t="s">
        <v>2112</v>
      </c>
      <c r="B2103" s="2">
        <v>46301</v>
      </c>
      <c r="C2103" t="s">
        <v>2940</v>
      </c>
      <c r="D2103" t="s">
        <v>2949</v>
      </c>
      <c r="E2103" t="s">
        <v>3090</v>
      </c>
      <c r="F2103" s="3">
        <v>46301.511791729492</v>
      </c>
      <c r="G2103" s="3">
        <v>46301.515788979988</v>
      </c>
      <c r="H2103">
        <v>5.76</v>
      </c>
      <c r="I2103" t="s">
        <v>3149</v>
      </c>
      <c r="J2103" t="s">
        <v>3158</v>
      </c>
      <c r="K2103" t="s">
        <v>3184</v>
      </c>
      <c r="L2103" t="str">
        <f>_xlfn.XLOOKUP(C2103,[1]!Table1[Shift_ID],[1]!Table1[Shift_ID])</f>
        <v>S01</v>
      </c>
      <c r="M2103" t="str">
        <f>_xlfn.XLOOKUP(D2103,[2]!Table1[Machine_ID],[2]!Table1[Machine_ID])</f>
        <v>M008</v>
      </c>
      <c r="N2103" t="str">
        <f>_xlfn.XLOOKUP(E2103,[3]Sheet1!$A$2:$A$391,[3]Sheet1!$A$2:$A$391)</f>
        <v>PO10140</v>
      </c>
    </row>
    <row r="2104" spans="1:14" x14ac:dyDescent="0.2">
      <c r="A2104" t="s">
        <v>2113</v>
      </c>
      <c r="B2104" s="2">
        <v>46301</v>
      </c>
      <c r="C2104" t="s">
        <v>2941</v>
      </c>
      <c r="D2104" t="s">
        <v>2942</v>
      </c>
      <c r="E2104" t="s">
        <v>3091</v>
      </c>
      <c r="F2104" s="3">
        <v>46301.770988548262</v>
      </c>
      <c r="G2104" s="3">
        <v>46301.776800933207</v>
      </c>
      <c r="H2104">
        <v>8.3699999999999992</v>
      </c>
      <c r="I2104" t="s">
        <v>3146</v>
      </c>
      <c r="J2104" t="s">
        <v>3156</v>
      </c>
      <c r="K2104" t="s">
        <v>3171</v>
      </c>
      <c r="L2104" t="str">
        <f>_xlfn.XLOOKUP(C2104,[1]!Table1[Shift_ID],[1]!Table1[Shift_ID])</f>
        <v>S02</v>
      </c>
      <c r="M2104" t="str">
        <f>_xlfn.XLOOKUP(D2104,[2]!Table1[Machine_ID],[2]!Table1[Machine_ID])</f>
        <v>M001</v>
      </c>
      <c r="N2104" t="str">
        <f>_xlfn.XLOOKUP(E2104,[3]Sheet1!$A$2:$A$391,[3]Sheet1!$A$2:$A$391)</f>
        <v>PO10141</v>
      </c>
    </row>
    <row r="2105" spans="1:14" x14ac:dyDescent="0.2">
      <c r="A2105" t="s">
        <v>2114</v>
      </c>
      <c r="B2105" s="2">
        <v>46301</v>
      </c>
      <c r="C2105" t="s">
        <v>2941</v>
      </c>
      <c r="D2105" t="s">
        <v>2943</v>
      </c>
      <c r="E2105" t="s">
        <v>3091</v>
      </c>
      <c r="F2105" s="3">
        <v>46301.603898408197</v>
      </c>
      <c r="G2105" s="3">
        <v>46301.611533476629</v>
      </c>
      <c r="H2105">
        <v>10.99</v>
      </c>
      <c r="I2105" t="s">
        <v>3147</v>
      </c>
      <c r="J2105" t="s">
        <v>3153</v>
      </c>
      <c r="K2105" t="s">
        <v>3185</v>
      </c>
      <c r="L2105" t="str">
        <f>_xlfn.XLOOKUP(C2105,[1]!Table1[Shift_ID],[1]!Table1[Shift_ID])</f>
        <v>S02</v>
      </c>
      <c r="M2105" t="str">
        <f>_xlfn.XLOOKUP(D2105,[2]!Table1[Machine_ID],[2]!Table1[Machine_ID])</f>
        <v>M002</v>
      </c>
      <c r="N2105" t="str">
        <f>_xlfn.XLOOKUP(E2105,[3]Sheet1!$A$2:$A$391,[3]Sheet1!$A$2:$A$391)</f>
        <v>PO10141</v>
      </c>
    </row>
    <row r="2106" spans="1:14" x14ac:dyDescent="0.2">
      <c r="A2106" t="s">
        <v>2115</v>
      </c>
      <c r="B2106" s="2">
        <v>46301</v>
      </c>
      <c r="C2106" t="s">
        <v>2941</v>
      </c>
      <c r="D2106" t="s">
        <v>2944</v>
      </c>
      <c r="E2106" t="s">
        <v>3091</v>
      </c>
      <c r="F2106" s="3">
        <v>46301.814922346894</v>
      </c>
      <c r="G2106" s="3">
        <v>46301.824172110093</v>
      </c>
      <c r="H2106">
        <v>13.32</v>
      </c>
      <c r="I2106" t="s">
        <v>3151</v>
      </c>
      <c r="J2106" t="s">
        <v>3169</v>
      </c>
      <c r="K2106" t="s">
        <v>3181</v>
      </c>
      <c r="L2106" t="str">
        <f>_xlfn.XLOOKUP(C2106,[1]!Table1[Shift_ID],[1]!Table1[Shift_ID])</f>
        <v>S02</v>
      </c>
      <c r="M2106" t="str">
        <f>_xlfn.XLOOKUP(D2106,[2]!Table1[Machine_ID],[2]!Table1[Machine_ID])</f>
        <v>M003</v>
      </c>
      <c r="N2106" t="str">
        <f>_xlfn.XLOOKUP(E2106,[3]Sheet1!$A$2:$A$391,[3]Sheet1!$A$2:$A$391)</f>
        <v>PO10141</v>
      </c>
    </row>
    <row r="2107" spans="1:14" x14ac:dyDescent="0.2">
      <c r="A2107" t="s">
        <v>2116</v>
      </c>
      <c r="B2107" s="2">
        <v>46301</v>
      </c>
      <c r="C2107" t="s">
        <v>2941</v>
      </c>
      <c r="D2107" t="s">
        <v>2945</v>
      </c>
      <c r="E2107" t="s">
        <v>3091</v>
      </c>
      <c r="F2107" s="3">
        <v>46301.686457253993</v>
      </c>
      <c r="G2107" s="3">
        <v>46301.690235939852</v>
      </c>
      <c r="H2107">
        <v>5.44</v>
      </c>
      <c r="I2107" t="s">
        <v>3147</v>
      </c>
      <c r="J2107" t="s">
        <v>3153</v>
      </c>
      <c r="K2107" t="s">
        <v>3185</v>
      </c>
      <c r="L2107" t="str">
        <f>_xlfn.XLOOKUP(C2107,[1]!Table1[Shift_ID],[1]!Table1[Shift_ID])</f>
        <v>S02</v>
      </c>
      <c r="M2107" t="str">
        <f>_xlfn.XLOOKUP(D2107,[2]!Table1[Machine_ID],[2]!Table1[Machine_ID])</f>
        <v>M004</v>
      </c>
      <c r="N2107" t="str">
        <f>_xlfn.XLOOKUP(E2107,[3]Sheet1!$A$2:$A$391,[3]Sheet1!$A$2:$A$391)</f>
        <v>PO10141</v>
      </c>
    </row>
    <row r="2108" spans="1:14" x14ac:dyDescent="0.2">
      <c r="A2108" t="s">
        <v>2117</v>
      </c>
      <c r="B2108" s="2">
        <v>46301</v>
      </c>
      <c r="C2108" t="s">
        <v>2941</v>
      </c>
      <c r="D2108" t="s">
        <v>2945</v>
      </c>
      <c r="E2108" t="s">
        <v>3091</v>
      </c>
      <c r="F2108" s="3">
        <v>46301.813476073577</v>
      </c>
      <c r="G2108" s="3">
        <v>46301.819450834228</v>
      </c>
      <c r="H2108">
        <v>8.6</v>
      </c>
      <c r="I2108" t="s">
        <v>3150</v>
      </c>
      <c r="J2108" t="s">
        <v>3163</v>
      </c>
      <c r="K2108" t="s">
        <v>3179</v>
      </c>
      <c r="L2108" t="str">
        <f>_xlfn.XLOOKUP(C2108,[1]!Table1[Shift_ID],[1]!Table1[Shift_ID])</f>
        <v>S02</v>
      </c>
      <c r="M2108" t="str">
        <f>_xlfn.XLOOKUP(D2108,[2]!Table1[Machine_ID],[2]!Table1[Machine_ID])</f>
        <v>M004</v>
      </c>
      <c r="N2108" t="str">
        <f>_xlfn.XLOOKUP(E2108,[3]Sheet1!$A$2:$A$391,[3]Sheet1!$A$2:$A$391)</f>
        <v>PO10141</v>
      </c>
    </row>
    <row r="2109" spans="1:14" x14ac:dyDescent="0.2">
      <c r="A2109" t="s">
        <v>2118</v>
      </c>
      <c r="B2109" s="2">
        <v>46301</v>
      </c>
      <c r="C2109" t="s">
        <v>2941</v>
      </c>
      <c r="D2109" t="s">
        <v>2946</v>
      </c>
      <c r="E2109" t="s">
        <v>3091</v>
      </c>
      <c r="F2109" s="3">
        <v>46301.873211641599</v>
      </c>
      <c r="G2109" s="3">
        <v>46301.883126964771</v>
      </c>
      <c r="H2109">
        <v>14.28</v>
      </c>
      <c r="I2109" t="s">
        <v>3149</v>
      </c>
      <c r="J2109" t="s">
        <v>3162</v>
      </c>
      <c r="K2109" t="s">
        <v>3182</v>
      </c>
      <c r="L2109" t="str">
        <f>_xlfn.XLOOKUP(C2109,[1]!Table1[Shift_ID],[1]!Table1[Shift_ID])</f>
        <v>S02</v>
      </c>
      <c r="M2109" t="str">
        <f>_xlfn.XLOOKUP(D2109,[2]!Table1[Machine_ID],[2]!Table1[Machine_ID])</f>
        <v>M005</v>
      </c>
      <c r="N2109" t="str">
        <f>_xlfn.XLOOKUP(E2109,[3]Sheet1!$A$2:$A$391,[3]Sheet1!$A$2:$A$391)</f>
        <v>PO10141</v>
      </c>
    </row>
    <row r="2110" spans="1:14" x14ac:dyDescent="0.2">
      <c r="A2110" t="s">
        <v>2119</v>
      </c>
      <c r="B2110" s="2">
        <v>46301</v>
      </c>
      <c r="C2110" t="s">
        <v>2941</v>
      </c>
      <c r="D2110" t="s">
        <v>2947</v>
      </c>
      <c r="E2110" t="s">
        <v>3091</v>
      </c>
      <c r="F2110" s="3">
        <v>46301.852761532209</v>
      </c>
      <c r="G2110" s="3">
        <v>46301.885998871738</v>
      </c>
      <c r="H2110">
        <v>47.86</v>
      </c>
      <c r="I2110" t="s">
        <v>3149</v>
      </c>
      <c r="J2110" t="s">
        <v>3158</v>
      </c>
      <c r="K2110" t="s">
        <v>3176</v>
      </c>
      <c r="L2110" t="str">
        <f>_xlfn.XLOOKUP(C2110,[1]!Table1[Shift_ID],[1]!Table1[Shift_ID])</f>
        <v>S02</v>
      </c>
      <c r="M2110" t="str">
        <f>_xlfn.XLOOKUP(D2110,[2]!Table1[Machine_ID],[2]!Table1[Machine_ID])</f>
        <v>M006</v>
      </c>
      <c r="N2110" t="str">
        <f>_xlfn.XLOOKUP(E2110,[3]Sheet1!$A$2:$A$391,[3]Sheet1!$A$2:$A$391)</f>
        <v>PO10141</v>
      </c>
    </row>
    <row r="2111" spans="1:14" x14ac:dyDescent="0.2">
      <c r="A2111" t="s">
        <v>2120</v>
      </c>
      <c r="B2111" s="2">
        <v>46301</v>
      </c>
      <c r="C2111" t="s">
        <v>2941</v>
      </c>
      <c r="D2111" t="s">
        <v>2948</v>
      </c>
      <c r="E2111" t="s">
        <v>3091</v>
      </c>
      <c r="F2111" s="3">
        <v>46301.590314278867</v>
      </c>
      <c r="G2111" s="3">
        <v>46301.596193450059</v>
      </c>
      <c r="H2111">
        <v>8.4700000000000006</v>
      </c>
      <c r="I2111" t="s">
        <v>3147</v>
      </c>
      <c r="J2111" t="s">
        <v>3167</v>
      </c>
      <c r="K2111" t="s">
        <v>3186</v>
      </c>
      <c r="L2111" t="str">
        <f>_xlfn.XLOOKUP(C2111,[1]!Table1[Shift_ID],[1]!Table1[Shift_ID])</f>
        <v>S02</v>
      </c>
      <c r="M2111" t="str">
        <f>_xlfn.XLOOKUP(D2111,[2]!Table1[Machine_ID],[2]!Table1[Machine_ID])</f>
        <v>M007</v>
      </c>
      <c r="N2111" t="str">
        <f>_xlfn.XLOOKUP(E2111,[3]Sheet1!$A$2:$A$391,[3]Sheet1!$A$2:$A$391)</f>
        <v>PO10141</v>
      </c>
    </row>
    <row r="2112" spans="1:14" x14ac:dyDescent="0.2">
      <c r="A2112" t="s">
        <v>2121</v>
      </c>
      <c r="B2112" s="2">
        <v>46301</v>
      </c>
      <c r="C2112" t="s">
        <v>2941</v>
      </c>
      <c r="D2112" t="s">
        <v>2948</v>
      </c>
      <c r="E2112" t="s">
        <v>3091</v>
      </c>
      <c r="F2112" s="3">
        <v>46301.751528168643</v>
      </c>
      <c r="G2112" s="3">
        <v>46301.759266279849</v>
      </c>
      <c r="H2112">
        <v>11.14</v>
      </c>
      <c r="I2112" t="s">
        <v>3147</v>
      </c>
      <c r="J2112" t="s">
        <v>3154</v>
      </c>
      <c r="K2112" t="s">
        <v>3172</v>
      </c>
      <c r="L2112" t="str">
        <f>_xlfn.XLOOKUP(C2112,[1]!Table1[Shift_ID],[1]!Table1[Shift_ID])</f>
        <v>S02</v>
      </c>
      <c r="M2112" t="str">
        <f>_xlfn.XLOOKUP(D2112,[2]!Table1[Machine_ID],[2]!Table1[Machine_ID])</f>
        <v>M007</v>
      </c>
      <c r="N2112" t="str">
        <f>_xlfn.XLOOKUP(E2112,[3]Sheet1!$A$2:$A$391,[3]Sheet1!$A$2:$A$391)</f>
        <v>PO10141</v>
      </c>
    </row>
    <row r="2113" spans="1:14" x14ac:dyDescent="0.2">
      <c r="A2113" t="s">
        <v>2122</v>
      </c>
      <c r="B2113" s="2">
        <v>46301</v>
      </c>
      <c r="C2113" t="s">
        <v>2941</v>
      </c>
      <c r="D2113" t="s">
        <v>2949</v>
      </c>
      <c r="E2113" t="s">
        <v>3091</v>
      </c>
      <c r="F2113" s="3">
        <v>46301.753479553532</v>
      </c>
      <c r="G2113" s="3">
        <v>46301.760091679003</v>
      </c>
      <c r="H2113">
        <v>9.52</v>
      </c>
      <c r="I2113" t="s">
        <v>3147</v>
      </c>
      <c r="J2113" t="s">
        <v>3154</v>
      </c>
      <c r="K2113" t="s">
        <v>3185</v>
      </c>
      <c r="L2113" t="str">
        <f>_xlfn.XLOOKUP(C2113,[1]!Table1[Shift_ID],[1]!Table1[Shift_ID])</f>
        <v>S02</v>
      </c>
      <c r="M2113" t="str">
        <f>_xlfn.XLOOKUP(D2113,[2]!Table1[Machine_ID],[2]!Table1[Machine_ID])</f>
        <v>M008</v>
      </c>
      <c r="N2113" t="str">
        <f>_xlfn.XLOOKUP(E2113,[3]Sheet1!$A$2:$A$391,[3]Sheet1!$A$2:$A$391)</f>
        <v>PO10141</v>
      </c>
    </row>
    <row r="2114" spans="1:14" x14ac:dyDescent="0.2">
      <c r="A2114" t="s">
        <v>2123</v>
      </c>
      <c r="B2114" s="2">
        <v>46302</v>
      </c>
      <c r="C2114" t="s">
        <v>2939</v>
      </c>
      <c r="D2114" t="s">
        <v>2942</v>
      </c>
      <c r="E2114" t="s">
        <v>3092</v>
      </c>
      <c r="F2114" s="3">
        <v>46303.055136732932</v>
      </c>
      <c r="G2114" s="3">
        <v>46303.056952147279</v>
      </c>
      <c r="H2114">
        <v>2.61</v>
      </c>
      <c r="I2114" t="s">
        <v>3146</v>
      </c>
      <c r="J2114" t="s">
        <v>3152</v>
      </c>
      <c r="K2114" t="s">
        <v>3171</v>
      </c>
      <c r="L2114" t="str">
        <f>_xlfn.XLOOKUP(C2114,[1]!Table1[Shift_ID],[1]!Table1[Shift_ID])</f>
        <v>S03</v>
      </c>
      <c r="M2114" t="str">
        <f>_xlfn.XLOOKUP(D2114,[2]!Table1[Machine_ID],[2]!Table1[Machine_ID])</f>
        <v>M001</v>
      </c>
      <c r="N2114" t="str">
        <f>_xlfn.XLOOKUP(E2114,[3]Sheet1!$A$2:$A$391,[3]Sheet1!$A$2:$A$391)</f>
        <v>PO10142</v>
      </c>
    </row>
    <row r="2115" spans="1:14" x14ac:dyDescent="0.2">
      <c r="A2115" t="s">
        <v>2124</v>
      </c>
      <c r="B2115" s="2">
        <v>46302</v>
      </c>
      <c r="C2115" t="s">
        <v>2939</v>
      </c>
      <c r="D2115" t="s">
        <v>2942</v>
      </c>
      <c r="E2115" t="s">
        <v>3092</v>
      </c>
      <c r="F2115" s="3">
        <v>46303.124150234929</v>
      </c>
      <c r="G2115" s="3">
        <v>46303.126519967431</v>
      </c>
      <c r="H2115">
        <v>3.41</v>
      </c>
      <c r="I2115" t="s">
        <v>3149</v>
      </c>
      <c r="J2115" t="s">
        <v>3162</v>
      </c>
      <c r="K2115" t="s">
        <v>3176</v>
      </c>
      <c r="L2115" t="str">
        <f>_xlfn.XLOOKUP(C2115,[1]!Table1[Shift_ID],[1]!Table1[Shift_ID])</f>
        <v>S03</v>
      </c>
      <c r="M2115" t="str">
        <f>_xlfn.XLOOKUP(D2115,[2]!Table1[Machine_ID],[2]!Table1[Machine_ID])</f>
        <v>M001</v>
      </c>
      <c r="N2115" t="str">
        <f>_xlfn.XLOOKUP(E2115,[3]Sheet1!$A$2:$A$391,[3]Sheet1!$A$2:$A$391)</f>
        <v>PO10142</v>
      </c>
    </row>
    <row r="2116" spans="1:14" x14ac:dyDescent="0.2">
      <c r="A2116" t="s">
        <v>2125</v>
      </c>
      <c r="B2116" s="2">
        <v>46302</v>
      </c>
      <c r="C2116" t="s">
        <v>2939</v>
      </c>
      <c r="D2116" t="s">
        <v>2942</v>
      </c>
      <c r="E2116" t="s">
        <v>3092</v>
      </c>
      <c r="F2116" s="3">
        <v>46303.132573719951</v>
      </c>
      <c r="G2116" s="3">
        <v>46303.133966791807</v>
      </c>
      <c r="H2116">
        <v>2.0099999999999998</v>
      </c>
      <c r="I2116" t="s">
        <v>3149</v>
      </c>
      <c r="J2116" t="s">
        <v>3158</v>
      </c>
      <c r="K2116" t="s">
        <v>3176</v>
      </c>
      <c r="L2116" t="str">
        <f>_xlfn.XLOOKUP(C2116,[1]!Table1[Shift_ID],[1]!Table1[Shift_ID])</f>
        <v>S03</v>
      </c>
      <c r="M2116" t="str">
        <f>_xlfn.XLOOKUP(D2116,[2]!Table1[Machine_ID],[2]!Table1[Machine_ID])</f>
        <v>M001</v>
      </c>
      <c r="N2116" t="str">
        <f>_xlfn.XLOOKUP(E2116,[3]Sheet1!$A$2:$A$391,[3]Sheet1!$A$2:$A$391)</f>
        <v>PO10142</v>
      </c>
    </row>
    <row r="2117" spans="1:14" x14ac:dyDescent="0.2">
      <c r="A2117" t="s">
        <v>2126</v>
      </c>
      <c r="B2117" s="2">
        <v>46302</v>
      </c>
      <c r="C2117" t="s">
        <v>2939</v>
      </c>
      <c r="D2117" t="s">
        <v>2942</v>
      </c>
      <c r="E2117" t="s">
        <v>3092</v>
      </c>
      <c r="F2117" s="3">
        <v>46303.155302086387</v>
      </c>
      <c r="G2117" s="3">
        <v>46303.156695158243</v>
      </c>
      <c r="H2117">
        <v>2.0099999999999998</v>
      </c>
      <c r="I2117" t="s">
        <v>3147</v>
      </c>
      <c r="J2117" t="s">
        <v>3154</v>
      </c>
      <c r="K2117" t="s">
        <v>3185</v>
      </c>
      <c r="L2117" t="str">
        <f>_xlfn.XLOOKUP(C2117,[1]!Table1[Shift_ID],[1]!Table1[Shift_ID])</f>
        <v>S03</v>
      </c>
      <c r="M2117" t="str">
        <f>_xlfn.XLOOKUP(D2117,[2]!Table1[Machine_ID],[2]!Table1[Machine_ID])</f>
        <v>M001</v>
      </c>
      <c r="N2117" t="str">
        <f>_xlfn.XLOOKUP(E2117,[3]Sheet1!$A$2:$A$391,[3]Sheet1!$A$2:$A$391)</f>
        <v>PO10142</v>
      </c>
    </row>
    <row r="2118" spans="1:14" x14ac:dyDescent="0.2">
      <c r="A2118" t="s">
        <v>2127</v>
      </c>
      <c r="B2118" s="2">
        <v>46302</v>
      </c>
      <c r="C2118" t="s">
        <v>2939</v>
      </c>
      <c r="D2118" t="s">
        <v>2943</v>
      </c>
      <c r="E2118" t="s">
        <v>3092</v>
      </c>
      <c r="F2118" s="3">
        <v>46303.0909837941</v>
      </c>
      <c r="G2118" s="3">
        <v>46303.10115079704</v>
      </c>
      <c r="H2118">
        <v>14.64</v>
      </c>
      <c r="I2118" t="s">
        <v>3148</v>
      </c>
      <c r="J2118" t="s">
        <v>3164</v>
      </c>
      <c r="K2118" t="s">
        <v>3173</v>
      </c>
      <c r="L2118" t="str">
        <f>_xlfn.XLOOKUP(C2118,[1]!Table1[Shift_ID],[1]!Table1[Shift_ID])</f>
        <v>S03</v>
      </c>
      <c r="M2118" t="str">
        <f>_xlfn.XLOOKUP(D2118,[2]!Table1[Machine_ID],[2]!Table1[Machine_ID])</f>
        <v>M002</v>
      </c>
      <c r="N2118" t="str">
        <f>_xlfn.XLOOKUP(E2118,[3]Sheet1!$A$2:$A$391,[3]Sheet1!$A$2:$A$391)</f>
        <v>PO10142</v>
      </c>
    </row>
    <row r="2119" spans="1:14" x14ac:dyDescent="0.2">
      <c r="A2119" t="s">
        <v>2128</v>
      </c>
      <c r="B2119" s="2">
        <v>46302</v>
      </c>
      <c r="C2119" t="s">
        <v>2939</v>
      </c>
      <c r="D2119" t="s">
        <v>2944</v>
      </c>
      <c r="E2119" t="s">
        <v>3092</v>
      </c>
      <c r="F2119" s="3">
        <v>46303.083819316656</v>
      </c>
      <c r="G2119" s="3">
        <v>46303.095341349828</v>
      </c>
      <c r="H2119">
        <v>16.59</v>
      </c>
      <c r="I2119" t="s">
        <v>3147</v>
      </c>
      <c r="J2119" t="s">
        <v>3154</v>
      </c>
      <c r="K2119" t="s">
        <v>3186</v>
      </c>
      <c r="L2119" t="str">
        <f>_xlfn.XLOOKUP(C2119,[1]!Table1[Shift_ID],[1]!Table1[Shift_ID])</f>
        <v>S03</v>
      </c>
      <c r="M2119" t="str">
        <f>_xlfn.XLOOKUP(D2119,[2]!Table1[Machine_ID],[2]!Table1[Machine_ID])</f>
        <v>M003</v>
      </c>
      <c r="N2119" t="str">
        <f>_xlfn.XLOOKUP(E2119,[3]Sheet1!$A$2:$A$391,[3]Sheet1!$A$2:$A$391)</f>
        <v>PO10142</v>
      </c>
    </row>
    <row r="2120" spans="1:14" x14ac:dyDescent="0.2">
      <c r="A2120" t="s">
        <v>2129</v>
      </c>
      <c r="B2120" s="2">
        <v>46302</v>
      </c>
      <c r="C2120" t="s">
        <v>2939</v>
      </c>
      <c r="D2120" t="s">
        <v>2945</v>
      </c>
      <c r="E2120" t="s">
        <v>3092</v>
      </c>
      <c r="F2120" s="3">
        <v>46302.974540503477</v>
      </c>
      <c r="G2120" s="3">
        <v>46302.982112637947</v>
      </c>
      <c r="H2120">
        <v>10.9</v>
      </c>
      <c r="I2120" t="s">
        <v>3147</v>
      </c>
      <c r="J2120" t="s">
        <v>3167</v>
      </c>
      <c r="K2120" t="s">
        <v>3172</v>
      </c>
      <c r="L2120" t="str">
        <f>_xlfn.XLOOKUP(C2120,[1]!Table1[Shift_ID],[1]!Table1[Shift_ID])</f>
        <v>S03</v>
      </c>
      <c r="M2120" t="str">
        <f>_xlfn.XLOOKUP(D2120,[2]!Table1[Machine_ID],[2]!Table1[Machine_ID])</f>
        <v>M004</v>
      </c>
      <c r="N2120" t="str">
        <f>_xlfn.XLOOKUP(E2120,[3]Sheet1!$A$2:$A$391,[3]Sheet1!$A$2:$A$391)</f>
        <v>PO10142</v>
      </c>
    </row>
    <row r="2121" spans="1:14" x14ac:dyDescent="0.2">
      <c r="A2121" t="s">
        <v>2130</v>
      </c>
      <c r="B2121" s="2">
        <v>46302</v>
      </c>
      <c r="C2121" t="s">
        <v>2939</v>
      </c>
      <c r="D2121" t="s">
        <v>2946</v>
      </c>
      <c r="E2121" t="s">
        <v>3092</v>
      </c>
      <c r="F2121" s="3">
        <v>46303.177865498139</v>
      </c>
      <c r="G2121" s="3">
        <v>46303.189334169088</v>
      </c>
      <c r="H2121">
        <v>16.510000000000002</v>
      </c>
      <c r="I2121" t="s">
        <v>3147</v>
      </c>
      <c r="J2121" t="s">
        <v>3167</v>
      </c>
      <c r="K2121" t="s">
        <v>3186</v>
      </c>
      <c r="L2121" t="str">
        <f>_xlfn.XLOOKUP(C2121,[1]!Table1[Shift_ID],[1]!Table1[Shift_ID])</f>
        <v>S03</v>
      </c>
      <c r="M2121" t="str">
        <f>_xlfn.XLOOKUP(D2121,[2]!Table1[Machine_ID],[2]!Table1[Machine_ID])</f>
        <v>M005</v>
      </c>
      <c r="N2121" t="str">
        <f>_xlfn.XLOOKUP(E2121,[3]Sheet1!$A$2:$A$391,[3]Sheet1!$A$2:$A$391)</f>
        <v>PO10142</v>
      </c>
    </row>
    <row r="2122" spans="1:14" x14ac:dyDescent="0.2">
      <c r="A2122" t="s">
        <v>2131</v>
      </c>
      <c r="B2122" s="2">
        <v>46302</v>
      </c>
      <c r="C2122" t="s">
        <v>2939</v>
      </c>
      <c r="D2122" t="s">
        <v>2947</v>
      </c>
      <c r="E2122" t="s">
        <v>3092</v>
      </c>
      <c r="F2122" s="3">
        <v>46303.135619976791</v>
      </c>
      <c r="G2122" s="3">
        <v>46303.137565213707</v>
      </c>
      <c r="H2122">
        <v>2.8</v>
      </c>
      <c r="I2122" t="s">
        <v>3150</v>
      </c>
      <c r="J2122" t="s">
        <v>3163</v>
      </c>
      <c r="K2122" t="s">
        <v>3178</v>
      </c>
      <c r="L2122" t="str">
        <f>_xlfn.XLOOKUP(C2122,[1]!Table1[Shift_ID],[1]!Table1[Shift_ID])</f>
        <v>S03</v>
      </c>
      <c r="M2122" t="str">
        <f>_xlfn.XLOOKUP(D2122,[2]!Table1[Machine_ID],[2]!Table1[Machine_ID])</f>
        <v>M006</v>
      </c>
      <c r="N2122" t="str">
        <f>_xlfn.XLOOKUP(E2122,[3]Sheet1!$A$2:$A$391,[3]Sheet1!$A$2:$A$391)</f>
        <v>PO10142</v>
      </c>
    </row>
    <row r="2123" spans="1:14" x14ac:dyDescent="0.2">
      <c r="A2123" t="s">
        <v>2132</v>
      </c>
      <c r="B2123" s="2">
        <v>46302</v>
      </c>
      <c r="C2123" t="s">
        <v>2939</v>
      </c>
      <c r="D2123" t="s">
        <v>2947</v>
      </c>
      <c r="E2123" t="s">
        <v>3092</v>
      </c>
      <c r="F2123" s="3">
        <v>46303.191591154893</v>
      </c>
      <c r="G2123" s="3">
        <v>46303.21354175132</v>
      </c>
      <c r="H2123">
        <v>31.61</v>
      </c>
      <c r="I2123" t="s">
        <v>3149</v>
      </c>
      <c r="J2123" t="s">
        <v>3168</v>
      </c>
      <c r="K2123" t="s">
        <v>3176</v>
      </c>
      <c r="L2123" t="str">
        <f>_xlfn.XLOOKUP(C2123,[1]!Table1[Shift_ID],[1]!Table1[Shift_ID])</f>
        <v>S03</v>
      </c>
      <c r="M2123" t="str">
        <f>_xlfn.XLOOKUP(D2123,[2]!Table1[Machine_ID],[2]!Table1[Machine_ID])</f>
        <v>M006</v>
      </c>
      <c r="N2123" t="str">
        <f>_xlfn.XLOOKUP(E2123,[3]Sheet1!$A$2:$A$391,[3]Sheet1!$A$2:$A$391)</f>
        <v>PO10142</v>
      </c>
    </row>
    <row r="2124" spans="1:14" x14ac:dyDescent="0.2">
      <c r="A2124" t="s">
        <v>2133</v>
      </c>
      <c r="B2124" s="2">
        <v>46302</v>
      </c>
      <c r="C2124" t="s">
        <v>2939</v>
      </c>
      <c r="D2124" t="s">
        <v>2948</v>
      </c>
      <c r="E2124" t="s">
        <v>3092</v>
      </c>
      <c r="F2124" s="3">
        <v>46303.014948419433</v>
      </c>
      <c r="G2124" s="3">
        <v>46303.03417331956</v>
      </c>
      <c r="H2124">
        <v>27.68</v>
      </c>
      <c r="I2124" t="s">
        <v>3148</v>
      </c>
      <c r="J2124" t="s">
        <v>3165</v>
      </c>
      <c r="K2124" t="s">
        <v>3180</v>
      </c>
      <c r="L2124" t="str">
        <f>_xlfn.XLOOKUP(C2124,[1]!Table1[Shift_ID],[1]!Table1[Shift_ID])</f>
        <v>S03</v>
      </c>
      <c r="M2124" t="str">
        <f>_xlfn.XLOOKUP(D2124,[2]!Table1[Machine_ID],[2]!Table1[Machine_ID])</f>
        <v>M007</v>
      </c>
      <c r="N2124" t="str">
        <f>_xlfn.XLOOKUP(E2124,[3]Sheet1!$A$2:$A$391,[3]Sheet1!$A$2:$A$391)</f>
        <v>PO10142</v>
      </c>
    </row>
    <row r="2125" spans="1:14" x14ac:dyDescent="0.2">
      <c r="A2125" t="s">
        <v>2134</v>
      </c>
      <c r="B2125" s="2">
        <v>46302</v>
      </c>
      <c r="C2125" t="s">
        <v>2939</v>
      </c>
      <c r="D2125" t="s">
        <v>2949</v>
      </c>
      <c r="E2125" t="s">
        <v>3092</v>
      </c>
      <c r="F2125" s="3">
        <v>46303.04372256824</v>
      </c>
      <c r="G2125" s="3">
        <v>46303.051170805928</v>
      </c>
      <c r="H2125">
        <v>10.73</v>
      </c>
      <c r="I2125" t="s">
        <v>3148</v>
      </c>
      <c r="J2125" t="s">
        <v>3155</v>
      </c>
      <c r="K2125" t="s">
        <v>3183</v>
      </c>
      <c r="L2125" t="str">
        <f>_xlfn.XLOOKUP(C2125,[1]!Table1[Shift_ID],[1]!Table1[Shift_ID])</f>
        <v>S03</v>
      </c>
      <c r="M2125" t="str">
        <f>_xlfn.XLOOKUP(D2125,[2]!Table1[Machine_ID],[2]!Table1[Machine_ID])</f>
        <v>M008</v>
      </c>
      <c r="N2125" t="str">
        <f>_xlfn.XLOOKUP(E2125,[3]Sheet1!$A$2:$A$391,[3]Sheet1!$A$2:$A$391)</f>
        <v>PO10142</v>
      </c>
    </row>
    <row r="2126" spans="1:14" x14ac:dyDescent="0.2">
      <c r="A2126" t="s">
        <v>2135</v>
      </c>
      <c r="B2126" s="2">
        <v>46302</v>
      </c>
      <c r="C2126" t="s">
        <v>2940</v>
      </c>
      <c r="D2126" t="s">
        <v>2942</v>
      </c>
      <c r="E2126" t="s">
        <v>3093</v>
      </c>
      <c r="F2126" s="3">
        <v>46302.251541259953</v>
      </c>
      <c r="G2126" s="3">
        <v>46302.253964675518</v>
      </c>
      <c r="H2126">
        <v>3.49</v>
      </c>
      <c r="I2126" t="s">
        <v>3148</v>
      </c>
      <c r="J2126" t="s">
        <v>3164</v>
      </c>
      <c r="K2126" t="s">
        <v>3173</v>
      </c>
      <c r="L2126" t="str">
        <f>_xlfn.XLOOKUP(C2126,[1]!Table1[Shift_ID],[1]!Table1[Shift_ID])</f>
        <v>S01</v>
      </c>
      <c r="M2126" t="str">
        <f>_xlfn.XLOOKUP(D2126,[2]!Table1[Machine_ID],[2]!Table1[Machine_ID])</f>
        <v>M001</v>
      </c>
      <c r="N2126" t="str">
        <f>_xlfn.XLOOKUP(E2126,[3]Sheet1!$A$2:$A$391,[3]Sheet1!$A$2:$A$391)</f>
        <v>PO10143</v>
      </c>
    </row>
    <row r="2127" spans="1:14" x14ac:dyDescent="0.2">
      <c r="A2127" t="s">
        <v>2136</v>
      </c>
      <c r="B2127" s="2">
        <v>46302</v>
      </c>
      <c r="C2127" t="s">
        <v>2940</v>
      </c>
      <c r="D2127" t="s">
        <v>2942</v>
      </c>
      <c r="E2127" t="s">
        <v>3093</v>
      </c>
      <c r="F2127" s="3">
        <v>46302.506146664178</v>
      </c>
      <c r="G2127" s="3">
        <v>46302.510263630858</v>
      </c>
      <c r="H2127">
        <v>5.93</v>
      </c>
      <c r="I2127" t="s">
        <v>3150</v>
      </c>
      <c r="J2127" t="s">
        <v>3159</v>
      </c>
      <c r="K2127" t="s">
        <v>3178</v>
      </c>
      <c r="L2127" t="str">
        <f>_xlfn.XLOOKUP(C2127,[1]!Table1[Shift_ID],[1]!Table1[Shift_ID])</f>
        <v>S01</v>
      </c>
      <c r="M2127" t="str">
        <f>_xlfn.XLOOKUP(D2127,[2]!Table1[Machine_ID],[2]!Table1[Machine_ID])</f>
        <v>M001</v>
      </c>
      <c r="N2127" t="str">
        <f>_xlfn.XLOOKUP(E2127,[3]Sheet1!$A$2:$A$391,[3]Sheet1!$A$2:$A$391)</f>
        <v>PO10143</v>
      </c>
    </row>
    <row r="2128" spans="1:14" x14ac:dyDescent="0.2">
      <c r="A2128" t="s">
        <v>2137</v>
      </c>
      <c r="B2128" s="2">
        <v>46302</v>
      </c>
      <c r="C2128" t="s">
        <v>2940</v>
      </c>
      <c r="D2128" t="s">
        <v>2943</v>
      </c>
      <c r="E2128" t="s">
        <v>3093</v>
      </c>
      <c r="F2128" s="3">
        <v>46302.358872542973</v>
      </c>
      <c r="G2128" s="3">
        <v>46302.364327167488</v>
      </c>
      <c r="H2128">
        <v>7.85</v>
      </c>
      <c r="I2128" t="s">
        <v>3148</v>
      </c>
      <c r="J2128" t="s">
        <v>3165</v>
      </c>
      <c r="K2128" t="s">
        <v>3173</v>
      </c>
      <c r="L2128" t="str">
        <f>_xlfn.XLOOKUP(C2128,[1]!Table1[Shift_ID],[1]!Table1[Shift_ID])</f>
        <v>S01</v>
      </c>
      <c r="M2128" t="str">
        <f>_xlfn.XLOOKUP(D2128,[2]!Table1[Machine_ID],[2]!Table1[Machine_ID])</f>
        <v>M002</v>
      </c>
      <c r="N2128" t="str">
        <f>_xlfn.XLOOKUP(E2128,[3]Sheet1!$A$2:$A$391,[3]Sheet1!$A$2:$A$391)</f>
        <v>PO10143</v>
      </c>
    </row>
    <row r="2129" spans="1:14" x14ac:dyDescent="0.2">
      <c r="A2129" t="s">
        <v>2138</v>
      </c>
      <c r="B2129" s="2">
        <v>46302</v>
      </c>
      <c r="C2129" t="s">
        <v>2940</v>
      </c>
      <c r="D2129" t="s">
        <v>2943</v>
      </c>
      <c r="E2129" t="s">
        <v>3093</v>
      </c>
      <c r="F2129" s="3">
        <v>46302.534313833239</v>
      </c>
      <c r="G2129" s="3">
        <v>46302.536394622301</v>
      </c>
      <c r="H2129">
        <v>3</v>
      </c>
      <c r="I2129" t="s">
        <v>3150</v>
      </c>
      <c r="J2129" t="s">
        <v>3166</v>
      </c>
      <c r="K2129" t="s">
        <v>3179</v>
      </c>
      <c r="L2129" t="str">
        <f>_xlfn.XLOOKUP(C2129,[1]!Table1[Shift_ID],[1]!Table1[Shift_ID])</f>
        <v>S01</v>
      </c>
      <c r="M2129" t="str">
        <f>_xlfn.XLOOKUP(D2129,[2]!Table1[Machine_ID],[2]!Table1[Machine_ID])</f>
        <v>M002</v>
      </c>
      <c r="N2129" t="str">
        <f>_xlfn.XLOOKUP(E2129,[3]Sheet1!$A$2:$A$391,[3]Sheet1!$A$2:$A$391)</f>
        <v>PO10143</v>
      </c>
    </row>
    <row r="2130" spans="1:14" x14ac:dyDescent="0.2">
      <c r="A2130" t="s">
        <v>2139</v>
      </c>
      <c r="B2130" s="2">
        <v>46302</v>
      </c>
      <c r="C2130" t="s">
        <v>2940</v>
      </c>
      <c r="D2130" t="s">
        <v>2943</v>
      </c>
      <c r="E2130" t="s">
        <v>3093</v>
      </c>
      <c r="F2130" s="3">
        <v>46302.572867540737</v>
      </c>
      <c r="G2130" s="3">
        <v>46302.575800870967</v>
      </c>
      <c r="H2130">
        <v>4.22</v>
      </c>
      <c r="I2130" t="s">
        <v>3147</v>
      </c>
      <c r="J2130" t="s">
        <v>3154</v>
      </c>
      <c r="K2130" t="s">
        <v>3186</v>
      </c>
      <c r="L2130" t="str">
        <f>_xlfn.XLOOKUP(C2130,[1]!Table1[Shift_ID],[1]!Table1[Shift_ID])</f>
        <v>S01</v>
      </c>
      <c r="M2130" t="str">
        <f>_xlfn.XLOOKUP(D2130,[2]!Table1[Machine_ID],[2]!Table1[Machine_ID])</f>
        <v>M002</v>
      </c>
      <c r="N2130" t="str">
        <f>_xlfn.XLOOKUP(E2130,[3]Sheet1!$A$2:$A$391,[3]Sheet1!$A$2:$A$391)</f>
        <v>PO10143</v>
      </c>
    </row>
    <row r="2131" spans="1:14" x14ac:dyDescent="0.2">
      <c r="A2131" t="s">
        <v>2140</v>
      </c>
      <c r="B2131" s="2">
        <v>46302</v>
      </c>
      <c r="C2131" t="s">
        <v>2940</v>
      </c>
      <c r="D2131" t="s">
        <v>2944</v>
      </c>
      <c r="E2131" t="s">
        <v>3093</v>
      </c>
      <c r="F2131" s="3">
        <v>46302.436161288868</v>
      </c>
      <c r="G2131" s="3">
        <v>46302.443384644852</v>
      </c>
      <c r="H2131">
        <v>10.4</v>
      </c>
      <c r="I2131" t="s">
        <v>3148</v>
      </c>
      <c r="J2131" t="s">
        <v>3164</v>
      </c>
      <c r="K2131" t="s">
        <v>3173</v>
      </c>
      <c r="L2131" t="str">
        <f>_xlfn.XLOOKUP(C2131,[1]!Table1[Shift_ID],[1]!Table1[Shift_ID])</f>
        <v>S01</v>
      </c>
      <c r="M2131" t="str">
        <f>_xlfn.XLOOKUP(D2131,[2]!Table1[Machine_ID],[2]!Table1[Machine_ID])</f>
        <v>M003</v>
      </c>
      <c r="N2131" t="str">
        <f>_xlfn.XLOOKUP(E2131,[3]Sheet1!$A$2:$A$391,[3]Sheet1!$A$2:$A$391)</f>
        <v>PO10143</v>
      </c>
    </row>
    <row r="2132" spans="1:14" x14ac:dyDescent="0.2">
      <c r="A2132" t="s">
        <v>2141</v>
      </c>
      <c r="B2132" s="2">
        <v>46302</v>
      </c>
      <c r="C2132" t="s">
        <v>2940</v>
      </c>
      <c r="D2132" t="s">
        <v>2944</v>
      </c>
      <c r="E2132" t="s">
        <v>3093</v>
      </c>
      <c r="F2132" s="3">
        <v>46302.560708230943</v>
      </c>
      <c r="G2132" s="3">
        <v>46302.566764995601</v>
      </c>
      <c r="H2132">
        <v>8.7200000000000006</v>
      </c>
      <c r="I2132" t="s">
        <v>3150</v>
      </c>
      <c r="J2132" t="s">
        <v>3160</v>
      </c>
      <c r="K2132" t="s">
        <v>3178</v>
      </c>
      <c r="L2132" t="str">
        <f>_xlfn.XLOOKUP(C2132,[1]!Table1[Shift_ID],[1]!Table1[Shift_ID])</f>
        <v>S01</v>
      </c>
      <c r="M2132" t="str">
        <f>_xlfn.XLOOKUP(D2132,[2]!Table1[Machine_ID],[2]!Table1[Machine_ID])</f>
        <v>M003</v>
      </c>
      <c r="N2132" t="str">
        <f>_xlfn.XLOOKUP(E2132,[3]Sheet1!$A$2:$A$391,[3]Sheet1!$A$2:$A$391)</f>
        <v>PO10143</v>
      </c>
    </row>
    <row r="2133" spans="1:14" x14ac:dyDescent="0.2">
      <c r="A2133" t="s">
        <v>2142</v>
      </c>
      <c r="B2133" s="2">
        <v>46302</v>
      </c>
      <c r="C2133" t="s">
        <v>2940</v>
      </c>
      <c r="D2133" t="s">
        <v>2945</v>
      </c>
      <c r="E2133" t="s">
        <v>3093</v>
      </c>
      <c r="F2133" s="3">
        <v>46302.289151397606</v>
      </c>
      <c r="G2133" s="3">
        <v>46302.291641540513</v>
      </c>
      <c r="H2133">
        <v>3.59</v>
      </c>
      <c r="I2133" t="s">
        <v>3150</v>
      </c>
      <c r="J2133" t="s">
        <v>3163</v>
      </c>
      <c r="K2133" t="s">
        <v>3179</v>
      </c>
      <c r="L2133" t="str">
        <f>_xlfn.XLOOKUP(C2133,[1]!Table1[Shift_ID],[1]!Table1[Shift_ID])</f>
        <v>S01</v>
      </c>
      <c r="M2133" t="str">
        <f>_xlfn.XLOOKUP(D2133,[2]!Table1[Machine_ID],[2]!Table1[Machine_ID])</f>
        <v>M004</v>
      </c>
      <c r="N2133" t="str">
        <f>_xlfn.XLOOKUP(E2133,[3]Sheet1!$A$2:$A$391,[3]Sheet1!$A$2:$A$391)</f>
        <v>PO10143</v>
      </c>
    </row>
    <row r="2134" spans="1:14" x14ac:dyDescent="0.2">
      <c r="A2134" t="s">
        <v>2143</v>
      </c>
      <c r="B2134" s="2">
        <v>46302</v>
      </c>
      <c r="C2134" t="s">
        <v>2940</v>
      </c>
      <c r="D2134" t="s">
        <v>2945</v>
      </c>
      <c r="E2134" t="s">
        <v>3093</v>
      </c>
      <c r="F2134" s="3">
        <v>46302.431630528838</v>
      </c>
      <c r="G2134" s="3">
        <v>46302.435318287477</v>
      </c>
      <c r="H2134">
        <v>5.31</v>
      </c>
      <c r="I2134" t="s">
        <v>3147</v>
      </c>
      <c r="J2134" t="s">
        <v>3167</v>
      </c>
      <c r="K2134" t="s">
        <v>3185</v>
      </c>
      <c r="L2134" t="str">
        <f>_xlfn.XLOOKUP(C2134,[1]!Table1[Shift_ID],[1]!Table1[Shift_ID])</f>
        <v>S01</v>
      </c>
      <c r="M2134" t="str">
        <f>_xlfn.XLOOKUP(D2134,[2]!Table1[Machine_ID],[2]!Table1[Machine_ID])</f>
        <v>M004</v>
      </c>
      <c r="N2134" t="str">
        <f>_xlfn.XLOOKUP(E2134,[3]Sheet1!$A$2:$A$391,[3]Sheet1!$A$2:$A$391)</f>
        <v>PO10143</v>
      </c>
    </row>
    <row r="2135" spans="1:14" x14ac:dyDescent="0.2">
      <c r="A2135" t="s">
        <v>2144</v>
      </c>
      <c r="B2135" s="2">
        <v>46302</v>
      </c>
      <c r="C2135" t="s">
        <v>2940</v>
      </c>
      <c r="D2135" t="s">
        <v>2946</v>
      </c>
      <c r="E2135" t="s">
        <v>3093</v>
      </c>
      <c r="F2135" s="3">
        <v>46302.275075772763</v>
      </c>
      <c r="G2135" s="3">
        <v>46302.283315849527</v>
      </c>
      <c r="H2135">
        <v>11.87</v>
      </c>
      <c r="I2135" t="s">
        <v>3149</v>
      </c>
      <c r="J2135" t="s">
        <v>3162</v>
      </c>
      <c r="K2135" t="s">
        <v>3176</v>
      </c>
      <c r="L2135" t="str">
        <f>_xlfn.XLOOKUP(C2135,[1]!Table1[Shift_ID],[1]!Table1[Shift_ID])</f>
        <v>S01</v>
      </c>
      <c r="M2135" t="str">
        <f>_xlfn.XLOOKUP(D2135,[2]!Table1[Machine_ID],[2]!Table1[Machine_ID])</f>
        <v>M005</v>
      </c>
      <c r="N2135" t="str">
        <f>_xlfn.XLOOKUP(E2135,[3]Sheet1!$A$2:$A$391,[3]Sheet1!$A$2:$A$391)</f>
        <v>PO10143</v>
      </c>
    </row>
    <row r="2136" spans="1:14" x14ac:dyDescent="0.2">
      <c r="A2136" t="s">
        <v>2145</v>
      </c>
      <c r="B2136" s="2">
        <v>46302</v>
      </c>
      <c r="C2136" t="s">
        <v>2940</v>
      </c>
      <c r="D2136" t="s">
        <v>2947</v>
      </c>
      <c r="E2136" t="s">
        <v>3093</v>
      </c>
      <c r="F2136" s="3">
        <v>46302.464898342303</v>
      </c>
      <c r="G2136" s="3">
        <v>46302.48054679692</v>
      </c>
      <c r="H2136">
        <v>22.53</v>
      </c>
      <c r="I2136" t="s">
        <v>3149</v>
      </c>
      <c r="J2136" t="s">
        <v>3168</v>
      </c>
      <c r="K2136" t="s">
        <v>3176</v>
      </c>
      <c r="L2136" t="str">
        <f>_xlfn.XLOOKUP(C2136,[1]!Table1[Shift_ID],[1]!Table1[Shift_ID])</f>
        <v>S01</v>
      </c>
      <c r="M2136" t="str">
        <f>_xlfn.XLOOKUP(D2136,[2]!Table1[Machine_ID],[2]!Table1[Machine_ID])</f>
        <v>M006</v>
      </c>
      <c r="N2136" t="str">
        <f>_xlfn.XLOOKUP(E2136,[3]Sheet1!$A$2:$A$391,[3]Sheet1!$A$2:$A$391)</f>
        <v>PO10143</v>
      </c>
    </row>
    <row r="2137" spans="1:14" x14ac:dyDescent="0.2">
      <c r="A2137" t="s">
        <v>2146</v>
      </c>
      <c r="B2137" s="2">
        <v>46302</v>
      </c>
      <c r="C2137" t="s">
        <v>2940</v>
      </c>
      <c r="D2137" t="s">
        <v>2947</v>
      </c>
      <c r="E2137" t="s">
        <v>3093</v>
      </c>
      <c r="F2137" s="3">
        <v>46302.524736270047</v>
      </c>
      <c r="G2137" s="3">
        <v>46302.537769336792</v>
      </c>
      <c r="H2137">
        <v>18.77</v>
      </c>
      <c r="I2137" t="s">
        <v>3149</v>
      </c>
      <c r="J2137" t="s">
        <v>3158</v>
      </c>
      <c r="K2137" t="s">
        <v>3176</v>
      </c>
      <c r="L2137" t="str">
        <f>_xlfn.XLOOKUP(C2137,[1]!Table1[Shift_ID],[1]!Table1[Shift_ID])</f>
        <v>S01</v>
      </c>
      <c r="M2137" t="str">
        <f>_xlfn.XLOOKUP(D2137,[2]!Table1[Machine_ID],[2]!Table1[Machine_ID])</f>
        <v>M006</v>
      </c>
      <c r="N2137" t="str">
        <f>_xlfn.XLOOKUP(E2137,[3]Sheet1!$A$2:$A$391,[3]Sheet1!$A$2:$A$391)</f>
        <v>PO10143</v>
      </c>
    </row>
    <row r="2138" spans="1:14" x14ac:dyDescent="0.2">
      <c r="A2138" t="s">
        <v>2147</v>
      </c>
      <c r="B2138" s="2">
        <v>46302</v>
      </c>
      <c r="C2138" t="s">
        <v>2940</v>
      </c>
      <c r="D2138" t="s">
        <v>2948</v>
      </c>
      <c r="E2138" t="s">
        <v>3093</v>
      </c>
      <c r="F2138" s="3">
        <v>46302.420496776918</v>
      </c>
      <c r="G2138" s="3">
        <v>46302.424571255557</v>
      </c>
      <c r="H2138">
        <v>5.87</v>
      </c>
      <c r="I2138" t="s">
        <v>3147</v>
      </c>
      <c r="J2138" t="s">
        <v>3153</v>
      </c>
      <c r="K2138" t="s">
        <v>3185</v>
      </c>
      <c r="L2138" t="str">
        <f>_xlfn.XLOOKUP(C2138,[1]!Table1[Shift_ID],[1]!Table1[Shift_ID])</f>
        <v>S01</v>
      </c>
      <c r="M2138" t="str">
        <f>_xlfn.XLOOKUP(D2138,[2]!Table1[Machine_ID],[2]!Table1[Machine_ID])</f>
        <v>M007</v>
      </c>
      <c r="N2138" t="str">
        <f>_xlfn.XLOOKUP(E2138,[3]Sheet1!$A$2:$A$391,[3]Sheet1!$A$2:$A$391)</f>
        <v>PO10143</v>
      </c>
    </row>
    <row r="2139" spans="1:14" x14ac:dyDescent="0.2">
      <c r="A2139" t="s">
        <v>2148</v>
      </c>
      <c r="B2139" s="2">
        <v>46302</v>
      </c>
      <c r="C2139" t="s">
        <v>2940</v>
      </c>
      <c r="D2139" t="s">
        <v>2948</v>
      </c>
      <c r="E2139" t="s">
        <v>3093</v>
      </c>
      <c r="F2139" s="3">
        <v>46302.574321449683</v>
      </c>
      <c r="G2139" s="3">
        <v>46302.583333333343</v>
      </c>
      <c r="H2139">
        <v>12.98</v>
      </c>
      <c r="I2139" t="s">
        <v>3147</v>
      </c>
      <c r="J2139" t="s">
        <v>3153</v>
      </c>
      <c r="K2139" t="s">
        <v>3172</v>
      </c>
      <c r="L2139" t="str">
        <f>_xlfn.XLOOKUP(C2139,[1]!Table1[Shift_ID],[1]!Table1[Shift_ID])</f>
        <v>S01</v>
      </c>
      <c r="M2139" t="str">
        <f>_xlfn.XLOOKUP(D2139,[2]!Table1[Machine_ID],[2]!Table1[Machine_ID])</f>
        <v>M007</v>
      </c>
      <c r="N2139" t="str">
        <f>_xlfn.XLOOKUP(E2139,[3]Sheet1!$A$2:$A$391,[3]Sheet1!$A$2:$A$391)</f>
        <v>PO10143</v>
      </c>
    </row>
    <row r="2140" spans="1:14" x14ac:dyDescent="0.2">
      <c r="A2140" t="s">
        <v>2149</v>
      </c>
      <c r="B2140" s="2">
        <v>46302</v>
      </c>
      <c r="C2140" t="s">
        <v>2940</v>
      </c>
      <c r="D2140" t="s">
        <v>2949</v>
      </c>
      <c r="E2140" t="s">
        <v>3093</v>
      </c>
      <c r="F2140" s="3">
        <v>46302.28315740735</v>
      </c>
      <c r="G2140" s="3">
        <v>46302.285982999572</v>
      </c>
      <c r="H2140">
        <v>4.07</v>
      </c>
      <c r="I2140" t="s">
        <v>3148</v>
      </c>
      <c r="J2140" t="s">
        <v>3165</v>
      </c>
      <c r="K2140" t="s">
        <v>3183</v>
      </c>
      <c r="L2140" t="str">
        <f>_xlfn.XLOOKUP(C2140,[1]!Table1[Shift_ID],[1]!Table1[Shift_ID])</f>
        <v>S01</v>
      </c>
      <c r="M2140" t="str">
        <f>_xlfn.XLOOKUP(D2140,[2]!Table1[Machine_ID],[2]!Table1[Machine_ID])</f>
        <v>M008</v>
      </c>
      <c r="N2140" t="str">
        <f>_xlfn.XLOOKUP(E2140,[3]Sheet1!$A$2:$A$391,[3]Sheet1!$A$2:$A$391)</f>
        <v>PO10143</v>
      </c>
    </row>
    <row r="2141" spans="1:14" x14ac:dyDescent="0.2">
      <c r="A2141" t="s">
        <v>2150</v>
      </c>
      <c r="B2141" s="2">
        <v>46302</v>
      </c>
      <c r="C2141" t="s">
        <v>2940</v>
      </c>
      <c r="D2141" t="s">
        <v>2949</v>
      </c>
      <c r="E2141" t="s">
        <v>3093</v>
      </c>
      <c r="F2141" s="3">
        <v>46302.340877666473</v>
      </c>
      <c r="G2141" s="3">
        <v>46302.342674294603</v>
      </c>
      <c r="H2141">
        <v>2.59</v>
      </c>
      <c r="I2141" t="s">
        <v>3148</v>
      </c>
      <c r="J2141" t="s">
        <v>3164</v>
      </c>
      <c r="K2141" t="s">
        <v>3180</v>
      </c>
      <c r="L2141" t="str">
        <f>_xlfn.XLOOKUP(C2141,[1]!Table1[Shift_ID],[1]!Table1[Shift_ID])</f>
        <v>S01</v>
      </c>
      <c r="M2141" t="str">
        <f>_xlfn.XLOOKUP(D2141,[2]!Table1[Machine_ID],[2]!Table1[Machine_ID])</f>
        <v>M008</v>
      </c>
      <c r="N2141" t="str">
        <f>_xlfn.XLOOKUP(E2141,[3]Sheet1!$A$2:$A$391,[3]Sheet1!$A$2:$A$391)</f>
        <v>PO10143</v>
      </c>
    </row>
    <row r="2142" spans="1:14" x14ac:dyDescent="0.2">
      <c r="A2142" t="s">
        <v>2151</v>
      </c>
      <c r="B2142" s="2">
        <v>46302</v>
      </c>
      <c r="C2142" t="s">
        <v>2941</v>
      </c>
      <c r="D2142" t="s">
        <v>2942</v>
      </c>
      <c r="E2142" t="s">
        <v>3094</v>
      </c>
      <c r="F2142" s="3">
        <v>46302.868202106969</v>
      </c>
      <c r="G2142" s="3">
        <v>46302.874474094991</v>
      </c>
      <c r="H2142">
        <v>9.0299999999999994</v>
      </c>
      <c r="I2142" t="s">
        <v>3151</v>
      </c>
      <c r="J2142" t="s">
        <v>3169</v>
      </c>
      <c r="K2142" t="s">
        <v>3181</v>
      </c>
      <c r="L2142" t="str">
        <f>_xlfn.XLOOKUP(C2142,[1]!Table1[Shift_ID],[1]!Table1[Shift_ID])</f>
        <v>S02</v>
      </c>
      <c r="M2142" t="str">
        <f>_xlfn.XLOOKUP(D2142,[2]!Table1[Machine_ID],[2]!Table1[Machine_ID])</f>
        <v>M001</v>
      </c>
      <c r="N2142" t="str">
        <f>_xlfn.XLOOKUP(E2142,[3]Sheet1!$A$2:$A$391,[3]Sheet1!$A$2:$A$391)</f>
        <v>PO10144</v>
      </c>
    </row>
    <row r="2143" spans="1:14" x14ac:dyDescent="0.2">
      <c r="A2143" t="s">
        <v>2152</v>
      </c>
      <c r="B2143" s="2">
        <v>46302</v>
      </c>
      <c r="C2143" t="s">
        <v>2941</v>
      </c>
      <c r="D2143" t="s">
        <v>2943</v>
      </c>
      <c r="E2143" t="s">
        <v>3094</v>
      </c>
      <c r="F2143" s="3">
        <v>46302.860020989763</v>
      </c>
      <c r="G2143" s="3">
        <v>46302.861806832487</v>
      </c>
      <c r="H2143">
        <v>2.57</v>
      </c>
      <c r="I2143" t="s">
        <v>3148</v>
      </c>
      <c r="J2143" t="s">
        <v>3165</v>
      </c>
      <c r="K2143" t="s">
        <v>3173</v>
      </c>
      <c r="L2143" t="str">
        <f>_xlfn.XLOOKUP(C2143,[1]!Table1[Shift_ID],[1]!Table1[Shift_ID])</f>
        <v>S02</v>
      </c>
      <c r="M2143" t="str">
        <f>_xlfn.XLOOKUP(D2143,[2]!Table1[Machine_ID],[2]!Table1[Machine_ID])</f>
        <v>M002</v>
      </c>
      <c r="N2143" t="str">
        <f>_xlfn.XLOOKUP(E2143,[3]Sheet1!$A$2:$A$391,[3]Sheet1!$A$2:$A$391)</f>
        <v>PO10144</v>
      </c>
    </row>
    <row r="2144" spans="1:14" x14ac:dyDescent="0.2">
      <c r="A2144" t="s">
        <v>2153</v>
      </c>
      <c r="B2144" s="2">
        <v>46302</v>
      </c>
      <c r="C2144" t="s">
        <v>2941</v>
      </c>
      <c r="D2144" t="s">
        <v>2943</v>
      </c>
      <c r="E2144" t="s">
        <v>3094</v>
      </c>
      <c r="F2144" s="3">
        <v>46302.899029284308</v>
      </c>
      <c r="G2144" s="3">
        <v>46302.908658974222</v>
      </c>
      <c r="H2144">
        <v>13.87</v>
      </c>
      <c r="I2144" t="s">
        <v>3147</v>
      </c>
      <c r="J2144" t="s">
        <v>3153</v>
      </c>
      <c r="K2144" t="s">
        <v>3186</v>
      </c>
      <c r="L2144" t="str">
        <f>_xlfn.XLOOKUP(C2144,[1]!Table1[Shift_ID],[1]!Table1[Shift_ID])</f>
        <v>S02</v>
      </c>
      <c r="M2144" t="str">
        <f>_xlfn.XLOOKUP(D2144,[2]!Table1[Machine_ID],[2]!Table1[Machine_ID])</f>
        <v>M002</v>
      </c>
      <c r="N2144" t="str">
        <f>_xlfn.XLOOKUP(E2144,[3]Sheet1!$A$2:$A$391,[3]Sheet1!$A$2:$A$391)</f>
        <v>PO10144</v>
      </c>
    </row>
    <row r="2145" spans="1:14" x14ac:dyDescent="0.2">
      <c r="A2145" t="s">
        <v>2154</v>
      </c>
      <c r="B2145" s="2">
        <v>46302</v>
      </c>
      <c r="C2145" t="s">
        <v>2941</v>
      </c>
      <c r="D2145" t="s">
        <v>2944</v>
      </c>
      <c r="E2145" t="s">
        <v>3094</v>
      </c>
      <c r="F2145" s="3">
        <v>46302.643029413273</v>
      </c>
      <c r="G2145" s="3">
        <v>46302.647170976437</v>
      </c>
      <c r="H2145">
        <v>5.96</v>
      </c>
      <c r="I2145" t="s">
        <v>3147</v>
      </c>
      <c r="J2145" t="s">
        <v>3154</v>
      </c>
      <c r="K2145" t="s">
        <v>3185</v>
      </c>
      <c r="L2145" t="str">
        <f>_xlfn.XLOOKUP(C2145,[1]!Table1[Shift_ID],[1]!Table1[Shift_ID])</f>
        <v>S02</v>
      </c>
      <c r="M2145" t="str">
        <f>_xlfn.XLOOKUP(D2145,[2]!Table1[Machine_ID],[2]!Table1[Machine_ID])</f>
        <v>M003</v>
      </c>
      <c r="N2145" t="str">
        <f>_xlfn.XLOOKUP(E2145,[3]Sheet1!$A$2:$A$391,[3]Sheet1!$A$2:$A$391)</f>
        <v>PO10144</v>
      </c>
    </row>
    <row r="2146" spans="1:14" x14ac:dyDescent="0.2">
      <c r="A2146" t="s">
        <v>2155</v>
      </c>
      <c r="B2146" s="2">
        <v>46302</v>
      </c>
      <c r="C2146" t="s">
        <v>2941</v>
      </c>
      <c r="D2146" t="s">
        <v>2944</v>
      </c>
      <c r="E2146" t="s">
        <v>3094</v>
      </c>
      <c r="F2146" s="3">
        <v>46302.816863246539</v>
      </c>
      <c r="G2146" s="3">
        <v>46302.826896805731</v>
      </c>
      <c r="H2146">
        <v>14.45</v>
      </c>
      <c r="I2146" t="s">
        <v>3150</v>
      </c>
      <c r="J2146" t="s">
        <v>3163</v>
      </c>
      <c r="K2146" t="s">
        <v>3179</v>
      </c>
      <c r="L2146" t="str">
        <f>_xlfn.XLOOKUP(C2146,[1]!Table1[Shift_ID],[1]!Table1[Shift_ID])</f>
        <v>S02</v>
      </c>
      <c r="M2146" t="str">
        <f>_xlfn.XLOOKUP(D2146,[2]!Table1[Machine_ID],[2]!Table1[Machine_ID])</f>
        <v>M003</v>
      </c>
      <c r="N2146" t="str">
        <f>_xlfn.XLOOKUP(E2146,[3]Sheet1!$A$2:$A$391,[3]Sheet1!$A$2:$A$391)</f>
        <v>PO10144</v>
      </c>
    </row>
    <row r="2147" spans="1:14" x14ac:dyDescent="0.2">
      <c r="A2147" t="s">
        <v>2156</v>
      </c>
      <c r="B2147" s="2">
        <v>46302</v>
      </c>
      <c r="C2147" t="s">
        <v>2941</v>
      </c>
      <c r="D2147" t="s">
        <v>2945</v>
      </c>
      <c r="E2147" t="s">
        <v>3094</v>
      </c>
      <c r="F2147" s="3">
        <v>46302.800479037112</v>
      </c>
      <c r="G2147" s="3">
        <v>46302.807885220129</v>
      </c>
      <c r="H2147">
        <v>10.66</v>
      </c>
      <c r="I2147" t="s">
        <v>3149</v>
      </c>
      <c r="J2147" t="s">
        <v>3162</v>
      </c>
      <c r="K2147" t="s">
        <v>3176</v>
      </c>
      <c r="L2147" t="str">
        <f>_xlfn.XLOOKUP(C2147,[1]!Table1[Shift_ID],[1]!Table1[Shift_ID])</f>
        <v>S02</v>
      </c>
      <c r="M2147" t="str">
        <f>_xlfn.XLOOKUP(D2147,[2]!Table1[Machine_ID],[2]!Table1[Machine_ID])</f>
        <v>M004</v>
      </c>
      <c r="N2147" t="str">
        <f>_xlfn.XLOOKUP(E2147,[3]Sheet1!$A$2:$A$391,[3]Sheet1!$A$2:$A$391)</f>
        <v>PO10144</v>
      </c>
    </row>
    <row r="2148" spans="1:14" x14ac:dyDescent="0.2">
      <c r="A2148" t="s">
        <v>2157</v>
      </c>
      <c r="B2148" s="2">
        <v>46302</v>
      </c>
      <c r="C2148" t="s">
        <v>2941</v>
      </c>
      <c r="D2148" t="s">
        <v>2946</v>
      </c>
      <c r="E2148" t="s">
        <v>3094</v>
      </c>
      <c r="F2148" s="3">
        <v>46302.752710542867</v>
      </c>
      <c r="G2148" s="3">
        <v>46302.762159484897</v>
      </c>
      <c r="H2148">
        <v>13.61</v>
      </c>
      <c r="I2148" t="s">
        <v>3149</v>
      </c>
      <c r="J2148" t="s">
        <v>3168</v>
      </c>
      <c r="K2148" t="s">
        <v>3184</v>
      </c>
      <c r="L2148" t="str">
        <f>_xlfn.XLOOKUP(C2148,[1]!Table1[Shift_ID],[1]!Table1[Shift_ID])</f>
        <v>S02</v>
      </c>
      <c r="M2148" t="str">
        <f>_xlfn.XLOOKUP(D2148,[2]!Table1[Machine_ID],[2]!Table1[Machine_ID])</f>
        <v>M005</v>
      </c>
      <c r="N2148" t="str">
        <f>_xlfn.XLOOKUP(E2148,[3]Sheet1!$A$2:$A$391,[3]Sheet1!$A$2:$A$391)</f>
        <v>PO10144</v>
      </c>
    </row>
    <row r="2149" spans="1:14" x14ac:dyDescent="0.2">
      <c r="A2149" t="s">
        <v>2158</v>
      </c>
      <c r="B2149" s="2">
        <v>46302</v>
      </c>
      <c r="C2149" t="s">
        <v>2941</v>
      </c>
      <c r="D2149" t="s">
        <v>2946</v>
      </c>
      <c r="E2149" t="s">
        <v>3094</v>
      </c>
      <c r="F2149" s="3">
        <v>46302.762908579367</v>
      </c>
      <c r="G2149" s="3">
        <v>46302.764700786967</v>
      </c>
      <c r="H2149">
        <v>2.58</v>
      </c>
      <c r="I2149" t="s">
        <v>3150</v>
      </c>
      <c r="J2149" t="s">
        <v>3160</v>
      </c>
      <c r="K2149" t="s">
        <v>3179</v>
      </c>
      <c r="L2149" t="str">
        <f>_xlfn.XLOOKUP(C2149,[1]!Table1[Shift_ID],[1]!Table1[Shift_ID])</f>
        <v>S02</v>
      </c>
      <c r="M2149" t="str">
        <f>_xlfn.XLOOKUP(D2149,[2]!Table1[Machine_ID],[2]!Table1[Machine_ID])</f>
        <v>M005</v>
      </c>
      <c r="N2149" t="str">
        <f>_xlfn.XLOOKUP(E2149,[3]Sheet1!$A$2:$A$391,[3]Sheet1!$A$2:$A$391)</f>
        <v>PO10144</v>
      </c>
    </row>
    <row r="2150" spans="1:14" x14ac:dyDescent="0.2">
      <c r="A2150" t="s">
        <v>2159</v>
      </c>
      <c r="B2150" s="2">
        <v>46302</v>
      </c>
      <c r="C2150" t="s">
        <v>2941</v>
      </c>
      <c r="D2150" t="s">
        <v>2947</v>
      </c>
      <c r="E2150" t="s">
        <v>3094</v>
      </c>
      <c r="F2150" s="3">
        <v>46302.67887803154</v>
      </c>
      <c r="G2150" s="3">
        <v>46302.686720291487</v>
      </c>
      <c r="H2150">
        <v>11.29</v>
      </c>
      <c r="I2150" t="s">
        <v>3146</v>
      </c>
      <c r="J2150" t="s">
        <v>3157</v>
      </c>
      <c r="K2150" t="s">
        <v>3175</v>
      </c>
      <c r="L2150" t="str">
        <f>_xlfn.XLOOKUP(C2150,[1]!Table1[Shift_ID],[1]!Table1[Shift_ID])</f>
        <v>S02</v>
      </c>
      <c r="M2150" t="str">
        <f>_xlfn.XLOOKUP(D2150,[2]!Table1[Machine_ID],[2]!Table1[Machine_ID])</f>
        <v>M006</v>
      </c>
      <c r="N2150" t="str">
        <f>_xlfn.XLOOKUP(E2150,[3]Sheet1!$A$2:$A$391,[3]Sheet1!$A$2:$A$391)</f>
        <v>PO10144</v>
      </c>
    </row>
    <row r="2151" spans="1:14" x14ac:dyDescent="0.2">
      <c r="A2151" t="s">
        <v>2160</v>
      </c>
      <c r="B2151" s="2">
        <v>46302</v>
      </c>
      <c r="C2151" t="s">
        <v>2941</v>
      </c>
      <c r="D2151" t="s">
        <v>2947</v>
      </c>
      <c r="E2151" t="s">
        <v>3094</v>
      </c>
      <c r="F2151" s="3">
        <v>46302.82366205626</v>
      </c>
      <c r="G2151" s="3">
        <v>46302.837668990724</v>
      </c>
      <c r="H2151">
        <v>20.170000000000002</v>
      </c>
      <c r="I2151" t="s">
        <v>3149</v>
      </c>
      <c r="J2151" t="s">
        <v>3162</v>
      </c>
      <c r="K2151" t="s">
        <v>3176</v>
      </c>
      <c r="L2151" t="str">
        <f>_xlfn.XLOOKUP(C2151,[1]!Table1[Shift_ID],[1]!Table1[Shift_ID])</f>
        <v>S02</v>
      </c>
      <c r="M2151" t="str">
        <f>_xlfn.XLOOKUP(D2151,[2]!Table1[Machine_ID],[2]!Table1[Machine_ID])</f>
        <v>M006</v>
      </c>
      <c r="N2151" t="str">
        <f>_xlfn.XLOOKUP(E2151,[3]Sheet1!$A$2:$A$391,[3]Sheet1!$A$2:$A$391)</f>
        <v>PO10144</v>
      </c>
    </row>
    <row r="2152" spans="1:14" x14ac:dyDescent="0.2">
      <c r="A2152" t="s">
        <v>2161</v>
      </c>
      <c r="B2152" s="2">
        <v>46302</v>
      </c>
      <c r="C2152" t="s">
        <v>2941</v>
      </c>
      <c r="D2152" t="s">
        <v>2947</v>
      </c>
      <c r="E2152" t="s">
        <v>3094</v>
      </c>
      <c r="F2152" s="3">
        <v>46302.878564650811</v>
      </c>
      <c r="G2152" s="3">
        <v>46302.881567311619</v>
      </c>
      <c r="H2152">
        <v>4.32</v>
      </c>
      <c r="I2152" t="s">
        <v>3150</v>
      </c>
      <c r="J2152" t="s">
        <v>3166</v>
      </c>
      <c r="K2152" t="s">
        <v>3177</v>
      </c>
      <c r="L2152" t="str">
        <f>_xlfn.XLOOKUP(C2152,[1]!Table1[Shift_ID],[1]!Table1[Shift_ID])</f>
        <v>S02</v>
      </c>
      <c r="M2152" t="str">
        <f>_xlfn.XLOOKUP(D2152,[2]!Table1[Machine_ID],[2]!Table1[Machine_ID])</f>
        <v>M006</v>
      </c>
      <c r="N2152" t="str">
        <f>_xlfn.XLOOKUP(E2152,[3]Sheet1!$A$2:$A$391,[3]Sheet1!$A$2:$A$391)</f>
        <v>PO10144</v>
      </c>
    </row>
    <row r="2153" spans="1:14" x14ac:dyDescent="0.2">
      <c r="A2153" t="s">
        <v>2162</v>
      </c>
      <c r="B2153" s="2">
        <v>46302</v>
      </c>
      <c r="C2153" t="s">
        <v>2941</v>
      </c>
      <c r="D2153" t="s">
        <v>2948</v>
      </c>
      <c r="E2153" t="s">
        <v>3094</v>
      </c>
      <c r="F2153" s="3">
        <v>46302.740861504833</v>
      </c>
      <c r="G2153" s="3">
        <v>46302.74399396433</v>
      </c>
      <c r="H2153">
        <v>4.51</v>
      </c>
      <c r="I2153" t="s">
        <v>3147</v>
      </c>
      <c r="J2153" t="s">
        <v>3167</v>
      </c>
      <c r="K2153" t="s">
        <v>3185</v>
      </c>
      <c r="L2153" t="str">
        <f>_xlfn.XLOOKUP(C2153,[1]!Table1[Shift_ID],[1]!Table1[Shift_ID])</f>
        <v>S02</v>
      </c>
      <c r="M2153" t="str">
        <f>_xlfn.XLOOKUP(D2153,[2]!Table1[Machine_ID],[2]!Table1[Machine_ID])</f>
        <v>M007</v>
      </c>
      <c r="N2153" t="str">
        <f>_xlfn.XLOOKUP(E2153,[3]Sheet1!$A$2:$A$391,[3]Sheet1!$A$2:$A$391)</f>
        <v>PO10144</v>
      </c>
    </row>
    <row r="2154" spans="1:14" x14ac:dyDescent="0.2">
      <c r="A2154" t="s">
        <v>2163</v>
      </c>
      <c r="B2154" s="2">
        <v>46302</v>
      </c>
      <c r="C2154" t="s">
        <v>2941</v>
      </c>
      <c r="D2154" t="s">
        <v>2948</v>
      </c>
      <c r="E2154" t="s">
        <v>3094</v>
      </c>
      <c r="F2154" s="3">
        <v>46302.849509866472</v>
      </c>
      <c r="G2154" s="3">
        <v>46302.862058545506</v>
      </c>
      <c r="H2154">
        <v>18.07</v>
      </c>
      <c r="I2154" t="s">
        <v>3147</v>
      </c>
      <c r="J2154" t="s">
        <v>3153</v>
      </c>
      <c r="K2154" t="s">
        <v>3172</v>
      </c>
      <c r="L2154" t="str">
        <f>_xlfn.XLOOKUP(C2154,[1]!Table1[Shift_ID],[1]!Table1[Shift_ID])</f>
        <v>S02</v>
      </c>
      <c r="M2154" t="str">
        <f>_xlfn.XLOOKUP(D2154,[2]!Table1[Machine_ID],[2]!Table1[Machine_ID])</f>
        <v>M007</v>
      </c>
      <c r="N2154" t="str">
        <f>_xlfn.XLOOKUP(E2154,[3]Sheet1!$A$2:$A$391,[3]Sheet1!$A$2:$A$391)</f>
        <v>PO10144</v>
      </c>
    </row>
    <row r="2155" spans="1:14" x14ac:dyDescent="0.2">
      <c r="A2155" t="s">
        <v>2164</v>
      </c>
      <c r="B2155" s="2">
        <v>46302</v>
      </c>
      <c r="C2155" t="s">
        <v>2941</v>
      </c>
      <c r="D2155" t="s">
        <v>2948</v>
      </c>
      <c r="E2155" t="s">
        <v>3094</v>
      </c>
      <c r="F2155" s="3">
        <v>46302.89597584631</v>
      </c>
      <c r="G2155" s="3">
        <v>46302.897862676124</v>
      </c>
      <c r="H2155">
        <v>2.72</v>
      </c>
      <c r="I2155" t="s">
        <v>3148</v>
      </c>
      <c r="J2155" t="s">
        <v>3165</v>
      </c>
      <c r="K2155" t="s">
        <v>3183</v>
      </c>
      <c r="L2155" t="str">
        <f>_xlfn.XLOOKUP(C2155,[1]!Table1[Shift_ID],[1]!Table1[Shift_ID])</f>
        <v>S02</v>
      </c>
      <c r="M2155" t="str">
        <f>_xlfn.XLOOKUP(D2155,[2]!Table1[Machine_ID],[2]!Table1[Machine_ID])</f>
        <v>M007</v>
      </c>
      <c r="N2155" t="str">
        <f>_xlfn.XLOOKUP(E2155,[3]Sheet1!$A$2:$A$391,[3]Sheet1!$A$2:$A$391)</f>
        <v>PO10144</v>
      </c>
    </row>
    <row r="2156" spans="1:14" x14ac:dyDescent="0.2">
      <c r="A2156" t="s">
        <v>2165</v>
      </c>
      <c r="B2156" s="2">
        <v>46302</v>
      </c>
      <c r="C2156" t="s">
        <v>2941</v>
      </c>
      <c r="D2156" t="s">
        <v>2949</v>
      </c>
      <c r="E2156" t="s">
        <v>3094</v>
      </c>
      <c r="F2156" s="3">
        <v>46302.663959336147</v>
      </c>
      <c r="G2156" s="3">
        <v>46302.67051937701</v>
      </c>
      <c r="H2156">
        <v>9.4499999999999993</v>
      </c>
      <c r="I2156" t="s">
        <v>3148</v>
      </c>
      <c r="J2156" t="s">
        <v>3165</v>
      </c>
      <c r="K2156" t="s">
        <v>3183</v>
      </c>
      <c r="L2156" t="str">
        <f>_xlfn.XLOOKUP(C2156,[1]!Table1[Shift_ID],[1]!Table1[Shift_ID])</f>
        <v>S02</v>
      </c>
      <c r="M2156" t="str">
        <f>_xlfn.XLOOKUP(D2156,[2]!Table1[Machine_ID],[2]!Table1[Machine_ID])</f>
        <v>M008</v>
      </c>
      <c r="N2156" t="str">
        <f>_xlfn.XLOOKUP(E2156,[3]Sheet1!$A$2:$A$391,[3]Sheet1!$A$2:$A$391)</f>
        <v>PO10144</v>
      </c>
    </row>
    <row r="2157" spans="1:14" x14ac:dyDescent="0.2">
      <c r="A2157" t="s">
        <v>2166</v>
      </c>
      <c r="B2157" s="2">
        <v>46303</v>
      </c>
      <c r="C2157" t="s">
        <v>2939</v>
      </c>
      <c r="D2157" t="s">
        <v>2942</v>
      </c>
      <c r="E2157" t="s">
        <v>3095</v>
      </c>
      <c r="F2157" s="3">
        <v>46303.973015664087</v>
      </c>
      <c r="G2157" s="3">
        <v>46303.976169042573</v>
      </c>
      <c r="H2157">
        <v>4.54</v>
      </c>
      <c r="I2157" t="s">
        <v>3150</v>
      </c>
      <c r="J2157" t="s">
        <v>3159</v>
      </c>
      <c r="K2157" t="s">
        <v>3179</v>
      </c>
      <c r="L2157" t="str">
        <f>_xlfn.XLOOKUP(C2157,[1]!Table1[Shift_ID],[1]!Table1[Shift_ID])</f>
        <v>S03</v>
      </c>
      <c r="M2157" t="str">
        <f>_xlfn.XLOOKUP(D2157,[2]!Table1[Machine_ID],[2]!Table1[Machine_ID])</f>
        <v>M001</v>
      </c>
      <c r="N2157" t="str">
        <f>_xlfn.XLOOKUP(E2157,[3]Sheet1!$A$2:$A$391,[3]Sheet1!$A$2:$A$391)</f>
        <v>PO10145</v>
      </c>
    </row>
    <row r="2158" spans="1:14" x14ac:dyDescent="0.2">
      <c r="A2158" t="s">
        <v>2167</v>
      </c>
      <c r="B2158" s="2">
        <v>46303</v>
      </c>
      <c r="C2158" t="s">
        <v>2939</v>
      </c>
      <c r="D2158" t="s">
        <v>2942</v>
      </c>
      <c r="E2158" t="s">
        <v>3095</v>
      </c>
      <c r="F2158" s="3">
        <v>46304.01625374148</v>
      </c>
      <c r="G2158" s="3">
        <v>46304.017694615257</v>
      </c>
      <c r="H2158">
        <v>2.0699999999999998</v>
      </c>
      <c r="I2158" t="s">
        <v>3150</v>
      </c>
      <c r="J2158" t="s">
        <v>3166</v>
      </c>
      <c r="K2158" t="s">
        <v>3179</v>
      </c>
      <c r="L2158" t="str">
        <f>_xlfn.XLOOKUP(C2158,[1]!Table1[Shift_ID],[1]!Table1[Shift_ID])</f>
        <v>S03</v>
      </c>
      <c r="M2158" t="str">
        <f>_xlfn.XLOOKUP(D2158,[2]!Table1[Machine_ID],[2]!Table1[Machine_ID])</f>
        <v>M001</v>
      </c>
      <c r="N2158" t="str">
        <f>_xlfn.XLOOKUP(E2158,[3]Sheet1!$A$2:$A$391,[3]Sheet1!$A$2:$A$391)</f>
        <v>PO10145</v>
      </c>
    </row>
    <row r="2159" spans="1:14" x14ac:dyDescent="0.2">
      <c r="A2159" t="s">
        <v>2168</v>
      </c>
      <c r="B2159" s="2">
        <v>46303</v>
      </c>
      <c r="C2159" t="s">
        <v>2939</v>
      </c>
      <c r="D2159" t="s">
        <v>2943</v>
      </c>
      <c r="E2159" t="s">
        <v>3095</v>
      </c>
      <c r="F2159" s="3">
        <v>46304.045092150882</v>
      </c>
      <c r="G2159" s="3">
        <v>46304.047632873378</v>
      </c>
      <c r="H2159">
        <v>3.66</v>
      </c>
      <c r="I2159" t="s">
        <v>3150</v>
      </c>
      <c r="J2159" t="s">
        <v>3166</v>
      </c>
      <c r="K2159" t="s">
        <v>3177</v>
      </c>
      <c r="L2159" t="str">
        <f>_xlfn.XLOOKUP(C2159,[1]!Table1[Shift_ID],[1]!Table1[Shift_ID])</f>
        <v>S03</v>
      </c>
      <c r="M2159" t="str">
        <f>_xlfn.XLOOKUP(D2159,[2]!Table1[Machine_ID],[2]!Table1[Machine_ID])</f>
        <v>M002</v>
      </c>
      <c r="N2159" t="str">
        <f>_xlfn.XLOOKUP(E2159,[3]Sheet1!$A$2:$A$391,[3]Sheet1!$A$2:$A$391)</f>
        <v>PO10145</v>
      </c>
    </row>
    <row r="2160" spans="1:14" x14ac:dyDescent="0.2">
      <c r="A2160" t="s">
        <v>2169</v>
      </c>
      <c r="B2160" s="2">
        <v>46303</v>
      </c>
      <c r="C2160" t="s">
        <v>2939</v>
      </c>
      <c r="D2160" t="s">
        <v>2943</v>
      </c>
      <c r="E2160" t="s">
        <v>3095</v>
      </c>
      <c r="F2160" s="3">
        <v>46304.080764398888</v>
      </c>
      <c r="G2160" s="3">
        <v>46304.082335454979</v>
      </c>
      <c r="H2160">
        <v>2.2599999999999998</v>
      </c>
      <c r="I2160" t="s">
        <v>3149</v>
      </c>
      <c r="J2160" t="s">
        <v>3168</v>
      </c>
      <c r="K2160" t="s">
        <v>3176</v>
      </c>
      <c r="L2160" t="str">
        <f>_xlfn.XLOOKUP(C2160,[1]!Table1[Shift_ID],[1]!Table1[Shift_ID])</f>
        <v>S03</v>
      </c>
      <c r="M2160" t="str">
        <f>_xlfn.XLOOKUP(D2160,[2]!Table1[Machine_ID],[2]!Table1[Machine_ID])</f>
        <v>M002</v>
      </c>
      <c r="N2160" t="str">
        <f>_xlfn.XLOOKUP(E2160,[3]Sheet1!$A$2:$A$391,[3]Sheet1!$A$2:$A$391)</f>
        <v>PO10145</v>
      </c>
    </row>
    <row r="2161" spans="1:14" x14ac:dyDescent="0.2">
      <c r="A2161" t="s">
        <v>2170</v>
      </c>
      <c r="B2161" s="2">
        <v>46303</v>
      </c>
      <c r="C2161" t="s">
        <v>2939</v>
      </c>
      <c r="D2161" t="s">
        <v>2943</v>
      </c>
      <c r="E2161" t="s">
        <v>3095</v>
      </c>
      <c r="F2161" s="3">
        <v>46304.19172095845</v>
      </c>
      <c r="G2161" s="3">
        <v>46304.193553120938</v>
      </c>
      <c r="H2161">
        <v>2.64</v>
      </c>
      <c r="I2161" t="s">
        <v>3151</v>
      </c>
      <c r="J2161" t="s">
        <v>3161</v>
      </c>
      <c r="K2161" t="s">
        <v>3187</v>
      </c>
      <c r="L2161" t="str">
        <f>_xlfn.XLOOKUP(C2161,[1]!Table1[Shift_ID],[1]!Table1[Shift_ID])</f>
        <v>S03</v>
      </c>
      <c r="M2161" t="str">
        <f>_xlfn.XLOOKUP(D2161,[2]!Table1[Machine_ID],[2]!Table1[Machine_ID])</f>
        <v>M002</v>
      </c>
      <c r="N2161" t="str">
        <f>_xlfn.XLOOKUP(E2161,[3]Sheet1!$A$2:$A$391,[3]Sheet1!$A$2:$A$391)</f>
        <v>PO10145</v>
      </c>
    </row>
    <row r="2162" spans="1:14" x14ac:dyDescent="0.2">
      <c r="A2162" t="s">
        <v>2171</v>
      </c>
      <c r="B2162" s="2">
        <v>46303</v>
      </c>
      <c r="C2162" t="s">
        <v>2939</v>
      </c>
      <c r="D2162" t="s">
        <v>2943</v>
      </c>
      <c r="E2162" t="s">
        <v>3095</v>
      </c>
      <c r="F2162" s="3">
        <v>46304.219744134592</v>
      </c>
      <c r="G2162" s="3">
        <v>46304.221315190684</v>
      </c>
      <c r="H2162">
        <v>2.2599999999999998</v>
      </c>
      <c r="I2162" t="s">
        <v>3147</v>
      </c>
      <c r="J2162" t="s">
        <v>3167</v>
      </c>
      <c r="K2162" t="s">
        <v>3172</v>
      </c>
      <c r="L2162" t="str">
        <f>_xlfn.XLOOKUP(C2162,[1]!Table1[Shift_ID],[1]!Table1[Shift_ID])</f>
        <v>S03</v>
      </c>
      <c r="M2162" t="str">
        <f>_xlfn.XLOOKUP(D2162,[2]!Table1[Machine_ID],[2]!Table1[Machine_ID])</f>
        <v>M002</v>
      </c>
      <c r="N2162" t="str">
        <f>_xlfn.XLOOKUP(E2162,[3]Sheet1!$A$2:$A$391,[3]Sheet1!$A$2:$A$391)</f>
        <v>PO10145</v>
      </c>
    </row>
    <row r="2163" spans="1:14" x14ac:dyDescent="0.2">
      <c r="A2163" t="s">
        <v>2172</v>
      </c>
      <c r="B2163" s="2">
        <v>46303</v>
      </c>
      <c r="C2163" t="s">
        <v>2939</v>
      </c>
      <c r="D2163" t="s">
        <v>2944</v>
      </c>
      <c r="E2163" t="s">
        <v>3095</v>
      </c>
      <c r="F2163" s="3">
        <v>46304.114492306311</v>
      </c>
      <c r="G2163" s="3">
        <v>46304.119243369198</v>
      </c>
      <c r="H2163">
        <v>6.84</v>
      </c>
      <c r="I2163" t="s">
        <v>3147</v>
      </c>
      <c r="J2163" t="s">
        <v>3153</v>
      </c>
      <c r="K2163" t="s">
        <v>3185</v>
      </c>
      <c r="L2163" t="str">
        <f>_xlfn.XLOOKUP(C2163,[1]!Table1[Shift_ID],[1]!Table1[Shift_ID])</f>
        <v>S03</v>
      </c>
      <c r="M2163" t="str">
        <f>_xlfn.XLOOKUP(D2163,[2]!Table1[Machine_ID],[2]!Table1[Machine_ID])</f>
        <v>M003</v>
      </c>
      <c r="N2163" t="str">
        <f>_xlfn.XLOOKUP(E2163,[3]Sheet1!$A$2:$A$391,[3]Sheet1!$A$2:$A$391)</f>
        <v>PO10145</v>
      </c>
    </row>
    <row r="2164" spans="1:14" x14ac:dyDescent="0.2">
      <c r="A2164" t="s">
        <v>2173</v>
      </c>
      <c r="B2164" s="2">
        <v>46303</v>
      </c>
      <c r="C2164" t="s">
        <v>2939</v>
      </c>
      <c r="D2164" t="s">
        <v>2944</v>
      </c>
      <c r="E2164" t="s">
        <v>3095</v>
      </c>
      <c r="F2164" s="3">
        <v>46304.141282933218</v>
      </c>
      <c r="G2164" s="3">
        <v>46304.148628667033</v>
      </c>
      <c r="H2164">
        <v>10.58</v>
      </c>
      <c r="I2164" t="s">
        <v>3148</v>
      </c>
      <c r="J2164" t="s">
        <v>3164</v>
      </c>
      <c r="K2164" t="s">
        <v>3183</v>
      </c>
      <c r="L2164" t="str">
        <f>_xlfn.XLOOKUP(C2164,[1]!Table1[Shift_ID],[1]!Table1[Shift_ID])</f>
        <v>S03</v>
      </c>
      <c r="M2164" t="str">
        <f>_xlfn.XLOOKUP(D2164,[2]!Table1[Machine_ID],[2]!Table1[Machine_ID])</f>
        <v>M003</v>
      </c>
      <c r="N2164" t="str">
        <f>_xlfn.XLOOKUP(E2164,[3]Sheet1!$A$2:$A$391,[3]Sheet1!$A$2:$A$391)</f>
        <v>PO10145</v>
      </c>
    </row>
    <row r="2165" spans="1:14" x14ac:dyDescent="0.2">
      <c r="A2165" t="s">
        <v>2174</v>
      </c>
      <c r="B2165" s="2">
        <v>46303</v>
      </c>
      <c r="C2165" t="s">
        <v>2939</v>
      </c>
      <c r="D2165" t="s">
        <v>2945</v>
      </c>
      <c r="E2165" t="s">
        <v>3095</v>
      </c>
      <c r="F2165" s="3">
        <v>46303.960566813359</v>
      </c>
      <c r="G2165" s="3">
        <v>46303.961958530708</v>
      </c>
      <c r="H2165">
        <v>2</v>
      </c>
      <c r="I2165" t="s">
        <v>3149</v>
      </c>
      <c r="J2165" t="s">
        <v>3168</v>
      </c>
      <c r="K2165" t="s">
        <v>3176</v>
      </c>
      <c r="L2165" t="str">
        <f>_xlfn.XLOOKUP(C2165,[1]!Table1[Shift_ID],[1]!Table1[Shift_ID])</f>
        <v>S03</v>
      </c>
      <c r="M2165" t="str">
        <f>_xlfn.XLOOKUP(D2165,[2]!Table1[Machine_ID],[2]!Table1[Machine_ID])</f>
        <v>M004</v>
      </c>
      <c r="N2165" t="str">
        <f>_xlfn.XLOOKUP(E2165,[3]Sheet1!$A$2:$A$391,[3]Sheet1!$A$2:$A$391)</f>
        <v>PO10145</v>
      </c>
    </row>
    <row r="2166" spans="1:14" x14ac:dyDescent="0.2">
      <c r="A2166" t="s">
        <v>2175</v>
      </c>
      <c r="B2166" s="2">
        <v>46303</v>
      </c>
      <c r="C2166" t="s">
        <v>2939</v>
      </c>
      <c r="D2166" t="s">
        <v>2945</v>
      </c>
      <c r="E2166" t="s">
        <v>3095</v>
      </c>
      <c r="F2166" s="3">
        <v>46303.975637850417</v>
      </c>
      <c r="G2166" s="3">
        <v>46303.977081120429</v>
      </c>
      <c r="H2166">
        <v>2.08</v>
      </c>
      <c r="I2166" t="s">
        <v>3146</v>
      </c>
      <c r="J2166" t="s">
        <v>3152</v>
      </c>
      <c r="K2166" t="s">
        <v>3175</v>
      </c>
      <c r="L2166" t="str">
        <f>_xlfn.XLOOKUP(C2166,[1]!Table1[Shift_ID],[1]!Table1[Shift_ID])</f>
        <v>S03</v>
      </c>
      <c r="M2166" t="str">
        <f>_xlfn.XLOOKUP(D2166,[2]!Table1[Machine_ID],[2]!Table1[Machine_ID])</f>
        <v>M004</v>
      </c>
      <c r="N2166" t="str">
        <f>_xlfn.XLOOKUP(E2166,[3]Sheet1!$A$2:$A$391,[3]Sheet1!$A$2:$A$391)</f>
        <v>PO10145</v>
      </c>
    </row>
    <row r="2167" spans="1:14" x14ac:dyDescent="0.2">
      <c r="A2167" t="s">
        <v>2176</v>
      </c>
      <c r="B2167" s="2">
        <v>46303</v>
      </c>
      <c r="C2167" t="s">
        <v>2939</v>
      </c>
      <c r="D2167" t="s">
        <v>2945</v>
      </c>
      <c r="E2167" t="s">
        <v>3095</v>
      </c>
      <c r="F2167" s="3">
        <v>46304.105609230428</v>
      </c>
      <c r="G2167" s="3">
        <v>46304.107000947777</v>
      </c>
      <c r="H2167">
        <v>2</v>
      </c>
      <c r="I2167" t="s">
        <v>3151</v>
      </c>
      <c r="J2167" t="s">
        <v>3170</v>
      </c>
      <c r="K2167" t="s">
        <v>3188</v>
      </c>
      <c r="L2167" t="str">
        <f>_xlfn.XLOOKUP(C2167,[1]!Table1[Shift_ID],[1]!Table1[Shift_ID])</f>
        <v>S03</v>
      </c>
      <c r="M2167" t="str">
        <f>_xlfn.XLOOKUP(D2167,[2]!Table1[Machine_ID],[2]!Table1[Machine_ID])</f>
        <v>M004</v>
      </c>
      <c r="N2167" t="str">
        <f>_xlfn.XLOOKUP(E2167,[3]Sheet1!$A$2:$A$391,[3]Sheet1!$A$2:$A$391)</f>
        <v>PO10145</v>
      </c>
    </row>
    <row r="2168" spans="1:14" x14ac:dyDescent="0.2">
      <c r="A2168" t="s">
        <v>2177</v>
      </c>
      <c r="B2168" s="2">
        <v>46303</v>
      </c>
      <c r="C2168" t="s">
        <v>2939</v>
      </c>
      <c r="D2168" t="s">
        <v>2945</v>
      </c>
      <c r="E2168" t="s">
        <v>3095</v>
      </c>
      <c r="F2168" s="3">
        <v>46304.113480301858</v>
      </c>
      <c r="G2168" s="3">
        <v>46304.114872019207</v>
      </c>
      <c r="H2168">
        <v>2</v>
      </c>
      <c r="I2168" t="s">
        <v>3148</v>
      </c>
      <c r="J2168" t="s">
        <v>3165</v>
      </c>
      <c r="K2168" t="s">
        <v>3180</v>
      </c>
      <c r="L2168" t="str">
        <f>_xlfn.XLOOKUP(C2168,[1]!Table1[Shift_ID],[1]!Table1[Shift_ID])</f>
        <v>S03</v>
      </c>
      <c r="M2168" t="str">
        <f>_xlfn.XLOOKUP(D2168,[2]!Table1[Machine_ID],[2]!Table1[Machine_ID])</f>
        <v>M004</v>
      </c>
      <c r="N2168" t="str">
        <f>_xlfn.XLOOKUP(E2168,[3]Sheet1!$A$2:$A$391,[3]Sheet1!$A$2:$A$391)</f>
        <v>PO10145</v>
      </c>
    </row>
    <row r="2169" spans="1:14" x14ac:dyDescent="0.2">
      <c r="A2169" t="s">
        <v>2178</v>
      </c>
      <c r="B2169" s="2">
        <v>46303</v>
      </c>
      <c r="C2169" t="s">
        <v>2939</v>
      </c>
      <c r="D2169" t="s">
        <v>2946</v>
      </c>
      <c r="E2169" t="s">
        <v>3095</v>
      </c>
      <c r="F2169" s="3">
        <v>46304.121097351926</v>
      </c>
      <c r="G2169" s="3">
        <v>46304.127266579919</v>
      </c>
      <c r="H2169">
        <v>8.8800000000000008</v>
      </c>
      <c r="I2169" t="s">
        <v>3146</v>
      </c>
      <c r="J2169" t="s">
        <v>3152</v>
      </c>
      <c r="K2169" t="s">
        <v>3175</v>
      </c>
      <c r="L2169" t="str">
        <f>_xlfn.XLOOKUP(C2169,[1]!Table1[Shift_ID],[1]!Table1[Shift_ID])</f>
        <v>S03</v>
      </c>
      <c r="M2169" t="str">
        <f>_xlfn.XLOOKUP(D2169,[2]!Table1[Machine_ID],[2]!Table1[Machine_ID])</f>
        <v>M005</v>
      </c>
      <c r="N2169" t="str">
        <f>_xlfn.XLOOKUP(E2169,[3]Sheet1!$A$2:$A$391,[3]Sheet1!$A$2:$A$391)</f>
        <v>PO10145</v>
      </c>
    </row>
    <row r="2170" spans="1:14" x14ac:dyDescent="0.2">
      <c r="A2170" t="s">
        <v>2179</v>
      </c>
      <c r="B2170" s="2">
        <v>46303</v>
      </c>
      <c r="C2170" t="s">
        <v>2939</v>
      </c>
      <c r="D2170" t="s">
        <v>2946</v>
      </c>
      <c r="E2170" t="s">
        <v>3095</v>
      </c>
      <c r="F2170" s="3">
        <v>46304.192893129417</v>
      </c>
      <c r="G2170" s="3">
        <v>46304.194600301191</v>
      </c>
      <c r="H2170">
        <v>2.46</v>
      </c>
      <c r="I2170" t="s">
        <v>3147</v>
      </c>
      <c r="J2170" t="s">
        <v>3167</v>
      </c>
      <c r="K2170" t="s">
        <v>3172</v>
      </c>
      <c r="L2170" t="str">
        <f>_xlfn.XLOOKUP(C2170,[1]!Table1[Shift_ID],[1]!Table1[Shift_ID])</f>
        <v>S03</v>
      </c>
      <c r="M2170" t="str">
        <f>_xlfn.XLOOKUP(D2170,[2]!Table1[Machine_ID],[2]!Table1[Machine_ID])</f>
        <v>M005</v>
      </c>
      <c r="N2170" t="str">
        <f>_xlfn.XLOOKUP(E2170,[3]Sheet1!$A$2:$A$391,[3]Sheet1!$A$2:$A$391)</f>
        <v>PO10145</v>
      </c>
    </row>
    <row r="2171" spans="1:14" x14ac:dyDescent="0.2">
      <c r="A2171" t="s">
        <v>2180</v>
      </c>
      <c r="B2171" s="2">
        <v>46303</v>
      </c>
      <c r="C2171" t="s">
        <v>2939</v>
      </c>
      <c r="D2171" t="s">
        <v>2947</v>
      </c>
      <c r="E2171" t="s">
        <v>3095</v>
      </c>
      <c r="F2171" s="3">
        <v>46303.940787732492</v>
      </c>
      <c r="G2171" s="3">
        <v>46303.965098606968</v>
      </c>
      <c r="H2171">
        <v>35.01</v>
      </c>
      <c r="I2171" t="s">
        <v>3151</v>
      </c>
      <c r="J2171" t="s">
        <v>3161</v>
      </c>
      <c r="K2171" t="s">
        <v>3188</v>
      </c>
      <c r="L2171" t="str">
        <f>_xlfn.XLOOKUP(C2171,[1]!Table1[Shift_ID],[1]!Table1[Shift_ID])</f>
        <v>S03</v>
      </c>
      <c r="M2171" t="str">
        <f>_xlfn.XLOOKUP(D2171,[2]!Table1[Machine_ID],[2]!Table1[Machine_ID])</f>
        <v>M006</v>
      </c>
      <c r="N2171" t="str">
        <f>_xlfn.XLOOKUP(E2171,[3]Sheet1!$A$2:$A$391,[3]Sheet1!$A$2:$A$391)</f>
        <v>PO10145</v>
      </c>
    </row>
    <row r="2172" spans="1:14" x14ac:dyDescent="0.2">
      <c r="A2172" t="s">
        <v>2181</v>
      </c>
      <c r="B2172" s="2">
        <v>46303</v>
      </c>
      <c r="C2172" t="s">
        <v>2939</v>
      </c>
      <c r="D2172" t="s">
        <v>2948</v>
      </c>
      <c r="E2172" t="s">
        <v>3095</v>
      </c>
      <c r="F2172" s="3">
        <v>46304.06766502565</v>
      </c>
      <c r="G2172" s="3">
        <v>46304.08421650932</v>
      </c>
      <c r="H2172">
        <v>23.83</v>
      </c>
      <c r="I2172" t="s">
        <v>3148</v>
      </c>
      <c r="J2172" t="s">
        <v>3164</v>
      </c>
      <c r="K2172" t="s">
        <v>3183</v>
      </c>
      <c r="L2172" t="str">
        <f>_xlfn.XLOOKUP(C2172,[1]!Table1[Shift_ID],[1]!Table1[Shift_ID])</f>
        <v>S03</v>
      </c>
      <c r="M2172" t="str">
        <f>_xlfn.XLOOKUP(D2172,[2]!Table1[Machine_ID],[2]!Table1[Machine_ID])</f>
        <v>M007</v>
      </c>
      <c r="N2172" t="str">
        <f>_xlfn.XLOOKUP(E2172,[3]Sheet1!$A$2:$A$391,[3]Sheet1!$A$2:$A$391)</f>
        <v>PO10145</v>
      </c>
    </row>
    <row r="2173" spans="1:14" x14ac:dyDescent="0.2">
      <c r="A2173" t="s">
        <v>2182</v>
      </c>
      <c r="B2173" s="2">
        <v>46303</v>
      </c>
      <c r="C2173" t="s">
        <v>2939</v>
      </c>
      <c r="D2173" t="s">
        <v>2949</v>
      </c>
      <c r="E2173" t="s">
        <v>3095</v>
      </c>
      <c r="F2173" s="3">
        <v>46303.958244886402</v>
      </c>
      <c r="G2173" s="3">
        <v>46303.961884031443</v>
      </c>
      <c r="H2173">
        <v>5.24</v>
      </c>
      <c r="I2173" t="s">
        <v>3150</v>
      </c>
      <c r="J2173" t="s">
        <v>3163</v>
      </c>
      <c r="K2173" t="s">
        <v>3178</v>
      </c>
      <c r="L2173" t="str">
        <f>_xlfn.XLOOKUP(C2173,[1]!Table1[Shift_ID],[1]!Table1[Shift_ID])</f>
        <v>S03</v>
      </c>
      <c r="M2173" t="str">
        <f>_xlfn.XLOOKUP(D2173,[2]!Table1[Machine_ID],[2]!Table1[Machine_ID])</f>
        <v>M008</v>
      </c>
      <c r="N2173" t="str">
        <f>_xlfn.XLOOKUP(E2173,[3]Sheet1!$A$2:$A$391,[3]Sheet1!$A$2:$A$391)</f>
        <v>PO10145</v>
      </c>
    </row>
    <row r="2174" spans="1:14" x14ac:dyDescent="0.2">
      <c r="A2174" t="s">
        <v>2183</v>
      </c>
      <c r="B2174" s="2">
        <v>46303</v>
      </c>
      <c r="C2174" t="s">
        <v>2939</v>
      </c>
      <c r="D2174" t="s">
        <v>2949</v>
      </c>
      <c r="E2174" t="s">
        <v>3095</v>
      </c>
      <c r="F2174" s="3">
        <v>46304.126941517054</v>
      </c>
      <c r="G2174" s="3">
        <v>46304.130221322092</v>
      </c>
      <c r="H2174">
        <v>4.72</v>
      </c>
      <c r="I2174" t="s">
        <v>3148</v>
      </c>
      <c r="J2174" t="s">
        <v>3164</v>
      </c>
      <c r="K2174" t="s">
        <v>3180</v>
      </c>
      <c r="L2174" t="str">
        <f>_xlfn.XLOOKUP(C2174,[1]!Table1[Shift_ID],[1]!Table1[Shift_ID])</f>
        <v>S03</v>
      </c>
      <c r="M2174" t="str">
        <f>_xlfn.XLOOKUP(D2174,[2]!Table1[Machine_ID],[2]!Table1[Machine_ID])</f>
        <v>M008</v>
      </c>
      <c r="N2174" t="str">
        <f>_xlfn.XLOOKUP(E2174,[3]Sheet1!$A$2:$A$391,[3]Sheet1!$A$2:$A$391)</f>
        <v>PO10145</v>
      </c>
    </row>
    <row r="2175" spans="1:14" x14ac:dyDescent="0.2">
      <c r="A2175" t="s">
        <v>2184</v>
      </c>
      <c r="B2175" s="2">
        <v>46303</v>
      </c>
      <c r="C2175" t="s">
        <v>2940</v>
      </c>
      <c r="D2175" t="s">
        <v>2942</v>
      </c>
      <c r="E2175" t="s">
        <v>3096</v>
      </c>
      <c r="F2175" s="3">
        <v>46303.434429230801</v>
      </c>
      <c r="G2175" s="3">
        <v>46303.440640138921</v>
      </c>
      <c r="H2175">
        <v>8.94</v>
      </c>
      <c r="I2175" t="s">
        <v>3150</v>
      </c>
      <c r="J2175" t="s">
        <v>3160</v>
      </c>
      <c r="K2175" t="s">
        <v>3179</v>
      </c>
      <c r="L2175" t="str">
        <f>_xlfn.XLOOKUP(C2175,[1]!Table1[Shift_ID],[1]!Table1[Shift_ID])</f>
        <v>S01</v>
      </c>
      <c r="M2175" t="str">
        <f>_xlfn.XLOOKUP(D2175,[2]!Table1[Machine_ID],[2]!Table1[Machine_ID])</f>
        <v>M001</v>
      </c>
      <c r="N2175" t="str">
        <f>_xlfn.XLOOKUP(E2175,[3]Sheet1!$A$2:$A$391,[3]Sheet1!$A$2:$A$391)</f>
        <v>PO10146</v>
      </c>
    </row>
    <row r="2176" spans="1:14" x14ac:dyDescent="0.2">
      <c r="A2176" t="s">
        <v>2185</v>
      </c>
      <c r="B2176" s="2">
        <v>46303</v>
      </c>
      <c r="C2176" t="s">
        <v>2940</v>
      </c>
      <c r="D2176" t="s">
        <v>2943</v>
      </c>
      <c r="E2176" t="s">
        <v>3096</v>
      </c>
      <c r="F2176" s="3">
        <v>46303.512101136337</v>
      </c>
      <c r="G2176" s="3">
        <v>46303.520600011921</v>
      </c>
      <c r="H2176">
        <v>12.24</v>
      </c>
      <c r="I2176" t="s">
        <v>3151</v>
      </c>
      <c r="J2176" t="s">
        <v>3170</v>
      </c>
      <c r="K2176" t="s">
        <v>3187</v>
      </c>
      <c r="L2176" t="str">
        <f>_xlfn.XLOOKUP(C2176,[1]!Table1[Shift_ID],[1]!Table1[Shift_ID])</f>
        <v>S01</v>
      </c>
      <c r="M2176" t="str">
        <f>_xlfn.XLOOKUP(D2176,[2]!Table1[Machine_ID],[2]!Table1[Machine_ID])</f>
        <v>M002</v>
      </c>
      <c r="N2176" t="str">
        <f>_xlfn.XLOOKUP(E2176,[3]Sheet1!$A$2:$A$391,[3]Sheet1!$A$2:$A$391)</f>
        <v>PO10146</v>
      </c>
    </row>
    <row r="2177" spans="1:14" x14ac:dyDescent="0.2">
      <c r="A2177" t="s">
        <v>2186</v>
      </c>
      <c r="B2177" s="2">
        <v>46303</v>
      </c>
      <c r="C2177" t="s">
        <v>2940</v>
      </c>
      <c r="D2177" t="s">
        <v>2944</v>
      </c>
      <c r="E2177" t="s">
        <v>3096</v>
      </c>
      <c r="F2177" s="3">
        <v>46303.313140160513</v>
      </c>
      <c r="G2177" s="3">
        <v>46303.31566815354</v>
      </c>
      <c r="H2177">
        <v>3.64</v>
      </c>
      <c r="I2177" t="s">
        <v>3150</v>
      </c>
      <c r="J2177" t="s">
        <v>3159</v>
      </c>
      <c r="K2177" t="s">
        <v>3177</v>
      </c>
      <c r="L2177" t="str">
        <f>_xlfn.XLOOKUP(C2177,[1]!Table1[Shift_ID],[1]!Table1[Shift_ID])</f>
        <v>S01</v>
      </c>
      <c r="M2177" t="str">
        <f>_xlfn.XLOOKUP(D2177,[2]!Table1[Machine_ID],[2]!Table1[Machine_ID])</f>
        <v>M003</v>
      </c>
      <c r="N2177" t="str">
        <f>_xlfn.XLOOKUP(E2177,[3]Sheet1!$A$2:$A$391,[3]Sheet1!$A$2:$A$391)</f>
        <v>PO10146</v>
      </c>
    </row>
    <row r="2178" spans="1:14" x14ac:dyDescent="0.2">
      <c r="A2178" t="s">
        <v>2187</v>
      </c>
      <c r="B2178" s="2">
        <v>46303</v>
      </c>
      <c r="C2178" t="s">
        <v>2940</v>
      </c>
      <c r="D2178" t="s">
        <v>2944</v>
      </c>
      <c r="E2178" t="s">
        <v>3096</v>
      </c>
      <c r="F2178" s="3">
        <v>46303.413445644997</v>
      </c>
      <c r="G2178" s="3">
        <v>46303.421927388321</v>
      </c>
      <c r="H2178">
        <v>12.21</v>
      </c>
      <c r="I2178" t="s">
        <v>3147</v>
      </c>
      <c r="J2178" t="s">
        <v>3153</v>
      </c>
      <c r="K2178" t="s">
        <v>3186</v>
      </c>
      <c r="L2178" t="str">
        <f>_xlfn.XLOOKUP(C2178,[1]!Table1[Shift_ID],[1]!Table1[Shift_ID])</f>
        <v>S01</v>
      </c>
      <c r="M2178" t="str">
        <f>_xlfn.XLOOKUP(D2178,[2]!Table1[Machine_ID],[2]!Table1[Machine_ID])</f>
        <v>M003</v>
      </c>
      <c r="N2178" t="str">
        <f>_xlfn.XLOOKUP(E2178,[3]Sheet1!$A$2:$A$391,[3]Sheet1!$A$2:$A$391)</f>
        <v>PO10146</v>
      </c>
    </row>
    <row r="2179" spans="1:14" x14ac:dyDescent="0.2">
      <c r="A2179" t="s">
        <v>2188</v>
      </c>
      <c r="B2179" s="2">
        <v>46303</v>
      </c>
      <c r="C2179" t="s">
        <v>2940</v>
      </c>
      <c r="D2179" t="s">
        <v>2945</v>
      </c>
      <c r="E2179" t="s">
        <v>3096</v>
      </c>
      <c r="F2179" s="3">
        <v>46303.274668576501</v>
      </c>
      <c r="G2179" s="3">
        <v>46303.276127682708</v>
      </c>
      <c r="H2179">
        <v>2.1</v>
      </c>
      <c r="I2179" t="s">
        <v>3146</v>
      </c>
      <c r="J2179" t="s">
        <v>3156</v>
      </c>
      <c r="K2179" t="s">
        <v>3171</v>
      </c>
      <c r="L2179" t="str">
        <f>_xlfn.XLOOKUP(C2179,[1]!Table1[Shift_ID],[1]!Table1[Shift_ID])</f>
        <v>S01</v>
      </c>
      <c r="M2179" t="str">
        <f>_xlfn.XLOOKUP(D2179,[2]!Table1[Machine_ID],[2]!Table1[Machine_ID])</f>
        <v>M004</v>
      </c>
      <c r="N2179" t="str">
        <f>_xlfn.XLOOKUP(E2179,[3]Sheet1!$A$2:$A$391,[3]Sheet1!$A$2:$A$391)</f>
        <v>PO10146</v>
      </c>
    </row>
    <row r="2180" spans="1:14" x14ac:dyDescent="0.2">
      <c r="A2180" t="s">
        <v>2189</v>
      </c>
      <c r="B2180" s="2">
        <v>46303</v>
      </c>
      <c r="C2180" t="s">
        <v>2940</v>
      </c>
      <c r="D2180" t="s">
        <v>2945</v>
      </c>
      <c r="E2180" t="s">
        <v>3096</v>
      </c>
      <c r="F2180" s="3">
        <v>46303.289286206273</v>
      </c>
      <c r="G2180" s="3">
        <v>46303.290745312479</v>
      </c>
      <c r="H2180">
        <v>2.1</v>
      </c>
      <c r="I2180" t="s">
        <v>3150</v>
      </c>
      <c r="J2180" t="s">
        <v>3160</v>
      </c>
      <c r="K2180" t="s">
        <v>3179</v>
      </c>
      <c r="L2180" t="str">
        <f>_xlfn.XLOOKUP(C2180,[1]!Table1[Shift_ID],[1]!Table1[Shift_ID])</f>
        <v>S01</v>
      </c>
      <c r="M2180" t="str">
        <f>_xlfn.XLOOKUP(D2180,[2]!Table1[Machine_ID],[2]!Table1[Machine_ID])</f>
        <v>M004</v>
      </c>
      <c r="N2180" t="str">
        <f>_xlfn.XLOOKUP(E2180,[3]Sheet1!$A$2:$A$391,[3]Sheet1!$A$2:$A$391)</f>
        <v>PO10146</v>
      </c>
    </row>
    <row r="2181" spans="1:14" x14ac:dyDescent="0.2">
      <c r="A2181" t="s">
        <v>2190</v>
      </c>
      <c r="B2181" s="2">
        <v>46303</v>
      </c>
      <c r="C2181" t="s">
        <v>2940</v>
      </c>
      <c r="D2181" t="s">
        <v>2945</v>
      </c>
      <c r="E2181" t="s">
        <v>3096</v>
      </c>
      <c r="F2181" s="3">
        <v>46303.428557831481</v>
      </c>
      <c r="G2181" s="3">
        <v>46303.433756972743</v>
      </c>
      <c r="H2181">
        <v>7.49</v>
      </c>
      <c r="I2181" t="s">
        <v>3149</v>
      </c>
      <c r="J2181" t="s">
        <v>3168</v>
      </c>
      <c r="K2181" t="s">
        <v>3176</v>
      </c>
      <c r="L2181" t="str">
        <f>_xlfn.XLOOKUP(C2181,[1]!Table1[Shift_ID],[1]!Table1[Shift_ID])</f>
        <v>S01</v>
      </c>
      <c r="M2181" t="str">
        <f>_xlfn.XLOOKUP(D2181,[2]!Table1[Machine_ID],[2]!Table1[Machine_ID])</f>
        <v>M004</v>
      </c>
      <c r="N2181" t="str">
        <f>_xlfn.XLOOKUP(E2181,[3]Sheet1!$A$2:$A$391,[3]Sheet1!$A$2:$A$391)</f>
        <v>PO10146</v>
      </c>
    </row>
    <row r="2182" spans="1:14" x14ac:dyDescent="0.2">
      <c r="A2182" t="s">
        <v>2191</v>
      </c>
      <c r="B2182" s="2">
        <v>46303</v>
      </c>
      <c r="C2182" t="s">
        <v>2940</v>
      </c>
      <c r="D2182" t="s">
        <v>2946</v>
      </c>
      <c r="E2182" t="s">
        <v>3096</v>
      </c>
      <c r="F2182" s="3">
        <v>46303.28146837205</v>
      </c>
      <c r="G2182" s="3">
        <v>46303.284784827127</v>
      </c>
      <c r="H2182">
        <v>4.78</v>
      </c>
      <c r="I2182" t="s">
        <v>3147</v>
      </c>
      <c r="J2182" t="s">
        <v>3154</v>
      </c>
      <c r="K2182" t="s">
        <v>3172</v>
      </c>
      <c r="L2182" t="str">
        <f>_xlfn.XLOOKUP(C2182,[1]!Table1[Shift_ID],[1]!Table1[Shift_ID])</f>
        <v>S01</v>
      </c>
      <c r="M2182" t="str">
        <f>_xlfn.XLOOKUP(D2182,[2]!Table1[Machine_ID],[2]!Table1[Machine_ID])</f>
        <v>M005</v>
      </c>
      <c r="N2182" t="str">
        <f>_xlfn.XLOOKUP(E2182,[3]Sheet1!$A$2:$A$391,[3]Sheet1!$A$2:$A$391)</f>
        <v>PO10146</v>
      </c>
    </row>
    <row r="2183" spans="1:14" x14ac:dyDescent="0.2">
      <c r="A2183" t="s">
        <v>2192</v>
      </c>
      <c r="B2183" s="2">
        <v>46303</v>
      </c>
      <c r="C2183" t="s">
        <v>2940</v>
      </c>
      <c r="D2183" t="s">
        <v>2946</v>
      </c>
      <c r="E2183" t="s">
        <v>3096</v>
      </c>
      <c r="F2183" s="3">
        <v>46303.443403928257</v>
      </c>
      <c r="G2183" s="3">
        <v>46303.447111906171</v>
      </c>
      <c r="H2183">
        <v>5.34</v>
      </c>
      <c r="I2183" t="s">
        <v>3147</v>
      </c>
      <c r="J2183" t="s">
        <v>3154</v>
      </c>
      <c r="K2183" t="s">
        <v>3185</v>
      </c>
      <c r="L2183" t="str">
        <f>_xlfn.XLOOKUP(C2183,[1]!Table1[Shift_ID],[1]!Table1[Shift_ID])</f>
        <v>S01</v>
      </c>
      <c r="M2183" t="str">
        <f>_xlfn.XLOOKUP(D2183,[2]!Table1[Machine_ID],[2]!Table1[Machine_ID])</f>
        <v>M005</v>
      </c>
      <c r="N2183" t="str">
        <f>_xlfn.XLOOKUP(E2183,[3]Sheet1!$A$2:$A$391,[3]Sheet1!$A$2:$A$391)</f>
        <v>PO10146</v>
      </c>
    </row>
    <row r="2184" spans="1:14" x14ac:dyDescent="0.2">
      <c r="A2184" t="s">
        <v>2193</v>
      </c>
      <c r="B2184" s="2">
        <v>46303</v>
      </c>
      <c r="C2184" t="s">
        <v>2940</v>
      </c>
      <c r="D2184" t="s">
        <v>2947</v>
      </c>
      <c r="E2184" t="s">
        <v>3096</v>
      </c>
      <c r="F2184" s="3">
        <v>46303.477151749641</v>
      </c>
      <c r="G2184" s="3">
        <v>46303.494933312671</v>
      </c>
      <c r="H2184">
        <v>25.61</v>
      </c>
      <c r="I2184" t="s">
        <v>3147</v>
      </c>
      <c r="J2184" t="s">
        <v>3153</v>
      </c>
      <c r="K2184" t="s">
        <v>3172</v>
      </c>
      <c r="L2184" t="str">
        <f>_xlfn.XLOOKUP(C2184,[1]!Table1[Shift_ID],[1]!Table1[Shift_ID])</f>
        <v>S01</v>
      </c>
      <c r="M2184" t="str">
        <f>_xlfn.XLOOKUP(D2184,[2]!Table1[Machine_ID],[2]!Table1[Machine_ID])</f>
        <v>M006</v>
      </c>
      <c r="N2184" t="str">
        <f>_xlfn.XLOOKUP(E2184,[3]Sheet1!$A$2:$A$391,[3]Sheet1!$A$2:$A$391)</f>
        <v>PO10146</v>
      </c>
    </row>
    <row r="2185" spans="1:14" x14ac:dyDescent="0.2">
      <c r="A2185" t="s">
        <v>2194</v>
      </c>
      <c r="B2185" s="2">
        <v>46303</v>
      </c>
      <c r="C2185" t="s">
        <v>2940</v>
      </c>
      <c r="D2185" t="s">
        <v>2948</v>
      </c>
      <c r="E2185" t="s">
        <v>3096</v>
      </c>
      <c r="F2185" s="3">
        <v>46303.360827928627</v>
      </c>
      <c r="G2185" s="3">
        <v>46303.364364565663</v>
      </c>
      <c r="H2185">
        <v>5.09</v>
      </c>
      <c r="I2185" t="s">
        <v>3150</v>
      </c>
      <c r="J2185" t="s">
        <v>3166</v>
      </c>
      <c r="K2185" t="s">
        <v>3179</v>
      </c>
      <c r="L2185" t="str">
        <f>_xlfn.XLOOKUP(C2185,[1]!Table1[Shift_ID],[1]!Table1[Shift_ID])</f>
        <v>S01</v>
      </c>
      <c r="M2185" t="str">
        <f>_xlfn.XLOOKUP(D2185,[2]!Table1[Machine_ID],[2]!Table1[Machine_ID])</f>
        <v>M007</v>
      </c>
      <c r="N2185" t="str">
        <f>_xlfn.XLOOKUP(E2185,[3]Sheet1!$A$2:$A$391,[3]Sheet1!$A$2:$A$391)</f>
        <v>PO10146</v>
      </c>
    </row>
    <row r="2186" spans="1:14" x14ac:dyDescent="0.2">
      <c r="A2186" t="s">
        <v>2195</v>
      </c>
      <c r="B2186" s="2">
        <v>46303</v>
      </c>
      <c r="C2186" t="s">
        <v>2940</v>
      </c>
      <c r="D2186" t="s">
        <v>2948</v>
      </c>
      <c r="E2186" t="s">
        <v>3096</v>
      </c>
      <c r="F2186" s="3">
        <v>46303.550222550737</v>
      </c>
      <c r="G2186" s="3">
        <v>46303.556655874941</v>
      </c>
      <c r="H2186">
        <v>9.26</v>
      </c>
      <c r="I2186" t="s">
        <v>3148</v>
      </c>
      <c r="J2186" t="s">
        <v>3155</v>
      </c>
      <c r="K2186" t="s">
        <v>3173</v>
      </c>
      <c r="L2186" t="str">
        <f>_xlfn.XLOOKUP(C2186,[1]!Table1[Shift_ID],[1]!Table1[Shift_ID])</f>
        <v>S01</v>
      </c>
      <c r="M2186" t="str">
        <f>_xlfn.XLOOKUP(D2186,[2]!Table1[Machine_ID],[2]!Table1[Machine_ID])</f>
        <v>M007</v>
      </c>
      <c r="N2186" t="str">
        <f>_xlfn.XLOOKUP(E2186,[3]Sheet1!$A$2:$A$391,[3]Sheet1!$A$2:$A$391)</f>
        <v>PO10146</v>
      </c>
    </row>
    <row r="2187" spans="1:14" x14ac:dyDescent="0.2">
      <c r="A2187" t="s">
        <v>2196</v>
      </c>
      <c r="B2187" s="2">
        <v>46303</v>
      </c>
      <c r="C2187" t="s">
        <v>2940</v>
      </c>
      <c r="D2187" t="s">
        <v>2949</v>
      </c>
      <c r="E2187" t="s">
        <v>3096</v>
      </c>
      <c r="F2187" s="3">
        <v>46303.451679120983</v>
      </c>
      <c r="G2187" s="3">
        <v>46303.456912723312</v>
      </c>
      <c r="H2187">
        <v>7.54</v>
      </c>
      <c r="I2187" t="s">
        <v>3146</v>
      </c>
      <c r="J2187" t="s">
        <v>3157</v>
      </c>
      <c r="K2187" t="s">
        <v>3171</v>
      </c>
      <c r="L2187" t="str">
        <f>_xlfn.XLOOKUP(C2187,[1]!Table1[Shift_ID],[1]!Table1[Shift_ID])</f>
        <v>S01</v>
      </c>
      <c r="M2187" t="str">
        <f>_xlfn.XLOOKUP(D2187,[2]!Table1[Machine_ID],[2]!Table1[Machine_ID])</f>
        <v>M008</v>
      </c>
      <c r="N2187" t="str">
        <f>_xlfn.XLOOKUP(E2187,[3]Sheet1!$A$2:$A$391,[3]Sheet1!$A$2:$A$391)</f>
        <v>PO10146</v>
      </c>
    </row>
    <row r="2188" spans="1:14" x14ac:dyDescent="0.2">
      <c r="A2188" t="s">
        <v>2197</v>
      </c>
      <c r="B2188" s="2">
        <v>46303</v>
      </c>
      <c r="C2188" t="s">
        <v>2941</v>
      </c>
      <c r="D2188" t="s">
        <v>2942</v>
      </c>
      <c r="E2188" t="s">
        <v>3097</v>
      </c>
      <c r="F2188" s="3">
        <v>46303.708540445143</v>
      </c>
      <c r="G2188" s="3">
        <v>46303.716298202533</v>
      </c>
      <c r="H2188">
        <v>11.17</v>
      </c>
      <c r="I2188" t="s">
        <v>3147</v>
      </c>
      <c r="J2188" t="s">
        <v>3154</v>
      </c>
      <c r="K2188" t="s">
        <v>3186</v>
      </c>
      <c r="L2188" t="str">
        <f>_xlfn.XLOOKUP(C2188,[1]!Table1[Shift_ID],[1]!Table1[Shift_ID])</f>
        <v>S02</v>
      </c>
      <c r="M2188" t="str">
        <f>_xlfn.XLOOKUP(D2188,[2]!Table1[Machine_ID],[2]!Table1[Machine_ID])</f>
        <v>M001</v>
      </c>
      <c r="N2188" t="str">
        <f>_xlfn.XLOOKUP(E2188,[3]Sheet1!$A$2:$A$391,[3]Sheet1!$A$2:$A$391)</f>
        <v>PO10147</v>
      </c>
    </row>
    <row r="2189" spans="1:14" x14ac:dyDescent="0.2">
      <c r="A2189" t="s">
        <v>2198</v>
      </c>
      <c r="B2189" s="2">
        <v>46303</v>
      </c>
      <c r="C2189" t="s">
        <v>2941</v>
      </c>
      <c r="D2189" t="s">
        <v>2943</v>
      </c>
      <c r="E2189" t="s">
        <v>3097</v>
      </c>
      <c r="F2189" s="3">
        <v>46303.675698000778</v>
      </c>
      <c r="G2189" s="3">
        <v>46303.683317613439</v>
      </c>
      <c r="H2189">
        <v>10.97</v>
      </c>
      <c r="I2189" t="s">
        <v>3151</v>
      </c>
      <c r="J2189" t="s">
        <v>3169</v>
      </c>
      <c r="K2189" t="s">
        <v>3187</v>
      </c>
      <c r="L2189" t="str">
        <f>_xlfn.XLOOKUP(C2189,[1]!Table1[Shift_ID],[1]!Table1[Shift_ID])</f>
        <v>S02</v>
      </c>
      <c r="M2189" t="str">
        <f>_xlfn.XLOOKUP(D2189,[2]!Table1[Machine_ID],[2]!Table1[Machine_ID])</f>
        <v>M002</v>
      </c>
      <c r="N2189" t="str">
        <f>_xlfn.XLOOKUP(E2189,[3]Sheet1!$A$2:$A$391,[3]Sheet1!$A$2:$A$391)</f>
        <v>PO10147</v>
      </c>
    </row>
    <row r="2190" spans="1:14" x14ac:dyDescent="0.2">
      <c r="A2190" t="s">
        <v>2199</v>
      </c>
      <c r="B2190" s="2">
        <v>46303</v>
      </c>
      <c r="C2190" t="s">
        <v>2941</v>
      </c>
      <c r="D2190" t="s">
        <v>2943</v>
      </c>
      <c r="E2190" t="s">
        <v>3097</v>
      </c>
      <c r="F2190" s="3">
        <v>46303.734679456436</v>
      </c>
      <c r="G2190" s="3">
        <v>46303.736711453472</v>
      </c>
      <c r="H2190">
        <v>2.93</v>
      </c>
      <c r="I2190" t="s">
        <v>3147</v>
      </c>
      <c r="J2190" t="s">
        <v>3153</v>
      </c>
      <c r="K2190" t="s">
        <v>3172</v>
      </c>
      <c r="L2190" t="str">
        <f>_xlfn.XLOOKUP(C2190,[1]!Table1[Shift_ID],[1]!Table1[Shift_ID])</f>
        <v>S02</v>
      </c>
      <c r="M2190" t="str">
        <f>_xlfn.XLOOKUP(D2190,[2]!Table1[Machine_ID],[2]!Table1[Machine_ID])</f>
        <v>M002</v>
      </c>
      <c r="N2190" t="str">
        <f>_xlfn.XLOOKUP(E2190,[3]Sheet1!$A$2:$A$391,[3]Sheet1!$A$2:$A$391)</f>
        <v>PO10147</v>
      </c>
    </row>
    <row r="2191" spans="1:14" x14ac:dyDescent="0.2">
      <c r="A2191" t="s">
        <v>2200</v>
      </c>
      <c r="B2191" s="2">
        <v>46303</v>
      </c>
      <c r="C2191" t="s">
        <v>2941</v>
      </c>
      <c r="D2191" t="s">
        <v>2944</v>
      </c>
      <c r="E2191" t="s">
        <v>3097</v>
      </c>
      <c r="F2191" s="3">
        <v>46303.617635650488</v>
      </c>
      <c r="G2191" s="3">
        <v>46303.619718904833</v>
      </c>
      <c r="H2191">
        <v>3</v>
      </c>
      <c r="I2191" t="s">
        <v>3147</v>
      </c>
      <c r="J2191" t="s">
        <v>3153</v>
      </c>
      <c r="K2191" t="s">
        <v>3185</v>
      </c>
      <c r="L2191" t="str">
        <f>_xlfn.XLOOKUP(C2191,[1]!Table1[Shift_ID],[1]!Table1[Shift_ID])</f>
        <v>S02</v>
      </c>
      <c r="M2191" t="str">
        <f>_xlfn.XLOOKUP(D2191,[2]!Table1[Machine_ID],[2]!Table1[Machine_ID])</f>
        <v>M003</v>
      </c>
      <c r="N2191" t="str">
        <f>_xlfn.XLOOKUP(E2191,[3]Sheet1!$A$2:$A$391,[3]Sheet1!$A$2:$A$391)</f>
        <v>PO10147</v>
      </c>
    </row>
    <row r="2192" spans="1:14" x14ac:dyDescent="0.2">
      <c r="A2192" t="s">
        <v>2201</v>
      </c>
      <c r="B2192" s="2">
        <v>46303</v>
      </c>
      <c r="C2192" t="s">
        <v>2941</v>
      </c>
      <c r="D2192" t="s">
        <v>2944</v>
      </c>
      <c r="E2192" t="s">
        <v>3097</v>
      </c>
      <c r="F2192" s="3">
        <v>46303.671034972358</v>
      </c>
      <c r="G2192" s="3">
        <v>46303.677959310269</v>
      </c>
      <c r="H2192">
        <v>9.9700000000000006</v>
      </c>
      <c r="I2192" t="s">
        <v>3150</v>
      </c>
      <c r="J2192" t="s">
        <v>3166</v>
      </c>
      <c r="K2192" t="s">
        <v>3179</v>
      </c>
      <c r="L2192" t="str">
        <f>_xlfn.XLOOKUP(C2192,[1]!Table1[Shift_ID],[1]!Table1[Shift_ID])</f>
        <v>S02</v>
      </c>
      <c r="M2192" t="str">
        <f>_xlfn.XLOOKUP(D2192,[2]!Table1[Machine_ID],[2]!Table1[Machine_ID])</f>
        <v>M003</v>
      </c>
      <c r="N2192" t="str">
        <f>_xlfn.XLOOKUP(E2192,[3]Sheet1!$A$2:$A$391,[3]Sheet1!$A$2:$A$391)</f>
        <v>PO10147</v>
      </c>
    </row>
    <row r="2193" spans="1:14" x14ac:dyDescent="0.2">
      <c r="A2193" t="s">
        <v>2202</v>
      </c>
      <c r="B2193" s="2">
        <v>46303</v>
      </c>
      <c r="C2193" t="s">
        <v>2941</v>
      </c>
      <c r="D2193" t="s">
        <v>2944</v>
      </c>
      <c r="E2193" t="s">
        <v>3097</v>
      </c>
      <c r="F2193" s="3">
        <v>46303.87033389866</v>
      </c>
      <c r="G2193" s="3">
        <v>46303.876046096448</v>
      </c>
      <c r="H2193">
        <v>8.23</v>
      </c>
      <c r="I2193" t="s">
        <v>3148</v>
      </c>
      <c r="J2193" t="s">
        <v>3164</v>
      </c>
      <c r="K2193" t="s">
        <v>3173</v>
      </c>
      <c r="L2193" t="str">
        <f>_xlfn.XLOOKUP(C2193,[1]!Table1[Shift_ID],[1]!Table1[Shift_ID])</f>
        <v>S02</v>
      </c>
      <c r="M2193" t="str">
        <f>_xlfn.XLOOKUP(D2193,[2]!Table1[Machine_ID],[2]!Table1[Machine_ID])</f>
        <v>M003</v>
      </c>
      <c r="N2193" t="str">
        <f>_xlfn.XLOOKUP(E2193,[3]Sheet1!$A$2:$A$391,[3]Sheet1!$A$2:$A$391)</f>
        <v>PO10147</v>
      </c>
    </row>
    <row r="2194" spans="1:14" x14ac:dyDescent="0.2">
      <c r="A2194" t="s">
        <v>2203</v>
      </c>
      <c r="B2194" s="2">
        <v>46303</v>
      </c>
      <c r="C2194" t="s">
        <v>2941</v>
      </c>
      <c r="D2194" t="s">
        <v>2945</v>
      </c>
      <c r="E2194" t="s">
        <v>3097</v>
      </c>
      <c r="F2194" s="3">
        <v>46303.822249723256</v>
      </c>
      <c r="G2194" s="3">
        <v>46303.824181239237</v>
      </c>
      <c r="H2194">
        <v>2.78</v>
      </c>
      <c r="I2194" t="s">
        <v>3150</v>
      </c>
      <c r="J2194" t="s">
        <v>3166</v>
      </c>
      <c r="K2194" t="s">
        <v>3179</v>
      </c>
      <c r="L2194" t="str">
        <f>_xlfn.XLOOKUP(C2194,[1]!Table1[Shift_ID],[1]!Table1[Shift_ID])</f>
        <v>S02</v>
      </c>
      <c r="M2194" t="str">
        <f>_xlfn.XLOOKUP(D2194,[2]!Table1[Machine_ID],[2]!Table1[Machine_ID])</f>
        <v>M004</v>
      </c>
      <c r="N2194" t="str">
        <f>_xlfn.XLOOKUP(E2194,[3]Sheet1!$A$2:$A$391,[3]Sheet1!$A$2:$A$391)</f>
        <v>PO10147</v>
      </c>
    </row>
    <row r="2195" spans="1:14" x14ac:dyDescent="0.2">
      <c r="A2195" t="s">
        <v>2204</v>
      </c>
      <c r="B2195" s="2">
        <v>46303</v>
      </c>
      <c r="C2195" t="s">
        <v>2941</v>
      </c>
      <c r="D2195" t="s">
        <v>2945</v>
      </c>
      <c r="E2195" t="s">
        <v>3097</v>
      </c>
      <c r="F2195" s="3">
        <v>46303.8374996208</v>
      </c>
      <c r="G2195" s="3">
        <v>46303.842257953242</v>
      </c>
      <c r="H2195">
        <v>6.85</v>
      </c>
      <c r="I2195" t="s">
        <v>3146</v>
      </c>
      <c r="J2195" t="s">
        <v>3157</v>
      </c>
      <c r="K2195" t="s">
        <v>3175</v>
      </c>
      <c r="L2195" t="str">
        <f>_xlfn.XLOOKUP(C2195,[1]!Table1[Shift_ID],[1]!Table1[Shift_ID])</f>
        <v>S02</v>
      </c>
      <c r="M2195" t="str">
        <f>_xlfn.XLOOKUP(D2195,[2]!Table1[Machine_ID],[2]!Table1[Machine_ID])</f>
        <v>M004</v>
      </c>
      <c r="N2195" t="str">
        <f>_xlfn.XLOOKUP(E2195,[3]Sheet1!$A$2:$A$391,[3]Sheet1!$A$2:$A$391)</f>
        <v>PO10147</v>
      </c>
    </row>
    <row r="2196" spans="1:14" x14ac:dyDescent="0.2">
      <c r="A2196" t="s">
        <v>2205</v>
      </c>
      <c r="B2196" s="2">
        <v>46303</v>
      </c>
      <c r="C2196" t="s">
        <v>2941</v>
      </c>
      <c r="D2196" t="s">
        <v>2946</v>
      </c>
      <c r="E2196" t="s">
        <v>3097</v>
      </c>
      <c r="F2196" s="3">
        <v>46303.667064559253</v>
      </c>
      <c r="G2196" s="3">
        <v>46303.67474789315</v>
      </c>
      <c r="H2196">
        <v>11.06</v>
      </c>
      <c r="I2196" t="s">
        <v>3148</v>
      </c>
      <c r="J2196" t="s">
        <v>3165</v>
      </c>
      <c r="K2196" t="s">
        <v>3173</v>
      </c>
      <c r="L2196" t="str">
        <f>_xlfn.XLOOKUP(C2196,[1]!Table1[Shift_ID],[1]!Table1[Shift_ID])</f>
        <v>S02</v>
      </c>
      <c r="M2196" t="str">
        <f>_xlfn.XLOOKUP(D2196,[2]!Table1[Machine_ID],[2]!Table1[Machine_ID])</f>
        <v>M005</v>
      </c>
      <c r="N2196" t="str">
        <f>_xlfn.XLOOKUP(E2196,[3]Sheet1!$A$2:$A$391,[3]Sheet1!$A$2:$A$391)</f>
        <v>PO10147</v>
      </c>
    </row>
    <row r="2197" spans="1:14" x14ac:dyDescent="0.2">
      <c r="A2197" t="s">
        <v>2206</v>
      </c>
      <c r="B2197" s="2">
        <v>46303</v>
      </c>
      <c r="C2197" t="s">
        <v>2941</v>
      </c>
      <c r="D2197" t="s">
        <v>2947</v>
      </c>
      <c r="E2197" t="s">
        <v>3097</v>
      </c>
      <c r="F2197" s="3">
        <v>46303.729905924258</v>
      </c>
      <c r="G2197" s="3">
        <v>46303.737000944056</v>
      </c>
      <c r="H2197">
        <v>10.220000000000001</v>
      </c>
      <c r="I2197" t="s">
        <v>3148</v>
      </c>
      <c r="J2197" t="s">
        <v>3164</v>
      </c>
      <c r="K2197" t="s">
        <v>3173</v>
      </c>
      <c r="L2197" t="str">
        <f>_xlfn.XLOOKUP(C2197,[1]!Table1[Shift_ID],[1]!Table1[Shift_ID])</f>
        <v>S02</v>
      </c>
      <c r="M2197" t="str">
        <f>_xlfn.XLOOKUP(D2197,[2]!Table1[Machine_ID],[2]!Table1[Machine_ID])</f>
        <v>M006</v>
      </c>
      <c r="N2197" t="str">
        <f>_xlfn.XLOOKUP(E2197,[3]Sheet1!$A$2:$A$391,[3]Sheet1!$A$2:$A$391)</f>
        <v>PO10147</v>
      </c>
    </row>
    <row r="2198" spans="1:14" x14ac:dyDescent="0.2">
      <c r="A2198" t="s">
        <v>2207</v>
      </c>
      <c r="B2198" s="2">
        <v>46303</v>
      </c>
      <c r="C2198" t="s">
        <v>2941</v>
      </c>
      <c r="D2198" t="s">
        <v>2947</v>
      </c>
      <c r="E2198" t="s">
        <v>3097</v>
      </c>
      <c r="F2198" s="3">
        <v>46303.814663766781</v>
      </c>
      <c r="G2198" s="3">
        <v>46303.826582275768</v>
      </c>
      <c r="H2198">
        <v>17.16</v>
      </c>
      <c r="I2198" t="s">
        <v>3149</v>
      </c>
      <c r="J2198" t="s">
        <v>3162</v>
      </c>
      <c r="K2198" t="s">
        <v>3182</v>
      </c>
      <c r="L2198" t="str">
        <f>_xlfn.XLOOKUP(C2198,[1]!Table1[Shift_ID],[1]!Table1[Shift_ID])</f>
        <v>S02</v>
      </c>
      <c r="M2198" t="str">
        <f>_xlfn.XLOOKUP(D2198,[2]!Table1[Machine_ID],[2]!Table1[Machine_ID])</f>
        <v>M006</v>
      </c>
      <c r="N2198" t="str">
        <f>_xlfn.XLOOKUP(E2198,[3]Sheet1!$A$2:$A$391,[3]Sheet1!$A$2:$A$391)</f>
        <v>PO10147</v>
      </c>
    </row>
    <row r="2199" spans="1:14" x14ac:dyDescent="0.2">
      <c r="A2199" t="s">
        <v>2208</v>
      </c>
      <c r="B2199" s="2">
        <v>46303</v>
      </c>
      <c r="C2199" t="s">
        <v>2941</v>
      </c>
      <c r="D2199" t="s">
        <v>2947</v>
      </c>
      <c r="E2199" t="s">
        <v>3097</v>
      </c>
      <c r="F2199" s="3">
        <v>46303.824101938437</v>
      </c>
      <c r="G2199" s="3">
        <v>46303.83325796479</v>
      </c>
      <c r="H2199">
        <v>13.18</v>
      </c>
      <c r="I2199" t="s">
        <v>3149</v>
      </c>
      <c r="J2199" t="s">
        <v>3158</v>
      </c>
      <c r="K2199" t="s">
        <v>3184</v>
      </c>
      <c r="L2199" t="str">
        <f>_xlfn.XLOOKUP(C2199,[1]!Table1[Shift_ID],[1]!Table1[Shift_ID])</f>
        <v>S02</v>
      </c>
      <c r="M2199" t="str">
        <f>_xlfn.XLOOKUP(D2199,[2]!Table1[Machine_ID],[2]!Table1[Machine_ID])</f>
        <v>M006</v>
      </c>
      <c r="N2199" t="str">
        <f>_xlfn.XLOOKUP(E2199,[3]Sheet1!$A$2:$A$391,[3]Sheet1!$A$2:$A$391)</f>
        <v>PO10147</v>
      </c>
    </row>
    <row r="2200" spans="1:14" x14ac:dyDescent="0.2">
      <c r="A2200" t="s">
        <v>2209</v>
      </c>
      <c r="B2200" s="2">
        <v>46303</v>
      </c>
      <c r="C2200" t="s">
        <v>2941</v>
      </c>
      <c r="D2200" t="s">
        <v>2948</v>
      </c>
      <c r="E2200" t="s">
        <v>3097</v>
      </c>
      <c r="F2200" s="3">
        <v>46303.658790740221</v>
      </c>
      <c r="G2200" s="3">
        <v>46303.670847680209</v>
      </c>
      <c r="H2200">
        <v>17.36</v>
      </c>
      <c r="I2200" t="s">
        <v>3147</v>
      </c>
      <c r="J2200" t="s">
        <v>3153</v>
      </c>
      <c r="K2200" t="s">
        <v>3186</v>
      </c>
      <c r="L2200" t="str">
        <f>_xlfn.XLOOKUP(C2200,[1]!Table1[Shift_ID],[1]!Table1[Shift_ID])</f>
        <v>S02</v>
      </c>
      <c r="M2200" t="str">
        <f>_xlfn.XLOOKUP(D2200,[2]!Table1[Machine_ID],[2]!Table1[Machine_ID])</f>
        <v>M007</v>
      </c>
      <c r="N2200" t="str">
        <f>_xlfn.XLOOKUP(E2200,[3]Sheet1!$A$2:$A$391,[3]Sheet1!$A$2:$A$391)</f>
        <v>PO10147</v>
      </c>
    </row>
    <row r="2201" spans="1:14" x14ac:dyDescent="0.2">
      <c r="A2201" t="s">
        <v>2210</v>
      </c>
      <c r="B2201" s="2">
        <v>46303</v>
      </c>
      <c r="C2201" t="s">
        <v>2941</v>
      </c>
      <c r="D2201" t="s">
        <v>2949</v>
      </c>
      <c r="E2201" t="s">
        <v>3097</v>
      </c>
      <c r="F2201" s="3">
        <v>46303.700636907393</v>
      </c>
      <c r="G2201" s="3">
        <v>46303.707675777478</v>
      </c>
      <c r="H2201">
        <v>10.14</v>
      </c>
      <c r="I2201" t="s">
        <v>3146</v>
      </c>
      <c r="J2201" t="s">
        <v>3156</v>
      </c>
      <c r="K2201" t="s">
        <v>3175</v>
      </c>
      <c r="L2201" t="str">
        <f>_xlfn.XLOOKUP(C2201,[1]!Table1[Shift_ID],[1]!Table1[Shift_ID])</f>
        <v>S02</v>
      </c>
      <c r="M2201" t="str">
        <f>_xlfn.XLOOKUP(D2201,[2]!Table1[Machine_ID],[2]!Table1[Machine_ID])</f>
        <v>M008</v>
      </c>
      <c r="N2201" t="str">
        <f>_xlfn.XLOOKUP(E2201,[3]Sheet1!$A$2:$A$391,[3]Sheet1!$A$2:$A$391)</f>
        <v>PO10147</v>
      </c>
    </row>
    <row r="2202" spans="1:14" x14ac:dyDescent="0.2">
      <c r="A2202" t="s">
        <v>2211</v>
      </c>
      <c r="B2202" s="2">
        <v>46304</v>
      </c>
      <c r="C2202" t="s">
        <v>2939</v>
      </c>
      <c r="D2202" t="s">
        <v>2942</v>
      </c>
      <c r="E2202" t="s">
        <v>3098</v>
      </c>
      <c r="F2202" s="3">
        <v>46305.09246400962</v>
      </c>
      <c r="G2202" s="3">
        <v>46305.100411615611</v>
      </c>
      <c r="H2202">
        <v>11.44</v>
      </c>
      <c r="I2202" t="s">
        <v>3147</v>
      </c>
      <c r="J2202" t="s">
        <v>3153</v>
      </c>
      <c r="K2202" t="s">
        <v>3185</v>
      </c>
      <c r="L2202" t="str">
        <f>_xlfn.XLOOKUP(C2202,[1]!Table1[Shift_ID],[1]!Table1[Shift_ID])</f>
        <v>S03</v>
      </c>
      <c r="M2202" t="str">
        <f>_xlfn.XLOOKUP(D2202,[2]!Table1[Machine_ID],[2]!Table1[Machine_ID])</f>
        <v>M001</v>
      </c>
      <c r="N2202" t="str">
        <f>_xlfn.XLOOKUP(E2202,[3]Sheet1!$A$2:$A$391,[3]Sheet1!$A$2:$A$391)</f>
        <v>PO10148</v>
      </c>
    </row>
    <row r="2203" spans="1:14" x14ac:dyDescent="0.2">
      <c r="A2203" t="s">
        <v>2212</v>
      </c>
      <c r="B2203" s="2">
        <v>46304</v>
      </c>
      <c r="C2203" t="s">
        <v>2939</v>
      </c>
      <c r="D2203" t="s">
        <v>2943</v>
      </c>
      <c r="E2203" t="s">
        <v>3098</v>
      </c>
      <c r="F2203" s="3">
        <v>46305.208064355284</v>
      </c>
      <c r="G2203" s="3">
        <v>46305.214957977383</v>
      </c>
      <c r="H2203">
        <v>9.93</v>
      </c>
      <c r="I2203" t="s">
        <v>3147</v>
      </c>
      <c r="J2203" t="s">
        <v>3153</v>
      </c>
      <c r="K2203" t="s">
        <v>3186</v>
      </c>
      <c r="L2203" t="str">
        <f>_xlfn.XLOOKUP(C2203,[1]!Table1[Shift_ID],[1]!Table1[Shift_ID])</f>
        <v>S03</v>
      </c>
      <c r="M2203" t="str">
        <f>_xlfn.XLOOKUP(D2203,[2]!Table1[Machine_ID],[2]!Table1[Machine_ID])</f>
        <v>M002</v>
      </c>
      <c r="N2203" t="str">
        <f>_xlfn.XLOOKUP(E2203,[3]Sheet1!$A$2:$A$391,[3]Sheet1!$A$2:$A$391)</f>
        <v>PO10148</v>
      </c>
    </row>
    <row r="2204" spans="1:14" x14ac:dyDescent="0.2">
      <c r="A2204" t="s">
        <v>2213</v>
      </c>
      <c r="B2204" s="2">
        <v>46304</v>
      </c>
      <c r="C2204" t="s">
        <v>2939</v>
      </c>
      <c r="D2204" t="s">
        <v>2944</v>
      </c>
      <c r="E2204" t="s">
        <v>3098</v>
      </c>
      <c r="F2204" s="3">
        <v>46305.148573260951</v>
      </c>
      <c r="G2204" s="3">
        <v>46305.152052212958</v>
      </c>
      <c r="H2204">
        <v>5.01</v>
      </c>
      <c r="I2204" t="s">
        <v>3150</v>
      </c>
      <c r="J2204" t="s">
        <v>3160</v>
      </c>
      <c r="K2204" t="s">
        <v>3178</v>
      </c>
      <c r="L2204" t="str">
        <f>_xlfn.XLOOKUP(C2204,[1]!Table1[Shift_ID],[1]!Table1[Shift_ID])</f>
        <v>S03</v>
      </c>
      <c r="M2204" t="str">
        <f>_xlfn.XLOOKUP(D2204,[2]!Table1[Machine_ID],[2]!Table1[Machine_ID])</f>
        <v>M003</v>
      </c>
      <c r="N2204" t="str">
        <f>_xlfn.XLOOKUP(E2204,[3]Sheet1!$A$2:$A$391,[3]Sheet1!$A$2:$A$391)</f>
        <v>PO10148</v>
      </c>
    </row>
    <row r="2205" spans="1:14" x14ac:dyDescent="0.2">
      <c r="A2205" t="s">
        <v>2214</v>
      </c>
      <c r="B2205" s="2">
        <v>46304</v>
      </c>
      <c r="C2205" t="s">
        <v>2939</v>
      </c>
      <c r="D2205" t="s">
        <v>2944</v>
      </c>
      <c r="E2205" t="s">
        <v>3098</v>
      </c>
      <c r="F2205" s="3">
        <v>46305.189431792001</v>
      </c>
      <c r="G2205" s="3">
        <v>46305.199860661553</v>
      </c>
      <c r="H2205">
        <v>15.02</v>
      </c>
      <c r="I2205" t="s">
        <v>3150</v>
      </c>
      <c r="J2205" t="s">
        <v>3159</v>
      </c>
      <c r="K2205" t="s">
        <v>3177</v>
      </c>
      <c r="L2205" t="str">
        <f>_xlfn.XLOOKUP(C2205,[1]!Table1[Shift_ID],[1]!Table1[Shift_ID])</f>
        <v>S03</v>
      </c>
      <c r="M2205" t="str">
        <f>_xlfn.XLOOKUP(D2205,[2]!Table1[Machine_ID],[2]!Table1[Machine_ID])</f>
        <v>M003</v>
      </c>
      <c r="N2205" t="str">
        <f>_xlfn.XLOOKUP(E2205,[3]Sheet1!$A$2:$A$391,[3]Sheet1!$A$2:$A$391)</f>
        <v>PO10148</v>
      </c>
    </row>
    <row r="2206" spans="1:14" x14ac:dyDescent="0.2">
      <c r="A2206" t="s">
        <v>2215</v>
      </c>
      <c r="B2206" s="2">
        <v>46304</v>
      </c>
      <c r="C2206" t="s">
        <v>2939</v>
      </c>
      <c r="D2206" t="s">
        <v>2945</v>
      </c>
      <c r="E2206" t="s">
        <v>3098</v>
      </c>
      <c r="F2206" s="3">
        <v>46304.944604158467</v>
      </c>
      <c r="G2206" s="3">
        <v>46304.952949318344</v>
      </c>
      <c r="H2206">
        <v>12.02</v>
      </c>
      <c r="I2206" t="s">
        <v>3150</v>
      </c>
      <c r="J2206" t="s">
        <v>3163</v>
      </c>
      <c r="K2206" t="s">
        <v>3179</v>
      </c>
      <c r="L2206" t="str">
        <f>_xlfn.XLOOKUP(C2206,[1]!Table1[Shift_ID],[1]!Table1[Shift_ID])</f>
        <v>S03</v>
      </c>
      <c r="M2206" t="str">
        <f>_xlfn.XLOOKUP(D2206,[2]!Table1[Machine_ID],[2]!Table1[Machine_ID])</f>
        <v>M004</v>
      </c>
      <c r="N2206" t="str">
        <f>_xlfn.XLOOKUP(E2206,[3]Sheet1!$A$2:$A$391,[3]Sheet1!$A$2:$A$391)</f>
        <v>PO10148</v>
      </c>
    </row>
    <row r="2207" spans="1:14" x14ac:dyDescent="0.2">
      <c r="A2207" t="s">
        <v>2216</v>
      </c>
      <c r="B2207" s="2">
        <v>46304</v>
      </c>
      <c r="C2207" t="s">
        <v>2939</v>
      </c>
      <c r="D2207" t="s">
        <v>2946</v>
      </c>
      <c r="E2207" t="s">
        <v>3098</v>
      </c>
      <c r="F2207" s="3">
        <v>46304.941580636791</v>
      </c>
      <c r="G2207" s="3">
        <v>46304.943302625798</v>
      </c>
      <c r="H2207">
        <v>2.48</v>
      </c>
      <c r="I2207" t="s">
        <v>3150</v>
      </c>
      <c r="J2207" t="s">
        <v>3160</v>
      </c>
      <c r="K2207" t="s">
        <v>3177</v>
      </c>
      <c r="L2207" t="str">
        <f>_xlfn.XLOOKUP(C2207,[1]!Table1[Shift_ID],[1]!Table1[Shift_ID])</f>
        <v>S03</v>
      </c>
      <c r="M2207" t="str">
        <f>_xlfn.XLOOKUP(D2207,[2]!Table1[Machine_ID],[2]!Table1[Machine_ID])</f>
        <v>M005</v>
      </c>
      <c r="N2207" t="str">
        <f>_xlfn.XLOOKUP(E2207,[3]Sheet1!$A$2:$A$391,[3]Sheet1!$A$2:$A$391)</f>
        <v>PO10148</v>
      </c>
    </row>
    <row r="2208" spans="1:14" x14ac:dyDescent="0.2">
      <c r="A2208" t="s">
        <v>2217</v>
      </c>
      <c r="B2208" s="2">
        <v>46304</v>
      </c>
      <c r="C2208" t="s">
        <v>2939</v>
      </c>
      <c r="D2208" t="s">
        <v>2946</v>
      </c>
      <c r="E2208" t="s">
        <v>3098</v>
      </c>
      <c r="F2208" s="3">
        <v>46304.95219392248</v>
      </c>
      <c r="G2208" s="3">
        <v>46304.960022980929</v>
      </c>
      <c r="H2208">
        <v>11.27</v>
      </c>
      <c r="I2208" t="s">
        <v>3149</v>
      </c>
      <c r="J2208" t="s">
        <v>3168</v>
      </c>
      <c r="K2208" t="s">
        <v>3176</v>
      </c>
      <c r="L2208" t="str">
        <f>_xlfn.XLOOKUP(C2208,[1]!Table1[Shift_ID],[1]!Table1[Shift_ID])</f>
        <v>S03</v>
      </c>
      <c r="M2208" t="str">
        <f>_xlfn.XLOOKUP(D2208,[2]!Table1[Machine_ID],[2]!Table1[Machine_ID])</f>
        <v>M005</v>
      </c>
      <c r="N2208" t="str">
        <f>_xlfn.XLOOKUP(E2208,[3]Sheet1!$A$2:$A$391,[3]Sheet1!$A$2:$A$391)</f>
        <v>PO10148</v>
      </c>
    </row>
    <row r="2209" spans="1:14" x14ac:dyDescent="0.2">
      <c r="A2209" t="s">
        <v>2218</v>
      </c>
      <c r="B2209" s="2">
        <v>46304</v>
      </c>
      <c r="C2209" t="s">
        <v>2939</v>
      </c>
      <c r="D2209" t="s">
        <v>2947</v>
      </c>
      <c r="E2209" t="s">
        <v>3098</v>
      </c>
      <c r="F2209" s="3">
        <v>46305.033558651063</v>
      </c>
      <c r="G2209" s="3">
        <v>46305.064556936282</v>
      </c>
      <c r="H2209">
        <v>44.64</v>
      </c>
      <c r="I2209" t="s">
        <v>3147</v>
      </c>
      <c r="J2209" t="s">
        <v>3153</v>
      </c>
      <c r="K2209" t="s">
        <v>3186</v>
      </c>
      <c r="L2209" t="str">
        <f>_xlfn.XLOOKUP(C2209,[1]!Table1[Shift_ID],[1]!Table1[Shift_ID])</f>
        <v>S03</v>
      </c>
      <c r="M2209" t="str">
        <f>_xlfn.XLOOKUP(D2209,[2]!Table1[Machine_ID],[2]!Table1[Machine_ID])</f>
        <v>M006</v>
      </c>
      <c r="N2209" t="str">
        <f>_xlfn.XLOOKUP(E2209,[3]Sheet1!$A$2:$A$391,[3]Sheet1!$A$2:$A$391)</f>
        <v>PO10148</v>
      </c>
    </row>
    <row r="2210" spans="1:14" x14ac:dyDescent="0.2">
      <c r="A2210" t="s">
        <v>2219</v>
      </c>
      <c r="B2210" s="2">
        <v>46304</v>
      </c>
      <c r="C2210" t="s">
        <v>2939</v>
      </c>
      <c r="D2210" t="s">
        <v>2948</v>
      </c>
      <c r="E2210" t="s">
        <v>3098</v>
      </c>
      <c r="F2210" s="3">
        <v>46304.976986426918</v>
      </c>
      <c r="G2210" s="3">
        <v>46304.98943263285</v>
      </c>
      <c r="H2210">
        <v>17.920000000000002</v>
      </c>
      <c r="I2210" t="s">
        <v>3148</v>
      </c>
      <c r="J2210" t="s">
        <v>3164</v>
      </c>
      <c r="K2210" t="s">
        <v>3173</v>
      </c>
      <c r="L2210" t="str">
        <f>_xlfn.XLOOKUP(C2210,[1]!Table1[Shift_ID],[1]!Table1[Shift_ID])</f>
        <v>S03</v>
      </c>
      <c r="M2210" t="str">
        <f>_xlfn.XLOOKUP(D2210,[2]!Table1[Machine_ID],[2]!Table1[Machine_ID])</f>
        <v>M007</v>
      </c>
      <c r="N2210" t="str">
        <f>_xlfn.XLOOKUP(E2210,[3]Sheet1!$A$2:$A$391,[3]Sheet1!$A$2:$A$391)</f>
        <v>PO10148</v>
      </c>
    </row>
    <row r="2211" spans="1:14" x14ac:dyDescent="0.2">
      <c r="A2211" t="s">
        <v>2220</v>
      </c>
      <c r="B2211" s="2">
        <v>46304</v>
      </c>
      <c r="C2211" t="s">
        <v>2939</v>
      </c>
      <c r="D2211" t="s">
        <v>2948</v>
      </c>
      <c r="E2211" t="s">
        <v>3098</v>
      </c>
      <c r="F2211" s="3">
        <v>46305.236629855761</v>
      </c>
      <c r="G2211" s="3">
        <v>46305.241565454577</v>
      </c>
      <c r="H2211">
        <v>7.11</v>
      </c>
      <c r="I2211" t="s">
        <v>3150</v>
      </c>
      <c r="J2211" t="s">
        <v>3159</v>
      </c>
      <c r="K2211" t="s">
        <v>3179</v>
      </c>
      <c r="L2211" t="str">
        <f>_xlfn.XLOOKUP(C2211,[1]!Table1[Shift_ID],[1]!Table1[Shift_ID])</f>
        <v>S03</v>
      </c>
      <c r="M2211" t="str">
        <f>_xlfn.XLOOKUP(D2211,[2]!Table1[Machine_ID],[2]!Table1[Machine_ID])</f>
        <v>M007</v>
      </c>
      <c r="N2211" t="str">
        <f>_xlfn.XLOOKUP(E2211,[3]Sheet1!$A$2:$A$391,[3]Sheet1!$A$2:$A$391)</f>
        <v>PO10148</v>
      </c>
    </row>
    <row r="2212" spans="1:14" x14ac:dyDescent="0.2">
      <c r="A2212" t="s">
        <v>2221</v>
      </c>
      <c r="B2212" s="2">
        <v>46304</v>
      </c>
      <c r="C2212" t="s">
        <v>2939</v>
      </c>
      <c r="D2212" t="s">
        <v>2949</v>
      </c>
      <c r="E2212" t="s">
        <v>3098</v>
      </c>
      <c r="F2212" s="3">
        <v>46305.150352754928</v>
      </c>
      <c r="G2212" s="3">
        <v>46305.15820780646</v>
      </c>
      <c r="H2212">
        <v>11.31</v>
      </c>
      <c r="I2212" t="s">
        <v>3146</v>
      </c>
      <c r="J2212" t="s">
        <v>3156</v>
      </c>
      <c r="K2212" t="s">
        <v>3174</v>
      </c>
      <c r="L2212" t="str">
        <f>_xlfn.XLOOKUP(C2212,[1]!Table1[Shift_ID],[1]!Table1[Shift_ID])</f>
        <v>S03</v>
      </c>
      <c r="M2212" t="str">
        <f>_xlfn.XLOOKUP(D2212,[2]!Table1[Machine_ID],[2]!Table1[Machine_ID])</f>
        <v>M008</v>
      </c>
      <c r="N2212" t="str">
        <f>_xlfn.XLOOKUP(E2212,[3]Sheet1!$A$2:$A$391,[3]Sheet1!$A$2:$A$391)</f>
        <v>PO10148</v>
      </c>
    </row>
    <row r="2213" spans="1:14" x14ac:dyDescent="0.2">
      <c r="A2213" t="s">
        <v>2222</v>
      </c>
      <c r="B2213" s="2">
        <v>46304</v>
      </c>
      <c r="C2213" t="s">
        <v>2940</v>
      </c>
      <c r="D2213" t="s">
        <v>2942</v>
      </c>
      <c r="E2213" t="s">
        <v>3099</v>
      </c>
      <c r="F2213" s="3">
        <v>46304.408488548092</v>
      </c>
      <c r="G2213" s="3">
        <v>46304.414489020361</v>
      </c>
      <c r="H2213">
        <v>8.64</v>
      </c>
      <c r="I2213" t="s">
        <v>3148</v>
      </c>
      <c r="J2213" t="s">
        <v>3164</v>
      </c>
      <c r="K2213" t="s">
        <v>3180</v>
      </c>
      <c r="L2213" t="str">
        <f>_xlfn.XLOOKUP(C2213,[1]!Table1[Shift_ID],[1]!Table1[Shift_ID])</f>
        <v>S01</v>
      </c>
      <c r="M2213" t="str">
        <f>_xlfn.XLOOKUP(D2213,[2]!Table1[Machine_ID],[2]!Table1[Machine_ID])</f>
        <v>M001</v>
      </c>
      <c r="N2213" t="str">
        <f>_xlfn.XLOOKUP(E2213,[3]Sheet1!$A$2:$A$391,[3]Sheet1!$A$2:$A$391)</f>
        <v>PO10149</v>
      </c>
    </row>
    <row r="2214" spans="1:14" x14ac:dyDescent="0.2">
      <c r="A2214" t="s">
        <v>2223</v>
      </c>
      <c r="B2214" s="2">
        <v>46304</v>
      </c>
      <c r="C2214" t="s">
        <v>2940</v>
      </c>
      <c r="D2214" t="s">
        <v>2942</v>
      </c>
      <c r="E2214" t="s">
        <v>3099</v>
      </c>
      <c r="F2214" s="3">
        <v>46304.434878369582</v>
      </c>
      <c r="G2214" s="3">
        <v>46304.436755636598</v>
      </c>
      <c r="H2214">
        <v>2.7</v>
      </c>
      <c r="I2214" t="s">
        <v>3151</v>
      </c>
      <c r="J2214" t="s">
        <v>3169</v>
      </c>
      <c r="K2214" t="s">
        <v>3181</v>
      </c>
      <c r="L2214" t="str">
        <f>_xlfn.XLOOKUP(C2214,[1]!Table1[Shift_ID],[1]!Table1[Shift_ID])</f>
        <v>S01</v>
      </c>
      <c r="M2214" t="str">
        <f>_xlfn.XLOOKUP(D2214,[2]!Table1[Machine_ID],[2]!Table1[Machine_ID])</f>
        <v>M001</v>
      </c>
      <c r="N2214" t="str">
        <f>_xlfn.XLOOKUP(E2214,[3]Sheet1!$A$2:$A$391,[3]Sheet1!$A$2:$A$391)</f>
        <v>PO10149</v>
      </c>
    </row>
    <row r="2215" spans="1:14" x14ac:dyDescent="0.2">
      <c r="A2215" t="s">
        <v>2224</v>
      </c>
      <c r="B2215" s="2">
        <v>46304</v>
      </c>
      <c r="C2215" t="s">
        <v>2940</v>
      </c>
      <c r="D2215" t="s">
        <v>2943</v>
      </c>
      <c r="E2215" t="s">
        <v>3099</v>
      </c>
      <c r="F2215" s="3">
        <v>46304.264012745902</v>
      </c>
      <c r="G2215" s="3">
        <v>46304.274464415612</v>
      </c>
      <c r="H2215">
        <v>15.05</v>
      </c>
      <c r="I2215" t="s">
        <v>3147</v>
      </c>
      <c r="J2215" t="s">
        <v>3167</v>
      </c>
      <c r="K2215" t="s">
        <v>3172</v>
      </c>
      <c r="L2215" t="str">
        <f>_xlfn.XLOOKUP(C2215,[1]!Table1[Shift_ID],[1]!Table1[Shift_ID])</f>
        <v>S01</v>
      </c>
      <c r="M2215" t="str">
        <f>_xlfn.XLOOKUP(D2215,[2]!Table1[Machine_ID],[2]!Table1[Machine_ID])</f>
        <v>M002</v>
      </c>
      <c r="N2215" t="str">
        <f>_xlfn.XLOOKUP(E2215,[3]Sheet1!$A$2:$A$391,[3]Sheet1!$A$2:$A$391)</f>
        <v>PO10149</v>
      </c>
    </row>
    <row r="2216" spans="1:14" x14ac:dyDescent="0.2">
      <c r="A2216" t="s">
        <v>2225</v>
      </c>
      <c r="B2216" s="2">
        <v>46304</v>
      </c>
      <c r="C2216" t="s">
        <v>2940</v>
      </c>
      <c r="D2216" t="s">
        <v>2944</v>
      </c>
      <c r="E2216" t="s">
        <v>3099</v>
      </c>
      <c r="F2216" s="3">
        <v>46304.572277184168</v>
      </c>
      <c r="G2216" s="3">
        <v>46304.581925039303</v>
      </c>
      <c r="H2216">
        <v>13.89</v>
      </c>
      <c r="I2216" t="s">
        <v>3147</v>
      </c>
      <c r="J2216" t="s">
        <v>3167</v>
      </c>
      <c r="K2216" t="s">
        <v>3172</v>
      </c>
      <c r="L2216" t="str">
        <f>_xlfn.XLOOKUP(C2216,[1]!Table1[Shift_ID],[1]!Table1[Shift_ID])</f>
        <v>S01</v>
      </c>
      <c r="M2216" t="str">
        <f>_xlfn.XLOOKUP(D2216,[2]!Table1[Machine_ID],[2]!Table1[Machine_ID])</f>
        <v>M003</v>
      </c>
      <c r="N2216" t="str">
        <f>_xlfn.XLOOKUP(E2216,[3]Sheet1!$A$2:$A$391,[3]Sheet1!$A$2:$A$391)</f>
        <v>PO10149</v>
      </c>
    </row>
    <row r="2217" spans="1:14" x14ac:dyDescent="0.2">
      <c r="A2217" t="s">
        <v>2226</v>
      </c>
      <c r="B2217" s="2">
        <v>46304</v>
      </c>
      <c r="C2217" t="s">
        <v>2940</v>
      </c>
      <c r="D2217" t="s">
        <v>2945</v>
      </c>
      <c r="E2217" t="s">
        <v>3099</v>
      </c>
      <c r="F2217" s="3">
        <v>46304.350819888823</v>
      </c>
      <c r="G2217" s="3">
        <v>46304.357336361252</v>
      </c>
      <c r="H2217">
        <v>9.3800000000000008</v>
      </c>
      <c r="I2217" t="s">
        <v>3147</v>
      </c>
      <c r="J2217" t="s">
        <v>3167</v>
      </c>
      <c r="K2217" t="s">
        <v>3186</v>
      </c>
      <c r="L2217" t="str">
        <f>_xlfn.XLOOKUP(C2217,[1]!Table1[Shift_ID],[1]!Table1[Shift_ID])</f>
        <v>S01</v>
      </c>
      <c r="M2217" t="str">
        <f>_xlfn.XLOOKUP(D2217,[2]!Table1[Machine_ID],[2]!Table1[Machine_ID])</f>
        <v>M004</v>
      </c>
      <c r="N2217" t="str">
        <f>_xlfn.XLOOKUP(E2217,[3]Sheet1!$A$2:$A$391,[3]Sheet1!$A$2:$A$391)</f>
        <v>PO10149</v>
      </c>
    </row>
    <row r="2218" spans="1:14" x14ac:dyDescent="0.2">
      <c r="A2218" t="s">
        <v>2227</v>
      </c>
      <c r="B2218" s="2">
        <v>46304</v>
      </c>
      <c r="C2218" t="s">
        <v>2940</v>
      </c>
      <c r="D2218" t="s">
        <v>2945</v>
      </c>
      <c r="E2218" t="s">
        <v>3099</v>
      </c>
      <c r="F2218" s="3">
        <v>46304.427693457503</v>
      </c>
      <c r="G2218" s="3">
        <v>46304.429411250043</v>
      </c>
      <c r="H2218">
        <v>2.4700000000000002</v>
      </c>
      <c r="I2218" t="s">
        <v>3149</v>
      </c>
      <c r="J2218" t="s">
        <v>3162</v>
      </c>
      <c r="K2218" t="s">
        <v>3182</v>
      </c>
      <c r="L2218" t="str">
        <f>_xlfn.XLOOKUP(C2218,[1]!Table1[Shift_ID],[1]!Table1[Shift_ID])</f>
        <v>S01</v>
      </c>
      <c r="M2218" t="str">
        <f>_xlfn.XLOOKUP(D2218,[2]!Table1[Machine_ID],[2]!Table1[Machine_ID])</f>
        <v>M004</v>
      </c>
      <c r="N2218" t="str">
        <f>_xlfn.XLOOKUP(E2218,[3]Sheet1!$A$2:$A$391,[3]Sheet1!$A$2:$A$391)</f>
        <v>PO10149</v>
      </c>
    </row>
    <row r="2219" spans="1:14" x14ac:dyDescent="0.2">
      <c r="A2219" t="s">
        <v>2228</v>
      </c>
      <c r="B2219" s="2">
        <v>46304</v>
      </c>
      <c r="C2219" t="s">
        <v>2940</v>
      </c>
      <c r="D2219" t="s">
        <v>2945</v>
      </c>
      <c r="E2219" t="s">
        <v>3099</v>
      </c>
      <c r="F2219" s="3">
        <v>46304.512185700747</v>
      </c>
      <c r="G2219" s="3">
        <v>46304.513903493273</v>
      </c>
      <c r="H2219">
        <v>2.4700000000000002</v>
      </c>
      <c r="I2219" t="s">
        <v>3148</v>
      </c>
      <c r="J2219" t="s">
        <v>3165</v>
      </c>
      <c r="K2219" t="s">
        <v>3173</v>
      </c>
      <c r="L2219" t="str">
        <f>_xlfn.XLOOKUP(C2219,[1]!Table1[Shift_ID],[1]!Table1[Shift_ID])</f>
        <v>S01</v>
      </c>
      <c r="M2219" t="str">
        <f>_xlfn.XLOOKUP(D2219,[2]!Table1[Machine_ID],[2]!Table1[Machine_ID])</f>
        <v>M004</v>
      </c>
      <c r="N2219" t="str">
        <f>_xlfn.XLOOKUP(E2219,[3]Sheet1!$A$2:$A$391,[3]Sheet1!$A$2:$A$391)</f>
        <v>PO10149</v>
      </c>
    </row>
    <row r="2220" spans="1:14" x14ac:dyDescent="0.2">
      <c r="A2220" t="s">
        <v>2229</v>
      </c>
      <c r="B2220" s="2">
        <v>46304</v>
      </c>
      <c r="C2220" t="s">
        <v>2940</v>
      </c>
      <c r="D2220" t="s">
        <v>2946</v>
      </c>
      <c r="E2220" t="s">
        <v>3099</v>
      </c>
      <c r="F2220" s="3">
        <v>46304.277082695597</v>
      </c>
      <c r="G2220" s="3">
        <v>46304.278601687467</v>
      </c>
      <c r="H2220">
        <v>2.19</v>
      </c>
      <c r="I2220" t="s">
        <v>3151</v>
      </c>
      <c r="J2220" t="s">
        <v>3170</v>
      </c>
      <c r="K2220" t="s">
        <v>3187</v>
      </c>
      <c r="L2220" t="str">
        <f>_xlfn.XLOOKUP(C2220,[1]!Table1[Shift_ID],[1]!Table1[Shift_ID])</f>
        <v>S01</v>
      </c>
      <c r="M2220" t="str">
        <f>_xlfn.XLOOKUP(D2220,[2]!Table1[Machine_ID],[2]!Table1[Machine_ID])</f>
        <v>M005</v>
      </c>
      <c r="N2220" t="str">
        <f>_xlfn.XLOOKUP(E2220,[3]Sheet1!$A$2:$A$391,[3]Sheet1!$A$2:$A$391)</f>
        <v>PO10149</v>
      </c>
    </row>
    <row r="2221" spans="1:14" x14ac:dyDescent="0.2">
      <c r="A2221" t="s">
        <v>2230</v>
      </c>
      <c r="B2221" s="2">
        <v>46304</v>
      </c>
      <c r="C2221" t="s">
        <v>2940</v>
      </c>
      <c r="D2221" t="s">
        <v>2946</v>
      </c>
      <c r="E2221" t="s">
        <v>3099</v>
      </c>
      <c r="F2221" s="3">
        <v>46304.30296053191</v>
      </c>
      <c r="G2221" s="3">
        <v>46304.304479523787</v>
      </c>
      <c r="H2221">
        <v>2.19</v>
      </c>
      <c r="I2221" t="s">
        <v>3150</v>
      </c>
      <c r="J2221" t="s">
        <v>3166</v>
      </c>
      <c r="K2221" t="s">
        <v>3178</v>
      </c>
      <c r="L2221" t="str">
        <f>_xlfn.XLOOKUP(C2221,[1]!Table1[Shift_ID],[1]!Table1[Shift_ID])</f>
        <v>S01</v>
      </c>
      <c r="M2221" t="str">
        <f>_xlfn.XLOOKUP(D2221,[2]!Table1[Machine_ID],[2]!Table1[Machine_ID])</f>
        <v>M005</v>
      </c>
      <c r="N2221" t="str">
        <f>_xlfn.XLOOKUP(E2221,[3]Sheet1!$A$2:$A$391,[3]Sheet1!$A$2:$A$391)</f>
        <v>PO10149</v>
      </c>
    </row>
    <row r="2222" spans="1:14" x14ac:dyDescent="0.2">
      <c r="A2222" t="s">
        <v>2231</v>
      </c>
      <c r="B2222" s="2">
        <v>46304</v>
      </c>
      <c r="C2222" t="s">
        <v>2940</v>
      </c>
      <c r="D2222" t="s">
        <v>2946</v>
      </c>
      <c r="E2222" t="s">
        <v>3099</v>
      </c>
      <c r="F2222" s="3">
        <v>46304.346334329523</v>
      </c>
      <c r="G2222" s="3">
        <v>46304.348216794249</v>
      </c>
      <c r="H2222">
        <v>2.71</v>
      </c>
      <c r="I2222" t="s">
        <v>3148</v>
      </c>
      <c r="J2222" t="s">
        <v>3165</v>
      </c>
      <c r="K2222" t="s">
        <v>3183</v>
      </c>
      <c r="L2222" t="str">
        <f>_xlfn.XLOOKUP(C2222,[1]!Table1[Shift_ID],[1]!Table1[Shift_ID])</f>
        <v>S01</v>
      </c>
      <c r="M2222" t="str">
        <f>_xlfn.XLOOKUP(D2222,[2]!Table1[Machine_ID],[2]!Table1[Machine_ID])</f>
        <v>M005</v>
      </c>
      <c r="N2222" t="str">
        <f>_xlfn.XLOOKUP(E2222,[3]Sheet1!$A$2:$A$391,[3]Sheet1!$A$2:$A$391)</f>
        <v>PO10149</v>
      </c>
    </row>
    <row r="2223" spans="1:14" x14ac:dyDescent="0.2">
      <c r="A2223" t="s">
        <v>2232</v>
      </c>
      <c r="B2223" s="2">
        <v>46304</v>
      </c>
      <c r="C2223" t="s">
        <v>2940</v>
      </c>
      <c r="D2223" t="s">
        <v>2946</v>
      </c>
      <c r="E2223" t="s">
        <v>3099</v>
      </c>
      <c r="F2223" s="3">
        <v>46304.366151701543</v>
      </c>
      <c r="G2223" s="3">
        <v>46304.369282626278</v>
      </c>
      <c r="H2223">
        <v>4.51</v>
      </c>
      <c r="I2223" t="s">
        <v>3150</v>
      </c>
      <c r="J2223" t="s">
        <v>3163</v>
      </c>
      <c r="K2223" t="s">
        <v>3177</v>
      </c>
      <c r="L2223" t="str">
        <f>_xlfn.XLOOKUP(C2223,[1]!Table1[Shift_ID],[1]!Table1[Shift_ID])</f>
        <v>S01</v>
      </c>
      <c r="M2223" t="str">
        <f>_xlfn.XLOOKUP(D2223,[2]!Table1[Machine_ID],[2]!Table1[Machine_ID])</f>
        <v>M005</v>
      </c>
      <c r="N2223" t="str">
        <f>_xlfn.XLOOKUP(E2223,[3]Sheet1!$A$2:$A$391,[3]Sheet1!$A$2:$A$391)</f>
        <v>PO10149</v>
      </c>
    </row>
    <row r="2224" spans="1:14" x14ac:dyDescent="0.2">
      <c r="A2224" t="s">
        <v>2233</v>
      </c>
      <c r="B2224" s="2">
        <v>46304</v>
      </c>
      <c r="C2224" t="s">
        <v>2940</v>
      </c>
      <c r="D2224" t="s">
        <v>2946</v>
      </c>
      <c r="E2224" t="s">
        <v>3099</v>
      </c>
      <c r="F2224" s="3">
        <v>46304.391366661912</v>
      </c>
      <c r="G2224" s="3">
        <v>46304.392885653782</v>
      </c>
      <c r="H2224">
        <v>2.19</v>
      </c>
      <c r="I2224" t="s">
        <v>3151</v>
      </c>
      <c r="J2224" t="s">
        <v>3170</v>
      </c>
      <c r="K2224" t="s">
        <v>3181</v>
      </c>
      <c r="L2224" t="str">
        <f>_xlfn.XLOOKUP(C2224,[1]!Table1[Shift_ID],[1]!Table1[Shift_ID])</f>
        <v>S01</v>
      </c>
      <c r="M2224" t="str">
        <f>_xlfn.XLOOKUP(D2224,[2]!Table1[Machine_ID],[2]!Table1[Machine_ID])</f>
        <v>M005</v>
      </c>
      <c r="N2224" t="str">
        <f>_xlfn.XLOOKUP(E2224,[3]Sheet1!$A$2:$A$391,[3]Sheet1!$A$2:$A$391)</f>
        <v>PO10149</v>
      </c>
    </row>
    <row r="2225" spans="1:14" x14ac:dyDescent="0.2">
      <c r="A2225" t="s">
        <v>2234</v>
      </c>
      <c r="B2225" s="2">
        <v>46304</v>
      </c>
      <c r="C2225" t="s">
        <v>2940</v>
      </c>
      <c r="D2225" t="s">
        <v>2947</v>
      </c>
      <c r="E2225" t="s">
        <v>3099</v>
      </c>
      <c r="F2225" s="3">
        <v>46304.341836574407</v>
      </c>
      <c r="G2225" s="3">
        <v>46304.356469724837</v>
      </c>
      <c r="H2225">
        <v>21.07</v>
      </c>
      <c r="I2225" t="s">
        <v>3149</v>
      </c>
      <c r="J2225" t="s">
        <v>3168</v>
      </c>
      <c r="K2225" t="s">
        <v>3182</v>
      </c>
      <c r="L2225" t="str">
        <f>_xlfn.XLOOKUP(C2225,[1]!Table1[Shift_ID],[1]!Table1[Shift_ID])</f>
        <v>S01</v>
      </c>
      <c r="M2225" t="str">
        <f>_xlfn.XLOOKUP(D2225,[2]!Table1[Machine_ID],[2]!Table1[Machine_ID])</f>
        <v>M006</v>
      </c>
      <c r="N2225" t="str">
        <f>_xlfn.XLOOKUP(E2225,[3]Sheet1!$A$2:$A$391,[3]Sheet1!$A$2:$A$391)</f>
        <v>PO10149</v>
      </c>
    </row>
    <row r="2226" spans="1:14" x14ac:dyDescent="0.2">
      <c r="A2226" t="s">
        <v>2235</v>
      </c>
      <c r="B2226" s="2">
        <v>46304</v>
      </c>
      <c r="C2226" t="s">
        <v>2940</v>
      </c>
      <c r="D2226" t="s">
        <v>2947</v>
      </c>
      <c r="E2226" t="s">
        <v>3099</v>
      </c>
      <c r="F2226" s="3">
        <v>46304.360754352907</v>
      </c>
      <c r="G2226" s="3">
        <v>46304.37017933758</v>
      </c>
      <c r="H2226">
        <v>13.57</v>
      </c>
      <c r="I2226" t="s">
        <v>3150</v>
      </c>
      <c r="J2226" t="s">
        <v>3163</v>
      </c>
      <c r="K2226" t="s">
        <v>3177</v>
      </c>
      <c r="L2226" t="str">
        <f>_xlfn.XLOOKUP(C2226,[1]!Table1[Shift_ID],[1]!Table1[Shift_ID])</f>
        <v>S01</v>
      </c>
      <c r="M2226" t="str">
        <f>_xlfn.XLOOKUP(D2226,[2]!Table1[Machine_ID],[2]!Table1[Machine_ID])</f>
        <v>M006</v>
      </c>
      <c r="N2226" t="str">
        <f>_xlfn.XLOOKUP(E2226,[3]Sheet1!$A$2:$A$391,[3]Sheet1!$A$2:$A$391)</f>
        <v>PO10149</v>
      </c>
    </row>
    <row r="2227" spans="1:14" x14ac:dyDescent="0.2">
      <c r="A2227" t="s">
        <v>2236</v>
      </c>
      <c r="B2227" s="2">
        <v>46304</v>
      </c>
      <c r="C2227" t="s">
        <v>2940</v>
      </c>
      <c r="D2227" t="s">
        <v>2948</v>
      </c>
      <c r="E2227" t="s">
        <v>3099</v>
      </c>
      <c r="F2227" s="3">
        <v>46304.258977699297</v>
      </c>
      <c r="G2227" s="3">
        <v>46304.260460416561</v>
      </c>
      <c r="H2227">
        <v>2.14</v>
      </c>
      <c r="I2227" t="s">
        <v>3147</v>
      </c>
      <c r="J2227" t="s">
        <v>3153</v>
      </c>
      <c r="K2227" t="s">
        <v>3172</v>
      </c>
      <c r="L2227" t="str">
        <f>_xlfn.XLOOKUP(C2227,[1]!Table1[Shift_ID],[1]!Table1[Shift_ID])</f>
        <v>S01</v>
      </c>
      <c r="M2227" t="str">
        <f>_xlfn.XLOOKUP(D2227,[2]!Table1[Machine_ID],[2]!Table1[Machine_ID])</f>
        <v>M007</v>
      </c>
      <c r="N2227" t="str">
        <f>_xlfn.XLOOKUP(E2227,[3]Sheet1!$A$2:$A$391,[3]Sheet1!$A$2:$A$391)</f>
        <v>PO10149</v>
      </c>
    </row>
    <row r="2228" spans="1:14" x14ac:dyDescent="0.2">
      <c r="A2228" t="s">
        <v>2237</v>
      </c>
      <c r="B2228" s="2">
        <v>46304</v>
      </c>
      <c r="C2228" t="s">
        <v>2940</v>
      </c>
      <c r="D2228" t="s">
        <v>2948</v>
      </c>
      <c r="E2228" t="s">
        <v>3099</v>
      </c>
      <c r="F2228" s="3">
        <v>46304.401444921306</v>
      </c>
      <c r="G2228" s="3">
        <v>46304.402927638577</v>
      </c>
      <c r="H2228">
        <v>2.14</v>
      </c>
      <c r="I2228" t="s">
        <v>3148</v>
      </c>
      <c r="J2228" t="s">
        <v>3155</v>
      </c>
      <c r="K2228" t="s">
        <v>3180</v>
      </c>
      <c r="L2228" t="str">
        <f>_xlfn.XLOOKUP(C2228,[1]!Table1[Shift_ID],[1]!Table1[Shift_ID])</f>
        <v>S01</v>
      </c>
      <c r="M2228" t="str">
        <f>_xlfn.XLOOKUP(D2228,[2]!Table1[Machine_ID],[2]!Table1[Machine_ID])</f>
        <v>M007</v>
      </c>
      <c r="N2228" t="str">
        <f>_xlfn.XLOOKUP(E2228,[3]Sheet1!$A$2:$A$391,[3]Sheet1!$A$2:$A$391)</f>
        <v>PO10149</v>
      </c>
    </row>
    <row r="2229" spans="1:14" x14ac:dyDescent="0.2">
      <c r="A2229" t="s">
        <v>2238</v>
      </c>
      <c r="B2229" s="2">
        <v>46304</v>
      </c>
      <c r="C2229" t="s">
        <v>2940</v>
      </c>
      <c r="D2229" t="s">
        <v>2948</v>
      </c>
      <c r="E2229" t="s">
        <v>3099</v>
      </c>
      <c r="F2229" s="3">
        <v>46304.424992580527</v>
      </c>
      <c r="G2229" s="3">
        <v>46304.426475297798</v>
      </c>
      <c r="H2229">
        <v>2.14</v>
      </c>
      <c r="I2229" t="s">
        <v>3148</v>
      </c>
      <c r="J2229" t="s">
        <v>3155</v>
      </c>
      <c r="K2229" t="s">
        <v>3173</v>
      </c>
      <c r="L2229" t="str">
        <f>_xlfn.XLOOKUP(C2229,[1]!Table1[Shift_ID],[1]!Table1[Shift_ID])</f>
        <v>S01</v>
      </c>
      <c r="M2229" t="str">
        <f>_xlfn.XLOOKUP(D2229,[2]!Table1[Machine_ID],[2]!Table1[Machine_ID])</f>
        <v>M007</v>
      </c>
      <c r="N2229" t="str">
        <f>_xlfn.XLOOKUP(E2229,[3]Sheet1!$A$2:$A$391,[3]Sheet1!$A$2:$A$391)</f>
        <v>PO10149</v>
      </c>
    </row>
    <row r="2230" spans="1:14" x14ac:dyDescent="0.2">
      <c r="A2230" t="s">
        <v>2239</v>
      </c>
      <c r="B2230" s="2">
        <v>46304</v>
      </c>
      <c r="C2230" t="s">
        <v>2940</v>
      </c>
      <c r="D2230" t="s">
        <v>2948</v>
      </c>
      <c r="E2230" t="s">
        <v>3099</v>
      </c>
      <c r="F2230" s="3">
        <v>46304.475255772792</v>
      </c>
      <c r="G2230" s="3">
        <v>46304.476738490062</v>
      </c>
      <c r="H2230">
        <v>2.14</v>
      </c>
      <c r="I2230" t="s">
        <v>3147</v>
      </c>
      <c r="J2230" t="s">
        <v>3153</v>
      </c>
      <c r="K2230" t="s">
        <v>3185</v>
      </c>
      <c r="L2230" t="str">
        <f>_xlfn.XLOOKUP(C2230,[1]!Table1[Shift_ID],[1]!Table1[Shift_ID])</f>
        <v>S01</v>
      </c>
      <c r="M2230" t="str">
        <f>_xlfn.XLOOKUP(D2230,[2]!Table1[Machine_ID],[2]!Table1[Machine_ID])</f>
        <v>M007</v>
      </c>
      <c r="N2230" t="str">
        <f>_xlfn.XLOOKUP(E2230,[3]Sheet1!$A$2:$A$391,[3]Sheet1!$A$2:$A$391)</f>
        <v>PO10149</v>
      </c>
    </row>
    <row r="2231" spans="1:14" x14ac:dyDescent="0.2">
      <c r="A2231" t="s">
        <v>2240</v>
      </c>
      <c r="B2231" s="2">
        <v>46304</v>
      </c>
      <c r="C2231" t="s">
        <v>2940</v>
      </c>
      <c r="D2231" t="s">
        <v>2948</v>
      </c>
      <c r="E2231" t="s">
        <v>3099</v>
      </c>
      <c r="F2231" s="3">
        <v>46304.477373766553</v>
      </c>
      <c r="G2231" s="3">
        <v>46304.484867876847</v>
      </c>
      <c r="H2231">
        <v>10.79</v>
      </c>
      <c r="I2231" t="s">
        <v>3147</v>
      </c>
      <c r="J2231" t="s">
        <v>3154</v>
      </c>
      <c r="K2231" t="s">
        <v>3185</v>
      </c>
      <c r="L2231" t="str">
        <f>_xlfn.XLOOKUP(C2231,[1]!Table1[Shift_ID],[1]!Table1[Shift_ID])</f>
        <v>S01</v>
      </c>
      <c r="M2231" t="str">
        <f>_xlfn.XLOOKUP(D2231,[2]!Table1[Machine_ID],[2]!Table1[Machine_ID])</f>
        <v>M007</v>
      </c>
      <c r="N2231" t="str">
        <f>_xlfn.XLOOKUP(E2231,[3]Sheet1!$A$2:$A$391,[3]Sheet1!$A$2:$A$391)</f>
        <v>PO10149</v>
      </c>
    </row>
    <row r="2232" spans="1:14" x14ac:dyDescent="0.2">
      <c r="A2232" t="s">
        <v>2241</v>
      </c>
      <c r="B2232" s="2">
        <v>46304</v>
      </c>
      <c r="C2232" t="s">
        <v>2940</v>
      </c>
      <c r="D2232" t="s">
        <v>2949</v>
      </c>
      <c r="E2232" t="s">
        <v>3099</v>
      </c>
      <c r="F2232" s="3">
        <v>46304.447674477109</v>
      </c>
      <c r="G2232" s="3">
        <v>46304.451321663357</v>
      </c>
      <c r="H2232">
        <v>5.25</v>
      </c>
      <c r="I2232" t="s">
        <v>3148</v>
      </c>
      <c r="J2232" t="s">
        <v>3164</v>
      </c>
      <c r="K2232" t="s">
        <v>3180</v>
      </c>
      <c r="L2232" t="str">
        <f>_xlfn.XLOOKUP(C2232,[1]!Table1[Shift_ID],[1]!Table1[Shift_ID])</f>
        <v>S01</v>
      </c>
      <c r="M2232" t="str">
        <f>_xlfn.XLOOKUP(D2232,[2]!Table1[Machine_ID],[2]!Table1[Machine_ID])</f>
        <v>M008</v>
      </c>
      <c r="N2232" t="str">
        <f>_xlfn.XLOOKUP(E2232,[3]Sheet1!$A$2:$A$391,[3]Sheet1!$A$2:$A$391)</f>
        <v>PO10149</v>
      </c>
    </row>
    <row r="2233" spans="1:14" x14ac:dyDescent="0.2">
      <c r="A2233" t="s">
        <v>2242</v>
      </c>
      <c r="B2233" s="2">
        <v>46304</v>
      </c>
      <c r="C2233" t="s">
        <v>2940</v>
      </c>
      <c r="D2233" t="s">
        <v>2949</v>
      </c>
      <c r="E2233" t="s">
        <v>3099</v>
      </c>
      <c r="F2233" s="3">
        <v>46304.537568737127</v>
      </c>
      <c r="G2233" s="3">
        <v>46304.539164630449</v>
      </c>
      <c r="H2233">
        <v>2.2999999999999998</v>
      </c>
      <c r="I2233" t="s">
        <v>3148</v>
      </c>
      <c r="J2233" t="s">
        <v>3155</v>
      </c>
      <c r="K2233" t="s">
        <v>3173</v>
      </c>
      <c r="L2233" t="str">
        <f>_xlfn.XLOOKUP(C2233,[1]!Table1[Shift_ID],[1]!Table1[Shift_ID])</f>
        <v>S01</v>
      </c>
      <c r="M2233" t="str">
        <f>_xlfn.XLOOKUP(D2233,[2]!Table1[Machine_ID],[2]!Table1[Machine_ID])</f>
        <v>M008</v>
      </c>
      <c r="N2233" t="str">
        <f>_xlfn.XLOOKUP(E2233,[3]Sheet1!$A$2:$A$391,[3]Sheet1!$A$2:$A$391)</f>
        <v>PO10149</v>
      </c>
    </row>
    <row r="2234" spans="1:14" x14ac:dyDescent="0.2">
      <c r="A2234" t="s">
        <v>2243</v>
      </c>
      <c r="B2234" s="2">
        <v>46304</v>
      </c>
      <c r="C2234" t="s">
        <v>2941</v>
      </c>
      <c r="D2234" t="s">
        <v>2942</v>
      </c>
      <c r="E2234" t="s">
        <v>3100</v>
      </c>
      <c r="F2234" s="3">
        <v>46304.891857824543</v>
      </c>
      <c r="G2234" s="3">
        <v>46304.898555291453</v>
      </c>
      <c r="H2234">
        <v>9.64</v>
      </c>
      <c r="I2234" t="s">
        <v>3151</v>
      </c>
      <c r="J2234" t="s">
        <v>3170</v>
      </c>
      <c r="K2234" t="s">
        <v>3181</v>
      </c>
      <c r="L2234" t="str">
        <f>_xlfn.XLOOKUP(C2234,[1]!Table1[Shift_ID],[1]!Table1[Shift_ID])</f>
        <v>S02</v>
      </c>
      <c r="M2234" t="str">
        <f>_xlfn.XLOOKUP(D2234,[2]!Table1[Machine_ID],[2]!Table1[Machine_ID])</f>
        <v>M001</v>
      </c>
      <c r="N2234" t="str">
        <f>_xlfn.XLOOKUP(E2234,[3]Sheet1!$A$2:$A$391,[3]Sheet1!$A$2:$A$391)</f>
        <v>PO10150</v>
      </c>
    </row>
    <row r="2235" spans="1:14" x14ac:dyDescent="0.2">
      <c r="A2235" t="s">
        <v>2244</v>
      </c>
      <c r="B2235" s="2">
        <v>46304</v>
      </c>
      <c r="C2235" t="s">
        <v>2941</v>
      </c>
      <c r="D2235" t="s">
        <v>2943</v>
      </c>
      <c r="E2235" t="s">
        <v>3100</v>
      </c>
      <c r="F2235" s="3">
        <v>46304.858062726656</v>
      </c>
      <c r="G2235" s="3">
        <v>46304.864761192177</v>
      </c>
      <c r="H2235">
        <v>9.65</v>
      </c>
      <c r="I2235" t="s">
        <v>3147</v>
      </c>
      <c r="J2235" t="s">
        <v>3154</v>
      </c>
      <c r="K2235" t="s">
        <v>3185</v>
      </c>
      <c r="L2235" t="str">
        <f>_xlfn.XLOOKUP(C2235,[1]!Table1[Shift_ID],[1]!Table1[Shift_ID])</f>
        <v>S02</v>
      </c>
      <c r="M2235" t="str">
        <f>_xlfn.XLOOKUP(D2235,[2]!Table1[Machine_ID],[2]!Table1[Machine_ID])</f>
        <v>M002</v>
      </c>
      <c r="N2235" t="str">
        <f>_xlfn.XLOOKUP(E2235,[3]Sheet1!$A$2:$A$391,[3]Sheet1!$A$2:$A$391)</f>
        <v>PO10150</v>
      </c>
    </row>
    <row r="2236" spans="1:14" x14ac:dyDescent="0.2">
      <c r="A2236" t="s">
        <v>2245</v>
      </c>
      <c r="B2236" s="2">
        <v>46304</v>
      </c>
      <c r="C2236" t="s">
        <v>2941</v>
      </c>
      <c r="D2236" t="s">
        <v>2944</v>
      </c>
      <c r="E2236" t="s">
        <v>3100</v>
      </c>
      <c r="F2236" s="3">
        <v>46304.823733845507</v>
      </c>
      <c r="G2236" s="3">
        <v>46304.836563616409</v>
      </c>
      <c r="H2236">
        <v>18.47</v>
      </c>
      <c r="I2236" t="s">
        <v>3147</v>
      </c>
      <c r="J2236" t="s">
        <v>3154</v>
      </c>
      <c r="K2236" t="s">
        <v>3186</v>
      </c>
      <c r="L2236" t="str">
        <f>_xlfn.XLOOKUP(C2236,[1]!Table1[Shift_ID],[1]!Table1[Shift_ID])</f>
        <v>S02</v>
      </c>
      <c r="M2236" t="str">
        <f>_xlfn.XLOOKUP(D2236,[2]!Table1[Machine_ID],[2]!Table1[Machine_ID])</f>
        <v>M003</v>
      </c>
      <c r="N2236" t="str">
        <f>_xlfn.XLOOKUP(E2236,[3]Sheet1!$A$2:$A$391,[3]Sheet1!$A$2:$A$391)</f>
        <v>PO10150</v>
      </c>
    </row>
    <row r="2237" spans="1:14" x14ac:dyDescent="0.2">
      <c r="A2237" t="s">
        <v>2246</v>
      </c>
      <c r="B2237" s="2">
        <v>46304</v>
      </c>
      <c r="C2237" t="s">
        <v>2941</v>
      </c>
      <c r="D2237" t="s">
        <v>2945</v>
      </c>
      <c r="E2237" t="s">
        <v>3100</v>
      </c>
      <c r="F2237" s="3">
        <v>46304.655071556699</v>
      </c>
      <c r="G2237" s="3">
        <v>46304.663437834417</v>
      </c>
      <c r="H2237">
        <v>12.05</v>
      </c>
      <c r="I2237" t="s">
        <v>3147</v>
      </c>
      <c r="J2237" t="s">
        <v>3154</v>
      </c>
      <c r="K2237" t="s">
        <v>3186</v>
      </c>
      <c r="L2237" t="str">
        <f>_xlfn.XLOOKUP(C2237,[1]!Table1[Shift_ID],[1]!Table1[Shift_ID])</f>
        <v>S02</v>
      </c>
      <c r="M2237" t="str">
        <f>_xlfn.XLOOKUP(D2237,[2]!Table1[Machine_ID],[2]!Table1[Machine_ID])</f>
        <v>M004</v>
      </c>
      <c r="N2237" t="str">
        <f>_xlfn.XLOOKUP(E2237,[3]Sheet1!$A$2:$A$391,[3]Sheet1!$A$2:$A$391)</f>
        <v>PO10150</v>
      </c>
    </row>
    <row r="2238" spans="1:14" x14ac:dyDescent="0.2">
      <c r="A2238" t="s">
        <v>2247</v>
      </c>
      <c r="B2238" s="2">
        <v>46304</v>
      </c>
      <c r="C2238" t="s">
        <v>2941</v>
      </c>
      <c r="D2238" t="s">
        <v>2946</v>
      </c>
      <c r="E2238" t="s">
        <v>3100</v>
      </c>
      <c r="F2238" s="3">
        <v>46304.632836438068</v>
      </c>
      <c r="G2238" s="3">
        <v>46304.640431581851</v>
      </c>
      <c r="H2238">
        <v>10.94</v>
      </c>
      <c r="I2238" t="s">
        <v>3149</v>
      </c>
      <c r="J2238" t="s">
        <v>3158</v>
      </c>
      <c r="K2238" t="s">
        <v>3182</v>
      </c>
      <c r="L2238" t="str">
        <f>_xlfn.XLOOKUP(C2238,[1]!Table1[Shift_ID],[1]!Table1[Shift_ID])</f>
        <v>S02</v>
      </c>
      <c r="M2238" t="str">
        <f>_xlfn.XLOOKUP(D2238,[2]!Table1[Machine_ID],[2]!Table1[Machine_ID])</f>
        <v>M005</v>
      </c>
      <c r="N2238" t="str">
        <f>_xlfn.XLOOKUP(E2238,[3]Sheet1!$A$2:$A$391,[3]Sheet1!$A$2:$A$391)</f>
        <v>PO10150</v>
      </c>
    </row>
    <row r="2239" spans="1:14" x14ac:dyDescent="0.2">
      <c r="A2239" t="s">
        <v>2248</v>
      </c>
      <c r="B2239" s="2">
        <v>46304</v>
      </c>
      <c r="C2239" t="s">
        <v>2941</v>
      </c>
      <c r="D2239" t="s">
        <v>2946</v>
      </c>
      <c r="E2239" t="s">
        <v>3100</v>
      </c>
      <c r="F2239" s="3">
        <v>46304.649947812039</v>
      </c>
      <c r="G2239" s="3">
        <v>46304.652859563503</v>
      </c>
      <c r="H2239">
        <v>4.1900000000000004</v>
      </c>
      <c r="I2239" t="s">
        <v>3146</v>
      </c>
      <c r="J2239" t="s">
        <v>3157</v>
      </c>
      <c r="K2239" t="s">
        <v>3171</v>
      </c>
      <c r="L2239" t="str">
        <f>_xlfn.XLOOKUP(C2239,[1]!Table1[Shift_ID],[1]!Table1[Shift_ID])</f>
        <v>S02</v>
      </c>
      <c r="M2239" t="str">
        <f>_xlfn.XLOOKUP(D2239,[2]!Table1[Machine_ID],[2]!Table1[Machine_ID])</f>
        <v>M005</v>
      </c>
      <c r="N2239" t="str">
        <f>_xlfn.XLOOKUP(E2239,[3]Sheet1!$A$2:$A$391,[3]Sheet1!$A$2:$A$391)</f>
        <v>PO10150</v>
      </c>
    </row>
    <row r="2240" spans="1:14" x14ac:dyDescent="0.2">
      <c r="A2240" t="s">
        <v>2249</v>
      </c>
      <c r="B2240" s="2">
        <v>46304</v>
      </c>
      <c r="C2240" t="s">
        <v>2941</v>
      </c>
      <c r="D2240" t="s">
        <v>2947</v>
      </c>
      <c r="E2240" t="s">
        <v>3100</v>
      </c>
      <c r="F2240" s="3">
        <v>46304.685751345452</v>
      </c>
      <c r="G2240" s="3">
        <v>46304.705295273343</v>
      </c>
      <c r="H2240">
        <v>28.14</v>
      </c>
      <c r="I2240" t="s">
        <v>3149</v>
      </c>
      <c r="J2240" t="s">
        <v>3158</v>
      </c>
      <c r="K2240" t="s">
        <v>3184</v>
      </c>
      <c r="L2240" t="str">
        <f>_xlfn.XLOOKUP(C2240,[1]!Table1[Shift_ID],[1]!Table1[Shift_ID])</f>
        <v>S02</v>
      </c>
      <c r="M2240" t="str">
        <f>_xlfn.XLOOKUP(D2240,[2]!Table1[Machine_ID],[2]!Table1[Machine_ID])</f>
        <v>M006</v>
      </c>
      <c r="N2240" t="str">
        <f>_xlfn.XLOOKUP(E2240,[3]Sheet1!$A$2:$A$391,[3]Sheet1!$A$2:$A$391)</f>
        <v>PO10150</v>
      </c>
    </row>
    <row r="2241" spans="1:14" x14ac:dyDescent="0.2">
      <c r="A2241" t="s">
        <v>2250</v>
      </c>
      <c r="B2241" s="2">
        <v>46304</v>
      </c>
      <c r="C2241" t="s">
        <v>2941</v>
      </c>
      <c r="D2241" t="s">
        <v>2948</v>
      </c>
      <c r="E2241" t="s">
        <v>3100</v>
      </c>
      <c r="F2241" s="3">
        <v>46304.782520555971</v>
      </c>
      <c r="G2241" s="3">
        <v>46304.795243755252</v>
      </c>
      <c r="H2241">
        <v>18.32</v>
      </c>
      <c r="I2241" t="s">
        <v>3151</v>
      </c>
      <c r="J2241" t="s">
        <v>3169</v>
      </c>
      <c r="K2241" t="s">
        <v>3188</v>
      </c>
      <c r="L2241" t="str">
        <f>_xlfn.XLOOKUP(C2241,[1]!Table1[Shift_ID],[1]!Table1[Shift_ID])</f>
        <v>S02</v>
      </c>
      <c r="M2241" t="str">
        <f>_xlfn.XLOOKUP(D2241,[2]!Table1[Machine_ID],[2]!Table1[Machine_ID])</f>
        <v>M007</v>
      </c>
      <c r="N2241" t="str">
        <f>_xlfn.XLOOKUP(E2241,[3]Sheet1!$A$2:$A$391,[3]Sheet1!$A$2:$A$391)</f>
        <v>PO10150</v>
      </c>
    </row>
    <row r="2242" spans="1:14" x14ac:dyDescent="0.2">
      <c r="A2242" t="s">
        <v>2251</v>
      </c>
      <c r="B2242" s="2">
        <v>46304</v>
      </c>
      <c r="C2242" t="s">
        <v>2941</v>
      </c>
      <c r="D2242" t="s">
        <v>2949</v>
      </c>
      <c r="E2242" t="s">
        <v>3100</v>
      </c>
      <c r="F2242" s="3">
        <v>46304.668564809181</v>
      </c>
      <c r="G2242" s="3">
        <v>46304.675223881597</v>
      </c>
      <c r="H2242">
        <v>9.59</v>
      </c>
      <c r="I2242" t="s">
        <v>3147</v>
      </c>
      <c r="J2242" t="s">
        <v>3167</v>
      </c>
      <c r="K2242" t="s">
        <v>3186</v>
      </c>
      <c r="L2242" t="str">
        <f>_xlfn.XLOOKUP(C2242,[1]!Table1[Shift_ID],[1]!Table1[Shift_ID])</f>
        <v>S02</v>
      </c>
      <c r="M2242" t="str">
        <f>_xlfn.XLOOKUP(D2242,[2]!Table1[Machine_ID],[2]!Table1[Machine_ID])</f>
        <v>M008</v>
      </c>
      <c r="N2242" t="str">
        <f>_xlfn.XLOOKUP(E2242,[3]Sheet1!$A$2:$A$391,[3]Sheet1!$A$2:$A$391)</f>
        <v>PO10150</v>
      </c>
    </row>
    <row r="2243" spans="1:14" x14ac:dyDescent="0.2">
      <c r="A2243" t="s">
        <v>2252</v>
      </c>
      <c r="B2243" s="2">
        <v>46307</v>
      </c>
      <c r="C2243" t="s">
        <v>2939</v>
      </c>
      <c r="D2243" t="s">
        <v>2942</v>
      </c>
      <c r="E2243" t="s">
        <v>3101</v>
      </c>
      <c r="F2243" s="3">
        <v>46307.939389781677</v>
      </c>
      <c r="G2243" s="3">
        <v>46307.945667493223</v>
      </c>
      <c r="H2243">
        <v>9.0399999999999991</v>
      </c>
      <c r="I2243" t="s">
        <v>3147</v>
      </c>
      <c r="J2243" t="s">
        <v>3153</v>
      </c>
      <c r="K2243" t="s">
        <v>3186</v>
      </c>
      <c r="L2243" t="str">
        <f>_xlfn.XLOOKUP(C2243,[1]!Table1[Shift_ID],[1]!Table1[Shift_ID])</f>
        <v>S03</v>
      </c>
      <c r="M2243" t="str">
        <f>_xlfn.XLOOKUP(D2243,[2]!Table1[Machine_ID],[2]!Table1[Machine_ID])</f>
        <v>M001</v>
      </c>
      <c r="N2243" t="str">
        <f>_xlfn.XLOOKUP(E2243,[3]Sheet1!$A$2:$A$391,[3]Sheet1!$A$2:$A$391)</f>
        <v>PO10151</v>
      </c>
    </row>
    <row r="2244" spans="1:14" x14ac:dyDescent="0.2">
      <c r="A2244" t="s">
        <v>2253</v>
      </c>
      <c r="B2244" s="2">
        <v>46307</v>
      </c>
      <c r="C2244" t="s">
        <v>2939</v>
      </c>
      <c r="D2244" t="s">
        <v>2943</v>
      </c>
      <c r="E2244" t="s">
        <v>3101</v>
      </c>
      <c r="F2244" s="3">
        <v>46308.201127940752</v>
      </c>
      <c r="G2244" s="3">
        <v>46308.21091142884</v>
      </c>
      <c r="H2244">
        <v>14.09</v>
      </c>
      <c r="I2244" t="s">
        <v>3147</v>
      </c>
      <c r="J2244" t="s">
        <v>3153</v>
      </c>
      <c r="K2244" t="s">
        <v>3185</v>
      </c>
      <c r="L2244" t="str">
        <f>_xlfn.XLOOKUP(C2244,[1]!Table1[Shift_ID],[1]!Table1[Shift_ID])</f>
        <v>S03</v>
      </c>
      <c r="M2244" t="str">
        <f>_xlfn.XLOOKUP(D2244,[2]!Table1[Machine_ID],[2]!Table1[Machine_ID])</f>
        <v>M002</v>
      </c>
      <c r="N2244" t="str">
        <f>_xlfn.XLOOKUP(E2244,[3]Sheet1!$A$2:$A$391,[3]Sheet1!$A$2:$A$391)</f>
        <v>PO10151</v>
      </c>
    </row>
    <row r="2245" spans="1:14" x14ac:dyDescent="0.2">
      <c r="A2245" t="s">
        <v>2254</v>
      </c>
      <c r="B2245" s="2">
        <v>46307</v>
      </c>
      <c r="C2245" t="s">
        <v>2939</v>
      </c>
      <c r="D2245" t="s">
        <v>2944</v>
      </c>
      <c r="E2245" t="s">
        <v>3101</v>
      </c>
      <c r="F2245" s="3">
        <v>46308.144578287647</v>
      </c>
      <c r="G2245" s="3">
        <v>46308.155221549583</v>
      </c>
      <c r="H2245">
        <v>15.33</v>
      </c>
      <c r="I2245" t="s">
        <v>3147</v>
      </c>
      <c r="J2245" t="s">
        <v>3167</v>
      </c>
      <c r="K2245" t="s">
        <v>3172</v>
      </c>
      <c r="L2245" t="str">
        <f>_xlfn.XLOOKUP(C2245,[1]!Table1[Shift_ID],[1]!Table1[Shift_ID])</f>
        <v>S03</v>
      </c>
      <c r="M2245" t="str">
        <f>_xlfn.XLOOKUP(D2245,[2]!Table1[Machine_ID],[2]!Table1[Machine_ID])</f>
        <v>M003</v>
      </c>
      <c r="N2245" t="str">
        <f>_xlfn.XLOOKUP(E2245,[3]Sheet1!$A$2:$A$391,[3]Sheet1!$A$2:$A$391)</f>
        <v>PO10151</v>
      </c>
    </row>
    <row r="2246" spans="1:14" x14ac:dyDescent="0.2">
      <c r="A2246" t="s">
        <v>2255</v>
      </c>
      <c r="B2246" s="2">
        <v>46307</v>
      </c>
      <c r="C2246" t="s">
        <v>2939</v>
      </c>
      <c r="D2246" t="s">
        <v>2945</v>
      </c>
      <c r="E2246" t="s">
        <v>3101</v>
      </c>
      <c r="F2246" s="3">
        <v>46308.087612990174</v>
      </c>
      <c r="G2246" s="3">
        <v>46308.095070018309</v>
      </c>
      <c r="H2246">
        <v>10.74</v>
      </c>
      <c r="I2246" t="s">
        <v>3148</v>
      </c>
      <c r="J2246" t="s">
        <v>3164</v>
      </c>
      <c r="K2246" t="s">
        <v>3180</v>
      </c>
      <c r="L2246" t="str">
        <f>_xlfn.XLOOKUP(C2246,[1]!Table1[Shift_ID],[1]!Table1[Shift_ID])</f>
        <v>S03</v>
      </c>
      <c r="M2246" t="str">
        <f>_xlfn.XLOOKUP(D2246,[2]!Table1[Machine_ID],[2]!Table1[Machine_ID])</f>
        <v>M004</v>
      </c>
      <c r="N2246" t="str">
        <f>_xlfn.XLOOKUP(E2246,[3]Sheet1!$A$2:$A$391,[3]Sheet1!$A$2:$A$391)</f>
        <v>PO10151</v>
      </c>
    </row>
    <row r="2247" spans="1:14" x14ac:dyDescent="0.2">
      <c r="A2247" t="s">
        <v>2256</v>
      </c>
      <c r="B2247" s="2">
        <v>46307</v>
      </c>
      <c r="C2247" t="s">
        <v>2939</v>
      </c>
      <c r="D2247" t="s">
        <v>2946</v>
      </c>
      <c r="E2247" t="s">
        <v>3101</v>
      </c>
      <c r="F2247" s="3">
        <v>46308.027254611363</v>
      </c>
      <c r="G2247" s="3">
        <v>46308.035475762488</v>
      </c>
      <c r="H2247">
        <v>11.84</v>
      </c>
      <c r="I2247" t="s">
        <v>3150</v>
      </c>
      <c r="J2247" t="s">
        <v>3166</v>
      </c>
      <c r="K2247" t="s">
        <v>3177</v>
      </c>
      <c r="L2247" t="str">
        <f>_xlfn.XLOOKUP(C2247,[1]!Table1[Shift_ID],[1]!Table1[Shift_ID])</f>
        <v>S03</v>
      </c>
      <c r="M2247" t="str">
        <f>_xlfn.XLOOKUP(D2247,[2]!Table1[Machine_ID],[2]!Table1[Machine_ID])</f>
        <v>M005</v>
      </c>
      <c r="N2247" t="str">
        <f>_xlfn.XLOOKUP(E2247,[3]Sheet1!$A$2:$A$391,[3]Sheet1!$A$2:$A$391)</f>
        <v>PO10151</v>
      </c>
    </row>
    <row r="2248" spans="1:14" x14ac:dyDescent="0.2">
      <c r="A2248" t="s">
        <v>2257</v>
      </c>
      <c r="B2248" s="2">
        <v>46307</v>
      </c>
      <c r="C2248" t="s">
        <v>2939</v>
      </c>
      <c r="D2248" t="s">
        <v>2947</v>
      </c>
      <c r="E2248" t="s">
        <v>3101</v>
      </c>
      <c r="F2248" s="3">
        <v>46308.133331757548</v>
      </c>
      <c r="G2248" s="3">
        <v>46308.135279725808</v>
      </c>
      <c r="H2248">
        <v>2.81</v>
      </c>
      <c r="I2248" t="s">
        <v>3147</v>
      </c>
      <c r="J2248" t="s">
        <v>3153</v>
      </c>
      <c r="K2248" t="s">
        <v>3185</v>
      </c>
      <c r="L2248" t="str">
        <f>_xlfn.XLOOKUP(C2248,[1]!Table1[Shift_ID],[1]!Table1[Shift_ID])</f>
        <v>S03</v>
      </c>
      <c r="M2248" t="str">
        <f>_xlfn.XLOOKUP(D2248,[2]!Table1[Machine_ID],[2]!Table1[Machine_ID])</f>
        <v>M006</v>
      </c>
      <c r="N2248" t="str">
        <f>_xlfn.XLOOKUP(E2248,[3]Sheet1!$A$2:$A$391,[3]Sheet1!$A$2:$A$391)</f>
        <v>PO10151</v>
      </c>
    </row>
    <row r="2249" spans="1:14" x14ac:dyDescent="0.2">
      <c r="A2249" t="s">
        <v>2258</v>
      </c>
      <c r="B2249" s="2">
        <v>46307</v>
      </c>
      <c r="C2249" t="s">
        <v>2939</v>
      </c>
      <c r="D2249" t="s">
        <v>2947</v>
      </c>
      <c r="E2249" t="s">
        <v>3101</v>
      </c>
      <c r="F2249" s="3">
        <v>46308.1691428536</v>
      </c>
      <c r="G2249" s="3">
        <v>46308.188508639709</v>
      </c>
      <c r="H2249">
        <v>27.89</v>
      </c>
      <c r="I2249" t="s">
        <v>3150</v>
      </c>
      <c r="J2249" t="s">
        <v>3163</v>
      </c>
      <c r="K2249" t="s">
        <v>3179</v>
      </c>
      <c r="L2249" t="str">
        <f>_xlfn.XLOOKUP(C2249,[1]!Table1[Shift_ID],[1]!Table1[Shift_ID])</f>
        <v>S03</v>
      </c>
      <c r="M2249" t="str">
        <f>_xlfn.XLOOKUP(D2249,[2]!Table1[Machine_ID],[2]!Table1[Machine_ID])</f>
        <v>M006</v>
      </c>
      <c r="N2249" t="str">
        <f>_xlfn.XLOOKUP(E2249,[3]Sheet1!$A$2:$A$391,[3]Sheet1!$A$2:$A$391)</f>
        <v>PO10151</v>
      </c>
    </row>
    <row r="2250" spans="1:14" x14ac:dyDescent="0.2">
      <c r="A2250" t="s">
        <v>2259</v>
      </c>
      <c r="B2250" s="2">
        <v>46307</v>
      </c>
      <c r="C2250" t="s">
        <v>2939</v>
      </c>
      <c r="D2250" t="s">
        <v>2948</v>
      </c>
      <c r="E2250" t="s">
        <v>3101</v>
      </c>
      <c r="F2250" s="3">
        <v>46308.091907116162</v>
      </c>
      <c r="G2250" s="3">
        <v>46308.107305875157</v>
      </c>
      <c r="H2250">
        <v>22.17</v>
      </c>
      <c r="I2250" t="s">
        <v>3148</v>
      </c>
      <c r="J2250" t="s">
        <v>3155</v>
      </c>
      <c r="K2250" t="s">
        <v>3173</v>
      </c>
      <c r="L2250" t="str">
        <f>_xlfn.XLOOKUP(C2250,[1]!Table1[Shift_ID],[1]!Table1[Shift_ID])</f>
        <v>S03</v>
      </c>
      <c r="M2250" t="str">
        <f>_xlfn.XLOOKUP(D2250,[2]!Table1[Machine_ID],[2]!Table1[Machine_ID])</f>
        <v>M007</v>
      </c>
      <c r="N2250" t="str">
        <f>_xlfn.XLOOKUP(E2250,[3]Sheet1!$A$2:$A$391,[3]Sheet1!$A$2:$A$391)</f>
        <v>PO10151</v>
      </c>
    </row>
    <row r="2251" spans="1:14" x14ac:dyDescent="0.2">
      <c r="A2251" t="s">
        <v>2260</v>
      </c>
      <c r="B2251" s="2">
        <v>46307</v>
      </c>
      <c r="C2251" t="s">
        <v>2939</v>
      </c>
      <c r="D2251" t="s">
        <v>2949</v>
      </c>
      <c r="E2251" t="s">
        <v>3101</v>
      </c>
      <c r="F2251" s="3">
        <v>46307.925896268513</v>
      </c>
      <c r="G2251" s="3">
        <v>46307.927422840206</v>
      </c>
      <c r="H2251">
        <v>2.2000000000000002</v>
      </c>
      <c r="I2251" t="s">
        <v>3146</v>
      </c>
      <c r="J2251" t="s">
        <v>3152</v>
      </c>
      <c r="K2251" t="s">
        <v>3174</v>
      </c>
      <c r="L2251" t="str">
        <f>_xlfn.XLOOKUP(C2251,[1]!Table1[Shift_ID],[1]!Table1[Shift_ID])</f>
        <v>S03</v>
      </c>
      <c r="M2251" t="str">
        <f>_xlfn.XLOOKUP(D2251,[2]!Table1[Machine_ID],[2]!Table1[Machine_ID])</f>
        <v>M008</v>
      </c>
      <c r="N2251" t="str">
        <f>_xlfn.XLOOKUP(E2251,[3]Sheet1!$A$2:$A$391,[3]Sheet1!$A$2:$A$391)</f>
        <v>PO10151</v>
      </c>
    </row>
    <row r="2252" spans="1:14" x14ac:dyDescent="0.2">
      <c r="A2252" t="s">
        <v>2261</v>
      </c>
      <c r="B2252" s="2">
        <v>46307</v>
      </c>
      <c r="C2252" t="s">
        <v>2939</v>
      </c>
      <c r="D2252" t="s">
        <v>2949</v>
      </c>
      <c r="E2252" t="s">
        <v>3101</v>
      </c>
      <c r="F2252" s="3">
        <v>46307.972117027362</v>
      </c>
      <c r="G2252" s="3">
        <v>46307.976356634666</v>
      </c>
      <c r="H2252">
        <v>6.11</v>
      </c>
      <c r="I2252" t="s">
        <v>3150</v>
      </c>
      <c r="J2252" t="s">
        <v>3160</v>
      </c>
      <c r="K2252" t="s">
        <v>3177</v>
      </c>
      <c r="L2252" t="str">
        <f>_xlfn.XLOOKUP(C2252,[1]!Table1[Shift_ID],[1]!Table1[Shift_ID])</f>
        <v>S03</v>
      </c>
      <c r="M2252" t="str">
        <f>_xlfn.XLOOKUP(D2252,[2]!Table1[Machine_ID],[2]!Table1[Machine_ID])</f>
        <v>M008</v>
      </c>
      <c r="N2252" t="str">
        <f>_xlfn.XLOOKUP(E2252,[3]Sheet1!$A$2:$A$391,[3]Sheet1!$A$2:$A$391)</f>
        <v>PO10151</v>
      </c>
    </row>
    <row r="2253" spans="1:14" x14ac:dyDescent="0.2">
      <c r="A2253" t="s">
        <v>2262</v>
      </c>
      <c r="B2253" s="2">
        <v>46307</v>
      </c>
      <c r="C2253" t="s">
        <v>2939</v>
      </c>
      <c r="D2253" t="s">
        <v>2949</v>
      </c>
      <c r="E2253" t="s">
        <v>3101</v>
      </c>
      <c r="F2253" s="3">
        <v>46308.225593335817</v>
      </c>
      <c r="G2253" s="3">
        <v>46308.227119907533</v>
      </c>
      <c r="H2253">
        <v>2.2000000000000002</v>
      </c>
      <c r="I2253" t="s">
        <v>3149</v>
      </c>
      <c r="J2253" t="s">
        <v>3168</v>
      </c>
      <c r="K2253" t="s">
        <v>3176</v>
      </c>
      <c r="L2253" t="str">
        <f>_xlfn.XLOOKUP(C2253,[1]!Table1[Shift_ID],[1]!Table1[Shift_ID])</f>
        <v>S03</v>
      </c>
      <c r="M2253" t="str">
        <f>_xlfn.XLOOKUP(D2253,[2]!Table1[Machine_ID],[2]!Table1[Machine_ID])</f>
        <v>M008</v>
      </c>
      <c r="N2253" t="str">
        <f>_xlfn.XLOOKUP(E2253,[3]Sheet1!$A$2:$A$391,[3]Sheet1!$A$2:$A$391)</f>
        <v>PO10151</v>
      </c>
    </row>
    <row r="2254" spans="1:14" x14ac:dyDescent="0.2">
      <c r="A2254" t="s">
        <v>2263</v>
      </c>
      <c r="B2254" s="2">
        <v>46307</v>
      </c>
      <c r="C2254" t="s">
        <v>2940</v>
      </c>
      <c r="D2254" t="s">
        <v>2942</v>
      </c>
      <c r="E2254" t="s">
        <v>3102</v>
      </c>
      <c r="F2254" s="3">
        <v>46307.549733688153</v>
      </c>
      <c r="G2254" s="3">
        <v>46307.556467183837</v>
      </c>
      <c r="H2254">
        <v>9.6999999999999993</v>
      </c>
      <c r="I2254" t="s">
        <v>3150</v>
      </c>
      <c r="J2254" t="s">
        <v>3163</v>
      </c>
      <c r="K2254" t="s">
        <v>3178</v>
      </c>
      <c r="L2254" t="str">
        <f>_xlfn.XLOOKUP(C2254,[1]!Table1[Shift_ID],[1]!Table1[Shift_ID])</f>
        <v>S01</v>
      </c>
      <c r="M2254" t="str">
        <f>_xlfn.XLOOKUP(D2254,[2]!Table1[Machine_ID],[2]!Table1[Machine_ID])</f>
        <v>M001</v>
      </c>
      <c r="N2254" t="str">
        <f>_xlfn.XLOOKUP(E2254,[3]Sheet1!$A$2:$A$391,[3]Sheet1!$A$2:$A$391)</f>
        <v>PO10152</v>
      </c>
    </row>
    <row r="2255" spans="1:14" x14ac:dyDescent="0.2">
      <c r="A2255" t="s">
        <v>2264</v>
      </c>
      <c r="B2255" s="2">
        <v>46307</v>
      </c>
      <c r="C2255" t="s">
        <v>2940</v>
      </c>
      <c r="D2255" t="s">
        <v>2943</v>
      </c>
      <c r="E2255" t="s">
        <v>3102</v>
      </c>
      <c r="F2255" s="3">
        <v>46307.472530464293</v>
      </c>
      <c r="G2255" s="3">
        <v>46307.482580661621</v>
      </c>
      <c r="H2255">
        <v>14.47</v>
      </c>
      <c r="I2255" t="s">
        <v>3149</v>
      </c>
      <c r="J2255" t="s">
        <v>3168</v>
      </c>
      <c r="K2255" t="s">
        <v>3182</v>
      </c>
      <c r="L2255" t="str">
        <f>_xlfn.XLOOKUP(C2255,[1]!Table1[Shift_ID],[1]!Table1[Shift_ID])</f>
        <v>S01</v>
      </c>
      <c r="M2255" t="str">
        <f>_xlfn.XLOOKUP(D2255,[2]!Table1[Machine_ID],[2]!Table1[Machine_ID])</f>
        <v>M002</v>
      </c>
      <c r="N2255" t="str">
        <f>_xlfn.XLOOKUP(E2255,[3]Sheet1!$A$2:$A$391,[3]Sheet1!$A$2:$A$391)</f>
        <v>PO10152</v>
      </c>
    </row>
    <row r="2256" spans="1:14" x14ac:dyDescent="0.2">
      <c r="A2256" t="s">
        <v>2265</v>
      </c>
      <c r="B2256" s="2">
        <v>46307</v>
      </c>
      <c r="C2256" t="s">
        <v>2940</v>
      </c>
      <c r="D2256" t="s">
        <v>2944</v>
      </c>
      <c r="E2256" t="s">
        <v>3102</v>
      </c>
      <c r="F2256" s="3">
        <v>46307.28993340204</v>
      </c>
      <c r="G2256" s="3">
        <v>46307.292883898757</v>
      </c>
      <c r="H2256">
        <v>4.25</v>
      </c>
      <c r="I2256" t="s">
        <v>3148</v>
      </c>
      <c r="J2256" t="s">
        <v>3165</v>
      </c>
      <c r="K2256" t="s">
        <v>3173</v>
      </c>
      <c r="L2256" t="str">
        <f>_xlfn.XLOOKUP(C2256,[1]!Table1[Shift_ID],[1]!Table1[Shift_ID])</f>
        <v>S01</v>
      </c>
      <c r="M2256" t="str">
        <f>_xlfn.XLOOKUP(D2256,[2]!Table1[Machine_ID],[2]!Table1[Machine_ID])</f>
        <v>M003</v>
      </c>
      <c r="N2256" t="str">
        <f>_xlfn.XLOOKUP(E2256,[3]Sheet1!$A$2:$A$391,[3]Sheet1!$A$2:$A$391)</f>
        <v>PO10152</v>
      </c>
    </row>
    <row r="2257" spans="1:14" x14ac:dyDescent="0.2">
      <c r="A2257" t="s">
        <v>2266</v>
      </c>
      <c r="B2257" s="2">
        <v>46307</v>
      </c>
      <c r="C2257" t="s">
        <v>2940</v>
      </c>
      <c r="D2257" t="s">
        <v>2944</v>
      </c>
      <c r="E2257" t="s">
        <v>3102</v>
      </c>
      <c r="F2257" s="3">
        <v>46307.549240255597</v>
      </c>
      <c r="G2257" s="3">
        <v>46307.55947909104</v>
      </c>
      <c r="H2257">
        <v>14.74</v>
      </c>
      <c r="I2257" t="s">
        <v>3147</v>
      </c>
      <c r="J2257" t="s">
        <v>3167</v>
      </c>
      <c r="K2257" t="s">
        <v>3172</v>
      </c>
      <c r="L2257" t="str">
        <f>_xlfn.XLOOKUP(C2257,[1]!Table1[Shift_ID],[1]!Table1[Shift_ID])</f>
        <v>S01</v>
      </c>
      <c r="M2257" t="str">
        <f>_xlfn.XLOOKUP(D2257,[2]!Table1[Machine_ID],[2]!Table1[Machine_ID])</f>
        <v>M003</v>
      </c>
      <c r="N2257" t="str">
        <f>_xlfn.XLOOKUP(E2257,[3]Sheet1!$A$2:$A$391,[3]Sheet1!$A$2:$A$391)</f>
        <v>PO10152</v>
      </c>
    </row>
    <row r="2258" spans="1:14" x14ac:dyDescent="0.2">
      <c r="A2258" t="s">
        <v>2267</v>
      </c>
      <c r="B2258" s="2">
        <v>46307</v>
      </c>
      <c r="C2258" t="s">
        <v>2940</v>
      </c>
      <c r="D2258" t="s">
        <v>2945</v>
      </c>
      <c r="E2258" t="s">
        <v>3102</v>
      </c>
      <c r="F2258" s="3">
        <v>46307.415743551937</v>
      </c>
      <c r="G2258" s="3">
        <v>46307.425749691851</v>
      </c>
      <c r="H2258">
        <v>14.41</v>
      </c>
      <c r="I2258" t="s">
        <v>3149</v>
      </c>
      <c r="J2258" t="s">
        <v>3168</v>
      </c>
      <c r="K2258" t="s">
        <v>3182</v>
      </c>
      <c r="L2258" t="str">
        <f>_xlfn.XLOOKUP(C2258,[1]!Table1[Shift_ID],[1]!Table1[Shift_ID])</f>
        <v>S01</v>
      </c>
      <c r="M2258" t="str">
        <f>_xlfn.XLOOKUP(D2258,[2]!Table1[Machine_ID],[2]!Table1[Machine_ID])</f>
        <v>M004</v>
      </c>
      <c r="N2258" t="str">
        <f>_xlfn.XLOOKUP(E2258,[3]Sheet1!$A$2:$A$391,[3]Sheet1!$A$2:$A$391)</f>
        <v>PO10152</v>
      </c>
    </row>
    <row r="2259" spans="1:14" x14ac:dyDescent="0.2">
      <c r="A2259" t="s">
        <v>2268</v>
      </c>
      <c r="B2259" s="2">
        <v>46307</v>
      </c>
      <c r="C2259" t="s">
        <v>2940</v>
      </c>
      <c r="D2259" t="s">
        <v>2946</v>
      </c>
      <c r="E2259" t="s">
        <v>3102</v>
      </c>
      <c r="F2259" s="3">
        <v>46307.506934681187</v>
      </c>
      <c r="G2259" s="3">
        <v>46307.515322133069</v>
      </c>
      <c r="H2259">
        <v>12.08</v>
      </c>
      <c r="I2259" t="s">
        <v>3151</v>
      </c>
      <c r="J2259" t="s">
        <v>3170</v>
      </c>
      <c r="K2259" t="s">
        <v>3187</v>
      </c>
      <c r="L2259" t="str">
        <f>_xlfn.XLOOKUP(C2259,[1]!Table1[Shift_ID],[1]!Table1[Shift_ID])</f>
        <v>S01</v>
      </c>
      <c r="M2259" t="str">
        <f>_xlfn.XLOOKUP(D2259,[2]!Table1[Machine_ID],[2]!Table1[Machine_ID])</f>
        <v>M005</v>
      </c>
      <c r="N2259" t="str">
        <f>_xlfn.XLOOKUP(E2259,[3]Sheet1!$A$2:$A$391,[3]Sheet1!$A$2:$A$391)</f>
        <v>PO10152</v>
      </c>
    </row>
    <row r="2260" spans="1:14" x14ac:dyDescent="0.2">
      <c r="A2260" t="s">
        <v>2269</v>
      </c>
      <c r="B2260" s="2">
        <v>46307</v>
      </c>
      <c r="C2260" t="s">
        <v>2940</v>
      </c>
      <c r="D2260" t="s">
        <v>2947</v>
      </c>
      <c r="E2260" t="s">
        <v>3102</v>
      </c>
      <c r="F2260" s="3">
        <v>46307.294153934781</v>
      </c>
      <c r="G2260" s="3">
        <v>46307.298808836422</v>
      </c>
      <c r="H2260">
        <v>6.7</v>
      </c>
      <c r="I2260" t="s">
        <v>3151</v>
      </c>
      <c r="J2260" t="s">
        <v>3161</v>
      </c>
      <c r="K2260" t="s">
        <v>3181</v>
      </c>
      <c r="L2260" t="str">
        <f>_xlfn.XLOOKUP(C2260,[1]!Table1[Shift_ID],[1]!Table1[Shift_ID])</f>
        <v>S01</v>
      </c>
      <c r="M2260" t="str">
        <f>_xlfn.XLOOKUP(D2260,[2]!Table1[Machine_ID],[2]!Table1[Machine_ID])</f>
        <v>M006</v>
      </c>
      <c r="N2260" t="str">
        <f>_xlfn.XLOOKUP(E2260,[3]Sheet1!$A$2:$A$391,[3]Sheet1!$A$2:$A$391)</f>
        <v>PO10152</v>
      </c>
    </row>
    <row r="2261" spans="1:14" x14ac:dyDescent="0.2">
      <c r="A2261" t="s">
        <v>2270</v>
      </c>
      <c r="B2261" s="2">
        <v>46307</v>
      </c>
      <c r="C2261" t="s">
        <v>2940</v>
      </c>
      <c r="D2261" t="s">
        <v>2947</v>
      </c>
      <c r="E2261" t="s">
        <v>3102</v>
      </c>
      <c r="F2261" s="3">
        <v>46307.444354721767</v>
      </c>
      <c r="G2261" s="3">
        <v>46307.461056569533</v>
      </c>
      <c r="H2261">
        <v>24.05</v>
      </c>
      <c r="I2261" t="s">
        <v>3149</v>
      </c>
      <c r="J2261" t="s">
        <v>3162</v>
      </c>
      <c r="K2261" t="s">
        <v>3176</v>
      </c>
      <c r="L2261" t="str">
        <f>_xlfn.XLOOKUP(C2261,[1]!Table1[Shift_ID],[1]!Table1[Shift_ID])</f>
        <v>S01</v>
      </c>
      <c r="M2261" t="str">
        <f>_xlfn.XLOOKUP(D2261,[2]!Table1[Machine_ID],[2]!Table1[Machine_ID])</f>
        <v>M006</v>
      </c>
      <c r="N2261" t="str">
        <f>_xlfn.XLOOKUP(E2261,[3]Sheet1!$A$2:$A$391,[3]Sheet1!$A$2:$A$391)</f>
        <v>PO10152</v>
      </c>
    </row>
    <row r="2262" spans="1:14" x14ac:dyDescent="0.2">
      <c r="A2262" t="s">
        <v>2271</v>
      </c>
      <c r="B2262" s="2">
        <v>46307</v>
      </c>
      <c r="C2262" t="s">
        <v>2940</v>
      </c>
      <c r="D2262" t="s">
        <v>2947</v>
      </c>
      <c r="E2262" t="s">
        <v>3102</v>
      </c>
      <c r="F2262" s="3">
        <v>46307.522591281457</v>
      </c>
      <c r="G2262" s="3">
        <v>46307.532955451243</v>
      </c>
      <c r="H2262">
        <v>14.92</v>
      </c>
      <c r="I2262" t="s">
        <v>3149</v>
      </c>
      <c r="J2262" t="s">
        <v>3168</v>
      </c>
      <c r="K2262" t="s">
        <v>3184</v>
      </c>
      <c r="L2262" t="str">
        <f>_xlfn.XLOOKUP(C2262,[1]!Table1[Shift_ID],[1]!Table1[Shift_ID])</f>
        <v>S01</v>
      </c>
      <c r="M2262" t="str">
        <f>_xlfn.XLOOKUP(D2262,[2]!Table1[Machine_ID],[2]!Table1[Machine_ID])</f>
        <v>M006</v>
      </c>
      <c r="N2262" t="str">
        <f>_xlfn.XLOOKUP(E2262,[3]Sheet1!$A$2:$A$391,[3]Sheet1!$A$2:$A$391)</f>
        <v>PO10152</v>
      </c>
    </row>
    <row r="2263" spans="1:14" x14ac:dyDescent="0.2">
      <c r="A2263" t="s">
        <v>2272</v>
      </c>
      <c r="B2263" s="2">
        <v>46307</v>
      </c>
      <c r="C2263" t="s">
        <v>2940</v>
      </c>
      <c r="D2263" t="s">
        <v>2948</v>
      </c>
      <c r="E2263" t="s">
        <v>3102</v>
      </c>
      <c r="F2263" s="3">
        <v>46307.364071638847</v>
      </c>
      <c r="G2263" s="3">
        <v>46307.378686311771</v>
      </c>
      <c r="H2263">
        <v>21.05</v>
      </c>
      <c r="I2263" t="s">
        <v>3150</v>
      </c>
      <c r="J2263" t="s">
        <v>3166</v>
      </c>
      <c r="K2263" t="s">
        <v>3179</v>
      </c>
      <c r="L2263" t="str">
        <f>_xlfn.XLOOKUP(C2263,[1]!Table1[Shift_ID],[1]!Table1[Shift_ID])</f>
        <v>S01</v>
      </c>
      <c r="M2263" t="str">
        <f>_xlfn.XLOOKUP(D2263,[2]!Table1[Machine_ID],[2]!Table1[Machine_ID])</f>
        <v>M007</v>
      </c>
      <c r="N2263" t="str">
        <f>_xlfn.XLOOKUP(E2263,[3]Sheet1!$A$2:$A$391,[3]Sheet1!$A$2:$A$391)</f>
        <v>PO10152</v>
      </c>
    </row>
    <row r="2264" spans="1:14" x14ac:dyDescent="0.2">
      <c r="A2264" t="s">
        <v>2273</v>
      </c>
      <c r="B2264" s="2">
        <v>46307</v>
      </c>
      <c r="C2264" t="s">
        <v>2940</v>
      </c>
      <c r="D2264" t="s">
        <v>2948</v>
      </c>
      <c r="E2264" t="s">
        <v>3102</v>
      </c>
      <c r="F2264" s="3">
        <v>46307.468706817817</v>
      </c>
      <c r="G2264" s="3">
        <v>46307.473048177897</v>
      </c>
      <c r="H2264">
        <v>6.25</v>
      </c>
      <c r="I2264" t="s">
        <v>3147</v>
      </c>
      <c r="J2264" t="s">
        <v>3153</v>
      </c>
      <c r="K2264" t="s">
        <v>3185</v>
      </c>
      <c r="L2264" t="str">
        <f>_xlfn.XLOOKUP(C2264,[1]!Table1[Shift_ID],[1]!Table1[Shift_ID])</f>
        <v>S01</v>
      </c>
      <c r="M2264" t="str">
        <f>_xlfn.XLOOKUP(D2264,[2]!Table1[Machine_ID],[2]!Table1[Machine_ID])</f>
        <v>M007</v>
      </c>
      <c r="N2264" t="str">
        <f>_xlfn.XLOOKUP(E2264,[3]Sheet1!$A$2:$A$391,[3]Sheet1!$A$2:$A$391)</f>
        <v>PO10152</v>
      </c>
    </row>
    <row r="2265" spans="1:14" x14ac:dyDescent="0.2">
      <c r="A2265" t="s">
        <v>2274</v>
      </c>
      <c r="B2265" s="2">
        <v>46307</v>
      </c>
      <c r="C2265" t="s">
        <v>2940</v>
      </c>
      <c r="D2265" t="s">
        <v>2949</v>
      </c>
      <c r="E2265" t="s">
        <v>3102</v>
      </c>
      <c r="F2265" s="3">
        <v>46307.254451053777</v>
      </c>
      <c r="G2265" s="3">
        <v>46307.256224547447</v>
      </c>
      <c r="H2265">
        <v>2.5499999999999998</v>
      </c>
      <c r="I2265" t="s">
        <v>3149</v>
      </c>
      <c r="J2265" t="s">
        <v>3158</v>
      </c>
      <c r="K2265" t="s">
        <v>3182</v>
      </c>
      <c r="L2265" t="str">
        <f>_xlfn.XLOOKUP(C2265,[1]!Table1[Shift_ID],[1]!Table1[Shift_ID])</f>
        <v>S01</v>
      </c>
      <c r="M2265" t="str">
        <f>_xlfn.XLOOKUP(D2265,[2]!Table1[Machine_ID],[2]!Table1[Machine_ID])</f>
        <v>M008</v>
      </c>
      <c r="N2265" t="str">
        <f>_xlfn.XLOOKUP(E2265,[3]Sheet1!$A$2:$A$391,[3]Sheet1!$A$2:$A$391)</f>
        <v>PO10152</v>
      </c>
    </row>
    <row r="2266" spans="1:14" x14ac:dyDescent="0.2">
      <c r="A2266" t="s">
        <v>2275</v>
      </c>
      <c r="B2266" s="2">
        <v>46307</v>
      </c>
      <c r="C2266" t="s">
        <v>2940</v>
      </c>
      <c r="D2266" t="s">
        <v>2949</v>
      </c>
      <c r="E2266" t="s">
        <v>3102</v>
      </c>
      <c r="F2266" s="3">
        <v>46307.432237527093</v>
      </c>
      <c r="G2266" s="3">
        <v>46307.434011020763</v>
      </c>
      <c r="H2266">
        <v>2.5499999999999998</v>
      </c>
      <c r="I2266" t="s">
        <v>3147</v>
      </c>
      <c r="J2266" t="s">
        <v>3153</v>
      </c>
      <c r="K2266" t="s">
        <v>3186</v>
      </c>
      <c r="L2266" t="str">
        <f>_xlfn.XLOOKUP(C2266,[1]!Table1[Shift_ID],[1]!Table1[Shift_ID])</f>
        <v>S01</v>
      </c>
      <c r="M2266" t="str">
        <f>_xlfn.XLOOKUP(D2266,[2]!Table1[Machine_ID],[2]!Table1[Machine_ID])</f>
        <v>M008</v>
      </c>
      <c r="N2266" t="str">
        <f>_xlfn.XLOOKUP(E2266,[3]Sheet1!$A$2:$A$391,[3]Sheet1!$A$2:$A$391)</f>
        <v>PO10152</v>
      </c>
    </row>
    <row r="2267" spans="1:14" x14ac:dyDescent="0.2">
      <c r="A2267" t="s">
        <v>2276</v>
      </c>
      <c r="B2267" s="2">
        <v>46307</v>
      </c>
      <c r="C2267" t="s">
        <v>2940</v>
      </c>
      <c r="D2267" t="s">
        <v>2949</v>
      </c>
      <c r="E2267" t="s">
        <v>3102</v>
      </c>
      <c r="F2267" s="3">
        <v>46307.466495236993</v>
      </c>
      <c r="G2267" s="3">
        <v>46307.469114877</v>
      </c>
      <c r="H2267">
        <v>3.77</v>
      </c>
      <c r="I2267" t="s">
        <v>3148</v>
      </c>
      <c r="J2267" t="s">
        <v>3165</v>
      </c>
      <c r="K2267" t="s">
        <v>3183</v>
      </c>
      <c r="L2267" t="str">
        <f>_xlfn.XLOOKUP(C2267,[1]!Table1[Shift_ID],[1]!Table1[Shift_ID])</f>
        <v>S01</v>
      </c>
      <c r="M2267" t="str">
        <f>_xlfn.XLOOKUP(D2267,[2]!Table1[Machine_ID],[2]!Table1[Machine_ID])</f>
        <v>M008</v>
      </c>
      <c r="N2267" t="str">
        <f>_xlfn.XLOOKUP(E2267,[3]Sheet1!$A$2:$A$391,[3]Sheet1!$A$2:$A$391)</f>
        <v>PO10152</v>
      </c>
    </row>
    <row r="2268" spans="1:14" x14ac:dyDescent="0.2">
      <c r="A2268" t="s">
        <v>2277</v>
      </c>
      <c r="B2268" s="2">
        <v>46307</v>
      </c>
      <c r="C2268" t="s">
        <v>2941</v>
      </c>
      <c r="D2268" t="s">
        <v>2942</v>
      </c>
      <c r="E2268" t="s">
        <v>3103</v>
      </c>
      <c r="F2268" s="3">
        <v>46307.733247764998</v>
      </c>
      <c r="G2268" s="3">
        <v>46307.74071386845</v>
      </c>
      <c r="H2268">
        <v>10.75</v>
      </c>
      <c r="I2268" t="s">
        <v>3151</v>
      </c>
      <c r="J2268" t="s">
        <v>3169</v>
      </c>
      <c r="K2268" t="s">
        <v>3187</v>
      </c>
      <c r="L2268" t="str">
        <f>_xlfn.XLOOKUP(C2268,[1]!Table1[Shift_ID],[1]!Table1[Shift_ID])</f>
        <v>S02</v>
      </c>
      <c r="M2268" t="str">
        <f>_xlfn.XLOOKUP(D2268,[2]!Table1[Machine_ID],[2]!Table1[Machine_ID])</f>
        <v>M001</v>
      </c>
      <c r="N2268" t="str">
        <f>_xlfn.XLOOKUP(E2268,[3]Sheet1!$A$2:$A$391,[3]Sheet1!$A$2:$A$391)</f>
        <v>PO10153</v>
      </c>
    </row>
    <row r="2269" spans="1:14" x14ac:dyDescent="0.2">
      <c r="A2269" t="s">
        <v>2278</v>
      </c>
      <c r="B2269" s="2">
        <v>46307</v>
      </c>
      <c r="C2269" t="s">
        <v>2941</v>
      </c>
      <c r="D2269" t="s">
        <v>2943</v>
      </c>
      <c r="E2269" t="s">
        <v>3103</v>
      </c>
      <c r="F2269" s="3">
        <v>46307.688461993843</v>
      </c>
      <c r="G2269" s="3">
        <v>46307.69791779096</v>
      </c>
      <c r="H2269">
        <v>13.62</v>
      </c>
      <c r="I2269" t="s">
        <v>3148</v>
      </c>
      <c r="J2269" t="s">
        <v>3155</v>
      </c>
      <c r="K2269" t="s">
        <v>3173</v>
      </c>
      <c r="L2269" t="str">
        <f>_xlfn.XLOOKUP(C2269,[1]!Table1[Shift_ID],[1]!Table1[Shift_ID])</f>
        <v>S02</v>
      </c>
      <c r="M2269" t="str">
        <f>_xlfn.XLOOKUP(D2269,[2]!Table1[Machine_ID],[2]!Table1[Machine_ID])</f>
        <v>M002</v>
      </c>
      <c r="N2269" t="str">
        <f>_xlfn.XLOOKUP(E2269,[3]Sheet1!$A$2:$A$391,[3]Sheet1!$A$2:$A$391)</f>
        <v>PO10153</v>
      </c>
    </row>
    <row r="2270" spans="1:14" x14ac:dyDescent="0.2">
      <c r="A2270" t="s">
        <v>2279</v>
      </c>
      <c r="B2270" s="2">
        <v>46307</v>
      </c>
      <c r="C2270" t="s">
        <v>2941</v>
      </c>
      <c r="D2270" t="s">
        <v>2944</v>
      </c>
      <c r="E2270" t="s">
        <v>3103</v>
      </c>
      <c r="F2270" s="3">
        <v>46307.75782859898</v>
      </c>
      <c r="G2270" s="3">
        <v>46307.766819557342</v>
      </c>
      <c r="H2270">
        <v>12.95</v>
      </c>
      <c r="I2270" t="s">
        <v>3147</v>
      </c>
      <c r="J2270" t="s">
        <v>3153</v>
      </c>
      <c r="K2270" t="s">
        <v>3186</v>
      </c>
      <c r="L2270" t="str">
        <f>_xlfn.XLOOKUP(C2270,[1]!Table1[Shift_ID],[1]!Table1[Shift_ID])</f>
        <v>S02</v>
      </c>
      <c r="M2270" t="str">
        <f>_xlfn.XLOOKUP(D2270,[2]!Table1[Machine_ID],[2]!Table1[Machine_ID])</f>
        <v>M003</v>
      </c>
      <c r="N2270" t="str">
        <f>_xlfn.XLOOKUP(E2270,[3]Sheet1!$A$2:$A$391,[3]Sheet1!$A$2:$A$391)</f>
        <v>PO10153</v>
      </c>
    </row>
    <row r="2271" spans="1:14" x14ac:dyDescent="0.2">
      <c r="A2271" t="s">
        <v>2280</v>
      </c>
      <c r="B2271" s="2">
        <v>46307</v>
      </c>
      <c r="C2271" t="s">
        <v>2941</v>
      </c>
      <c r="D2271" t="s">
        <v>2945</v>
      </c>
      <c r="E2271" t="s">
        <v>3103</v>
      </c>
      <c r="F2271" s="3">
        <v>46307.830965924673</v>
      </c>
      <c r="G2271" s="3">
        <v>46307.837638390149</v>
      </c>
      <c r="H2271">
        <v>9.61</v>
      </c>
      <c r="I2271" t="s">
        <v>3151</v>
      </c>
      <c r="J2271" t="s">
        <v>3170</v>
      </c>
      <c r="K2271" t="s">
        <v>3181</v>
      </c>
      <c r="L2271" t="str">
        <f>_xlfn.XLOOKUP(C2271,[1]!Table1[Shift_ID],[1]!Table1[Shift_ID])</f>
        <v>S02</v>
      </c>
      <c r="M2271" t="str">
        <f>_xlfn.XLOOKUP(D2271,[2]!Table1[Machine_ID],[2]!Table1[Machine_ID])</f>
        <v>M004</v>
      </c>
      <c r="N2271" t="str">
        <f>_xlfn.XLOOKUP(E2271,[3]Sheet1!$A$2:$A$391,[3]Sheet1!$A$2:$A$391)</f>
        <v>PO10153</v>
      </c>
    </row>
    <row r="2272" spans="1:14" x14ac:dyDescent="0.2">
      <c r="A2272" t="s">
        <v>2281</v>
      </c>
      <c r="B2272" s="2">
        <v>46307</v>
      </c>
      <c r="C2272" t="s">
        <v>2941</v>
      </c>
      <c r="D2272" t="s">
        <v>2946</v>
      </c>
      <c r="E2272" t="s">
        <v>3103</v>
      </c>
      <c r="F2272" s="3">
        <v>46307.613033432353</v>
      </c>
      <c r="G2272" s="3">
        <v>46307.620475679709</v>
      </c>
      <c r="H2272">
        <v>10.72</v>
      </c>
      <c r="I2272" t="s">
        <v>3149</v>
      </c>
      <c r="J2272" t="s">
        <v>3158</v>
      </c>
      <c r="K2272" t="s">
        <v>3182</v>
      </c>
      <c r="L2272" t="str">
        <f>_xlfn.XLOOKUP(C2272,[1]!Table1[Shift_ID],[1]!Table1[Shift_ID])</f>
        <v>S02</v>
      </c>
      <c r="M2272" t="str">
        <f>_xlfn.XLOOKUP(D2272,[2]!Table1[Machine_ID],[2]!Table1[Machine_ID])</f>
        <v>M005</v>
      </c>
      <c r="N2272" t="str">
        <f>_xlfn.XLOOKUP(E2272,[3]Sheet1!$A$2:$A$391,[3]Sheet1!$A$2:$A$391)</f>
        <v>PO10153</v>
      </c>
    </row>
    <row r="2273" spans="1:14" x14ac:dyDescent="0.2">
      <c r="A2273" t="s">
        <v>2282</v>
      </c>
      <c r="B2273" s="2">
        <v>46307</v>
      </c>
      <c r="C2273" t="s">
        <v>2941</v>
      </c>
      <c r="D2273" t="s">
        <v>2946</v>
      </c>
      <c r="E2273" t="s">
        <v>3103</v>
      </c>
      <c r="F2273" s="3">
        <v>46307.897939762581</v>
      </c>
      <c r="G2273" s="3">
        <v>46307.899941410069</v>
      </c>
      <c r="H2273">
        <v>2.88</v>
      </c>
      <c r="I2273" t="s">
        <v>3147</v>
      </c>
      <c r="J2273" t="s">
        <v>3153</v>
      </c>
      <c r="K2273" t="s">
        <v>3172</v>
      </c>
      <c r="L2273" t="str">
        <f>_xlfn.XLOOKUP(C2273,[1]!Table1[Shift_ID],[1]!Table1[Shift_ID])</f>
        <v>S02</v>
      </c>
      <c r="M2273" t="str">
        <f>_xlfn.XLOOKUP(D2273,[2]!Table1[Machine_ID],[2]!Table1[Machine_ID])</f>
        <v>M005</v>
      </c>
      <c r="N2273" t="str">
        <f>_xlfn.XLOOKUP(E2273,[3]Sheet1!$A$2:$A$391,[3]Sheet1!$A$2:$A$391)</f>
        <v>PO10153</v>
      </c>
    </row>
    <row r="2274" spans="1:14" x14ac:dyDescent="0.2">
      <c r="A2274" t="s">
        <v>2283</v>
      </c>
      <c r="B2274" s="2">
        <v>46307</v>
      </c>
      <c r="C2274" t="s">
        <v>2941</v>
      </c>
      <c r="D2274" t="s">
        <v>2947</v>
      </c>
      <c r="E2274" t="s">
        <v>3103</v>
      </c>
      <c r="F2274" s="3">
        <v>46307.590100910413</v>
      </c>
      <c r="G2274" s="3">
        <v>46307.6090823583</v>
      </c>
      <c r="H2274">
        <v>27.33</v>
      </c>
      <c r="I2274" t="s">
        <v>3151</v>
      </c>
      <c r="J2274" t="s">
        <v>3170</v>
      </c>
      <c r="K2274" t="s">
        <v>3181</v>
      </c>
      <c r="L2274" t="str">
        <f>_xlfn.XLOOKUP(C2274,[1]!Table1[Shift_ID],[1]!Table1[Shift_ID])</f>
        <v>S02</v>
      </c>
      <c r="M2274" t="str">
        <f>_xlfn.XLOOKUP(D2274,[2]!Table1[Machine_ID],[2]!Table1[Machine_ID])</f>
        <v>M006</v>
      </c>
      <c r="N2274" t="str">
        <f>_xlfn.XLOOKUP(E2274,[3]Sheet1!$A$2:$A$391,[3]Sheet1!$A$2:$A$391)</f>
        <v>PO10153</v>
      </c>
    </row>
    <row r="2275" spans="1:14" x14ac:dyDescent="0.2">
      <c r="A2275" t="s">
        <v>2284</v>
      </c>
      <c r="B2275" s="2">
        <v>46307</v>
      </c>
      <c r="C2275" t="s">
        <v>2941</v>
      </c>
      <c r="D2275" t="s">
        <v>2947</v>
      </c>
      <c r="E2275" t="s">
        <v>3103</v>
      </c>
      <c r="F2275" s="3">
        <v>46307.6245669048</v>
      </c>
      <c r="G2275" s="3">
        <v>46307.6265169775</v>
      </c>
      <c r="H2275">
        <v>2.81</v>
      </c>
      <c r="I2275" t="s">
        <v>3146</v>
      </c>
      <c r="J2275" t="s">
        <v>3152</v>
      </c>
      <c r="K2275" t="s">
        <v>3171</v>
      </c>
      <c r="L2275" t="str">
        <f>_xlfn.XLOOKUP(C2275,[1]!Table1[Shift_ID],[1]!Table1[Shift_ID])</f>
        <v>S02</v>
      </c>
      <c r="M2275" t="str">
        <f>_xlfn.XLOOKUP(D2275,[2]!Table1[Machine_ID],[2]!Table1[Machine_ID])</f>
        <v>M006</v>
      </c>
      <c r="N2275" t="str">
        <f>_xlfn.XLOOKUP(E2275,[3]Sheet1!$A$2:$A$391,[3]Sheet1!$A$2:$A$391)</f>
        <v>PO10153</v>
      </c>
    </row>
    <row r="2276" spans="1:14" x14ac:dyDescent="0.2">
      <c r="A2276" t="s">
        <v>2285</v>
      </c>
      <c r="B2276" s="2">
        <v>46307</v>
      </c>
      <c r="C2276" t="s">
        <v>2941</v>
      </c>
      <c r="D2276" t="s">
        <v>2947</v>
      </c>
      <c r="E2276" t="s">
        <v>3103</v>
      </c>
      <c r="F2276" s="3">
        <v>46307.734478243619</v>
      </c>
      <c r="G2276" s="3">
        <v>46307.736665132426</v>
      </c>
      <c r="H2276">
        <v>3.15</v>
      </c>
      <c r="I2276" t="s">
        <v>3149</v>
      </c>
      <c r="J2276" t="s">
        <v>3158</v>
      </c>
      <c r="K2276" t="s">
        <v>3184</v>
      </c>
      <c r="L2276" t="str">
        <f>_xlfn.XLOOKUP(C2276,[1]!Table1[Shift_ID],[1]!Table1[Shift_ID])</f>
        <v>S02</v>
      </c>
      <c r="M2276" t="str">
        <f>_xlfn.XLOOKUP(D2276,[2]!Table1[Machine_ID],[2]!Table1[Machine_ID])</f>
        <v>M006</v>
      </c>
      <c r="N2276" t="str">
        <f>_xlfn.XLOOKUP(E2276,[3]Sheet1!$A$2:$A$391,[3]Sheet1!$A$2:$A$391)</f>
        <v>PO10153</v>
      </c>
    </row>
    <row r="2277" spans="1:14" x14ac:dyDescent="0.2">
      <c r="A2277" t="s">
        <v>2286</v>
      </c>
      <c r="B2277" s="2">
        <v>46307</v>
      </c>
      <c r="C2277" t="s">
        <v>2941</v>
      </c>
      <c r="D2277" t="s">
        <v>2947</v>
      </c>
      <c r="E2277" t="s">
        <v>3103</v>
      </c>
      <c r="F2277" s="3">
        <v>46307.904266460013</v>
      </c>
      <c r="G2277" s="3">
        <v>46307.908019149952</v>
      </c>
      <c r="H2277">
        <v>5.4</v>
      </c>
      <c r="I2277" t="s">
        <v>3147</v>
      </c>
      <c r="J2277" t="s">
        <v>3154</v>
      </c>
      <c r="K2277" t="s">
        <v>3172</v>
      </c>
      <c r="L2277" t="str">
        <f>_xlfn.XLOOKUP(C2277,[1]!Table1[Shift_ID],[1]!Table1[Shift_ID])</f>
        <v>S02</v>
      </c>
      <c r="M2277" t="str">
        <f>_xlfn.XLOOKUP(D2277,[2]!Table1[Machine_ID],[2]!Table1[Machine_ID])</f>
        <v>M006</v>
      </c>
      <c r="N2277" t="str">
        <f>_xlfn.XLOOKUP(E2277,[3]Sheet1!$A$2:$A$391,[3]Sheet1!$A$2:$A$391)</f>
        <v>PO10153</v>
      </c>
    </row>
    <row r="2278" spans="1:14" x14ac:dyDescent="0.2">
      <c r="A2278" t="s">
        <v>2287</v>
      </c>
      <c r="B2278" s="2">
        <v>46307</v>
      </c>
      <c r="C2278" t="s">
        <v>2941</v>
      </c>
      <c r="D2278" t="s">
        <v>2948</v>
      </c>
      <c r="E2278" t="s">
        <v>3103</v>
      </c>
      <c r="F2278" s="3">
        <v>46307.730658843793</v>
      </c>
      <c r="G2278" s="3">
        <v>46307.743231108288</v>
      </c>
      <c r="H2278">
        <v>18.100000000000001</v>
      </c>
      <c r="I2278" t="s">
        <v>3149</v>
      </c>
      <c r="J2278" t="s">
        <v>3158</v>
      </c>
      <c r="K2278" t="s">
        <v>3184</v>
      </c>
      <c r="L2278" t="str">
        <f>_xlfn.XLOOKUP(C2278,[1]!Table1[Shift_ID],[1]!Table1[Shift_ID])</f>
        <v>S02</v>
      </c>
      <c r="M2278" t="str">
        <f>_xlfn.XLOOKUP(D2278,[2]!Table1[Machine_ID],[2]!Table1[Machine_ID])</f>
        <v>M007</v>
      </c>
      <c r="N2278" t="str">
        <f>_xlfn.XLOOKUP(E2278,[3]Sheet1!$A$2:$A$391,[3]Sheet1!$A$2:$A$391)</f>
        <v>PO10153</v>
      </c>
    </row>
    <row r="2279" spans="1:14" x14ac:dyDescent="0.2">
      <c r="A2279" t="s">
        <v>2288</v>
      </c>
      <c r="B2279" s="2">
        <v>46307</v>
      </c>
      <c r="C2279" t="s">
        <v>2941</v>
      </c>
      <c r="D2279" t="s">
        <v>2948</v>
      </c>
      <c r="E2279" t="s">
        <v>3103</v>
      </c>
      <c r="F2279" s="3">
        <v>46307.828715343741</v>
      </c>
      <c r="G2279" s="3">
        <v>46307.834788241307</v>
      </c>
      <c r="H2279">
        <v>8.74</v>
      </c>
      <c r="I2279" t="s">
        <v>3148</v>
      </c>
      <c r="J2279" t="s">
        <v>3165</v>
      </c>
      <c r="K2279" t="s">
        <v>3183</v>
      </c>
      <c r="L2279" t="str">
        <f>_xlfn.XLOOKUP(C2279,[1]!Table1[Shift_ID],[1]!Table1[Shift_ID])</f>
        <v>S02</v>
      </c>
      <c r="M2279" t="str">
        <f>_xlfn.XLOOKUP(D2279,[2]!Table1[Machine_ID],[2]!Table1[Machine_ID])</f>
        <v>M007</v>
      </c>
      <c r="N2279" t="str">
        <f>_xlfn.XLOOKUP(E2279,[3]Sheet1!$A$2:$A$391,[3]Sheet1!$A$2:$A$391)</f>
        <v>PO10153</v>
      </c>
    </row>
    <row r="2280" spans="1:14" x14ac:dyDescent="0.2">
      <c r="A2280" t="s">
        <v>2289</v>
      </c>
      <c r="B2280" s="2">
        <v>46307</v>
      </c>
      <c r="C2280" t="s">
        <v>2941</v>
      </c>
      <c r="D2280" t="s">
        <v>2949</v>
      </c>
      <c r="E2280" t="s">
        <v>3103</v>
      </c>
      <c r="F2280" s="3">
        <v>46307.755731661178</v>
      </c>
      <c r="G2280" s="3">
        <v>46307.762730966417</v>
      </c>
      <c r="H2280">
        <v>10.08</v>
      </c>
      <c r="I2280" t="s">
        <v>3149</v>
      </c>
      <c r="J2280" t="s">
        <v>3162</v>
      </c>
      <c r="K2280" t="s">
        <v>3182</v>
      </c>
      <c r="L2280" t="str">
        <f>_xlfn.XLOOKUP(C2280,[1]!Table1[Shift_ID],[1]!Table1[Shift_ID])</f>
        <v>S02</v>
      </c>
      <c r="M2280" t="str">
        <f>_xlfn.XLOOKUP(D2280,[2]!Table1[Machine_ID],[2]!Table1[Machine_ID])</f>
        <v>M008</v>
      </c>
      <c r="N2280" t="str">
        <f>_xlfn.XLOOKUP(E2280,[3]Sheet1!$A$2:$A$391,[3]Sheet1!$A$2:$A$391)</f>
        <v>PO10153</v>
      </c>
    </row>
    <row r="2281" spans="1:14" x14ac:dyDescent="0.2">
      <c r="A2281" t="s">
        <v>2290</v>
      </c>
      <c r="B2281" s="2">
        <v>46308</v>
      </c>
      <c r="C2281" t="s">
        <v>2939</v>
      </c>
      <c r="D2281" t="s">
        <v>2942</v>
      </c>
      <c r="E2281" t="s">
        <v>3104</v>
      </c>
      <c r="F2281" s="3">
        <v>46309.12417382373</v>
      </c>
      <c r="G2281" s="3">
        <v>46309.131853604667</v>
      </c>
      <c r="H2281">
        <v>11.06</v>
      </c>
      <c r="I2281" t="s">
        <v>3150</v>
      </c>
      <c r="J2281" t="s">
        <v>3166</v>
      </c>
      <c r="K2281" t="s">
        <v>3179</v>
      </c>
      <c r="L2281" t="str">
        <f>_xlfn.XLOOKUP(C2281,[1]!Table1[Shift_ID],[1]!Table1[Shift_ID])</f>
        <v>S03</v>
      </c>
      <c r="M2281" t="str">
        <f>_xlfn.XLOOKUP(D2281,[2]!Table1[Machine_ID],[2]!Table1[Machine_ID])</f>
        <v>M001</v>
      </c>
      <c r="N2281" t="str">
        <f>_xlfn.XLOOKUP(E2281,[3]Sheet1!$A$2:$A$391,[3]Sheet1!$A$2:$A$391)</f>
        <v>PO10154</v>
      </c>
    </row>
    <row r="2282" spans="1:14" x14ac:dyDescent="0.2">
      <c r="A2282" t="s">
        <v>2291</v>
      </c>
      <c r="B2282" s="2">
        <v>46308</v>
      </c>
      <c r="C2282" t="s">
        <v>2939</v>
      </c>
      <c r="D2282" t="s">
        <v>2943</v>
      </c>
      <c r="E2282" t="s">
        <v>3104</v>
      </c>
      <c r="F2282" s="3">
        <v>46309.1427711059</v>
      </c>
      <c r="G2282" s="3">
        <v>46309.144120728793</v>
      </c>
      <c r="H2282">
        <v>1.94</v>
      </c>
      <c r="I2282" t="s">
        <v>3150</v>
      </c>
      <c r="J2282" t="s">
        <v>3159</v>
      </c>
      <c r="K2282" t="s">
        <v>3177</v>
      </c>
      <c r="L2282" t="str">
        <f>_xlfn.XLOOKUP(C2282,[1]!Table1[Shift_ID],[1]!Table1[Shift_ID])</f>
        <v>S03</v>
      </c>
      <c r="M2282" t="str">
        <f>_xlfn.XLOOKUP(D2282,[2]!Table1[Machine_ID],[2]!Table1[Machine_ID])</f>
        <v>M002</v>
      </c>
      <c r="N2282" t="str">
        <f>_xlfn.XLOOKUP(E2282,[3]Sheet1!$A$2:$A$391,[3]Sheet1!$A$2:$A$391)</f>
        <v>PO10154</v>
      </c>
    </row>
    <row r="2283" spans="1:14" x14ac:dyDescent="0.2">
      <c r="A2283" t="s">
        <v>2292</v>
      </c>
      <c r="B2283" s="2">
        <v>46308</v>
      </c>
      <c r="C2283" t="s">
        <v>2939</v>
      </c>
      <c r="D2283" t="s">
        <v>2943</v>
      </c>
      <c r="E2283" t="s">
        <v>3104</v>
      </c>
      <c r="F2283" s="3">
        <v>46309.168377479153</v>
      </c>
      <c r="G2283" s="3">
        <v>46309.172771209742</v>
      </c>
      <c r="H2283">
        <v>6.33</v>
      </c>
      <c r="I2283" t="s">
        <v>3150</v>
      </c>
      <c r="J2283" t="s">
        <v>3166</v>
      </c>
      <c r="K2283" t="s">
        <v>3177</v>
      </c>
      <c r="L2283" t="str">
        <f>_xlfn.XLOOKUP(C2283,[1]!Table1[Shift_ID],[1]!Table1[Shift_ID])</f>
        <v>S03</v>
      </c>
      <c r="M2283" t="str">
        <f>_xlfn.XLOOKUP(D2283,[2]!Table1[Machine_ID],[2]!Table1[Machine_ID])</f>
        <v>M002</v>
      </c>
      <c r="N2283" t="str">
        <f>_xlfn.XLOOKUP(E2283,[3]Sheet1!$A$2:$A$391,[3]Sheet1!$A$2:$A$391)</f>
        <v>PO10154</v>
      </c>
    </row>
    <row r="2284" spans="1:14" x14ac:dyDescent="0.2">
      <c r="A2284" t="s">
        <v>2293</v>
      </c>
      <c r="B2284" s="2">
        <v>46308</v>
      </c>
      <c r="C2284" t="s">
        <v>2939</v>
      </c>
      <c r="D2284" t="s">
        <v>2943</v>
      </c>
      <c r="E2284" t="s">
        <v>3104</v>
      </c>
      <c r="F2284" s="3">
        <v>46309.229183120733</v>
      </c>
      <c r="G2284" s="3">
        <v>46309.230532743612</v>
      </c>
      <c r="H2284">
        <v>1.94</v>
      </c>
      <c r="I2284" t="s">
        <v>3147</v>
      </c>
      <c r="J2284" t="s">
        <v>3153</v>
      </c>
      <c r="K2284" t="s">
        <v>3185</v>
      </c>
      <c r="L2284" t="str">
        <f>_xlfn.XLOOKUP(C2284,[1]!Table1[Shift_ID],[1]!Table1[Shift_ID])</f>
        <v>S03</v>
      </c>
      <c r="M2284" t="str">
        <f>_xlfn.XLOOKUP(D2284,[2]!Table1[Machine_ID],[2]!Table1[Machine_ID])</f>
        <v>M002</v>
      </c>
      <c r="N2284" t="str">
        <f>_xlfn.XLOOKUP(E2284,[3]Sheet1!$A$2:$A$391,[3]Sheet1!$A$2:$A$391)</f>
        <v>PO10154</v>
      </c>
    </row>
    <row r="2285" spans="1:14" x14ac:dyDescent="0.2">
      <c r="A2285" t="s">
        <v>2294</v>
      </c>
      <c r="B2285" s="2">
        <v>46308</v>
      </c>
      <c r="C2285" t="s">
        <v>2939</v>
      </c>
      <c r="D2285" t="s">
        <v>2944</v>
      </c>
      <c r="E2285" t="s">
        <v>3104</v>
      </c>
      <c r="F2285" s="3">
        <v>46308.938103786953</v>
      </c>
      <c r="G2285" s="3">
        <v>46308.945250693483</v>
      </c>
      <c r="H2285">
        <v>10.29</v>
      </c>
      <c r="I2285" t="s">
        <v>3150</v>
      </c>
      <c r="J2285" t="s">
        <v>3166</v>
      </c>
      <c r="K2285" t="s">
        <v>3177</v>
      </c>
      <c r="L2285" t="str">
        <f>_xlfn.XLOOKUP(C2285,[1]!Table1[Shift_ID],[1]!Table1[Shift_ID])</f>
        <v>S03</v>
      </c>
      <c r="M2285" t="str">
        <f>_xlfn.XLOOKUP(D2285,[2]!Table1[Machine_ID],[2]!Table1[Machine_ID])</f>
        <v>M003</v>
      </c>
      <c r="N2285" t="str">
        <f>_xlfn.XLOOKUP(E2285,[3]Sheet1!$A$2:$A$391,[3]Sheet1!$A$2:$A$391)</f>
        <v>PO10154</v>
      </c>
    </row>
    <row r="2286" spans="1:14" x14ac:dyDescent="0.2">
      <c r="A2286" t="s">
        <v>2295</v>
      </c>
      <c r="B2286" s="2">
        <v>46308</v>
      </c>
      <c r="C2286" t="s">
        <v>2939</v>
      </c>
      <c r="D2286" t="s">
        <v>2944</v>
      </c>
      <c r="E2286" t="s">
        <v>3104</v>
      </c>
      <c r="F2286" s="3">
        <v>46309.138292274212</v>
      </c>
      <c r="G2286" s="3">
        <v>46309.140330509712</v>
      </c>
      <c r="H2286">
        <v>2.94</v>
      </c>
      <c r="I2286" t="s">
        <v>3147</v>
      </c>
      <c r="J2286" t="s">
        <v>3154</v>
      </c>
      <c r="K2286" t="s">
        <v>3186</v>
      </c>
      <c r="L2286" t="str">
        <f>_xlfn.XLOOKUP(C2286,[1]!Table1[Shift_ID],[1]!Table1[Shift_ID])</f>
        <v>S03</v>
      </c>
      <c r="M2286" t="str">
        <f>_xlfn.XLOOKUP(D2286,[2]!Table1[Machine_ID],[2]!Table1[Machine_ID])</f>
        <v>M003</v>
      </c>
      <c r="N2286" t="str">
        <f>_xlfn.XLOOKUP(E2286,[3]Sheet1!$A$2:$A$391,[3]Sheet1!$A$2:$A$391)</f>
        <v>PO10154</v>
      </c>
    </row>
    <row r="2287" spans="1:14" x14ac:dyDescent="0.2">
      <c r="A2287" t="s">
        <v>2296</v>
      </c>
      <c r="B2287" s="2">
        <v>46308</v>
      </c>
      <c r="C2287" t="s">
        <v>2939</v>
      </c>
      <c r="D2287" t="s">
        <v>2945</v>
      </c>
      <c r="E2287" t="s">
        <v>3104</v>
      </c>
      <c r="F2287" s="3">
        <v>46308.956188622709</v>
      </c>
      <c r="G2287" s="3">
        <v>46308.957695310593</v>
      </c>
      <c r="H2287">
        <v>2.17</v>
      </c>
      <c r="I2287" t="s">
        <v>3149</v>
      </c>
      <c r="J2287" t="s">
        <v>3158</v>
      </c>
      <c r="K2287" t="s">
        <v>3184</v>
      </c>
      <c r="L2287" t="str">
        <f>_xlfn.XLOOKUP(C2287,[1]!Table1[Shift_ID],[1]!Table1[Shift_ID])</f>
        <v>S03</v>
      </c>
      <c r="M2287" t="str">
        <f>_xlfn.XLOOKUP(D2287,[2]!Table1[Machine_ID],[2]!Table1[Machine_ID])</f>
        <v>M004</v>
      </c>
      <c r="N2287" t="str">
        <f>_xlfn.XLOOKUP(E2287,[3]Sheet1!$A$2:$A$391,[3]Sheet1!$A$2:$A$391)</f>
        <v>PO10154</v>
      </c>
    </row>
    <row r="2288" spans="1:14" x14ac:dyDescent="0.2">
      <c r="A2288" t="s">
        <v>2297</v>
      </c>
      <c r="B2288" s="2">
        <v>46308</v>
      </c>
      <c r="C2288" t="s">
        <v>2939</v>
      </c>
      <c r="D2288" t="s">
        <v>2945</v>
      </c>
      <c r="E2288" t="s">
        <v>3104</v>
      </c>
      <c r="F2288" s="3">
        <v>46309.056547424218</v>
      </c>
      <c r="G2288" s="3">
        <v>46309.058133705432</v>
      </c>
      <c r="H2288">
        <v>2.2799999999999998</v>
      </c>
      <c r="I2288" t="s">
        <v>3149</v>
      </c>
      <c r="J2288" t="s">
        <v>3168</v>
      </c>
      <c r="K2288" t="s">
        <v>3184</v>
      </c>
      <c r="L2288" t="str">
        <f>_xlfn.XLOOKUP(C2288,[1]!Table1[Shift_ID],[1]!Table1[Shift_ID])</f>
        <v>S03</v>
      </c>
      <c r="M2288" t="str">
        <f>_xlfn.XLOOKUP(D2288,[2]!Table1[Machine_ID],[2]!Table1[Machine_ID])</f>
        <v>M004</v>
      </c>
      <c r="N2288" t="str">
        <f>_xlfn.XLOOKUP(E2288,[3]Sheet1!$A$2:$A$391,[3]Sheet1!$A$2:$A$391)</f>
        <v>PO10154</v>
      </c>
    </row>
    <row r="2289" spans="1:14" x14ac:dyDescent="0.2">
      <c r="A2289" t="s">
        <v>2298</v>
      </c>
      <c r="B2289" s="2">
        <v>46308</v>
      </c>
      <c r="C2289" t="s">
        <v>2939</v>
      </c>
      <c r="D2289" t="s">
        <v>2945</v>
      </c>
      <c r="E2289" t="s">
        <v>3104</v>
      </c>
      <c r="F2289" s="3">
        <v>46309.158341964103</v>
      </c>
      <c r="G2289" s="3">
        <v>46309.162538655917</v>
      </c>
      <c r="H2289">
        <v>6.04</v>
      </c>
      <c r="I2289" t="s">
        <v>3147</v>
      </c>
      <c r="J2289" t="s">
        <v>3153</v>
      </c>
      <c r="K2289" t="s">
        <v>3185</v>
      </c>
      <c r="L2289" t="str">
        <f>_xlfn.XLOOKUP(C2289,[1]!Table1[Shift_ID],[1]!Table1[Shift_ID])</f>
        <v>S03</v>
      </c>
      <c r="M2289" t="str">
        <f>_xlfn.XLOOKUP(D2289,[2]!Table1[Machine_ID],[2]!Table1[Machine_ID])</f>
        <v>M004</v>
      </c>
      <c r="N2289" t="str">
        <f>_xlfn.XLOOKUP(E2289,[3]Sheet1!$A$2:$A$391,[3]Sheet1!$A$2:$A$391)</f>
        <v>PO10154</v>
      </c>
    </row>
    <row r="2290" spans="1:14" x14ac:dyDescent="0.2">
      <c r="A2290" t="s">
        <v>2299</v>
      </c>
      <c r="B2290" s="2">
        <v>46308</v>
      </c>
      <c r="C2290" t="s">
        <v>2939</v>
      </c>
      <c r="D2290" t="s">
        <v>2945</v>
      </c>
      <c r="E2290" t="s">
        <v>3104</v>
      </c>
      <c r="F2290" s="3">
        <v>46309.234141859037</v>
      </c>
      <c r="G2290" s="3">
        <v>46309.235648546921</v>
      </c>
      <c r="H2290">
        <v>2.17</v>
      </c>
      <c r="I2290" t="s">
        <v>3146</v>
      </c>
      <c r="J2290" t="s">
        <v>3157</v>
      </c>
      <c r="K2290" t="s">
        <v>3174</v>
      </c>
      <c r="L2290" t="str">
        <f>_xlfn.XLOOKUP(C2290,[1]!Table1[Shift_ID],[1]!Table1[Shift_ID])</f>
        <v>S03</v>
      </c>
      <c r="M2290" t="str">
        <f>_xlfn.XLOOKUP(D2290,[2]!Table1[Machine_ID],[2]!Table1[Machine_ID])</f>
        <v>M004</v>
      </c>
      <c r="N2290" t="str">
        <f>_xlfn.XLOOKUP(E2290,[3]Sheet1!$A$2:$A$391,[3]Sheet1!$A$2:$A$391)</f>
        <v>PO10154</v>
      </c>
    </row>
    <row r="2291" spans="1:14" x14ac:dyDescent="0.2">
      <c r="A2291" t="s">
        <v>2300</v>
      </c>
      <c r="B2291" s="2">
        <v>46308</v>
      </c>
      <c r="C2291" t="s">
        <v>2939</v>
      </c>
      <c r="D2291" t="s">
        <v>2946</v>
      </c>
      <c r="E2291" t="s">
        <v>3104</v>
      </c>
      <c r="F2291" s="3">
        <v>46308.978456925477</v>
      </c>
      <c r="G2291" s="3">
        <v>46308.980211797592</v>
      </c>
      <c r="H2291">
        <v>2.5299999999999998</v>
      </c>
      <c r="I2291" t="s">
        <v>3150</v>
      </c>
      <c r="J2291" t="s">
        <v>3159</v>
      </c>
      <c r="K2291" t="s">
        <v>3179</v>
      </c>
      <c r="L2291" t="str">
        <f>_xlfn.XLOOKUP(C2291,[1]!Table1[Shift_ID],[1]!Table1[Shift_ID])</f>
        <v>S03</v>
      </c>
      <c r="M2291" t="str">
        <f>_xlfn.XLOOKUP(D2291,[2]!Table1[Machine_ID],[2]!Table1[Machine_ID])</f>
        <v>M005</v>
      </c>
      <c r="N2291" t="str">
        <f>_xlfn.XLOOKUP(E2291,[3]Sheet1!$A$2:$A$391,[3]Sheet1!$A$2:$A$391)</f>
        <v>PO10154</v>
      </c>
    </row>
    <row r="2292" spans="1:14" x14ac:dyDescent="0.2">
      <c r="A2292" t="s">
        <v>2301</v>
      </c>
      <c r="B2292" s="2">
        <v>46308</v>
      </c>
      <c r="C2292" t="s">
        <v>2939</v>
      </c>
      <c r="D2292" t="s">
        <v>2946</v>
      </c>
      <c r="E2292" t="s">
        <v>3104</v>
      </c>
      <c r="F2292" s="3">
        <v>46309.112064023022</v>
      </c>
      <c r="G2292" s="3">
        <v>46309.119584359702</v>
      </c>
      <c r="H2292">
        <v>10.83</v>
      </c>
      <c r="I2292" t="s">
        <v>3150</v>
      </c>
      <c r="J2292" t="s">
        <v>3163</v>
      </c>
      <c r="K2292" t="s">
        <v>3178</v>
      </c>
      <c r="L2292" t="str">
        <f>_xlfn.XLOOKUP(C2292,[1]!Table1[Shift_ID],[1]!Table1[Shift_ID])</f>
        <v>S03</v>
      </c>
      <c r="M2292" t="str">
        <f>_xlfn.XLOOKUP(D2292,[2]!Table1[Machine_ID],[2]!Table1[Machine_ID])</f>
        <v>M005</v>
      </c>
      <c r="N2292" t="str">
        <f>_xlfn.XLOOKUP(E2292,[3]Sheet1!$A$2:$A$391,[3]Sheet1!$A$2:$A$391)</f>
        <v>PO10154</v>
      </c>
    </row>
    <row r="2293" spans="1:14" x14ac:dyDescent="0.2">
      <c r="A2293" t="s">
        <v>2302</v>
      </c>
      <c r="B2293" s="2">
        <v>46308</v>
      </c>
      <c r="C2293" t="s">
        <v>2939</v>
      </c>
      <c r="D2293" t="s">
        <v>2947</v>
      </c>
      <c r="E2293" t="s">
        <v>3104</v>
      </c>
      <c r="F2293" s="3">
        <v>46309.062309286121</v>
      </c>
      <c r="G2293" s="3">
        <v>46309.08403983766</v>
      </c>
      <c r="H2293">
        <v>31.29</v>
      </c>
      <c r="I2293" t="s">
        <v>3147</v>
      </c>
      <c r="J2293" t="s">
        <v>3154</v>
      </c>
      <c r="K2293" t="s">
        <v>3172</v>
      </c>
      <c r="L2293" t="str">
        <f>_xlfn.XLOOKUP(C2293,[1]!Table1[Shift_ID],[1]!Table1[Shift_ID])</f>
        <v>S03</v>
      </c>
      <c r="M2293" t="str">
        <f>_xlfn.XLOOKUP(D2293,[2]!Table1[Machine_ID],[2]!Table1[Machine_ID])</f>
        <v>M006</v>
      </c>
      <c r="N2293" t="str">
        <f>_xlfn.XLOOKUP(E2293,[3]Sheet1!$A$2:$A$391,[3]Sheet1!$A$2:$A$391)</f>
        <v>PO10154</v>
      </c>
    </row>
    <row r="2294" spans="1:14" x14ac:dyDescent="0.2">
      <c r="A2294" t="s">
        <v>2303</v>
      </c>
      <c r="B2294" s="2">
        <v>46308</v>
      </c>
      <c r="C2294" t="s">
        <v>2939</v>
      </c>
      <c r="D2294" t="s">
        <v>2948</v>
      </c>
      <c r="E2294" t="s">
        <v>3104</v>
      </c>
      <c r="F2294" s="3">
        <v>46309.225195740983</v>
      </c>
      <c r="G2294" s="3">
        <v>46309.237296348067</v>
      </c>
      <c r="H2294">
        <v>17.420000000000002</v>
      </c>
      <c r="I2294" t="s">
        <v>3146</v>
      </c>
      <c r="J2294" t="s">
        <v>3156</v>
      </c>
      <c r="K2294" t="s">
        <v>3174</v>
      </c>
      <c r="L2294" t="str">
        <f>_xlfn.XLOOKUP(C2294,[1]!Table1[Shift_ID],[1]!Table1[Shift_ID])</f>
        <v>S03</v>
      </c>
      <c r="M2294" t="str">
        <f>_xlfn.XLOOKUP(D2294,[2]!Table1[Machine_ID],[2]!Table1[Machine_ID])</f>
        <v>M007</v>
      </c>
      <c r="N2294" t="str">
        <f>_xlfn.XLOOKUP(E2294,[3]Sheet1!$A$2:$A$391,[3]Sheet1!$A$2:$A$391)</f>
        <v>PO10154</v>
      </c>
    </row>
    <row r="2295" spans="1:14" x14ac:dyDescent="0.2">
      <c r="A2295" t="s">
        <v>2304</v>
      </c>
      <c r="B2295" s="2">
        <v>46308</v>
      </c>
      <c r="C2295" t="s">
        <v>2939</v>
      </c>
      <c r="D2295" t="s">
        <v>2949</v>
      </c>
      <c r="E2295" t="s">
        <v>3104</v>
      </c>
      <c r="F2295" s="3">
        <v>46309.157366368097</v>
      </c>
      <c r="G2295" s="3">
        <v>46309.16291053575</v>
      </c>
      <c r="H2295">
        <v>7.98</v>
      </c>
      <c r="I2295" t="s">
        <v>3149</v>
      </c>
      <c r="J2295" t="s">
        <v>3168</v>
      </c>
      <c r="K2295" t="s">
        <v>3176</v>
      </c>
      <c r="L2295" t="str">
        <f>_xlfn.XLOOKUP(C2295,[1]!Table1[Shift_ID],[1]!Table1[Shift_ID])</f>
        <v>S03</v>
      </c>
      <c r="M2295" t="str">
        <f>_xlfn.XLOOKUP(D2295,[2]!Table1[Machine_ID],[2]!Table1[Machine_ID])</f>
        <v>M008</v>
      </c>
      <c r="N2295" t="str">
        <f>_xlfn.XLOOKUP(E2295,[3]Sheet1!$A$2:$A$391,[3]Sheet1!$A$2:$A$391)</f>
        <v>PO10154</v>
      </c>
    </row>
    <row r="2296" spans="1:14" x14ac:dyDescent="0.2">
      <c r="A2296" t="s">
        <v>2305</v>
      </c>
      <c r="B2296" s="2">
        <v>46308</v>
      </c>
      <c r="C2296" t="s">
        <v>2940</v>
      </c>
      <c r="D2296" t="s">
        <v>2942</v>
      </c>
      <c r="E2296" t="s">
        <v>3105</v>
      </c>
      <c r="F2296" s="3">
        <v>46308.353431220938</v>
      </c>
      <c r="G2296" s="3">
        <v>46308.355788546403</v>
      </c>
      <c r="H2296">
        <v>3.39</v>
      </c>
      <c r="I2296" t="s">
        <v>3149</v>
      </c>
      <c r="J2296" t="s">
        <v>3168</v>
      </c>
      <c r="K2296" t="s">
        <v>3176</v>
      </c>
      <c r="L2296" t="str">
        <f>_xlfn.XLOOKUP(C2296,[1]!Table1[Shift_ID],[1]!Table1[Shift_ID])</f>
        <v>S01</v>
      </c>
      <c r="M2296" t="str">
        <f>_xlfn.XLOOKUP(D2296,[2]!Table1[Machine_ID],[2]!Table1[Machine_ID])</f>
        <v>M001</v>
      </c>
      <c r="N2296" t="str">
        <f>_xlfn.XLOOKUP(E2296,[3]Sheet1!$A$2:$A$391,[3]Sheet1!$A$2:$A$391)</f>
        <v>PO10155</v>
      </c>
    </row>
    <row r="2297" spans="1:14" x14ac:dyDescent="0.2">
      <c r="A2297" t="s">
        <v>2306</v>
      </c>
      <c r="B2297" s="2">
        <v>46308</v>
      </c>
      <c r="C2297" t="s">
        <v>2940</v>
      </c>
      <c r="D2297" t="s">
        <v>2942</v>
      </c>
      <c r="E2297" t="s">
        <v>3105</v>
      </c>
      <c r="F2297" s="3">
        <v>46308.385661763867</v>
      </c>
      <c r="G2297" s="3">
        <v>46308.3870160195</v>
      </c>
      <c r="H2297">
        <v>1.95</v>
      </c>
      <c r="I2297" t="s">
        <v>3147</v>
      </c>
      <c r="J2297" t="s">
        <v>3167</v>
      </c>
      <c r="K2297" t="s">
        <v>3185</v>
      </c>
      <c r="L2297" t="str">
        <f>_xlfn.XLOOKUP(C2297,[1]!Table1[Shift_ID],[1]!Table1[Shift_ID])</f>
        <v>S01</v>
      </c>
      <c r="M2297" t="str">
        <f>_xlfn.XLOOKUP(D2297,[2]!Table1[Machine_ID],[2]!Table1[Machine_ID])</f>
        <v>M001</v>
      </c>
      <c r="N2297" t="str">
        <f>_xlfn.XLOOKUP(E2297,[3]Sheet1!$A$2:$A$391,[3]Sheet1!$A$2:$A$391)</f>
        <v>PO10155</v>
      </c>
    </row>
    <row r="2298" spans="1:14" x14ac:dyDescent="0.2">
      <c r="A2298" t="s">
        <v>2307</v>
      </c>
      <c r="B2298" s="2">
        <v>46308</v>
      </c>
      <c r="C2298" t="s">
        <v>2940</v>
      </c>
      <c r="D2298" t="s">
        <v>2942</v>
      </c>
      <c r="E2298" t="s">
        <v>3105</v>
      </c>
      <c r="F2298" s="3">
        <v>46308.501219005047</v>
      </c>
      <c r="G2298" s="3">
        <v>46308.502573260681</v>
      </c>
      <c r="H2298">
        <v>1.95</v>
      </c>
      <c r="I2298" t="s">
        <v>3151</v>
      </c>
      <c r="J2298" t="s">
        <v>3170</v>
      </c>
      <c r="K2298" t="s">
        <v>3188</v>
      </c>
      <c r="L2298" t="str">
        <f>_xlfn.XLOOKUP(C2298,[1]!Table1[Shift_ID],[1]!Table1[Shift_ID])</f>
        <v>S01</v>
      </c>
      <c r="M2298" t="str">
        <f>_xlfn.XLOOKUP(D2298,[2]!Table1[Machine_ID],[2]!Table1[Machine_ID])</f>
        <v>M001</v>
      </c>
      <c r="N2298" t="str">
        <f>_xlfn.XLOOKUP(E2298,[3]Sheet1!$A$2:$A$391,[3]Sheet1!$A$2:$A$391)</f>
        <v>PO10155</v>
      </c>
    </row>
    <row r="2299" spans="1:14" x14ac:dyDescent="0.2">
      <c r="A2299" t="s">
        <v>2308</v>
      </c>
      <c r="B2299" s="2">
        <v>46308</v>
      </c>
      <c r="C2299" t="s">
        <v>2940</v>
      </c>
      <c r="D2299" t="s">
        <v>2942</v>
      </c>
      <c r="E2299" t="s">
        <v>3105</v>
      </c>
      <c r="F2299" s="3">
        <v>46308.56890195587</v>
      </c>
      <c r="G2299" s="3">
        <v>46308.570256211497</v>
      </c>
      <c r="H2299">
        <v>1.95</v>
      </c>
      <c r="I2299" t="s">
        <v>3151</v>
      </c>
      <c r="J2299" t="s">
        <v>3170</v>
      </c>
      <c r="K2299" t="s">
        <v>3181</v>
      </c>
      <c r="L2299" t="str">
        <f>_xlfn.XLOOKUP(C2299,[1]!Table1[Shift_ID],[1]!Table1[Shift_ID])</f>
        <v>S01</v>
      </c>
      <c r="M2299" t="str">
        <f>_xlfn.XLOOKUP(D2299,[2]!Table1[Machine_ID],[2]!Table1[Machine_ID])</f>
        <v>M001</v>
      </c>
      <c r="N2299" t="str">
        <f>_xlfn.XLOOKUP(E2299,[3]Sheet1!$A$2:$A$391,[3]Sheet1!$A$2:$A$391)</f>
        <v>PO10155</v>
      </c>
    </row>
    <row r="2300" spans="1:14" x14ac:dyDescent="0.2">
      <c r="A2300" t="s">
        <v>2309</v>
      </c>
      <c r="B2300" s="2">
        <v>46308</v>
      </c>
      <c r="C2300" t="s">
        <v>2940</v>
      </c>
      <c r="D2300" t="s">
        <v>2943</v>
      </c>
      <c r="E2300" t="s">
        <v>3105</v>
      </c>
      <c r="F2300" s="3">
        <v>46308.460403979239</v>
      </c>
      <c r="G2300" s="3">
        <v>46308.470728247288</v>
      </c>
      <c r="H2300">
        <v>14.87</v>
      </c>
      <c r="I2300" t="s">
        <v>3149</v>
      </c>
      <c r="J2300" t="s">
        <v>3168</v>
      </c>
      <c r="K2300" t="s">
        <v>3184</v>
      </c>
      <c r="L2300" t="str">
        <f>_xlfn.XLOOKUP(C2300,[1]!Table1[Shift_ID],[1]!Table1[Shift_ID])</f>
        <v>S01</v>
      </c>
      <c r="M2300" t="str">
        <f>_xlfn.XLOOKUP(D2300,[2]!Table1[Machine_ID],[2]!Table1[Machine_ID])</f>
        <v>M002</v>
      </c>
      <c r="N2300" t="str">
        <f>_xlfn.XLOOKUP(E2300,[3]Sheet1!$A$2:$A$391,[3]Sheet1!$A$2:$A$391)</f>
        <v>PO10155</v>
      </c>
    </row>
    <row r="2301" spans="1:14" x14ac:dyDescent="0.2">
      <c r="A2301" t="s">
        <v>2310</v>
      </c>
      <c r="B2301" s="2">
        <v>46308</v>
      </c>
      <c r="C2301" t="s">
        <v>2940</v>
      </c>
      <c r="D2301" t="s">
        <v>2944</v>
      </c>
      <c r="E2301" t="s">
        <v>3105</v>
      </c>
      <c r="F2301" s="3">
        <v>46308.337631002243</v>
      </c>
      <c r="G2301" s="3">
        <v>46308.339571873541</v>
      </c>
      <c r="H2301">
        <v>2.79</v>
      </c>
      <c r="I2301" t="s">
        <v>3151</v>
      </c>
      <c r="J2301" t="s">
        <v>3169</v>
      </c>
      <c r="K2301" t="s">
        <v>3187</v>
      </c>
      <c r="L2301" t="str">
        <f>_xlfn.XLOOKUP(C2301,[1]!Table1[Shift_ID],[1]!Table1[Shift_ID])</f>
        <v>S01</v>
      </c>
      <c r="M2301" t="str">
        <f>_xlfn.XLOOKUP(D2301,[2]!Table1[Machine_ID],[2]!Table1[Machine_ID])</f>
        <v>M003</v>
      </c>
      <c r="N2301" t="str">
        <f>_xlfn.XLOOKUP(E2301,[3]Sheet1!$A$2:$A$391,[3]Sheet1!$A$2:$A$391)</f>
        <v>PO10155</v>
      </c>
    </row>
    <row r="2302" spans="1:14" x14ac:dyDescent="0.2">
      <c r="A2302" t="s">
        <v>2311</v>
      </c>
      <c r="B2302" s="2">
        <v>46308</v>
      </c>
      <c r="C2302" t="s">
        <v>2940</v>
      </c>
      <c r="D2302" t="s">
        <v>2944</v>
      </c>
      <c r="E2302" t="s">
        <v>3105</v>
      </c>
      <c r="F2302" s="3">
        <v>46308.467688847879</v>
      </c>
      <c r="G2302" s="3">
        <v>46308.478638294917</v>
      </c>
      <c r="H2302">
        <v>15.77</v>
      </c>
      <c r="I2302" t="s">
        <v>3147</v>
      </c>
      <c r="J2302" t="s">
        <v>3154</v>
      </c>
      <c r="K2302" t="s">
        <v>3172</v>
      </c>
      <c r="L2302" t="str">
        <f>_xlfn.XLOOKUP(C2302,[1]!Table1[Shift_ID],[1]!Table1[Shift_ID])</f>
        <v>S01</v>
      </c>
      <c r="M2302" t="str">
        <f>_xlfn.XLOOKUP(D2302,[2]!Table1[Machine_ID],[2]!Table1[Machine_ID])</f>
        <v>M003</v>
      </c>
      <c r="N2302" t="str">
        <f>_xlfn.XLOOKUP(E2302,[3]Sheet1!$A$2:$A$391,[3]Sheet1!$A$2:$A$391)</f>
        <v>PO10155</v>
      </c>
    </row>
    <row r="2303" spans="1:14" x14ac:dyDescent="0.2">
      <c r="A2303" t="s">
        <v>2312</v>
      </c>
      <c r="B2303" s="2">
        <v>46308</v>
      </c>
      <c r="C2303" t="s">
        <v>2940</v>
      </c>
      <c r="D2303" t="s">
        <v>2945</v>
      </c>
      <c r="E2303" t="s">
        <v>3105</v>
      </c>
      <c r="F2303" s="3">
        <v>46308.362320753658</v>
      </c>
      <c r="G2303" s="3">
        <v>46308.37205762801</v>
      </c>
      <c r="H2303">
        <v>14.02</v>
      </c>
      <c r="I2303" t="s">
        <v>3149</v>
      </c>
      <c r="J2303" t="s">
        <v>3158</v>
      </c>
      <c r="K2303" t="s">
        <v>3176</v>
      </c>
      <c r="L2303" t="str">
        <f>_xlfn.XLOOKUP(C2303,[1]!Table1[Shift_ID],[1]!Table1[Shift_ID])</f>
        <v>S01</v>
      </c>
      <c r="M2303" t="str">
        <f>_xlfn.XLOOKUP(D2303,[2]!Table1[Machine_ID],[2]!Table1[Machine_ID])</f>
        <v>M004</v>
      </c>
      <c r="N2303" t="str">
        <f>_xlfn.XLOOKUP(E2303,[3]Sheet1!$A$2:$A$391,[3]Sheet1!$A$2:$A$391)</f>
        <v>PO10155</v>
      </c>
    </row>
    <row r="2304" spans="1:14" x14ac:dyDescent="0.2">
      <c r="A2304" t="s">
        <v>2313</v>
      </c>
      <c r="B2304" s="2">
        <v>46308</v>
      </c>
      <c r="C2304" t="s">
        <v>2940</v>
      </c>
      <c r="D2304" t="s">
        <v>2946</v>
      </c>
      <c r="E2304" t="s">
        <v>3105</v>
      </c>
      <c r="F2304" s="3">
        <v>46308.286851285309</v>
      </c>
      <c r="G2304" s="3">
        <v>46308.290923067281</v>
      </c>
      <c r="H2304">
        <v>5.86</v>
      </c>
      <c r="I2304" t="s">
        <v>3150</v>
      </c>
      <c r="J2304" t="s">
        <v>3159</v>
      </c>
      <c r="K2304" t="s">
        <v>3178</v>
      </c>
      <c r="L2304" t="str">
        <f>_xlfn.XLOOKUP(C2304,[1]!Table1[Shift_ID],[1]!Table1[Shift_ID])</f>
        <v>S01</v>
      </c>
      <c r="M2304" t="str">
        <f>_xlfn.XLOOKUP(D2304,[2]!Table1[Machine_ID],[2]!Table1[Machine_ID])</f>
        <v>M005</v>
      </c>
      <c r="N2304" t="str">
        <f>_xlfn.XLOOKUP(E2304,[3]Sheet1!$A$2:$A$391,[3]Sheet1!$A$2:$A$391)</f>
        <v>PO10155</v>
      </c>
    </row>
    <row r="2305" spans="1:14" x14ac:dyDescent="0.2">
      <c r="A2305" t="s">
        <v>2314</v>
      </c>
      <c r="B2305" s="2">
        <v>46308</v>
      </c>
      <c r="C2305" t="s">
        <v>2940</v>
      </c>
      <c r="D2305" t="s">
        <v>2946</v>
      </c>
      <c r="E2305" t="s">
        <v>3105</v>
      </c>
      <c r="F2305" s="3">
        <v>46308.405723806849</v>
      </c>
      <c r="G2305" s="3">
        <v>46308.407152296517</v>
      </c>
      <c r="H2305">
        <v>2.06</v>
      </c>
      <c r="I2305" t="s">
        <v>3146</v>
      </c>
      <c r="J2305" t="s">
        <v>3156</v>
      </c>
      <c r="K2305" t="s">
        <v>3174</v>
      </c>
      <c r="L2305" t="str">
        <f>_xlfn.XLOOKUP(C2305,[1]!Table1[Shift_ID],[1]!Table1[Shift_ID])</f>
        <v>S01</v>
      </c>
      <c r="M2305" t="str">
        <f>_xlfn.XLOOKUP(D2305,[2]!Table1[Machine_ID],[2]!Table1[Machine_ID])</f>
        <v>M005</v>
      </c>
      <c r="N2305" t="str">
        <f>_xlfn.XLOOKUP(E2305,[3]Sheet1!$A$2:$A$391,[3]Sheet1!$A$2:$A$391)</f>
        <v>PO10155</v>
      </c>
    </row>
    <row r="2306" spans="1:14" x14ac:dyDescent="0.2">
      <c r="A2306" t="s">
        <v>2315</v>
      </c>
      <c r="B2306" s="2">
        <v>46308</v>
      </c>
      <c r="C2306" t="s">
        <v>2940</v>
      </c>
      <c r="D2306" t="s">
        <v>2946</v>
      </c>
      <c r="E2306" t="s">
        <v>3105</v>
      </c>
      <c r="F2306" s="3">
        <v>46308.435867032247</v>
      </c>
      <c r="G2306" s="3">
        <v>46308.437295521901</v>
      </c>
      <c r="H2306">
        <v>2.06</v>
      </c>
      <c r="I2306" t="s">
        <v>3150</v>
      </c>
      <c r="J2306" t="s">
        <v>3160</v>
      </c>
      <c r="K2306" t="s">
        <v>3178</v>
      </c>
      <c r="L2306" t="str">
        <f>_xlfn.XLOOKUP(C2306,[1]!Table1[Shift_ID],[1]!Table1[Shift_ID])</f>
        <v>S01</v>
      </c>
      <c r="M2306" t="str">
        <f>_xlfn.XLOOKUP(D2306,[2]!Table1[Machine_ID],[2]!Table1[Machine_ID])</f>
        <v>M005</v>
      </c>
      <c r="N2306" t="str">
        <f>_xlfn.XLOOKUP(E2306,[3]Sheet1!$A$2:$A$391,[3]Sheet1!$A$2:$A$391)</f>
        <v>PO10155</v>
      </c>
    </row>
    <row r="2307" spans="1:14" x14ac:dyDescent="0.2">
      <c r="A2307" t="s">
        <v>2316</v>
      </c>
      <c r="B2307" s="2">
        <v>46308</v>
      </c>
      <c r="C2307" t="s">
        <v>2940</v>
      </c>
      <c r="D2307" t="s">
        <v>2946</v>
      </c>
      <c r="E2307" t="s">
        <v>3105</v>
      </c>
      <c r="F2307" s="3">
        <v>46308.473113307431</v>
      </c>
      <c r="G2307" s="3">
        <v>46308.474541797077</v>
      </c>
      <c r="H2307">
        <v>2.06</v>
      </c>
      <c r="I2307" t="s">
        <v>3149</v>
      </c>
      <c r="J2307" t="s">
        <v>3158</v>
      </c>
      <c r="K2307" t="s">
        <v>3176</v>
      </c>
      <c r="L2307" t="str">
        <f>_xlfn.XLOOKUP(C2307,[1]!Table1[Shift_ID],[1]!Table1[Shift_ID])</f>
        <v>S01</v>
      </c>
      <c r="M2307" t="str">
        <f>_xlfn.XLOOKUP(D2307,[2]!Table1[Machine_ID],[2]!Table1[Machine_ID])</f>
        <v>M005</v>
      </c>
      <c r="N2307" t="str">
        <f>_xlfn.XLOOKUP(E2307,[3]Sheet1!$A$2:$A$391,[3]Sheet1!$A$2:$A$391)</f>
        <v>PO10155</v>
      </c>
    </row>
    <row r="2308" spans="1:14" x14ac:dyDescent="0.2">
      <c r="A2308" t="s">
        <v>2317</v>
      </c>
      <c r="B2308" s="2">
        <v>46308</v>
      </c>
      <c r="C2308" t="s">
        <v>2940</v>
      </c>
      <c r="D2308" t="s">
        <v>2946</v>
      </c>
      <c r="E2308" t="s">
        <v>3105</v>
      </c>
      <c r="F2308" s="3">
        <v>46308.528222528577</v>
      </c>
      <c r="G2308" s="3">
        <v>46308.529787728759</v>
      </c>
      <c r="H2308">
        <v>2.25</v>
      </c>
      <c r="I2308" t="s">
        <v>3150</v>
      </c>
      <c r="J2308" t="s">
        <v>3166</v>
      </c>
      <c r="K2308" t="s">
        <v>3177</v>
      </c>
      <c r="L2308" t="str">
        <f>_xlfn.XLOOKUP(C2308,[1]!Table1[Shift_ID],[1]!Table1[Shift_ID])</f>
        <v>S01</v>
      </c>
      <c r="M2308" t="str">
        <f>_xlfn.XLOOKUP(D2308,[2]!Table1[Machine_ID],[2]!Table1[Machine_ID])</f>
        <v>M005</v>
      </c>
      <c r="N2308" t="str">
        <f>_xlfn.XLOOKUP(E2308,[3]Sheet1!$A$2:$A$391,[3]Sheet1!$A$2:$A$391)</f>
        <v>PO10155</v>
      </c>
    </row>
    <row r="2309" spans="1:14" x14ac:dyDescent="0.2">
      <c r="A2309" t="s">
        <v>2318</v>
      </c>
      <c r="B2309" s="2">
        <v>46308</v>
      </c>
      <c r="C2309" t="s">
        <v>2940</v>
      </c>
      <c r="D2309" t="s">
        <v>2947</v>
      </c>
      <c r="E2309" t="s">
        <v>3105</v>
      </c>
      <c r="F2309" s="3">
        <v>46308.386038965298</v>
      </c>
      <c r="G2309" s="3">
        <v>46308.400378721701</v>
      </c>
      <c r="H2309">
        <v>20.65</v>
      </c>
      <c r="I2309" t="s">
        <v>3150</v>
      </c>
      <c r="J2309" t="s">
        <v>3160</v>
      </c>
      <c r="K2309" t="s">
        <v>3178</v>
      </c>
      <c r="L2309" t="str">
        <f>_xlfn.XLOOKUP(C2309,[1]!Table1[Shift_ID],[1]!Table1[Shift_ID])</f>
        <v>S01</v>
      </c>
      <c r="M2309" t="str">
        <f>_xlfn.XLOOKUP(D2309,[2]!Table1[Machine_ID],[2]!Table1[Machine_ID])</f>
        <v>M006</v>
      </c>
      <c r="N2309" t="str">
        <f>_xlfn.XLOOKUP(E2309,[3]Sheet1!$A$2:$A$391,[3]Sheet1!$A$2:$A$391)</f>
        <v>PO10155</v>
      </c>
    </row>
    <row r="2310" spans="1:14" x14ac:dyDescent="0.2">
      <c r="A2310" t="s">
        <v>2319</v>
      </c>
      <c r="B2310" s="2">
        <v>46308</v>
      </c>
      <c r="C2310" t="s">
        <v>2940</v>
      </c>
      <c r="D2310" t="s">
        <v>2947</v>
      </c>
      <c r="E2310" t="s">
        <v>3105</v>
      </c>
      <c r="F2310" s="3">
        <v>46308.408187812071</v>
      </c>
      <c r="G2310" s="3">
        <v>46308.423230889894</v>
      </c>
      <c r="H2310">
        <v>21.66</v>
      </c>
      <c r="I2310" t="s">
        <v>3147</v>
      </c>
      <c r="J2310" t="s">
        <v>3153</v>
      </c>
      <c r="K2310" t="s">
        <v>3185</v>
      </c>
      <c r="L2310" t="str">
        <f>_xlfn.XLOOKUP(C2310,[1]!Table1[Shift_ID],[1]!Table1[Shift_ID])</f>
        <v>S01</v>
      </c>
      <c r="M2310" t="str">
        <f>_xlfn.XLOOKUP(D2310,[2]!Table1[Machine_ID],[2]!Table1[Machine_ID])</f>
        <v>M006</v>
      </c>
      <c r="N2310" t="str">
        <f>_xlfn.XLOOKUP(E2310,[3]Sheet1!$A$2:$A$391,[3]Sheet1!$A$2:$A$391)</f>
        <v>PO10155</v>
      </c>
    </row>
    <row r="2311" spans="1:14" x14ac:dyDescent="0.2">
      <c r="A2311" t="s">
        <v>2320</v>
      </c>
      <c r="B2311" s="2">
        <v>46308</v>
      </c>
      <c r="C2311" t="s">
        <v>2940</v>
      </c>
      <c r="D2311" t="s">
        <v>2947</v>
      </c>
      <c r="E2311" t="s">
        <v>3105</v>
      </c>
      <c r="F2311" s="3">
        <v>46308.538335621299</v>
      </c>
      <c r="G2311" s="3">
        <v>46308.542254949003</v>
      </c>
      <c r="H2311">
        <v>5.64</v>
      </c>
      <c r="I2311" t="s">
        <v>3147</v>
      </c>
      <c r="J2311" t="s">
        <v>3154</v>
      </c>
      <c r="K2311" t="s">
        <v>3186</v>
      </c>
      <c r="L2311" t="str">
        <f>_xlfn.XLOOKUP(C2311,[1]!Table1[Shift_ID],[1]!Table1[Shift_ID])</f>
        <v>S01</v>
      </c>
      <c r="M2311" t="str">
        <f>_xlfn.XLOOKUP(D2311,[2]!Table1[Machine_ID],[2]!Table1[Machine_ID])</f>
        <v>M006</v>
      </c>
      <c r="N2311" t="str">
        <f>_xlfn.XLOOKUP(E2311,[3]Sheet1!$A$2:$A$391,[3]Sheet1!$A$2:$A$391)</f>
        <v>PO10155</v>
      </c>
    </row>
    <row r="2312" spans="1:14" x14ac:dyDescent="0.2">
      <c r="A2312" t="s">
        <v>2321</v>
      </c>
      <c r="B2312" s="2">
        <v>46308</v>
      </c>
      <c r="C2312" t="s">
        <v>2940</v>
      </c>
      <c r="D2312" t="s">
        <v>2948</v>
      </c>
      <c r="E2312" t="s">
        <v>3105</v>
      </c>
      <c r="F2312" s="3">
        <v>46308.352777581676</v>
      </c>
      <c r="G2312" s="3">
        <v>46308.360265817188</v>
      </c>
      <c r="H2312">
        <v>10.78</v>
      </c>
      <c r="I2312" t="s">
        <v>3150</v>
      </c>
      <c r="J2312" t="s">
        <v>3163</v>
      </c>
      <c r="K2312" t="s">
        <v>3177</v>
      </c>
      <c r="L2312" t="str">
        <f>_xlfn.XLOOKUP(C2312,[1]!Table1[Shift_ID],[1]!Table1[Shift_ID])</f>
        <v>S01</v>
      </c>
      <c r="M2312" t="str">
        <f>_xlfn.XLOOKUP(D2312,[2]!Table1[Machine_ID],[2]!Table1[Machine_ID])</f>
        <v>M007</v>
      </c>
      <c r="N2312" t="str">
        <f>_xlfn.XLOOKUP(E2312,[3]Sheet1!$A$2:$A$391,[3]Sheet1!$A$2:$A$391)</f>
        <v>PO10155</v>
      </c>
    </row>
    <row r="2313" spans="1:14" x14ac:dyDescent="0.2">
      <c r="A2313" t="s">
        <v>2322</v>
      </c>
      <c r="B2313" s="2">
        <v>46308</v>
      </c>
      <c r="C2313" t="s">
        <v>2940</v>
      </c>
      <c r="D2313" t="s">
        <v>2948</v>
      </c>
      <c r="E2313" t="s">
        <v>3105</v>
      </c>
      <c r="F2313" s="3">
        <v>46308.497256305222</v>
      </c>
      <c r="G2313" s="3">
        <v>46308.50414290803</v>
      </c>
      <c r="H2313">
        <v>9.92</v>
      </c>
      <c r="I2313" t="s">
        <v>3150</v>
      </c>
      <c r="J2313" t="s">
        <v>3166</v>
      </c>
      <c r="K2313" t="s">
        <v>3177</v>
      </c>
      <c r="L2313" t="str">
        <f>_xlfn.XLOOKUP(C2313,[1]!Table1[Shift_ID],[1]!Table1[Shift_ID])</f>
        <v>S01</v>
      </c>
      <c r="M2313" t="str">
        <f>_xlfn.XLOOKUP(D2313,[2]!Table1[Machine_ID],[2]!Table1[Machine_ID])</f>
        <v>M007</v>
      </c>
      <c r="N2313" t="str">
        <f>_xlfn.XLOOKUP(E2313,[3]Sheet1!$A$2:$A$391,[3]Sheet1!$A$2:$A$391)</f>
        <v>PO10155</v>
      </c>
    </row>
    <row r="2314" spans="1:14" x14ac:dyDescent="0.2">
      <c r="A2314" t="s">
        <v>2323</v>
      </c>
      <c r="B2314" s="2">
        <v>46308</v>
      </c>
      <c r="C2314" t="s">
        <v>2940</v>
      </c>
      <c r="D2314" t="s">
        <v>2949</v>
      </c>
      <c r="E2314" t="s">
        <v>3105</v>
      </c>
      <c r="F2314" s="3">
        <v>46308.298090783283</v>
      </c>
      <c r="G2314" s="3">
        <v>46308.306179738087</v>
      </c>
      <c r="H2314">
        <v>11.65</v>
      </c>
      <c r="I2314" t="s">
        <v>3150</v>
      </c>
      <c r="J2314" t="s">
        <v>3160</v>
      </c>
      <c r="K2314" t="s">
        <v>3179</v>
      </c>
      <c r="L2314" t="str">
        <f>_xlfn.XLOOKUP(C2314,[1]!Table1[Shift_ID],[1]!Table1[Shift_ID])</f>
        <v>S01</v>
      </c>
      <c r="M2314" t="str">
        <f>_xlfn.XLOOKUP(D2314,[2]!Table1[Machine_ID],[2]!Table1[Machine_ID])</f>
        <v>M008</v>
      </c>
      <c r="N2314" t="str">
        <f>_xlfn.XLOOKUP(E2314,[3]Sheet1!$A$2:$A$391,[3]Sheet1!$A$2:$A$391)</f>
        <v>PO10155</v>
      </c>
    </row>
    <row r="2315" spans="1:14" x14ac:dyDescent="0.2">
      <c r="A2315" t="s">
        <v>2324</v>
      </c>
      <c r="B2315" s="2">
        <v>46308</v>
      </c>
      <c r="C2315" t="s">
        <v>2941</v>
      </c>
      <c r="D2315" t="s">
        <v>2942</v>
      </c>
      <c r="E2315" t="s">
        <v>3106</v>
      </c>
      <c r="F2315" s="3">
        <v>46308.621251205077</v>
      </c>
      <c r="G2315" s="3">
        <v>46308.626635234708</v>
      </c>
      <c r="H2315">
        <v>7.75</v>
      </c>
      <c r="I2315" t="s">
        <v>3150</v>
      </c>
      <c r="J2315" t="s">
        <v>3163</v>
      </c>
      <c r="K2315" t="s">
        <v>3178</v>
      </c>
      <c r="L2315" t="str">
        <f>_xlfn.XLOOKUP(C2315,[1]!Table1[Shift_ID],[1]!Table1[Shift_ID])</f>
        <v>S02</v>
      </c>
      <c r="M2315" t="str">
        <f>_xlfn.XLOOKUP(D2315,[2]!Table1[Machine_ID],[2]!Table1[Machine_ID])</f>
        <v>M001</v>
      </c>
      <c r="N2315" t="str">
        <f>_xlfn.XLOOKUP(E2315,[3]Sheet1!$A$2:$A$391,[3]Sheet1!$A$2:$A$391)</f>
        <v>PO10156</v>
      </c>
    </row>
    <row r="2316" spans="1:14" x14ac:dyDescent="0.2">
      <c r="A2316" t="s">
        <v>2325</v>
      </c>
      <c r="B2316" s="2">
        <v>46308</v>
      </c>
      <c r="C2316" t="s">
        <v>2941</v>
      </c>
      <c r="D2316" t="s">
        <v>2942</v>
      </c>
      <c r="E2316" t="s">
        <v>3106</v>
      </c>
      <c r="F2316" s="3">
        <v>46308.894579413623</v>
      </c>
      <c r="G2316" s="3">
        <v>46308.896322795881</v>
      </c>
      <c r="H2316">
        <v>2.5099999999999998</v>
      </c>
      <c r="I2316" t="s">
        <v>3151</v>
      </c>
      <c r="J2316" t="s">
        <v>3170</v>
      </c>
      <c r="K2316" t="s">
        <v>3181</v>
      </c>
      <c r="L2316" t="str">
        <f>_xlfn.XLOOKUP(C2316,[1]!Table1[Shift_ID],[1]!Table1[Shift_ID])</f>
        <v>S02</v>
      </c>
      <c r="M2316" t="str">
        <f>_xlfn.XLOOKUP(D2316,[2]!Table1[Machine_ID],[2]!Table1[Machine_ID])</f>
        <v>M001</v>
      </c>
      <c r="N2316" t="str">
        <f>_xlfn.XLOOKUP(E2316,[3]Sheet1!$A$2:$A$391,[3]Sheet1!$A$2:$A$391)</f>
        <v>PO10156</v>
      </c>
    </row>
    <row r="2317" spans="1:14" x14ac:dyDescent="0.2">
      <c r="A2317" t="s">
        <v>2326</v>
      </c>
      <c r="B2317" s="2">
        <v>46308</v>
      </c>
      <c r="C2317" t="s">
        <v>2941</v>
      </c>
      <c r="D2317" t="s">
        <v>2943</v>
      </c>
      <c r="E2317" t="s">
        <v>3106</v>
      </c>
      <c r="F2317" s="3">
        <v>46308.637571751598</v>
      </c>
      <c r="G2317" s="3">
        <v>46308.647501687628</v>
      </c>
      <c r="H2317">
        <v>14.3</v>
      </c>
      <c r="I2317" t="s">
        <v>3149</v>
      </c>
      <c r="J2317" t="s">
        <v>3158</v>
      </c>
      <c r="K2317" t="s">
        <v>3176</v>
      </c>
      <c r="L2317" t="str">
        <f>_xlfn.XLOOKUP(C2317,[1]!Table1[Shift_ID],[1]!Table1[Shift_ID])</f>
        <v>S02</v>
      </c>
      <c r="M2317" t="str">
        <f>_xlfn.XLOOKUP(D2317,[2]!Table1[Machine_ID],[2]!Table1[Machine_ID])</f>
        <v>M002</v>
      </c>
      <c r="N2317" t="str">
        <f>_xlfn.XLOOKUP(E2317,[3]Sheet1!$A$2:$A$391,[3]Sheet1!$A$2:$A$391)</f>
        <v>PO10156</v>
      </c>
    </row>
    <row r="2318" spans="1:14" x14ac:dyDescent="0.2">
      <c r="A2318" t="s">
        <v>2327</v>
      </c>
      <c r="B2318" s="2">
        <v>46308</v>
      </c>
      <c r="C2318" t="s">
        <v>2941</v>
      </c>
      <c r="D2318" t="s">
        <v>2944</v>
      </c>
      <c r="E2318" t="s">
        <v>3106</v>
      </c>
      <c r="F2318" s="3">
        <v>46308.840794054973</v>
      </c>
      <c r="G2318" s="3">
        <v>46308.850154872038</v>
      </c>
      <c r="H2318">
        <v>13.48</v>
      </c>
      <c r="I2318" t="s">
        <v>3146</v>
      </c>
      <c r="J2318" t="s">
        <v>3156</v>
      </c>
      <c r="K2318" t="s">
        <v>3175</v>
      </c>
      <c r="L2318" t="str">
        <f>_xlfn.XLOOKUP(C2318,[1]!Table1[Shift_ID],[1]!Table1[Shift_ID])</f>
        <v>S02</v>
      </c>
      <c r="M2318" t="str">
        <f>_xlfn.XLOOKUP(D2318,[2]!Table1[Machine_ID],[2]!Table1[Machine_ID])</f>
        <v>M003</v>
      </c>
      <c r="N2318" t="str">
        <f>_xlfn.XLOOKUP(E2318,[3]Sheet1!$A$2:$A$391,[3]Sheet1!$A$2:$A$391)</f>
        <v>PO10156</v>
      </c>
    </row>
    <row r="2319" spans="1:14" x14ac:dyDescent="0.2">
      <c r="A2319" t="s">
        <v>2328</v>
      </c>
      <c r="B2319" s="2">
        <v>46308</v>
      </c>
      <c r="C2319" t="s">
        <v>2941</v>
      </c>
      <c r="D2319" t="s">
        <v>2945</v>
      </c>
      <c r="E2319" t="s">
        <v>3106</v>
      </c>
      <c r="F2319" s="3">
        <v>46308.595227055303</v>
      </c>
      <c r="G2319" s="3">
        <v>46308.601703642467</v>
      </c>
      <c r="H2319">
        <v>9.33</v>
      </c>
      <c r="I2319" t="s">
        <v>3148</v>
      </c>
      <c r="J2319" t="s">
        <v>3155</v>
      </c>
      <c r="K2319" t="s">
        <v>3183</v>
      </c>
      <c r="L2319" t="str">
        <f>_xlfn.XLOOKUP(C2319,[1]!Table1[Shift_ID],[1]!Table1[Shift_ID])</f>
        <v>S02</v>
      </c>
      <c r="M2319" t="str">
        <f>_xlfn.XLOOKUP(D2319,[2]!Table1[Machine_ID],[2]!Table1[Machine_ID])</f>
        <v>M004</v>
      </c>
      <c r="N2319" t="str">
        <f>_xlfn.XLOOKUP(E2319,[3]Sheet1!$A$2:$A$391,[3]Sheet1!$A$2:$A$391)</f>
        <v>PO10156</v>
      </c>
    </row>
    <row r="2320" spans="1:14" x14ac:dyDescent="0.2">
      <c r="A2320" t="s">
        <v>2329</v>
      </c>
      <c r="B2320" s="2">
        <v>46308</v>
      </c>
      <c r="C2320" t="s">
        <v>2941</v>
      </c>
      <c r="D2320" t="s">
        <v>2946</v>
      </c>
      <c r="E2320" t="s">
        <v>3106</v>
      </c>
      <c r="F2320" s="3">
        <v>46308.689685748373</v>
      </c>
      <c r="G2320" s="3">
        <v>46308.692992987388</v>
      </c>
      <c r="H2320">
        <v>4.76</v>
      </c>
      <c r="I2320" t="s">
        <v>3147</v>
      </c>
      <c r="J2320" t="s">
        <v>3153</v>
      </c>
      <c r="K2320" t="s">
        <v>3186</v>
      </c>
      <c r="L2320" t="str">
        <f>_xlfn.XLOOKUP(C2320,[1]!Table1[Shift_ID],[1]!Table1[Shift_ID])</f>
        <v>S02</v>
      </c>
      <c r="M2320" t="str">
        <f>_xlfn.XLOOKUP(D2320,[2]!Table1[Machine_ID],[2]!Table1[Machine_ID])</f>
        <v>M005</v>
      </c>
      <c r="N2320" t="str">
        <f>_xlfn.XLOOKUP(E2320,[3]Sheet1!$A$2:$A$391,[3]Sheet1!$A$2:$A$391)</f>
        <v>PO10156</v>
      </c>
    </row>
    <row r="2321" spans="1:14" x14ac:dyDescent="0.2">
      <c r="A2321" t="s">
        <v>2330</v>
      </c>
      <c r="B2321" s="2">
        <v>46308</v>
      </c>
      <c r="C2321" t="s">
        <v>2941</v>
      </c>
      <c r="D2321" t="s">
        <v>2946</v>
      </c>
      <c r="E2321" t="s">
        <v>3106</v>
      </c>
      <c r="F2321" s="3">
        <v>46308.796701795152</v>
      </c>
      <c r="G2321" s="3">
        <v>46308.800529513937</v>
      </c>
      <c r="H2321">
        <v>5.51</v>
      </c>
      <c r="I2321" t="s">
        <v>3150</v>
      </c>
      <c r="J2321" t="s">
        <v>3166</v>
      </c>
      <c r="K2321" t="s">
        <v>3179</v>
      </c>
      <c r="L2321" t="str">
        <f>_xlfn.XLOOKUP(C2321,[1]!Table1[Shift_ID],[1]!Table1[Shift_ID])</f>
        <v>S02</v>
      </c>
      <c r="M2321" t="str">
        <f>_xlfn.XLOOKUP(D2321,[2]!Table1[Machine_ID],[2]!Table1[Machine_ID])</f>
        <v>M005</v>
      </c>
      <c r="N2321" t="str">
        <f>_xlfn.XLOOKUP(E2321,[3]Sheet1!$A$2:$A$391,[3]Sheet1!$A$2:$A$391)</f>
        <v>PO10156</v>
      </c>
    </row>
    <row r="2322" spans="1:14" x14ac:dyDescent="0.2">
      <c r="A2322" t="s">
        <v>2331</v>
      </c>
      <c r="B2322" s="2">
        <v>46308</v>
      </c>
      <c r="C2322" t="s">
        <v>2941</v>
      </c>
      <c r="D2322" t="s">
        <v>2947</v>
      </c>
      <c r="E2322" t="s">
        <v>3106</v>
      </c>
      <c r="F2322" s="3">
        <v>46308.658611958977</v>
      </c>
      <c r="G2322" s="3">
        <v>46308.660554737296</v>
      </c>
      <c r="H2322">
        <v>2.8</v>
      </c>
      <c r="I2322" t="s">
        <v>3150</v>
      </c>
      <c r="J2322" t="s">
        <v>3159</v>
      </c>
      <c r="K2322" t="s">
        <v>3179</v>
      </c>
      <c r="L2322" t="str">
        <f>_xlfn.XLOOKUP(C2322,[1]!Table1[Shift_ID],[1]!Table1[Shift_ID])</f>
        <v>S02</v>
      </c>
      <c r="M2322" t="str">
        <f>_xlfn.XLOOKUP(D2322,[2]!Table1[Machine_ID],[2]!Table1[Machine_ID])</f>
        <v>M006</v>
      </c>
      <c r="N2322" t="str">
        <f>_xlfn.XLOOKUP(E2322,[3]Sheet1!$A$2:$A$391,[3]Sheet1!$A$2:$A$391)</f>
        <v>PO10156</v>
      </c>
    </row>
    <row r="2323" spans="1:14" x14ac:dyDescent="0.2">
      <c r="A2323" t="s">
        <v>2332</v>
      </c>
      <c r="B2323" s="2">
        <v>46308</v>
      </c>
      <c r="C2323" t="s">
        <v>2941</v>
      </c>
      <c r="D2323" t="s">
        <v>2947</v>
      </c>
      <c r="E2323" t="s">
        <v>3106</v>
      </c>
      <c r="F2323" s="3">
        <v>46308.759331307803</v>
      </c>
      <c r="G2323" s="3">
        <v>46308.763414395129</v>
      </c>
      <c r="H2323">
        <v>5.88</v>
      </c>
      <c r="I2323" t="s">
        <v>3146</v>
      </c>
      <c r="J2323" t="s">
        <v>3152</v>
      </c>
      <c r="K2323" t="s">
        <v>3174</v>
      </c>
      <c r="L2323" t="str">
        <f>_xlfn.XLOOKUP(C2323,[1]!Table1[Shift_ID],[1]!Table1[Shift_ID])</f>
        <v>S02</v>
      </c>
      <c r="M2323" t="str">
        <f>_xlfn.XLOOKUP(D2323,[2]!Table1[Machine_ID],[2]!Table1[Machine_ID])</f>
        <v>M006</v>
      </c>
      <c r="N2323" t="str">
        <f>_xlfn.XLOOKUP(E2323,[3]Sheet1!$A$2:$A$391,[3]Sheet1!$A$2:$A$391)</f>
        <v>PO10156</v>
      </c>
    </row>
    <row r="2324" spans="1:14" x14ac:dyDescent="0.2">
      <c r="A2324" t="s">
        <v>2333</v>
      </c>
      <c r="B2324" s="2">
        <v>46308</v>
      </c>
      <c r="C2324" t="s">
        <v>2941</v>
      </c>
      <c r="D2324" t="s">
        <v>2947</v>
      </c>
      <c r="E2324" t="s">
        <v>3106</v>
      </c>
      <c r="F2324" s="3">
        <v>46308.795895989388</v>
      </c>
      <c r="G2324" s="3">
        <v>46308.799770570971</v>
      </c>
      <c r="H2324">
        <v>5.58</v>
      </c>
      <c r="I2324" t="s">
        <v>3149</v>
      </c>
      <c r="J2324" t="s">
        <v>3158</v>
      </c>
      <c r="K2324" t="s">
        <v>3184</v>
      </c>
      <c r="L2324" t="str">
        <f>_xlfn.XLOOKUP(C2324,[1]!Table1[Shift_ID],[1]!Table1[Shift_ID])</f>
        <v>S02</v>
      </c>
      <c r="M2324" t="str">
        <f>_xlfn.XLOOKUP(D2324,[2]!Table1[Machine_ID],[2]!Table1[Machine_ID])</f>
        <v>M006</v>
      </c>
      <c r="N2324" t="str">
        <f>_xlfn.XLOOKUP(E2324,[3]Sheet1!$A$2:$A$391,[3]Sheet1!$A$2:$A$391)</f>
        <v>PO10156</v>
      </c>
    </row>
    <row r="2325" spans="1:14" x14ac:dyDescent="0.2">
      <c r="A2325" t="s">
        <v>2334</v>
      </c>
      <c r="B2325" s="2">
        <v>46308</v>
      </c>
      <c r="C2325" t="s">
        <v>2941</v>
      </c>
      <c r="D2325" t="s">
        <v>2947</v>
      </c>
      <c r="E2325" t="s">
        <v>3106</v>
      </c>
      <c r="F2325" s="3">
        <v>46308.877318325707</v>
      </c>
      <c r="G2325" s="3">
        <v>46308.892681539481</v>
      </c>
      <c r="H2325">
        <v>22.12</v>
      </c>
      <c r="I2325" t="s">
        <v>3150</v>
      </c>
      <c r="J2325" t="s">
        <v>3166</v>
      </c>
      <c r="K2325" t="s">
        <v>3178</v>
      </c>
      <c r="L2325" t="str">
        <f>_xlfn.XLOOKUP(C2325,[1]!Table1[Shift_ID],[1]!Table1[Shift_ID])</f>
        <v>S02</v>
      </c>
      <c r="M2325" t="str">
        <f>_xlfn.XLOOKUP(D2325,[2]!Table1[Machine_ID],[2]!Table1[Machine_ID])</f>
        <v>M006</v>
      </c>
      <c r="N2325" t="str">
        <f>_xlfn.XLOOKUP(E2325,[3]Sheet1!$A$2:$A$391,[3]Sheet1!$A$2:$A$391)</f>
        <v>PO10156</v>
      </c>
    </row>
    <row r="2326" spans="1:14" x14ac:dyDescent="0.2">
      <c r="A2326" t="s">
        <v>2335</v>
      </c>
      <c r="B2326" s="2">
        <v>46308</v>
      </c>
      <c r="C2326" t="s">
        <v>2941</v>
      </c>
      <c r="D2326" t="s">
        <v>2948</v>
      </c>
      <c r="E2326" t="s">
        <v>3106</v>
      </c>
      <c r="F2326" s="3">
        <v>46308.861365766803</v>
      </c>
      <c r="G2326" s="3">
        <v>46308.874645216587</v>
      </c>
      <c r="H2326">
        <v>19.12</v>
      </c>
      <c r="I2326" t="s">
        <v>3147</v>
      </c>
      <c r="J2326" t="s">
        <v>3153</v>
      </c>
      <c r="K2326" t="s">
        <v>3185</v>
      </c>
      <c r="L2326" t="str">
        <f>_xlfn.XLOOKUP(C2326,[1]!Table1[Shift_ID],[1]!Table1[Shift_ID])</f>
        <v>S02</v>
      </c>
      <c r="M2326" t="str">
        <f>_xlfn.XLOOKUP(D2326,[2]!Table1[Machine_ID],[2]!Table1[Machine_ID])</f>
        <v>M007</v>
      </c>
      <c r="N2326" t="str">
        <f>_xlfn.XLOOKUP(E2326,[3]Sheet1!$A$2:$A$391,[3]Sheet1!$A$2:$A$391)</f>
        <v>PO10156</v>
      </c>
    </row>
    <row r="2327" spans="1:14" x14ac:dyDescent="0.2">
      <c r="A2327" t="s">
        <v>2336</v>
      </c>
      <c r="B2327" s="2">
        <v>46308</v>
      </c>
      <c r="C2327" t="s">
        <v>2941</v>
      </c>
      <c r="D2327" t="s">
        <v>2949</v>
      </c>
      <c r="E2327" t="s">
        <v>3106</v>
      </c>
      <c r="F2327" s="3">
        <v>46308.817706150141</v>
      </c>
      <c r="G2327" s="3">
        <v>46308.822179420669</v>
      </c>
      <c r="H2327">
        <v>6.44</v>
      </c>
      <c r="I2327" t="s">
        <v>3148</v>
      </c>
      <c r="J2327" t="s">
        <v>3164</v>
      </c>
      <c r="K2327" t="s">
        <v>3183</v>
      </c>
      <c r="L2327" t="str">
        <f>_xlfn.XLOOKUP(C2327,[1]!Table1[Shift_ID],[1]!Table1[Shift_ID])</f>
        <v>S02</v>
      </c>
      <c r="M2327" t="str">
        <f>_xlfn.XLOOKUP(D2327,[2]!Table1[Machine_ID],[2]!Table1[Machine_ID])</f>
        <v>M008</v>
      </c>
      <c r="N2327" t="str">
        <f>_xlfn.XLOOKUP(E2327,[3]Sheet1!$A$2:$A$391,[3]Sheet1!$A$2:$A$391)</f>
        <v>PO10156</v>
      </c>
    </row>
    <row r="2328" spans="1:14" x14ac:dyDescent="0.2">
      <c r="A2328" t="s">
        <v>2337</v>
      </c>
      <c r="B2328" s="2">
        <v>46309</v>
      </c>
      <c r="C2328" t="s">
        <v>2939</v>
      </c>
      <c r="D2328" t="s">
        <v>2942</v>
      </c>
      <c r="E2328" t="s">
        <v>3107</v>
      </c>
      <c r="F2328" s="3">
        <v>46310.043104574841</v>
      </c>
      <c r="G2328" s="3">
        <v>46310.049745695324</v>
      </c>
      <c r="H2328">
        <v>9.56</v>
      </c>
      <c r="I2328" t="s">
        <v>3149</v>
      </c>
      <c r="J2328" t="s">
        <v>3168</v>
      </c>
      <c r="K2328" t="s">
        <v>3182</v>
      </c>
      <c r="L2328" t="str">
        <f>_xlfn.XLOOKUP(C2328,[1]!Table1[Shift_ID],[1]!Table1[Shift_ID])</f>
        <v>S03</v>
      </c>
      <c r="M2328" t="str">
        <f>_xlfn.XLOOKUP(D2328,[2]!Table1[Machine_ID],[2]!Table1[Machine_ID])</f>
        <v>M001</v>
      </c>
      <c r="N2328" t="str">
        <f>_xlfn.XLOOKUP(E2328,[3]Sheet1!$A$2:$A$391,[3]Sheet1!$A$2:$A$391)</f>
        <v>PO10157</v>
      </c>
    </row>
    <row r="2329" spans="1:14" x14ac:dyDescent="0.2">
      <c r="A2329" t="s">
        <v>2338</v>
      </c>
      <c r="B2329" s="2">
        <v>46309</v>
      </c>
      <c r="C2329" t="s">
        <v>2939</v>
      </c>
      <c r="D2329" t="s">
        <v>2943</v>
      </c>
      <c r="E2329" t="s">
        <v>3107</v>
      </c>
      <c r="F2329" s="3">
        <v>46310.227956424933</v>
      </c>
      <c r="G2329" s="3">
        <v>46310.23743657142</v>
      </c>
      <c r="H2329">
        <v>13.65</v>
      </c>
      <c r="I2329" t="s">
        <v>3146</v>
      </c>
      <c r="J2329" t="s">
        <v>3152</v>
      </c>
      <c r="K2329" t="s">
        <v>3174</v>
      </c>
      <c r="L2329" t="str">
        <f>_xlfn.XLOOKUP(C2329,[1]!Table1[Shift_ID],[1]!Table1[Shift_ID])</f>
        <v>S03</v>
      </c>
      <c r="M2329" t="str">
        <f>_xlfn.XLOOKUP(D2329,[2]!Table1[Machine_ID],[2]!Table1[Machine_ID])</f>
        <v>M002</v>
      </c>
      <c r="N2329" t="str">
        <f>_xlfn.XLOOKUP(E2329,[3]Sheet1!$A$2:$A$391,[3]Sheet1!$A$2:$A$391)</f>
        <v>PO10157</v>
      </c>
    </row>
    <row r="2330" spans="1:14" x14ac:dyDescent="0.2">
      <c r="A2330" t="s">
        <v>2339</v>
      </c>
      <c r="B2330" s="2">
        <v>46309</v>
      </c>
      <c r="C2330" t="s">
        <v>2939</v>
      </c>
      <c r="D2330" t="s">
        <v>2944</v>
      </c>
      <c r="E2330" t="s">
        <v>3107</v>
      </c>
      <c r="F2330" s="3">
        <v>46309.979715394547</v>
      </c>
      <c r="G2330" s="3">
        <v>46309.986391691797</v>
      </c>
      <c r="H2330">
        <v>9.61</v>
      </c>
      <c r="I2330" t="s">
        <v>3151</v>
      </c>
      <c r="J2330" t="s">
        <v>3170</v>
      </c>
      <c r="K2330" t="s">
        <v>3187</v>
      </c>
      <c r="L2330" t="str">
        <f>_xlfn.XLOOKUP(C2330,[1]!Table1[Shift_ID],[1]!Table1[Shift_ID])</f>
        <v>S03</v>
      </c>
      <c r="M2330" t="str">
        <f>_xlfn.XLOOKUP(D2330,[2]!Table1[Machine_ID],[2]!Table1[Machine_ID])</f>
        <v>M003</v>
      </c>
      <c r="N2330" t="str">
        <f>_xlfn.XLOOKUP(E2330,[3]Sheet1!$A$2:$A$391,[3]Sheet1!$A$2:$A$391)</f>
        <v>PO10157</v>
      </c>
    </row>
    <row r="2331" spans="1:14" x14ac:dyDescent="0.2">
      <c r="A2331" t="s">
        <v>2340</v>
      </c>
      <c r="B2331" s="2">
        <v>46309</v>
      </c>
      <c r="C2331" t="s">
        <v>2939</v>
      </c>
      <c r="D2331" t="s">
        <v>2944</v>
      </c>
      <c r="E2331" t="s">
        <v>3107</v>
      </c>
      <c r="F2331" s="3">
        <v>46310.217922431882</v>
      </c>
      <c r="G2331" s="3">
        <v>46310.219747738207</v>
      </c>
      <c r="H2331">
        <v>2.63</v>
      </c>
      <c r="I2331" t="s">
        <v>3147</v>
      </c>
      <c r="J2331" t="s">
        <v>3167</v>
      </c>
      <c r="K2331" t="s">
        <v>3186</v>
      </c>
      <c r="L2331" t="str">
        <f>_xlfn.XLOOKUP(C2331,[1]!Table1[Shift_ID],[1]!Table1[Shift_ID])</f>
        <v>S03</v>
      </c>
      <c r="M2331" t="str">
        <f>_xlfn.XLOOKUP(D2331,[2]!Table1[Machine_ID],[2]!Table1[Machine_ID])</f>
        <v>M003</v>
      </c>
      <c r="N2331" t="str">
        <f>_xlfn.XLOOKUP(E2331,[3]Sheet1!$A$2:$A$391,[3]Sheet1!$A$2:$A$391)</f>
        <v>PO10157</v>
      </c>
    </row>
    <row r="2332" spans="1:14" x14ac:dyDescent="0.2">
      <c r="A2332" t="s">
        <v>2341</v>
      </c>
      <c r="B2332" s="2">
        <v>46309</v>
      </c>
      <c r="C2332" t="s">
        <v>2939</v>
      </c>
      <c r="D2332" t="s">
        <v>2945</v>
      </c>
      <c r="E2332" t="s">
        <v>3107</v>
      </c>
      <c r="F2332" s="3">
        <v>46309.99484890866</v>
      </c>
      <c r="G2332" s="3">
        <v>46309.997782113649</v>
      </c>
      <c r="H2332">
        <v>4.22</v>
      </c>
      <c r="I2332" t="s">
        <v>3149</v>
      </c>
      <c r="J2332" t="s">
        <v>3158</v>
      </c>
      <c r="K2332" t="s">
        <v>3176</v>
      </c>
      <c r="L2332" t="str">
        <f>_xlfn.XLOOKUP(C2332,[1]!Table1[Shift_ID],[1]!Table1[Shift_ID])</f>
        <v>S03</v>
      </c>
      <c r="M2332" t="str">
        <f>_xlfn.XLOOKUP(D2332,[2]!Table1[Machine_ID],[2]!Table1[Machine_ID])</f>
        <v>M004</v>
      </c>
      <c r="N2332" t="str">
        <f>_xlfn.XLOOKUP(E2332,[3]Sheet1!$A$2:$A$391,[3]Sheet1!$A$2:$A$391)</f>
        <v>PO10157</v>
      </c>
    </row>
    <row r="2333" spans="1:14" x14ac:dyDescent="0.2">
      <c r="A2333" t="s">
        <v>2342</v>
      </c>
      <c r="B2333" s="2">
        <v>46309</v>
      </c>
      <c r="C2333" t="s">
        <v>2939</v>
      </c>
      <c r="D2333" t="s">
        <v>2945</v>
      </c>
      <c r="E2333" t="s">
        <v>3107</v>
      </c>
      <c r="F2333" s="3">
        <v>46310.198901429918</v>
      </c>
      <c r="G2333" s="3">
        <v>46310.203475500217</v>
      </c>
      <c r="H2333">
        <v>6.59</v>
      </c>
      <c r="I2333" t="s">
        <v>3147</v>
      </c>
      <c r="J2333" t="s">
        <v>3154</v>
      </c>
      <c r="K2333" t="s">
        <v>3186</v>
      </c>
      <c r="L2333" t="str">
        <f>_xlfn.XLOOKUP(C2333,[1]!Table1[Shift_ID],[1]!Table1[Shift_ID])</f>
        <v>S03</v>
      </c>
      <c r="M2333" t="str">
        <f>_xlfn.XLOOKUP(D2333,[2]!Table1[Machine_ID],[2]!Table1[Machine_ID])</f>
        <v>M004</v>
      </c>
      <c r="N2333" t="str">
        <f>_xlfn.XLOOKUP(E2333,[3]Sheet1!$A$2:$A$391,[3]Sheet1!$A$2:$A$391)</f>
        <v>PO10157</v>
      </c>
    </row>
    <row r="2334" spans="1:14" x14ac:dyDescent="0.2">
      <c r="A2334" t="s">
        <v>2343</v>
      </c>
      <c r="B2334" s="2">
        <v>46309</v>
      </c>
      <c r="C2334" t="s">
        <v>2939</v>
      </c>
      <c r="D2334" t="s">
        <v>2945</v>
      </c>
      <c r="E2334" t="s">
        <v>3107</v>
      </c>
      <c r="F2334" s="3">
        <v>46310.231879805739</v>
      </c>
      <c r="G2334" s="3">
        <v>46310.233622162443</v>
      </c>
      <c r="H2334">
        <v>2.5099999999999998</v>
      </c>
      <c r="I2334" t="s">
        <v>3149</v>
      </c>
      <c r="J2334" t="s">
        <v>3162</v>
      </c>
      <c r="K2334" t="s">
        <v>3184</v>
      </c>
      <c r="L2334" t="str">
        <f>_xlfn.XLOOKUP(C2334,[1]!Table1[Shift_ID],[1]!Table1[Shift_ID])</f>
        <v>S03</v>
      </c>
      <c r="M2334" t="str">
        <f>_xlfn.XLOOKUP(D2334,[2]!Table1[Machine_ID],[2]!Table1[Machine_ID])</f>
        <v>M004</v>
      </c>
      <c r="N2334" t="str">
        <f>_xlfn.XLOOKUP(E2334,[3]Sheet1!$A$2:$A$391,[3]Sheet1!$A$2:$A$391)</f>
        <v>PO10157</v>
      </c>
    </row>
    <row r="2335" spans="1:14" x14ac:dyDescent="0.2">
      <c r="A2335" t="s">
        <v>2344</v>
      </c>
      <c r="B2335" s="2">
        <v>46309</v>
      </c>
      <c r="C2335" t="s">
        <v>2939</v>
      </c>
      <c r="D2335" t="s">
        <v>2946</v>
      </c>
      <c r="E2335" t="s">
        <v>3107</v>
      </c>
      <c r="F2335" s="3">
        <v>46310.028939928539</v>
      </c>
      <c r="G2335" s="3">
        <v>46310.033457707083</v>
      </c>
      <c r="H2335">
        <v>6.51</v>
      </c>
      <c r="I2335" t="s">
        <v>3150</v>
      </c>
      <c r="J2335" t="s">
        <v>3159</v>
      </c>
      <c r="K2335" t="s">
        <v>3177</v>
      </c>
      <c r="L2335" t="str">
        <f>_xlfn.XLOOKUP(C2335,[1]!Table1[Shift_ID],[1]!Table1[Shift_ID])</f>
        <v>S03</v>
      </c>
      <c r="M2335" t="str">
        <f>_xlfn.XLOOKUP(D2335,[2]!Table1[Machine_ID],[2]!Table1[Machine_ID])</f>
        <v>M005</v>
      </c>
      <c r="N2335" t="str">
        <f>_xlfn.XLOOKUP(E2335,[3]Sheet1!$A$2:$A$391,[3]Sheet1!$A$2:$A$391)</f>
        <v>PO10157</v>
      </c>
    </row>
    <row r="2336" spans="1:14" x14ac:dyDescent="0.2">
      <c r="A2336" t="s">
        <v>2345</v>
      </c>
      <c r="B2336" s="2">
        <v>46309</v>
      </c>
      <c r="C2336" t="s">
        <v>2939</v>
      </c>
      <c r="D2336" t="s">
        <v>2946</v>
      </c>
      <c r="E2336" t="s">
        <v>3107</v>
      </c>
      <c r="F2336" s="3">
        <v>46310.115238906161</v>
      </c>
      <c r="G2336" s="3">
        <v>46310.119051765163</v>
      </c>
      <c r="H2336">
        <v>5.49</v>
      </c>
      <c r="I2336" t="s">
        <v>3149</v>
      </c>
      <c r="J2336" t="s">
        <v>3158</v>
      </c>
      <c r="K2336" t="s">
        <v>3176</v>
      </c>
      <c r="L2336" t="str">
        <f>_xlfn.XLOOKUP(C2336,[1]!Table1[Shift_ID],[1]!Table1[Shift_ID])</f>
        <v>S03</v>
      </c>
      <c r="M2336" t="str">
        <f>_xlfn.XLOOKUP(D2336,[2]!Table1[Machine_ID],[2]!Table1[Machine_ID])</f>
        <v>M005</v>
      </c>
      <c r="N2336" t="str">
        <f>_xlfn.XLOOKUP(E2336,[3]Sheet1!$A$2:$A$391,[3]Sheet1!$A$2:$A$391)</f>
        <v>PO10157</v>
      </c>
    </row>
    <row r="2337" spans="1:14" x14ac:dyDescent="0.2">
      <c r="A2337" t="s">
        <v>2346</v>
      </c>
      <c r="B2337" s="2">
        <v>46309</v>
      </c>
      <c r="C2337" t="s">
        <v>2939</v>
      </c>
      <c r="D2337" t="s">
        <v>2947</v>
      </c>
      <c r="E2337" t="s">
        <v>3107</v>
      </c>
      <c r="F2337" s="3">
        <v>46309.961739747727</v>
      </c>
      <c r="G2337" s="3">
        <v>46309.984353441992</v>
      </c>
      <c r="H2337">
        <v>32.56</v>
      </c>
      <c r="I2337" t="s">
        <v>3150</v>
      </c>
      <c r="J2337" t="s">
        <v>3163</v>
      </c>
      <c r="K2337" t="s">
        <v>3179</v>
      </c>
      <c r="L2337" t="str">
        <f>_xlfn.XLOOKUP(C2337,[1]!Table1[Shift_ID],[1]!Table1[Shift_ID])</f>
        <v>S03</v>
      </c>
      <c r="M2337" t="str">
        <f>_xlfn.XLOOKUP(D2337,[2]!Table1[Machine_ID],[2]!Table1[Machine_ID])</f>
        <v>M006</v>
      </c>
      <c r="N2337" t="str">
        <f>_xlfn.XLOOKUP(E2337,[3]Sheet1!$A$2:$A$391,[3]Sheet1!$A$2:$A$391)</f>
        <v>PO10157</v>
      </c>
    </row>
    <row r="2338" spans="1:14" x14ac:dyDescent="0.2">
      <c r="A2338" t="s">
        <v>2347</v>
      </c>
      <c r="B2338" s="2">
        <v>46309</v>
      </c>
      <c r="C2338" t="s">
        <v>2939</v>
      </c>
      <c r="D2338" t="s">
        <v>2948</v>
      </c>
      <c r="E2338" t="s">
        <v>3107</v>
      </c>
      <c r="F2338" s="3">
        <v>46310.051508046607</v>
      </c>
      <c r="G2338" s="3">
        <v>46310.068686294508</v>
      </c>
      <c r="H2338">
        <v>24.74</v>
      </c>
      <c r="I2338" t="s">
        <v>3149</v>
      </c>
      <c r="J2338" t="s">
        <v>3162</v>
      </c>
      <c r="K2338" t="s">
        <v>3176</v>
      </c>
      <c r="L2338" t="str">
        <f>_xlfn.XLOOKUP(C2338,[1]!Table1[Shift_ID],[1]!Table1[Shift_ID])</f>
        <v>S03</v>
      </c>
      <c r="M2338" t="str">
        <f>_xlfn.XLOOKUP(D2338,[2]!Table1[Machine_ID],[2]!Table1[Machine_ID])</f>
        <v>M007</v>
      </c>
      <c r="N2338" t="str">
        <f>_xlfn.XLOOKUP(E2338,[3]Sheet1!$A$2:$A$391,[3]Sheet1!$A$2:$A$391)</f>
        <v>PO10157</v>
      </c>
    </row>
    <row r="2339" spans="1:14" x14ac:dyDescent="0.2">
      <c r="A2339" t="s">
        <v>2348</v>
      </c>
      <c r="B2339" s="2">
        <v>46309</v>
      </c>
      <c r="C2339" t="s">
        <v>2939</v>
      </c>
      <c r="D2339" t="s">
        <v>2949</v>
      </c>
      <c r="E2339" t="s">
        <v>3107</v>
      </c>
      <c r="F2339" s="3">
        <v>46309.988211306867</v>
      </c>
      <c r="G2339" s="3">
        <v>46309.993211432193</v>
      </c>
      <c r="H2339">
        <v>7.2</v>
      </c>
      <c r="I2339" t="s">
        <v>3148</v>
      </c>
      <c r="J2339" t="s">
        <v>3165</v>
      </c>
      <c r="K2339" t="s">
        <v>3180</v>
      </c>
      <c r="L2339" t="str">
        <f>_xlfn.XLOOKUP(C2339,[1]!Table1[Shift_ID],[1]!Table1[Shift_ID])</f>
        <v>S03</v>
      </c>
      <c r="M2339" t="str">
        <f>_xlfn.XLOOKUP(D2339,[2]!Table1[Machine_ID],[2]!Table1[Machine_ID])</f>
        <v>M008</v>
      </c>
      <c r="N2339" t="str">
        <f>_xlfn.XLOOKUP(E2339,[3]Sheet1!$A$2:$A$391,[3]Sheet1!$A$2:$A$391)</f>
        <v>PO10157</v>
      </c>
    </row>
    <row r="2340" spans="1:14" x14ac:dyDescent="0.2">
      <c r="A2340" t="s">
        <v>2349</v>
      </c>
      <c r="B2340" s="2">
        <v>46309</v>
      </c>
      <c r="C2340" t="s">
        <v>2940</v>
      </c>
      <c r="D2340" t="s">
        <v>2942</v>
      </c>
      <c r="E2340" t="s">
        <v>3108</v>
      </c>
      <c r="F2340" s="3">
        <v>46309.304562490834</v>
      </c>
      <c r="G2340" s="3">
        <v>46309.30735696639</v>
      </c>
      <c r="H2340">
        <v>4.0199999999999996</v>
      </c>
      <c r="I2340" t="s">
        <v>3148</v>
      </c>
      <c r="J2340" t="s">
        <v>3165</v>
      </c>
      <c r="K2340" t="s">
        <v>3183</v>
      </c>
      <c r="L2340" t="str">
        <f>_xlfn.XLOOKUP(C2340,[1]!Table1[Shift_ID],[1]!Table1[Shift_ID])</f>
        <v>S01</v>
      </c>
      <c r="M2340" t="str">
        <f>_xlfn.XLOOKUP(D2340,[2]!Table1[Machine_ID],[2]!Table1[Machine_ID])</f>
        <v>M001</v>
      </c>
      <c r="N2340" t="str">
        <f>_xlfn.XLOOKUP(E2340,[3]Sheet1!$A$2:$A$391,[3]Sheet1!$A$2:$A$391)</f>
        <v>PO10158</v>
      </c>
    </row>
    <row r="2341" spans="1:14" x14ac:dyDescent="0.2">
      <c r="A2341" t="s">
        <v>2350</v>
      </c>
      <c r="B2341" s="2">
        <v>46309</v>
      </c>
      <c r="C2341" t="s">
        <v>2940</v>
      </c>
      <c r="D2341" t="s">
        <v>2942</v>
      </c>
      <c r="E2341" t="s">
        <v>3108</v>
      </c>
      <c r="F2341" s="3">
        <v>46309.319690707329</v>
      </c>
      <c r="G2341" s="3">
        <v>46309.321891294727</v>
      </c>
      <c r="H2341">
        <v>3.17</v>
      </c>
      <c r="I2341" t="s">
        <v>3146</v>
      </c>
      <c r="J2341" t="s">
        <v>3157</v>
      </c>
      <c r="K2341" t="s">
        <v>3174</v>
      </c>
      <c r="L2341" t="str">
        <f>_xlfn.XLOOKUP(C2341,[1]!Table1[Shift_ID],[1]!Table1[Shift_ID])</f>
        <v>S01</v>
      </c>
      <c r="M2341" t="str">
        <f>_xlfn.XLOOKUP(D2341,[2]!Table1[Machine_ID],[2]!Table1[Machine_ID])</f>
        <v>M001</v>
      </c>
      <c r="N2341" t="str">
        <f>_xlfn.XLOOKUP(E2341,[3]Sheet1!$A$2:$A$391,[3]Sheet1!$A$2:$A$391)</f>
        <v>PO10158</v>
      </c>
    </row>
    <row r="2342" spans="1:14" x14ac:dyDescent="0.2">
      <c r="A2342" t="s">
        <v>2351</v>
      </c>
      <c r="B2342" s="2">
        <v>46309</v>
      </c>
      <c r="C2342" t="s">
        <v>2940</v>
      </c>
      <c r="D2342" t="s">
        <v>2942</v>
      </c>
      <c r="E2342" t="s">
        <v>3108</v>
      </c>
      <c r="F2342" s="3">
        <v>46309.492879716192</v>
      </c>
      <c r="G2342" s="3">
        <v>46309.494554375589</v>
      </c>
      <c r="H2342">
        <v>2.41</v>
      </c>
      <c r="I2342" t="s">
        <v>3151</v>
      </c>
      <c r="J2342" t="s">
        <v>3161</v>
      </c>
      <c r="K2342" t="s">
        <v>3187</v>
      </c>
      <c r="L2342" t="str">
        <f>_xlfn.XLOOKUP(C2342,[1]!Table1[Shift_ID],[1]!Table1[Shift_ID])</f>
        <v>S01</v>
      </c>
      <c r="M2342" t="str">
        <f>_xlfn.XLOOKUP(D2342,[2]!Table1[Machine_ID],[2]!Table1[Machine_ID])</f>
        <v>M001</v>
      </c>
      <c r="N2342" t="str">
        <f>_xlfn.XLOOKUP(E2342,[3]Sheet1!$A$2:$A$391,[3]Sheet1!$A$2:$A$391)</f>
        <v>PO10158</v>
      </c>
    </row>
    <row r="2343" spans="1:14" x14ac:dyDescent="0.2">
      <c r="A2343" t="s">
        <v>2352</v>
      </c>
      <c r="B2343" s="2">
        <v>46309</v>
      </c>
      <c r="C2343" t="s">
        <v>2940</v>
      </c>
      <c r="D2343" t="s">
        <v>2943</v>
      </c>
      <c r="E2343" t="s">
        <v>3108</v>
      </c>
      <c r="F2343" s="3">
        <v>46309.272820218932</v>
      </c>
      <c r="G2343" s="3">
        <v>46309.274054028261</v>
      </c>
      <c r="H2343">
        <v>1.78</v>
      </c>
      <c r="I2343" t="s">
        <v>3146</v>
      </c>
      <c r="J2343" t="s">
        <v>3156</v>
      </c>
      <c r="K2343" t="s">
        <v>3175</v>
      </c>
      <c r="L2343" t="str">
        <f>_xlfn.XLOOKUP(C2343,[1]!Table1[Shift_ID],[1]!Table1[Shift_ID])</f>
        <v>S01</v>
      </c>
      <c r="M2343" t="str">
        <f>_xlfn.XLOOKUP(D2343,[2]!Table1[Machine_ID],[2]!Table1[Machine_ID])</f>
        <v>M002</v>
      </c>
      <c r="N2343" t="str">
        <f>_xlfn.XLOOKUP(E2343,[3]Sheet1!$A$2:$A$391,[3]Sheet1!$A$2:$A$391)</f>
        <v>PO10158</v>
      </c>
    </row>
    <row r="2344" spans="1:14" x14ac:dyDescent="0.2">
      <c r="A2344" t="s">
        <v>2353</v>
      </c>
      <c r="B2344" s="2">
        <v>46309</v>
      </c>
      <c r="C2344" t="s">
        <v>2940</v>
      </c>
      <c r="D2344" t="s">
        <v>2943</v>
      </c>
      <c r="E2344" t="s">
        <v>3108</v>
      </c>
      <c r="F2344" s="3">
        <v>46309.281275365691</v>
      </c>
      <c r="G2344" s="3">
        <v>46309.28250917502</v>
      </c>
      <c r="H2344">
        <v>1.78</v>
      </c>
      <c r="I2344" t="s">
        <v>3148</v>
      </c>
      <c r="J2344" t="s">
        <v>3165</v>
      </c>
      <c r="K2344" t="s">
        <v>3173</v>
      </c>
      <c r="L2344" t="str">
        <f>_xlfn.XLOOKUP(C2344,[1]!Table1[Shift_ID],[1]!Table1[Shift_ID])</f>
        <v>S01</v>
      </c>
      <c r="M2344" t="str">
        <f>_xlfn.XLOOKUP(D2344,[2]!Table1[Machine_ID],[2]!Table1[Machine_ID])</f>
        <v>M002</v>
      </c>
      <c r="N2344" t="str">
        <f>_xlfn.XLOOKUP(E2344,[3]Sheet1!$A$2:$A$391,[3]Sheet1!$A$2:$A$391)</f>
        <v>PO10158</v>
      </c>
    </row>
    <row r="2345" spans="1:14" x14ac:dyDescent="0.2">
      <c r="A2345" t="s">
        <v>2354</v>
      </c>
      <c r="B2345" s="2">
        <v>46309</v>
      </c>
      <c r="C2345" t="s">
        <v>2940</v>
      </c>
      <c r="D2345" t="s">
        <v>2943</v>
      </c>
      <c r="E2345" t="s">
        <v>3108</v>
      </c>
      <c r="F2345" s="3">
        <v>46309.338718710584</v>
      </c>
      <c r="G2345" s="3">
        <v>46309.339952519913</v>
      </c>
      <c r="H2345">
        <v>1.78</v>
      </c>
      <c r="I2345" t="s">
        <v>3151</v>
      </c>
      <c r="J2345" t="s">
        <v>3170</v>
      </c>
      <c r="K2345" t="s">
        <v>3188</v>
      </c>
      <c r="L2345" t="str">
        <f>_xlfn.XLOOKUP(C2345,[1]!Table1[Shift_ID],[1]!Table1[Shift_ID])</f>
        <v>S01</v>
      </c>
      <c r="M2345" t="str">
        <f>_xlfn.XLOOKUP(D2345,[2]!Table1[Machine_ID],[2]!Table1[Machine_ID])</f>
        <v>M002</v>
      </c>
      <c r="N2345" t="str">
        <f>_xlfn.XLOOKUP(E2345,[3]Sheet1!$A$2:$A$391,[3]Sheet1!$A$2:$A$391)</f>
        <v>PO10158</v>
      </c>
    </row>
    <row r="2346" spans="1:14" x14ac:dyDescent="0.2">
      <c r="A2346" t="s">
        <v>2355</v>
      </c>
      <c r="B2346" s="2">
        <v>46309</v>
      </c>
      <c r="C2346" t="s">
        <v>2940</v>
      </c>
      <c r="D2346" t="s">
        <v>2943</v>
      </c>
      <c r="E2346" t="s">
        <v>3108</v>
      </c>
      <c r="F2346" s="3">
        <v>46309.380839699632</v>
      </c>
      <c r="G2346" s="3">
        <v>46309.382073508961</v>
      </c>
      <c r="H2346">
        <v>1.78</v>
      </c>
      <c r="I2346" t="s">
        <v>3149</v>
      </c>
      <c r="J2346" t="s">
        <v>3158</v>
      </c>
      <c r="K2346" t="s">
        <v>3182</v>
      </c>
      <c r="L2346" t="str">
        <f>_xlfn.XLOOKUP(C2346,[1]!Table1[Shift_ID],[1]!Table1[Shift_ID])</f>
        <v>S01</v>
      </c>
      <c r="M2346" t="str">
        <f>_xlfn.XLOOKUP(D2346,[2]!Table1[Machine_ID],[2]!Table1[Machine_ID])</f>
        <v>M002</v>
      </c>
      <c r="N2346" t="str">
        <f>_xlfn.XLOOKUP(E2346,[3]Sheet1!$A$2:$A$391,[3]Sheet1!$A$2:$A$391)</f>
        <v>PO10158</v>
      </c>
    </row>
    <row r="2347" spans="1:14" x14ac:dyDescent="0.2">
      <c r="A2347" t="s">
        <v>2356</v>
      </c>
      <c r="B2347" s="2">
        <v>46309</v>
      </c>
      <c r="C2347" t="s">
        <v>2940</v>
      </c>
      <c r="D2347" t="s">
        <v>2943</v>
      </c>
      <c r="E2347" t="s">
        <v>3108</v>
      </c>
      <c r="F2347" s="3">
        <v>46309.423599873458</v>
      </c>
      <c r="G2347" s="3">
        <v>46309.425173742253</v>
      </c>
      <c r="H2347">
        <v>2.27</v>
      </c>
      <c r="I2347" t="s">
        <v>3147</v>
      </c>
      <c r="J2347" t="s">
        <v>3167</v>
      </c>
      <c r="K2347" t="s">
        <v>3186</v>
      </c>
      <c r="L2347" t="str">
        <f>_xlfn.XLOOKUP(C2347,[1]!Table1[Shift_ID],[1]!Table1[Shift_ID])</f>
        <v>S01</v>
      </c>
      <c r="M2347" t="str">
        <f>_xlfn.XLOOKUP(D2347,[2]!Table1[Machine_ID],[2]!Table1[Machine_ID])</f>
        <v>M002</v>
      </c>
      <c r="N2347" t="str">
        <f>_xlfn.XLOOKUP(E2347,[3]Sheet1!$A$2:$A$391,[3]Sheet1!$A$2:$A$391)</f>
        <v>PO10158</v>
      </c>
    </row>
    <row r="2348" spans="1:14" x14ac:dyDescent="0.2">
      <c r="A2348" t="s">
        <v>2357</v>
      </c>
      <c r="B2348" s="2">
        <v>46309</v>
      </c>
      <c r="C2348" t="s">
        <v>2940</v>
      </c>
      <c r="D2348" t="s">
        <v>2943</v>
      </c>
      <c r="E2348" t="s">
        <v>3108</v>
      </c>
      <c r="F2348" s="3">
        <v>46309.441942797617</v>
      </c>
      <c r="G2348" s="3">
        <v>46309.443176606947</v>
      </c>
      <c r="H2348">
        <v>1.78</v>
      </c>
      <c r="I2348" t="s">
        <v>3148</v>
      </c>
      <c r="J2348" t="s">
        <v>3164</v>
      </c>
      <c r="K2348" t="s">
        <v>3183</v>
      </c>
      <c r="L2348" t="str">
        <f>_xlfn.XLOOKUP(C2348,[1]!Table1[Shift_ID],[1]!Table1[Shift_ID])</f>
        <v>S01</v>
      </c>
      <c r="M2348" t="str">
        <f>_xlfn.XLOOKUP(D2348,[2]!Table1[Machine_ID],[2]!Table1[Machine_ID])</f>
        <v>M002</v>
      </c>
      <c r="N2348" t="str">
        <f>_xlfn.XLOOKUP(E2348,[3]Sheet1!$A$2:$A$391,[3]Sheet1!$A$2:$A$391)</f>
        <v>PO10158</v>
      </c>
    </row>
    <row r="2349" spans="1:14" x14ac:dyDescent="0.2">
      <c r="A2349" t="s">
        <v>2358</v>
      </c>
      <c r="B2349" s="2">
        <v>46309</v>
      </c>
      <c r="C2349" t="s">
        <v>2940</v>
      </c>
      <c r="D2349" t="s">
        <v>2943</v>
      </c>
      <c r="E2349" t="s">
        <v>3108</v>
      </c>
      <c r="F2349" s="3">
        <v>46309.517972995818</v>
      </c>
      <c r="G2349" s="3">
        <v>46309.519493060427</v>
      </c>
      <c r="H2349">
        <v>2.19</v>
      </c>
      <c r="I2349" t="s">
        <v>3147</v>
      </c>
      <c r="J2349" t="s">
        <v>3154</v>
      </c>
      <c r="K2349" t="s">
        <v>3186</v>
      </c>
      <c r="L2349" t="str">
        <f>_xlfn.XLOOKUP(C2349,[1]!Table1[Shift_ID],[1]!Table1[Shift_ID])</f>
        <v>S01</v>
      </c>
      <c r="M2349" t="str">
        <f>_xlfn.XLOOKUP(D2349,[2]!Table1[Machine_ID],[2]!Table1[Machine_ID])</f>
        <v>M002</v>
      </c>
      <c r="N2349" t="str">
        <f>_xlfn.XLOOKUP(E2349,[3]Sheet1!$A$2:$A$391,[3]Sheet1!$A$2:$A$391)</f>
        <v>PO10158</v>
      </c>
    </row>
    <row r="2350" spans="1:14" x14ac:dyDescent="0.2">
      <c r="A2350" t="s">
        <v>2359</v>
      </c>
      <c r="B2350" s="2">
        <v>46309</v>
      </c>
      <c r="C2350" t="s">
        <v>2940</v>
      </c>
      <c r="D2350" t="s">
        <v>2944</v>
      </c>
      <c r="E2350" t="s">
        <v>3108</v>
      </c>
      <c r="F2350" s="3">
        <v>46309.436149591551</v>
      </c>
      <c r="G2350" s="3">
        <v>46309.450381747432</v>
      </c>
      <c r="H2350">
        <v>20.49</v>
      </c>
      <c r="I2350" t="s">
        <v>3151</v>
      </c>
      <c r="J2350" t="s">
        <v>3169</v>
      </c>
      <c r="K2350" t="s">
        <v>3181</v>
      </c>
      <c r="L2350" t="str">
        <f>_xlfn.XLOOKUP(C2350,[1]!Table1[Shift_ID],[1]!Table1[Shift_ID])</f>
        <v>S01</v>
      </c>
      <c r="M2350" t="str">
        <f>_xlfn.XLOOKUP(D2350,[2]!Table1[Machine_ID],[2]!Table1[Machine_ID])</f>
        <v>M003</v>
      </c>
      <c r="N2350" t="str">
        <f>_xlfn.XLOOKUP(E2350,[3]Sheet1!$A$2:$A$391,[3]Sheet1!$A$2:$A$391)</f>
        <v>PO10158</v>
      </c>
    </row>
    <row r="2351" spans="1:14" x14ac:dyDescent="0.2">
      <c r="A2351" t="s">
        <v>2360</v>
      </c>
      <c r="B2351" s="2">
        <v>46309</v>
      </c>
      <c r="C2351" t="s">
        <v>2940</v>
      </c>
      <c r="D2351" t="s">
        <v>2945</v>
      </c>
      <c r="E2351" t="s">
        <v>3108</v>
      </c>
      <c r="F2351" s="3">
        <v>46309.280215487452</v>
      </c>
      <c r="G2351" s="3">
        <v>46309.282618126861</v>
      </c>
      <c r="H2351">
        <v>3.46</v>
      </c>
      <c r="I2351" t="s">
        <v>3149</v>
      </c>
      <c r="J2351" t="s">
        <v>3168</v>
      </c>
      <c r="K2351" t="s">
        <v>3184</v>
      </c>
      <c r="L2351" t="str">
        <f>_xlfn.XLOOKUP(C2351,[1]!Table1[Shift_ID],[1]!Table1[Shift_ID])</f>
        <v>S01</v>
      </c>
      <c r="M2351" t="str">
        <f>_xlfn.XLOOKUP(D2351,[2]!Table1[Machine_ID],[2]!Table1[Machine_ID])</f>
        <v>M004</v>
      </c>
      <c r="N2351" t="str">
        <f>_xlfn.XLOOKUP(E2351,[3]Sheet1!$A$2:$A$391,[3]Sheet1!$A$2:$A$391)</f>
        <v>PO10158</v>
      </c>
    </row>
    <row r="2352" spans="1:14" x14ac:dyDescent="0.2">
      <c r="A2352" t="s">
        <v>2361</v>
      </c>
      <c r="B2352" s="2">
        <v>46309</v>
      </c>
      <c r="C2352" t="s">
        <v>2940</v>
      </c>
      <c r="D2352" t="s">
        <v>2945</v>
      </c>
      <c r="E2352" t="s">
        <v>3108</v>
      </c>
      <c r="F2352" s="3">
        <v>46309.344170566277</v>
      </c>
      <c r="G2352" s="3">
        <v>46309.349597544431</v>
      </c>
      <c r="H2352">
        <v>7.81</v>
      </c>
      <c r="I2352" t="s">
        <v>3147</v>
      </c>
      <c r="J2352" t="s">
        <v>3153</v>
      </c>
      <c r="K2352" t="s">
        <v>3185</v>
      </c>
      <c r="L2352" t="str">
        <f>_xlfn.XLOOKUP(C2352,[1]!Table1[Shift_ID],[1]!Table1[Shift_ID])</f>
        <v>S01</v>
      </c>
      <c r="M2352" t="str">
        <f>_xlfn.XLOOKUP(D2352,[2]!Table1[Machine_ID],[2]!Table1[Machine_ID])</f>
        <v>M004</v>
      </c>
      <c r="N2352" t="str">
        <f>_xlfn.XLOOKUP(E2352,[3]Sheet1!$A$2:$A$391,[3]Sheet1!$A$2:$A$391)</f>
        <v>PO10158</v>
      </c>
    </row>
    <row r="2353" spans="1:14" x14ac:dyDescent="0.2">
      <c r="A2353" t="s">
        <v>2362</v>
      </c>
      <c r="B2353" s="2">
        <v>46309</v>
      </c>
      <c r="C2353" t="s">
        <v>2940</v>
      </c>
      <c r="D2353" t="s">
        <v>2945</v>
      </c>
      <c r="E2353" t="s">
        <v>3108</v>
      </c>
      <c r="F2353" s="3">
        <v>46309.430729188171</v>
      </c>
      <c r="G2353" s="3">
        <v>46309.432490708568</v>
      </c>
      <c r="H2353">
        <v>2.54</v>
      </c>
      <c r="I2353" t="s">
        <v>3150</v>
      </c>
      <c r="J2353" t="s">
        <v>3159</v>
      </c>
      <c r="K2353" t="s">
        <v>3177</v>
      </c>
      <c r="L2353" t="str">
        <f>_xlfn.XLOOKUP(C2353,[1]!Table1[Shift_ID],[1]!Table1[Shift_ID])</f>
        <v>S01</v>
      </c>
      <c r="M2353" t="str">
        <f>_xlfn.XLOOKUP(D2353,[2]!Table1[Machine_ID],[2]!Table1[Machine_ID])</f>
        <v>M004</v>
      </c>
      <c r="N2353" t="str">
        <f>_xlfn.XLOOKUP(E2353,[3]Sheet1!$A$2:$A$391,[3]Sheet1!$A$2:$A$391)</f>
        <v>PO10158</v>
      </c>
    </row>
    <row r="2354" spans="1:14" x14ac:dyDescent="0.2">
      <c r="A2354" t="s">
        <v>2363</v>
      </c>
      <c r="B2354" s="2">
        <v>46309</v>
      </c>
      <c r="C2354" t="s">
        <v>2940</v>
      </c>
      <c r="D2354" t="s">
        <v>2946</v>
      </c>
      <c r="E2354" t="s">
        <v>3108</v>
      </c>
      <c r="F2354" s="3">
        <v>46309.428091139664</v>
      </c>
      <c r="G2354" s="3">
        <v>46309.437957319213</v>
      </c>
      <c r="H2354">
        <v>14.21</v>
      </c>
      <c r="I2354" t="s">
        <v>3147</v>
      </c>
      <c r="J2354" t="s">
        <v>3153</v>
      </c>
      <c r="K2354" t="s">
        <v>3185</v>
      </c>
      <c r="L2354" t="str">
        <f>_xlfn.XLOOKUP(C2354,[1]!Table1[Shift_ID],[1]!Table1[Shift_ID])</f>
        <v>S01</v>
      </c>
      <c r="M2354" t="str">
        <f>_xlfn.XLOOKUP(D2354,[2]!Table1[Machine_ID],[2]!Table1[Machine_ID])</f>
        <v>M005</v>
      </c>
      <c r="N2354" t="str">
        <f>_xlfn.XLOOKUP(E2354,[3]Sheet1!$A$2:$A$391,[3]Sheet1!$A$2:$A$391)</f>
        <v>PO10158</v>
      </c>
    </row>
    <row r="2355" spans="1:14" x14ac:dyDescent="0.2">
      <c r="A2355" t="s">
        <v>2364</v>
      </c>
      <c r="B2355" s="2">
        <v>46309</v>
      </c>
      <c r="C2355" t="s">
        <v>2940</v>
      </c>
      <c r="D2355" t="s">
        <v>2947</v>
      </c>
      <c r="E2355" t="s">
        <v>3108</v>
      </c>
      <c r="F2355" s="3">
        <v>46309.327268880683</v>
      </c>
      <c r="G2355" s="3">
        <v>46309.335291680887</v>
      </c>
      <c r="H2355">
        <v>11.55</v>
      </c>
      <c r="I2355" t="s">
        <v>3150</v>
      </c>
      <c r="J2355" t="s">
        <v>3159</v>
      </c>
      <c r="K2355" t="s">
        <v>3179</v>
      </c>
      <c r="L2355" t="str">
        <f>_xlfn.XLOOKUP(C2355,[1]!Table1[Shift_ID],[1]!Table1[Shift_ID])</f>
        <v>S01</v>
      </c>
      <c r="M2355" t="str">
        <f>_xlfn.XLOOKUP(D2355,[2]!Table1[Machine_ID],[2]!Table1[Machine_ID])</f>
        <v>M006</v>
      </c>
      <c r="N2355" t="str">
        <f>_xlfn.XLOOKUP(E2355,[3]Sheet1!$A$2:$A$391,[3]Sheet1!$A$2:$A$391)</f>
        <v>PO10158</v>
      </c>
    </row>
    <row r="2356" spans="1:14" x14ac:dyDescent="0.2">
      <c r="A2356" t="s">
        <v>2365</v>
      </c>
      <c r="B2356" s="2">
        <v>46309</v>
      </c>
      <c r="C2356" t="s">
        <v>2940</v>
      </c>
      <c r="D2356" t="s">
        <v>2947</v>
      </c>
      <c r="E2356" t="s">
        <v>3108</v>
      </c>
      <c r="F2356" s="3">
        <v>46309.429479244027</v>
      </c>
      <c r="G2356" s="3">
        <v>46309.433149851619</v>
      </c>
      <c r="H2356">
        <v>5.29</v>
      </c>
      <c r="I2356" t="s">
        <v>3147</v>
      </c>
      <c r="J2356" t="s">
        <v>3154</v>
      </c>
      <c r="K2356" t="s">
        <v>3186</v>
      </c>
      <c r="L2356" t="str">
        <f>_xlfn.XLOOKUP(C2356,[1]!Table1[Shift_ID],[1]!Table1[Shift_ID])</f>
        <v>S01</v>
      </c>
      <c r="M2356" t="str">
        <f>_xlfn.XLOOKUP(D2356,[2]!Table1[Machine_ID],[2]!Table1[Machine_ID])</f>
        <v>M006</v>
      </c>
      <c r="N2356" t="str">
        <f>_xlfn.XLOOKUP(E2356,[3]Sheet1!$A$2:$A$391,[3]Sheet1!$A$2:$A$391)</f>
        <v>PO10158</v>
      </c>
    </row>
    <row r="2357" spans="1:14" x14ac:dyDescent="0.2">
      <c r="A2357" t="s">
        <v>2366</v>
      </c>
      <c r="B2357" s="2">
        <v>46309</v>
      </c>
      <c r="C2357" t="s">
        <v>2940</v>
      </c>
      <c r="D2357" t="s">
        <v>2947</v>
      </c>
      <c r="E2357" t="s">
        <v>3108</v>
      </c>
      <c r="F2357" s="3">
        <v>46309.533238662851</v>
      </c>
      <c r="G2357" s="3">
        <v>46309.550010705949</v>
      </c>
      <c r="H2357">
        <v>24.15</v>
      </c>
      <c r="I2357" t="s">
        <v>3147</v>
      </c>
      <c r="J2357" t="s">
        <v>3167</v>
      </c>
      <c r="K2357" t="s">
        <v>3185</v>
      </c>
      <c r="L2357" t="str">
        <f>_xlfn.XLOOKUP(C2357,[1]!Table1[Shift_ID],[1]!Table1[Shift_ID])</f>
        <v>S01</v>
      </c>
      <c r="M2357" t="str">
        <f>_xlfn.XLOOKUP(D2357,[2]!Table1[Machine_ID],[2]!Table1[Machine_ID])</f>
        <v>M006</v>
      </c>
      <c r="N2357" t="str">
        <f>_xlfn.XLOOKUP(E2357,[3]Sheet1!$A$2:$A$391,[3]Sheet1!$A$2:$A$391)</f>
        <v>PO10158</v>
      </c>
    </row>
    <row r="2358" spans="1:14" x14ac:dyDescent="0.2">
      <c r="A2358" t="s">
        <v>2367</v>
      </c>
      <c r="B2358" s="2">
        <v>46309</v>
      </c>
      <c r="C2358" t="s">
        <v>2940</v>
      </c>
      <c r="D2358" t="s">
        <v>2948</v>
      </c>
      <c r="E2358" t="s">
        <v>3108</v>
      </c>
      <c r="F2358" s="3">
        <v>46309.416800567487</v>
      </c>
      <c r="G2358" s="3">
        <v>46309.418784479632</v>
      </c>
      <c r="H2358">
        <v>2.86</v>
      </c>
      <c r="I2358" t="s">
        <v>3150</v>
      </c>
      <c r="J2358" t="s">
        <v>3160</v>
      </c>
      <c r="K2358" t="s">
        <v>3178</v>
      </c>
      <c r="L2358" t="str">
        <f>_xlfn.XLOOKUP(C2358,[1]!Table1[Shift_ID],[1]!Table1[Shift_ID])</f>
        <v>S01</v>
      </c>
      <c r="M2358" t="str">
        <f>_xlfn.XLOOKUP(D2358,[2]!Table1[Machine_ID],[2]!Table1[Machine_ID])</f>
        <v>M007</v>
      </c>
      <c r="N2358" t="str">
        <f>_xlfn.XLOOKUP(E2358,[3]Sheet1!$A$2:$A$391,[3]Sheet1!$A$2:$A$391)</f>
        <v>PO10158</v>
      </c>
    </row>
    <row r="2359" spans="1:14" x14ac:dyDescent="0.2">
      <c r="A2359" t="s">
        <v>2368</v>
      </c>
      <c r="B2359" s="2">
        <v>46309</v>
      </c>
      <c r="C2359" t="s">
        <v>2940</v>
      </c>
      <c r="D2359" t="s">
        <v>2948</v>
      </c>
      <c r="E2359" t="s">
        <v>3108</v>
      </c>
      <c r="F2359" s="3">
        <v>46309.442744617059</v>
      </c>
      <c r="G2359" s="3">
        <v>46309.458353044152</v>
      </c>
      <c r="H2359">
        <v>22.48</v>
      </c>
      <c r="I2359" t="s">
        <v>3150</v>
      </c>
      <c r="J2359" t="s">
        <v>3160</v>
      </c>
      <c r="K2359" t="s">
        <v>3179</v>
      </c>
      <c r="L2359" t="str">
        <f>_xlfn.XLOOKUP(C2359,[1]!Table1[Shift_ID],[1]!Table1[Shift_ID])</f>
        <v>S01</v>
      </c>
      <c r="M2359" t="str">
        <f>_xlfn.XLOOKUP(D2359,[2]!Table1[Machine_ID],[2]!Table1[Machine_ID])</f>
        <v>M007</v>
      </c>
      <c r="N2359" t="str">
        <f>_xlfn.XLOOKUP(E2359,[3]Sheet1!$A$2:$A$391,[3]Sheet1!$A$2:$A$391)</f>
        <v>PO10158</v>
      </c>
    </row>
    <row r="2360" spans="1:14" x14ac:dyDescent="0.2">
      <c r="A2360" t="s">
        <v>2369</v>
      </c>
      <c r="B2360" s="2">
        <v>46309</v>
      </c>
      <c r="C2360" t="s">
        <v>2940</v>
      </c>
      <c r="D2360" t="s">
        <v>2949</v>
      </c>
      <c r="E2360" t="s">
        <v>3108</v>
      </c>
      <c r="F2360" s="3">
        <v>46309.277977085163</v>
      </c>
      <c r="G2360" s="3">
        <v>46309.284647551678</v>
      </c>
      <c r="H2360">
        <v>9.61</v>
      </c>
      <c r="I2360" t="s">
        <v>3148</v>
      </c>
      <c r="J2360" t="s">
        <v>3164</v>
      </c>
      <c r="K2360" t="s">
        <v>3173</v>
      </c>
      <c r="L2360" t="str">
        <f>_xlfn.XLOOKUP(C2360,[1]!Table1[Shift_ID],[1]!Table1[Shift_ID])</f>
        <v>S01</v>
      </c>
      <c r="M2360" t="str">
        <f>_xlfn.XLOOKUP(D2360,[2]!Table1[Machine_ID],[2]!Table1[Machine_ID])</f>
        <v>M008</v>
      </c>
      <c r="N2360" t="str">
        <f>_xlfn.XLOOKUP(E2360,[3]Sheet1!$A$2:$A$391,[3]Sheet1!$A$2:$A$391)</f>
        <v>PO10158</v>
      </c>
    </row>
    <row r="2361" spans="1:14" x14ac:dyDescent="0.2">
      <c r="A2361" t="s">
        <v>2370</v>
      </c>
      <c r="B2361" s="2">
        <v>46309</v>
      </c>
      <c r="C2361" t="s">
        <v>2941</v>
      </c>
      <c r="D2361" t="s">
        <v>2942</v>
      </c>
      <c r="E2361" t="s">
        <v>3109</v>
      </c>
      <c r="F2361" s="3">
        <v>46309.671189694927</v>
      </c>
      <c r="G2361" s="3">
        <v>46309.672439570037</v>
      </c>
      <c r="H2361">
        <v>1.8</v>
      </c>
      <c r="I2361" t="s">
        <v>3149</v>
      </c>
      <c r="J2361" t="s">
        <v>3168</v>
      </c>
      <c r="K2361" t="s">
        <v>3182</v>
      </c>
      <c r="L2361" t="str">
        <f>_xlfn.XLOOKUP(C2361,[1]!Table1[Shift_ID],[1]!Table1[Shift_ID])</f>
        <v>S02</v>
      </c>
      <c r="M2361" t="str">
        <f>_xlfn.XLOOKUP(D2361,[2]!Table1[Machine_ID],[2]!Table1[Machine_ID])</f>
        <v>M001</v>
      </c>
      <c r="N2361" t="str">
        <f>_xlfn.XLOOKUP(E2361,[3]Sheet1!$A$2:$A$391,[3]Sheet1!$A$2:$A$391)</f>
        <v>PO10159</v>
      </c>
    </row>
    <row r="2362" spans="1:14" x14ac:dyDescent="0.2">
      <c r="A2362" t="s">
        <v>2371</v>
      </c>
      <c r="B2362" s="2">
        <v>46309</v>
      </c>
      <c r="C2362" t="s">
        <v>2941</v>
      </c>
      <c r="D2362" t="s">
        <v>2942</v>
      </c>
      <c r="E2362" t="s">
        <v>3109</v>
      </c>
      <c r="F2362" s="3">
        <v>46309.679231041213</v>
      </c>
      <c r="G2362" s="3">
        <v>46309.680480916293</v>
      </c>
      <c r="H2362">
        <v>1.8</v>
      </c>
      <c r="I2362" t="s">
        <v>3146</v>
      </c>
      <c r="J2362" t="s">
        <v>3152</v>
      </c>
      <c r="K2362" t="s">
        <v>3174</v>
      </c>
      <c r="L2362" t="str">
        <f>_xlfn.XLOOKUP(C2362,[1]!Table1[Shift_ID],[1]!Table1[Shift_ID])</f>
        <v>S02</v>
      </c>
      <c r="M2362" t="str">
        <f>_xlfn.XLOOKUP(D2362,[2]!Table1[Machine_ID],[2]!Table1[Machine_ID])</f>
        <v>M001</v>
      </c>
      <c r="N2362" t="str">
        <f>_xlfn.XLOOKUP(E2362,[3]Sheet1!$A$2:$A$391,[3]Sheet1!$A$2:$A$391)</f>
        <v>PO10159</v>
      </c>
    </row>
    <row r="2363" spans="1:14" x14ac:dyDescent="0.2">
      <c r="A2363" t="s">
        <v>2372</v>
      </c>
      <c r="B2363" s="2">
        <v>46309</v>
      </c>
      <c r="C2363" t="s">
        <v>2941</v>
      </c>
      <c r="D2363" t="s">
        <v>2942</v>
      </c>
      <c r="E2363" t="s">
        <v>3109</v>
      </c>
      <c r="F2363" s="3">
        <v>46309.697295658509</v>
      </c>
      <c r="G2363" s="3">
        <v>46309.698545533611</v>
      </c>
      <c r="H2363">
        <v>1.8</v>
      </c>
      <c r="I2363" t="s">
        <v>3150</v>
      </c>
      <c r="J2363" t="s">
        <v>3160</v>
      </c>
      <c r="K2363" t="s">
        <v>3179</v>
      </c>
      <c r="L2363" t="str">
        <f>_xlfn.XLOOKUP(C2363,[1]!Table1[Shift_ID],[1]!Table1[Shift_ID])</f>
        <v>S02</v>
      </c>
      <c r="M2363" t="str">
        <f>_xlfn.XLOOKUP(D2363,[2]!Table1[Machine_ID],[2]!Table1[Machine_ID])</f>
        <v>M001</v>
      </c>
      <c r="N2363" t="str">
        <f>_xlfn.XLOOKUP(E2363,[3]Sheet1!$A$2:$A$391,[3]Sheet1!$A$2:$A$391)</f>
        <v>PO10159</v>
      </c>
    </row>
    <row r="2364" spans="1:14" x14ac:dyDescent="0.2">
      <c r="A2364" t="s">
        <v>2373</v>
      </c>
      <c r="B2364" s="2">
        <v>46309</v>
      </c>
      <c r="C2364" t="s">
        <v>2941</v>
      </c>
      <c r="D2364" t="s">
        <v>2942</v>
      </c>
      <c r="E2364" t="s">
        <v>3109</v>
      </c>
      <c r="F2364" s="3">
        <v>46309.835838981329</v>
      </c>
      <c r="G2364" s="3">
        <v>46309.837088856439</v>
      </c>
      <c r="H2364">
        <v>1.8</v>
      </c>
      <c r="I2364" t="s">
        <v>3151</v>
      </c>
      <c r="J2364" t="s">
        <v>3161</v>
      </c>
      <c r="K2364" t="s">
        <v>3188</v>
      </c>
      <c r="L2364" t="str">
        <f>_xlfn.XLOOKUP(C2364,[1]!Table1[Shift_ID],[1]!Table1[Shift_ID])</f>
        <v>S02</v>
      </c>
      <c r="M2364" t="str">
        <f>_xlfn.XLOOKUP(D2364,[2]!Table1[Machine_ID],[2]!Table1[Machine_ID])</f>
        <v>M001</v>
      </c>
      <c r="N2364" t="str">
        <f>_xlfn.XLOOKUP(E2364,[3]Sheet1!$A$2:$A$391,[3]Sheet1!$A$2:$A$391)</f>
        <v>PO10159</v>
      </c>
    </row>
    <row r="2365" spans="1:14" x14ac:dyDescent="0.2">
      <c r="A2365" t="s">
        <v>2374</v>
      </c>
      <c r="B2365" s="2">
        <v>46309</v>
      </c>
      <c r="C2365" t="s">
        <v>2941</v>
      </c>
      <c r="D2365" t="s">
        <v>2942</v>
      </c>
      <c r="E2365" t="s">
        <v>3109</v>
      </c>
      <c r="F2365" s="3">
        <v>46309.876978448898</v>
      </c>
      <c r="G2365" s="3">
        <v>46309.879244789561</v>
      </c>
      <c r="H2365">
        <v>3.26</v>
      </c>
      <c r="I2365" t="s">
        <v>3149</v>
      </c>
      <c r="J2365" t="s">
        <v>3168</v>
      </c>
      <c r="K2365" t="s">
        <v>3182</v>
      </c>
      <c r="L2365" t="str">
        <f>_xlfn.XLOOKUP(C2365,[1]!Table1[Shift_ID],[1]!Table1[Shift_ID])</f>
        <v>S02</v>
      </c>
      <c r="M2365" t="str">
        <f>_xlfn.XLOOKUP(D2365,[2]!Table1[Machine_ID],[2]!Table1[Machine_ID])</f>
        <v>M001</v>
      </c>
      <c r="N2365" t="str">
        <f>_xlfn.XLOOKUP(E2365,[3]Sheet1!$A$2:$A$391,[3]Sheet1!$A$2:$A$391)</f>
        <v>PO10159</v>
      </c>
    </row>
    <row r="2366" spans="1:14" x14ac:dyDescent="0.2">
      <c r="A2366" t="s">
        <v>2375</v>
      </c>
      <c r="B2366" s="2">
        <v>46309</v>
      </c>
      <c r="C2366" t="s">
        <v>2941</v>
      </c>
      <c r="D2366" t="s">
        <v>2943</v>
      </c>
      <c r="E2366" t="s">
        <v>3109</v>
      </c>
      <c r="F2366" s="3">
        <v>46309.890324185108</v>
      </c>
      <c r="G2366" s="3">
        <v>46309.897265717962</v>
      </c>
      <c r="H2366">
        <v>10</v>
      </c>
      <c r="I2366" t="s">
        <v>3150</v>
      </c>
      <c r="J2366" t="s">
        <v>3160</v>
      </c>
      <c r="K2366" t="s">
        <v>3178</v>
      </c>
      <c r="L2366" t="str">
        <f>_xlfn.XLOOKUP(C2366,[1]!Table1[Shift_ID],[1]!Table1[Shift_ID])</f>
        <v>S02</v>
      </c>
      <c r="M2366" t="str">
        <f>_xlfn.XLOOKUP(D2366,[2]!Table1[Machine_ID],[2]!Table1[Machine_ID])</f>
        <v>M002</v>
      </c>
      <c r="N2366" t="str">
        <f>_xlfn.XLOOKUP(E2366,[3]Sheet1!$A$2:$A$391,[3]Sheet1!$A$2:$A$391)</f>
        <v>PO10159</v>
      </c>
    </row>
    <row r="2367" spans="1:14" x14ac:dyDescent="0.2">
      <c r="A2367" t="s">
        <v>2376</v>
      </c>
      <c r="B2367" s="2">
        <v>46309</v>
      </c>
      <c r="C2367" t="s">
        <v>2941</v>
      </c>
      <c r="D2367" t="s">
        <v>2944</v>
      </c>
      <c r="E2367" t="s">
        <v>3109</v>
      </c>
      <c r="F2367" s="3">
        <v>46309.605762799911</v>
      </c>
      <c r="G2367" s="3">
        <v>46309.611720933877</v>
      </c>
      <c r="H2367">
        <v>8.58</v>
      </c>
      <c r="I2367" t="s">
        <v>3148</v>
      </c>
      <c r="J2367" t="s">
        <v>3164</v>
      </c>
      <c r="K2367" t="s">
        <v>3183</v>
      </c>
      <c r="L2367" t="str">
        <f>_xlfn.XLOOKUP(C2367,[1]!Table1[Shift_ID],[1]!Table1[Shift_ID])</f>
        <v>S02</v>
      </c>
      <c r="M2367" t="str">
        <f>_xlfn.XLOOKUP(D2367,[2]!Table1[Machine_ID],[2]!Table1[Machine_ID])</f>
        <v>M003</v>
      </c>
      <c r="N2367" t="str">
        <f>_xlfn.XLOOKUP(E2367,[3]Sheet1!$A$2:$A$391,[3]Sheet1!$A$2:$A$391)</f>
        <v>PO10159</v>
      </c>
    </row>
    <row r="2368" spans="1:14" x14ac:dyDescent="0.2">
      <c r="A2368" t="s">
        <v>2377</v>
      </c>
      <c r="B2368" s="2">
        <v>46309</v>
      </c>
      <c r="C2368" t="s">
        <v>2941</v>
      </c>
      <c r="D2368" t="s">
        <v>2944</v>
      </c>
      <c r="E2368" t="s">
        <v>3109</v>
      </c>
      <c r="F2368" s="3">
        <v>46309.747470658309</v>
      </c>
      <c r="G2368" s="3">
        <v>46309.752939247242</v>
      </c>
      <c r="H2368">
        <v>7.87</v>
      </c>
      <c r="I2368" t="s">
        <v>3150</v>
      </c>
      <c r="J2368" t="s">
        <v>3160</v>
      </c>
      <c r="K2368" t="s">
        <v>3179</v>
      </c>
      <c r="L2368" t="str">
        <f>_xlfn.XLOOKUP(C2368,[1]!Table1[Shift_ID],[1]!Table1[Shift_ID])</f>
        <v>S02</v>
      </c>
      <c r="M2368" t="str">
        <f>_xlfn.XLOOKUP(D2368,[2]!Table1[Machine_ID],[2]!Table1[Machine_ID])</f>
        <v>M003</v>
      </c>
      <c r="N2368" t="str">
        <f>_xlfn.XLOOKUP(E2368,[3]Sheet1!$A$2:$A$391,[3]Sheet1!$A$2:$A$391)</f>
        <v>PO10159</v>
      </c>
    </row>
    <row r="2369" spans="1:14" x14ac:dyDescent="0.2">
      <c r="A2369" t="s">
        <v>2378</v>
      </c>
      <c r="B2369" s="2">
        <v>46309</v>
      </c>
      <c r="C2369" t="s">
        <v>2941</v>
      </c>
      <c r="D2369" t="s">
        <v>2945</v>
      </c>
      <c r="E2369" t="s">
        <v>3109</v>
      </c>
      <c r="F2369" s="3">
        <v>46309.641923078401</v>
      </c>
      <c r="G2369" s="3">
        <v>46309.64963452013</v>
      </c>
      <c r="H2369">
        <v>11.1</v>
      </c>
      <c r="I2369" t="s">
        <v>3146</v>
      </c>
      <c r="J2369" t="s">
        <v>3156</v>
      </c>
      <c r="K2369" t="s">
        <v>3175</v>
      </c>
      <c r="L2369" t="str">
        <f>_xlfn.XLOOKUP(C2369,[1]!Table1[Shift_ID],[1]!Table1[Shift_ID])</f>
        <v>S02</v>
      </c>
      <c r="M2369" t="str">
        <f>_xlfn.XLOOKUP(D2369,[2]!Table1[Machine_ID],[2]!Table1[Machine_ID])</f>
        <v>M004</v>
      </c>
      <c r="N2369" t="str">
        <f>_xlfn.XLOOKUP(E2369,[3]Sheet1!$A$2:$A$391,[3]Sheet1!$A$2:$A$391)</f>
        <v>PO10159</v>
      </c>
    </row>
    <row r="2370" spans="1:14" x14ac:dyDescent="0.2">
      <c r="A2370" t="s">
        <v>2379</v>
      </c>
      <c r="B2370" s="2">
        <v>46309</v>
      </c>
      <c r="C2370" t="s">
        <v>2941</v>
      </c>
      <c r="D2370" t="s">
        <v>2946</v>
      </c>
      <c r="E2370" t="s">
        <v>3109</v>
      </c>
      <c r="F2370" s="3">
        <v>46309.65440791766</v>
      </c>
      <c r="G2370" s="3">
        <v>46309.661833618367</v>
      </c>
      <c r="H2370">
        <v>10.69</v>
      </c>
      <c r="I2370" t="s">
        <v>3147</v>
      </c>
      <c r="J2370" t="s">
        <v>3153</v>
      </c>
      <c r="K2370" t="s">
        <v>3172</v>
      </c>
      <c r="L2370" t="str">
        <f>_xlfn.XLOOKUP(C2370,[1]!Table1[Shift_ID],[1]!Table1[Shift_ID])</f>
        <v>S02</v>
      </c>
      <c r="M2370" t="str">
        <f>_xlfn.XLOOKUP(D2370,[2]!Table1[Machine_ID],[2]!Table1[Machine_ID])</f>
        <v>M005</v>
      </c>
      <c r="N2370" t="str">
        <f>_xlfn.XLOOKUP(E2370,[3]Sheet1!$A$2:$A$391,[3]Sheet1!$A$2:$A$391)</f>
        <v>PO10159</v>
      </c>
    </row>
    <row r="2371" spans="1:14" x14ac:dyDescent="0.2">
      <c r="A2371" t="s">
        <v>2380</v>
      </c>
      <c r="B2371" s="2">
        <v>46309</v>
      </c>
      <c r="C2371" t="s">
        <v>2941</v>
      </c>
      <c r="D2371" t="s">
        <v>2947</v>
      </c>
      <c r="E2371" t="s">
        <v>3109</v>
      </c>
      <c r="F2371" s="3">
        <v>46309.613220052597</v>
      </c>
      <c r="G2371" s="3">
        <v>46309.636064964747</v>
      </c>
      <c r="H2371">
        <v>32.9</v>
      </c>
      <c r="I2371" t="s">
        <v>3150</v>
      </c>
      <c r="J2371" t="s">
        <v>3163</v>
      </c>
      <c r="K2371" t="s">
        <v>3177</v>
      </c>
      <c r="L2371" t="str">
        <f>_xlfn.XLOOKUP(C2371,[1]!Table1[Shift_ID],[1]!Table1[Shift_ID])</f>
        <v>S02</v>
      </c>
      <c r="M2371" t="str">
        <f>_xlfn.XLOOKUP(D2371,[2]!Table1[Machine_ID],[2]!Table1[Machine_ID])</f>
        <v>M006</v>
      </c>
      <c r="N2371" t="str">
        <f>_xlfn.XLOOKUP(E2371,[3]Sheet1!$A$2:$A$391,[3]Sheet1!$A$2:$A$391)</f>
        <v>PO10159</v>
      </c>
    </row>
    <row r="2372" spans="1:14" x14ac:dyDescent="0.2">
      <c r="A2372" t="s">
        <v>2381</v>
      </c>
      <c r="B2372" s="2">
        <v>46309</v>
      </c>
      <c r="C2372" t="s">
        <v>2941</v>
      </c>
      <c r="D2372" t="s">
        <v>2948</v>
      </c>
      <c r="E2372" t="s">
        <v>3109</v>
      </c>
      <c r="F2372" s="3">
        <v>46309.651150936712</v>
      </c>
      <c r="G2372" s="3">
        <v>46309.665046006718</v>
      </c>
      <c r="H2372">
        <v>20.010000000000002</v>
      </c>
      <c r="I2372" t="s">
        <v>3146</v>
      </c>
      <c r="J2372" t="s">
        <v>3157</v>
      </c>
      <c r="K2372" t="s">
        <v>3174</v>
      </c>
      <c r="L2372" t="str">
        <f>_xlfn.XLOOKUP(C2372,[1]!Table1[Shift_ID],[1]!Table1[Shift_ID])</f>
        <v>S02</v>
      </c>
      <c r="M2372" t="str">
        <f>_xlfn.XLOOKUP(D2372,[2]!Table1[Machine_ID],[2]!Table1[Machine_ID])</f>
        <v>M007</v>
      </c>
      <c r="N2372" t="str">
        <f>_xlfn.XLOOKUP(E2372,[3]Sheet1!$A$2:$A$391,[3]Sheet1!$A$2:$A$391)</f>
        <v>PO10159</v>
      </c>
    </row>
    <row r="2373" spans="1:14" x14ac:dyDescent="0.2">
      <c r="A2373" t="s">
        <v>2382</v>
      </c>
      <c r="B2373" s="2">
        <v>46309</v>
      </c>
      <c r="C2373" t="s">
        <v>2941</v>
      </c>
      <c r="D2373" t="s">
        <v>2949</v>
      </c>
      <c r="E2373" t="s">
        <v>3109</v>
      </c>
      <c r="F2373" s="3">
        <v>46309.68285484083</v>
      </c>
      <c r="G2373" s="3">
        <v>46309.685813239332</v>
      </c>
      <c r="H2373">
        <v>4.26</v>
      </c>
      <c r="I2373" t="s">
        <v>3148</v>
      </c>
      <c r="J2373" t="s">
        <v>3165</v>
      </c>
      <c r="K2373" t="s">
        <v>3183</v>
      </c>
      <c r="L2373" t="str">
        <f>_xlfn.XLOOKUP(C2373,[1]!Table1[Shift_ID],[1]!Table1[Shift_ID])</f>
        <v>S02</v>
      </c>
      <c r="M2373" t="str">
        <f>_xlfn.XLOOKUP(D2373,[2]!Table1[Machine_ID],[2]!Table1[Machine_ID])</f>
        <v>M008</v>
      </c>
      <c r="N2373" t="str">
        <f>_xlfn.XLOOKUP(E2373,[3]Sheet1!$A$2:$A$391,[3]Sheet1!$A$2:$A$391)</f>
        <v>PO10159</v>
      </c>
    </row>
    <row r="2374" spans="1:14" x14ac:dyDescent="0.2">
      <c r="A2374" t="s">
        <v>2383</v>
      </c>
      <c r="B2374" s="2">
        <v>46309</v>
      </c>
      <c r="C2374" t="s">
        <v>2941</v>
      </c>
      <c r="D2374" t="s">
        <v>2949</v>
      </c>
      <c r="E2374" t="s">
        <v>3109</v>
      </c>
      <c r="F2374" s="3">
        <v>46309.855262671626</v>
      </c>
      <c r="G2374" s="3">
        <v>46309.858580229593</v>
      </c>
      <c r="H2374">
        <v>4.78</v>
      </c>
      <c r="I2374" t="s">
        <v>3149</v>
      </c>
      <c r="J2374" t="s">
        <v>3162</v>
      </c>
      <c r="K2374" t="s">
        <v>3184</v>
      </c>
      <c r="L2374" t="str">
        <f>_xlfn.XLOOKUP(C2374,[1]!Table1[Shift_ID],[1]!Table1[Shift_ID])</f>
        <v>S02</v>
      </c>
      <c r="M2374" t="str">
        <f>_xlfn.XLOOKUP(D2374,[2]!Table1[Machine_ID],[2]!Table1[Machine_ID])</f>
        <v>M008</v>
      </c>
      <c r="N2374" t="str">
        <f>_xlfn.XLOOKUP(E2374,[3]Sheet1!$A$2:$A$391,[3]Sheet1!$A$2:$A$391)</f>
        <v>PO10159</v>
      </c>
    </row>
    <row r="2375" spans="1:14" x14ac:dyDescent="0.2">
      <c r="A2375" t="s">
        <v>2384</v>
      </c>
      <c r="B2375" s="2">
        <v>46310</v>
      </c>
      <c r="C2375" t="s">
        <v>2939</v>
      </c>
      <c r="D2375" t="s">
        <v>2942</v>
      </c>
      <c r="E2375" t="s">
        <v>3110</v>
      </c>
      <c r="F2375" s="3">
        <v>46310.957097868682</v>
      </c>
      <c r="G2375" s="3">
        <v>46310.959046419652</v>
      </c>
      <c r="H2375">
        <v>2.81</v>
      </c>
      <c r="I2375" t="s">
        <v>3146</v>
      </c>
      <c r="J2375" t="s">
        <v>3156</v>
      </c>
      <c r="K2375" t="s">
        <v>3174</v>
      </c>
      <c r="L2375" t="str">
        <f>_xlfn.XLOOKUP(C2375,[1]!Table1[Shift_ID],[1]!Table1[Shift_ID])</f>
        <v>S03</v>
      </c>
      <c r="M2375" t="str">
        <f>_xlfn.XLOOKUP(D2375,[2]!Table1[Machine_ID],[2]!Table1[Machine_ID])</f>
        <v>M001</v>
      </c>
      <c r="N2375" t="str">
        <f>_xlfn.XLOOKUP(E2375,[3]Sheet1!$A$2:$A$391,[3]Sheet1!$A$2:$A$391)</f>
        <v>PO10160</v>
      </c>
    </row>
    <row r="2376" spans="1:14" x14ac:dyDescent="0.2">
      <c r="A2376" t="s">
        <v>2385</v>
      </c>
      <c r="B2376" s="2">
        <v>46310</v>
      </c>
      <c r="C2376" t="s">
        <v>2939</v>
      </c>
      <c r="D2376" t="s">
        <v>2942</v>
      </c>
      <c r="E2376" t="s">
        <v>3110</v>
      </c>
      <c r="F2376" s="3">
        <v>46311.038132561422</v>
      </c>
      <c r="G2376" s="3">
        <v>46311.042435807642</v>
      </c>
      <c r="H2376">
        <v>6.2</v>
      </c>
      <c r="I2376" t="s">
        <v>3148</v>
      </c>
      <c r="J2376" t="s">
        <v>3164</v>
      </c>
      <c r="K2376" t="s">
        <v>3180</v>
      </c>
      <c r="L2376" t="str">
        <f>_xlfn.XLOOKUP(C2376,[1]!Table1[Shift_ID],[1]!Table1[Shift_ID])</f>
        <v>S03</v>
      </c>
      <c r="M2376" t="str">
        <f>_xlfn.XLOOKUP(D2376,[2]!Table1[Machine_ID],[2]!Table1[Machine_ID])</f>
        <v>M001</v>
      </c>
      <c r="N2376" t="str">
        <f>_xlfn.XLOOKUP(E2376,[3]Sheet1!$A$2:$A$391,[3]Sheet1!$A$2:$A$391)</f>
        <v>PO10160</v>
      </c>
    </row>
    <row r="2377" spans="1:14" x14ac:dyDescent="0.2">
      <c r="A2377" t="s">
        <v>2386</v>
      </c>
      <c r="B2377" s="2">
        <v>46310</v>
      </c>
      <c r="C2377" t="s">
        <v>2939</v>
      </c>
      <c r="D2377" t="s">
        <v>2943</v>
      </c>
      <c r="E2377" t="s">
        <v>3110</v>
      </c>
      <c r="F2377" s="3">
        <v>46310.951910442403</v>
      </c>
      <c r="G2377" s="3">
        <v>46310.960512842248</v>
      </c>
      <c r="H2377">
        <v>12.39</v>
      </c>
      <c r="I2377" t="s">
        <v>3149</v>
      </c>
      <c r="J2377" t="s">
        <v>3158</v>
      </c>
      <c r="K2377" t="s">
        <v>3184</v>
      </c>
      <c r="L2377" t="str">
        <f>_xlfn.XLOOKUP(C2377,[1]!Table1[Shift_ID],[1]!Table1[Shift_ID])</f>
        <v>S03</v>
      </c>
      <c r="M2377" t="str">
        <f>_xlfn.XLOOKUP(D2377,[2]!Table1[Machine_ID],[2]!Table1[Machine_ID])</f>
        <v>M002</v>
      </c>
      <c r="N2377" t="str">
        <f>_xlfn.XLOOKUP(E2377,[3]Sheet1!$A$2:$A$391,[3]Sheet1!$A$2:$A$391)</f>
        <v>PO10160</v>
      </c>
    </row>
    <row r="2378" spans="1:14" x14ac:dyDescent="0.2">
      <c r="A2378" t="s">
        <v>2387</v>
      </c>
      <c r="B2378" s="2">
        <v>46310</v>
      </c>
      <c r="C2378" t="s">
        <v>2939</v>
      </c>
      <c r="D2378" t="s">
        <v>2944</v>
      </c>
      <c r="E2378" t="s">
        <v>3110</v>
      </c>
      <c r="F2378" s="3">
        <v>46311.087997456518</v>
      </c>
      <c r="G2378" s="3">
        <v>46311.089763612283</v>
      </c>
      <c r="H2378">
        <v>2.54</v>
      </c>
      <c r="I2378" t="s">
        <v>3147</v>
      </c>
      <c r="J2378" t="s">
        <v>3167</v>
      </c>
      <c r="K2378" t="s">
        <v>3186</v>
      </c>
      <c r="L2378" t="str">
        <f>_xlfn.XLOOKUP(C2378,[1]!Table1[Shift_ID],[1]!Table1[Shift_ID])</f>
        <v>S03</v>
      </c>
      <c r="M2378" t="str">
        <f>_xlfn.XLOOKUP(D2378,[2]!Table1[Machine_ID],[2]!Table1[Machine_ID])</f>
        <v>M003</v>
      </c>
      <c r="N2378" t="str">
        <f>_xlfn.XLOOKUP(E2378,[3]Sheet1!$A$2:$A$391,[3]Sheet1!$A$2:$A$391)</f>
        <v>PO10160</v>
      </c>
    </row>
    <row r="2379" spans="1:14" x14ac:dyDescent="0.2">
      <c r="A2379" t="s">
        <v>2388</v>
      </c>
      <c r="B2379" s="2">
        <v>46310</v>
      </c>
      <c r="C2379" t="s">
        <v>2939</v>
      </c>
      <c r="D2379" t="s">
        <v>2944</v>
      </c>
      <c r="E2379" t="s">
        <v>3110</v>
      </c>
      <c r="F2379" s="3">
        <v>46311.171306554548</v>
      </c>
      <c r="G2379" s="3">
        <v>46311.177207132452</v>
      </c>
      <c r="H2379">
        <v>8.5</v>
      </c>
      <c r="I2379" t="s">
        <v>3149</v>
      </c>
      <c r="J2379" t="s">
        <v>3158</v>
      </c>
      <c r="K2379" t="s">
        <v>3184</v>
      </c>
      <c r="L2379" t="str">
        <f>_xlfn.XLOOKUP(C2379,[1]!Table1[Shift_ID],[1]!Table1[Shift_ID])</f>
        <v>S03</v>
      </c>
      <c r="M2379" t="str">
        <f>_xlfn.XLOOKUP(D2379,[2]!Table1[Machine_ID],[2]!Table1[Machine_ID])</f>
        <v>M003</v>
      </c>
      <c r="N2379" t="str">
        <f>_xlfn.XLOOKUP(E2379,[3]Sheet1!$A$2:$A$391,[3]Sheet1!$A$2:$A$391)</f>
        <v>PO10160</v>
      </c>
    </row>
    <row r="2380" spans="1:14" x14ac:dyDescent="0.2">
      <c r="A2380" t="s">
        <v>2389</v>
      </c>
      <c r="B2380" s="2">
        <v>46310</v>
      </c>
      <c r="C2380" t="s">
        <v>2939</v>
      </c>
      <c r="D2380" t="s">
        <v>2944</v>
      </c>
      <c r="E2380" t="s">
        <v>3110</v>
      </c>
      <c r="F2380" s="3">
        <v>46311.233284042188</v>
      </c>
      <c r="G2380" s="3">
        <v>46311.235050197953</v>
      </c>
      <c r="H2380">
        <v>2.54</v>
      </c>
      <c r="I2380" t="s">
        <v>3150</v>
      </c>
      <c r="J2380" t="s">
        <v>3163</v>
      </c>
      <c r="K2380" t="s">
        <v>3178</v>
      </c>
      <c r="L2380" t="str">
        <f>_xlfn.XLOOKUP(C2380,[1]!Table1[Shift_ID],[1]!Table1[Shift_ID])</f>
        <v>S03</v>
      </c>
      <c r="M2380" t="str">
        <f>_xlfn.XLOOKUP(D2380,[2]!Table1[Machine_ID],[2]!Table1[Machine_ID])</f>
        <v>M003</v>
      </c>
      <c r="N2380" t="str">
        <f>_xlfn.XLOOKUP(E2380,[3]Sheet1!$A$2:$A$391,[3]Sheet1!$A$2:$A$391)</f>
        <v>PO10160</v>
      </c>
    </row>
    <row r="2381" spans="1:14" x14ac:dyDescent="0.2">
      <c r="A2381" t="s">
        <v>2390</v>
      </c>
      <c r="B2381" s="2">
        <v>46310</v>
      </c>
      <c r="C2381" t="s">
        <v>2939</v>
      </c>
      <c r="D2381" t="s">
        <v>2945</v>
      </c>
      <c r="E2381" t="s">
        <v>3110</v>
      </c>
      <c r="F2381" s="3">
        <v>46310.984904895078</v>
      </c>
      <c r="G2381" s="3">
        <v>46310.990143390038</v>
      </c>
      <c r="H2381">
        <v>7.54</v>
      </c>
      <c r="I2381" t="s">
        <v>3150</v>
      </c>
      <c r="J2381" t="s">
        <v>3163</v>
      </c>
      <c r="K2381" t="s">
        <v>3177</v>
      </c>
      <c r="L2381" t="str">
        <f>_xlfn.XLOOKUP(C2381,[1]!Table1[Shift_ID],[1]!Table1[Shift_ID])</f>
        <v>S03</v>
      </c>
      <c r="M2381" t="str">
        <f>_xlfn.XLOOKUP(D2381,[2]!Table1[Machine_ID],[2]!Table1[Machine_ID])</f>
        <v>M004</v>
      </c>
      <c r="N2381" t="str">
        <f>_xlfn.XLOOKUP(E2381,[3]Sheet1!$A$2:$A$391,[3]Sheet1!$A$2:$A$391)</f>
        <v>PO10160</v>
      </c>
    </row>
    <row r="2382" spans="1:14" x14ac:dyDescent="0.2">
      <c r="A2382" t="s">
        <v>2391</v>
      </c>
      <c r="B2382" s="2">
        <v>46310</v>
      </c>
      <c r="C2382" t="s">
        <v>2939</v>
      </c>
      <c r="D2382" t="s">
        <v>2945</v>
      </c>
      <c r="E2382" t="s">
        <v>3110</v>
      </c>
      <c r="F2382" s="3">
        <v>46311.230364704883</v>
      </c>
      <c r="G2382" s="3">
        <v>46311.233210478313</v>
      </c>
      <c r="H2382">
        <v>4.0999999999999996</v>
      </c>
      <c r="I2382" t="s">
        <v>3151</v>
      </c>
      <c r="J2382" t="s">
        <v>3169</v>
      </c>
      <c r="K2382" t="s">
        <v>3187</v>
      </c>
      <c r="L2382" t="str">
        <f>_xlfn.XLOOKUP(C2382,[1]!Table1[Shift_ID],[1]!Table1[Shift_ID])</f>
        <v>S03</v>
      </c>
      <c r="M2382" t="str">
        <f>_xlfn.XLOOKUP(D2382,[2]!Table1[Machine_ID],[2]!Table1[Machine_ID])</f>
        <v>M004</v>
      </c>
      <c r="N2382" t="str">
        <f>_xlfn.XLOOKUP(E2382,[3]Sheet1!$A$2:$A$391,[3]Sheet1!$A$2:$A$391)</f>
        <v>PO10160</v>
      </c>
    </row>
    <row r="2383" spans="1:14" x14ac:dyDescent="0.2">
      <c r="A2383" t="s">
        <v>2392</v>
      </c>
      <c r="B2383" s="2">
        <v>46310</v>
      </c>
      <c r="C2383" t="s">
        <v>2939</v>
      </c>
      <c r="D2383" t="s">
        <v>2946</v>
      </c>
      <c r="E2383" t="s">
        <v>3110</v>
      </c>
      <c r="F2383" s="3">
        <v>46311.013180486807</v>
      </c>
      <c r="G2383" s="3">
        <v>46311.018348931102</v>
      </c>
      <c r="H2383">
        <v>7.44</v>
      </c>
      <c r="I2383" t="s">
        <v>3147</v>
      </c>
      <c r="J2383" t="s">
        <v>3153</v>
      </c>
      <c r="K2383" t="s">
        <v>3185</v>
      </c>
      <c r="L2383" t="str">
        <f>_xlfn.XLOOKUP(C2383,[1]!Table1[Shift_ID],[1]!Table1[Shift_ID])</f>
        <v>S03</v>
      </c>
      <c r="M2383" t="str">
        <f>_xlfn.XLOOKUP(D2383,[2]!Table1[Machine_ID],[2]!Table1[Machine_ID])</f>
        <v>M005</v>
      </c>
      <c r="N2383" t="str">
        <f>_xlfn.XLOOKUP(E2383,[3]Sheet1!$A$2:$A$391,[3]Sheet1!$A$2:$A$391)</f>
        <v>PO10160</v>
      </c>
    </row>
    <row r="2384" spans="1:14" x14ac:dyDescent="0.2">
      <c r="A2384" t="s">
        <v>2393</v>
      </c>
      <c r="B2384" s="2">
        <v>46310</v>
      </c>
      <c r="C2384" t="s">
        <v>2939</v>
      </c>
      <c r="D2384" t="s">
        <v>2946</v>
      </c>
      <c r="E2384" t="s">
        <v>3110</v>
      </c>
      <c r="F2384" s="3">
        <v>46311.098697972338</v>
      </c>
      <c r="G2384" s="3">
        <v>46311.102946067942</v>
      </c>
      <c r="H2384">
        <v>6.12</v>
      </c>
      <c r="I2384" t="s">
        <v>3149</v>
      </c>
      <c r="J2384" t="s">
        <v>3158</v>
      </c>
      <c r="K2384" t="s">
        <v>3182</v>
      </c>
      <c r="L2384" t="str">
        <f>_xlfn.XLOOKUP(C2384,[1]!Table1[Shift_ID],[1]!Table1[Shift_ID])</f>
        <v>S03</v>
      </c>
      <c r="M2384" t="str">
        <f>_xlfn.XLOOKUP(D2384,[2]!Table1[Machine_ID],[2]!Table1[Machine_ID])</f>
        <v>M005</v>
      </c>
      <c r="N2384" t="str">
        <f>_xlfn.XLOOKUP(E2384,[3]Sheet1!$A$2:$A$391,[3]Sheet1!$A$2:$A$391)</f>
        <v>PO10160</v>
      </c>
    </row>
    <row r="2385" spans="1:14" x14ac:dyDescent="0.2">
      <c r="A2385" t="s">
        <v>2394</v>
      </c>
      <c r="B2385" s="2">
        <v>46310</v>
      </c>
      <c r="C2385" t="s">
        <v>2939</v>
      </c>
      <c r="D2385" t="s">
        <v>2947</v>
      </c>
      <c r="E2385" t="s">
        <v>3110</v>
      </c>
      <c r="F2385" s="3">
        <v>46311.037795893091</v>
      </c>
      <c r="G2385" s="3">
        <v>46311.072833084691</v>
      </c>
      <c r="H2385">
        <v>50.45</v>
      </c>
      <c r="I2385" t="s">
        <v>3149</v>
      </c>
      <c r="J2385" t="s">
        <v>3162</v>
      </c>
      <c r="K2385" t="s">
        <v>3184</v>
      </c>
      <c r="L2385" t="str">
        <f>_xlfn.XLOOKUP(C2385,[1]!Table1[Shift_ID],[1]!Table1[Shift_ID])</f>
        <v>S03</v>
      </c>
      <c r="M2385" t="str">
        <f>_xlfn.XLOOKUP(D2385,[2]!Table1[Machine_ID],[2]!Table1[Machine_ID])</f>
        <v>M006</v>
      </c>
      <c r="N2385" t="str">
        <f>_xlfn.XLOOKUP(E2385,[3]Sheet1!$A$2:$A$391,[3]Sheet1!$A$2:$A$391)</f>
        <v>PO10160</v>
      </c>
    </row>
    <row r="2386" spans="1:14" x14ac:dyDescent="0.2">
      <c r="A2386" t="s">
        <v>2395</v>
      </c>
      <c r="B2386" s="2">
        <v>46310</v>
      </c>
      <c r="C2386" t="s">
        <v>2939</v>
      </c>
      <c r="D2386" t="s">
        <v>2948</v>
      </c>
      <c r="E2386" t="s">
        <v>3110</v>
      </c>
      <c r="F2386" s="3">
        <v>46310.94828393167</v>
      </c>
      <c r="G2386" s="3">
        <v>46310.957118593193</v>
      </c>
      <c r="H2386">
        <v>12.72</v>
      </c>
      <c r="I2386" t="s">
        <v>3148</v>
      </c>
      <c r="J2386" t="s">
        <v>3164</v>
      </c>
      <c r="K2386" t="s">
        <v>3173</v>
      </c>
      <c r="L2386" t="str">
        <f>_xlfn.XLOOKUP(C2386,[1]!Table1[Shift_ID],[1]!Table1[Shift_ID])</f>
        <v>S03</v>
      </c>
      <c r="M2386" t="str">
        <f>_xlfn.XLOOKUP(D2386,[2]!Table1[Machine_ID],[2]!Table1[Machine_ID])</f>
        <v>M007</v>
      </c>
      <c r="N2386" t="str">
        <f>_xlfn.XLOOKUP(E2386,[3]Sheet1!$A$2:$A$391,[3]Sheet1!$A$2:$A$391)</f>
        <v>PO10160</v>
      </c>
    </row>
    <row r="2387" spans="1:14" x14ac:dyDescent="0.2">
      <c r="A2387" t="s">
        <v>2396</v>
      </c>
      <c r="B2387" s="2">
        <v>46310</v>
      </c>
      <c r="C2387" t="s">
        <v>2939</v>
      </c>
      <c r="D2387" t="s">
        <v>2948</v>
      </c>
      <c r="E2387" t="s">
        <v>3110</v>
      </c>
      <c r="F2387" s="3">
        <v>46311.164859314777</v>
      </c>
      <c r="G2387" s="3">
        <v>46311.166888992993</v>
      </c>
      <c r="H2387">
        <v>2.92</v>
      </c>
      <c r="I2387" t="s">
        <v>3150</v>
      </c>
      <c r="J2387" t="s">
        <v>3166</v>
      </c>
      <c r="K2387" t="s">
        <v>3177</v>
      </c>
      <c r="L2387" t="str">
        <f>_xlfn.XLOOKUP(C2387,[1]!Table1[Shift_ID],[1]!Table1[Shift_ID])</f>
        <v>S03</v>
      </c>
      <c r="M2387" t="str">
        <f>_xlfn.XLOOKUP(D2387,[2]!Table1[Machine_ID],[2]!Table1[Machine_ID])</f>
        <v>M007</v>
      </c>
      <c r="N2387" t="str">
        <f>_xlfn.XLOOKUP(E2387,[3]Sheet1!$A$2:$A$391,[3]Sheet1!$A$2:$A$391)</f>
        <v>PO10160</v>
      </c>
    </row>
    <row r="2388" spans="1:14" x14ac:dyDescent="0.2">
      <c r="A2388" t="s">
        <v>2397</v>
      </c>
      <c r="B2388" s="2">
        <v>46310</v>
      </c>
      <c r="C2388" t="s">
        <v>2939</v>
      </c>
      <c r="D2388" t="s">
        <v>2948</v>
      </c>
      <c r="E2388" t="s">
        <v>3110</v>
      </c>
      <c r="F2388" s="3">
        <v>46311.199847488853</v>
      </c>
      <c r="G2388" s="3">
        <v>46311.202413991246</v>
      </c>
      <c r="H2388">
        <v>3.7</v>
      </c>
      <c r="I2388" t="s">
        <v>3146</v>
      </c>
      <c r="J2388" t="s">
        <v>3156</v>
      </c>
      <c r="K2388" t="s">
        <v>3175</v>
      </c>
      <c r="L2388" t="str">
        <f>_xlfn.XLOOKUP(C2388,[1]!Table1[Shift_ID],[1]!Table1[Shift_ID])</f>
        <v>S03</v>
      </c>
      <c r="M2388" t="str">
        <f>_xlfn.XLOOKUP(D2388,[2]!Table1[Machine_ID],[2]!Table1[Machine_ID])</f>
        <v>M007</v>
      </c>
      <c r="N2388" t="str">
        <f>_xlfn.XLOOKUP(E2388,[3]Sheet1!$A$2:$A$391,[3]Sheet1!$A$2:$A$391)</f>
        <v>PO10160</v>
      </c>
    </row>
    <row r="2389" spans="1:14" x14ac:dyDescent="0.2">
      <c r="A2389" t="s">
        <v>2398</v>
      </c>
      <c r="B2389" s="2">
        <v>46310</v>
      </c>
      <c r="C2389" t="s">
        <v>2939</v>
      </c>
      <c r="D2389" t="s">
        <v>2948</v>
      </c>
      <c r="E2389" t="s">
        <v>3110</v>
      </c>
      <c r="F2389" s="3">
        <v>46311.210178500813</v>
      </c>
      <c r="G2389" s="3">
        <v>46311.212637214689</v>
      </c>
      <c r="H2389">
        <v>3.54</v>
      </c>
      <c r="I2389" t="s">
        <v>3150</v>
      </c>
      <c r="J2389" t="s">
        <v>3159</v>
      </c>
      <c r="K2389" t="s">
        <v>3179</v>
      </c>
      <c r="L2389" t="str">
        <f>_xlfn.XLOOKUP(C2389,[1]!Table1[Shift_ID],[1]!Table1[Shift_ID])</f>
        <v>S03</v>
      </c>
      <c r="M2389" t="str">
        <f>_xlfn.XLOOKUP(D2389,[2]!Table1[Machine_ID],[2]!Table1[Machine_ID])</f>
        <v>M007</v>
      </c>
      <c r="N2389" t="str">
        <f>_xlfn.XLOOKUP(E2389,[3]Sheet1!$A$2:$A$391,[3]Sheet1!$A$2:$A$391)</f>
        <v>PO10160</v>
      </c>
    </row>
    <row r="2390" spans="1:14" x14ac:dyDescent="0.2">
      <c r="A2390" t="s">
        <v>2399</v>
      </c>
      <c r="B2390" s="2">
        <v>46310</v>
      </c>
      <c r="C2390" t="s">
        <v>2939</v>
      </c>
      <c r="D2390" t="s">
        <v>2949</v>
      </c>
      <c r="E2390" t="s">
        <v>3110</v>
      </c>
      <c r="F2390" s="3">
        <v>46311.179441982757</v>
      </c>
      <c r="G2390" s="3">
        <v>46311.185692197672</v>
      </c>
      <c r="H2390">
        <v>9</v>
      </c>
      <c r="I2390" t="s">
        <v>3149</v>
      </c>
      <c r="J2390" t="s">
        <v>3162</v>
      </c>
      <c r="K2390" t="s">
        <v>3182</v>
      </c>
      <c r="L2390" t="str">
        <f>_xlfn.XLOOKUP(C2390,[1]!Table1[Shift_ID],[1]!Table1[Shift_ID])</f>
        <v>S03</v>
      </c>
      <c r="M2390" t="str">
        <f>_xlfn.XLOOKUP(D2390,[2]!Table1[Machine_ID],[2]!Table1[Machine_ID])</f>
        <v>M008</v>
      </c>
      <c r="N2390" t="str">
        <f>_xlfn.XLOOKUP(E2390,[3]Sheet1!$A$2:$A$391,[3]Sheet1!$A$2:$A$391)</f>
        <v>PO10160</v>
      </c>
    </row>
    <row r="2391" spans="1:14" x14ac:dyDescent="0.2">
      <c r="A2391" t="s">
        <v>2400</v>
      </c>
      <c r="B2391" s="2">
        <v>46310</v>
      </c>
      <c r="C2391" t="s">
        <v>2940</v>
      </c>
      <c r="D2391" t="s">
        <v>2942</v>
      </c>
      <c r="E2391" t="s">
        <v>3111</v>
      </c>
      <c r="F2391" s="3">
        <v>46310.291816275923</v>
      </c>
      <c r="G2391" s="3">
        <v>46310.293680520568</v>
      </c>
      <c r="H2391">
        <v>2.68</v>
      </c>
      <c r="I2391" t="s">
        <v>3146</v>
      </c>
      <c r="J2391" t="s">
        <v>3157</v>
      </c>
      <c r="K2391" t="s">
        <v>3174</v>
      </c>
      <c r="L2391" t="str">
        <f>_xlfn.XLOOKUP(C2391,[1]!Table1[Shift_ID],[1]!Table1[Shift_ID])</f>
        <v>S01</v>
      </c>
      <c r="M2391" t="str">
        <f>_xlfn.XLOOKUP(D2391,[2]!Table1[Machine_ID],[2]!Table1[Machine_ID])</f>
        <v>M001</v>
      </c>
      <c r="N2391" t="str">
        <f>_xlfn.XLOOKUP(E2391,[3]Sheet1!$A$2:$A$391,[3]Sheet1!$A$2:$A$391)</f>
        <v>PO10161</v>
      </c>
    </row>
    <row r="2392" spans="1:14" x14ac:dyDescent="0.2">
      <c r="A2392" t="s">
        <v>2401</v>
      </c>
      <c r="B2392" s="2">
        <v>46310</v>
      </c>
      <c r="C2392" t="s">
        <v>2940</v>
      </c>
      <c r="D2392" t="s">
        <v>2942</v>
      </c>
      <c r="E2392" t="s">
        <v>3111</v>
      </c>
      <c r="F2392" s="3">
        <v>46310.450176051752</v>
      </c>
      <c r="G2392" s="3">
        <v>46310.453435869247</v>
      </c>
      <c r="H2392">
        <v>4.6900000000000004</v>
      </c>
      <c r="I2392" t="s">
        <v>3148</v>
      </c>
      <c r="J2392" t="s">
        <v>3165</v>
      </c>
      <c r="K2392" t="s">
        <v>3183</v>
      </c>
      <c r="L2392" t="str">
        <f>_xlfn.XLOOKUP(C2392,[1]!Table1[Shift_ID],[1]!Table1[Shift_ID])</f>
        <v>S01</v>
      </c>
      <c r="M2392" t="str">
        <f>_xlfn.XLOOKUP(D2392,[2]!Table1[Machine_ID],[2]!Table1[Machine_ID])</f>
        <v>M001</v>
      </c>
      <c r="N2392" t="str">
        <f>_xlfn.XLOOKUP(E2392,[3]Sheet1!$A$2:$A$391,[3]Sheet1!$A$2:$A$391)</f>
        <v>PO10161</v>
      </c>
    </row>
    <row r="2393" spans="1:14" x14ac:dyDescent="0.2">
      <c r="A2393" t="s">
        <v>2402</v>
      </c>
      <c r="B2393" s="2">
        <v>46310</v>
      </c>
      <c r="C2393" t="s">
        <v>2940</v>
      </c>
      <c r="D2393" t="s">
        <v>2942</v>
      </c>
      <c r="E2393" t="s">
        <v>3111</v>
      </c>
      <c r="F2393" s="3">
        <v>46310.573822041108</v>
      </c>
      <c r="G2393" s="3">
        <v>46310.575686285767</v>
      </c>
      <c r="H2393">
        <v>2.68</v>
      </c>
      <c r="I2393" t="s">
        <v>3146</v>
      </c>
      <c r="J2393" t="s">
        <v>3152</v>
      </c>
      <c r="K2393" t="s">
        <v>3175</v>
      </c>
      <c r="L2393" t="str">
        <f>_xlfn.XLOOKUP(C2393,[1]!Table1[Shift_ID],[1]!Table1[Shift_ID])</f>
        <v>S01</v>
      </c>
      <c r="M2393" t="str">
        <f>_xlfn.XLOOKUP(D2393,[2]!Table1[Machine_ID],[2]!Table1[Machine_ID])</f>
        <v>M001</v>
      </c>
      <c r="N2393" t="str">
        <f>_xlfn.XLOOKUP(E2393,[3]Sheet1!$A$2:$A$391,[3]Sheet1!$A$2:$A$391)</f>
        <v>PO10161</v>
      </c>
    </row>
    <row r="2394" spans="1:14" x14ac:dyDescent="0.2">
      <c r="A2394" t="s">
        <v>2403</v>
      </c>
      <c r="B2394" s="2">
        <v>46310</v>
      </c>
      <c r="C2394" t="s">
        <v>2940</v>
      </c>
      <c r="D2394" t="s">
        <v>2943</v>
      </c>
      <c r="E2394" t="s">
        <v>3111</v>
      </c>
      <c r="F2394" s="3">
        <v>46310.26401973176</v>
      </c>
      <c r="G2394" s="3">
        <v>46310.265808030403</v>
      </c>
      <c r="H2394">
        <v>2.58</v>
      </c>
      <c r="I2394" t="s">
        <v>3150</v>
      </c>
      <c r="J2394" t="s">
        <v>3159</v>
      </c>
      <c r="K2394" t="s">
        <v>3177</v>
      </c>
      <c r="L2394" t="str">
        <f>_xlfn.XLOOKUP(C2394,[1]!Table1[Shift_ID],[1]!Table1[Shift_ID])</f>
        <v>S01</v>
      </c>
      <c r="M2394" t="str">
        <f>_xlfn.XLOOKUP(D2394,[2]!Table1[Machine_ID],[2]!Table1[Machine_ID])</f>
        <v>M002</v>
      </c>
      <c r="N2394" t="str">
        <f>_xlfn.XLOOKUP(E2394,[3]Sheet1!$A$2:$A$391,[3]Sheet1!$A$2:$A$391)</f>
        <v>PO10161</v>
      </c>
    </row>
    <row r="2395" spans="1:14" x14ac:dyDescent="0.2">
      <c r="A2395" t="s">
        <v>2404</v>
      </c>
      <c r="B2395" s="2">
        <v>46310</v>
      </c>
      <c r="C2395" t="s">
        <v>2940</v>
      </c>
      <c r="D2395" t="s">
        <v>2943</v>
      </c>
      <c r="E2395" t="s">
        <v>3111</v>
      </c>
      <c r="F2395" s="3">
        <v>46310.344560280697</v>
      </c>
      <c r="G2395" s="3">
        <v>46310.348681236399</v>
      </c>
      <c r="H2395">
        <v>5.93</v>
      </c>
      <c r="I2395" t="s">
        <v>3150</v>
      </c>
      <c r="J2395" t="s">
        <v>3159</v>
      </c>
      <c r="K2395" t="s">
        <v>3178</v>
      </c>
      <c r="L2395" t="str">
        <f>_xlfn.XLOOKUP(C2395,[1]!Table1[Shift_ID],[1]!Table1[Shift_ID])</f>
        <v>S01</v>
      </c>
      <c r="M2395" t="str">
        <f>_xlfn.XLOOKUP(D2395,[2]!Table1[Machine_ID],[2]!Table1[Machine_ID])</f>
        <v>M002</v>
      </c>
      <c r="N2395" t="str">
        <f>_xlfn.XLOOKUP(E2395,[3]Sheet1!$A$2:$A$391,[3]Sheet1!$A$2:$A$391)</f>
        <v>PO10161</v>
      </c>
    </row>
    <row r="2396" spans="1:14" x14ac:dyDescent="0.2">
      <c r="A2396" t="s">
        <v>2405</v>
      </c>
      <c r="B2396" s="2">
        <v>46310</v>
      </c>
      <c r="C2396" t="s">
        <v>2940</v>
      </c>
      <c r="D2396" t="s">
        <v>2943</v>
      </c>
      <c r="E2396" t="s">
        <v>3111</v>
      </c>
      <c r="F2396" s="3">
        <v>46310.470282994313</v>
      </c>
      <c r="G2396" s="3">
        <v>46310.473712889128</v>
      </c>
      <c r="H2396">
        <v>4.9400000000000004</v>
      </c>
      <c r="I2396" t="s">
        <v>3147</v>
      </c>
      <c r="J2396" t="s">
        <v>3154</v>
      </c>
      <c r="K2396" t="s">
        <v>3172</v>
      </c>
      <c r="L2396" t="str">
        <f>_xlfn.XLOOKUP(C2396,[1]!Table1[Shift_ID],[1]!Table1[Shift_ID])</f>
        <v>S01</v>
      </c>
      <c r="M2396" t="str">
        <f>_xlfn.XLOOKUP(D2396,[2]!Table1[Machine_ID],[2]!Table1[Machine_ID])</f>
        <v>M002</v>
      </c>
      <c r="N2396" t="str">
        <f>_xlfn.XLOOKUP(E2396,[3]Sheet1!$A$2:$A$391,[3]Sheet1!$A$2:$A$391)</f>
        <v>PO10161</v>
      </c>
    </row>
    <row r="2397" spans="1:14" x14ac:dyDescent="0.2">
      <c r="A2397" t="s">
        <v>2406</v>
      </c>
      <c r="B2397" s="2">
        <v>46310</v>
      </c>
      <c r="C2397" t="s">
        <v>2940</v>
      </c>
      <c r="D2397" t="s">
        <v>2944</v>
      </c>
      <c r="E2397" t="s">
        <v>3111</v>
      </c>
      <c r="F2397" s="3">
        <v>46310.345514996159</v>
      </c>
      <c r="G2397" s="3">
        <v>46310.355054701788</v>
      </c>
      <c r="H2397">
        <v>13.74</v>
      </c>
      <c r="I2397" t="s">
        <v>3150</v>
      </c>
      <c r="J2397" t="s">
        <v>3159</v>
      </c>
      <c r="K2397" t="s">
        <v>3177</v>
      </c>
      <c r="L2397" t="str">
        <f>_xlfn.XLOOKUP(C2397,[1]!Table1[Shift_ID],[1]!Table1[Shift_ID])</f>
        <v>S01</v>
      </c>
      <c r="M2397" t="str">
        <f>_xlfn.XLOOKUP(D2397,[2]!Table1[Machine_ID],[2]!Table1[Machine_ID])</f>
        <v>M003</v>
      </c>
      <c r="N2397" t="str">
        <f>_xlfn.XLOOKUP(E2397,[3]Sheet1!$A$2:$A$391,[3]Sheet1!$A$2:$A$391)</f>
        <v>PO10161</v>
      </c>
    </row>
    <row r="2398" spans="1:14" x14ac:dyDescent="0.2">
      <c r="A2398" t="s">
        <v>2407</v>
      </c>
      <c r="B2398" s="2">
        <v>46310</v>
      </c>
      <c r="C2398" t="s">
        <v>2940</v>
      </c>
      <c r="D2398" t="s">
        <v>2945</v>
      </c>
      <c r="E2398" t="s">
        <v>3111</v>
      </c>
      <c r="F2398" s="3">
        <v>46310.440320717011</v>
      </c>
      <c r="G2398" s="3">
        <v>46310.448618554772</v>
      </c>
      <c r="H2398">
        <v>11.95</v>
      </c>
      <c r="I2398" t="s">
        <v>3151</v>
      </c>
      <c r="J2398" t="s">
        <v>3169</v>
      </c>
      <c r="K2398" t="s">
        <v>3188</v>
      </c>
      <c r="L2398" t="str">
        <f>_xlfn.XLOOKUP(C2398,[1]!Table1[Shift_ID],[1]!Table1[Shift_ID])</f>
        <v>S01</v>
      </c>
      <c r="M2398" t="str">
        <f>_xlfn.XLOOKUP(D2398,[2]!Table1[Machine_ID],[2]!Table1[Machine_ID])</f>
        <v>M004</v>
      </c>
      <c r="N2398" t="str">
        <f>_xlfn.XLOOKUP(E2398,[3]Sheet1!$A$2:$A$391,[3]Sheet1!$A$2:$A$391)</f>
        <v>PO10161</v>
      </c>
    </row>
    <row r="2399" spans="1:14" x14ac:dyDescent="0.2">
      <c r="A2399" t="s">
        <v>2408</v>
      </c>
      <c r="B2399" s="2">
        <v>46310</v>
      </c>
      <c r="C2399" t="s">
        <v>2940</v>
      </c>
      <c r="D2399" t="s">
        <v>2946</v>
      </c>
      <c r="E2399" t="s">
        <v>3111</v>
      </c>
      <c r="F2399" s="3">
        <v>46310.386722523457</v>
      </c>
      <c r="G2399" s="3">
        <v>46310.388447736368</v>
      </c>
      <c r="H2399">
        <v>2.48</v>
      </c>
      <c r="I2399" t="s">
        <v>3148</v>
      </c>
      <c r="J2399" t="s">
        <v>3155</v>
      </c>
      <c r="K2399" t="s">
        <v>3173</v>
      </c>
      <c r="L2399" t="str">
        <f>_xlfn.XLOOKUP(C2399,[1]!Table1[Shift_ID],[1]!Table1[Shift_ID])</f>
        <v>S01</v>
      </c>
      <c r="M2399" t="str">
        <f>_xlfn.XLOOKUP(D2399,[2]!Table1[Machine_ID],[2]!Table1[Machine_ID])</f>
        <v>M005</v>
      </c>
      <c r="N2399" t="str">
        <f>_xlfn.XLOOKUP(E2399,[3]Sheet1!$A$2:$A$391,[3]Sheet1!$A$2:$A$391)</f>
        <v>PO10161</v>
      </c>
    </row>
    <row r="2400" spans="1:14" x14ac:dyDescent="0.2">
      <c r="A2400" t="s">
        <v>2409</v>
      </c>
      <c r="B2400" s="2">
        <v>46310</v>
      </c>
      <c r="C2400" t="s">
        <v>2940</v>
      </c>
      <c r="D2400" t="s">
        <v>2946</v>
      </c>
      <c r="E2400" t="s">
        <v>3111</v>
      </c>
      <c r="F2400" s="3">
        <v>46310.47249918132</v>
      </c>
      <c r="G2400" s="3">
        <v>46310.475601380793</v>
      </c>
      <c r="H2400">
        <v>4.47</v>
      </c>
      <c r="I2400" t="s">
        <v>3147</v>
      </c>
      <c r="J2400" t="s">
        <v>3153</v>
      </c>
      <c r="K2400" t="s">
        <v>3186</v>
      </c>
      <c r="L2400" t="str">
        <f>_xlfn.XLOOKUP(C2400,[1]!Table1[Shift_ID],[1]!Table1[Shift_ID])</f>
        <v>S01</v>
      </c>
      <c r="M2400" t="str">
        <f>_xlfn.XLOOKUP(D2400,[2]!Table1[Machine_ID],[2]!Table1[Machine_ID])</f>
        <v>M005</v>
      </c>
      <c r="N2400" t="str">
        <f>_xlfn.XLOOKUP(E2400,[3]Sheet1!$A$2:$A$391,[3]Sheet1!$A$2:$A$391)</f>
        <v>PO10161</v>
      </c>
    </row>
    <row r="2401" spans="1:14" x14ac:dyDescent="0.2">
      <c r="A2401" t="s">
        <v>2410</v>
      </c>
      <c r="B2401" s="2">
        <v>46310</v>
      </c>
      <c r="C2401" t="s">
        <v>2940</v>
      </c>
      <c r="D2401" t="s">
        <v>2946</v>
      </c>
      <c r="E2401" t="s">
        <v>3111</v>
      </c>
      <c r="F2401" s="3">
        <v>46310.481959585413</v>
      </c>
      <c r="G2401" s="3">
        <v>46310.486668585349</v>
      </c>
      <c r="H2401">
        <v>6.78</v>
      </c>
      <c r="I2401" t="s">
        <v>3146</v>
      </c>
      <c r="J2401" t="s">
        <v>3157</v>
      </c>
      <c r="K2401" t="s">
        <v>3174</v>
      </c>
      <c r="L2401" t="str">
        <f>_xlfn.XLOOKUP(C2401,[1]!Table1[Shift_ID],[1]!Table1[Shift_ID])</f>
        <v>S01</v>
      </c>
      <c r="M2401" t="str">
        <f>_xlfn.XLOOKUP(D2401,[2]!Table1[Machine_ID],[2]!Table1[Machine_ID])</f>
        <v>M005</v>
      </c>
      <c r="N2401" t="str">
        <f>_xlfn.XLOOKUP(E2401,[3]Sheet1!$A$2:$A$391,[3]Sheet1!$A$2:$A$391)</f>
        <v>PO10161</v>
      </c>
    </row>
    <row r="2402" spans="1:14" x14ac:dyDescent="0.2">
      <c r="A2402" t="s">
        <v>2411</v>
      </c>
      <c r="B2402" s="2">
        <v>46310</v>
      </c>
      <c r="C2402" t="s">
        <v>2940</v>
      </c>
      <c r="D2402" t="s">
        <v>2947</v>
      </c>
      <c r="E2402" t="s">
        <v>3111</v>
      </c>
      <c r="F2402" s="3">
        <v>46310.295524650821</v>
      </c>
      <c r="G2402" s="3">
        <v>46310.301284757399</v>
      </c>
      <c r="H2402">
        <v>8.2899999999999991</v>
      </c>
      <c r="I2402" t="s">
        <v>3151</v>
      </c>
      <c r="J2402" t="s">
        <v>3169</v>
      </c>
      <c r="K2402" t="s">
        <v>3181</v>
      </c>
      <c r="L2402" t="str">
        <f>_xlfn.XLOOKUP(C2402,[1]!Table1[Shift_ID],[1]!Table1[Shift_ID])</f>
        <v>S01</v>
      </c>
      <c r="M2402" t="str">
        <f>_xlfn.XLOOKUP(D2402,[2]!Table1[Machine_ID],[2]!Table1[Machine_ID])</f>
        <v>M006</v>
      </c>
      <c r="N2402" t="str">
        <f>_xlfn.XLOOKUP(E2402,[3]Sheet1!$A$2:$A$391,[3]Sheet1!$A$2:$A$391)</f>
        <v>PO10161</v>
      </c>
    </row>
    <row r="2403" spans="1:14" x14ac:dyDescent="0.2">
      <c r="A2403" t="s">
        <v>2412</v>
      </c>
      <c r="B2403" s="2">
        <v>46310</v>
      </c>
      <c r="C2403" t="s">
        <v>2940</v>
      </c>
      <c r="D2403" t="s">
        <v>2947</v>
      </c>
      <c r="E2403" t="s">
        <v>3111</v>
      </c>
      <c r="F2403" s="3">
        <v>46310.398164006343</v>
      </c>
      <c r="G2403" s="3">
        <v>46310.404253278321</v>
      </c>
      <c r="H2403">
        <v>8.77</v>
      </c>
      <c r="I2403" t="s">
        <v>3146</v>
      </c>
      <c r="J2403" t="s">
        <v>3152</v>
      </c>
      <c r="K2403" t="s">
        <v>3175</v>
      </c>
      <c r="L2403" t="str">
        <f>_xlfn.XLOOKUP(C2403,[1]!Table1[Shift_ID],[1]!Table1[Shift_ID])</f>
        <v>S01</v>
      </c>
      <c r="M2403" t="str">
        <f>_xlfn.XLOOKUP(D2403,[2]!Table1[Machine_ID],[2]!Table1[Machine_ID])</f>
        <v>M006</v>
      </c>
      <c r="N2403" t="str">
        <f>_xlfn.XLOOKUP(E2403,[3]Sheet1!$A$2:$A$391,[3]Sheet1!$A$2:$A$391)</f>
        <v>PO10161</v>
      </c>
    </row>
    <row r="2404" spans="1:14" x14ac:dyDescent="0.2">
      <c r="A2404" t="s">
        <v>2413</v>
      </c>
      <c r="B2404" s="2">
        <v>46310</v>
      </c>
      <c r="C2404" t="s">
        <v>2940</v>
      </c>
      <c r="D2404" t="s">
        <v>2947</v>
      </c>
      <c r="E2404" t="s">
        <v>3111</v>
      </c>
      <c r="F2404" s="3">
        <v>46310.525388444679</v>
      </c>
      <c r="G2404" s="3">
        <v>46310.53245780932</v>
      </c>
      <c r="H2404">
        <v>10.18</v>
      </c>
      <c r="I2404" t="s">
        <v>3151</v>
      </c>
      <c r="J2404" t="s">
        <v>3169</v>
      </c>
      <c r="K2404" t="s">
        <v>3187</v>
      </c>
      <c r="L2404" t="str">
        <f>_xlfn.XLOOKUP(C2404,[1]!Table1[Shift_ID],[1]!Table1[Shift_ID])</f>
        <v>S01</v>
      </c>
      <c r="M2404" t="str">
        <f>_xlfn.XLOOKUP(D2404,[2]!Table1[Machine_ID],[2]!Table1[Machine_ID])</f>
        <v>M006</v>
      </c>
      <c r="N2404" t="str">
        <f>_xlfn.XLOOKUP(E2404,[3]Sheet1!$A$2:$A$391,[3]Sheet1!$A$2:$A$391)</f>
        <v>PO10161</v>
      </c>
    </row>
    <row r="2405" spans="1:14" x14ac:dyDescent="0.2">
      <c r="A2405" t="s">
        <v>2414</v>
      </c>
      <c r="B2405" s="2">
        <v>46310</v>
      </c>
      <c r="C2405" t="s">
        <v>2940</v>
      </c>
      <c r="D2405" t="s">
        <v>2947</v>
      </c>
      <c r="E2405" t="s">
        <v>3111</v>
      </c>
      <c r="F2405" s="3">
        <v>46310.574368540583</v>
      </c>
      <c r="G2405" s="3">
        <v>46310.580422454557</v>
      </c>
      <c r="H2405">
        <v>8.7200000000000006</v>
      </c>
      <c r="I2405" t="s">
        <v>3150</v>
      </c>
      <c r="J2405" t="s">
        <v>3163</v>
      </c>
      <c r="K2405" t="s">
        <v>3179</v>
      </c>
      <c r="L2405" t="str">
        <f>_xlfn.XLOOKUP(C2405,[1]!Table1[Shift_ID],[1]!Table1[Shift_ID])</f>
        <v>S01</v>
      </c>
      <c r="M2405" t="str">
        <f>_xlfn.XLOOKUP(D2405,[2]!Table1[Machine_ID],[2]!Table1[Machine_ID])</f>
        <v>M006</v>
      </c>
      <c r="N2405" t="str">
        <f>_xlfn.XLOOKUP(E2405,[3]Sheet1!$A$2:$A$391,[3]Sheet1!$A$2:$A$391)</f>
        <v>PO10161</v>
      </c>
    </row>
    <row r="2406" spans="1:14" x14ac:dyDescent="0.2">
      <c r="A2406" t="s">
        <v>2415</v>
      </c>
      <c r="B2406" s="2">
        <v>46310</v>
      </c>
      <c r="C2406" t="s">
        <v>2940</v>
      </c>
      <c r="D2406" t="s">
        <v>2948</v>
      </c>
      <c r="E2406" t="s">
        <v>3111</v>
      </c>
      <c r="F2406" s="3">
        <v>46310.495735795666</v>
      </c>
      <c r="G2406" s="3">
        <v>46310.512468238063</v>
      </c>
      <c r="H2406">
        <v>24.09</v>
      </c>
      <c r="I2406" t="s">
        <v>3150</v>
      </c>
      <c r="J2406" t="s">
        <v>3166</v>
      </c>
      <c r="K2406" t="s">
        <v>3179</v>
      </c>
      <c r="L2406" t="str">
        <f>_xlfn.XLOOKUP(C2406,[1]!Table1[Shift_ID],[1]!Table1[Shift_ID])</f>
        <v>S01</v>
      </c>
      <c r="M2406" t="str">
        <f>_xlfn.XLOOKUP(D2406,[2]!Table1[Machine_ID],[2]!Table1[Machine_ID])</f>
        <v>M007</v>
      </c>
      <c r="N2406" t="str">
        <f>_xlfn.XLOOKUP(E2406,[3]Sheet1!$A$2:$A$391,[3]Sheet1!$A$2:$A$391)</f>
        <v>PO10161</v>
      </c>
    </row>
    <row r="2407" spans="1:14" x14ac:dyDescent="0.2">
      <c r="A2407" t="s">
        <v>2416</v>
      </c>
      <c r="B2407" s="2">
        <v>46310</v>
      </c>
      <c r="C2407" t="s">
        <v>2940</v>
      </c>
      <c r="D2407" t="s">
        <v>2949</v>
      </c>
      <c r="E2407" t="s">
        <v>3111</v>
      </c>
      <c r="F2407" s="3">
        <v>46310.27464391206</v>
      </c>
      <c r="G2407" s="3">
        <v>46310.27779626898</v>
      </c>
      <c r="H2407">
        <v>4.54</v>
      </c>
      <c r="I2407" t="s">
        <v>3150</v>
      </c>
      <c r="J2407" t="s">
        <v>3160</v>
      </c>
      <c r="K2407" t="s">
        <v>3178</v>
      </c>
      <c r="L2407" t="str">
        <f>_xlfn.XLOOKUP(C2407,[1]!Table1[Shift_ID],[1]!Table1[Shift_ID])</f>
        <v>S01</v>
      </c>
      <c r="M2407" t="str">
        <f>_xlfn.XLOOKUP(D2407,[2]!Table1[Machine_ID],[2]!Table1[Machine_ID])</f>
        <v>M008</v>
      </c>
      <c r="N2407" t="str">
        <f>_xlfn.XLOOKUP(E2407,[3]Sheet1!$A$2:$A$391,[3]Sheet1!$A$2:$A$391)</f>
        <v>PO10161</v>
      </c>
    </row>
    <row r="2408" spans="1:14" x14ac:dyDescent="0.2">
      <c r="A2408" t="s">
        <v>2417</v>
      </c>
      <c r="B2408" s="2">
        <v>46310</v>
      </c>
      <c r="C2408" t="s">
        <v>2940</v>
      </c>
      <c r="D2408" t="s">
        <v>2949</v>
      </c>
      <c r="E2408" t="s">
        <v>3111</v>
      </c>
      <c r="F2408" s="3">
        <v>46310.49170349427</v>
      </c>
      <c r="G2408" s="3">
        <v>46310.493660640728</v>
      </c>
      <c r="H2408">
        <v>2.82</v>
      </c>
      <c r="I2408" t="s">
        <v>3149</v>
      </c>
      <c r="J2408" t="s">
        <v>3168</v>
      </c>
      <c r="K2408" t="s">
        <v>3182</v>
      </c>
      <c r="L2408" t="str">
        <f>_xlfn.XLOOKUP(C2408,[1]!Table1[Shift_ID],[1]!Table1[Shift_ID])</f>
        <v>S01</v>
      </c>
      <c r="M2408" t="str">
        <f>_xlfn.XLOOKUP(D2408,[2]!Table1[Machine_ID],[2]!Table1[Machine_ID])</f>
        <v>M008</v>
      </c>
      <c r="N2408" t="str">
        <f>_xlfn.XLOOKUP(E2408,[3]Sheet1!$A$2:$A$391,[3]Sheet1!$A$2:$A$391)</f>
        <v>PO10161</v>
      </c>
    </row>
    <row r="2409" spans="1:14" x14ac:dyDescent="0.2">
      <c r="A2409" t="s">
        <v>2418</v>
      </c>
      <c r="B2409" s="2">
        <v>46310</v>
      </c>
      <c r="C2409" t="s">
        <v>2941</v>
      </c>
      <c r="D2409" t="s">
        <v>2942</v>
      </c>
      <c r="E2409" t="s">
        <v>3112</v>
      </c>
      <c r="F2409" s="3">
        <v>46310.609221405728</v>
      </c>
      <c r="G2409" s="3">
        <v>46310.616616735009</v>
      </c>
      <c r="H2409">
        <v>10.65</v>
      </c>
      <c r="I2409" t="s">
        <v>3147</v>
      </c>
      <c r="J2409" t="s">
        <v>3154</v>
      </c>
      <c r="K2409" t="s">
        <v>3186</v>
      </c>
      <c r="L2409" t="str">
        <f>_xlfn.XLOOKUP(C2409,[1]!Table1[Shift_ID],[1]!Table1[Shift_ID])</f>
        <v>S02</v>
      </c>
      <c r="M2409" t="str">
        <f>_xlfn.XLOOKUP(D2409,[2]!Table1[Machine_ID],[2]!Table1[Machine_ID])</f>
        <v>M001</v>
      </c>
      <c r="N2409" t="str">
        <f>_xlfn.XLOOKUP(E2409,[3]Sheet1!$A$2:$A$391,[3]Sheet1!$A$2:$A$391)</f>
        <v>PO10162</v>
      </c>
    </row>
    <row r="2410" spans="1:14" x14ac:dyDescent="0.2">
      <c r="A2410" t="s">
        <v>2419</v>
      </c>
      <c r="B2410" s="2">
        <v>46310</v>
      </c>
      <c r="C2410" t="s">
        <v>2941</v>
      </c>
      <c r="D2410" t="s">
        <v>2943</v>
      </c>
      <c r="E2410" t="s">
        <v>3112</v>
      </c>
      <c r="F2410" s="3">
        <v>46310.647424858958</v>
      </c>
      <c r="G2410" s="3">
        <v>46310.649396662157</v>
      </c>
      <c r="H2410">
        <v>2.84</v>
      </c>
      <c r="I2410" t="s">
        <v>3151</v>
      </c>
      <c r="J2410" t="s">
        <v>3169</v>
      </c>
      <c r="K2410" t="s">
        <v>3181</v>
      </c>
      <c r="L2410" t="str">
        <f>_xlfn.XLOOKUP(C2410,[1]!Table1[Shift_ID],[1]!Table1[Shift_ID])</f>
        <v>S02</v>
      </c>
      <c r="M2410" t="str">
        <f>_xlfn.XLOOKUP(D2410,[2]!Table1[Machine_ID],[2]!Table1[Machine_ID])</f>
        <v>M002</v>
      </c>
      <c r="N2410" t="str">
        <f>_xlfn.XLOOKUP(E2410,[3]Sheet1!$A$2:$A$391,[3]Sheet1!$A$2:$A$391)</f>
        <v>PO10162</v>
      </c>
    </row>
    <row r="2411" spans="1:14" x14ac:dyDescent="0.2">
      <c r="A2411" t="s">
        <v>2420</v>
      </c>
      <c r="B2411" s="2">
        <v>46310</v>
      </c>
      <c r="C2411" t="s">
        <v>2941</v>
      </c>
      <c r="D2411" t="s">
        <v>2943</v>
      </c>
      <c r="E2411" t="s">
        <v>3112</v>
      </c>
      <c r="F2411" s="3">
        <v>46310.793203916037</v>
      </c>
      <c r="G2411" s="3">
        <v>46310.795500749722</v>
      </c>
      <c r="H2411">
        <v>3.31</v>
      </c>
      <c r="I2411" t="s">
        <v>3151</v>
      </c>
      <c r="J2411" t="s">
        <v>3161</v>
      </c>
      <c r="K2411" t="s">
        <v>3187</v>
      </c>
      <c r="L2411" t="str">
        <f>_xlfn.XLOOKUP(C2411,[1]!Table1[Shift_ID],[1]!Table1[Shift_ID])</f>
        <v>S02</v>
      </c>
      <c r="M2411" t="str">
        <f>_xlfn.XLOOKUP(D2411,[2]!Table1[Machine_ID],[2]!Table1[Machine_ID])</f>
        <v>M002</v>
      </c>
      <c r="N2411" t="str">
        <f>_xlfn.XLOOKUP(E2411,[3]Sheet1!$A$2:$A$391,[3]Sheet1!$A$2:$A$391)</f>
        <v>PO10162</v>
      </c>
    </row>
    <row r="2412" spans="1:14" x14ac:dyDescent="0.2">
      <c r="A2412" t="s">
        <v>2421</v>
      </c>
      <c r="B2412" s="2">
        <v>46310</v>
      </c>
      <c r="C2412" t="s">
        <v>2941</v>
      </c>
      <c r="D2412" t="s">
        <v>2943</v>
      </c>
      <c r="E2412" t="s">
        <v>3112</v>
      </c>
      <c r="F2412" s="3">
        <v>46310.818422540557</v>
      </c>
      <c r="G2412" s="3">
        <v>46310.821891784668</v>
      </c>
      <c r="H2412">
        <v>5</v>
      </c>
      <c r="I2412" t="s">
        <v>3147</v>
      </c>
      <c r="J2412" t="s">
        <v>3154</v>
      </c>
      <c r="K2412" t="s">
        <v>3186</v>
      </c>
      <c r="L2412" t="str">
        <f>_xlfn.XLOOKUP(C2412,[1]!Table1[Shift_ID],[1]!Table1[Shift_ID])</f>
        <v>S02</v>
      </c>
      <c r="M2412" t="str">
        <f>_xlfn.XLOOKUP(D2412,[2]!Table1[Machine_ID],[2]!Table1[Machine_ID])</f>
        <v>M002</v>
      </c>
      <c r="N2412" t="str">
        <f>_xlfn.XLOOKUP(E2412,[3]Sheet1!$A$2:$A$391,[3]Sheet1!$A$2:$A$391)</f>
        <v>PO10162</v>
      </c>
    </row>
    <row r="2413" spans="1:14" x14ac:dyDescent="0.2">
      <c r="A2413" t="s">
        <v>2422</v>
      </c>
      <c r="B2413" s="2">
        <v>46310</v>
      </c>
      <c r="C2413" t="s">
        <v>2941</v>
      </c>
      <c r="D2413" t="s">
        <v>2943</v>
      </c>
      <c r="E2413" t="s">
        <v>3112</v>
      </c>
      <c r="F2413" s="3">
        <v>46310.838066250777</v>
      </c>
      <c r="G2413" s="3">
        <v>46310.840392996179</v>
      </c>
      <c r="H2413">
        <v>3.35</v>
      </c>
      <c r="I2413" t="s">
        <v>3150</v>
      </c>
      <c r="J2413" t="s">
        <v>3166</v>
      </c>
      <c r="K2413" t="s">
        <v>3178</v>
      </c>
      <c r="L2413" t="str">
        <f>_xlfn.XLOOKUP(C2413,[1]!Table1[Shift_ID],[1]!Table1[Shift_ID])</f>
        <v>S02</v>
      </c>
      <c r="M2413" t="str">
        <f>_xlfn.XLOOKUP(D2413,[2]!Table1[Machine_ID],[2]!Table1[Machine_ID])</f>
        <v>M002</v>
      </c>
      <c r="N2413" t="str">
        <f>_xlfn.XLOOKUP(E2413,[3]Sheet1!$A$2:$A$391,[3]Sheet1!$A$2:$A$391)</f>
        <v>PO10162</v>
      </c>
    </row>
    <row r="2414" spans="1:14" x14ac:dyDescent="0.2">
      <c r="A2414" t="s">
        <v>2423</v>
      </c>
      <c r="B2414" s="2">
        <v>46310</v>
      </c>
      <c r="C2414" t="s">
        <v>2941</v>
      </c>
      <c r="D2414" t="s">
        <v>2944</v>
      </c>
      <c r="E2414" t="s">
        <v>3112</v>
      </c>
      <c r="F2414" s="3">
        <v>46310.692157391379</v>
      </c>
      <c r="G2414" s="3">
        <v>46310.704165654308</v>
      </c>
      <c r="H2414">
        <v>17.29</v>
      </c>
      <c r="I2414" t="s">
        <v>3146</v>
      </c>
      <c r="J2414" t="s">
        <v>3156</v>
      </c>
      <c r="K2414" t="s">
        <v>3175</v>
      </c>
      <c r="L2414" t="str">
        <f>_xlfn.XLOOKUP(C2414,[1]!Table1[Shift_ID],[1]!Table1[Shift_ID])</f>
        <v>S02</v>
      </c>
      <c r="M2414" t="str">
        <f>_xlfn.XLOOKUP(D2414,[2]!Table1[Machine_ID],[2]!Table1[Machine_ID])</f>
        <v>M003</v>
      </c>
      <c r="N2414" t="str">
        <f>_xlfn.XLOOKUP(E2414,[3]Sheet1!$A$2:$A$391,[3]Sheet1!$A$2:$A$391)</f>
        <v>PO10162</v>
      </c>
    </row>
    <row r="2415" spans="1:14" x14ac:dyDescent="0.2">
      <c r="A2415" t="s">
        <v>2424</v>
      </c>
      <c r="B2415" s="2">
        <v>46310</v>
      </c>
      <c r="C2415" t="s">
        <v>2941</v>
      </c>
      <c r="D2415" t="s">
        <v>2944</v>
      </c>
      <c r="E2415" t="s">
        <v>3112</v>
      </c>
      <c r="F2415" s="3">
        <v>46310.70314442848</v>
      </c>
      <c r="G2415" s="3">
        <v>46310.705068438299</v>
      </c>
      <c r="H2415">
        <v>2.77</v>
      </c>
      <c r="I2415" t="s">
        <v>3148</v>
      </c>
      <c r="J2415" t="s">
        <v>3155</v>
      </c>
      <c r="K2415" t="s">
        <v>3173</v>
      </c>
      <c r="L2415" t="str">
        <f>_xlfn.XLOOKUP(C2415,[1]!Table1[Shift_ID],[1]!Table1[Shift_ID])</f>
        <v>S02</v>
      </c>
      <c r="M2415" t="str">
        <f>_xlfn.XLOOKUP(D2415,[2]!Table1[Machine_ID],[2]!Table1[Machine_ID])</f>
        <v>M003</v>
      </c>
      <c r="N2415" t="str">
        <f>_xlfn.XLOOKUP(E2415,[3]Sheet1!$A$2:$A$391,[3]Sheet1!$A$2:$A$391)</f>
        <v>PO10162</v>
      </c>
    </row>
    <row r="2416" spans="1:14" x14ac:dyDescent="0.2">
      <c r="A2416" t="s">
        <v>2425</v>
      </c>
      <c r="B2416" s="2">
        <v>46310</v>
      </c>
      <c r="C2416" t="s">
        <v>2941</v>
      </c>
      <c r="D2416" t="s">
        <v>2945</v>
      </c>
      <c r="E2416" t="s">
        <v>3112</v>
      </c>
      <c r="F2416" s="3">
        <v>46310.611651710577</v>
      </c>
      <c r="G2416" s="3">
        <v>46310.618680467232</v>
      </c>
      <c r="H2416">
        <v>10.119999999999999</v>
      </c>
      <c r="I2416" t="s">
        <v>3148</v>
      </c>
      <c r="J2416" t="s">
        <v>3155</v>
      </c>
      <c r="K2416" t="s">
        <v>3183</v>
      </c>
      <c r="L2416" t="str">
        <f>_xlfn.XLOOKUP(C2416,[1]!Table1[Shift_ID],[1]!Table1[Shift_ID])</f>
        <v>S02</v>
      </c>
      <c r="M2416" t="str">
        <f>_xlfn.XLOOKUP(D2416,[2]!Table1[Machine_ID],[2]!Table1[Machine_ID])</f>
        <v>M004</v>
      </c>
      <c r="N2416" t="str">
        <f>_xlfn.XLOOKUP(E2416,[3]Sheet1!$A$2:$A$391,[3]Sheet1!$A$2:$A$391)</f>
        <v>PO10162</v>
      </c>
    </row>
    <row r="2417" spans="1:14" x14ac:dyDescent="0.2">
      <c r="A2417" t="s">
        <v>2426</v>
      </c>
      <c r="B2417" s="2">
        <v>46310</v>
      </c>
      <c r="C2417" t="s">
        <v>2941</v>
      </c>
      <c r="D2417" t="s">
        <v>2946</v>
      </c>
      <c r="E2417" t="s">
        <v>3112</v>
      </c>
      <c r="F2417" s="3">
        <v>46310.665873725811</v>
      </c>
      <c r="G2417" s="3">
        <v>46310.676258732638</v>
      </c>
      <c r="H2417">
        <v>14.95</v>
      </c>
      <c r="I2417" t="s">
        <v>3147</v>
      </c>
      <c r="J2417" t="s">
        <v>3167</v>
      </c>
      <c r="K2417" t="s">
        <v>3172</v>
      </c>
      <c r="L2417" t="str">
        <f>_xlfn.XLOOKUP(C2417,[1]!Table1[Shift_ID],[1]!Table1[Shift_ID])</f>
        <v>S02</v>
      </c>
      <c r="M2417" t="str">
        <f>_xlfn.XLOOKUP(D2417,[2]!Table1[Machine_ID],[2]!Table1[Machine_ID])</f>
        <v>M005</v>
      </c>
      <c r="N2417" t="str">
        <f>_xlfn.XLOOKUP(E2417,[3]Sheet1!$A$2:$A$391,[3]Sheet1!$A$2:$A$391)</f>
        <v>PO10162</v>
      </c>
    </row>
    <row r="2418" spans="1:14" x14ac:dyDescent="0.2">
      <c r="A2418" t="s">
        <v>2427</v>
      </c>
      <c r="B2418" s="2">
        <v>46310</v>
      </c>
      <c r="C2418" t="s">
        <v>2941</v>
      </c>
      <c r="D2418" t="s">
        <v>2947</v>
      </c>
      <c r="E2418" t="s">
        <v>3112</v>
      </c>
      <c r="F2418" s="3">
        <v>46310.706681798438</v>
      </c>
      <c r="G2418" s="3">
        <v>46310.722762171768</v>
      </c>
      <c r="H2418">
        <v>23.16</v>
      </c>
      <c r="I2418" t="s">
        <v>3151</v>
      </c>
      <c r="J2418" t="s">
        <v>3161</v>
      </c>
      <c r="K2418" t="s">
        <v>3181</v>
      </c>
      <c r="L2418" t="str">
        <f>_xlfn.XLOOKUP(C2418,[1]!Table1[Shift_ID],[1]!Table1[Shift_ID])</f>
        <v>S02</v>
      </c>
      <c r="M2418" t="str">
        <f>_xlfn.XLOOKUP(D2418,[2]!Table1[Machine_ID],[2]!Table1[Machine_ID])</f>
        <v>M006</v>
      </c>
      <c r="N2418" t="str">
        <f>_xlfn.XLOOKUP(E2418,[3]Sheet1!$A$2:$A$391,[3]Sheet1!$A$2:$A$391)</f>
        <v>PO10162</v>
      </c>
    </row>
    <row r="2419" spans="1:14" x14ac:dyDescent="0.2">
      <c r="A2419" t="s">
        <v>2428</v>
      </c>
      <c r="B2419" s="2">
        <v>46310</v>
      </c>
      <c r="C2419" t="s">
        <v>2941</v>
      </c>
      <c r="D2419" t="s">
        <v>2947</v>
      </c>
      <c r="E2419" t="s">
        <v>3112</v>
      </c>
      <c r="F2419" s="3">
        <v>46310.860786425917</v>
      </c>
      <c r="G2419" s="3">
        <v>46310.871358458557</v>
      </c>
      <c r="H2419">
        <v>15.22</v>
      </c>
      <c r="I2419" t="s">
        <v>3149</v>
      </c>
      <c r="J2419" t="s">
        <v>3158</v>
      </c>
      <c r="K2419" t="s">
        <v>3184</v>
      </c>
      <c r="L2419" t="str">
        <f>_xlfn.XLOOKUP(C2419,[1]!Table1[Shift_ID],[1]!Table1[Shift_ID])</f>
        <v>S02</v>
      </c>
      <c r="M2419" t="str">
        <f>_xlfn.XLOOKUP(D2419,[2]!Table1[Machine_ID],[2]!Table1[Machine_ID])</f>
        <v>M006</v>
      </c>
      <c r="N2419" t="str">
        <f>_xlfn.XLOOKUP(E2419,[3]Sheet1!$A$2:$A$391,[3]Sheet1!$A$2:$A$391)</f>
        <v>PO10162</v>
      </c>
    </row>
    <row r="2420" spans="1:14" x14ac:dyDescent="0.2">
      <c r="A2420" t="s">
        <v>2429</v>
      </c>
      <c r="B2420" s="2">
        <v>46310</v>
      </c>
      <c r="C2420" t="s">
        <v>2941</v>
      </c>
      <c r="D2420" t="s">
        <v>2948</v>
      </c>
      <c r="E2420" t="s">
        <v>3112</v>
      </c>
      <c r="F2420" s="3">
        <v>46310.667986335808</v>
      </c>
      <c r="G2420" s="3">
        <v>46310.673341276954</v>
      </c>
      <c r="H2420">
        <v>7.71</v>
      </c>
      <c r="I2420" t="s">
        <v>3148</v>
      </c>
      <c r="J2420" t="s">
        <v>3155</v>
      </c>
      <c r="K2420" t="s">
        <v>3173</v>
      </c>
      <c r="L2420" t="str">
        <f>_xlfn.XLOOKUP(C2420,[1]!Table1[Shift_ID],[1]!Table1[Shift_ID])</f>
        <v>S02</v>
      </c>
      <c r="M2420" t="str">
        <f>_xlfn.XLOOKUP(D2420,[2]!Table1[Machine_ID],[2]!Table1[Machine_ID])</f>
        <v>M007</v>
      </c>
      <c r="N2420" t="str">
        <f>_xlfn.XLOOKUP(E2420,[3]Sheet1!$A$2:$A$391,[3]Sheet1!$A$2:$A$391)</f>
        <v>PO10162</v>
      </c>
    </row>
    <row r="2421" spans="1:14" x14ac:dyDescent="0.2">
      <c r="A2421" t="s">
        <v>2430</v>
      </c>
      <c r="B2421" s="2">
        <v>46310</v>
      </c>
      <c r="C2421" t="s">
        <v>2941</v>
      </c>
      <c r="D2421" t="s">
        <v>2948</v>
      </c>
      <c r="E2421" t="s">
        <v>3112</v>
      </c>
      <c r="F2421" s="3">
        <v>46310.718808050777</v>
      </c>
      <c r="G2421" s="3">
        <v>46310.725485500072</v>
      </c>
      <c r="H2421">
        <v>9.6199999999999992</v>
      </c>
      <c r="I2421" t="s">
        <v>3147</v>
      </c>
      <c r="J2421" t="s">
        <v>3167</v>
      </c>
      <c r="K2421" t="s">
        <v>3172</v>
      </c>
      <c r="L2421" t="str">
        <f>_xlfn.XLOOKUP(C2421,[1]!Table1[Shift_ID],[1]!Table1[Shift_ID])</f>
        <v>S02</v>
      </c>
      <c r="M2421" t="str">
        <f>_xlfn.XLOOKUP(D2421,[2]!Table1[Machine_ID],[2]!Table1[Machine_ID])</f>
        <v>M007</v>
      </c>
      <c r="N2421" t="str">
        <f>_xlfn.XLOOKUP(E2421,[3]Sheet1!$A$2:$A$391,[3]Sheet1!$A$2:$A$391)</f>
        <v>PO10162</v>
      </c>
    </row>
    <row r="2422" spans="1:14" x14ac:dyDescent="0.2">
      <c r="A2422" t="s">
        <v>2431</v>
      </c>
      <c r="B2422" s="2">
        <v>46310</v>
      </c>
      <c r="C2422" t="s">
        <v>2941</v>
      </c>
      <c r="D2422" t="s">
        <v>2948</v>
      </c>
      <c r="E2422" t="s">
        <v>3112</v>
      </c>
      <c r="F2422" s="3">
        <v>46310.725398324248</v>
      </c>
      <c r="G2422" s="3">
        <v>46310.731413772803</v>
      </c>
      <c r="H2422">
        <v>8.66</v>
      </c>
      <c r="I2422" t="s">
        <v>3150</v>
      </c>
      <c r="J2422" t="s">
        <v>3163</v>
      </c>
      <c r="K2422" t="s">
        <v>3178</v>
      </c>
      <c r="L2422" t="str">
        <f>_xlfn.XLOOKUP(C2422,[1]!Table1[Shift_ID],[1]!Table1[Shift_ID])</f>
        <v>S02</v>
      </c>
      <c r="M2422" t="str">
        <f>_xlfn.XLOOKUP(D2422,[2]!Table1[Machine_ID],[2]!Table1[Machine_ID])</f>
        <v>M007</v>
      </c>
      <c r="N2422" t="str">
        <f>_xlfn.XLOOKUP(E2422,[3]Sheet1!$A$2:$A$391,[3]Sheet1!$A$2:$A$391)</f>
        <v>PO10162</v>
      </c>
    </row>
    <row r="2423" spans="1:14" x14ac:dyDescent="0.2">
      <c r="A2423" t="s">
        <v>2432</v>
      </c>
      <c r="B2423" s="2">
        <v>46310</v>
      </c>
      <c r="C2423" t="s">
        <v>2941</v>
      </c>
      <c r="D2423" t="s">
        <v>2949</v>
      </c>
      <c r="E2423" t="s">
        <v>3112</v>
      </c>
      <c r="F2423" s="3">
        <v>46310.882972863503</v>
      </c>
      <c r="G2423" s="3">
        <v>46310.888455887252</v>
      </c>
      <c r="H2423">
        <v>7.9</v>
      </c>
      <c r="I2423" t="s">
        <v>3148</v>
      </c>
      <c r="J2423" t="s">
        <v>3155</v>
      </c>
      <c r="K2423" t="s">
        <v>3173</v>
      </c>
      <c r="L2423" t="str">
        <f>_xlfn.XLOOKUP(C2423,[1]!Table1[Shift_ID],[1]!Table1[Shift_ID])</f>
        <v>S02</v>
      </c>
      <c r="M2423" t="str">
        <f>_xlfn.XLOOKUP(D2423,[2]!Table1[Machine_ID],[2]!Table1[Machine_ID])</f>
        <v>M008</v>
      </c>
      <c r="N2423" t="str">
        <f>_xlfn.XLOOKUP(E2423,[3]Sheet1!$A$2:$A$391,[3]Sheet1!$A$2:$A$391)</f>
        <v>PO10162</v>
      </c>
    </row>
    <row r="2424" spans="1:14" x14ac:dyDescent="0.2">
      <c r="A2424" t="s">
        <v>2433</v>
      </c>
      <c r="B2424" s="2">
        <v>46311</v>
      </c>
      <c r="C2424" t="s">
        <v>2939</v>
      </c>
      <c r="D2424" t="s">
        <v>2942</v>
      </c>
      <c r="E2424" t="s">
        <v>3113</v>
      </c>
      <c r="F2424" s="3">
        <v>46312.142351956369</v>
      </c>
      <c r="G2424" s="3">
        <v>46312.149346957798</v>
      </c>
      <c r="H2424">
        <v>10.07</v>
      </c>
      <c r="I2424" t="s">
        <v>3146</v>
      </c>
      <c r="J2424" t="s">
        <v>3152</v>
      </c>
      <c r="K2424" t="s">
        <v>3171</v>
      </c>
      <c r="L2424" t="str">
        <f>_xlfn.XLOOKUP(C2424,[1]!Table1[Shift_ID],[1]!Table1[Shift_ID])</f>
        <v>S03</v>
      </c>
      <c r="M2424" t="str">
        <f>_xlfn.XLOOKUP(D2424,[2]!Table1[Machine_ID],[2]!Table1[Machine_ID])</f>
        <v>M001</v>
      </c>
      <c r="N2424" t="str">
        <f>_xlfn.XLOOKUP(E2424,[3]Sheet1!$A$2:$A$391,[3]Sheet1!$A$2:$A$391)</f>
        <v>PO10163</v>
      </c>
    </row>
    <row r="2425" spans="1:14" x14ac:dyDescent="0.2">
      <c r="A2425" t="s">
        <v>2434</v>
      </c>
      <c r="B2425" s="2">
        <v>46311</v>
      </c>
      <c r="C2425" t="s">
        <v>2939</v>
      </c>
      <c r="D2425" t="s">
        <v>2943</v>
      </c>
      <c r="E2425" t="s">
        <v>3113</v>
      </c>
      <c r="F2425" s="3">
        <v>46311.997294993613</v>
      </c>
      <c r="G2425" s="3">
        <v>46312.007196991297</v>
      </c>
      <c r="H2425">
        <v>14.26</v>
      </c>
      <c r="I2425" t="s">
        <v>3150</v>
      </c>
      <c r="J2425" t="s">
        <v>3159</v>
      </c>
      <c r="K2425" t="s">
        <v>3179</v>
      </c>
      <c r="L2425" t="str">
        <f>_xlfn.XLOOKUP(C2425,[1]!Table1[Shift_ID],[1]!Table1[Shift_ID])</f>
        <v>S03</v>
      </c>
      <c r="M2425" t="str">
        <f>_xlfn.XLOOKUP(D2425,[2]!Table1[Machine_ID],[2]!Table1[Machine_ID])</f>
        <v>M002</v>
      </c>
      <c r="N2425" t="str">
        <f>_xlfn.XLOOKUP(E2425,[3]Sheet1!$A$2:$A$391,[3]Sheet1!$A$2:$A$391)</f>
        <v>PO10163</v>
      </c>
    </row>
    <row r="2426" spans="1:14" x14ac:dyDescent="0.2">
      <c r="A2426" t="s">
        <v>2435</v>
      </c>
      <c r="B2426" s="2">
        <v>46311</v>
      </c>
      <c r="C2426" t="s">
        <v>2939</v>
      </c>
      <c r="D2426" t="s">
        <v>2944</v>
      </c>
      <c r="E2426" t="s">
        <v>3113</v>
      </c>
      <c r="F2426" s="3">
        <v>46312.003539331548</v>
      </c>
      <c r="G2426" s="3">
        <v>46312.009798186577</v>
      </c>
      <c r="H2426">
        <v>9.01</v>
      </c>
      <c r="I2426" t="s">
        <v>3147</v>
      </c>
      <c r="J2426" t="s">
        <v>3154</v>
      </c>
      <c r="K2426" t="s">
        <v>3186</v>
      </c>
      <c r="L2426" t="str">
        <f>_xlfn.XLOOKUP(C2426,[1]!Table1[Shift_ID],[1]!Table1[Shift_ID])</f>
        <v>S03</v>
      </c>
      <c r="M2426" t="str">
        <f>_xlfn.XLOOKUP(D2426,[2]!Table1[Machine_ID],[2]!Table1[Machine_ID])</f>
        <v>M003</v>
      </c>
      <c r="N2426" t="str">
        <f>_xlfn.XLOOKUP(E2426,[3]Sheet1!$A$2:$A$391,[3]Sheet1!$A$2:$A$391)</f>
        <v>PO10163</v>
      </c>
    </row>
    <row r="2427" spans="1:14" x14ac:dyDescent="0.2">
      <c r="A2427" t="s">
        <v>2436</v>
      </c>
      <c r="B2427" s="2">
        <v>46311</v>
      </c>
      <c r="C2427" t="s">
        <v>2939</v>
      </c>
      <c r="D2427" t="s">
        <v>2944</v>
      </c>
      <c r="E2427" t="s">
        <v>3113</v>
      </c>
      <c r="F2427" s="3">
        <v>46312.129889340438</v>
      </c>
      <c r="G2427" s="3">
        <v>46312.131634648817</v>
      </c>
      <c r="H2427">
        <v>2.5099999999999998</v>
      </c>
      <c r="I2427" t="s">
        <v>3150</v>
      </c>
      <c r="J2427" t="s">
        <v>3159</v>
      </c>
      <c r="K2427" t="s">
        <v>3177</v>
      </c>
      <c r="L2427" t="str">
        <f>_xlfn.XLOOKUP(C2427,[1]!Table1[Shift_ID],[1]!Table1[Shift_ID])</f>
        <v>S03</v>
      </c>
      <c r="M2427" t="str">
        <f>_xlfn.XLOOKUP(D2427,[2]!Table1[Machine_ID],[2]!Table1[Machine_ID])</f>
        <v>M003</v>
      </c>
      <c r="N2427" t="str">
        <f>_xlfn.XLOOKUP(E2427,[3]Sheet1!$A$2:$A$391,[3]Sheet1!$A$2:$A$391)</f>
        <v>PO10163</v>
      </c>
    </row>
    <row r="2428" spans="1:14" x14ac:dyDescent="0.2">
      <c r="A2428" t="s">
        <v>2437</v>
      </c>
      <c r="B2428" s="2">
        <v>46311</v>
      </c>
      <c r="C2428" t="s">
        <v>2939</v>
      </c>
      <c r="D2428" t="s">
        <v>2944</v>
      </c>
      <c r="E2428" t="s">
        <v>3113</v>
      </c>
      <c r="F2428" s="3">
        <v>46312.182980533653</v>
      </c>
      <c r="G2428" s="3">
        <v>46312.184725842017</v>
      </c>
      <c r="H2428">
        <v>2.5099999999999998</v>
      </c>
      <c r="I2428" t="s">
        <v>3151</v>
      </c>
      <c r="J2428" t="s">
        <v>3169</v>
      </c>
      <c r="K2428" t="s">
        <v>3181</v>
      </c>
      <c r="L2428" t="str">
        <f>_xlfn.XLOOKUP(C2428,[1]!Table1[Shift_ID],[1]!Table1[Shift_ID])</f>
        <v>S03</v>
      </c>
      <c r="M2428" t="str">
        <f>_xlfn.XLOOKUP(D2428,[2]!Table1[Machine_ID],[2]!Table1[Machine_ID])</f>
        <v>M003</v>
      </c>
      <c r="N2428" t="str">
        <f>_xlfn.XLOOKUP(E2428,[3]Sheet1!$A$2:$A$391,[3]Sheet1!$A$2:$A$391)</f>
        <v>PO10163</v>
      </c>
    </row>
    <row r="2429" spans="1:14" x14ac:dyDescent="0.2">
      <c r="A2429" t="s">
        <v>2438</v>
      </c>
      <c r="B2429" s="2">
        <v>46311</v>
      </c>
      <c r="C2429" t="s">
        <v>2939</v>
      </c>
      <c r="D2429" t="s">
        <v>2945</v>
      </c>
      <c r="E2429" t="s">
        <v>3113</v>
      </c>
      <c r="F2429" s="3">
        <v>46311.962051408562</v>
      </c>
      <c r="G2429" s="3">
        <v>46311.970667698137</v>
      </c>
      <c r="H2429">
        <v>12.41</v>
      </c>
      <c r="I2429" t="s">
        <v>3146</v>
      </c>
      <c r="J2429" t="s">
        <v>3156</v>
      </c>
      <c r="K2429" t="s">
        <v>3174</v>
      </c>
      <c r="L2429" t="str">
        <f>_xlfn.XLOOKUP(C2429,[1]!Table1[Shift_ID],[1]!Table1[Shift_ID])</f>
        <v>S03</v>
      </c>
      <c r="M2429" t="str">
        <f>_xlfn.XLOOKUP(D2429,[2]!Table1[Machine_ID],[2]!Table1[Machine_ID])</f>
        <v>M004</v>
      </c>
      <c r="N2429" t="str">
        <f>_xlfn.XLOOKUP(E2429,[3]Sheet1!$A$2:$A$391,[3]Sheet1!$A$2:$A$391)</f>
        <v>PO10163</v>
      </c>
    </row>
    <row r="2430" spans="1:14" x14ac:dyDescent="0.2">
      <c r="A2430" t="s">
        <v>2439</v>
      </c>
      <c r="B2430" s="2">
        <v>46311</v>
      </c>
      <c r="C2430" t="s">
        <v>2939</v>
      </c>
      <c r="D2430" t="s">
        <v>2946</v>
      </c>
      <c r="E2430" t="s">
        <v>3113</v>
      </c>
      <c r="F2430" s="3">
        <v>46312.059029472548</v>
      </c>
      <c r="G2430" s="3">
        <v>46312.066335262163</v>
      </c>
      <c r="H2430">
        <v>10.52</v>
      </c>
      <c r="I2430" t="s">
        <v>3147</v>
      </c>
      <c r="J2430" t="s">
        <v>3167</v>
      </c>
      <c r="K2430" t="s">
        <v>3185</v>
      </c>
      <c r="L2430" t="str">
        <f>_xlfn.XLOOKUP(C2430,[1]!Table1[Shift_ID],[1]!Table1[Shift_ID])</f>
        <v>S03</v>
      </c>
      <c r="M2430" t="str">
        <f>_xlfn.XLOOKUP(D2430,[2]!Table1[Machine_ID],[2]!Table1[Machine_ID])</f>
        <v>M005</v>
      </c>
      <c r="N2430" t="str">
        <f>_xlfn.XLOOKUP(E2430,[3]Sheet1!$A$2:$A$391,[3]Sheet1!$A$2:$A$391)</f>
        <v>PO10163</v>
      </c>
    </row>
    <row r="2431" spans="1:14" x14ac:dyDescent="0.2">
      <c r="A2431" t="s">
        <v>2440</v>
      </c>
      <c r="B2431" s="2">
        <v>46311</v>
      </c>
      <c r="C2431" t="s">
        <v>2939</v>
      </c>
      <c r="D2431" t="s">
        <v>2946</v>
      </c>
      <c r="E2431" t="s">
        <v>3113</v>
      </c>
      <c r="F2431" s="3">
        <v>46312.177028469712</v>
      </c>
      <c r="G2431" s="3">
        <v>46312.178744259218</v>
      </c>
      <c r="H2431">
        <v>2.4700000000000002</v>
      </c>
      <c r="I2431" t="s">
        <v>3149</v>
      </c>
      <c r="J2431" t="s">
        <v>3162</v>
      </c>
      <c r="K2431" t="s">
        <v>3182</v>
      </c>
      <c r="L2431" t="str">
        <f>_xlfn.XLOOKUP(C2431,[1]!Table1[Shift_ID],[1]!Table1[Shift_ID])</f>
        <v>S03</v>
      </c>
      <c r="M2431" t="str">
        <f>_xlfn.XLOOKUP(D2431,[2]!Table1[Machine_ID],[2]!Table1[Machine_ID])</f>
        <v>M005</v>
      </c>
      <c r="N2431" t="str">
        <f>_xlfn.XLOOKUP(E2431,[3]Sheet1!$A$2:$A$391,[3]Sheet1!$A$2:$A$391)</f>
        <v>PO10163</v>
      </c>
    </row>
    <row r="2432" spans="1:14" x14ac:dyDescent="0.2">
      <c r="A2432" t="s">
        <v>2441</v>
      </c>
      <c r="B2432" s="2">
        <v>46311</v>
      </c>
      <c r="C2432" t="s">
        <v>2939</v>
      </c>
      <c r="D2432" t="s">
        <v>2947</v>
      </c>
      <c r="E2432" t="s">
        <v>3113</v>
      </c>
      <c r="F2432" s="3">
        <v>46311.978806390209</v>
      </c>
      <c r="G2432" s="3">
        <v>46311.983476130081</v>
      </c>
      <c r="H2432">
        <v>6.72</v>
      </c>
      <c r="I2432" t="s">
        <v>3149</v>
      </c>
      <c r="J2432" t="s">
        <v>3158</v>
      </c>
      <c r="K2432" t="s">
        <v>3182</v>
      </c>
      <c r="L2432" t="str">
        <f>_xlfn.XLOOKUP(C2432,[1]!Table1[Shift_ID],[1]!Table1[Shift_ID])</f>
        <v>S03</v>
      </c>
      <c r="M2432" t="str">
        <f>_xlfn.XLOOKUP(D2432,[2]!Table1[Machine_ID],[2]!Table1[Machine_ID])</f>
        <v>M006</v>
      </c>
      <c r="N2432" t="str">
        <f>_xlfn.XLOOKUP(E2432,[3]Sheet1!$A$2:$A$391,[3]Sheet1!$A$2:$A$391)</f>
        <v>PO10163</v>
      </c>
    </row>
    <row r="2433" spans="1:14" x14ac:dyDescent="0.2">
      <c r="A2433" t="s">
        <v>2442</v>
      </c>
      <c r="B2433" s="2">
        <v>46311</v>
      </c>
      <c r="C2433" t="s">
        <v>2939</v>
      </c>
      <c r="D2433" t="s">
        <v>2947</v>
      </c>
      <c r="E2433" t="s">
        <v>3113</v>
      </c>
      <c r="F2433" s="3">
        <v>46311.978937613771</v>
      </c>
      <c r="G2433" s="3">
        <v>46311.980887518883</v>
      </c>
      <c r="H2433">
        <v>2.81</v>
      </c>
      <c r="I2433" t="s">
        <v>3149</v>
      </c>
      <c r="J2433" t="s">
        <v>3162</v>
      </c>
      <c r="K2433" t="s">
        <v>3182</v>
      </c>
      <c r="L2433" t="str">
        <f>_xlfn.XLOOKUP(C2433,[1]!Table1[Shift_ID],[1]!Table1[Shift_ID])</f>
        <v>S03</v>
      </c>
      <c r="M2433" t="str">
        <f>_xlfn.XLOOKUP(D2433,[2]!Table1[Machine_ID],[2]!Table1[Machine_ID])</f>
        <v>M006</v>
      </c>
      <c r="N2433" t="str">
        <f>_xlfn.XLOOKUP(E2433,[3]Sheet1!$A$2:$A$391,[3]Sheet1!$A$2:$A$391)</f>
        <v>PO10163</v>
      </c>
    </row>
    <row r="2434" spans="1:14" x14ac:dyDescent="0.2">
      <c r="A2434" t="s">
        <v>2443</v>
      </c>
      <c r="B2434" s="2">
        <v>46311</v>
      </c>
      <c r="C2434" t="s">
        <v>2939</v>
      </c>
      <c r="D2434" t="s">
        <v>2947</v>
      </c>
      <c r="E2434" t="s">
        <v>3113</v>
      </c>
      <c r="F2434" s="3">
        <v>46312.020721562789</v>
      </c>
      <c r="G2434" s="3">
        <v>46312.024055198031</v>
      </c>
      <c r="H2434">
        <v>4.8</v>
      </c>
      <c r="I2434" t="s">
        <v>3148</v>
      </c>
      <c r="J2434" t="s">
        <v>3165</v>
      </c>
      <c r="K2434" t="s">
        <v>3173</v>
      </c>
      <c r="L2434" t="str">
        <f>_xlfn.XLOOKUP(C2434,[1]!Table1[Shift_ID],[1]!Table1[Shift_ID])</f>
        <v>S03</v>
      </c>
      <c r="M2434" t="str">
        <f>_xlfn.XLOOKUP(D2434,[2]!Table1[Machine_ID],[2]!Table1[Machine_ID])</f>
        <v>M006</v>
      </c>
      <c r="N2434" t="str">
        <f>_xlfn.XLOOKUP(E2434,[3]Sheet1!$A$2:$A$391,[3]Sheet1!$A$2:$A$391)</f>
        <v>PO10163</v>
      </c>
    </row>
    <row r="2435" spans="1:14" x14ac:dyDescent="0.2">
      <c r="A2435" t="s">
        <v>2444</v>
      </c>
      <c r="B2435" s="2">
        <v>46311</v>
      </c>
      <c r="C2435" t="s">
        <v>2939</v>
      </c>
      <c r="D2435" t="s">
        <v>2947</v>
      </c>
      <c r="E2435" t="s">
        <v>3113</v>
      </c>
      <c r="F2435" s="3">
        <v>46312.0774574608</v>
      </c>
      <c r="G2435" s="3">
        <v>46312.090650293387</v>
      </c>
      <c r="H2435">
        <v>19</v>
      </c>
      <c r="I2435" t="s">
        <v>3149</v>
      </c>
      <c r="J2435" t="s">
        <v>3168</v>
      </c>
      <c r="K2435" t="s">
        <v>3184</v>
      </c>
      <c r="L2435" t="str">
        <f>_xlfn.XLOOKUP(C2435,[1]!Table1[Shift_ID],[1]!Table1[Shift_ID])</f>
        <v>S03</v>
      </c>
      <c r="M2435" t="str">
        <f>_xlfn.XLOOKUP(D2435,[2]!Table1[Machine_ID],[2]!Table1[Machine_ID])</f>
        <v>M006</v>
      </c>
      <c r="N2435" t="str">
        <f>_xlfn.XLOOKUP(E2435,[3]Sheet1!$A$2:$A$391,[3]Sheet1!$A$2:$A$391)</f>
        <v>PO10163</v>
      </c>
    </row>
    <row r="2436" spans="1:14" x14ac:dyDescent="0.2">
      <c r="A2436" t="s">
        <v>2445</v>
      </c>
      <c r="B2436" s="2">
        <v>46311</v>
      </c>
      <c r="C2436" t="s">
        <v>2939</v>
      </c>
      <c r="D2436" t="s">
        <v>2947</v>
      </c>
      <c r="E2436" t="s">
        <v>3113</v>
      </c>
      <c r="F2436" s="3">
        <v>46312.131033010563</v>
      </c>
      <c r="G2436" s="3">
        <v>46312.132982915668</v>
      </c>
      <c r="H2436">
        <v>2.81</v>
      </c>
      <c r="I2436" t="s">
        <v>3150</v>
      </c>
      <c r="J2436" t="s">
        <v>3160</v>
      </c>
      <c r="K2436" t="s">
        <v>3179</v>
      </c>
      <c r="L2436" t="str">
        <f>_xlfn.XLOOKUP(C2436,[1]!Table1[Shift_ID],[1]!Table1[Shift_ID])</f>
        <v>S03</v>
      </c>
      <c r="M2436" t="str">
        <f>_xlfn.XLOOKUP(D2436,[2]!Table1[Machine_ID],[2]!Table1[Machine_ID])</f>
        <v>M006</v>
      </c>
      <c r="N2436" t="str">
        <f>_xlfn.XLOOKUP(E2436,[3]Sheet1!$A$2:$A$391,[3]Sheet1!$A$2:$A$391)</f>
        <v>PO10163</v>
      </c>
    </row>
    <row r="2437" spans="1:14" x14ac:dyDescent="0.2">
      <c r="A2437" t="s">
        <v>2446</v>
      </c>
      <c r="B2437" s="2">
        <v>46311</v>
      </c>
      <c r="C2437" t="s">
        <v>2939</v>
      </c>
      <c r="D2437" t="s">
        <v>2947</v>
      </c>
      <c r="E2437" t="s">
        <v>3113</v>
      </c>
      <c r="F2437" s="3">
        <v>46312.214860978776</v>
      </c>
      <c r="G2437" s="3">
        <v>46312.2198617502</v>
      </c>
      <c r="H2437">
        <v>7.2</v>
      </c>
      <c r="I2437" t="s">
        <v>3149</v>
      </c>
      <c r="J2437" t="s">
        <v>3162</v>
      </c>
      <c r="K2437" t="s">
        <v>3184</v>
      </c>
      <c r="L2437" t="str">
        <f>_xlfn.XLOOKUP(C2437,[1]!Table1[Shift_ID],[1]!Table1[Shift_ID])</f>
        <v>S03</v>
      </c>
      <c r="M2437" t="str">
        <f>_xlfn.XLOOKUP(D2437,[2]!Table1[Machine_ID],[2]!Table1[Machine_ID])</f>
        <v>M006</v>
      </c>
      <c r="N2437" t="str">
        <f>_xlfn.XLOOKUP(E2437,[3]Sheet1!$A$2:$A$391,[3]Sheet1!$A$2:$A$391)</f>
        <v>PO10163</v>
      </c>
    </row>
    <row r="2438" spans="1:14" x14ac:dyDescent="0.2">
      <c r="A2438" t="s">
        <v>2447</v>
      </c>
      <c r="B2438" s="2">
        <v>46311</v>
      </c>
      <c r="C2438" t="s">
        <v>2939</v>
      </c>
      <c r="D2438" t="s">
        <v>2948</v>
      </c>
      <c r="E2438" t="s">
        <v>3113</v>
      </c>
      <c r="F2438" s="3">
        <v>46311.982796904907</v>
      </c>
      <c r="G2438" s="3">
        <v>46311.984594196903</v>
      </c>
      <c r="H2438">
        <v>2.59</v>
      </c>
      <c r="I2438" t="s">
        <v>3150</v>
      </c>
      <c r="J2438" t="s">
        <v>3159</v>
      </c>
      <c r="K2438" t="s">
        <v>3178</v>
      </c>
      <c r="L2438" t="str">
        <f>_xlfn.XLOOKUP(C2438,[1]!Table1[Shift_ID],[1]!Table1[Shift_ID])</f>
        <v>S03</v>
      </c>
      <c r="M2438" t="str">
        <f>_xlfn.XLOOKUP(D2438,[2]!Table1[Machine_ID],[2]!Table1[Machine_ID])</f>
        <v>M007</v>
      </c>
      <c r="N2438" t="str">
        <f>_xlfn.XLOOKUP(E2438,[3]Sheet1!$A$2:$A$391,[3]Sheet1!$A$2:$A$391)</f>
        <v>PO10163</v>
      </c>
    </row>
    <row r="2439" spans="1:14" x14ac:dyDescent="0.2">
      <c r="A2439" t="s">
        <v>2448</v>
      </c>
      <c r="B2439" s="2">
        <v>46311</v>
      </c>
      <c r="C2439" t="s">
        <v>2939</v>
      </c>
      <c r="D2439" t="s">
        <v>2948</v>
      </c>
      <c r="E2439" t="s">
        <v>3113</v>
      </c>
      <c r="F2439" s="3">
        <v>46312.017520740766</v>
      </c>
      <c r="G2439" s="3">
        <v>46312.01931803277</v>
      </c>
      <c r="H2439">
        <v>2.59</v>
      </c>
      <c r="I2439" t="s">
        <v>3147</v>
      </c>
      <c r="J2439" t="s">
        <v>3153</v>
      </c>
      <c r="K2439" t="s">
        <v>3185</v>
      </c>
      <c r="L2439" t="str">
        <f>_xlfn.XLOOKUP(C2439,[1]!Table1[Shift_ID],[1]!Table1[Shift_ID])</f>
        <v>S03</v>
      </c>
      <c r="M2439" t="str">
        <f>_xlfn.XLOOKUP(D2439,[2]!Table1[Machine_ID],[2]!Table1[Machine_ID])</f>
        <v>M007</v>
      </c>
      <c r="N2439" t="str">
        <f>_xlfn.XLOOKUP(E2439,[3]Sheet1!$A$2:$A$391,[3]Sheet1!$A$2:$A$391)</f>
        <v>PO10163</v>
      </c>
    </row>
    <row r="2440" spans="1:14" x14ac:dyDescent="0.2">
      <c r="A2440" t="s">
        <v>2449</v>
      </c>
      <c r="B2440" s="2">
        <v>46311</v>
      </c>
      <c r="C2440" t="s">
        <v>2939</v>
      </c>
      <c r="D2440" t="s">
        <v>2948</v>
      </c>
      <c r="E2440" t="s">
        <v>3113</v>
      </c>
      <c r="F2440" s="3">
        <v>46312.193309659378</v>
      </c>
      <c r="G2440" s="3">
        <v>46312.200676460197</v>
      </c>
      <c r="H2440">
        <v>10.61</v>
      </c>
      <c r="I2440" t="s">
        <v>3147</v>
      </c>
      <c r="J2440" t="s">
        <v>3154</v>
      </c>
      <c r="K2440" t="s">
        <v>3172</v>
      </c>
      <c r="L2440" t="str">
        <f>_xlfn.XLOOKUP(C2440,[1]!Table1[Shift_ID],[1]!Table1[Shift_ID])</f>
        <v>S03</v>
      </c>
      <c r="M2440" t="str">
        <f>_xlfn.XLOOKUP(D2440,[2]!Table1[Machine_ID],[2]!Table1[Machine_ID])</f>
        <v>M007</v>
      </c>
      <c r="N2440" t="str">
        <f>_xlfn.XLOOKUP(E2440,[3]Sheet1!$A$2:$A$391,[3]Sheet1!$A$2:$A$391)</f>
        <v>PO10163</v>
      </c>
    </row>
    <row r="2441" spans="1:14" x14ac:dyDescent="0.2">
      <c r="A2441" t="s">
        <v>2450</v>
      </c>
      <c r="B2441" s="2">
        <v>46311</v>
      </c>
      <c r="C2441" t="s">
        <v>2939</v>
      </c>
      <c r="D2441" t="s">
        <v>2949</v>
      </c>
      <c r="E2441" t="s">
        <v>3113</v>
      </c>
      <c r="F2441" s="3">
        <v>46311.971865496271</v>
      </c>
      <c r="G2441" s="3">
        <v>46311.97445642059</v>
      </c>
      <c r="H2441">
        <v>3.73</v>
      </c>
      <c r="I2441" t="s">
        <v>3148</v>
      </c>
      <c r="J2441" t="s">
        <v>3155</v>
      </c>
      <c r="K2441" t="s">
        <v>3183</v>
      </c>
      <c r="L2441" t="str">
        <f>_xlfn.XLOOKUP(C2441,[1]!Table1[Shift_ID],[1]!Table1[Shift_ID])</f>
        <v>S03</v>
      </c>
      <c r="M2441" t="str">
        <f>_xlfn.XLOOKUP(D2441,[2]!Table1[Machine_ID],[2]!Table1[Machine_ID])</f>
        <v>M008</v>
      </c>
      <c r="N2441" t="str">
        <f>_xlfn.XLOOKUP(E2441,[3]Sheet1!$A$2:$A$391,[3]Sheet1!$A$2:$A$391)</f>
        <v>PO10163</v>
      </c>
    </row>
    <row r="2442" spans="1:14" x14ac:dyDescent="0.2">
      <c r="A2442" t="s">
        <v>2451</v>
      </c>
      <c r="B2442" s="2">
        <v>46311</v>
      </c>
      <c r="C2442" t="s">
        <v>2939</v>
      </c>
      <c r="D2442" t="s">
        <v>2949</v>
      </c>
      <c r="E2442" t="s">
        <v>3113</v>
      </c>
      <c r="F2442" s="3">
        <v>46312.207564647462</v>
      </c>
      <c r="G2442" s="3">
        <v>46312.21086139587</v>
      </c>
      <c r="H2442">
        <v>4.75</v>
      </c>
      <c r="I2442" t="s">
        <v>3148</v>
      </c>
      <c r="J2442" t="s">
        <v>3165</v>
      </c>
      <c r="K2442" t="s">
        <v>3180</v>
      </c>
      <c r="L2442" t="str">
        <f>_xlfn.XLOOKUP(C2442,[1]!Table1[Shift_ID],[1]!Table1[Shift_ID])</f>
        <v>S03</v>
      </c>
      <c r="M2442" t="str">
        <f>_xlfn.XLOOKUP(D2442,[2]!Table1[Machine_ID],[2]!Table1[Machine_ID])</f>
        <v>M008</v>
      </c>
      <c r="N2442" t="str">
        <f>_xlfn.XLOOKUP(E2442,[3]Sheet1!$A$2:$A$391,[3]Sheet1!$A$2:$A$391)</f>
        <v>PO10163</v>
      </c>
    </row>
    <row r="2443" spans="1:14" x14ac:dyDescent="0.2">
      <c r="A2443" t="s">
        <v>2452</v>
      </c>
      <c r="B2443" s="2">
        <v>46311</v>
      </c>
      <c r="C2443" t="s">
        <v>2940</v>
      </c>
      <c r="D2443" t="s">
        <v>2942</v>
      </c>
      <c r="E2443" t="s">
        <v>3114</v>
      </c>
      <c r="F2443" s="3">
        <v>46311.295213298778</v>
      </c>
      <c r="G2443" s="3">
        <v>46311.29948461162</v>
      </c>
      <c r="H2443">
        <v>6.15</v>
      </c>
      <c r="I2443" t="s">
        <v>3148</v>
      </c>
      <c r="J2443" t="s">
        <v>3165</v>
      </c>
      <c r="K2443" t="s">
        <v>3173</v>
      </c>
      <c r="L2443" t="str">
        <f>_xlfn.XLOOKUP(C2443,[1]!Table1[Shift_ID],[1]!Table1[Shift_ID])</f>
        <v>S01</v>
      </c>
      <c r="M2443" t="str">
        <f>_xlfn.XLOOKUP(D2443,[2]!Table1[Machine_ID],[2]!Table1[Machine_ID])</f>
        <v>M001</v>
      </c>
      <c r="N2443" t="str">
        <f>_xlfn.XLOOKUP(E2443,[3]Sheet1!$A$2:$A$391,[3]Sheet1!$A$2:$A$391)</f>
        <v>PO10164</v>
      </c>
    </row>
    <row r="2444" spans="1:14" x14ac:dyDescent="0.2">
      <c r="A2444" t="s">
        <v>2453</v>
      </c>
      <c r="B2444" s="2">
        <v>46311</v>
      </c>
      <c r="C2444" t="s">
        <v>2940</v>
      </c>
      <c r="D2444" t="s">
        <v>2943</v>
      </c>
      <c r="E2444" t="s">
        <v>3114</v>
      </c>
      <c r="F2444" s="3">
        <v>46311.523543419571</v>
      </c>
      <c r="G2444" s="3">
        <v>46311.533151366733</v>
      </c>
      <c r="H2444">
        <v>13.84</v>
      </c>
      <c r="I2444" t="s">
        <v>3150</v>
      </c>
      <c r="J2444" t="s">
        <v>3159</v>
      </c>
      <c r="K2444" t="s">
        <v>3179</v>
      </c>
      <c r="L2444" t="str">
        <f>_xlfn.XLOOKUP(C2444,[1]!Table1[Shift_ID],[1]!Table1[Shift_ID])</f>
        <v>S01</v>
      </c>
      <c r="M2444" t="str">
        <f>_xlfn.XLOOKUP(D2444,[2]!Table1[Machine_ID],[2]!Table1[Machine_ID])</f>
        <v>M002</v>
      </c>
      <c r="N2444" t="str">
        <f>_xlfn.XLOOKUP(E2444,[3]Sheet1!$A$2:$A$391,[3]Sheet1!$A$2:$A$391)</f>
        <v>PO10164</v>
      </c>
    </row>
    <row r="2445" spans="1:14" x14ac:dyDescent="0.2">
      <c r="A2445" t="s">
        <v>2454</v>
      </c>
      <c r="B2445" s="2">
        <v>46311</v>
      </c>
      <c r="C2445" t="s">
        <v>2940</v>
      </c>
      <c r="D2445" t="s">
        <v>2944</v>
      </c>
      <c r="E2445" t="s">
        <v>3114</v>
      </c>
      <c r="F2445" s="3">
        <v>46311.279390165837</v>
      </c>
      <c r="G2445" s="3">
        <v>46311.281048570672</v>
      </c>
      <c r="H2445">
        <v>2.39</v>
      </c>
      <c r="I2445" t="s">
        <v>3150</v>
      </c>
      <c r="J2445" t="s">
        <v>3166</v>
      </c>
      <c r="K2445" t="s">
        <v>3177</v>
      </c>
      <c r="L2445" t="str">
        <f>_xlfn.XLOOKUP(C2445,[1]!Table1[Shift_ID],[1]!Table1[Shift_ID])</f>
        <v>S01</v>
      </c>
      <c r="M2445" t="str">
        <f>_xlfn.XLOOKUP(D2445,[2]!Table1[Machine_ID],[2]!Table1[Machine_ID])</f>
        <v>M003</v>
      </c>
      <c r="N2445" t="str">
        <f>_xlfn.XLOOKUP(E2445,[3]Sheet1!$A$2:$A$391,[3]Sheet1!$A$2:$A$391)</f>
        <v>PO10164</v>
      </c>
    </row>
    <row r="2446" spans="1:14" x14ac:dyDescent="0.2">
      <c r="A2446" t="s">
        <v>2455</v>
      </c>
      <c r="B2446" s="2">
        <v>46311</v>
      </c>
      <c r="C2446" t="s">
        <v>2940</v>
      </c>
      <c r="D2446" t="s">
        <v>2944</v>
      </c>
      <c r="E2446" t="s">
        <v>3114</v>
      </c>
      <c r="F2446" s="3">
        <v>46311.328092627627</v>
      </c>
      <c r="G2446" s="3">
        <v>46311.329751032463</v>
      </c>
      <c r="H2446">
        <v>2.39</v>
      </c>
      <c r="I2446" t="s">
        <v>3147</v>
      </c>
      <c r="J2446" t="s">
        <v>3167</v>
      </c>
      <c r="K2446" t="s">
        <v>3172</v>
      </c>
      <c r="L2446" t="str">
        <f>_xlfn.XLOOKUP(C2446,[1]!Table1[Shift_ID],[1]!Table1[Shift_ID])</f>
        <v>S01</v>
      </c>
      <c r="M2446" t="str">
        <f>_xlfn.XLOOKUP(D2446,[2]!Table1[Machine_ID],[2]!Table1[Machine_ID])</f>
        <v>M003</v>
      </c>
      <c r="N2446" t="str">
        <f>_xlfn.XLOOKUP(E2446,[3]Sheet1!$A$2:$A$391,[3]Sheet1!$A$2:$A$391)</f>
        <v>PO10164</v>
      </c>
    </row>
    <row r="2447" spans="1:14" x14ac:dyDescent="0.2">
      <c r="A2447" t="s">
        <v>2456</v>
      </c>
      <c r="B2447" s="2">
        <v>46311</v>
      </c>
      <c r="C2447" t="s">
        <v>2940</v>
      </c>
      <c r="D2447" t="s">
        <v>2944</v>
      </c>
      <c r="E2447" t="s">
        <v>3114</v>
      </c>
      <c r="F2447" s="3">
        <v>46311.431523656553</v>
      </c>
      <c r="G2447" s="3">
        <v>46311.437981720803</v>
      </c>
      <c r="H2447">
        <v>9.3000000000000007</v>
      </c>
      <c r="I2447" t="s">
        <v>3150</v>
      </c>
      <c r="J2447" t="s">
        <v>3163</v>
      </c>
      <c r="K2447" t="s">
        <v>3179</v>
      </c>
      <c r="L2447" t="str">
        <f>_xlfn.XLOOKUP(C2447,[1]!Table1[Shift_ID],[1]!Table1[Shift_ID])</f>
        <v>S01</v>
      </c>
      <c r="M2447" t="str">
        <f>_xlfn.XLOOKUP(D2447,[2]!Table1[Machine_ID],[2]!Table1[Machine_ID])</f>
        <v>M003</v>
      </c>
      <c r="N2447" t="str">
        <f>_xlfn.XLOOKUP(E2447,[3]Sheet1!$A$2:$A$391,[3]Sheet1!$A$2:$A$391)</f>
        <v>PO10164</v>
      </c>
    </row>
    <row r="2448" spans="1:14" x14ac:dyDescent="0.2">
      <c r="A2448" t="s">
        <v>2457</v>
      </c>
      <c r="B2448" s="2">
        <v>46311</v>
      </c>
      <c r="C2448" t="s">
        <v>2940</v>
      </c>
      <c r="D2448" t="s">
        <v>2945</v>
      </c>
      <c r="E2448" t="s">
        <v>3114</v>
      </c>
      <c r="F2448" s="3">
        <v>46311.350042431979</v>
      </c>
      <c r="G2448" s="3">
        <v>46311.35143504366</v>
      </c>
      <c r="H2448">
        <v>2.0099999999999998</v>
      </c>
      <c r="I2448" t="s">
        <v>3149</v>
      </c>
      <c r="J2448" t="s">
        <v>3158</v>
      </c>
      <c r="K2448" t="s">
        <v>3176</v>
      </c>
      <c r="L2448" t="str">
        <f>_xlfn.XLOOKUP(C2448,[1]!Table1[Shift_ID],[1]!Table1[Shift_ID])</f>
        <v>S01</v>
      </c>
      <c r="M2448" t="str">
        <f>_xlfn.XLOOKUP(D2448,[2]!Table1[Machine_ID],[2]!Table1[Machine_ID])</f>
        <v>M004</v>
      </c>
      <c r="N2448" t="str">
        <f>_xlfn.XLOOKUP(E2448,[3]Sheet1!$A$2:$A$391,[3]Sheet1!$A$2:$A$391)</f>
        <v>PO10164</v>
      </c>
    </row>
    <row r="2449" spans="1:14" x14ac:dyDescent="0.2">
      <c r="A2449" t="s">
        <v>2458</v>
      </c>
      <c r="B2449" s="2">
        <v>46311</v>
      </c>
      <c r="C2449" t="s">
        <v>2940</v>
      </c>
      <c r="D2449" t="s">
        <v>2945</v>
      </c>
      <c r="E2449" t="s">
        <v>3114</v>
      </c>
      <c r="F2449" s="3">
        <v>46311.385449945679</v>
      </c>
      <c r="G2449" s="3">
        <v>46311.38684255736</v>
      </c>
      <c r="H2449">
        <v>2.0099999999999998</v>
      </c>
      <c r="I2449" t="s">
        <v>3149</v>
      </c>
      <c r="J2449" t="s">
        <v>3162</v>
      </c>
      <c r="K2449" t="s">
        <v>3182</v>
      </c>
      <c r="L2449" t="str">
        <f>_xlfn.XLOOKUP(C2449,[1]!Table1[Shift_ID],[1]!Table1[Shift_ID])</f>
        <v>S01</v>
      </c>
      <c r="M2449" t="str">
        <f>_xlfn.XLOOKUP(D2449,[2]!Table1[Machine_ID],[2]!Table1[Machine_ID])</f>
        <v>M004</v>
      </c>
      <c r="N2449" t="str">
        <f>_xlfn.XLOOKUP(E2449,[3]Sheet1!$A$2:$A$391,[3]Sheet1!$A$2:$A$391)</f>
        <v>PO10164</v>
      </c>
    </row>
    <row r="2450" spans="1:14" x14ac:dyDescent="0.2">
      <c r="A2450" t="s">
        <v>2459</v>
      </c>
      <c r="B2450" s="2">
        <v>46311</v>
      </c>
      <c r="C2450" t="s">
        <v>2940</v>
      </c>
      <c r="D2450" t="s">
        <v>2945</v>
      </c>
      <c r="E2450" t="s">
        <v>3114</v>
      </c>
      <c r="F2450" s="3">
        <v>46311.463352267063</v>
      </c>
      <c r="G2450" s="3">
        <v>46311.464744878736</v>
      </c>
      <c r="H2450">
        <v>2.0099999999999998</v>
      </c>
      <c r="I2450" t="s">
        <v>3149</v>
      </c>
      <c r="J2450" t="s">
        <v>3162</v>
      </c>
      <c r="K2450" t="s">
        <v>3176</v>
      </c>
      <c r="L2450" t="str">
        <f>_xlfn.XLOOKUP(C2450,[1]!Table1[Shift_ID],[1]!Table1[Shift_ID])</f>
        <v>S01</v>
      </c>
      <c r="M2450" t="str">
        <f>_xlfn.XLOOKUP(D2450,[2]!Table1[Machine_ID],[2]!Table1[Machine_ID])</f>
        <v>M004</v>
      </c>
      <c r="N2450" t="str">
        <f>_xlfn.XLOOKUP(E2450,[3]Sheet1!$A$2:$A$391,[3]Sheet1!$A$2:$A$391)</f>
        <v>PO10164</v>
      </c>
    </row>
    <row r="2451" spans="1:14" x14ac:dyDescent="0.2">
      <c r="A2451" t="s">
        <v>2460</v>
      </c>
      <c r="B2451" s="2">
        <v>46311</v>
      </c>
      <c r="C2451" t="s">
        <v>2940</v>
      </c>
      <c r="D2451" t="s">
        <v>2945</v>
      </c>
      <c r="E2451" t="s">
        <v>3114</v>
      </c>
      <c r="F2451" s="3">
        <v>46311.509001822204</v>
      </c>
      <c r="G2451" s="3">
        <v>46311.510394433877</v>
      </c>
      <c r="H2451">
        <v>2.0099999999999998</v>
      </c>
      <c r="I2451" t="s">
        <v>3151</v>
      </c>
      <c r="J2451" t="s">
        <v>3161</v>
      </c>
      <c r="K2451" t="s">
        <v>3187</v>
      </c>
      <c r="L2451" t="str">
        <f>_xlfn.XLOOKUP(C2451,[1]!Table1[Shift_ID],[1]!Table1[Shift_ID])</f>
        <v>S01</v>
      </c>
      <c r="M2451" t="str">
        <f>_xlfn.XLOOKUP(D2451,[2]!Table1[Machine_ID],[2]!Table1[Machine_ID])</f>
        <v>M004</v>
      </c>
      <c r="N2451" t="str">
        <f>_xlfn.XLOOKUP(E2451,[3]Sheet1!$A$2:$A$391,[3]Sheet1!$A$2:$A$391)</f>
        <v>PO10164</v>
      </c>
    </row>
    <row r="2452" spans="1:14" x14ac:dyDescent="0.2">
      <c r="A2452" t="s">
        <v>2461</v>
      </c>
      <c r="B2452" s="2">
        <v>46311</v>
      </c>
      <c r="C2452" t="s">
        <v>2940</v>
      </c>
      <c r="D2452" t="s">
        <v>2946</v>
      </c>
      <c r="E2452" t="s">
        <v>3114</v>
      </c>
      <c r="F2452" s="3">
        <v>46311.325897011622</v>
      </c>
      <c r="G2452" s="3">
        <v>46311.331901169397</v>
      </c>
      <c r="H2452">
        <v>8.65</v>
      </c>
      <c r="I2452" t="s">
        <v>3147</v>
      </c>
      <c r="J2452" t="s">
        <v>3167</v>
      </c>
      <c r="K2452" t="s">
        <v>3172</v>
      </c>
      <c r="L2452" t="str">
        <f>_xlfn.XLOOKUP(C2452,[1]!Table1[Shift_ID],[1]!Table1[Shift_ID])</f>
        <v>S01</v>
      </c>
      <c r="M2452" t="str">
        <f>_xlfn.XLOOKUP(D2452,[2]!Table1[Machine_ID],[2]!Table1[Machine_ID])</f>
        <v>M005</v>
      </c>
      <c r="N2452" t="str">
        <f>_xlfn.XLOOKUP(E2452,[3]Sheet1!$A$2:$A$391,[3]Sheet1!$A$2:$A$391)</f>
        <v>PO10164</v>
      </c>
    </row>
    <row r="2453" spans="1:14" x14ac:dyDescent="0.2">
      <c r="A2453" t="s">
        <v>2462</v>
      </c>
      <c r="B2453" s="2">
        <v>46311</v>
      </c>
      <c r="C2453" t="s">
        <v>2940</v>
      </c>
      <c r="D2453" t="s">
        <v>2947</v>
      </c>
      <c r="E2453" t="s">
        <v>3114</v>
      </c>
      <c r="F2453" s="3">
        <v>46311.291634398229</v>
      </c>
      <c r="G2453" s="3">
        <v>46311.29543324509</v>
      </c>
      <c r="H2453">
        <v>5.47</v>
      </c>
      <c r="I2453" t="s">
        <v>3150</v>
      </c>
      <c r="J2453" t="s">
        <v>3159</v>
      </c>
      <c r="K2453" t="s">
        <v>3177</v>
      </c>
      <c r="L2453" t="str">
        <f>_xlfn.XLOOKUP(C2453,[1]!Table1[Shift_ID],[1]!Table1[Shift_ID])</f>
        <v>S01</v>
      </c>
      <c r="M2453" t="str">
        <f>_xlfn.XLOOKUP(D2453,[2]!Table1[Machine_ID],[2]!Table1[Machine_ID])</f>
        <v>M006</v>
      </c>
      <c r="N2453" t="str">
        <f>_xlfn.XLOOKUP(E2453,[3]Sheet1!$A$2:$A$391,[3]Sheet1!$A$2:$A$391)</f>
        <v>PO10164</v>
      </c>
    </row>
    <row r="2454" spans="1:14" x14ac:dyDescent="0.2">
      <c r="A2454" t="s">
        <v>2463</v>
      </c>
      <c r="B2454" s="2">
        <v>46311</v>
      </c>
      <c r="C2454" t="s">
        <v>2940</v>
      </c>
      <c r="D2454" t="s">
        <v>2947</v>
      </c>
      <c r="E2454" t="s">
        <v>3114</v>
      </c>
      <c r="F2454" s="3">
        <v>46311.313741357233</v>
      </c>
      <c r="G2454" s="3">
        <v>46311.328799482413</v>
      </c>
      <c r="H2454">
        <v>21.68</v>
      </c>
      <c r="I2454" t="s">
        <v>3148</v>
      </c>
      <c r="J2454" t="s">
        <v>3165</v>
      </c>
      <c r="K2454" t="s">
        <v>3173</v>
      </c>
      <c r="L2454" t="str">
        <f>_xlfn.XLOOKUP(C2454,[1]!Table1[Shift_ID],[1]!Table1[Shift_ID])</f>
        <v>S01</v>
      </c>
      <c r="M2454" t="str">
        <f>_xlfn.XLOOKUP(D2454,[2]!Table1[Machine_ID],[2]!Table1[Machine_ID])</f>
        <v>M006</v>
      </c>
      <c r="N2454" t="str">
        <f>_xlfn.XLOOKUP(E2454,[3]Sheet1!$A$2:$A$391,[3]Sheet1!$A$2:$A$391)</f>
        <v>PO10164</v>
      </c>
    </row>
    <row r="2455" spans="1:14" x14ac:dyDescent="0.2">
      <c r="A2455" t="s">
        <v>2464</v>
      </c>
      <c r="B2455" s="2">
        <v>46311</v>
      </c>
      <c r="C2455" t="s">
        <v>2940</v>
      </c>
      <c r="D2455" t="s">
        <v>2947</v>
      </c>
      <c r="E2455" t="s">
        <v>3114</v>
      </c>
      <c r="F2455" s="3">
        <v>46311.379921785723</v>
      </c>
      <c r="G2455" s="3">
        <v>46311.383892774662</v>
      </c>
      <c r="H2455">
        <v>5.72</v>
      </c>
      <c r="I2455" t="s">
        <v>3150</v>
      </c>
      <c r="J2455" t="s">
        <v>3159</v>
      </c>
      <c r="K2455" t="s">
        <v>3179</v>
      </c>
      <c r="L2455" t="str">
        <f>_xlfn.XLOOKUP(C2455,[1]!Table1[Shift_ID],[1]!Table1[Shift_ID])</f>
        <v>S01</v>
      </c>
      <c r="M2455" t="str">
        <f>_xlfn.XLOOKUP(D2455,[2]!Table1[Machine_ID],[2]!Table1[Machine_ID])</f>
        <v>M006</v>
      </c>
      <c r="N2455" t="str">
        <f>_xlfn.XLOOKUP(E2455,[3]Sheet1!$A$2:$A$391,[3]Sheet1!$A$2:$A$391)</f>
        <v>PO10164</v>
      </c>
    </row>
    <row r="2456" spans="1:14" x14ac:dyDescent="0.2">
      <c r="A2456" t="s">
        <v>2465</v>
      </c>
      <c r="B2456" s="2">
        <v>46311</v>
      </c>
      <c r="C2456" t="s">
        <v>2940</v>
      </c>
      <c r="D2456" t="s">
        <v>2948</v>
      </c>
      <c r="E2456" t="s">
        <v>3114</v>
      </c>
      <c r="F2456" s="3">
        <v>46311.326084596367</v>
      </c>
      <c r="G2456" s="3">
        <v>46311.328960162071</v>
      </c>
      <c r="H2456">
        <v>4.1399999999999997</v>
      </c>
      <c r="I2456" t="s">
        <v>3147</v>
      </c>
      <c r="J2456" t="s">
        <v>3167</v>
      </c>
      <c r="K2456" t="s">
        <v>3172</v>
      </c>
      <c r="L2456" t="str">
        <f>_xlfn.XLOOKUP(C2456,[1]!Table1[Shift_ID],[1]!Table1[Shift_ID])</f>
        <v>S01</v>
      </c>
      <c r="M2456" t="str">
        <f>_xlfn.XLOOKUP(D2456,[2]!Table1[Machine_ID],[2]!Table1[Machine_ID])</f>
        <v>M007</v>
      </c>
      <c r="N2456" t="str">
        <f>_xlfn.XLOOKUP(E2456,[3]Sheet1!$A$2:$A$391,[3]Sheet1!$A$2:$A$391)</f>
        <v>PO10164</v>
      </c>
    </row>
    <row r="2457" spans="1:14" x14ac:dyDescent="0.2">
      <c r="A2457" t="s">
        <v>2466</v>
      </c>
      <c r="B2457" s="2">
        <v>46311</v>
      </c>
      <c r="C2457" t="s">
        <v>2940</v>
      </c>
      <c r="D2457" t="s">
        <v>2948</v>
      </c>
      <c r="E2457" t="s">
        <v>3114</v>
      </c>
      <c r="F2457" s="3">
        <v>46311.380009225591</v>
      </c>
      <c r="G2457" s="3">
        <v>46311.388249947362</v>
      </c>
      <c r="H2457">
        <v>11.87</v>
      </c>
      <c r="I2457" t="s">
        <v>3147</v>
      </c>
      <c r="J2457" t="s">
        <v>3154</v>
      </c>
      <c r="K2457" t="s">
        <v>3186</v>
      </c>
      <c r="L2457" t="str">
        <f>_xlfn.XLOOKUP(C2457,[1]!Table1[Shift_ID],[1]!Table1[Shift_ID])</f>
        <v>S01</v>
      </c>
      <c r="M2457" t="str">
        <f>_xlfn.XLOOKUP(D2457,[2]!Table1[Machine_ID],[2]!Table1[Machine_ID])</f>
        <v>M007</v>
      </c>
      <c r="N2457" t="str">
        <f>_xlfn.XLOOKUP(E2457,[3]Sheet1!$A$2:$A$391,[3]Sheet1!$A$2:$A$391)</f>
        <v>PO10164</v>
      </c>
    </row>
    <row r="2458" spans="1:14" x14ac:dyDescent="0.2">
      <c r="A2458" t="s">
        <v>2467</v>
      </c>
      <c r="B2458" s="2">
        <v>46311</v>
      </c>
      <c r="C2458" t="s">
        <v>2940</v>
      </c>
      <c r="D2458" t="s">
        <v>2948</v>
      </c>
      <c r="E2458" t="s">
        <v>3114</v>
      </c>
      <c r="F2458" s="3">
        <v>46311.460787846663</v>
      </c>
      <c r="G2458" s="3">
        <v>46311.462692711641</v>
      </c>
      <c r="H2458">
        <v>2.74</v>
      </c>
      <c r="I2458" t="s">
        <v>3150</v>
      </c>
      <c r="J2458" t="s">
        <v>3159</v>
      </c>
      <c r="K2458" t="s">
        <v>3179</v>
      </c>
      <c r="L2458" t="str">
        <f>_xlfn.XLOOKUP(C2458,[1]!Table1[Shift_ID],[1]!Table1[Shift_ID])</f>
        <v>S01</v>
      </c>
      <c r="M2458" t="str">
        <f>_xlfn.XLOOKUP(D2458,[2]!Table1[Machine_ID],[2]!Table1[Machine_ID])</f>
        <v>M007</v>
      </c>
      <c r="N2458" t="str">
        <f>_xlfn.XLOOKUP(E2458,[3]Sheet1!$A$2:$A$391,[3]Sheet1!$A$2:$A$391)</f>
        <v>PO10164</v>
      </c>
    </row>
    <row r="2459" spans="1:14" x14ac:dyDescent="0.2">
      <c r="A2459" t="s">
        <v>2468</v>
      </c>
      <c r="B2459" s="2">
        <v>46311</v>
      </c>
      <c r="C2459" t="s">
        <v>2940</v>
      </c>
      <c r="D2459" t="s">
        <v>2949</v>
      </c>
      <c r="E2459" t="s">
        <v>3114</v>
      </c>
      <c r="F2459" s="3">
        <v>46311.285807379922</v>
      </c>
      <c r="G2459" s="3">
        <v>46311.29107332095</v>
      </c>
      <c r="H2459">
        <v>7.58</v>
      </c>
      <c r="I2459" t="s">
        <v>3150</v>
      </c>
      <c r="J2459" t="s">
        <v>3159</v>
      </c>
      <c r="K2459" t="s">
        <v>3177</v>
      </c>
      <c r="L2459" t="str">
        <f>_xlfn.XLOOKUP(C2459,[1]!Table1[Shift_ID],[1]!Table1[Shift_ID])</f>
        <v>S01</v>
      </c>
      <c r="M2459" t="str">
        <f>_xlfn.XLOOKUP(D2459,[2]!Table1[Machine_ID],[2]!Table1[Machine_ID])</f>
        <v>M008</v>
      </c>
      <c r="N2459" t="str">
        <f>_xlfn.XLOOKUP(E2459,[3]Sheet1!$A$2:$A$391,[3]Sheet1!$A$2:$A$391)</f>
        <v>PO10164</v>
      </c>
    </row>
    <row r="2460" spans="1:14" x14ac:dyDescent="0.2">
      <c r="A2460" t="s">
        <v>2469</v>
      </c>
      <c r="B2460" s="2">
        <v>46311</v>
      </c>
      <c r="C2460" t="s">
        <v>2940</v>
      </c>
      <c r="D2460" t="s">
        <v>2949</v>
      </c>
      <c r="E2460" t="s">
        <v>3114</v>
      </c>
      <c r="F2460" s="3">
        <v>46311.402646214628</v>
      </c>
      <c r="G2460" s="3">
        <v>46311.404386063543</v>
      </c>
      <c r="H2460">
        <v>2.5099999999999998</v>
      </c>
      <c r="I2460" t="s">
        <v>3148</v>
      </c>
      <c r="J2460" t="s">
        <v>3164</v>
      </c>
      <c r="K2460" t="s">
        <v>3183</v>
      </c>
      <c r="L2460" t="str">
        <f>_xlfn.XLOOKUP(C2460,[1]!Table1[Shift_ID],[1]!Table1[Shift_ID])</f>
        <v>S01</v>
      </c>
      <c r="M2460" t="str">
        <f>_xlfn.XLOOKUP(D2460,[2]!Table1[Machine_ID],[2]!Table1[Machine_ID])</f>
        <v>M008</v>
      </c>
      <c r="N2460" t="str">
        <f>_xlfn.XLOOKUP(E2460,[3]Sheet1!$A$2:$A$391,[3]Sheet1!$A$2:$A$391)</f>
        <v>PO10164</v>
      </c>
    </row>
    <row r="2461" spans="1:14" x14ac:dyDescent="0.2">
      <c r="A2461" t="s">
        <v>2470</v>
      </c>
      <c r="B2461" s="2">
        <v>46311</v>
      </c>
      <c r="C2461" t="s">
        <v>2941</v>
      </c>
      <c r="D2461" t="s">
        <v>2942</v>
      </c>
      <c r="E2461" t="s">
        <v>3115</v>
      </c>
      <c r="F2461" s="3">
        <v>46311.75910984345</v>
      </c>
      <c r="G2461" s="3">
        <v>46311.764550733264</v>
      </c>
      <c r="H2461">
        <v>7.83</v>
      </c>
      <c r="I2461" t="s">
        <v>3147</v>
      </c>
      <c r="J2461" t="s">
        <v>3167</v>
      </c>
      <c r="K2461" t="s">
        <v>3172</v>
      </c>
      <c r="L2461" t="str">
        <f>_xlfn.XLOOKUP(C2461,[1]!Table1[Shift_ID],[1]!Table1[Shift_ID])</f>
        <v>S02</v>
      </c>
      <c r="M2461" t="str">
        <f>_xlfn.XLOOKUP(D2461,[2]!Table1[Machine_ID],[2]!Table1[Machine_ID])</f>
        <v>M001</v>
      </c>
      <c r="N2461" t="str">
        <f>_xlfn.XLOOKUP(E2461,[3]Sheet1!$A$2:$A$391,[3]Sheet1!$A$2:$A$391)</f>
        <v>PO10165</v>
      </c>
    </row>
    <row r="2462" spans="1:14" x14ac:dyDescent="0.2">
      <c r="A2462" t="s">
        <v>2471</v>
      </c>
      <c r="B2462" s="2">
        <v>46311</v>
      </c>
      <c r="C2462" t="s">
        <v>2941</v>
      </c>
      <c r="D2462" t="s">
        <v>2943</v>
      </c>
      <c r="E2462" t="s">
        <v>3115</v>
      </c>
      <c r="F2462" s="3">
        <v>46311.61900987781</v>
      </c>
      <c r="G2462" s="3">
        <v>46311.624957280161</v>
      </c>
      <c r="H2462">
        <v>8.56</v>
      </c>
      <c r="I2462" t="s">
        <v>3150</v>
      </c>
      <c r="J2462" t="s">
        <v>3163</v>
      </c>
      <c r="K2462" t="s">
        <v>3179</v>
      </c>
      <c r="L2462" t="str">
        <f>_xlfn.XLOOKUP(C2462,[1]!Table1[Shift_ID],[1]!Table1[Shift_ID])</f>
        <v>S02</v>
      </c>
      <c r="M2462" t="str">
        <f>_xlfn.XLOOKUP(D2462,[2]!Table1[Machine_ID],[2]!Table1[Machine_ID])</f>
        <v>M002</v>
      </c>
      <c r="N2462" t="str">
        <f>_xlfn.XLOOKUP(E2462,[3]Sheet1!$A$2:$A$391,[3]Sheet1!$A$2:$A$391)</f>
        <v>PO10165</v>
      </c>
    </row>
    <row r="2463" spans="1:14" x14ac:dyDescent="0.2">
      <c r="A2463" t="s">
        <v>2472</v>
      </c>
      <c r="B2463" s="2">
        <v>46311</v>
      </c>
      <c r="C2463" t="s">
        <v>2941</v>
      </c>
      <c r="D2463" t="s">
        <v>2943</v>
      </c>
      <c r="E2463" t="s">
        <v>3115</v>
      </c>
      <c r="F2463" s="3">
        <v>46311.690893568033</v>
      </c>
      <c r="G2463" s="3">
        <v>46311.692780309633</v>
      </c>
      <c r="H2463">
        <v>2.72</v>
      </c>
      <c r="I2463" t="s">
        <v>3150</v>
      </c>
      <c r="J2463" t="s">
        <v>3159</v>
      </c>
      <c r="K2463" t="s">
        <v>3179</v>
      </c>
      <c r="L2463" t="str">
        <f>_xlfn.XLOOKUP(C2463,[1]!Table1[Shift_ID],[1]!Table1[Shift_ID])</f>
        <v>S02</v>
      </c>
      <c r="M2463" t="str">
        <f>_xlfn.XLOOKUP(D2463,[2]!Table1[Machine_ID],[2]!Table1[Machine_ID])</f>
        <v>M002</v>
      </c>
      <c r="N2463" t="str">
        <f>_xlfn.XLOOKUP(E2463,[3]Sheet1!$A$2:$A$391,[3]Sheet1!$A$2:$A$391)</f>
        <v>PO10165</v>
      </c>
    </row>
    <row r="2464" spans="1:14" x14ac:dyDescent="0.2">
      <c r="A2464" t="s">
        <v>2473</v>
      </c>
      <c r="B2464" s="2">
        <v>46311</v>
      </c>
      <c r="C2464" t="s">
        <v>2941</v>
      </c>
      <c r="D2464" t="s">
        <v>2944</v>
      </c>
      <c r="E2464" t="s">
        <v>3115</v>
      </c>
      <c r="F2464" s="3">
        <v>46311.65493881936</v>
      </c>
      <c r="G2464" s="3">
        <v>46311.662841791622</v>
      </c>
      <c r="H2464">
        <v>11.38</v>
      </c>
      <c r="I2464" t="s">
        <v>3149</v>
      </c>
      <c r="J2464" t="s">
        <v>3168</v>
      </c>
      <c r="K2464" t="s">
        <v>3182</v>
      </c>
      <c r="L2464" t="str">
        <f>_xlfn.XLOOKUP(C2464,[1]!Table1[Shift_ID],[1]!Table1[Shift_ID])</f>
        <v>S02</v>
      </c>
      <c r="M2464" t="str">
        <f>_xlfn.XLOOKUP(D2464,[2]!Table1[Machine_ID],[2]!Table1[Machine_ID])</f>
        <v>M003</v>
      </c>
      <c r="N2464" t="str">
        <f>_xlfn.XLOOKUP(E2464,[3]Sheet1!$A$2:$A$391,[3]Sheet1!$A$2:$A$391)</f>
        <v>PO10165</v>
      </c>
    </row>
    <row r="2465" spans="1:14" x14ac:dyDescent="0.2">
      <c r="A2465" t="s">
        <v>2474</v>
      </c>
      <c r="B2465" s="2">
        <v>46311</v>
      </c>
      <c r="C2465" t="s">
        <v>2941</v>
      </c>
      <c r="D2465" t="s">
        <v>2944</v>
      </c>
      <c r="E2465" t="s">
        <v>3115</v>
      </c>
      <c r="F2465" s="3">
        <v>46311.787987591619</v>
      </c>
      <c r="G2465" s="3">
        <v>46311.792385076449</v>
      </c>
      <c r="H2465">
        <v>6.33</v>
      </c>
      <c r="I2465" t="s">
        <v>3150</v>
      </c>
      <c r="J2465" t="s">
        <v>3166</v>
      </c>
      <c r="K2465" t="s">
        <v>3178</v>
      </c>
      <c r="L2465" t="str">
        <f>_xlfn.XLOOKUP(C2465,[1]!Table1[Shift_ID],[1]!Table1[Shift_ID])</f>
        <v>S02</v>
      </c>
      <c r="M2465" t="str">
        <f>_xlfn.XLOOKUP(D2465,[2]!Table1[Machine_ID],[2]!Table1[Machine_ID])</f>
        <v>M003</v>
      </c>
      <c r="N2465" t="str">
        <f>_xlfn.XLOOKUP(E2465,[3]Sheet1!$A$2:$A$391,[3]Sheet1!$A$2:$A$391)</f>
        <v>PO10165</v>
      </c>
    </row>
    <row r="2466" spans="1:14" x14ac:dyDescent="0.2">
      <c r="A2466" t="s">
        <v>2475</v>
      </c>
      <c r="B2466" s="2">
        <v>46311</v>
      </c>
      <c r="C2466" t="s">
        <v>2941</v>
      </c>
      <c r="D2466" t="s">
        <v>2945</v>
      </c>
      <c r="E2466" t="s">
        <v>3115</v>
      </c>
      <c r="F2466" s="3">
        <v>46311.709010419523</v>
      </c>
      <c r="G2466" s="3">
        <v>46311.716529949917</v>
      </c>
      <c r="H2466">
        <v>10.83</v>
      </c>
      <c r="I2466" t="s">
        <v>3150</v>
      </c>
      <c r="J2466" t="s">
        <v>3160</v>
      </c>
      <c r="K2466" t="s">
        <v>3178</v>
      </c>
      <c r="L2466" t="str">
        <f>_xlfn.XLOOKUP(C2466,[1]!Table1[Shift_ID],[1]!Table1[Shift_ID])</f>
        <v>S02</v>
      </c>
      <c r="M2466" t="str">
        <f>_xlfn.XLOOKUP(D2466,[2]!Table1[Machine_ID],[2]!Table1[Machine_ID])</f>
        <v>M004</v>
      </c>
      <c r="N2466" t="str">
        <f>_xlfn.XLOOKUP(E2466,[3]Sheet1!$A$2:$A$391,[3]Sheet1!$A$2:$A$391)</f>
        <v>PO10165</v>
      </c>
    </row>
    <row r="2467" spans="1:14" x14ac:dyDescent="0.2">
      <c r="A2467" t="s">
        <v>2476</v>
      </c>
      <c r="B2467" s="2">
        <v>46311</v>
      </c>
      <c r="C2467" t="s">
        <v>2941</v>
      </c>
      <c r="D2467" t="s">
        <v>2946</v>
      </c>
      <c r="E2467" t="s">
        <v>3115</v>
      </c>
      <c r="F2467" s="3">
        <v>46311.646279292807</v>
      </c>
      <c r="G2467" s="3">
        <v>46311.650087786249</v>
      </c>
      <c r="H2467">
        <v>5.48</v>
      </c>
      <c r="I2467" t="s">
        <v>3149</v>
      </c>
      <c r="J2467" t="s">
        <v>3168</v>
      </c>
      <c r="K2467" t="s">
        <v>3182</v>
      </c>
      <c r="L2467" t="str">
        <f>_xlfn.XLOOKUP(C2467,[1]!Table1[Shift_ID],[1]!Table1[Shift_ID])</f>
        <v>S02</v>
      </c>
      <c r="M2467" t="str">
        <f>_xlfn.XLOOKUP(D2467,[2]!Table1[Machine_ID],[2]!Table1[Machine_ID])</f>
        <v>M005</v>
      </c>
      <c r="N2467" t="str">
        <f>_xlfn.XLOOKUP(E2467,[3]Sheet1!$A$2:$A$391,[3]Sheet1!$A$2:$A$391)</f>
        <v>PO10165</v>
      </c>
    </row>
    <row r="2468" spans="1:14" x14ac:dyDescent="0.2">
      <c r="A2468" t="s">
        <v>2477</v>
      </c>
      <c r="B2468" s="2">
        <v>46311</v>
      </c>
      <c r="C2468" t="s">
        <v>2941</v>
      </c>
      <c r="D2468" t="s">
        <v>2946</v>
      </c>
      <c r="E2468" t="s">
        <v>3115</v>
      </c>
      <c r="F2468" s="3">
        <v>46311.882193372592</v>
      </c>
      <c r="G2468" s="3">
        <v>46311.886103483528</v>
      </c>
      <c r="H2468">
        <v>5.63</v>
      </c>
      <c r="I2468" t="s">
        <v>3146</v>
      </c>
      <c r="J2468" t="s">
        <v>3156</v>
      </c>
      <c r="K2468" t="s">
        <v>3175</v>
      </c>
      <c r="L2468" t="str">
        <f>_xlfn.XLOOKUP(C2468,[1]!Table1[Shift_ID],[1]!Table1[Shift_ID])</f>
        <v>S02</v>
      </c>
      <c r="M2468" t="str">
        <f>_xlfn.XLOOKUP(D2468,[2]!Table1[Machine_ID],[2]!Table1[Machine_ID])</f>
        <v>M005</v>
      </c>
      <c r="N2468" t="str">
        <f>_xlfn.XLOOKUP(E2468,[3]Sheet1!$A$2:$A$391,[3]Sheet1!$A$2:$A$391)</f>
        <v>PO10165</v>
      </c>
    </row>
    <row r="2469" spans="1:14" x14ac:dyDescent="0.2">
      <c r="A2469" t="s">
        <v>2478</v>
      </c>
      <c r="B2469" s="2">
        <v>46311</v>
      </c>
      <c r="C2469" t="s">
        <v>2941</v>
      </c>
      <c r="D2469" t="s">
        <v>2947</v>
      </c>
      <c r="E2469" t="s">
        <v>3115</v>
      </c>
      <c r="F2469" s="3">
        <v>46311.644620998362</v>
      </c>
      <c r="G2469" s="3">
        <v>46311.655499952023</v>
      </c>
      <c r="H2469">
        <v>15.67</v>
      </c>
      <c r="I2469" t="s">
        <v>3150</v>
      </c>
      <c r="J2469" t="s">
        <v>3159</v>
      </c>
      <c r="K2469" t="s">
        <v>3177</v>
      </c>
      <c r="L2469" t="str">
        <f>_xlfn.XLOOKUP(C2469,[1]!Table1[Shift_ID],[1]!Table1[Shift_ID])</f>
        <v>S02</v>
      </c>
      <c r="M2469" t="str">
        <f>_xlfn.XLOOKUP(D2469,[2]!Table1[Machine_ID],[2]!Table1[Machine_ID])</f>
        <v>M006</v>
      </c>
      <c r="N2469" t="str">
        <f>_xlfn.XLOOKUP(E2469,[3]Sheet1!$A$2:$A$391,[3]Sheet1!$A$2:$A$391)</f>
        <v>PO10165</v>
      </c>
    </row>
    <row r="2470" spans="1:14" x14ac:dyDescent="0.2">
      <c r="A2470" t="s">
        <v>2479</v>
      </c>
      <c r="B2470" s="2">
        <v>46311</v>
      </c>
      <c r="C2470" t="s">
        <v>2941</v>
      </c>
      <c r="D2470" t="s">
        <v>2947</v>
      </c>
      <c r="E2470" t="s">
        <v>3115</v>
      </c>
      <c r="F2470" s="3">
        <v>46311.903048243978</v>
      </c>
      <c r="G2470" s="3">
        <v>46311.916666666657</v>
      </c>
      <c r="H2470">
        <v>19.61</v>
      </c>
      <c r="I2470" t="s">
        <v>3148</v>
      </c>
      <c r="J2470" t="s">
        <v>3155</v>
      </c>
      <c r="K2470" t="s">
        <v>3180</v>
      </c>
      <c r="L2470" t="str">
        <f>_xlfn.XLOOKUP(C2470,[1]!Table1[Shift_ID],[1]!Table1[Shift_ID])</f>
        <v>S02</v>
      </c>
      <c r="M2470" t="str">
        <f>_xlfn.XLOOKUP(D2470,[2]!Table1[Machine_ID],[2]!Table1[Machine_ID])</f>
        <v>M006</v>
      </c>
      <c r="N2470" t="str">
        <f>_xlfn.XLOOKUP(E2470,[3]Sheet1!$A$2:$A$391,[3]Sheet1!$A$2:$A$391)</f>
        <v>PO10165</v>
      </c>
    </row>
    <row r="2471" spans="1:14" x14ac:dyDescent="0.2">
      <c r="A2471" t="s">
        <v>2480</v>
      </c>
      <c r="B2471" s="2">
        <v>46311</v>
      </c>
      <c r="C2471" t="s">
        <v>2941</v>
      </c>
      <c r="D2471" t="s">
        <v>2948</v>
      </c>
      <c r="E2471" t="s">
        <v>3115</v>
      </c>
      <c r="F2471" s="3">
        <v>46311.861361699142</v>
      </c>
      <c r="G2471" s="3">
        <v>46311.876969318568</v>
      </c>
      <c r="H2471">
        <v>22.47</v>
      </c>
      <c r="I2471" t="s">
        <v>3149</v>
      </c>
      <c r="J2471" t="s">
        <v>3158</v>
      </c>
      <c r="K2471" t="s">
        <v>3182</v>
      </c>
      <c r="L2471" t="str">
        <f>_xlfn.XLOOKUP(C2471,[1]!Table1[Shift_ID],[1]!Table1[Shift_ID])</f>
        <v>S02</v>
      </c>
      <c r="M2471" t="str">
        <f>_xlfn.XLOOKUP(D2471,[2]!Table1[Machine_ID],[2]!Table1[Machine_ID])</f>
        <v>M007</v>
      </c>
      <c r="N2471" t="str">
        <f>_xlfn.XLOOKUP(E2471,[3]Sheet1!$A$2:$A$391,[3]Sheet1!$A$2:$A$391)</f>
        <v>PO10165</v>
      </c>
    </row>
    <row r="2472" spans="1:14" x14ac:dyDescent="0.2">
      <c r="A2472" t="s">
        <v>2481</v>
      </c>
      <c r="B2472" s="2">
        <v>46311</v>
      </c>
      <c r="C2472" t="s">
        <v>2941</v>
      </c>
      <c r="D2472" t="s">
        <v>2949</v>
      </c>
      <c r="E2472" t="s">
        <v>3115</v>
      </c>
      <c r="F2472" s="3">
        <v>46311.622342689829</v>
      </c>
      <c r="G2472" s="3">
        <v>46311.628716038278</v>
      </c>
      <c r="H2472">
        <v>9.18</v>
      </c>
      <c r="I2472" t="s">
        <v>3148</v>
      </c>
      <c r="J2472" t="s">
        <v>3164</v>
      </c>
      <c r="K2472" t="s">
        <v>3180</v>
      </c>
      <c r="L2472" t="str">
        <f>_xlfn.XLOOKUP(C2472,[1]!Table1[Shift_ID],[1]!Table1[Shift_ID])</f>
        <v>S02</v>
      </c>
      <c r="M2472" t="str">
        <f>_xlfn.XLOOKUP(D2472,[2]!Table1[Machine_ID],[2]!Table1[Machine_ID])</f>
        <v>M008</v>
      </c>
      <c r="N2472" t="str">
        <f>_xlfn.XLOOKUP(E2472,[3]Sheet1!$A$2:$A$391,[3]Sheet1!$A$2:$A$391)</f>
        <v>PO10165</v>
      </c>
    </row>
    <row r="2473" spans="1:14" x14ac:dyDescent="0.2">
      <c r="A2473" t="s">
        <v>2482</v>
      </c>
      <c r="B2473" s="2">
        <v>46314</v>
      </c>
      <c r="C2473" t="s">
        <v>2939</v>
      </c>
      <c r="D2473" t="s">
        <v>2942</v>
      </c>
      <c r="E2473" t="s">
        <v>3116</v>
      </c>
      <c r="F2473" s="3">
        <v>46315.042298624408</v>
      </c>
      <c r="G2473" s="3">
        <v>46315.046523202713</v>
      </c>
      <c r="H2473">
        <v>6.08</v>
      </c>
      <c r="I2473" t="s">
        <v>3149</v>
      </c>
      <c r="J2473" t="s">
        <v>3158</v>
      </c>
      <c r="K2473" t="s">
        <v>3176</v>
      </c>
      <c r="L2473" t="str">
        <f>_xlfn.XLOOKUP(C2473,[1]!Table1[Shift_ID],[1]!Table1[Shift_ID])</f>
        <v>S03</v>
      </c>
      <c r="M2473" t="str">
        <f>_xlfn.XLOOKUP(D2473,[2]!Table1[Machine_ID],[2]!Table1[Machine_ID])</f>
        <v>M001</v>
      </c>
      <c r="N2473" t="str">
        <f>_xlfn.XLOOKUP(E2473,[3]Sheet1!$A$2:$A$391,[3]Sheet1!$A$2:$A$391)</f>
        <v>PO10166</v>
      </c>
    </row>
    <row r="2474" spans="1:14" x14ac:dyDescent="0.2">
      <c r="A2474" t="s">
        <v>2483</v>
      </c>
      <c r="B2474" s="2">
        <v>46314</v>
      </c>
      <c r="C2474" t="s">
        <v>2939</v>
      </c>
      <c r="D2474" t="s">
        <v>2942</v>
      </c>
      <c r="E2474" t="s">
        <v>3116</v>
      </c>
      <c r="F2474" s="3">
        <v>46315.115175725172</v>
      </c>
      <c r="G2474" s="3">
        <v>46315.116620659872</v>
      </c>
      <c r="H2474">
        <v>2.08</v>
      </c>
      <c r="I2474" t="s">
        <v>3146</v>
      </c>
      <c r="J2474" t="s">
        <v>3156</v>
      </c>
      <c r="K2474" t="s">
        <v>3175</v>
      </c>
      <c r="L2474" t="str">
        <f>_xlfn.XLOOKUP(C2474,[1]!Table1[Shift_ID],[1]!Table1[Shift_ID])</f>
        <v>S03</v>
      </c>
      <c r="M2474" t="str">
        <f>_xlfn.XLOOKUP(D2474,[2]!Table1[Machine_ID],[2]!Table1[Machine_ID])</f>
        <v>M001</v>
      </c>
      <c r="N2474" t="str">
        <f>_xlfn.XLOOKUP(E2474,[3]Sheet1!$A$2:$A$391,[3]Sheet1!$A$2:$A$391)</f>
        <v>PO10166</v>
      </c>
    </row>
    <row r="2475" spans="1:14" x14ac:dyDescent="0.2">
      <c r="A2475" t="s">
        <v>2484</v>
      </c>
      <c r="B2475" s="2">
        <v>46314</v>
      </c>
      <c r="C2475" t="s">
        <v>2939</v>
      </c>
      <c r="D2475" t="s">
        <v>2942</v>
      </c>
      <c r="E2475" t="s">
        <v>3116</v>
      </c>
      <c r="F2475" s="3">
        <v>46315.171651696503</v>
      </c>
      <c r="G2475" s="3">
        <v>46315.173096631181</v>
      </c>
      <c r="H2475">
        <v>2.08</v>
      </c>
      <c r="I2475" t="s">
        <v>3149</v>
      </c>
      <c r="J2475" t="s">
        <v>3162</v>
      </c>
      <c r="K2475" t="s">
        <v>3176</v>
      </c>
      <c r="L2475" t="str">
        <f>_xlfn.XLOOKUP(C2475,[1]!Table1[Shift_ID],[1]!Table1[Shift_ID])</f>
        <v>S03</v>
      </c>
      <c r="M2475" t="str">
        <f>_xlfn.XLOOKUP(D2475,[2]!Table1[Machine_ID],[2]!Table1[Machine_ID])</f>
        <v>M001</v>
      </c>
      <c r="N2475" t="str">
        <f>_xlfn.XLOOKUP(E2475,[3]Sheet1!$A$2:$A$391,[3]Sheet1!$A$2:$A$391)</f>
        <v>PO10166</v>
      </c>
    </row>
    <row r="2476" spans="1:14" x14ac:dyDescent="0.2">
      <c r="A2476" t="s">
        <v>2485</v>
      </c>
      <c r="B2476" s="2">
        <v>46314</v>
      </c>
      <c r="C2476" t="s">
        <v>2939</v>
      </c>
      <c r="D2476" t="s">
        <v>2943</v>
      </c>
      <c r="E2476" t="s">
        <v>3116</v>
      </c>
      <c r="F2476" s="3">
        <v>46314.946981326357</v>
      </c>
      <c r="G2476" s="3">
        <v>46314.948961956798</v>
      </c>
      <c r="H2476">
        <v>2.85</v>
      </c>
      <c r="I2476" t="s">
        <v>3149</v>
      </c>
      <c r="J2476" t="s">
        <v>3168</v>
      </c>
      <c r="K2476" t="s">
        <v>3176</v>
      </c>
      <c r="L2476" t="str">
        <f>_xlfn.XLOOKUP(C2476,[1]!Table1[Shift_ID],[1]!Table1[Shift_ID])</f>
        <v>S03</v>
      </c>
      <c r="M2476" t="str">
        <f>_xlfn.XLOOKUP(D2476,[2]!Table1[Machine_ID],[2]!Table1[Machine_ID])</f>
        <v>M002</v>
      </c>
      <c r="N2476" t="str">
        <f>_xlfn.XLOOKUP(E2476,[3]Sheet1!$A$2:$A$391,[3]Sheet1!$A$2:$A$391)</f>
        <v>PO10166</v>
      </c>
    </row>
    <row r="2477" spans="1:14" x14ac:dyDescent="0.2">
      <c r="A2477" t="s">
        <v>2486</v>
      </c>
      <c r="B2477" s="2">
        <v>46314</v>
      </c>
      <c r="C2477" t="s">
        <v>2939</v>
      </c>
      <c r="D2477" t="s">
        <v>2943</v>
      </c>
      <c r="E2477" t="s">
        <v>3116</v>
      </c>
      <c r="F2477" s="3">
        <v>46315.057598753912</v>
      </c>
      <c r="G2477" s="3">
        <v>46315.060620502139</v>
      </c>
      <c r="H2477">
        <v>4.3499999999999996</v>
      </c>
      <c r="I2477" t="s">
        <v>3151</v>
      </c>
      <c r="J2477" t="s">
        <v>3161</v>
      </c>
      <c r="K2477" t="s">
        <v>3181</v>
      </c>
      <c r="L2477" t="str">
        <f>_xlfn.XLOOKUP(C2477,[1]!Table1[Shift_ID],[1]!Table1[Shift_ID])</f>
        <v>S03</v>
      </c>
      <c r="M2477" t="str">
        <f>_xlfn.XLOOKUP(D2477,[2]!Table1[Machine_ID],[2]!Table1[Machine_ID])</f>
        <v>M002</v>
      </c>
      <c r="N2477" t="str">
        <f>_xlfn.XLOOKUP(E2477,[3]Sheet1!$A$2:$A$391,[3]Sheet1!$A$2:$A$391)</f>
        <v>PO10166</v>
      </c>
    </row>
    <row r="2478" spans="1:14" x14ac:dyDescent="0.2">
      <c r="A2478" t="s">
        <v>2487</v>
      </c>
      <c r="B2478" s="2">
        <v>46314</v>
      </c>
      <c r="C2478" t="s">
        <v>2939</v>
      </c>
      <c r="D2478" t="s">
        <v>2943</v>
      </c>
      <c r="E2478" t="s">
        <v>3116</v>
      </c>
      <c r="F2478" s="3">
        <v>46315.242963517187</v>
      </c>
      <c r="G2478" s="3">
        <v>46315.244766453863</v>
      </c>
      <c r="H2478">
        <v>2.6</v>
      </c>
      <c r="I2478" t="s">
        <v>3149</v>
      </c>
      <c r="J2478" t="s">
        <v>3168</v>
      </c>
      <c r="K2478" t="s">
        <v>3184</v>
      </c>
      <c r="L2478" t="str">
        <f>_xlfn.XLOOKUP(C2478,[1]!Table1[Shift_ID],[1]!Table1[Shift_ID])</f>
        <v>S03</v>
      </c>
      <c r="M2478" t="str">
        <f>_xlfn.XLOOKUP(D2478,[2]!Table1[Machine_ID],[2]!Table1[Machine_ID])</f>
        <v>M002</v>
      </c>
      <c r="N2478" t="str">
        <f>_xlfn.XLOOKUP(E2478,[3]Sheet1!$A$2:$A$391,[3]Sheet1!$A$2:$A$391)</f>
        <v>PO10166</v>
      </c>
    </row>
    <row r="2479" spans="1:14" x14ac:dyDescent="0.2">
      <c r="A2479" t="s">
        <v>2488</v>
      </c>
      <c r="B2479" s="2">
        <v>46314</v>
      </c>
      <c r="C2479" t="s">
        <v>2939</v>
      </c>
      <c r="D2479" t="s">
        <v>2944</v>
      </c>
      <c r="E2479" t="s">
        <v>3116</v>
      </c>
      <c r="F2479" s="3">
        <v>46315.233268091353</v>
      </c>
      <c r="G2479" s="3">
        <v>46315.243032762672</v>
      </c>
      <c r="H2479">
        <v>14.06</v>
      </c>
      <c r="I2479" t="s">
        <v>3147</v>
      </c>
      <c r="J2479" t="s">
        <v>3154</v>
      </c>
      <c r="K2479" t="s">
        <v>3172</v>
      </c>
      <c r="L2479" t="str">
        <f>_xlfn.XLOOKUP(C2479,[1]!Table1[Shift_ID],[1]!Table1[Shift_ID])</f>
        <v>S03</v>
      </c>
      <c r="M2479" t="str">
        <f>_xlfn.XLOOKUP(D2479,[2]!Table1[Machine_ID],[2]!Table1[Machine_ID])</f>
        <v>M003</v>
      </c>
      <c r="N2479" t="str">
        <f>_xlfn.XLOOKUP(E2479,[3]Sheet1!$A$2:$A$391,[3]Sheet1!$A$2:$A$391)</f>
        <v>PO10166</v>
      </c>
    </row>
    <row r="2480" spans="1:14" x14ac:dyDescent="0.2">
      <c r="A2480" t="s">
        <v>2489</v>
      </c>
      <c r="B2480" s="2">
        <v>46314</v>
      </c>
      <c r="C2480" t="s">
        <v>2939</v>
      </c>
      <c r="D2480" t="s">
        <v>2945</v>
      </c>
      <c r="E2480" t="s">
        <v>3116</v>
      </c>
      <c r="F2480" s="3">
        <v>46315.037970557307</v>
      </c>
      <c r="G2480" s="3">
        <v>46315.039791102077</v>
      </c>
      <c r="H2480">
        <v>2.62</v>
      </c>
      <c r="I2480" t="s">
        <v>3147</v>
      </c>
      <c r="J2480" t="s">
        <v>3167</v>
      </c>
      <c r="K2480" t="s">
        <v>3185</v>
      </c>
      <c r="L2480" t="str">
        <f>_xlfn.XLOOKUP(C2480,[1]!Table1[Shift_ID],[1]!Table1[Shift_ID])</f>
        <v>S03</v>
      </c>
      <c r="M2480" t="str">
        <f>_xlfn.XLOOKUP(D2480,[2]!Table1[Machine_ID],[2]!Table1[Machine_ID])</f>
        <v>M004</v>
      </c>
      <c r="N2480" t="str">
        <f>_xlfn.XLOOKUP(E2480,[3]Sheet1!$A$2:$A$391,[3]Sheet1!$A$2:$A$391)</f>
        <v>PO10166</v>
      </c>
    </row>
    <row r="2481" spans="1:14" x14ac:dyDescent="0.2">
      <c r="A2481" t="s">
        <v>2490</v>
      </c>
      <c r="B2481" s="2">
        <v>46314</v>
      </c>
      <c r="C2481" t="s">
        <v>2939</v>
      </c>
      <c r="D2481" t="s">
        <v>2945</v>
      </c>
      <c r="E2481" t="s">
        <v>3116</v>
      </c>
      <c r="F2481" s="3">
        <v>46315.050414859921</v>
      </c>
      <c r="G2481" s="3">
        <v>46315.052544349499</v>
      </c>
      <c r="H2481">
        <v>3.07</v>
      </c>
      <c r="I2481" t="s">
        <v>3147</v>
      </c>
      <c r="J2481" t="s">
        <v>3153</v>
      </c>
      <c r="K2481" t="s">
        <v>3172</v>
      </c>
      <c r="L2481" t="str">
        <f>_xlfn.XLOOKUP(C2481,[1]!Table1[Shift_ID],[1]!Table1[Shift_ID])</f>
        <v>S03</v>
      </c>
      <c r="M2481" t="str">
        <f>_xlfn.XLOOKUP(D2481,[2]!Table1[Machine_ID],[2]!Table1[Machine_ID])</f>
        <v>M004</v>
      </c>
      <c r="N2481" t="str">
        <f>_xlfn.XLOOKUP(E2481,[3]Sheet1!$A$2:$A$391,[3]Sheet1!$A$2:$A$391)</f>
        <v>PO10166</v>
      </c>
    </row>
    <row r="2482" spans="1:14" x14ac:dyDescent="0.2">
      <c r="A2482" t="s">
        <v>2491</v>
      </c>
      <c r="B2482" s="2">
        <v>46314</v>
      </c>
      <c r="C2482" t="s">
        <v>2939</v>
      </c>
      <c r="D2482" t="s">
        <v>2945</v>
      </c>
      <c r="E2482" t="s">
        <v>3116</v>
      </c>
      <c r="F2482" s="3">
        <v>46315.181460310167</v>
      </c>
      <c r="G2482" s="3">
        <v>46315.183280854973</v>
      </c>
      <c r="H2482">
        <v>2.62</v>
      </c>
      <c r="I2482" t="s">
        <v>3151</v>
      </c>
      <c r="J2482" t="s">
        <v>3161</v>
      </c>
      <c r="K2482" t="s">
        <v>3188</v>
      </c>
      <c r="L2482" t="str">
        <f>_xlfn.XLOOKUP(C2482,[1]!Table1[Shift_ID],[1]!Table1[Shift_ID])</f>
        <v>S03</v>
      </c>
      <c r="M2482" t="str">
        <f>_xlfn.XLOOKUP(D2482,[2]!Table1[Machine_ID],[2]!Table1[Machine_ID])</f>
        <v>M004</v>
      </c>
      <c r="N2482" t="str">
        <f>_xlfn.XLOOKUP(E2482,[3]Sheet1!$A$2:$A$391,[3]Sheet1!$A$2:$A$391)</f>
        <v>PO10166</v>
      </c>
    </row>
    <row r="2483" spans="1:14" x14ac:dyDescent="0.2">
      <c r="A2483" t="s">
        <v>2492</v>
      </c>
      <c r="B2483" s="2">
        <v>46314</v>
      </c>
      <c r="C2483" t="s">
        <v>2939</v>
      </c>
      <c r="D2483" t="s">
        <v>2946</v>
      </c>
      <c r="E2483" t="s">
        <v>3116</v>
      </c>
      <c r="F2483" s="3">
        <v>46314.979502741357</v>
      </c>
      <c r="G2483" s="3">
        <v>46314.981881115324</v>
      </c>
      <c r="H2483">
        <v>3.42</v>
      </c>
      <c r="I2483" t="s">
        <v>3151</v>
      </c>
      <c r="J2483" t="s">
        <v>3169</v>
      </c>
      <c r="K2483" t="s">
        <v>3188</v>
      </c>
      <c r="L2483" t="str">
        <f>_xlfn.XLOOKUP(C2483,[1]!Table1[Shift_ID],[1]!Table1[Shift_ID])</f>
        <v>S03</v>
      </c>
      <c r="M2483" t="str">
        <f>_xlfn.XLOOKUP(D2483,[2]!Table1[Machine_ID],[2]!Table1[Machine_ID])</f>
        <v>M005</v>
      </c>
      <c r="N2483" t="str">
        <f>_xlfn.XLOOKUP(E2483,[3]Sheet1!$A$2:$A$391,[3]Sheet1!$A$2:$A$391)</f>
        <v>PO10166</v>
      </c>
    </row>
    <row r="2484" spans="1:14" x14ac:dyDescent="0.2">
      <c r="A2484" t="s">
        <v>2493</v>
      </c>
      <c r="B2484" s="2">
        <v>46314</v>
      </c>
      <c r="C2484" t="s">
        <v>2939</v>
      </c>
      <c r="D2484" t="s">
        <v>2946</v>
      </c>
      <c r="E2484" t="s">
        <v>3116</v>
      </c>
      <c r="F2484" s="3">
        <v>46315.082294408603</v>
      </c>
      <c r="G2484" s="3">
        <v>46315.085779453853</v>
      </c>
      <c r="H2484">
        <v>5.0199999999999996</v>
      </c>
      <c r="I2484" t="s">
        <v>3151</v>
      </c>
      <c r="J2484" t="s">
        <v>3161</v>
      </c>
      <c r="K2484" t="s">
        <v>3188</v>
      </c>
      <c r="L2484" t="str">
        <f>_xlfn.XLOOKUP(C2484,[1]!Table1[Shift_ID],[1]!Table1[Shift_ID])</f>
        <v>S03</v>
      </c>
      <c r="M2484" t="str">
        <f>_xlfn.XLOOKUP(D2484,[2]!Table1[Machine_ID],[2]!Table1[Machine_ID])</f>
        <v>M005</v>
      </c>
      <c r="N2484" t="str">
        <f>_xlfn.XLOOKUP(E2484,[3]Sheet1!$A$2:$A$391,[3]Sheet1!$A$2:$A$391)</f>
        <v>PO10166</v>
      </c>
    </row>
    <row r="2485" spans="1:14" x14ac:dyDescent="0.2">
      <c r="A2485" t="s">
        <v>2494</v>
      </c>
      <c r="B2485" s="2">
        <v>46314</v>
      </c>
      <c r="C2485" t="s">
        <v>2939</v>
      </c>
      <c r="D2485" t="s">
        <v>2947</v>
      </c>
      <c r="E2485" t="s">
        <v>3116</v>
      </c>
      <c r="F2485" s="3">
        <v>46314.995048539873</v>
      </c>
      <c r="G2485" s="3">
        <v>46315.004250044913</v>
      </c>
      <c r="H2485">
        <v>13.25</v>
      </c>
      <c r="I2485" t="s">
        <v>3150</v>
      </c>
      <c r="J2485" t="s">
        <v>3159</v>
      </c>
      <c r="K2485" t="s">
        <v>3177</v>
      </c>
      <c r="L2485" t="str">
        <f>_xlfn.XLOOKUP(C2485,[1]!Table1[Shift_ID],[1]!Table1[Shift_ID])</f>
        <v>S03</v>
      </c>
      <c r="M2485" t="str">
        <f>_xlfn.XLOOKUP(D2485,[2]!Table1[Machine_ID],[2]!Table1[Machine_ID])</f>
        <v>M006</v>
      </c>
      <c r="N2485" t="str">
        <f>_xlfn.XLOOKUP(E2485,[3]Sheet1!$A$2:$A$391,[3]Sheet1!$A$2:$A$391)</f>
        <v>PO10166</v>
      </c>
    </row>
    <row r="2486" spans="1:14" x14ac:dyDescent="0.2">
      <c r="A2486" t="s">
        <v>2495</v>
      </c>
      <c r="B2486" s="2">
        <v>46314</v>
      </c>
      <c r="C2486" t="s">
        <v>2939</v>
      </c>
      <c r="D2486" t="s">
        <v>2947</v>
      </c>
      <c r="E2486" t="s">
        <v>3116</v>
      </c>
      <c r="F2486" s="3">
        <v>46315.111128615339</v>
      </c>
      <c r="G2486" s="3">
        <v>46315.122560297998</v>
      </c>
      <c r="H2486">
        <v>16.46</v>
      </c>
      <c r="I2486" t="s">
        <v>3146</v>
      </c>
      <c r="J2486" t="s">
        <v>3156</v>
      </c>
      <c r="K2486" t="s">
        <v>3174</v>
      </c>
      <c r="L2486" t="str">
        <f>_xlfn.XLOOKUP(C2486,[1]!Table1[Shift_ID],[1]!Table1[Shift_ID])</f>
        <v>S03</v>
      </c>
      <c r="M2486" t="str">
        <f>_xlfn.XLOOKUP(D2486,[2]!Table1[Machine_ID],[2]!Table1[Machine_ID])</f>
        <v>M006</v>
      </c>
      <c r="N2486" t="str">
        <f>_xlfn.XLOOKUP(E2486,[3]Sheet1!$A$2:$A$391,[3]Sheet1!$A$2:$A$391)</f>
        <v>PO10166</v>
      </c>
    </row>
    <row r="2487" spans="1:14" x14ac:dyDescent="0.2">
      <c r="A2487" t="s">
        <v>2496</v>
      </c>
      <c r="B2487" s="2">
        <v>46314</v>
      </c>
      <c r="C2487" t="s">
        <v>2939</v>
      </c>
      <c r="D2487" t="s">
        <v>2948</v>
      </c>
      <c r="E2487" t="s">
        <v>3116</v>
      </c>
      <c r="F2487" s="3">
        <v>46315.143362318413</v>
      </c>
      <c r="G2487" s="3">
        <v>46315.145415696803</v>
      </c>
      <c r="H2487">
        <v>2.96</v>
      </c>
      <c r="I2487" t="s">
        <v>3150</v>
      </c>
      <c r="J2487" t="s">
        <v>3160</v>
      </c>
      <c r="K2487" t="s">
        <v>3179</v>
      </c>
      <c r="L2487" t="str">
        <f>_xlfn.XLOOKUP(C2487,[1]!Table1[Shift_ID],[1]!Table1[Shift_ID])</f>
        <v>S03</v>
      </c>
      <c r="M2487" t="str">
        <f>_xlfn.XLOOKUP(D2487,[2]!Table1[Machine_ID],[2]!Table1[Machine_ID])</f>
        <v>M007</v>
      </c>
      <c r="N2487" t="str">
        <f>_xlfn.XLOOKUP(E2487,[3]Sheet1!$A$2:$A$391,[3]Sheet1!$A$2:$A$391)</f>
        <v>PO10166</v>
      </c>
    </row>
    <row r="2488" spans="1:14" x14ac:dyDescent="0.2">
      <c r="A2488" t="s">
        <v>2497</v>
      </c>
      <c r="B2488" s="2">
        <v>46314</v>
      </c>
      <c r="C2488" t="s">
        <v>2939</v>
      </c>
      <c r="D2488" t="s">
        <v>2948</v>
      </c>
      <c r="E2488" t="s">
        <v>3116</v>
      </c>
      <c r="F2488" s="3">
        <v>46315.196679286819</v>
      </c>
      <c r="G2488" s="3">
        <v>46315.205290439437</v>
      </c>
      <c r="H2488">
        <v>12.4</v>
      </c>
      <c r="I2488" t="s">
        <v>3147</v>
      </c>
      <c r="J2488" t="s">
        <v>3153</v>
      </c>
      <c r="K2488" t="s">
        <v>3186</v>
      </c>
      <c r="L2488" t="str">
        <f>_xlfn.XLOOKUP(C2488,[1]!Table1[Shift_ID],[1]!Table1[Shift_ID])</f>
        <v>S03</v>
      </c>
      <c r="M2488" t="str">
        <f>_xlfn.XLOOKUP(D2488,[2]!Table1[Machine_ID],[2]!Table1[Machine_ID])</f>
        <v>M007</v>
      </c>
      <c r="N2488" t="str">
        <f>_xlfn.XLOOKUP(E2488,[3]Sheet1!$A$2:$A$391,[3]Sheet1!$A$2:$A$391)</f>
        <v>PO10166</v>
      </c>
    </row>
    <row r="2489" spans="1:14" x14ac:dyDescent="0.2">
      <c r="A2489" t="s">
        <v>2498</v>
      </c>
      <c r="B2489" s="2">
        <v>46314</v>
      </c>
      <c r="C2489" t="s">
        <v>2939</v>
      </c>
      <c r="D2489" t="s">
        <v>2949</v>
      </c>
      <c r="E2489" t="s">
        <v>3116</v>
      </c>
      <c r="F2489" s="3">
        <v>46314.935765446957</v>
      </c>
      <c r="G2489" s="3">
        <v>46314.937842701969</v>
      </c>
      <c r="H2489">
        <v>2.99</v>
      </c>
      <c r="I2489" t="s">
        <v>3149</v>
      </c>
      <c r="J2489" t="s">
        <v>3168</v>
      </c>
      <c r="K2489" t="s">
        <v>3184</v>
      </c>
      <c r="L2489" t="str">
        <f>_xlfn.XLOOKUP(C2489,[1]!Table1[Shift_ID],[1]!Table1[Shift_ID])</f>
        <v>S03</v>
      </c>
      <c r="M2489" t="str">
        <f>_xlfn.XLOOKUP(D2489,[2]!Table1[Machine_ID],[2]!Table1[Machine_ID])</f>
        <v>M008</v>
      </c>
      <c r="N2489" t="str">
        <f>_xlfn.XLOOKUP(E2489,[3]Sheet1!$A$2:$A$391,[3]Sheet1!$A$2:$A$391)</f>
        <v>PO10166</v>
      </c>
    </row>
    <row r="2490" spans="1:14" x14ac:dyDescent="0.2">
      <c r="A2490" t="s">
        <v>2499</v>
      </c>
      <c r="B2490" s="2">
        <v>46314</v>
      </c>
      <c r="C2490" t="s">
        <v>2939</v>
      </c>
      <c r="D2490" t="s">
        <v>2949</v>
      </c>
      <c r="E2490" t="s">
        <v>3116</v>
      </c>
      <c r="F2490" s="3">
        <v>46315.194602175303</v>
      </c>
      <c r="G2490" s="3">
        <v>46315.198309342173</v>
      </c>
      <c r="H2490">
        <v>5.34</v>
      </c>
      <c r="I2490" t="s">
        <v>3147</v>
      </c>
      <c r="J2490" t="s">
        <v>3154</v>
      </c>
      <c r="K2490" t="s">
        <v>3172</v>
      </c>
      <c r="L2490" t="str">
        <f>_xlfn.XLOOKUP(C2490,[1]!Table1[Shift_ID],[1]!Table1[Shift_ID])</f>
        <v>S03</v>
      </c>
      <c r="M2490" t="str">
        <f>_xlfn.XLOOKUP(D2490,[2]!Table1[Machine_ID],[2]!Table1[Machine_ID])</f>
        <v>M008</v>
      </c>
      <c r="N2490" t="str">
        <f>_xlfn.XLOOKUP(E2490,[3]Sheet1!$A$2:$A$391,[3]Sheet1!$A$2:$A$391)</f>
        <v>PO10166</v>
      </c>
    </row>
    <row r="2491" spans="1:14" x14ac:dyDescent="0.2">
      <c r="A2491" t="s">
        <v>2500</v>
      </c>
      <c r="B2491" s="2">
        <v>46314</v>
      </c>
      <c r="C2491" t="s">
        <v>2940</v>
      </c>
      <c r="D2491" t="s">
        <v>2942</v>
      </c>
      <c r="E2491" t="s">
        <v>3117</v>
      </c>
      <c r="F2491" s="3">
        <v>46314.380107399571</v>
      </c>
      <c r="G2491" s="3">
        <v>46314.38659386411</v>
      </c>
      <c r="H2491">
        <v>9.34</v>
      </c>
      <c r="I2491" t="s">
        <v>3150</v>
      </c>
      <c r="J2491" t="s">
        <v>3166</v>
      </c>
      <c r="K2491" t="s">
        <v>3179</v>
      </c>
      <c r="L2491" t="str">
        <f>_xlfn.XLOOKUP(C2491,[1]!Table1[Shift_ID],[1]!Table1[Shift_ID])</f>
        <v>S01</v>
      </c>
      <c r="M2491" t="str">
        <f>_xlfn.XLOOKUP(D2491,[2]!Table1[Machine_ID],[2]!Table1[Machine_ID])</f>
        <v>M001</v>
      </c>
      <c r="N2491" t="str">
        <f>_xlfn.XLOOKUP(E2491,[3]Sheet1!$A$2:$A$391,[3]Sheet1!$A$2:$A$391)</f>
        <v>PO10167</v>
      </c>
    </row>
    <row r="2492" spans="1:14" x14ac:dyDescent="0.2">
      <c r="A2492" t="s">
        <v>2501</v>
      </c>
      <c r="B2492" s="2">
        <v>46314</v>
      </c>
      <c r="C2492" t="s">
        <v>2940</v>
      </c>
      <c r="D2492" t="s">
        <v>2943</v>
      </c>
      <c r="E2492" t="s">
        <v>3117</v>
      </c>
      <c r="F2492" s="3">
        <v>46314.415509259743</v>
      </c>
      <c r="G2492" s="3">
        <v>46314.420108610328</v>
      </c>
      <c r="H2492">
        <v>6.62</v>
      </c>
      <c r="I2492" t="s">
        <v>3150</v>
      </c>
      <c r="J2492" t="s">
        <v>3160</v>
      </c>
      <c r="K2492" t="s">
        <v>3178</v>
      </c>
      <c r="L2492" t="str">
        <f>_xlfn.XLOOKUP(C2492,[1]!Table1[Shift_ID],[1]!Table1[Shift_ID])</f>
        <v>S01</v>
      </c>
      <c r="M2492" t="str">
        <f>_xlfn.XLOOKUP(D2492,[2]!Table1[Machine_ID],[2]!Table1[Machine_ID])</f>
        <v>M002</v>
      </c>
      <c r="N2492" t="str">
        <f>_xlfn.XLOOKUP(E2492,[3]Sheet1!$A$2:$A$391,[3]Sheet1!$A$2:$A$391)</f>
        <v>PO10167</v>
      </c>
    </row>
    <row r="2493" spans="1:14" x14ac:dyDescent="0.2">
      <c r="A2493" t="s">
        <v>2502</v>
      </c>
      <c r="B2493" s="2">
        <v>46314</v>
      </c>
      <c r="C2493" t="s">
        <v>2940</v>
      </c>
      <c r="D2493" t="s">
        <v>2943</v>
      </c>
      <c r="E2493" t="s">
        <v>3117</v>
      </c>
      <c r="F2493" s="3">
        <v>46314.554752776021</v>
      </c>
      <c r="G2493" s="3">
        <v>46314.557637938167</v>
      </c>
      <c r="H2493">
        <v>4.1500000000000004</v>
      </c>
      <c r="I2493" t="s">
        <v>3150</v>
      </c>
      <c r="J2493" t="s">
        <v>3159</v>
      </c>
      <c r="K2493" t="s">
        <v>3177</v>
      </c>
      <c r="L2493" t="str">
        <f>_xlfn.XLOOKUP(C2493,[1]!Table1[Shift_ID],[1]!Table1[Shift_ID])</f>
        <v>S01</v>
      </c>
      <c r="M2493" t="str">
        <f>_xlfn.XLOOKUP(D2493,[2]!Table1[Machine_ID],[2]!Table1[Machine_ID])</f>
        <v>M002</v>
      </c>
      <c r="N2493" t="str">
        <f>_xlfn.XLOOKUP(E2493,[3]Sheet1!$A$2:$A$391,[3]Sheet1!$A$2:$A$391)</f>
        <v>PO10167</v>
      </c>
    </row>
    <row r="2494" spans="1:14" x14ac:dyDescent="0.2">
      <c r="A2494" t="s">
        <v>2503</v>
      </c>
      <c r="B2494" s="2">
        <v>46314</v>
      </c>
      <c r="C2494" t="s">
        <v>2940</v>
      </c>
      <c r="D2494" t="s">
        <v>2944</v>
      </c>
      <c r="E2494" t="s">
        <v>3117</v>
      </c>
      <c r="F2494" s="3">
        <v>46314.257273613497</v>
      </c>
      <c r="G2494" s="3">
        <v>46314.268177413047</v>
      </c>
      <c r="H2494">
        <v>15.7</v>
      </c>
      <c r="I2494" t="s">
        <v>3149</v>
      </c>
      <c r="J2494" t="s">
        <v>3162</v>
      </c>
      <c r="K2494" t="s">
        <v>3176</v>
      </c>
      <c r="L2494" t="str">
        <f>_xlfn.XLOOKUP(C2494,[1]!Table1[Shift_ID],[1]!Table1[Shift_ID])</f>
        <v>S01</v>
      </c>
      <c r="M2494" t="str">
        <f>_xlfn.XLOOKUP(D2494,[2]!Table1[Machine_ID],[2]!Table1[Machine_ID])</f>
        <v>M003</v>
      </c>
      <c r="N2494" t="str">
        <f>_xlfn.XLOOKUP(E2494,[3]Sheet1!$A$2:$A$391,[3]Sheet1!$A$2:$A$391)</f>
        <v>PO10167</v>
      </c>
    </row>
    <row r="2495" spans="1:14" x14ac:dyDescent="0.2">
      <c r="A2495" t="s">
        <v>2504</v>
      </c>
      <c r="B2495" s="2">
        <v>46314</v>
      </c>
      <c r="C2495" t="s">
        <v>2940</v>
      </c>
      <c r="D2495" t="s">
        <v>2944</v>
      </c>
      <c r="E2495" t="s">
        <v>3117</v>
      </c>
      <c r="F2495" s="3">
        <v>46314.552139762178</v>
      </c>
      <c r="G2495" s="3">
        <v>46314.554837037467</v>
      </c>
      <c r="H2495">
        <v>3.88</v>
      </c>
      <c r="I2495" t="s">
        <v>3147</v>
      </c>
      <c r="J2495" t="s">
        <v>3167</v>
      </c>
      <c r="K2495" t="s">
        <v>3172</v>
      </c>
      <c r="L2495" t="str">
        <f>_xlfn.XLOOKUP(C2495,[1]!Table1[Shift_ID],[1]!Table1[Shift_ID])</f>
        <v>S01</v>
      </c>
      <c r="M2495" t="str">
        <f>_xlfn.XLOOKUP(D2495,[2]!Table1[Machine_ID],[2]!Table1[Machine_ID])</f>
        <v>M003</v>
      </c>
      <c r="N2495" t="str">
        <f>_xlfn.XLOOKUP(E2495,[3]Sheet1!$A$2:$A$391,[3]Sheet1!$A$2:$A$391)</f>
        <v>PO10167</v>
      </c>
    </row>
    <row r="2496" spans="1:14" x14ac:dyDescent="0.2">
      <c r="A2496" t="s">
        <v>2505</v>
      </c>
      <c r="B2496" s="2">
        <v>46314</v>
      </c>
      <c r="C2496" t="s">
        <v>2940</v>
      </c>
      <c r="D2496" t="s">
        <v>2945</v>
      </c>
      <c r="E2496" t="s">
        <v>3117</v>
      </c>
      <c r="F2496" s="3">
        <v>46314.376106907723</v>
      </c>
      <c r="G2496" s="3">
        <v>46314.377865062757</v>
      </c>
      <c r="H2496">
        <v>2.5299999999999998</v>
      </c>
      <c r="I2496" t="s">
        <v>3149</v>
      </c>
      <c r="J2496" t="s">
        <v>3158</v>
      </c>
      <c r="K2496" t="s">
        <v>3182</v>
      </c>
      <c r="L2496" t="str">
        <f>_xlfn.XLOOKUP(C2496,[1]!Table1[Shift_ID],[1]!Table1[Shift_ID])</f>
        <v>S01</v>
      </c>
      <c r="M2496" t="str">
        <f>_xlfn.XLOOKUP(D2496,[2]!Table1[Machine_ID],[2]!Table1[Machine_ID])</f>
        <v>M004</v>
      </c>
      <c r="N2496" t="str">
        <f>_xlfn.XLOOKUP(E2496,[3]Sheet1!$A$2:$A$391,[3]Sheet1!$A$2:$A$391)</f>
        <v>PO10167</v>
      </c>
    </row>
    <row r="2497" spans="1:14" x14ac:dyDescent="0.2">
      <c r="A2497" t="s">
        <v>2506</v>
      </c>
      <c r="B2497" s="2">
        <v>46314</v>
      </c>
      <c r="C2497" t="s">
        <v>2940</v>
      </c>
      <c r="D2497" t="s">
        <v>2945</v>
      </c>
      <c r="E2497" t="s">
        <v>3117</v>
      </c>
      <c r="F2497" s="3">
        <v>46314.513557585553</v>
      </c>
      <c r="G2497" s="3">
        <v>46314.515315740588</v>
      </c>
      <c r="H2497">
        <v>2.5299999999999998</v>
      </c>
      <c r="I2497" t="s">
        <v>3149</v>
      </c>
      <c r="J2497" t="s">
        <v>3168</v>
      </c>
      <c r="K2497" t="s">
        <v>3176</v>
      </c>
      <c r="L2497" t="str">
        <f>_xlfn.XLOOKUP(C2497,[1]!Table1[Shift_ID],[1]!Table1[Shift_ID])</f>
        <v>S01</v>
      </c>
      <c r="M2497" t="str">
        <f>_xlfn.XLOOKUP(D2497,[2]!Table1[Machine_ID],[2]!Table1[Machine_ID])</f>
        <v>M004</v>
      </c>
      <c r="N2497" t="str">
        <f>_xlfn.XLOOKUP(E2497,[3]Sheet1!$A$2:$A$391,[3]Sheet1!$A$2:$A$391)</f>
        <v>PO10167</v>
      </c>
    </row>
    <row r="2498" spans="1:14" x14ac:dyDescent="0.2">
      <c r="A2498" t="s">
        <v>2507</v>
      </c>
      <c r="B2498" s="2">
        <v>46314</v>
      </c>
      <c r="C2498" t="s">
        <v>2940</v>
      </c>
      <c r="D2498" t="s">
        <v>2945</v>
      </c>
      <c r="E2498" t="s">
        <v>3117</v>
      </c>
      <c r="F2498" s="3">
        <v>46314.542197565133</v>
      </c>
      <c r="G2498" s="3">
        <v>46314.54871850308</v>
      </c>
      <c r="H2498">
        <v>9.39</v>
      </c>
      <c r="I2498" t="s">
        <v>3149</v>
      </c>
      <c r="J2498" t="s">
        <v>3158</v>
      </c>
      <c r="K2498" t="s">
        <v>3184</v>
      </c>
      <c r="L2498" t="str">
        <f>_xlfn.XLOOKUP(C2498,[1]!Table1[Shift_ID],[1]!Table1[Shift_ID])</f>
        <v>S01</v>
      </c>
      <c r="M2498" t="str">
        <f>_xlfn.XLOOKUP(D2498,[2]!Table1[Machine_ID],[2]!Table1[Machine_ID])</f>
        <v>M004</v>
      </c>
      <c r="N2498" t="str">
        <f>_xlfn.XLOOKUP(E2498,[3]Sheet1!$A$2:$A$391,[3]Sheet1!$A$2:$A$391)</f>
        <v>PO10167</v>
      </c>
    </row>
    <row r="2499" spans="1:14" x14ac:dyDescent="0.2">
      <c r="A2499" t="s">
        <v>2508</v>
      </c>
      <c r="B2499" s="2">
        <v>46314</v>
      </c>
      <c r="C2499" t="s">
        <v>2940</v>
      </c>
      <c r="D2499" t="s">
        <v>2946</v>
      </c>
      <c r="E2499" t="s">
        <v>3117</v>
      </c>
      <c r="F2499" s="3">
        <v>46314.279341962152</v>
      </c>
      <c r="G2499" s="3">
        <v>46314.280864579661</v>
      </c>
      <c r="H2499">
        <v>2.19</v>
      </c>
      <c r="I2499" t="s">
        <v>3149</v>
      </c>
      <c r="J2499" t="s">
        <v>3158</v>
      </c>
      <c r="K2499" t="s">
        <v>3176</v>
      </c>
      <c r="L2499" t="str">
        <f>_xlfn.XLOOKUP(C2499,[1]!Table1[Shift_ID],[1]!Table1[Shift_ID])</f>
        <v>S01</v>
      </c>
      <c r="M2499" t="str">
        <f>_xlfn.XLOOKUP(D2499,[2]!Table1[Machine_ID],[2]!Table1[Machine_ID])</f>
        <v>M005</v>
      </c>
      <c r="N2499" t="str">
        <f>_xlfn.XLOOKUP(E2499,[3]Sheet1!$A$2:$A$391,[3]Sheet1!$A$2:$A$391)</f>
        <v>PO10167</v>
      </c>
    </row>
    <row r="2500" spans="1:14" x14ac:dyDescent="0.2">
      <c r="A2500" t="s">
        <v>2509</v>
      </c>
      <c r="B2500" s="2">
        <v>46314</v>
      </c>
      <c r="C2500" t="s">
        <v>2940</v>
      </c>
      <c r="D2500" t="s">
        <v>2946</v>
      </c>
      <c r="E2500" t="s">
        <v>3117</v>
      </c>
      <c r="F2500" s="3">
        <v>46314.4554917403</v>
      </c>
      <c r="G2500" s="3">
        <v>46314.457014357809</v>
      </c>
      <c r="H2500">
        <v>2.19</v>
      </c>
      <c r="I2500" t="s">
        <v>3147</v>
      </c>
      <c r="J2500" t="s">
        <v>3153</v>
      </c>
      <c r="K2500" t="s">
        <v>3172</v>
      </c>
      <c r="L2500" t="str">
        <f>_xlfn.XLOOKUP(C2500,[1]!Table1[Shift_ID],[1]!Table1[Shift_ID])</f>
        <v>S01</v>
      </c>
      <c r="M2500" t="str">
        <f>_xlfn.XLOOKUP(D2500,[2]!Table1[Machine_ID],[2]!Table1[Machine_ID])</f>
        <v>M005</v>
      </c>
      <c r="N2500" t="str">
        <f>_xlfn.XLOOKUP(E2500,[3]Sheet1!$A$2:$A$391,[3]Sheet1!$A$2:$A$391)</f>
        <v>PO10167</v>
      </c>
    </row>
    <row r="2501" spans="1:14" x14ac:dyDescent="0.2">
      <c r="A2501" t="s">
        <v>2510</v>
      </c>
      <c r="B2501" s="2">
        <v>46314</v>
      </c>
      <c r="C2501" t="s">
        <v>2940</v>
      </c>
      <c r="D2501" t="s">
        <v>2946</v>
      </c>
      <c r="E2501" t="s">
        <v>3117</v>
      </c>
      <c r="F2501" s="3">
        <v>46314.462506830663</v>
      </c>
      <c r="G2501" s="3">
        <v>46314.464656772223</v>
      </c>
      <c r="H2501">
        <v>3.1</v>
      </c>
      <c r="I2501" t="s">
        <v>3147</v>
      </c>
      <c r="J2501" t="s">
        <v>3153</v>
      </c>
      <c r="K2501" t="s">
        <v>3172</v>
      </c>
      <c r="L2501" t="str">
        <f>_xlfn.XLOOKUP(C2501,[1]!Table1[Shift_ID],[1]!Table1[Shift_ID])</f>
        <v>S01</v>
      </c>
      <c r="M2501" t="str">
        <f>_xlfn.XLOOKUP(D2501,[2]!Table1[Machine_ID],[2]!Table1[Machine_ID])</f>
        <v>M005</v>
      </c>
      <c r="N2501" t="str">
        <f>_xlfn.XLOOKUP(E2501,[3]Sheet1!$A$2:$A$391,[3]Sheet1!$A$2:$A$391)</f>
        <v>PO10167</v>
      </c>
    </row>
    <row r="2502" spans="1:14" x14ac:dyDescent="0.2">
      <c r="A2502" t="s">
        <v>2511</v>
      </c>
      <c r="B2502" s="2">
        <v>46314</v>
      </c>
      <c r="C2502" t="s">
        <v>2940</v>
      </c>
      <c r="D2502" t="s">
        <v>2946</v>
      </c>
      <c r="E2502" t="s">
        <v>3117</v>
      </c>
      <c r="F2502" s="3">
        <v>46314.530263631023</v>
      </c>
      <c r="G2502" s="3">
        <v>46314.531786248532</v>
      </c>
      <c r="H2502">
        <v>2.19</v>
      </c>
      <c r="I2502" t="s">
        <v>3146</v>
      </c>
      <c r="J2502" t="s">
        <v>3152</v>
      </c>
      <c r="K2502" t="s">
        <v>3175</v>
      </c>
      <c r="L2502" t="str">
        <f>_xlfn.XLOOKUP(C2502,[1]!Table1[Shift_ID],[1]!Table1[Shift_ID])</f>
        <v>S01</v>
      </c>
      <c r="M2502" t="str">
        <f>_xlfn.XLOOKUP(D2502,[2]!Table1[Machine_ID],[2]!Table1[Machine_ID])</f>
        <v>M005</v>
      </c>
      <c r="N2502" t="str">
        <f>_xlfn.XLOOKUP(E2502,[3]Sheet1!$A$2:$A$391,[3]Sheet1!$A$2:$A$391)</f>
        <v>PO10167</v>
      </c>
    </row>
    <row r="2503" spans="1:14" x14ac:dyDescent="0.2">
      <c r="A2503" t="s">
        <v>2512</v>
      </c>
      <c r="B2503" s="2">
        <v>46314</v>
      </c>
      <c r="C2503" t="s">
        <v>2940</v>
      </c>
      <c r="D2503" t="s">
        <v>2946</v>
      </c>
      <c r="E2503" t="s">
        <v>3117</v>
      </c>
      <c r="F2503" s="3">
        <v>46314.534698137948</v>
      </c>
      <c r="G2503" s="3">
        <v>46314.536220755457</v>
      </c>
      <c r="H2503">
        <v>2.19</v>
      </c>
      <c r="I2503" t="s">
        <v>3147</v>
      </c>
      <c r="J2503" t="s">
        <v>3154</v>
      </c>
      <c r="K2503" t="s">
        <v>3186</v>
      </c>
      <c r="L2503" t="str">
        <f>_xlfn.XLOOKUP(C2503,[1]!Table1[Shift_ID],[1]!Table1[Shift_ID])</f>
        <v>S01</v>
      </c>
      <c r="M2503" t="str">
        <f>_xlfn.XLOOKUP(D2503,[2]!Table1[Machine_ID],[2]!Table1[Machine_ID])</f>
        <v>M005</v>
      </c>
      <c r="N2503" t="str">
        <f>_xlfn.XLOOKUP(E2503,[3]Sheet1!$A$2:$A$391,[3]Sheet1!$A$2:$A$391)</f>
        <v>PO10167</v>
      </c>
    </row>
    <row r="2504" spans="1:14" x14ac:dyDescent="0.2">
      <c r="A2504" t="s">
        <v>2513</v>
      </c>
      <c r="B2504" s="2">
        <v>46314</v>
      </c>
      <c r="C2504" t="s">
        <v>2940</v>
      </c>
      <c r="D2504" t="s">
        <v>2947</v>
      </c>
      <c r="E2504" t="s">
        <v>3117</v>
      </c>
      <c r="F2504" s="3">
        <v>46314.275771173059</v>
      </c>
      <c r="G2504" s="3">
        <v>46314.282234605656</v>
      </c>
      <c r="H2504">
        <v>9.31</v>
      </c>
      <c r="I2504" t="s">
        <v>3147</v>
      </c>
      <c r="J2504" t="s">
        <v>3167</v>
      </c>
      <c r="K2504" t="s">
        <v>3185</v>
      </c>
      <c r="L2504" t="str">
        <f>_xlfn.XLOOKUP(C2504,[1]!Table1[Shift_ID],[1]!Table1[Shift_ID])</f>
        <v>S01</v>
      </c>
      <c r="M2504" t="str">
        <f>_xlfn.XLOOKUP(D2504,[2]!Table1[Machine_ID],[2]!Table1[Machine_ID])</f>
        <v>M006</v>
      </c>
      <c r="N2504" t="str">
        <f>_xlfn.XLOOKUP(E2504,[3]Sheet1!$A$2:$A$391,[3]Sheet1!$A$2:$A$391)</f>
        <v>PO10167</v>
      </c>
    </row>
    <row r="2505" spans="1:14" x14ac:dyDescent="0.2">
      <c r="A2505" t="s">
        <v>2514</v>
      </c>
      <c r="B2505" s="2">
        <v>46314</v>
      </c>
      <c r="C2505" t="s">
        <v>2940</v>
      </c>
      <c r="D2505" t="s">
        <v>2947</v>
      </c>
      <c r="E2505" t="s">
        <v>3117</v>
      </c>
      <c r="F2505" s="3">
        <v>46314.464282649817</v>
      </c>
      <c r="G2505" s="3">
        <v>46314.478457543053</v>
      </c>
      <c r="H2505">
        <v>20.41</v>
      </c>
      <c r="I2505" t="s">
        <v>3148</v>
      </c>
      <c r="J2505" t="s">
        <v>3165</v>
      </c>
      <c r="K2505" t="s">
        <v>3180</v>
      </c>
      <c r="L2505" t="str">
        <f>_xlfn.XLOOKUP(C2505,[1]!Table1[Shift_ID],[1]!Table1[Shift_ID])</f>
        <v>S01</v>
      </c>
      <c r="M2505" t="str">
        <f>_xlfn.XLOOKUP(D2505,[2]!Table1[Machine_ID],[2]!Table1[Machine_ID])</f>
        <v>M006</v>
      </c>
      <c r="N2505" t="str">
        <f>_xlfn.XLOOKUP(E2505,[3]Sheet1!$A$2:$A$391,[3]Sheet1!$A$2:$A$391)</f>
        <v>PO10167</v>
      </c>
    </row>
    <row r="2506" spans="1:14" x14ac:dyDescent="0.2">
      <c r="A2506" t="s">
        <v>2515</v>
      </c>
      <c r="B2506" s="2">
        <v>46314</v>
      </c>
      <c r="C2506" t="s">
        <v>2940</v>
      </c>
      <c r="D2506" t="s">
        <v>2947</v>
      </c>
      <c r="E2506" t="s">
        <v>3117</v>
      </c>
      <c r="F2506" s="3">
        <v>46314.482045469689</v>
      </c>
      <c r="G2506" s="3">
        <v>46314.484044799152</v>
      </c>
      <c r="H2506">
        <v>2.88</v>
      </c>
      <c r="I2506" t="s">
        <v>3147</v>
      </c>
      <c r="J2506" t="s">
        <v>3154</v>
      </c>
      <c r="K2506" t="s">
        <v>3172</v>
      </c>
      <c r="L2506" t="str">
        <f>_xlfn.XLOOKUP(C2506,[1]!Table1[Shift_ID],[1]!Table1[Shift_ID])</f>
        <v>S01</v>
      </c>
      <c r="M2506" t="str">
        <f>_xlfn.XLOOKUP(D2506,[2]!Table1[Machine_ID],[2]!Table1[Machine_ID])</f>
        <v>M006</v>
      </c>
      <c r="N2506" t="str">
        <f>_xlfn.XLOOKUP(E2506,[3]Sheet1!$A$2:$A$391,[3]Sheet1!$A$2:$A$391)</f>
        <v>PO10167</v>
      </c>
    </row>
    <row r="2507" spans="1:14" x14ac:dyDescent="0.2">
      <c r="A2507" t="s">
        <v>2516</v>
      </c>
      <c r="B2507" s="2">
        <v>46314</v>
      </c>
      <c r="C2507" t="s">
        <v>2940</v>
      </c>
      <c r="D2507" t="s">
        <v>2947</v>
      </c>
      <c r="E2507" t="s">
        <v>3117</v>
      </c>
      <c r="F2507" s="3">
        <v>46314.565728869988</v>
      </c>
      <c r="G2507" s="3">
        <v>46314.567670658529</v>
      </c>
      <c r="H2507">
        <v>2.8</v>
      </c>
      <c r="I2507" t="s">
        <v>3151</v>
      </c>
      <c r="J2507" t="s">
        <v>3170</v>
      </c>
      <c r="K2507" t="s">
        <v>3188</v>
      </c>
      <c r="L2507" t="str">
        <f>_xlfn.XLOOKUP(C2507,[1]!Table1[Shift_ID],[1]!Table1[Shift_ID])</f>
        <v>S01</v>
      </c>
      <c r="M2507" t="str">
        <f>_xlfn.XLOOKUP(D2507,[2]!Table1[Machine_ID],[2]!Table1[Machine_ID])</f>
        <v>M006</v>
      </c>
      <c r="N2507" t="str">
        <f>_xlfn.XLOOKUP(E2507,[3]Sheet1!$A$2:$A$391,[3]Sheet1!$A$2:$A$391)</f>
        <v>PO10167</v>
      </c>
    </row>
    <row r="2508" spans="1:14" x14ac:dyDescent="0.2">
      <c r="A2508" t="s">
        <v>2517</v>
      </c>
      <c r="B2508" s="2">
        <v>46314</v>
      </c>
      <c r="C2508" t="s">
        <v>2940</v>
      </c>
      <c r="D2508" t="s">
        <v>2948</v>
      </c>
      <c r="E2508" t="s">
        <v>3117</v>
      </c>
      <c r="F2508" s="3">
        <v>46314.286983343824</v>
      </c>
      <c r="G2508" s="3">
        <v>46314.288816992928</v>
      </c>
      <c r="H2508">
        <v>2.64</v>
      </c>
      <c r="I2508" t="s">
        <v>3149</v>
      </c>
      <c r="J2508" t="s">
        <v>3158</v>
      </c>
      <c r="K2508" t="s">
        <v>3184</v>
      </c>
      <c r="L2508" t="str">
        <f>_xlfn.XLOOKUP(C2508,[1]!Table1[Shift_ID],[1]!Table1[Shift_ID])</f>
        <v>S01</v>
      </c>
      <c r="M2508" t="str">
        <f>_xlfn.XLOOKUP(D2508,[2]!Table1[Machine_ID],[2]!Table1[Machine_ID])</f>
        <v>M007</v>
      </c>
      <c r="N2508" t="str">
        <f>_xlfn.XLOOKUP(E2508,[3]Sheet1!$A$2:$A$391,[3]Sheet1!$A$2:$A$391)</f>
        <v>PO10167</v>
      </c>
    </row>
    <row r="2509" spans="1:14" x14ac:dyDescent="0.2">
      <c r="A2509" t="s">
        <v>2518</v>
      </c>
      <c r="B2509" s="2">
        <v>46314</v>
      </c>
      <c r="C2509" t="s">
        <v>2940</v>
      </c>
      <c r="D2509" t="s">
        <v>2948</v>
      </c>
      <c r="E2509" t="s">
        <v>3117</v>
      </c>
      <c r="F2509" s="3">
        <v>46314.303074784351</v>
      </c>
      <c r="G2509" s="3">
        <v>46314.304908433463</v>
      </c>
      <c r="H2509">
        <v>2.64</v>
      </c>
      <c r="I2509" t="s">
        <v>3149</v>
      </c>
      <c r="J2509" t="s">
        <v>3168</v>
      </c>
      <c r="K2509" t="s">
        <v>3182</v>
      </c>
      <c r="L2509" t="str">
        <f>_xlfn.XLOOKUP(C2509,[1]!Table1[Shift_ID],[1]!Table1[Shift_ID])</f>
        <v>S01</v>
      </c>
      <c r="M2509" t="str">
        <f>_xlfn.XLOOKUP(D2509,[2]!Table1[Machine_ID],[2]!Table1[Machine_ID])</f>
        <v>M007</v>
      </c>
      <c r="N2509" t="str">
        <f>_xlfn.XLOOKUP(E2509,[3]Sheet1!$A$2:$A$391,[3]Sheet1!$A$2:$A$391)</f>
        <v>PO10167</v>
      </c>
    </row>
    <row r="2510" spans="1:14" x14ac:dyDescent="0.2">
      <c r="A2510" t="s">
        <v>2519</v>
      </c>
      <c r="B2510" s="2">
        <v>46314</v>
      </c>
      <c r="C2510" t="s">
        <v>2940</v>
      </c>
      <c r="D2510" t="s">
        <v>2948</v>
      </c>
      <c r="E2510" t="s">
        <v>3117</v>
      </c>
      <c r="F2510" s="3">
        <v>46314.456556770761</v>
      </c>
      <c r="G2510" s="3">
        <v>46314.460430607767</v>
      </c>
      <c r="H2510">
        <v>5.58</v>
      </c>
      <c r="I2510" t="s">
        <v>3149</v>
      </c>
      <c r="J2510" t="s">
        <v>3158</v>
      </c>
      <c r="K2510" t="s">
        <v>3182</v>
      </c>
      <c r="L2510" t="str">
        <f>_xlfn.XLOOKUP(C2510,[1]!Table1[Shift_ID],[1]!Table1[Shift_ID])</f>
        <v>S01</v>
      </c>
      <c r="M2510" t="str">
        <f>_xlfn.XLOOKUP(D2510,[2]!Table1[Machine_ID],[2]!Table1[Machine_ID])</f>
        <v>M007</v>
      </c>
      <c r="N2510" t="str">
        <f>_xlfn.XLOOKUP(E2510,[3]Sheet1!$A$2:$A$391,[3]Sheet1!$A$2:$A$391)</f>
        <v>PO10167</v>
      </c>
    </row>
    <row r="2511" spans="1:14" x14ac:dyDescent="0.2">
      <c r="A2511" t="s">
        <v>2520</v>
      </c>
      <c r="B2511" s="2">
        <v>46314</v>
      </c>
      <c r="C2511" t="s">
        <v>2940</v>
      </c>
      <c r="D2511" t="s">
        <v>2948</v>
      </c>
      <c r="E2511" t="s">
        <v>3117</v>
      </c>
      <c r="F2511" s="3">
        <v>46314.515305911853</v>
      </c>
      <c r="G2511" s="3">
        <v>46314.519878808183</v>
      </c>
      <c r="H2511">
        <v>6.58</v>
      </c>
      <c r="I2511" t="s">
        <v>3149</v>
      </c>
      <c r="J2511" t="s">
        <v>3158</v>
      </c>
      <c r="K2511" t="s">
        <v>3176</v>
      </c>
      <c r="L2511" t="str">
        <f>_xlfn.XLOOKUP(C2511,[1]!Table1[Shift_ID],[1]!Table1[Shift_ID])</f>
        <v>S01</v>
      </c>
      <c r="M2511" t="str">
        <f>_xlfn.XLOOKUP(D2511,[2]!Table1[Machine_ID],[2]!Table1[Machine_ID])</f>
        <v>M007</v>
      </c>
      <c r="N2511" t="str">
        <f>_xlfn.XLOOKUP(E2511,[3]Sheet1!$A$2:$A$391,[3]Sheet1!$A$2:$A$391)</f>
        <v>PO10167</v>
      </c>
    </row>
    <row r="2512" spans="1:14" x14ac:dyDescent="0.2">
      <c r="A2512" t="s">
        <v>2521</v>
      </c>
      <c r="B2512" s="2">
        <v>46314</v>
      </c>
      <c r="C2512" t="s">
        <v>2940</v>
      </c>
      <c r="D2512" t="s">
        <v>2949</v>
      </c>
      <c r="E2512" t="s">
        <v>3117</v>
      </c>
      <c r="F2512" s="3">
        <v>46314.503808434783</v>
      </c>
      <c r="G2512" s="3">
        <v>46314.50890911508</v>
      </c>
      <c r="H2512">
        <v>7.34</v>
      </c>
      <c r="I2512" t="s">
        <v>3148</v>
      </c>
      <c r="J2512" t="s">
        <v>3164</v>
      </c>
      <c r="K2512" t="s">
        <v>3173</v>
      </c>
      <c r="L2512" t="str">
        <f>_xlfn.XLOOKUP(C2512,[1]!Table1[Shift_ID],[1]!Table1[Shift_ID])</f>
        <v>S01</v>
      </c>
      <c r="M2512" t="str">
        <f>_xlfn.XLOOKUP(D2512,[2]!Table1[Machine_ID],[2]!Table1[Machine_ID])</f>
        <v>M008</v>
      </c>
      <c r="N2512" t="str">
        <f>_xlfn.XLOOKUP(E2512,[3]Sheet1!$A$2:$A$391,[3]Sheet1!$A$2:$A$391)</f>
        <v>PO10167</v>
      </c>
    </row>
    <row r="2513" spans="1:14" x14ac:dyDescent="0.2">
      <c r="A2513" t="s">
        <v>2522</v>
      </c>
      <c r="B2513" s="2">
        <v>46314</v>
      </c>
      <c r="C2513" t="s">
        <v>2941</v>
      </c>
      <c r="D2513" t="s">
        <v>2942</v>
      </c>
      <c r="E2513" t="s">
        <v>3118</v>
      </c>
      <c r="F2513" s="3">
        <v>46314.620378565072</v>
      </c>
      <c r="G2513" s="3">
        <v>46314.625833707381</v>
      </c>
      <c r="H2513">
        <v>7.86</v>
      </c>
      <c r="I2513" t="s">
        <v>3150</v>
      </c>
      <c r="J2513" t="s">
        <v>3160</v>
      </c>
      <c r="K2513" t="s">
        <v>3177</v>
      </c>
      <c r="L2513" t="str">
        <f>_xlfn.XLOOKUP(C2513,[1]!Table1[Shift_ID],[1]!Table1[Shift_ID])</f>
        <v>S02</v>
      </c>
      <c r="M2513" t="str">
        <f>_xlfn.XLOOKUP(D2513,[2]!Table1[Machine_ID],[2]!Table1[Machine_ID])</f>
        <v>M001</v>
      </c>
      <c r="N2513" t="str">
        <f>_xlfn.XLOOKUP(E2513,[3]Sheet1!$A$2:$A$391,[3]Sheet1!$A$2:$A$391)</f>
        <v>PO10168</v>
      </c>
    </row>
    <row r="2514" spans="1:14" x14ac:dyDescent="0.2">
      <c r="A2514" t="s">
        <v>2523</v>
      </c>
      <c r="B2514" s="2">
        <v>46314</v>
      </c>
      <c r="C2514" t="s">
        <v>2941</v>
      </c>
      <c r="D2514" t="s">
        <v>2942</v>
      </c>
      <c r="E2514" t="s">
        <v>3118</v>
      </c>
      <c r="F2514" s="3">
        <v>46314.83619480567</v>
      </c>
      <c r="G2514" s="3">
        <v>46314.838100110843</v>
      </c>
      <c r="H2514">
        <v>2.74</v>
      </c>
      <c r="I2514" t="s">
        <v>3151</v>
      </c>
      <c r="J2514" t="s">
        <v>3170</v>
      </c>
      <c r="K2514" t="s">
        <v>3187</v>
      </c>
      <c r="L2514" t="str">
        <f>_xlfn.XLOOKUP(C2514,[1]!Table1[Shift_ID],[1]!Table1[Shift_ID])</f>
        <v>S02</v>
      </c>
      <c r="M2514" t="str">
        <f>_xlfn.XLOOKUP(D2514,[2]!Table1[Machine_ID],[2]!Table1[Machine_ID])</f>
        <v>M001</v>
      </c>
      <c r="N2514" t="str">
        <f>_xlfn.XLOOKUP(E2514,[3]Sheet1!$A$2:$A$391,[3]Sheet1!$A$2:$A$391)</f>
        <v>PO10168</v>
      </c>
    </row>
    <row r="2515" spans="1:14" x14ac:dyDescent="0.2">
      <c r="A2515" t="s">
        <v>2524</v>
      </c>
      <c r="B2515" s="2">
        <v>46314</v>
      </c>
      <c r="C2515" t="s">
        <v>2941</v>
      </c>
      <c r="D2515" t="s">
        <v>2943</v>
      </c>
      <c r="E2515" t="s">
        <v>3118</v>
      </c>
      <c r="F2515" s="3">
        <v>46314.616736038508</v>
      </c>
      <c r="G2515" s="3">
        <v>46314.628498535858</v>
      </c>
      <c r="H2515">
        <v>16.940000000000001</v>
      </c>
      <c r="I2515" t="s">
        <v>3150</v>
      </c>
      <c r="J2515" t="s">
        <v>3163</v>
      </c>
      <c r="K2515" t="s">
        <v>3177</v>
      </c>
      <c r="L2515" t="str">
        <f>_xlfn.XLOOKUP(C2515,[1]!Table1[Shift_ID],[1]!Table1[Shift_ID])</f>
        <v>S02</v>
      </c>
      <c r="M2515" t="str">
        <f>_xlfn.XLOOKUP(D2515,[2]!Table1[Machine_ID],[2]!Table1[Machine_ID])</f>
        <v>M002</v>
      </c>
      <c r="N2515" t="str">
        <f>_xlfn.XLOOKUP(E2515,[3]Sheet1!$A$2:$A$391,[3]Sheet1!$A$2:$A$391)</f>
        <v>PO10168</v>
      </c>
    </row>
    <row r="2516" spans="1:14" x14ac:dyDescent="0.2">
      <c r="A2516" t="s">
        <v>2525</v>
      </c>
      <c r="B2516" s="2">
        <v>46314</v>
      </c>
      <c r="C2516" t="s">
        <v>2941</v>
      </c>
      <c r="D2516" t="s">
        <v>2944</v>
      </c>
      <c r="E2516" t="s">
        <v>3118</v>
      </c>
      <c r="F2516" s="3">
        <v>46314.654212730027</v>
      </c>
      <c r="G2516" s="3">
        <v>46314.663555625091</v>
      </c>
      <c r="H2516">
        <v>13.45</v>
      </c>
      <c r="I2516" t="s">
        <v>3147</v>
      </c>
      <c r="J2516" t="s">
        <v>3154</v>
      </c>
      <c r="K2516" t="s">
        <v>3185</v>
      </c>
      <c r="L2516" t="str">
        <f>_xlfn.XLOOKUP(C2516,[1]!Table1[Shift_ID],[1]!Table1[Shift_ID])</f>
        <v>S02</v>
      </c>
      <c r="M2516" t="str">
        <f>_xlfn.XLOOKUP(D2516,[2]!Table1[Machine_ID],[2]!Table1[Machine_ID])</f>
        <v>M003</v>
      </c>
      <c r="N2516" t="str">
        <f>_xlfn.XLOOKUP(E2516,[3]Sheet1!$A$2:$A$391,[3]Sheet1!$A$2:$A$391)</f>
        <v>PO10168</v>
      </c>
    </row>
    <row r="2517" spans="1:14" x14ac:dyDescent="0.2">
      <c r="A2517" t="s">
        <v>2526</v>
      </c>
      <c r="B2517" s="2">
        <v>46314</v>
      </c>
      <c r="C2517" t="s">
        <v>2941</v>
      </c>
      <c r="D2517" t="s">
        <v>2945</v>
      </c>
      <c r="E2517" t="s">
        <v>3118</v>
      </c>
      <c r="F2517" s="3">
        <v>46314.76608057932</v>
      </c>
      <c r="G2517" s="3">
        <v>46314.767422941171</v>
      </c>
      <c r="H2517">
        <v>1.93</v>
      </c>
      <c r="I2517" t="s">
        <v>3147</v>
      </c>
      <c r="J2517" t="s">
        <v>3167</v>
      </c>
      <c r="K2517" t="s">
        <v>3186</v>
      </c>
      <c r="L2517" t="str">
        <f>_xlfn.XLOOKUP(C2517,[1]!Table1[Shift_ID],[1]!Table1[Shift_ID])</f>
        <v>S02</v>
      </c>
      <c r="M2517" t="str">
        <f>_xlfn.XLOOKUP(D2517,[2]!Table1[Machine_ID],[2]!Table1[Machine_ID])</f>
        <v>M004</v>
      </c>
      <c r="N2517" t="str">
        <f>_xlfn.XLOOKUP(E2517,[3]Sheet1!$A$2:$A$391,[3]Sheet1!$A$2:$A$391)</f>
        <v>PO10168</v>
      </c>
    </row>
    <row r="2518" spans="1:14" x14ac:dyDescent="0.2">
      <c r="A2518" t="s">
        <v>2527</v>
      </c>
      <c r="B2518" s="2">
        <v>46314</v>
      </c>
      <c r="C2518" t="s">
        <v>2941</v>
      </c>
      <c r="D2518" t="s">
        <v>2945</v>
      </c>
      <c r="E2518" t="s">
        <v>3118</v>
      </c>
      <c r="F2518" s="3">
        <v>46314.792636716309</v>
      </c>
      <c r="G2518" s="3">
        <v>46314.79397907816</v>
      </c>
      <c r="H2518">
        <v>1.93</v>
      </c>
      <c r="I2518" t="s">
        <v>3146</v>
      </c>
      <c r="J2518" t="s">
        <v>3156</v>
      </c>
      <c r="K2518" t="s">
        <v>3174</v>
      </c>
      <c r="L2518" t="str">
        <f>_xlfn.XLOOKUP(C2518,[1]!Table1[Shift_ID],[1]!Table1[Shift_ID])</f>
        <v>S02</v>
      </c>
      <c r="M2518" t="str">
        <f>_xlfn.XLOOKUP(D2518,[2]!Table1[Machine_ID],[2]!Table1[Machine_ID])</f>
        <v>M004</v>
      </c>
      <c r="N2518" t="str">
        <f>_xlfn.XLOOKUP(E2518,[3]Sheet1!$A$2:$A$391,[3]Sheet1!$A$2:$A$391)</f>
        <v>PO10168</v>
      </c>
    </row>
    <row r="2519" spans="1:14" x14ac:dyDescent="0.2">
      <c r="A2519" t="s">
        <v>2528</v>
      </c>
      <c r="B2519" s="2">
        <v>46314</v>
      </c>
      <c r="C2519" t="s">
        <v>2941</v>
      </c>
      <c r="D2519" t="s">
        <v>2945</v>
      </c>
      <c r="E2519" t="s">
        <v>3118</v>
      </c>
      <c r="F2519" s="3">
        <v>46314.849503371261</v>
      </c>
      <c r="G2519" s="3">
        <v>46314.850845733134</v>
      </c>
      <c r="H2519">
        <v>1.93</v>
      </c>
      <c r="I2519" t="s">
        <v>3150</v>
      </c>
      <c r="J2519" t="s">
        <v>3159</v>
      </c>
      <c r="K2519" t="s">
        <v>3179</v>
      </c>
      <c r="L2519" t="str">
        <f>_xlfn.XLOOKUP(C2519,[1]!Table1[Shift_ID],[1]!Table1[Shift_ID])</f>
        <v>S02</v>
      </c>
      <c r="M2519" t="str">
        <f>_xlfn.XLOOKUP(D2519,[2]!Table1[Machine_ID],[2]!Table1[Machine_ID])</f>
        <v>M004</v>
      </c>
      <c r="N2519" t="str">
        <f>_xlfn.XLOOKUP(E2519,[3]Sheet1!$A$2:$A$391,[3]Sheet1!$A$2:$A$391)</f>
        <v>PO10168</v>
      </c>
    </row>
    <row r="2520" spans="1:14" x14ac:dyDescent="0.2">
      <c r="A2520" t="s">
        <v>2529</v>
      </c>
      <c r="B2520" s="2">
        <v>46314</v>
      </c>
      <c r="C2520" t="s">
        <v>2941</v>
      </c>
      <c r="D2520" t="s">
        <v>2945</v>
      </c>
      <c r="E2520" t="s">
        <v>3118</v>
      </c>
      <c r="F2520" s="3">
        <v>46314.906032361832</v>
      </c>
      <c r="G2520" s="3">
        <v>46314.909256361767</v>
      </c>
      <c r="H2520">
        <v>4.6399999999999997</v>
      </c>
      <c r="I2520" t="s">
        <v>3146</v>
      </c>
      <c r="J2520" t="s">
        <v>3156</v>
      </c>
      <c r="K2520" t="s">
        <v>3171</v>
      </c>
      <c r="L2520" t="str">
        <f>_xlfn.XLOOKUP(C2520,[1]!Table1[Shift_ID],[1]!Table1[Shift_ID])</f>
        <v>S02</v>
      </c>
      <c r="M2520" t="str">
        <f>_xlfn.XLOOKUP(D2520,[2]!Table1[Machine_ID],[2]!Table1[Machine_ID])</f>
        <v>M004</v>
      </c>
      <c r="N2520" t="str">
        <f>_xlfn.XLOOKUP(E2520,[3]Sheet1!$A$2:$A$391,[3]Sheet1!$A$2:$A$391)</f>
        <v>PO10168</v>
      </c>
    </row>
    <row r="2521" spans="1:14" x14ac:dyDescent="0.2">
      <c r="A2521" t="s">
        <v>2530</v>
      </c>
      <c r="B2521" s="2">
        <v>46314</v>
      </c>
      <c r="C2521" t="s">
        <v>2941</v>
      </c>
      <c r="D2521" t="s">
        <v>2946</v>
      </c>
      <c r="E2521" t="s">
        <v>3118</v>
      </c>
      <c r="F2521" s="3">
        <v>46314.593608361698</v>
      </c>
      <c r="G2521" s="3">
        <v>46314.595732162918</v>
      </c>
      <c r="H2521">
        <v>3.06</v>
      </c>
      <c r="I2521" t="s">
        <v>3146</v>
      </c>
      <c r="J2521" t="s">
        <v>3156</v>
      </c>
      <c r="K2521" t="s">
        <v>3171</v>
      </c>
      <c r="L2521" t="str">
        <f>_xlfn.XLOOKUP(C2521,[1]!Table1[Shift_ID],[1]!Table1[Shift_ID])</f>
        <v>S02</v>
      </c>
      <c r="M2521" t="str">
        <f>_xlfn.XLOOKUP(D2521,[2]!Table1[Machine_ID],[2]!Table1[Machine_ID])</f>
        <v>M005</v>
      </c>
      <c r="N2521" t="str">
        <f>_xlfn.XLOOKUP(E2521,[3]Sheet1!$A$2:$A$391,[3]Sheet1!$A$2:$A$391)</f>
        <v>PO10168</v>
      </c>
    </row>
    <row r="2522" spans="1:14" x14ac:dyDescent="0.2">
      <c r="A2522" t="s">
        <v>2531</v>
      </c>
      <c r="B2522" s="2">
        <v>46314</v>
      </c>
      <c r="C2522" t="s">
        <v>2941</v>
      </c>
      <c r="D2522" t="s">
        <v>2946</v>
      </c>
      <c r="E2522" t="s">
        <v>3118</v>
      </c>
      <c r="F2522" s="3">
        <v>46314.696234810639</v>
      </c>
      <c r="G2522" s="3">
        <v>46314.702280276062</v>
      </c>
      <c r="H2522">
        <v>8.7100000000000009</v>
      </c>
      <c r="I2522" t="s">
        <v>3150</v>
      </c>
      <c r="J2522" t="s">
        <v>3163</v>
      </c>
      <c r="K2522" t="s">
        <v>3179</v>
      </c>
      <c r="L2522" t="str">
        <f>_xlfn.XLOOKUP(C2522,[1]!Table1[Shift_ID],[1]!Table1[Shift_ID])</f>
        <v>S02</v>
      </c>
      <c r="M2522" t="str">
        <f>_xlfn.XLOOKUP(D2522,[2]!Table1[Machine_ID],[2]!Table1[Machine_ID])</f>
        <v>M005</v>
      </c>
      <c r="N2522" t="str">
        <f>_xlfn.XLOOKUP(E2522,[3]Sheet1!$A$2:$A$391,[3]Sheet1!$A$2:$A$391)</f>
        <v>PO10168</v>
      </c>
    </row>
    <row r="2523" spans="1:14" x14ac:dyDescent="0.2">
      <c r="A2523" t="s">
        <v>2532</v>
      </c>
      <c r="B2523" s="2">
        <v>46314</v>
      </c>
      <c r="C2523" t="s">
        <v>2941</v>
      </c>
      <c r="D2523" t="s">
        <v>2947</v>
      </c>
      <c r="E2523" t="s">
        <v>3118</v>
      </c>
      <c r="F2523" s="3">
        <v>46314.585107554201</v>
      </c>
      <c r="G2523" s="3">
        <v>46314.600221568471</v>
      </c>
      <c r="H2523">
        <v>21.76</v>
      </c>
      <c r="I2523" t="s">
        <v>3149</v>
      </c>
      <c r="J2523" t="s">
        <v>3158</v>
      </c>
      <c r="K2523" t="s">
        <v>3182</v>
      </c>
      <c r="L2523" t="str">
        <f>_xlfn.XLOOKUP(C2523,[1]!Table1[Shift_ID],[1]!Table1[Shift_ID])</f>
        <v>S02</v>
      </c>
      <c r="M2523" t="str">
        <f>_xlfn.XLOOKUP(D2523,[2]!Table1[Machine_ID],[2]!Table1[Machine_ID])</f>
        <v>M006</v>
      </c>
      <c r="N2523" t="str">
        <f>_xlfn.XLOOKUP(E2523,[3]Sheet1!$A$2:$A$391,[3]Sheet1!$A$2:$A$391)</f>
        <v>PO10168</v>
      </c>
    </row>
    <row r="2524" spans="1:14" x14ac:dyDescent="0.2">
      <c r="A2524" t="s">
        <v>2533</v>
      </c>
      <c r="B2524" s="2">
        <v>46314</v>
      </c>
      <c r="C2524" t="s">
        <v>2941</v>
      </c>
      <c r="D2524" t="s">
        <v>2947</v>
      </c>
      <c r="E2524" t="s">
        <v>3118</v>
      </c>
      <c r="F2524" s="3">
        <v>46314.682720865727</v>
      </c>
      <c r="G2524" s="3">
        <v>46314.684697178673</v>
      </c>
      <c r="H2524">
        <v>2.85</v>
      </c>
      <c r="I2524" t="s">
        <v>3147</v>
      </c>
      <c r="J2524" t="s">
        <v>3153</v>
      </c>
      <c r="K2524" t="s">
        <v>3185</v>
      </c>
      <c r="L2524" t="str">
        <f>_xlfn.XLOOKUP(C2524,[1]!Table1[Shift_ID],[1]!Table1[Shift_ID])</f>
        <v>S02</v>
      </c>
      <c r="M2524" t="str">
        <f>_xlfn.XLOOKUP(D2524,[2]!Table1[Machine_ID],[2]!Table1[Machine_ID])</f>
        <v>M006</v>
      </c>
      <c r="N2524" t="str">
        <f>_xlfn.XLOOKUP(E2524,[3]Sheet1!$A$2:$A$391,[3]Sheet1!$A$2:$A$391)</f>
        <v>PO10168</v>
      </c>
    </row>
    <row r="2525" spans="1:14" x14ac:dyDescent="0.2">
      <c r="A2525" t="s">
        <v>2534</v>
      </c>
      <c r="B2525" s="2">
        <v>46314</v>
      </c>
      <c r="C2525" t="s">
        <v>2941</v>
      </c>
      <c r="D2525" t="s">
        <v>2947</v>
      </c>
      <c r="E2525" t="s">
        <v>3118</v>
      </c>
      <c r="F2525" s="3">
        <v>46314.702525421933</v>
      </c>
      <c r="G2525" s="3">
        <v>46314.704501734872</v>
      </c>
      <c r="H2525">
        <v>2.85</v>
      </c>
      <c r="I2525" t="s">
        <v>3150</v>
      </c>
      <c r="J2525" t="s">
        <v>3163</v>
      </c>
      <c r="K2525" t="s">
        <v>3178</v>
      </c>
      <c r="L2525" t="str">
        <f>_xlfn.XLOOKUP(C2525,[1]!Table1[Shift_ID],[1]!Table1[Shift_ID])</f>
        <v>S02</v>
      </c>
      <c r="M2525" t="str">
        <f>_xlfn.XLOOKUP(D2525,[2]!Table1[Machine_ID],[2]!Table1[Machine_ID])</f>
        <v>M006</v>
      </c>
      <c r="N2525" t="str">
        <f>_xlfn.XLOOKUP(E2525,[3]Sheet1!$A$2:$A$391,[3]Sheet1!$A$2:$A$391)</f>
        <v>PO10168</v>
      </c>
    </row>
    <row r="2526" spans="1:14" x14ac:dyDescent="0.2">
      <c r="A2526" t="s">
        <v>2535</v>
      </c>
      <c r="B2526" s="2">
        <v>46314</v>
      </c>
      <c r="C2526" t="s">
        <v>2941</v>
      </c>
      <c r="D2526" t="s">
        <v>2947</v>
      </c>
      <c r="E2526" t="s">
        <v>3118</v>
      </c>
      <c r="F2526" s="3">
        <v>46314.903062247533</v>
      </c>
      <c r="G2526" s="3">
        <v>46314.905980144962</v>
      </c>
      <c r="H2526">
        <v>4.2</v>
      </c>
      <c r="I2526" t="s">
        <v>3147</v>
      </c>
      <c r="J2526" t="s">
        <v>3167</v>
      </c>
      <c r="K2526" t="s">
        <v>3186</v>
      </c>
      <c r="L2526" t="str">
        <f>_xlfn.XLOOKUP(C2526,[1]!Table1[Shift_ID],[1]!Table1[Shift_ID])</f>
        <v>S02</v>
      </c>
      <c r="M2526" t="str">
        <f>_xlfn.XLOOKUP(D2526,[2]!Table1[Machine_ID],[2]!Table1[Machine_ID])</f>
        <v>M006</v>
      </c>
      <c r="N2526" t="str">
        <f>_xlfn.XLOOKUP(E2526,[3]Sheet1!$A$2:$A$391,[3]Sheet1!$A$2:$A$391)</f>
        <v>PO10168</v>
      </c>
    </row>
    <row r="2527" spans="1:14" x14ac:dyDescent="0.2">
      <c r="A2527" t="s">
        <v>2536</v>
      </c>
      <c r="B2527" s="2">
        <v>46314</v>
      </c>
      <c r="C2527" t="s">
        <v>2941</v>
      </c>
      <c r="D2527" t="s">
        <v>2948</v>
      </c>
      <c r="E2527" t="s">
        <v>3118</v>
      </c>
      <c r="F2527" s="3">
        <v>46314.607174688448</v>
      </c>
      <c r="G2527" s="3">
        <v>46314.62426370912</v>
      </c>
      <c r="H2527">
        <v>24.61</v>
      </c>
      <c r="I2527" t="s">
        <v>3147</v>
      </c>
      <c r="J2527" t="s">
        <v>3167</v>
      </c>
      <c r="K2527" t="s">
        <v>3186</v>
      </c>
      <c r="L2527" t="str">
        <f>_xlfn.XLOOKUP(C2527,[1]!Table1[Shift_ID],[1]!Table1[Shift_ID])</f>
        <v>S02</v>
      </c>
      <c r="M2527" t="str">
        <f>_xlfn.XLOOKUP(D2527,[2]!Table1[Machine_ID],[2]!Table1[Machine_ID])</f>
        <v>M007</v>
      </c>
      <c r="N2527" t="str">
        <f>_xlfn.XLOOKUP(E2527,[3]Sheet1!$A$2:$A$391,[3]Sheet1!$A$2:$A$391)</f>
        <v>PO10168</v>
      </c>
    </row>
    <row r="2528" spans="1:14" x14ac:dyDescent="0.2">
      <c r="A2528" t="s">
        <v>2537</v>
      </c>
      <c r="B2528" s="2">
        <v>46314</v>
      </c>
      <c r="C2528" t="s">
        <v>2941</v>
      </c>
      <c r="D2528" t="s">
        <v>2949</v>
      </c>
      <c r="E2528" t="s">
        <v>3118</v>
      </c>
      <c r="F2528" s="3">
        <v>46314.670099020499</v>
      </c>
      <c r="G2528" s="3">
        <v>46314.673233826426</v>
      </c>
      <c r="H2528">
        <v>4.51</v>
      </c>
      <c r="I2528" t="s">
        <v>3148</v>
      </c>
      <c r="J2528" t="s">
        <v>3165</v>
      </c>
      <c r="K2528" t="s">
        <v>3183</v>
      </c>
      <c r="L2528" t="str">
        <f>_xlfn.XLOOKUP(C2528,[1]!Table1[Shift_ID],[1]!Table1[Shift_ID])</f>
        <v>S02</v>
      </c>
      <c r="M2528" t="str">
        <f>_xlfn.XLOOKUP(D2528,[2]!Table1[Machine_ID],[2]!Table1[Machine_ID])</f>
        <v>M008</v>
      </c>
      <c r="N2528" t="str">
        <f>_xlfn.XLOOKUP(E2528,[3]Sheet1!$A$2:$A$391,[3]Sheet1!$A$2:$A$391)</f>
        <v>PO10168</v>
      </c>
    </row>
    <row r="2529" spans="1:14" x14ac:dyDescent="0.2">
      <c r="A2529" t="s">
        <v>2538</v>
      </c>
      <c r="B2529" s="2">
        <v>46314</v>
      </c>
      <c r="C2529" t="s">
        <v>2941</v>
      </c>
      <c r="D2529" t="s">
        <v>2949</v>
      </c>
      <c r="E2529" t="s">
        <v>3118</v>
      </c>
      <c r="F2529" s="3">
        <v>46314.677836933493</v>
      </c>
      <c r="G2529" s="3">
        <v>46314.679655256681</v>
      </c>
      <c r="H2529">
        <v>2.62</v>
      </c>
      <c r="I2529" t="s">
        <v>3148</v>
      </c>
      <c r="J2529" t="s">
        <v>3155</v>
      </c>
      <c r="K2529" t="s">
        <v>3180</v>
      </c>
      <c r="L2529" t="str">
        <f>_xlfn.XLOOKUP(C2529,[1]!Table1[Shift_ID],[1]!Table1[Shift_ID])</f>
        <v>S02</v>
      </c>
      <c r="M2529" t="str">
        <f>_xlfn.XLOOKUP(D2529,[2]!Table1[Machine_ID],[2]!Table1[Machine_ID])</f>
        <v>M008</v>
      </c>
      <c r="N2529" t="str">
        <f>_xlfn.XLOOKUP(E2529,[3]Sheet1!$A$2:$A$391,[3]Sheet1!$A$2:$A$391)</f>
        <v>PO10168</v>
      </c>
    </row>
    <row r="2530" spans="1:14" x14ac:dyDescent="0.2">
      <c r="A2530" t="s">
        <v>2539</v>
      </c>
      <c r="B2530" s="2">
        <v>46315</v>
      </c>
      <c r="C2530" t="s">
        <v>2939</v>
      </c>
      <c r="D2530" t="s">
        <v>2942</v>
      </c>
      <c r="E2530" t="s">
        <v>3119</v>
      </c>
      <c r="F2530" s="3">
        <v>46316.018870196043</v>
      </c>
      <c r="G2530" s="3">
        <v>46316.025548722173</v>
      </c>
      <c r="H2530">
        <v>9.6199999999999992</v>
      </c>
      <c r="I2530" t="s">
        <v>3147</v>
      </c>
      <c r="J2530" t="s">
        <v>3154</v>
      </c>
      <c r="K2530" t="s">
        <v>3185</v>
      </c>
      <c r="L2530" t="str">
        <f>_xlfn.XLOOKUP(C2530,[1]!Table1[Shift_ID],[1]!Table1[Shift_ID])</f>
        <v>S03</v>
      </c>
      <c r="M2530" t="str">
        <f>_xlfn.XLOOKUP(D2530,[2]!Table1[Machine_ID],[2]!Table1[Machine_ID])</f>
        <v>M001</v>
      </c>
      <c r="N2530" t="str">
        <f>_xlfn.XLOOKUP(E2530,[3]Sheet1!$A$2:$A$391,[3]Sheet1!$A$2:$A$391)</f>
        <v>PO10169</v>
      </c>
    </row>
    <row r="2531" spans="1:14" x14ac:dyDescent="0.2">
      <c r="A2531" t="s">
        <v>2540</v>
      </c>
      <c r="B2531" s="2">
        <v>46315</v>
      </c>
      <c r="C2531" t="s">
        <v>2939</v>
      </c>
      <c r="D2531" t="s">
        <v>2943</v>
      </c>
      <c r="E2531" t="s">
        <v>3119</v>
      </c>
      <c r="F2531" s="3">
        <v>46316.021759942167</v>
      </c>
      <c r="G2531" s="3">
        <v>46316.024755232269</v>
      </c>
      <c r="H2531">
        <v>4.3099999999999996</v>
      </c>
      <c r="I2531" t="s">
        <v>3151</v>
      </c>
      <c r="J2531" t="s">
        <v>3170</v>
      </c>
      <c r="K2531" t="s">
        <v>3188</v>
      </c>
      <c r="L2531" t="str">
        <f>_xlfn.XLOOKUP(C2531,[1]!Table1[Shift_ID],[1]!Table1[Shift_ID])</f>
        <v>S03</v>
      </c>
      <c r="M2531" t="str">
        <f>_xlfn.XLOOKUP(D2531,[2]!Table1[Machine_ID],[2]!Table1[Machine_ID])</f>
        <v>M002</v>
      </c>
      <c r="N2531" t="str">
        <f>_xlfn.XLOOKUP(E2531,[3]Sheet1!$A$2:$A$391,[3]Sheet1!$A$2:$A$391)</f>
        <v>PO10169</v>
      </c>
    </row>
    <row r="2532" spans="1:14" x14ac:dyDescent="0.2">
      <c r="A2532" t="s">
        <v>2541</v>
      </c>
      <c r="B2532" s="2">
        <v>46315</v>
      </c>
      <c r="C2532" t="s">
        <v>2939</v>
      </c>
      <c r="D2532" t="s">
        <v>2943</v>
      </c>
      <c r="E2532" t="s">
        <v>3119</v>
      </c>
      <c r="F2532" s="3">
        <v>46316.052949016412</v>
      </c>
      <c r="G2532" s="3">
        <v>46316.059016546656</v>
      </c>
      <c r="H2532">
        <v>8.74</v>
      </c>
      <c r="I2532" t="s">
        <v>3147</v>
      </c>
      <c r="J2532" t="s">
        <v>3167</v>
      </c>
      <c r="K2532" t="s">
        <v>3185</v>
      </c>
      <c r="L2532" t="str">
        <f>_xlfn.XLOOKUP(C2532,[1]!Table1[Shift_ID],[1]!Table1[Shift_ID])</f>
        <v>S03</v>
      </c>
      <c r="M2532" t="str">
        <f>_xlfn.XLOOKUP(D2532,[2]!Table1[Machine_ID],[2]!Table1[Machine_ID])</f>
        <v>M002</v>
      </c>
      <c r="N2532" t="str">
        <f>_xlfn.XLOOKUP(E2532,[3]Sheet1!$A$2:$A$391,[3]Sheet1!$A$2:$A$391)</f>
        <v>PO10169</v>
      </c>
    </row>
    <row r="2533" spans="1:14" x14ac:dyDescent="0.2">
      <c r="A2533" t="s">
        <v>2542</v>
      </c>
      <c r="B2533" s="2">
        <v>46315</v>
      </c>
      <c r="C2533" t="s">
        <v>2939</v>
      </c>
      <c r="D2533" t="s">
        <v>2943</v>
      </c>
      <c r="E2533" t="s">
        <v>3119</v>
      </c>
      <c r="F2533" s="3">
        <v>46316.063868022051</v>
      </c>
      <c r="G2533" s="3">
        <v>46316.065638381908</v>
      </c>
      <c r="H2533">
        <v>2.5499999999999998</v>
      </c>
      <c r="I2533" t="s">
        <v>3151</v>
      </c>
      <c r="J2533" t="s">
        <v>3169</v>
      </c>
      <c r="K2533" t="s">
        <v>3181</v>
      </c>
      <c r="L2533" t="str">
        <f>_xlfn.XLOOKUP(C2533,[1]!Table1[Shift_ID],[1]!Table1[Shift_ID])</f>
        <v>S03</v>
      </c>
      <c r="M2533" t="str">
        <f>_xlfn.XLOOKUP(D2533,[2]!Table1[Machine_ID],[2]!Table1[Machine_ID])</f>
        <v>M002</v>
      </c>
      <c r="N2533" t="str">
        <f>_xlfn.XLOOKUP(E2533,[3]Sheet1!$A$2:$A$391,[3]Sheet1!$A$2:$A$391)</f>
        <v>PO10169</v>
      </c>
    </row>
    <row r="2534" spans="1:14" x14ac:dyDescent="0.2">
      <c r="A2534" t="s">
        <v>2543</v>
      </c>
      <c r="B2534" s="2">
        <v>46315</v>
      </c>
      <c r="C2534" t="s">
        <v>2939</v>
      </c>
      <c r="D2534" t="s">
        <v>2944</v>
      </c>
      <c r="E2534" t="s">
        <v>3119</v>
      </c>
      <c r="F2534" s="3">
        <v>46316.097820260293</v>
      </c>
      <c r="G2534" s="3">
        <v>46316.109260323523</v>
      </c>
      <c r="H2534">
        <v>16.47</v>
      </c>
      <c r="I2534" t="s">
        <v>3146</v>
      </c>
      <c r="J2534" t="s">
        <v>3157</v>
      </c>
      <c r="K2534" t="s">
        <v>3175</v>
      </c>
      <c r="L2534" t="str">
        <f>_xlfn.XLOOKUP(C2534,[1]!Table1[Shift_ID],[1]!Table1[Shift_ID])</f>
        <v>S03</v>
      </c>
      <c r="M2534" t="str">
        <f>_xlfn.XLOOKUP(D2534,[2]!Table1[Machine_ID],[2]!Table1[Machine_ID])</f>
        <v>M003</v>
      </c>
      <c r="N2534" t="str">
        <f>_xlfn.XLOOKUP(E2534,[3]Sheet1!$A$2:$A$391,[3]Sheet1!$A$2:$A$391)</f>
        <v>PO10169</v>
      </c>
    </row>
    <row r="2535" spans="1:14" x14ac:dyDescent="0.2">
      <c r="A2535" t="s">
        <v>2544</v>
      </c>
      <c r="B2535" s="2">
        <v>46315</v>
      </c>
      <c r="C2535" t="s">
        <v>2939</v>
      </c>
      <c r="D2535" t="s">
        <v>2945</v>
      </c>
      <c r="E2535" t="s">
        <v>3119</v>
      </c>
      <c r="F2535" s="3">
        <v>46316.015209695302</v>
      </c>
      <c r="G2535" s="3">
        <v>46316.026211552038</v>
      </c>
      <c r="H2535">
        <v>15.84</v>
      </c>
      <c r="I2535" t="s">
        <v>3149</v>
      </c>
      <c r="J2535" t="s">
        <v>3158</v>
      </c>
      <c r="K2535" t="s">
        <v>3184</v>
      </c>
      <c r="L2535" t="str">
        <f>_xlfn.XLOOKUP(C2535,[1]!Table1[Shift_ID],[1]!Table1[Shift_ID])</f>
        <v>S03</v>
      </c>
      <c r="M2535" t="str">
        <f>_xlfn.XLOOKUP(D2535,[2]!Table1[Machine_ID],[2]!Table1[Machine_ID])</f>
        <v>M004</v>
      </c>
      <c r="N2535" t="str">
        <f>_xlfn.XLOOKUP(E2535,[3]Sheet1!$A$2:$A$391,[3]Sheet1!$A$2:$A$391)</f>
        <v>PO10169</v>
      </c>
    </row>
    <row r="2536" spans="1:14" x14ac:dyDescent="0.2">
      <c r="A2536" t="s">
        <v>2545</v>
      </c>
      <c r="B2536" s="2">
        <v>46315</v>
      </c>
      <c r="C2536" t="s">
        <v>2939</v>
      </c>
      <c r="D2536" t="s">
        <v>2946</v>
      </c>
      <c r="E2536" t="s">
        <v>3119</v>
      </c>
      <c r="F2536" s="3">
        <v>46315.943394103262</v>
      </c>
      <c r="G2536" s="3">
        <v>46315.951412608163</v>
      </c>
      <c r="H2536">
        <v>11.55</v>
      </c>
      <c r="I2536" t="s">
        <v>3149</v>
      </c>
      <c r="J2536" t="s">
        <v>3158</v>
      </c>
      <c r="K2536" t="s">
        <v>3182</v>
      </c>
      <c r="L2536" t="str">
        <f>_xlfn.XLOOKUP(C2536,[1]!Table1[Shift_ID],[1]!Table1[Shift_ID])</f>
        <v>S03</v>
      </c>
      <c r="M2536" t="str">
        <f>_xlfn.XLOOKUP(D2536,[2]!Table1[Machine_ID],[2]!Table1[Machine_ID])</f>
        <v>M005</v>
      </c>
      <c r="N2536" t="str">
        <f>_xlfn.XLOOKUP(E2536,[3]Sheet1!$A$2:$A$391,[3]Sheet1!$A$2:$A$391)</f>
        <v>PO10169</v>
      </c>
    </row>
    <row r="2537" spans="1:14" x14ac:dyDescent="0.2">
      <c r="A2537" t="s">
        <v>2546</v>
      </c>
      <c r="B2537" s="2">
        <v>46315</v>
      </c>
      <c r="C2537" t="s">
        <v>2939</v>
      </c>
      <c r="D2537" t="s">
        <v>2947</v>
      </c>
      <c r="E2537" t="s">
        <v>3119</v>
      </c>
      <c r="F2537" s="3">
        <v>46315.928013694524</v>
      </c>
      <c r="G2537" s="3">
        <v>46315.959117861203</v>
      </c>
      <c r="H2537">
        <v>44.79</v>
      </c>
      <c r="I2537" t="s">
        <v>3147</v>
      </c>
      <c r="J2537" t="s">
        <v>3167</v>
      </c>
      <c r="K2537" t="s">
        <v>3185</v>
      </c>
      <c r="L2537" t="str">
        <f>_xlfn.XLOOKUP(C2537,[1]!Table1[Shift_ID],[1]!Table1[Shift_ID])</f>
        <v>S03</v>
      </c>
      <c r="M2537" t="str">
        <f>_xlfn.XLOOKUP(D2537,[2]!Table1[Machine_ID],[2]!Table1[Machine_ID])</f>
        <v>M006</v>
      </c>
      <c r="N2537" t="str">
        <f>_xlfn.XLOOKUP(E2537,[3]Sheet1!$A$2:$A$391,[3]Sheet1!$A$2:$A$391)</f>
        <v>PO10169</v>
      </c>
    </row>
    <row r="2538" spans="1:14" x14ac:dyDescent="0.2">
      <c r="A2538" t="s">
        <v>2547</v>
      </c>
      <c r="B2538" s="2">
        <v>46315</v>
      </c>
      <c r="C2538" t="s">
        <v>2939</v>
      </c>
      <c r="D2538" t="s">
        <v>2948</v>
      </c>
      <c r="E2538" t="s">
        <v>3119</v>
      </c>
      <c r="F2538" s="3">
        <v>46316.065245191123</v>
      </c>
      <c r="G2538" s="3">
        <v>46316.080839906303</v>
      </c>
      <c r="H2538">
        <v>22.46</v>
      </c>
      <c r="I2538" t="s">
        <v>3148</v>
      </c>
      <c r="J2538" t="s">
        <v>3165</v>
      </c>
      <c r="K2538" t="s">
        <v>3183</v>
      </c>
      <c r="L2538" t="str">
        <f>_xlfn.XLOOKUP(C2538,[1]!Table1[Shift_ID],[1]!Table1[Shift_ID])</f>
        <v>S03</v>
      </c>
      <c r="M2538" t="str">
        <f>_xlfn.XLOOKUP(D2538,[2]!Table1[Machine_ID],[2]!Table1[Machine_ID])</f>
        <v>M007</v>
      </c>
      <c r="N2538" t="str">
        <f>_xlfn.XLOOKUP(E2538,[3]Sheet1!$A$2:$A$391,[3]Sheet1!$A$2:$A$391)</f>
        <v>PO10169</v>
      </c>
    </row>
    <row r="2539" spans="1:14" x14ac:dyDescent="0.2">
      <c r="A2539" t="s">
        <v>2548</v>
      </c>
      <c r="B2539" s="2">
        <v>46315</v>
      </c>
      <c r="C2539" t="s">
        <v>2939</v>
      </c>
      <c r="D2539" t="s">
        <v>2949</v>
      </c>
      <c r="E2539" t="s">
        <v>3119</v>
      </c>
      <c r="F2539" s="3">
        <v>46315.919491634733</v>
      </c>
      <c r="G2539" s="3">
        <v>46315.928043468761</v>
      </c>
      <c r="H2539">
        <v>12.31</v>
      </c>
      <c r="I2539" t="s">
        <v>3149</v>
      </c>
      <c r="J2539" t="s">
        <v>3168</v>
      </c>
      <c r="K2539" t="s">
        <v>3184</v>
      </c>
      <c r="L2539" t="str">
        <f>_xlfn.XLOOKUP(C2539,[1]!Table1[Shift_ID],[1]!Table1[Shift_ID])</f>
        <v>S03</v>
      </c>
      <c r="M2539" t="str">
        <f>_xlfn.XLOOKUP(D2539,[2]!Table1[Machine_ID],[2]!Table1[Machine_ID])</f>
        <v>M008</v>
      </c>
      <c r="N2539" t="str">
        <f>_xlfn.XLOOKUP(E2539,[3]Sheet1!$A$2:$A$391,[3]Sheet1!$A$2:$A$391)</f>
        <v>PO10169</v>
      </c>
    </row>
    <row r="2540" spans="1:14" x14ac:dyDescent="0.2">
      <c r="A2540" t="s">
        <v>2549</v>
      </c>
      <c r="B2540" s="2">
        <v>46315</v>
      </c>
      <c r="C2540" t="s">
        <v>2940</v>
      </c>
      <c r="D2540" t="s">
        <v>2942</v>
      </c>
      <c r="E2540" t="s">
        <v>3120</v>
      </c>
      <c r="F2540" s="3">
        <v>46315.564220373162</v>
      </c>
      <c r="G2540" s="3">
        <v>46315.571301560027</v>
      </c>
      <c r="H2540">
        <v>10.199999999999999</v>
      </c>
      <c r="I2540" t="s">
        <v>3147</v>
      </c>
      <c r="J2540" t="s">
        <v>3154</v>
      </c>
      <c r="K2540" t="s">
        <v>3185</v>
      </c>
      <c r="L2540" t="str">
        <f>_xlfn.XLOOKUP(C2540,[1]!Table1[Shift_ID],[1]!Table1[Shift_ID])</f>
        <v>S01</v>
      </c>
      <c r="M2540" t="str">
        <f>_xlfn.XLOOKUP(D2540,[2]!Table1[Machine_ID],[2]!Table1[Machine_ID])</f>
        <v>M001</v>
      </c>
      <c r="N2540" t="str">
        <f>_xlfn.XLOOKUP(E2540,[3]Sheet1!$A$2:$A$391,[3]Sheet1!$A$2:$A$391)</f>
        <v>PO10170</v>
      </c>
    </row>
    <row r="2541" spans="1:14" x14ac:dyDescent="0.2">
      <c r="A2541" t="s">
        <v>2550</v>
      </c>
      <c r="B2541" s="2">
        <v>46315</v>
      </c>
      <c r="C2541" t="s">
        <v>2940</v>
      </c>
      <c r="D2541" t="s">
        <v>2943</v>
      </c>
      <c r="E2541" t="s">
        <v>3120</v>
      </c>
      <c r="F2541" s="3">
        <v>46315.514523997917</v>
      </c>
      <c r="G2541" s="3">
        <v>46315.516303128192</v>
      </c>
      <c r="H2541">
        <v>2.56</v>
      </c>
      <c r="I2541" t="s">
        <v>3148</v>
      </c>
      <c r="J2541" t="s">
        <v>3155</v>
      </c>
      <c r="K2541" t="s">
        <v>3173</v>
      </c>
      <c r="L2541" t="str">
        <f>_xlfn.XLOOKUP(C2541,[1]!Table1[Shift_ID],[1]!Table1[Shift_ID])</f>
        <v>S01</v>
      </c>
      <c r="M2541" t="str">
        <f>_xlfn.XLOOKUP(D2541,[2]!Table1[Machine_ID],[2]!Table1[Machine_ID])</f>
        <v>M002</v>
      </c>
      <c r="N2541" t="str">
        <f>_xlfn.XLOOKUP(E2541,[3]Sheet1!$A$2:$A$391,[3]Sheet1!$A$2:$A$391)</f>
        <v>PO10170</v>
      </c>
    </row>
    <row r="2542" spans="1:14" x14ac:dyDescent="0.2">
      <c r="A2542" t="s">
        <v>2551</v>
      </c>
      <c r="B2542" s="2">
        <v>46315</v>
      </c>
      <c r="C2542" t="s">
        <v>2940</v>
      </c>
      <c r="D2542" t="s">
        <v>2943</v>
      </c>
      <c r="E2542" t="s">
        <v>3120</v>
      </c>
      <c r="F2542" s="3">
        <v>46315.572895700403</v>
      </c>
      <c r="G2542" s="3">
        <v>46315.578756911782</v>
      </c>
      <c r="H2542">
        <v>8.44</v>
      </c>
      <c r="I2542" t="s">
        <v>3149</v>
      </c>
      <c r="J2542" t="s">
        <v>3162</v>
      </c>
      <c r="K2542" t="s">
        <v>3176</v>
      </c>
      <c r="L2542" t="str">
        <f>_xlfn.XLOOKUP(C2542,[1]!Table1[Shift_ID],[1]!Table1[Shift_ID])</f>
        <v>S01</v>
      </c>
      <c r="M2542" t="str">
        <f>_xlfn.XLOOKUP(D2542,[2]!Table1[Machine_ID],[2]!Table1[Machine_ID])</f>
        <v>M002</v>
      </c>
      <c r="N2542" t="str">
        <f>_xlfn.XLOOKUP(E2542,[3]Sheet1!$A$2:$A$391,[3]Sheet1!$A$2:$A$391)</f>
        <v>PO10170</v>
      </c>
    </row>
    <row r="2543" spans="1:14" x14ac:dyDescent="0.2">
      <c r="A2543" t="s">
        <v>2552</v>
      </c>
      <c r="B2543" s="2">
        <v>46315</v>
      </c>
      <c r="C2543" t="s">
        <v>2940</v>
      </c>
      <c r="D2543" t="s">
        <v>2944</v>
      </c>
      <c r="E2543" t="s">
        <v>3120</v>
      </c>
      <c r="F2543" s="3">
        <v>46315.310283603932</v>
      </c>
      <c r="G2543" s="3">
        <v>46315.321755318531</v>
      </c>
      <c r="H2543">
        <v>16.52</v>
      </c>
      <c r="I2543" t="s">
        <v>3151</v>
      </c>
      <c r="J2543" t="s">
        <v>3161</v>
      </c>
      <c r="K2543" t="s">
        <v>3188</v>
      </c>
      <c r="L2543" t="str">
        <f>_xlfn.XLOOKUP(C2543,[1]!Table1[Shift_ID],[1]!Table1[Shift_ID])</f>
        <v>S01</v>
      </c>
      <c r="M2543" t="str">
        <f>_xlfn.XLOOKUP(D2543,[2]!Table1[Machine_ID],[2]!Table1[Machine_ID])</f>
        <v>M003</v>
      </c>
      <c r="N2543" t="str">
        <f>_xlfn.XLOOKUP(E2543,[3]Sheet1!$A$2:$A$391,[3]Sheet1!$A$2:$A$391)</f>
        <v>PO10170</v>
      </c>
    </row>
    <row r="2544" spans="1:14" x14ac:dyDescent="0.2">
      <c r="A2544" t="s">
        <v>2553</v>
      </c>
      <c r="B2544" s="2">
        <v>46315</v>
      </c>
      <c r="C2544" t="s">
        <v>2940</v>
      </c>
      <c r="D2544" t="s">
        <v>2945</v>
      </c>
      <c r="E2544" t="s">
        <v>3120</v>
      </c>
      <c r="F2544" s="3">
        <v>46315.332392288357</v>
      </c>
      <c r="G2544" s="3">
        <v>46315.334296127177</v>
      </c>
      <c r="H2544">
        <v>2.74</v>
      </c>
      <c r="I2544" t="s">
        <v>3150</v>
      </c>
      <c r="J2544" t="s">
        <v>3163</v>
      </c>
      <c r="K2544" t="s">
        <v>3178</v>
      </c>
      <c r="L2544" t="str">
        <f>_xlfn.XLOOKUP(C2544,[1]!Table1[Shift_ID],[1]!Table1[Shift_ID])</f>
        <v>S01</v>
      </c>
      <c r="M2544" t="str">
        <f>_xlfn.XLOOKUP(D2544,[2]!Table1[Machine_ID],[2]!Table1[Machine_ID])</f>
        <v>M004</v>
      </c>
      <c r="N2544" t="str">
        <f>_xlfn.XLOOKUP(E2544,[3]Sheet1!$A$2:$A$391,[3]Sheet1!$A$2:$A$391)</f>
        <v>PO10170</v>
      </c>
    </row>
    <row r="2545" spans="1:14" x14ac:dyDescent="0.2">
      <c r="A2545" t="s">
        <v>2554</v>
      </c>
      <c r="B2545" s="2">
        <v>46315</v>
      </c>
      <c r="C2545" t="s">
        <v>2940</v>
      </c>
      <c r="D2545" t="s">
        <v>2945</v>
      </c>
      <c r="E2545" t="s">
        <v>3120</v>
      </c>
      <c r="F2545" s="3">
        <v>46315.339080680023</v>
      </c>
      <c r="G2545" s="3">
        <v>46315.340326053309</v>
      </c>
      <c r="H2545">
        <v>1.79</v>
      </c>
      <c r="I2545" t="s">
        <v>3151</v>
      </c>
      <c r="J2545" t="s">
        <v>3169</v>
      </c>
      <c r="K2545" t="s">
        <v>3188</v>
      </c>
      <c r="L2545" t="str">
        <f>_xlfn.XLOOKUP(C2545,[1]!Table1[Shift_ID],[1]!Table1[Shift_ID])</f>
        <v>S01</v>
      </c>
      <c r="M2545" t="str">
        <f>_xlfn.XLOOKUP(D2545,[2]!Table1[Machine_ID],[2]!Table1[Machine_ID])</f>
        <v>M004</v>
      </c>
      <c r="N2545" t="str">
        <f>_xlfn.XLOOKUP(E2545,[3]Sheet1!$A$2:$A$391,[3]Sheet1!$A$2:$A$391)</f>
        <v>PO10170</v>
      </c>
    </row>
    <row r="2546" spans="1:14" x14ac:dyDescent="0.2">
      <c r="A2546" t="s">
        <v>2555</v>
      </c>
      <c r="B2546" s="2">
        <v>46315</v>
      </c>
      <c r="C2546" t="s">
        <v>2940</v>
      </c>
      <c r="D2546" t="s">
        <v>2945</v>
      </c>
      <c r="E2546" t="s">
        <v>3120</v>
      </c>
      <c r="F2546" s="3">
        <v>46315.356817261491</v>
      </c>
      <c r="G2546" s="3">
        <v>46315.358062634783</v>
      </c>
      <c r="H2546">
        <v>1.79</v>
      </c>
      <c r="I2546" t="s">
        <v>3147</v>
      </c>
      <c r="J2546" t="s">
        <v>3153</v>
      </c>
      <c r="K2546" t="s">
        <v>3186</v>
      </c>
      <c r="L2546" t="str">
        <f>_xlfn.XLOOKUP(C2546,[1]!Table1[Shift_ID],[1]!Table1[Shift_ID])</f>
        <v>S01</v>
      </c>
      <c r="M2546" t="str">
        <f>_xlfn.XLOOKUP(D2546,[2]!Table1[Machine_ID],[2]!Table1[Machine_ID])</f>
        <v>M004</v>
      </c>
      <c r="N2546" t="str">
        <f>_xlfn.XLOOKUP(E2546,[3]Sheet1!$A$2:$A$391,[3]Sheet1!$A$2:$A$391)</f>
        <v>PO10170</v>
      </c>
    </row>
    <row r="2547" spans="1:14" x14ac:dyDescent="0.2">
      <c r="A2547" t="s">
        <v>2556</v>
      </c>
      <c r="B2547" s="2">
        <v>46315</v>
      </c>
      <c r="C2547" t="s">
        <v>2940</v>
      </c>
      <c r="D2547" t="s">
        <v>2945</v>
      </c>
      <c r="E2547" t="s">
        <v>3120</v>
      </c>
      <c r="F2547" s="3">
        <v>46315.490032873218</v>
      </c>
      <c r="G2547" s="3">
        <v>46315.491278246518</v>
      </c>
      <c r="H2547">
        <v>1.79</v>
      </c>
      <c r="I2547" t="s">
        <v>3146</v>
      </c>
      <c r="J2547" t="s">
        <v>3156</v>
      </c>
      <c r="K2547" t="s">
        <v>3171</v>
      </c>
      <c r="L2547" t="str">
        <f>_xlfn.XLOOKUP(C2547,[1]!Table1[Shift_ID],[1]!Table1[Shift_ID])</f>
        <v>S01</v>
      </c>
      <c r="M2547" t="str">
        <f>_xlfn.XLOOKUP(D2547,[2]!Table1[Machine_ID],[2]!Table1[Machine_ID])</f>
        <v>M004</v>
      </c>
      <c r="N2547" t="str">
        <f>_xlfn.XLOOKUP(E2547,[3]Sheet1!$A$2:$A$391,[3]Sheet1!$A$2:$A$391)</f>
        <v>PO10170</v>
      </c>
    </row>
    <row r="2548" spans="1:14" x14ac:dyDescent="0.2">
      <c r="A2548" t="s">
        <v>2557</v>
      </c>
      <c r="B2548" s="2">
        <v>46315</v>
      </c>
      <c r="C2548" t="s">
        <v>2940</v>
      </c>
      <c r="D2548" t="s">
        <v>2945</v>
      </c>
      <c r="E2548" t="s">
        <v>3120</v>
      </c>
      <c r="F2548" s="3">
        <v>46315.531974238787</v>
      </c>
      <c r="G2548" s="3">
        <v>46315.53321961208</v>
      </c>
      <c r="H2548">
        <v>1.79</v>
      </c>
      <c r="I2548" t="s">
        <v>3151</v>
      </c>
      <c r="J2548" t="s">
        <v>3161</v>
      </c>
      <c r="K2548" t="s">
        <v>3181</v>
      </c>
      <c r="L2548" t="str">
        <f>_xlfn.XLOOKUP(C2548,[1]!Table1[Shift_ID],[1]!Table1[Shift_ID])</f>
        <v>S01</v>
      </c>
      <c r="M2548" t="str">
        <f>_xlfn.XLOOKUP(D2548,[2]!Table1[Machine_ID],[2]!Table1[Machine_ID])</f>
        <v>M004</v>
      </c>
      <c r="N2548" t="str">
        <f>_xlfn.XLOOKUP(E2548,[3]Sheet1!$A$2:$A$391,[3]Sheet1!$A$2:$A$391)</f>
        <v>PO10170</v>
      </c>
    </row>
    <row r="2549" spans="1:14" x14ac:dyDescent="0.2">
      <c r="A2549" t="s">
        <v>2558</v>
      </c>
      <c r="B2549" s="2">
        <v>46315</v>
      </c>
      <c r="C2549" t="s">
        <v>2940</v>
      </c>
      <c r="D2549" t="s">
        <v>2946</v>
      </c>
      <c r="E2549" t="s">
        <v>3120</v>
      </c>
      <c r="F2549" s="3">
        <v>46315.317545945203</v>
      </c>
      <c r="G2549" s="3">
        <v>46315.328499372292</v>
      </c>
      <c r="H2549">
        <v>15.77</v>
      </c>
      <c r="I2549" t="s">
        <v>3149</v>
      </c>
      <c r="J2549" t="s">
        <v>3158</v>
      </c>
      <c r="K2549" t="s">
        <v>3184</v>
      </c>
      <c r="L2549" t="str">
        <f>_xlfn.XLOOKUP(C2549,[1]!Table1[Shift_ID],[1]!Table1[Shift_ID])</f>
        <v>S01</v>
      </c>
      <c r="M2549" t="str">
        <f>_xlfn.XLOOKUP(D2549,[2]!Table1[Machine_ID],[2]!Table1[Machine_ID])</f>
        <v>M005</v>
      </c>
      <c r="N2549" t="str">
        <f>_xlfn.XLOOKUP(E2549,[3]Sheet1!$A$2:$A$391,[3]Sheet1!$A$2:$A$391)</f>
        <v>PO10170</v>
      </c>
    </row>
    <row r="2550" spans="1:14" x14ac:dyDescent="0.2">
      <c r="A2550" t="s">
        <v>2559</v>
      </c>
      <c r="B2550" s="2">
        <v>46315</v>
      </c>
      <c r="C2550" t="s">
        <v>2940</v>
      </c>
      <c r="D2550" t="s">
        <v>2947</v>
      </c>
      <c r="E2550" t="s">
        <v>3120</v>
      </c>
      <c r="F2550" s="3">
        <v>46315.53768377487</v>
      </c>
      <c r="G2550" s="3">
        <v>46315.550208663379</v>
      </c>
      <c r="H2550">
        <v>18.04</v>
      </c>
      <c r="I2550" t="s">
        <v>3147</v>
      </c>
      <c r="J2550" t="s">
        <v>3154</v>
      </c>
      <c r="K2550" t="s">
        <v>3185</v>
      </c>
      <c r="L2550" t="str">
        <f>_xlfn.XLOOKUP(C2550,[1]!Table1[Shift_ID],[1]!Table1[Shift_ID])</f>
        <v>S01</v>
      </c>
      <c r="M2550" t="str">
        <f>_xlfn.XLOOKUP(D2550,[2]!Table1[Machine_ID],[2]!Table1[Machine_ID])</f>
        <v>M006</v>
      </c>
      <c r="N2550" t="str">
        <f>_xlfn.XLOOKUP(E2550,[3]Sheet1!$A$2:$A$391,[3]Sheet1!$A$2:$A$391)</f>
        <v>PO10170</v>
      </c>
    </row>
    <row r="2551" spans="1:14" x14ac:dyDescent="0.2">
      <c r="A2551" t="s">
        <v>2560</v>
      </c>
      <c r="B2551" s="2">
        <v>46315</v>
      </c>
      <c r="C2551" t="s">
        <v>2940</v>
      </c>
      <c r="D2551" t="s">
        <v>2947</v>
      </c>
      <c r="E2551" t="s">
        <v>3120</v>
      </c>
      <c r="F2551" s="3">
        <v>46315.541407832439</v>
      </c>
      <c r="G2551" s="3">
        <v>46315.551456835499</v>
      </c>
      <c r="H2551">
        <v>14.47</v>
      </c>
      <c r="I2551" t="s">
        <v>3150</v>
      </c>
      <c r="J2551" t="s">
        <v>3159</v>
      </c>
      <c r="K2551" t="s">
        <v>3177</v>
      </c>
      <c r="L2551" t="str">
        <f>_xlfn.XLOOKUP(C2551,[1]!Table1[Shift_ID],[1]!Table1[Shift_ID])</f>
        <v>S01</v>
      </c>
      <c r="M2551" t="str">
        <f>_xlfn.XLOOKUP(D2551,[2]!Table1[Machine_ID],[2]!Table1[Machine_ID])</f>
        <v>M006</v>
      </c>
      <c r="N2551" t="str">
        <f>_xlfn.XLOOKUP(E2551,[3]Sheet1!$A$2:$A$391,[3]Sheet1!$A$2:$A$391)</f>
        <v>PO10170</v>
      </c>
    </row>
    <row r="2552" spans="1:14" x14ac:dyDescent="0.2">
      <c r="A2552" t="s">
        <v>2561</v>
      </c>
      <c r="B2552" s="2">
        <v>46315</v>
      </c>
      <c r="C2552" t="s">
        <v>2940</v>
      </c>
      <c r="D2552" t="s">
        <v>2948</v>
      </c>
      <c r="E2552" t="s">
        <v>3120</v>
      </c>
      <c r="F2552" s="3">
        <v>46315.345862056398</v>
      </c>
      <c r="G2552" s="3">
        <v>46315.347775816517</v>
      </c>
      <c r="H2552">
        <v>2.76</v>
      </c>
      <c r="I2552" t="s">
        <v>3146</v>
      </c>
      <c r="J2552" t="s">
        <v>3152</v>
      </c>
      <c r="K2552" t="s">
        <v>3171</v>
      </c>
      <c r="L2552" t="str">
        <f>_xlfn.XLOOKUP(C2552,[1]!Table1[Shift_ID],[1]!Table1[Shift_ID])</f>
        <v>S01</v>
      </c>
      <c r="M2552" t="str">
        <f>_xlfn.XLOOKUP(D2552,[2]!Table1[Machine_ID],[2]!Table1[Machine_ID])</f>
        <v>M007</v>
      </c>
      <c r="N2552" t="str">
        <f>_xlfn.XLOOKUP(E2552,[3]Sheet1!$A$2:$A$391,[3]Sheet1!$A$2:$A$391)</f>
        <v>PO10170</v>
      </c>
    </row>
    <row r="2553" spans="1:14" x14ac:dyDescent="0.2">
      <c r="A2553" t="s">
        <v>2562</v>
      </c>
      <c r="B2553" s="2">
        <v>46315</v>
      </c>
      <c r="C2553" t="s">
        <v>2940</v>
      </c>
      <c r="D2553" t="s">
        <v>2948</v>
      </c>
      <c r="E2553" t="s">
        <v>3120</v>
      </c>
      <c r="F2553" s="3">
        <v>46315.431421372617</v>
      </c>
      <c r="G2553" s="3">
        <v>46315.433335132737</v>
      </c>
      <c r="H2553">
        <v>2.76</v>
      </c>
      <c r="I2553" t="s">
        <v>3151</v>
      </c>
      <c r="J2553" t="s">
        <v>3169</v>
      </c>
      <c r="K2553" t="s">
        <v>3188</v>
      </c>
      <c r="L2553" t="str">
        <f>_xlfn.XLOOKUP(C2553,[1]!Table1[Shift_ID],[1]!Table1[Shift_ID])</f>
        <v>S01</v>
      </c>
      <c r="M2553" t="str">
        <f>_xlfn.XLOOKUP(D2553,[2]!Table1[Machine_ID],[2]!Table1[Machine_ID])</f>
        <v>M007</v>
      </c>
      <c r="N2553" t="str">
        <f>_xlfn.XLOOKUP(E2553,[3]Sheet1!$A$2:$A$391,[3]Sheet1!$A$2:$A$391)</f>
        <v>PO10170</v>
      </c>
    </row>
    <row r="2554" spans="1:14" x14ac:dyDescent="0.2">
      <c r="A2554" t="s">
        <v>2563</v>
      </c>
      <c r="B2554" s="2">
        <v>46315</v>
      </c>
      <c r="C2554" t="s">
        <v>2940</v>
      </c>
      <c r="D2554" t="s">
        <v>2948</v>
      </c>
      <c r="E2554" t="s">
        <v>3120</v>
      </c>
      <c r="F2554" s="3">
        <v>46315.492532808647</v>
      </c>
      <c r="G2554" s="3">
        <v>46315.499786901513</v>
      </c>
      <c r="H2554">
        <v>10.45</v>
      </c>
      <c r="I2554" t="s">
        <v>3149</v>
      </c>
      <c r="J2554" t="s">
        <v>3158</v>
      </c>
      <c r="K2554" t="s">
        <v>3182</v>
      </c>
      <c r="L2554" t="str">
        <f>_xlfn.XLOOKUP(C2554,[1]!Table1[Shift_ID],[1]!Table1[Shift_ID])</f>
        <v>S01</v>
      </c>
      <c r="M2554" t="str">
        <f>_xlfn.XLOOKUP(D2554,[2]!Table1[Machine_ID],[2]!Table1[Machine_ID])</f>
        <v>M007</v>
      </c>
      <c r="N2554" t="str">
        <f>_xlfn.XLOOKUP(E2554,[3]Sheet1!$A$2:$A$391,[3]Sheet1!$A$2:$A$391)</f>
        <v>PO10170</v>
      </c>
    </row>
    <row r="2555" spans="1:14" x14ac:dyDescent="0.2">
      <c r="A2555" t="s">
        <v>2564</v>
      </c>
      <c r="B2555" s="2">
        <v>46315</v>
      </c>
      <c r="C2555" t="s">
        <v>2940</v>
      </c>
      <c r="D2555" t="s">
        <v>2948</v>
      </c>
      <c r="E2555" t="s">
        <v>3120</v>
      </c>
      <c r="F2555" s="3">
        <v>46315.497049053462</v>
      </c>
      <c r="G2555" s="3">
        <v>46315.500771491832</v>
      </c>
      <c r="H2555">
        <v>5.36</v>
      </c>
      <c r="I2555" t="s">
        <v>3151</v>
      </c>
      <c r="J2555" t="s">
        <v>3169</v>
      </c>
      <c r="K2555" t="s">
        <v>3188</v>
      </c>
      <c r="L2555" t="str">
        <f>_xlfn.XLOOKUP(C2555,[1]!Table1[Shift_ID],[1]!Table1[Shift_ID])</f>
        <v>S01</v>
      </c>
      <c r="M2555" t="str">
        <f>_xlfn.XLOOKUP(D2555,[2]!Table1[Machine_ID],[2]!Table1[Machine_ID])</f>
        <v>M007</v>
      </c>
      <c r="N2555" t="str">
        <f>_xlfn.XLOOKUP(E2555,[3]Sheet1!$A$2:$A$391,[3]Sheet1!$A$2:$A$391)</f>
        <v>PO10170</v>
      </c>
    </row>
    <row r="2556" spans="1:14" x14ac:dyDescent="0.2">
      <c r="A2556" t="s">
        <v>2565</v>
      </c>
      <c r="B2556" s="2">
        <v>46315</v>
      </c>
      <c r="C2556" t="s">
        <v>2940</v>
      </c>
      <c r="D2556" t="s">
        <v>2949</v>
      </c>
      <c r="E2556" t="s">
        <v>3120</v>
      </c>
      <c r="F2556" s="3">
        <v>46315.362885362731</v>
      </c>
      <c r="G2556" s="3">
        <v>46315.370672993813</v>
      </c>
      <c r="H2556">
        <v>11.21</v>
      </c>
      <c r="I2556" t="s">
        <v>3146</v>
      </c>
      <c r="J2556" t="s">
        <v>3152</v>
      </c>
      <c r="K2556" t="s">
        <v>3171</v>
      </c>
      <c r="L2556" t="str">
        <f>_xlfn.XLOOKUP(C2556,[1]!Table1[Shift_ID],[1]!Table1[Shift_ID])</f>
        <v>S01</v>
      </c>
      <c r="M2556" t="str">
        <f>_xlfn.XLOOKUP(D2556,[2]!Table1[Machine_ID],[2]!Table1[Machine_ID])</f>
        <v>M008</v>
      </c>
      <c r="N2556" t="str">
        <f>_xlfn.XLOOKUP(E2556,[3]Sheet1!$A$2:$A$391,[3]Sheet1!$A$2:$A$391)</f>
        <v>PO10170</v>
      </c>
    </row>
    <row r="2557" spans="1:14" x14ac:dyDescent="0.2">
      <c r="A2557" t="s">
        <v>2566</v>
      </c>
      <c r="B2557" s="2">
        <v>46315</v>
      </c>
      <c r="C2557" t="s">
        <v>2941</v>
      </c>
      <c r="D2557" t="s">
        <v>2942</v>
      </c>
      <c r="E2557" t="s">
        <v>3121</v>
      </c>
      <c r="F2557" s="3">
        <v>46315.631932283599</v>
      </c>
      <c r="G2557" s="3">
        <v>46315.637453895288</v>
      </c>
      <c r="H2557">
        <v>7.95</v>
      </c>
      <c r="I2557" t="s">
        <v>3147</v>
      </c>
      <c r="J2557" t="s">
        <v>3167</v>
      </c>
      <c r="K2557" t="s">
        <v>3186</v>
      </c>
      <c r="L2557" t="str">
        <f>_xlfn.XLOOKUP(C2557,[1]!Table1[Shift_ID],[1]!Table1[Shift_ID])</f>
        <v>S02</v>
      </c>
      <c r="M2557" t="str">
        <f>_xlfn.XLOOKUP(D2557,[2]!Table1[Machine_ID],[2]!Table1[Machine_ID])</f>
        <v>M001</v>
      </c>
      <c r="N2557" t="str">
        <f>_xlfn.XLOOKUP(E2557,[3]Sheet1!$A$2:$A$391,[3]Sheet1!$A$2:$A$391)</f>
        <v>PO10171</v>
      </c>
    </row>
    <row r="2558" spans="1:14" x14ac:dyDescent="0.2">
      <c r="A2558" t="s">
        <v>2567</v>
      </c>
      <c r="B2558" s="2">
        <v>46315</v>
      </c>
      <c r="C2558" t="s">
        <v>2941</v>
      </c>
      <c r="D2558" t="s">
        <v>2943</v>
      </c>
      <c r="E2558" t="s">
        <v>3121</v>
      </c>
      <c r="F2558" s="3">
        <v>46315.624503663123</v>
      </c>
      <c r="G2558" s="3">
        <v>46315.630577462362</v>
      </c>
      <c r="H2558">
        <v>8.75</v>
      </c>
      <c r="I2558" t="s">
        <v>3151</v>
      </c>
      <c r="J2558" t="s">
        <v>3170</v>
      </c>
      <c r="K2558" t="s">
        <v>3181</v>
      </c>
      <c r="L2558" t="str">
        <f>_xlfn.XLOOKUP(C2558,[1]!Table1[Shift_ID],[1]!Table1[Shift_ID])</f>
        <v>S02</v>
      </c>
      <c r="M2558" t="str">
        <f>_xlfn.XLOOKUP(D2558,[2]!Table1[Machine_ID],[2]!Table1[Machine_ID])</f>
        <v>M002</v>
      </c>
      <c r="N2558" t="str">
        <f>_xlfn.XLOOKUP(E2558,[3]Sheet1!$A$2:$A$391,[3]Sheet1!$A$2:$A$391)</f>
        <v>PO10171</v>
      </c>
    </row>
    <row r="2559" spans="1:14" x14ac:dyDescent="0.2">
      <c r="A2559" t="s">
        <v>2568</v>
      </c>
      <c r="B2559" s="2">
        <v>46315</v>
      </c>
      <c r="C2559" t="s">
        <v>2941</v>
      </c>
      <c r="D2559" t="s">
        <v>2943</v>
      </c>
      <c r="E2559" t="s">
        <v>3121</v>
      </c>
      <c r="F2559" s="3">
        <v>46315.877718033633</v>
      </c>
      <c r="G2559" s="3">
        <v>46315.883867307952</v>
      </c>
      <c r="H2559">
        <v>8.85</v>
      </c>
      <c r="I2559" t="s">
        <v>3150</v>
      </c>
      <c r="J2559" t="s">
        <v>3159</v>
      </c>
      <c r="K2559" t="s">
        <v>3177</v>
      </c>
      <c r="L2559" t="str">
        <f>_xlfn.XLOOKUP(C2559,[1]!Table1[Shift_ID],[1]!Table1[Shift_ID])</f>
        <v>S02</v>
      </c>
      <c r="M2559" t="str">
        <f>_xlfn.XLOOKUP(D2559,[2]!Table1[Machine_ID],[2]!Table1[Machine_ID])</f>
        <v>M002</v>
      </c>
      <c r="N2559" t="str">
        <f>_xlfn.XLOOKUP(E2559,[3]Sheet1!$A$2:$A$391,[3]Sheet1!$A$2:$A$391)</f>
        <v>PO10171</v>
      </c>
    </row>
    <row r="2560" spans="1:14" x14ac:dyDescent="0.2">
      <c r="A2560" t="s">
        <v>2569</v>
      </c>
      <c r="B2560" s="2">
        <v>46315</v>
      </c>
      <c r="C2560" t="s">
        <v>2941</v>
      </c>
      <c r="D2560" t="s">
        <v>2944</v>
      </c>
      <c r="E2560" t="s">
        <v>3121</v>
      </c>
      <c r="F2560" s="3">
        <v>46315.593416179123</v>
      </c>
      <c r="G2560" s="3">
        <v>46315.606934964213</v>
      </c>
      <c r="H2560">
        <v>19.47</v>
      </c>
      <c r="I2560" t="s">
        <v>3150</v>
      </c>
      <c r="J2560" t="s">
        <v>3163</v>
      </c>
      <c r="K2560" t="s">
        <v>3177</v>
      </c>
      <c r="L2560" t="str">
        <f>_xlfn.XLOOKUP(C2560,[1]!Table1[Shift_ID],[1]!Table1[Shift_ID])</f>
        <v>S02</v>
      </c>
      <c r="M2560" t="str">
        <f>_xlfn.XLOOKUP(D2560,[2]!Table1[Machine_ID],[2]!Table1[Machine_ID])</f>
        <v>M003</v>
      </c>
      <c r="N2560" t="str">
        <f>_xlfn.XLOOKUP(E2560,[3]Sheet1!$A$2:$A$391,[3]Sheet1!$A$2:$A$391)</f>
        <v>PO10171</v>
      </c>
    </row>
    <row r="2561" spans="1:14" x14ac:dyDescent="0.2">
      <c r="A2561" t="s">
        <v>2570</v>
      </c>
      <c r="B2561" s="2">
        <v>46315</v>
      </c>
      <c r="C2561" t="s">
        <v>2941</v>
      </c>
      <c r="D2561" t="s">
        <v>2945</v>
      </c>
      <c r="E2561" t="s">
        <v>3121</v>
      </c>
      <c r="F2561" s="3">
        <v>46315.779646594339</v>
      </c>
      <c r="G2561" s="3">
        <v>46315.789077217327</v>
      </c>
      <c r="H2561">
        <v>13.58</v>
      </c>
      <c r="I2561" t="s">
        <v>3149</v>
      </c>
      <c r="J2561" t="s">
        <v>3162</v>
      </c>
      <c r="K2561" t="s">
        <v>3182</v>
      </c>
      <c r="L2561" t="str">
        <f>_xlfn.XLOOKUP(C2561,[1]!Table1[Shift_ID],[1]!Table1[Shift_ID])</f>
        <v>S02</v>
      </c>
      <c r="M2561" t="str">
        <f>_xlfn.XLOOKUP(D2561,[2]!Table1[Machine_ID],[2]!Table1[Machine_ID])</f>
        <v>M004</v>
      </c>
      <c r="N2561" t="str">
        <f>_xlfn.XLOOKUP(E2561,[3]Sheet1!$A$2:$A$391,[3]Sheet1!$A$2:$A$391)</f>
        <v>PO10171</v>
      </c>
    </row>
    <row r="2562" spans="1:14" x14ac:dyDescent="0.2">
      <c r="A2562" t="s">
        <v>2571</v>
      </c>
      <c r="B2562" s="2">
        <v>46315</v>
      </c>
      <c r="C2562" t="s">
        <v>2941</v>
      </c>
      <c r="D2562" t="s">
        <v>2946</v>
      </c>
      <c r="E2562" t="s">
        <v>3121</v>
      </c>
      <c r="F2562" s="3">
        <v>46315.598987358251</v>
      </c>
      <c r="G2562" s="3">
        <v>46315.605680834909</v>
      </c>
      <c r="H2562">
        <v>9.64</v>
      </c>
      <c r="I2562" t="s">
        <v>3149</v>
      </c>
      <c r="J2562" t="s">
        <v>3168</v>
      </c>
      <c r="K2562" t="s">
        <v>3176</v>
      </c>
      <c r="L2562" t="str">
        <f>_xlfn.XLOOKUP(C2562,[1]!Table1[Shift_ID],[1]!Table1[Shift_ID])</f>
        <v>S02</v>
      </c>
      <c r="M2562" t="str">
        <f>_xlfn.XLOOKUP(D2562,[2]!Table1[Machine_ID],[2]!Table1[Machine_ID])</f>
        <v>M005</v>
      </c>
      <c r="N2562" t="str">
        <f>_xlfn.XLOOKUP(E2562,[3]Sheet1!$A$2:$A$391,[3]Sheet1!$A$2:$A$391)</f>
        <v>PO10171</v>
      </c>
    </row>
    <row r="2563" spans="1:14" x14ac:dyDescent="0.2">
      <c r="A2563" t="s">
        <v>2572</v>
      </c>
      <c r="B2563" s="2">
        <v>46315</v>
      </c>
      <c r="C2563" t="s">
        <v>2941</v>
      </c>
      <c r="D2563" t="s">
        <v>2946</v>
      </c>
      <c r="E2563" t="s">
        <v>3121</v>
      </c>
      <c r="F2563" s="3">
        <v>46315.726354579943</v>
      </c>
      <c r="G2563" s="3">
        <v>46315.730073260573</v>
      </c>
      <c r="H2563">
        <v>5.35</v>
      </c>
      <c r="I2563" t="s">
        <v>3150</v>
      </c>
      <c r="J2563" t="s">
        <v>3159</v>
      </c>
      <c r="K2563" t="s">
        <v>3177</v>
      </c>
      <c r="L2563" t="str">
        <f>_xlfn.XLOOKUP(C2563,[1]!Table1[Shift_ID],[1]!Table1[Shift_ID])</f>
        <v>S02</v>
      </c>
      <c r="M2563" t="str">
        <f>_xlfn.XLOOKUP(D2563,[2]!Table1[Machine_ID],[2]!Table1[Machine_ID])</f>
        <v>M005</v>
      </c>
      <c r="N2563" t="str">
        <f>_xlfn.XLOOKUP(E2563,[3]Sheet1!$A$2:$A$391,[3]Sheet1!$A$2:$A$391)</f>
        <v>PO10171</v>
      </c>
    </row>
    <row r="2564" spans="1:14" x14ac:dyDescent="0.2">
      <c r="A2564" t="s">
        <v>2573</v>
      </c>
      <c r="B2564" s="2">
        <v>46315</v>
      </c>
      <c r="C2564" t="s">
        <v>2941</v>
      </c>
      <c r="D2564" t="s">
        <v>2947</v>
      </c>
      <c r="E2564" t="s">
        <v>3121</v>
      </c>
      <c r="F2564" s="3">
        <v>46315.631752845002</v>
      </c>
      <c r="G2564" s="3">
        <v>46315.656144689972</v>
      </c>
      <c r="H2564">
        <v>35.119999999999997</v>
      </c>
      <c r="I2564" t="s">
        <v>3150</v>
      </c>
      <c r="J2564" t="s">
        <v>3163</v>
      </c>
      <c r="K2564" t="s">
        <v>3178</v>
      </c>
      <c r="L2564" t="str">
        <f>_xlfn.XLOOKUP(C2564,[1]!Table1[Shift_ID],[1]!Table1[Shift_ID])</f>
        <v>S02</v>
      </c>
      <c r="M2564" t="str">
        <f>_xlfn.XLOOKUP(D2564,[2]!Table1[Machine_ID],[2]!Table1[Machine_ID])</f>
        <v>M006</v>
      </c>
      <c r="N2564" t="str">
        <f>_xlfn.XLOOKUP(E2564,[3]Sheet1!$A$2:$A$391,[3]Sheet1!$A$2:$A$391)</f>
        <v>PO10171</v>
      </c>
    </row>
    <row r="2565" spans="1:14" x14ac:dyDescent="0.2">
      <c r="A2565" t="s">
        <v>2574</v>
      </c>
      <c r="B2565" s="2">
        <v>46315</v>
      </c>
      <c r="C2565" t="s">
        <v>2941</v>
      </c>
      <c r="D2565" t="s">
        <v>2947</v>
      </c>
      <c r="E2565" t="s">
        <v>3121</v>
      </c>
      <c r="F2565" s="3">
        <v>46315.818112440407</v>
      </c>
      <c r="G2565" s="3">
        <v>46315.82742944557</v>
      </c>
      <c r="H2565">
        <v>13.42</v>
      </c>
      <c r="I2565" t="s">
        <v>3150</v>
      </c>
      <c r="J2565" t="s">
        <v>3159</v>
      </c>
      <c r="K2565" t="s">
        <v>3179</v>
      </c>
      <c r="L2565" t="str">
        <f>_xlfn.XLOOKUP(C2565,[1]!Table1[Shift_ID],[1]!Table1[Shift_ID])</f>
        <v>S02</v>
      </c>
      <c r="M2565" t="str">
        <f>_xlfn.XLOOKUP(D2565,[2]!Table1[Machine_ID],[2]!Table1[Machine_ID])</f>
        <v>M006</v>
      </c>
      <c r="N2565" t="str">
        <f>_xlfn.XLOOKUP(E2565,[3]Sheet1!$A$2:$A$391,[3]Sheet1!$A$2:$A$391)</f>
        <v>PO10171</v>
      </c>
    </row>
    <row r="2566" spans="1:14" x14ac:dyDescent="0.2">
      <c r="A2566" t="s">
        <v>2575</v>
      </c>
      <c r="B2566" s="2">
        <v>46315</v>
      </c>
      <c r="C2566" t="s">
        <v>2941</v>
      </c>
      <c r="D2566" t="s">
        <v>2948</v>
      </c>
      <c r="E2566" t="s">
        <v>3121</v>
      </c>
      <c r="F2566" s="3">
        <v>46315.600312997143</v>
      </c>
      <c r="G2566" s="3">
        <v>46315.606315692639</v>
      </c>
      <c r="H2566">
        <v>8.64</v>
      </c>
      <c r="I2566" t="s">
        <v>3147</v>
      </c>
      <c r="J2566" t="s">
        <v>3154</v>
      </c>
      <c r="K2566" t="s">
        <v>3186</v>
      </c>
      <c r="L2566" t="str">
        <f>_xlfn.XLOOKUP(C2566,[1]!Table1[Shift_ID],[1]!Table1[Shift_ID])</f>
        <v>S02</v>
      </c>
      <c r="M2566" t="str">
        <f>_xlfn.XLOOKUP(D2566,[2]!Table1[Machine_ID],[2]!Table1[Machine_ID])</f>
        <v>M007</v>
      </c>
      <c r="N2566" t="str">
        <f>_xlfn.XLOOKUP(E2566,[3]Sheet1!$A$2:$A$391,[3]Sheet1!$A$2:$A$391)</f>
        <v>PO10171</v>
      </c>
    </row>
    <row r="2567" spans="1:14" x14ac:dyDescent="0.2">
      <c r="A2567" t="s">
        <v>2576</v>
      </c>
      <c r="B2567" s="2">
        <v>46315</v>
      </c>
      <c r="C2567" t="s">
        <v>2941</v>
      </c>
      <c r="D2567" t="s">
        <v>2948</v>
      </c>
      <c r="E2567" t="s">
        <v>3121</v>
      </c>
      <c r="F2567" s="3">
        <v>46315.676606837427</v>
      </c>
      <c r="G2567" s="3">
        <v>46315.688134928663</v>
      </c>
      <c r="H2567">
        <v>16.600000000000001</v>
      </c>
      <c r="I2567" t="s">
        <v>3150</v>
      </c>
      <c r="J2567" t="s">
        <v>3159</v>
      </c>
      <c r="K2567" t="s">
        <v>3177</v>
      </c>
      <c r="L2567" t="str">
        <f>_xlfn.XLOOKUP(C2567,[1]!Table1[Shift_ID],[1]!Table1[Shift_ID])</f>
        <v>S02</v>
      </c>
      <c r="M2567" t="str">
        <f>_xlfn.XLOOKUP(D2567,[2]!Table1[Machine_ID],[2]!Table1[Machine_ID])</f>
        <v>M007</v>
      </c>
      <c r="N2567" t="str">
        <f>_xlfn.XLOOKUP(E2567,[3]Sheet1!$A$2:$A$391,[3]Sheet1!$A$2:$A$391)</f>
        <v>PO10171</v>
      </c>
    </row>
    <row r="2568" spans="1:14" x14ac:dyDescent="0.2">
      <c r="A2568" t="s">
        <v>2577</v>
      </c>
      <c r="B2568" s="2">
        <v>46315</v>
      </c>
      <c r="C2568" t="s">
        <v>2941</v>
      </c>
      <c r="D2568" t="s">
        <v>2949</v>
      </c>
      <c r="E2568" t="s">
        <v>3121</v>
      </c>
      <c r="F2568" s="3">
        <v>46315.742931411733</v>
      </c>
      <c r="G2568" s="3">
        <v>46315.748195406093</v>
      </c>
      <c r="H2568">
        <v>7.58</v>
      </c>
      <c r="I2568" t="s">
        <v>3148</v>
      </c>
      <c r="J2568" t="s">
        <v>3165</v>
      </c>
      <c r="K2568" t="s">
        <v>3180</v>
      </c>
      <c r="L2568" t="str">
        <f>_xlfn.XLOOKUP(C2568,[1]!Table1[Shift_ID],[1]!Table1[Shift_ID])</f>
        <v>S02</v>
      </c>
      <c r="M2568" t="str">
        <f>_xlfn.XLOOKUP(D2568,[2]!Table1[Machine_ID],[2]!Table1[Machine_ID])</f>
        <v>M008</v>
      </c>
      <c r="N2568" t="str">
        <f>_xlfn.XLOOKUP(E2568,[3]Sheet1!$A$2:$A$391,[3]Sheet1!$A$2:$A$391)</f>
        <v>PO10171</v>
      </c>
    </row>
    <row r="2569" spans="1:14" x14ac:dyDescent="0.2">
      <c r="A2569" t="s">
        <v>2578</v>
      </c>
      <c r="B2569" s="2">
        <v>46316</v>
      </c>
      <c r="C2569" t="s">
        <v>2939</v>
      </c>
      <c r="D2569" t="s">
        <v>2942</v>
      </c>
      <c r="E2569" t="s">
        <v>3122</v>
      </c>
      <c r="F2569" s="3">
        <v>46317.131899318207</v>
      </c>
      <c r="G2569" s="3">
        <v>46317.139645898358</v>
      </c>
      <c r="H2569">
        <v>11.16</v>
      </c>
      <c r="I2569" t="s">
        <v>3147</v>
      </c>
      <c r="J2569" t="s">
        <v>3154</v>
      </c>
      <c r="K2569" t="s">
        <v>3185</v>
      </c>
      <c r="L2569" t="str">
        <f>_xlfn.XLOOKUP(C2569,[1]!Table1[Shift_ID],[1]!Table1[Shift_ID])</f>
        <v>S03</v>
      </c>
      <c r="M2569" t="str">
        <f>_xlfn.XLOOKUP(D2569,[2]!Table1[Machine_ID],[2]!Table1[Machine_ID])</f>
        <v>M001</v>
      </c>
      <c r="N2569" t="str">
        <f>_xlfn.XLOOKUP(E2569,[3]Sheet1!$A$2:$A$391,[3]Sheet1!$A$2:$A$391)</f>
        <v>PO10172</v>
      </c>
    </row>
    <row r="2570" spans="1:14" x14ac:dyDescent="0.2">
      <c r="A2570" t="s">
        <v>2579</v>
      </c>
      <c r="B2570" s="2">
        <v>46316</v>
      </c>
      <c r="C2570" t="s">
        <v>2939</v>
      </c>
      <c r="D2570" t="s">
        <v>2943</v>
      </c>
      <c r="E2570" t="s">
        <v>3122</v>
      </c>
      <c r="F2570" s="3">
        <v>46316.953117353893</v>
      </c>
      <c r="G2570" s="3">
        <v>46316.956785980758</v>
      </c>
      <c r="H2570">
        <v>5.28</v>
      </c>
      <c r="I2570" t="s">
        <v>3149</v>
      </c>
      <c r="J2570" t="s">
        <v>3168</v>
      </c>
      <c r="K2570" t="s">
        <v>3182</v>
      </c>
      <c r="L2570" t="str">
        <f>_xlfn.XLOOKUP(C2570,[1]!Table1[Shift_ID],[1]!Table1[Shift_ID])</f>
        <v>S03</v>
      </c>
      <c r="M2570" t="str">
        <f>_xlfn.XLOOKUP(D2570,[2]!Table1[Machine_ID],[2]!Table1[Machine_ID])</f>
        <v>M002</v>
      </c>
      <c r="N2570" t="str">
        <f>_xlfn.XLOOKUP(E2570,[3]Sheet1!$A$2:$A$391,[3]Sheet1!$A$2:$A$391)</f>
        <v>PO10172</v>
      </c>
    </row>
    <row r="2571" spans="1:14" x14ac:dyDescent="0.2">
      <c r="A2571" t="s">
        <v>2580</v>
      </c>
      <c r="B2571" s="2">
        <v>46316</v>
      </c>
      <c r="C2571" t="s">
        <v>2939</v>
      </c>
      <c r="D2571" t="s">
        <v>2943</v>
      </c>
      <c r="E2571" t="s">
        <v>3122</v>
      </c>
      <c r="F2571" s="3">
        <v>46317.006429575937</v>
      </c>
      <c r="G2571" s="3">
        <v>46317.007872344533</v>
      </c>
      <c r="H2571">
        <v>2.08</v>
      </c>
      <c r="I2571" t="s">
        <v>3146</v>
      </c>
      <c r="J2571" t="s">
        <v>3152</v>
      </c>
      <c r="K2571" t="s">
        <v>3171</v>
      </c>
      <c r="L2571" t="str">
        <f>_xlfn.XLOOKUP(C2571,[1]!Table1[Shift_ID],[1]!Table1[Shift_ID])</f>
        <v>S03</v>
      </c>
      <c r="M2571" t="str">
        <f>_xlfn.XLOOKUP(D2571,[2]!Table1[Machine_ID],[2]!Table1[Machine_ID])</f>
        <v>M002</v>
      </c>
      <c r="N2571" t="str">
        <f>_xlfn.XLOOKUP(E2571,[3]Sheet1!$A$2:$A$391,[3]Sheet1!$A$2:$A$391)</f>
        <v>PO10172</v>
      </c>
    </row>
    <row r="2572" spans="1:14" x14ac:dyDescent="0.2">
      <c r="A2572" t="s">
        <v>2581</v>
      </c>
      <c r="B2572" s="2">
        <v>46316</v>
      </c>
      <c r="C2572" t="s">
        <v>2939</v>
      </c>
      <c r="D2572" t="s">
        <v>2943</v>
      </c>
      <c r="E2572" t="s">
        <v>3122</v>
      </c>
      <c r="F2572" s="3">
        <v>46317.148977071527</v>
      </c>
      <c r="G2572" s="3">
        <v>46317.150419840124</v>
      </c>
      <c r="H2572">
        <v>2.08</v>
      </c>
      <c r="I2572" t="s">
        <v>3151</v>
      </c>
      <c r="J2572" t="s">
        <v>3161</v>
      </c>
      <c r="K2572" t="s">
        <v>3187</v>
      </c>
      <c r="L2572" t="str">
        <f>_xlfn.XLOOKUP(C2572,[1]!Table1[Shift_ID],[1]!Table1[Shift_ID])</f>
        <v>S03</v>
      </c>
      <c r="M2572" t="str">
        <f>_xlfn.XLOOKUP(D2572,[2]!Table1[Machine_ID],[2]!Table1[Machine_ID])</f>
        <v>M002</v>
      </c>
      <c r="N2572" t="str">
        <f>_xlfn.XLOOKUP(E2572,[3]Sheet1!$A$2:$A$391,[3]Sheet1!$A$2:$A$391)</f>
        <v>PO10172</v>
      </c>
    </row>
    <row r="2573" spans="1:14" x14ac:dyDescent="0.2">
      <c r="A2573" t="s">
        <v>2582</v>
      </c>
      <c r="B2573" s="2">
        <v>46316</v>
      </c>
      <c r="C2573" t="s">
        <v>2939</v>
      </c>
      <c r="D2573" t="s">
        <v>2943</v>
      </c>
      <c r="E2573" t="s">
        <v>3122</v>
      </c>
      <c r="F2573" s="3">
        <v>46317.182252874692</v>
      </c>
      <c r="G2573" s="3">
        <v>46317.183695643267</v>
      </c>
      <c r="H2573">
        <v>2.08</v>
      </c>
      <c r="I2573" t="s">
        <v>3147</v>
      </c>
      <c r="J2573" t="s">
        <v>3154</v>
      </c>
      <c r="K2573" t="s">
        <v>3185</v>
      </c>
      <c r="L2573" t="str">
        <f>_xlfn.XLOOKUP(C2573,[1]!Table1[Shift_ID],[1]!Table1[Shift_ID])</f>
        <v>S03</v>
      </c>
      <c r="M2573" t="str">
        <f>_xlfn.XLOOKUP(D2573,[2]!Table1[Machine_ID],[2]!Table1[Machine_ID])</f>
        <v>M002</v>
      </c>
      <c r="N2573" t="str">
        <f>_xlfn.XLOOKUP(E2573,[3]Sheet1!$A$2:$A$391,[3]Sheet1!$A$2:$A$391)</f>
        <v>PO10172</v>
      </c>
    </row>
    <row r="2574" spans="1:14" x14ac:dyDescent="0.2">
      <c r="A2574" t="s">
        <v>2583</v>
      </c>
      <c r="B2574" s="2">
        <v>46316</v>
      </c>
      <c r="C2574" t="s">
        <v>2939</v>
      </c>
      <c r="D2574" t="s">
        <v>2944</v>
      </c>
      <c r="E2574" t="s">
        <v>3122</v>
      </c>
      <c r="F2574" s="3">
        <v>46316.919660357918</v>
      </c>
      <c r="G2574" s="3">
        <v>46316.923258181108</v>
      </c>
      <c r="H2574">
        <v>5.18</v>
      </c>
      <c r="I2574" t="s">
        <v>3147</v>
      </c>
      <c r="J2574" t="s">
        <v>3153</v>
      </c>
      <c r="K2574" t="s">
        <v>3172</v>
      </c>
      <c r="L2574" t="str">
        <f>_xlfn.XLOOKUP(C2574,[1]!Table1[Shift_ID],[1]!Table1[Shift_ID])</f>
        <v>S03</v>
      </c>
      <c r="M2574" t="str">
        <f>_xlfn.XLOOKUP(D2574,[2]!Table1[Machine_ID],[2]!Table1[Machine_ID])</f>
        <v>M003</v>
      </c>
      <c r="N2574" t="str">
        <f>_xlfn.XLOOKUP(E2574,[3]Sheet1!$A$2:$A$391,[3]Sheet1!$A$2:$A$391)</f>
        <v>PO10172</v>
      </c>
    </row>
    <row r="2575" spans="1:14" x14ac:dyDescent="0.2">
      <c r="A2575" t="s">
        <v>2584</v>
      </c>
      <c r="B2575" s="2">
        <v>46316</v>
      </c>
      <c r="C2575" t="s">
        <v>2939</v>
      </c>
      <c r="D2575" t="s">
        <v>2944</v>
      </c>
      <c r="E2575" t="s">
        <v>3122</v>
      </c>
      <c r="F2575" s="3">
        <v>46316.939304588574</v>
      </c>
      <c r="G2575" s="3">
        <v>46316.945652073897</v>
      </c>
      <c r="H2575">
        <v>9.14</v>
      </c>
      <c r="I2575" t="s">
        <v>3151</v>
      </c>
      <c r="J2575" t="s">
        <v>3170</v>
      </c>
      <c r="K2575" t="s">
        <v>3188</v>
      </c>
      <c r="L2575" t="str">
        <f>_xlfn.XLOOKUP(C2575,[1]!Table1[Shift_ID],[1]!Table1[Shift_ID])</f>
        <v>S03</v>
      </c>
      <c r="M2575" t="str">
        <f>_xlfn.XLOOKUP(D2575,[2]!Table1[Machine_ID],[2]!Table1[Machine_ID])</f>
        <v>M003</v>
      </c>
      <c r="N2575" t="str">
        <f>_xlfn.XLOOKUP(E2575,[3]Sheet1!$A$2:$A$391,[3]Sheet1!$A$2:$A$391)</f>
        <v>PO10172</v>
      </c>
    </row>
    <row r="2576" spans="1:14" x14ac:dyDescent="0.2">
      <c r="A2576" t="s">
        <v>2585</v>
      </c>
      <c r="B2576" s="2">
        <v>46316</v>
      </c>
      <c r="C2576" t="s">
        <v>2939</v>
      </c>
      <c r="D2576" t="s">
        <v>2945</v>
      </c>
      <c r="E2576" t="s">
        <v>3122</v>
      </c>
      <c r="F2576" s="3">
        <v>46317.159805101357</v>
      </c>
      <c r="G2576" s="3">
        <v>46317.169097651633</v>
      </c>
      <c r="H2576">
        <v>13.38</v>
      </c>
      <c r="I2576" t="s">
        <v>3150</v>
      </c>
      <c r="J2576" t="s">
        <v>3160</v>
      </c>
      <c r="K2576" t="s">
        <v>3178</v>
      </c>
      <c r="L2576" t="str">
        <f>_xlfn.XLOOKUP(C2576,[1]!Table1[Shift_ID],[1]!Table1[Shift_ID])</f>
        <v>S03</v>
      </c>
      <c r="M2576" t="str">
        <f>_xlfn.XLOOKUP(D2576,[2]!Table1[Machine_ID],[2]!Table1[Machine_ID])</f>
        <v>M004</v>
      </c>
      <c r="N2576" t="str">
        <f>_xlfn.XLOOKUP(E2576,[3]Sheet1!$A$2:$A$391,[3]Sheet1!$A$2:$A$391)</f>
        <v>PO10172</v>
      </c>
    </row>
    <row r="2577" spans="1:14" x14ac:dyDescent="0.2">
      <c r="A2577" t="s">
        <v>2586</v>
      </c>
      <c r="B2577" s="2">
        <v>46316</v>
      </c>
      <c r="C2577" t="s">
        <v>2939</v>
      </c>
      <c r="D2577" t="s">
        <v>2946</v>
      </c>
      <c r="E2577" t="s">
        <v>3122</v>
      </c>
      <c r="F2577" s="3">
        <v>46316.968367762129</v>
      </c>
      <c r="G2577" s="3">
        <v>46316.973518490129</v>
      </c>
      <c r="H2577">
        <v>7.42</v>
      </c>
      <c r="I2577" t="s">
        <v>3150</v>
      </c>
      <c r="J2577" t="s">
        <v>3166</v>
      </c>
      <c r="K2577" t="s">
        <v>3178</v>
      </c>
      <c r="L2577" t="str">
        <f>_xlfn.XLOOKUP(C2577,[1]!Table1[Shift_ID],[1]!Table1[Shift_ID])</f>
        <v>S03</v>
      </c>
      <c r="M2577" t="str">
        <f>_xlfn.XLOOKUP(D2577,[2]!Table1[Machine_ID],[2]!Table1[Machine_ID])</f>
        <v>M005</v>
      </c>
      <c r="N2577" t="str">
        <f>_xlfn.XLOOKUP(E2577,[3]Sheet1!$A$2:$A$391,[3]Sheet1!$A$2:$A$391)</f>
        <v>PO10172</v>
      </c>
    </row>
    <row r="2578" spans="1:14" x14ac:dyDescent="0.2">
      <c r="A2578" t="s">
        <v>2587</v>
      </c>
      <c r="B2578" s="2">
        <v>46316</v>
      </c>
      <c r="C2578" t="s">
        <v>2939</v>
      </c>
      <c r="D2578" t="s">
        <v>2946</v>
      </c>
      <c r="E2578" t="s">
        <v>3122</v>
      </c>
      <c r="F2578" s="3">
        <v>46316.977304303728</v>
      </c>
      <c r="G2578" s="3">
        <v>46316.979176981251</v>
      </c>
      <c r="H2578">
        <v>2.7</v>
      </c>
      <c r="I2578" t="s">
        <v>3149</v>
      </c>
      <c r="J2578" t="s">
        <v>3162</v>
      </c>
      <c r="K2578" t="s">
        <v>3176</v>
      </c>
      <c r="L2578" t="str">
        <f>_xlfn.XLOOKUP(C2578,[1]!Table1[Shift_ID],[1]!Table1[Shift_ID])</f>
        <v>S03</v>
      </c>
      <c r="M2578" t="str">
        <f>_xlfn.XLOOKUP(D2578,[2]!Table1[Machine_ID],[2]!Table1[Machine_ID])</f>
        <v>M005</v>
      </c>
      <c r="N2578" t="str">
        <f>_xlfn.XLOOKUP(E2578,[3]Sheet1!$A$2:$A$391,[3]Sheet1!$A$2:$A$391)</f>
        <v>PO10172</v>
      </c>
    </row>
    <row r="2579" spans="1:14" x14ac:dyDescent="0.2">
      <c r="A2579" t="s">
        <v>2588</v>
      </c>
      <c r="B2579" s="2">
        <v>46316</v>
      </c>
      <c r="C2579" t="s">
        <v>2939</v>
      </c>
      <c r="D2579" t="s">
        <v>2946</v>
      </c>
      <c r="E2579" t="s">
        <v>3122</v>
      </c>
      <c r="F2579" s="3">
        <v>46317.227220319233</v>
      </c>
      <c r="G2579" s="3">
        <v>46317.229092996749</v>
      </c>
      <c r="H2579">
        <v>2.7</v>
      </c>
      <c r="I2579" t="s">
        <v>3149</v>
      </c>
      <c r="J2579" t="s">
        <v>3168</v>
      </c>
      <c r="K2579" t="s">
        <v>3184</v>
      </c>
      <c r="L2579" t="str">
        <f>_xlfn.XLOOKUP(C2579,[1]!Table1[Shift_ID],[1]!Table1[Shift_ID])</f>
        <v>S03</v>
      </c>
      <c r="M2579" t="str">
        <f>_xlfn.XLOOKUP(D2579,[2]!Table1[Machine_ID],[2]!Table1[Machine_ID])</f>
        <v>M005</v>
      </c>
      <c r="N2579" t="str">
        <f>_xlfn.XLOOKUP(E2579,[3]Sheet1!$A$2:$A$391,[3]Sheet1!$A$2:$A$391)</f>
        <v>PO10172</v>
      </c>
    </row>
    <row r="2580" spans="1:14" x14ac:dyDescent="0.2">
      <c r="A2580" t="s">
        <v>2589</v>
      </c>
      <c r="B2580" s="2">
        <v>46316</v>
      </c>
      <c r="C2580" t="s">
        <v>2939</v>
      </c>
      <c r="D2580" t="s">
        <v>2947</v>
      </c>
      <c r="E2580" t="s">
        <v>3122</v>
      </c>
      <c r="F2580" s="3">
        <v>46317.232884773963</v>
      </c>
      <c r="G2580" s="3">
        <v>46317.238787629023</v>
      </c>
      <c r="H2580">
        <v>8.5</v>
      </c>
      <c r="I2580" t="s">
        <v>3149</v>
      </c>
      <c r="J2580" t="s">
        <v>3162</v>
      </c>
      <c r="K2580" t="s">
        <v>3184</v>
      </c>
      <c r="L2580" t="str">
        <f>_xlfn.XLOOKUP(C2580,[1]!Table1[Shift_ID],[1]!Table1[Shift_ID])</f>
        <v>S03</v>
      </c>
      <c r="M2580" t="str">
        <f>_xlfn.XLOOKUP(D2580,[2]!Table1[Machine_ID],[2]!Table1[Machine_ID])</f>
        <v>M006</v>
      </c>
      <c r="N2580" t="str">
        <f>_xlfn.XLOOKUP(E2580,[3]Sheet1!$A$2:$A$391,[3]Sheet1!$A$2:$A$391)</f>
        <v>PO10172</v>
      </c>
    </row>
    <row r="2581" spans="1:14" x14ac:dyDescent="0.2">
      <c r="A2581" t="s">
        <v>2590</v>
      </c>
      <c r="B2581" s="2">
        <v>46316</v>
      </c>
      <c r="C2581" t="s">
        <v>2939</v>
      </c>
      <c r="D2581" t="s">
        <v>2947</v>
      </c>
      <c r="E2581" t="s">
        <v>3122</v>
      </c>
      <c r="F2581" s="3">
        <v>46317.236883783029</v>
      </c>
      <c r="G2581" s="3">
        <v>46317.25</v>
      </c>
      <c r="H2581">
        <v>18.89</v>
      </c>
      <c r="I2581" t="s">
        <v>3146</v>
      </c>
      <c r="J2581" t="s">
        <v>3156</v>
      </c>
      <c r="K2581" t="s">
        <v>3171</v>
      </c>
      <c r="L2581" t="str">
        <f>_xlfn.XLOOKUP(C2581,[1]!Table1[Shift_ID],[1]!Table1[Shift_ID])</f>
        <v>S03</v>
      </c>
      <c r="M2581" t="str">
        <f>_xlfn.XLOOKUP(D2581,[2]!Table1[Machine_ID],[2]!Table1[Machine_ID])</f>
        <v>M006</v>
      </c>
      <c r="N2581" t="str">
        <f>_xlfn.XLOOKUP(E2581,[3]Sheet1!$A$2:$A$391,[3]Sheet1!$A$2:$A$391)</f>
        <v>PO10172</v>
      </c>
    </row>
    <row r="2582" spans="1:14" x14ac:dyDescent="0.2">
      <c r="A2582" t="s">
        <v>2591</v>
      </c>
      <c r="B2582" s="2">
        <v>46316</v>
      </c>
      <c r="C2582" t="s">
        <v>2939</v>
      </c>
      <c r="D2582" t="s">
        <v>2948</v>
      </c>
      <c r="E2582" t="s">
        <v>3122</v>
      </c>
      <c r="F2582" s="3">
        <v>46316.919722448227</v>
      </c>
      <c r="G2582" s="3">
        <v>46316.929912464708</v>
      </c>
      <c r="H2582">
        <v>14.67</v>
      </c>
      <c r="I2582" t="s">
        <v>3147</v>
      </c>
      <c r="J2582" t="s">
        <v>3154</v>
      </c>
      <c r="K2582" t="s">
        <v>3172</v>
      </c>
      <c r="L2582" t="str">
        <f>_xlfn.XLOOKUP(C2582,[1]!Table1[Shift_ID],[1]!Table1[Shift_ID])</f>
        <v>S03</v>
      </c>
      <c r="M2582" t="str">
        <f>_xlfn.XLOOKUP(D2582,[2]!Table1[Machine_ID],[2]!Table1[Machine_ID])</f>
        <v>M007</v>
      </c>
      <c r="N2582" t="str">
        <f>_xlfn.XLOOKUP(E2582,[3]Sheet1!$A$2:$A$391,[3]Sheet1!$A$2:$A$391)</f>
        <v>PO10172</v>
      </c>
    </row>
    <row r="2583" spans="1:14" x14ac:dyDescent="0.2">
      <c r="A2583" t="s">
        <v>2592</v>
      </c>
      <c r="B2583" s="2">
        <v>46316</v>
      </c>
      <c r="C2583" t="s">
        <v>2939</v>
      </c>
      <c r="D2583" t="s">
        <v>2948</v>
      </c>
      <c r="E2583" t="s">
        <v>3122</v>
      </c>
      <c r="F2583" s="3">
        <v>46316.945096803887</v>
      </c>
      <c r="G2583" s="3">
        <v>46316.946903933902</v>
      </c>
      <c r="H2583">
        <v>2.6</v>
      </c>
      <c r="I2583" t="s">
        <v>3150</v>
      </c>
      <c r="J2583" t="s">
        <v>3159</v>
      </c>
      <c r="K2583" t="s">
        <v>3177</v>
      </c>
      <c r="L2583" t="str">
        <f>_xlfn.XLOOKUP(C2583,[1]!Table1[Shift_ID],[1]!Table1[Shift_ID])</f>
        <v>S03</v>
      </c>
      <c r="M2583" t="str">
        <f>_xlfn.XLOOKUP(D2583,[2]!Table1[Machine_ID],[2]!Table1[Machine_ID])</f>
        <v>M007</v>
      </c>
      <c r="N2583" t="str">
        <f>_xlfn.XLOOKUP(E2583,[3]Sheet1!$A$2:$A$391,[3]Sheet1!$A$2:$A$391)</f>
        <v>PO10172</v>
      </c>
    </row>
    <row r="2584" spans="1:14" x14ac:dyDescent="0.2">
      <c r="A2584" t="s">
        <v>2593</v>
      </c>
      <c r="B2584" s="2">
        <v>46316</v>
      </c>
      <c r="C2584" t="s">
        <v>2939</v>
      </c>
      <c r="D2584" t="s">
        <v>2948</v>
      </c>
      <c r="E2584" t="s">
        <v>3122</v>
      </c>
      <c r="F2584" s="3">
        <v>46317.16555437183</v>
      </c>
      <c r="G2584" s="3">
        <v>46317.167361501837</v>
      </c>
      <c r="H2584">
        <v>2.6</v>
      </c>
      <c r="I2584" t="s">
        <v>3151</v>
      </c>
      <c r="J2584" t="s">
        <v>3161</v>
      </c>
      <c r="K2584" t="s">
        <v>3187</v>
      </c>
      <c r="L2584" t="str">
        <f>_xlfn.XLOOKUP(C2584,[1]!Table1[Shift_ID],[1]!Table1[Shift_ID])</f>
        <v>S03</v>
      </c>
      <c r="M2584" t="str">
        <f>_xlfn.XLOOKUP(D2584,[2]!Table1[Machine_ID],[2]!Table1[Machine_ID])</f>
        <v>M007</v>
      </c>
      <c r="N2584" t="str">
        <f>_xlfn.XLOOKUP(E2584,[3]Sheet1!$A$2:$A$391,[3]Sheet1!$A$2:$A$391)</f>
        <v>PO10172</v>
      </c>
    </row>
    <row r="2585" spans="1:14" x14ac:dyDescent="0.2">
      <c r="A2585" t="s">
        <v>2594</v>
      </c>
      <c r="B2585" s="2">
        <v>46316</v>
      </c>
      <c r="C2585" t="s">
        <v>2939</v>
      </c>
      <c r="D2585" t="s">
        <v>2949</v>
      </c>
      <c r="E2585" t="s">
        <v>3122</v>
      </c>
      <c r="F2585" s="3">
        <v>46316.962905833017</v>
      </c>
      <c r="G2585" s="3">
        <v>46316.966161725693</v>
      </c>
      <c r="H2585">
        <v>4.6900000000000004</v>
      </c>
      <c r="I2585" t="s">
        <v>3150</v>
      </c>
      <c r="J2585" t="s">
        <v>3159</v>
      </c>
      <c r="K2585" t="s">
        <v>3177</v>
      </c>
      <c r="L2585" t="str">
        <f>_xlfn.XLOOKUP(C2585,[1]!Table1[Shift_ID],[1]!Table1[Shift_ID])</f>
        <v>S03</v>
      </c>
      <c r="M2585" t="str">
        <f>_xlfn.XLOOKUP(D2585,[2]!Table1[Machine_ID],[2]!Table1[Machine_ID])</f>
        <v>M008</v>
      </c>
      <c r="N2585" t="str">
        <f>_xlfn.XLOOKUP(E2585,[3]Sheet1!$A$2:$A$391,[3]Sheet1!$A$2:$A$391)</f>
        <v>PO10172</v>
      </c>
    </row>
    <row r="2586" spans="1:14" x14ac:dyDescent="0.2">
      <c r="A2586" t="s">
        <v>2595</v>
      </c>
      <c r="B2586" s="2">
        <v>46316</v>
      </c>
      <c r="C2586" t="s">
        <v>2939</v>
      </c>
      <c r="D2586" t="s">
        <v>2949</v>
      </c>
      <c r="E2586" t="s">
        <v>3122</v>
      </c>
      <c r="F2586" s="3">
        <v>46316.99660127177</v>
      </c>
      <c r="G2586" s="3">
        <v>46316.998220523506</v>
      </c>
      <c r="H2586">
        <v>2.33</v>
      </c>
      <c r="I2586" t="s">
        <v>3148</v>
      </c>
      <c r="J2586" t="s">
        <v>3165</v>
      </c>
      <c r="K2586" t="s">
        <v>3180</v>
      </c>
      <c r="L2586" t="str">
        <f>_xlfn.XLOOKUP(C2586,[1]!Table1[Shift_ID],[1]!Table1[Shift_ID])</f>
        <v>S03</v>
      </c>
      <c r="M2586" t="str">
        <f>_xlfn.XLOOKUP(D2586,[2]!Table1[Machine_ID],[2]!Table1[Machine_ID])</f>
        <v>M008</v>
      </c>
      <c r="N2586" t="str">
        <f>_xlfn.XLOOKUP(E2586,[3]Sheet1!$A$2:$A$391,[3]Sheet1!$A$2:$A$391)</f>
        <v>PO10172</v>
      </c>
    </row>
    <row r="2587" spans="1:14" x14ac:dyDescent="0.2">
      <c r="A2587" t="s">
        <v>2596</v>
      </c>
      <c r="B2587" s="2">
        <v>46316</v>
      </c>
      <c r="C2587" t="s">
        <v>2939</v>
      </c>
      <c r="D2587" t="s">
        <v>2949</v>
      </c>
      <c r="E2587" t="s">
        <v>3122</v>
      </c>
      <c r="F2587" s="3">
        <v>46317.24212611538</v>
      </c>
      <c r="G2587" s="3">
        <v>46317.243745367123</v>
      </c>
      <c r="H2587">
        <v>2.33</v>
      </c>
      <c r="I2587" t="s">
        <v>3149</v>
      </c>
      <c r="J2587" t="s">
        <v>3162</v>
      </c>
      <c r="K2587" t="s">
        <v>3182</v>
      </c>
      <c r="L2587" t="str">
        <f>_xlfn.XLOOKUP(C2587,[1]!Table1[Shift_ID],[1]!Table1[Shift_ID])</f>
        <v>S03</v>
      </c>
      <c r="M2587" t="str">
        <f>_xlfn.XLOOKUP(D2587,[2]!Table1[Machine_ID],[2]!Table1[Machine_ID])</f>
        <v>M008</v>
      </c>
      <c r="N2587" t="str">
        <f>_xlfn.XLOOKUP(E2587,[3]Sheet1!$A$2:$A$391,[3]Sheet1!$A$2:$A$391)</f>
        <v>PO10172</v>
      </c>
    </row>
    <row r="2588" spans="1:14" x14ac:dyDescent="0.2">
      <c r="A2588" t="s">
        <v>2597</v>
      </c>
      <c r="B2588" s="2">
        <v>46316</v>
      </c>
      <c r="C2588" t="s">
        <v>2940</v>
      </c>
      <c r="D2588" t="s">
        <v>2942</v>
      </c>
      <c r="E2588" t="s">
        <v>3123</v>
      </c>
      <c r="F2588" s="3">
        <v>46316.40543094281</v>
      </c>
      <c r="G2588" s="3">
        <v>46316.411640362378</v>
      </c>
      <c r="H2588">
        <v>8.94</v>
      </c>
      <c r="I2588" t="s">
        <v>3148</v>
      </c>
      <c r="J2588" t="s">
        <v>3165</v>
      </c>
      <c r="K2588" t="s">
        <v>3183</v>
      </c>
      <c r="L2588" t="str">
        <f>_xlfn.XLOOKUP(C2588,[1]!Table1[Shift_ID],[1]!Table1[Shift_ID])</f>
        <v>S01</v>
      </c>
      <c r="M2588" t="str">
        <f>_xlfn.XLOOKUP(D2588,[2]!Table1[Machine_ID],[2]!Table1[Machine_ID])</f>
        <v>M001</v>
      </c>
      <c r="N2588" t="str">
        <f>_xlfn.XLOOKUP(E2588,[3]Sheet1!$A$2:$A$391,[3]Sheet1!$A$2:$A$391)</f>
        <v>PO10173</v>
      </c>
    </row>
    <row r="2589" spans="1:14" x14ac:dyDescent="0.2">
      <c r="A2589" t="s">
        <v>2598</v>
      </c>
      <c r="B2589" s="2">
        <v>46316</v>
      </c>
      <c r="C2589" t="s">
        <v>2940</v>
      </c>
      <c r="D2589" t="s">
        <v>2943</v>
      </c>
      <c r="E2589" t="s">
        <v>3123</v>
      </c>
      <c r="F2589" s="3">
        <v>46316.490735103682</v>
      </c>
      <c r="G2589" s="3">
        <v>46316.499892540567</v>
      </c>
      <c r="H2589">
        <v>13.19</v>
      </c>
      <c r="I2589" t="s">
        <v>3151</v>
      </c>
      <c r="J2589" t="s">
        <v>3169</v>
      </c>
      <c r="K2589" t="s">
        <v>3188</v>
      </c>
      <c r="L2589" t="str">
        <f>_xlfn.XLOOKUP(C2589,[1]!Table1[Shift_ID],[1]!Table1[Shift_ID])</f>
        <v>S01</v>
      </c>
      <c r="M2589" t="str">
        <f>_xlfn.XLOOKUP(D2589,[2]!Table1[Machine_ID],[2]!Table1[Machine_ID])</f>
        <v>M002</v>
      </c>
      <c r="N2589" t="str">
        <f>_xlfn.XLOOKUP(E2589,[3]Sheet1!$A$2:$A$391,[3]Sheet1!$A$2:$A$391)</f>
        <v>PO10173</v>
      </c>
    </row>
    <row r="2590" spans="1:14" x14ac:dyDescent="0.2">
      <c r="A2590" t="s">
        <v>2599</v>
      </c>
      <c r="B2590" s="2">
        <v>46316</v>
      </c>
      <c r="C2590" t="s">
        <v>2940</v>
      </c>
      <c r="D2590" t="s">
        <v>2944</v>
      </c>
      <c r="E2590" t="s">
        <v>3123</v>
      </c>
      <c r="F2590" s="3">
        <v>46316.573635626293</v>
      </c>
      <c r="G2590" s="3">
        <v>46316.583333333343</v>
      </c>
      <c r="H2590">
        <v>13.96</v>
      </c>
      <c r="I2590" t="s">
        <v>3150</v>
      </c>
      <c r="J2590" t="s">
        <v>3159</v>
      </c>
      <c r="K2590" t="s">
        <v>3178</v>
      </c>
      <c r="L2590" t="str">
        <f>_xlfn.XLOOKUP(C2590,[1]!Table1[Shift_ID],[1]!Table1[Shift_ID])</f>
        <v>S01</v>
      </c>
      <c r="M2590" t="str">
        <f>_xlfn.XLOOKUP(D2590,[2]!Table1[Machine_ID],[2]!Table1[Machine_ID])</f>
        <v>M003</v>
      </c>
      <c r="N2590" t="str">
        <f>_xlfn.XLOOKUP(E2590,[3]Sheet1!$A$2:$A$391,[3]Sheet1!$A$2:$A$391)</f>
        <v>PO10173</v>
      </c>
    </row>
    <row r="2591" spans="1:14" x14ac:dyDescent="0.2">
      <c r="A2591" t="s">
        <v>2600</v>
      </c>
      <c r="B2591" s="2">
        <v>46316</v>
      </c>
      <c r="C2591" t="s">
        <v>2940</v>
      </c>
      <c r="D2591" t="s">
        <v>2945</v>
      </c>
      <c r="E2591" t="s">
        <v>3123</v>
      </c>
      <c r="F2591" s="3">
        <v>46316.29217999323</v>
      </c>
      <c r="G2591" s="3">
        <v>46316.299858014892</v>
      </c>
      <c r="H2591">
        <v>11.06</v>
      </c>
      <c r="I2591" t="s">
        <v>3149</v>
      </c>
      <c r="J2591" t="s">
        <v>3162</v>
      </c>
      <c r="K2591" t="s">
        <v>3176</v>
      </c>
      <c r="L2591" t="str">
        <f>_xlfn.XLOOKUP(C2591,[1]!Table1[Shift_ID],[1]!Table1[Shift_ID])</f>
        <v>S01</v>
      </c>
      <c r="M2591" t="str">
        <f>_xlfn.XLOOKUP(D2591,[2]!Table1[Machine_ID],[2]!Table1[Machine_ID])</f>
        <v>M004</v>
      </c>
      <c r="N2591" t="str">
        <f>_xlfn.XLOOKUP(E2591,[3]Sheet1!$A$2:$A$391,[3]Sheet1!$A$2:$A$391)</f>
        <v>PO10173</v>
      </c>
    </row>
    <row r="2592" spans="1:14" x14ac:dyDescent="0.2">
      <c r="A2592" t="s">
        <v>2601</v>
      </c>
      <c r="B2592" s="2">
        <v>46316</v>
      </c>
      <c r="C2592" t="s">
        <v>2940</v>
      </c>
      <c r="D2592" t="s">
        <v>2946</v>
      </c>
      <c r="E2592" t="s">
        <v>3123</v>
      </c>
      <c r="F2592" s="3">
        <v>46316.296112128359</v>
      </c>
      <c r="G2592" s="3">
        <v>46316.299449497521</v>
      </c>
      <c r="H2592">
        <v>4.8099999999999996</v>
      </c>
      <c r="I2592" t="s">
        <v>3150</v>
      </c>
      <c r="J2592" t="s">
        <v>3160</v>
      </c>
      <c r="K2592" t="s">
        <v>3177</v>
      </c>
      <c r="L2592" t="str">
        <f>_xlfn.XLOOKUP(C2592,[1]!Table1[Shift_ID],[1]!Table1[Shift_ID])</f>
        <v>S01</v>
      </c>
      <c r="M2592" t="str">
        <f>_xlfn.XLOOKUP(D2592,[2]!Table1[Machine_ID],[2]!Table1[Machine_ID])</f>
        <v>M005</v>
      </c>
      <c r="N2592" t="str">
        <f>_xlfn.XLOOKUP(E2592,[3]Sheet1!$A$2:$A$391,[3]Sheet1!$A$2:$A$391)</f>
        <v>PO10173</v>
      </c>
    </row>
    <row r="2593" spans="1:14" x14ac:dyDescent="0.2">
      <c r="A2593" t="s">
        <v>2602</v>
      </c>
      <c r="B2593" s="2">
        <v>46316</v>
      </c>
      <c r="C2593" t="s">
        <v>2940</v>
      </c>
      <c r="D2593" t="s">
        <v>2946</v>
      </c>
      <c r="E2593" t="s">
        <v>3123</v>
      </c>
      <c r="F2593" s="3">
        <v>46316.463275086157</v>
      </c>
      <c r="G2593" s="3">
        <v>46316.465248049877</v>
      </c>
      <c r="H2593">
        <v>2.84</v>
      </c>
      <c r="I2593" t="s">
        <v>3150</v>
      </c>
      <c r="J2593" t="s">
        <v>3166</v>
      </c>
      <c r="K2593" t="s">
        <v>3178</v>
      </c>
      <c r="L2593" t="str">
        <f>_xlfn.XLOOKUP(C2593,[1]!Table1[Shift_ID],[1]!Table1[Shift_ID])</f>
        <v>S01</v>
      </c>
      <c r="M2593" t="str">
        <f>_xlfn.XLOOKUP(D2593,[2]!Table1[Machine_ID],[2]!Table1[Machine_ID])</f>
        <v>M005</v>
      </c>
      <c r="N2593" t="str">
        <f>_xlfn.XLOOKUP(E2593,[3]Sheet1!$A$2:$A$391,[3]Sheet1!$A$2:$A$391)</f>
        <v>PO10173</v>
      </c>
    </row>
    <row r="2594" spans="1:14" x14ac:dyDescent="0.2">
      <c r="A2594" t="s">
        <v>2603</v>
      </c>
      <c r="B2594" s="2">
        <v>46316</v>
      </c>
      <c r="C2594" t="s">
        <v>2940</v>
      </c>
      <c r="D2594" t="s">
        <v>2946</v>
      </c>
      <c r="E2594" t="s">
        <v>3123</v>
      </c>
      <c r="F2594" s="3">
        <v>46316.466429097884</v>
      </c>
      <c r="G2594" s="3">
        <v>46316.469675027023</v>
      </c>
      <c r="H2594">
        <v>4.67</v>
      </c>
      <c r="I2594" t="s">
        <v>3147</v>
      </c>
      <c r="J2594" t="s">
        <v>3167</v>
      </c>
      <c r="K2594" t="s">
        <v>3185</v>
      </c>
      <c r="L2594" t="str">
        <f>_xlfn.XLOOKUP(C2594,[1]!Table1[Shift_ID],[1]!Table1[Shift_ID])</f>
        <v>S01</v>
      </c>
      <c r="M2594" t="str">
        <f>_xlfn.XLOOKUP(D2594,[2]!Table1[Machine_ID],[2]!Table1[Machine_ID])</f>
        <v>M005</v>
      </c>
      <c r="N2594" t="str">
        <f>_xlfn.XLOOKUP(E2594,[3]Sheet1!$A$2:$A$391,[3]Sheet1!$A$2:$A$391)</f>
        <v>PO10173</v>
      </c>
    </row>
    <row r="2595" spans="1:14" x14ac:dyDescent="0.2">
      <c r="A2595" t="s">
        <v>2604</v>
      </c>
      <c r="B2595" s="2">
        <v>46316</v>
      </c>
      <c r="C2595" t="s">
        <v>2940</v>
      </c>
      <c r="D2595" t="s">
        <v>2947</v>
      </c>
      <c r="E2595" t="s">
        <v>3123</v>
      </c>
      <c r="F2595" s="3">
        <v>46316.319965427931</v>
      </c>
      <c r="G2595" s="3">
        <v>46316.321969620498</v>
      </c>
      <c r="H2595">
        <v>2.89</v>
      </c>
      <c r="I2595" t="s">
        <v>3149</v>
      </c>
      <c r="J2595" t="s">
        <v>3162</v>
      </c>
      <c r="K2595" t="s">
        <v>3176</v>
      </c>
      <c r="L2595" t="str">
        <f>_xlfn.XLOOKUP(C2595,[1]!Table1[Shift_ID],[1]!Table1[Shift_ID])</f>
        <v>S01</v>
      </c>
      <c r="M2595" t="str">
        <f>_xlfn.XLOOKUP(D2595,[2]!Table1[Machine_ID],[2]!Table1[Machine_ID])</f>
        <v>M006</v>
      </c>
      <c r="N2595" t="str">
        <f>_xlfn.XLOOKUP(E2595,[3]Sheet1!$A$2:$A$391,[3]Sheet1!$A$2:$A$391)</f>
        <v>PO10173</v>
      </c>
    </row>
    <row r="2596" spans="1:14" x14ac:dyDescent="0.2">
      <c r="A2596" t="s">
        <v>2605</v>
      </c>
      <c r="B2596" s="2">
        <v>46316</v>
      </c>
      <c r="C2596" t="s">
        <v>2940</v>
      </c>
      <c r="D2596" t="s">
        <v>2947</v>
      </c>
      <c r="E2596" t="s">
        <v>3123</v>
      </c>
      <c r="F2596" s="3">
        <v>46316.44618462932</v>
      </c>
      <c r="G2596" s="3">
        <v>46316.475066959807</v>
      </c>
      <c r="H2596">
        <v>41.59</v>
      </c>
      <c r="I2596" t="s">
        <v>3150</v>
      </c>
      <c r="J2596" t="s">
        <v>3163</v>
      </c>
      <c r="K2596" t="s">
        <v>3178</v>
      </c>
      <c r="L2596" t="str">
        <f>_xlfn.XLOOKUP(C2596,[1]!Table1[Shift_ID],[1]!Table1[Shift_ID])</f>
        <v>S01</v>
      </c>
      <c r="M2596" t="str">
        <f>_xlfn.XLOOKUP(D2596,[2]!Table1[Machine_ID],[2]!Table1[Machine_ID])</f>
        <v>M006</v>
      </c>
      <c r="N2596" t="str">
        <f>_xlfn.XLOOKUP(E2596,[3]Sheet1!$A$2:$A$391,[3]Sheet1!$A$2:$A$391)</f>
        <v>PO10173</v>
      </c>
    </row>
    <row r="2597" spans="1:14" x14ac:dyDescent="0.2">
      <c r="A2597" t="s">
        <v>2606</v>
      </c>
      <c r="B2597" s="2">
        <v>46316</v>
      </c>
      <c r="C2597" t="s">
        <v>2940</v>
      </c>
      <c r="D2597" t="s">
        <v>2948</v>
      </c>
      <c r="E2597" t="s">
        <v>3123</v>
      </c>
      <c r="F2597" s="3">
        <v>46316.319584485092</v>
      </c>
      <c r="G2597" s="3">
        <v>46316.322852604688</v>
      </c>
      <c r="H2597">
        <v>4.71</v>
      </c>
      <c r="I2597" t="s">
        <v>3150</v>
      </c>
      <c r="J2597" t="s">
        <v>3159</v>
      </c>
      <c r="K2597" t="s">
        <v>3179</v>
      </c>
      <c r="L2597" t="str">
        <f>_xlfn.XLOOKUP(C2597,[1]!Table1[Shift_ID],[1]!Table1[Shift_ID])</f>
        <v>S01</v>
      </c>
      <c r="M2597" t="str">
        <f>_xlfn.XLOOKUP(D2597,[2]!Table1[Machine_ID],[2]!Table1[Machine_ID])</f>
        <v>M007</v>
      </c>
      <c r="N2597" t="str">
        <f>_xlfn.XLOOKUP(E2597,[3]Sheet1!$A$2:$A$391,[3]Sheet1!$A$2:$A$391)</f>
        <v>PO10173</v>
      </c>
    </row>
    <row r="2598" spans="1:14" x14ac:dyDescent="0.2">
      <c r="A2598" t="s">
        <v>2607</v>
      </c>
      <c r="B2598" s="2">
        <v>46316</v>
      </c>
      <c r="C2598" t="s">
        <v>2940</v>
      </c>
      <c r="D2598" t="s">
        <v>2948</v>
      </c>
      <c r="E2598" t="s">
        <v>3123</v>
      </c>
      <c r="F2598" s="3">
        <v>46316.415832255843</v>
      </c>
      <c r="G2598" s="3">
        <v>46316.429853481422</v>
      </c>
      <c r="H2598">
        <v>20.190000000000001</v>
      </c>
      <c r="I2598" t="s">
        <v>3147</v>
      </c>
      <c r="J2598" t="s">
        <v>3153</v>
      </c>
      <c r="K2598" t="s">
        <v>3186</v>
      </c>
      <c r="L2598" t="str">
        <f>_xlfn.XLOOKUP(C2598,[1]!Table1[Shift_ID],[1]!Table1[Shift_ID])</f>
        <v>S01</v>
      </c>
      <c r="M2598" t="str">
        <f>_xlfn.XLOOKUP(D2598,[2]!Table1[Machine_ID],[2]!Table1[Machine_ID])</f>
        <v>M007</v>
      </c>
      <c r="N2598" t="str">
        <f>_xlfn.XLOOKUP(E2598,[3]Sheet1!$A$2:$A$391,[3]Sheet1!$A$2:$A$391)</f>
        <v>PO10173</v>
      </c>
    </row>
    <row r="2599" spans="1:14" x14ac:dyDescent="0.2">
      <c r="A2599" t="s">
        <v>2608</v>
      </c>
      <c r="B2599" s="2">
        <v>46316</v>
      </c>
      <c r="C2599" t="s">
        <v>2940</v>
      </c>
      <c r="D2599" t="s">
        <v>2949</v>
      </c>
      <c r="E2599" t="s">
        <v>3123</v>
      </c>
      <c r="F2599" s="3">
        <v>46316.455732501163</v>
      </c>
      <c r="G2599" s="3">
        <v>46316.460963581332</v>
      </c>
      <c r="H2599">
        <v>7.53</v>
      </c>
      <c r="I2599" t="s">
        <v>3148</v>
      </c>
      <c r="J2599" t="s">
        <v>3165</v>
      </c>
      <c r="K2599" t="s">
        <v>3183</v>
      </c>
      <c r="L2599" t="str">
        <f>_xlfn.XLOOKUP(C2599,[1]!Table1[Shift_ID],[1]!Table1[Shift_ID])</f>
        <v>S01</v>
      </c>
      <c r="M2599" t="str">
        <f>_xlfn.XLOOKUP(D2599,[2]!Table1[Machine_ID],[2]!Table1[Machine_ID])</f>
        <v>M008</v>
      </c>
      <c r="N2599" t="str">
        <f>_xlfn.XLOOKUP(E2599,[3]Sheet1!$A$2:$A$391,[3]Sheet1!$A$2:$A$391)</f>
        <v>PO10173</v>
      </c>
    </row>
    <row r="2600" spans="1:14" x14ac:dyDescent="0.2">
      <c r="A2600" t="s">
        <v>2609</v>
      </c>
      <c r="B2600" s="2">
        <v>46316</v>
      </c>
      <c r="C2600" t="s">
        <v>2941</v>
      </c>
      <c r="D2600" t="s">
        <v>2942</v>
      </c>
      <c r="E2600" t="s">
        <v>3124</v>
      </c>
      <c r="F2600" s="3">
        <v>46316.721241963052</v>
      </c>
      <c r="G2600" s="3">
        <v>46316.726671479148</v>
      </c>
      <c r="H2600">
        <v>7.82</v>
      </c>
      <c r="I2600" t="s">
        <v>3146</v>
      </c>
      <c r="J2600" t="s">
        <v>3156</v>
      </c>
      <c r="K2600" t="s">
        <v>3171</v>
      </c>
      <c r="L2600" t="str">
        <f>_xlfn.XLOOKUP(C2600,[1]!Table1[Shift_ID],[1]!Table1[Shift_ID])</f>
        <v>S02</v>
      </c>
      <c r="M2600" t="str">
        <f>_xlfn.XLOOKUP(D2600,[2]!Table1[Machine_ID],[2]!Table1[Machine_ID])</f>
        <v>M001</v>
      </c>
      <c r="N2600" t="str">
        <f>_xlfn.XLOOKUP(E2600,[3]Sheet1!$A$2:$A$391,[3]Sheet1!$A$2:$A$391)</f>
        <v>PO10174</v>
      </c>
    </row>
    <row r="2601" spans="1:14" x14ac:dyDescent="0.2">
      <c r="A2601" t="s">
        <v>2610</v>
      </c>
      <c r="B2601" s="2">
        <v>46316</v>
      </c>
      <c r="C2601" t="s">
        <v>2941</v>
      </c>
      <c r="D2601" t="s">
        <v>2943</v>
      </c>
      <c r="E2601" t="s">
        <v>3124</v>
      </c>
      <c r="F2601" s="3">
        <v>46316.734788100752</v>
      </c>
      <c r="G2601" s="3">
        <v>46316.736712881568</v>
      </c>
      <c r="H2601">
        <v>2.77</v>
      </c>
      <c r="I2601" t="s">
        <v>3150</v>
      </c>
      <c r="J2601" t="s">
        <v>3159</v>
      </c>
      <c r="K2601" t="s">
        <v>3178</v>
      </c>
      <c r="L2601" t="str">
        <f>_xlfn.XLOOKUP(C2601,[1]!Table1[Shift_ID],[1]!Table1[Shift_ID])</f>
        <v>S02</v>
      </c>
      <c r="M2601" t="str">
        <f>_xlfn.XLOOKUP(D2601,[2]!Table1[Machine_ID],[2]!Table1[Machine_ID])</f>
        <v>M002</v>
      </c>
      <c r="N2601" t="str">
        <f>_xlfn.XLOOKUP(E2601,[3]Sheet1!$A$2:$A$391,[3]Sheet1!$A$2:$A$391)</f>
        <v>PO10174</v>
      </c>
    </row>
    <row r="2602" spans="1:14" x14ac:dyDescent="0.2">
      <c r="A2602" t="s">
        <v>2611</v>
      </c>
      <c r="B2602" s="2">
        <v>46316</v>
      </c>
      <c r="C2602" t="s">
        <v>2941</v>
      </c>
      <c r="D2602" t="s">
        <v>2943</v>
      </c>
      <c r="E2602" t="s">
        <v>3124</v>
      </c>
      <c r="F2602" s="3">
        <v>46316.886219029293</v>
      </c>
      <c r="G2602" s="3">
        <v>46316.89383028818</v>
      </c>
      <c r="H2602">
        <v>10.96</v>
      </c>
      <c r="I2602" t="s">
        <v>3148</v>
      </c>
      <c r="J2602" t="s">
        <v>3155</v>
      </c>
      <c r="K2602" t="s">
        <v>3180</v>
      </c>
      <c r="L2602" t="str">
        <f>_xlfn.XLOOKUP(C2602,[1]!Table1[Shift_ID],[1]!Table1[Shift_ID])</f>
        <v>S02</v>
      </c>
      <c r="M2602" t="str">
        <f>_xlfn.XLOOKUP(D2602,[2]!Table1[Machine_ID],[2]!Table1[Machine_ID])</f>
        <v>M002</v>
      </c>
      <c r="N2602" t="str">
        <f>_xlfn.XLOOKUP(E2602,[3]Sheet1!$A$2:$A$391,[3]Sheet1!$A$2:$A$391)</f>
        <v>PO10174</v>
      </c>
    </row>
    <row r="2603" spans="1:14" x14ac:dyDescent="0.2">
      <c r="A2603" t="s">
        <v>2612</v>
      </c>
      <c r="B2603" s="2">
        <v>46316</v>
      </c>
      <c r="C2603" t="s">
        <v>2941</v>
      </c>
      <c r="D2603" t="s">
        <v>2944</v>
      </c>
      <c r="E2603" t="s">
        <v>3124</v>
      </c>
      <c r="F2603" s="3">
        <v>46316.653260381267</v>
      </c>
      <c r="G2603" s="3">
        <v>46316.657353509603</v>
      </c>
      <c r="H2603">
        <v>5.89</v>
      </c>
      <c r="I2603" t="s">
        <v>3148</v>
      </c>
      <c r="J2603" t="s">
        <v>3164</v>
      </c>
      <c r="K2603" t="s">
        <v>3183</v>
      </c>
      <c r="L2603" t="str">
        <f>_xlfn.XLOOKUP(C2603,[1]!Table1[Shift_ID],[1]!Table1[Shift_ID])</f>
        <v>S02</v>
      </c>
      <c r="M2603" t="str">
        <f>_xlfn.XLOOKUP(D2603,[2]!Table1[Machine_ID],[2]!Table1[Machine_ID])</f>
        <v>M003</v>
      </c>
      <c r="N2603" t="str">
        <f>_xlfn.XLOOKUP(E2603,[3]Sheet1!$A$2:$A$391,[3]Sheet1!$A$2:$A$391)</f>
        <v>PO10174</v>
      </c>
    </row>
    <row r="2604" spans="1:14" x14ac:dyDescent="0.2">
      <c r="A2604" t="s">
        <v>2613</v>
      </c>
      <c r="B2604" s="2">
        <v>46316</v>
      </c>
      <c r="C2604" t="s">
        <v>2941</v>
      </c>
      <c r="D2604" t="s">
        <v>2944</v>
      </c>
      <c r="E2604" t="s">
        <v>3124</v>
      </c>
      <c r="F2604" s="3">
        <v>46316.734092515639</v>
      </c>
      <c r="G2604" s="3">
        <v>46316.735340917017</v>
      </c>
      <c r="H2604">
        <v>1.8</v>
      </c>
      <c r="I2604" t="s">
        <v>3147</v>
      </c>
      <c r="J2604" t="s">
        <v>3154</v>
      </c>
      <c r="K2604" t="s">
        <v>3186</v>
      </c>
      <c r="L2604" t="str">
        <f>_xlfn.XLOOKUP(C2604,[1]!Table1[Shift_ID],[1]!Table1[Shift_ID])</f>
        <v>S02</v>
      </c>
      <c r="M2604" t="str">
        <f>_xlfn.XLOOKUP(D2604,[2]!Table1[Machine_ID],[2]!Table1[Machine_ID])</f>
        <v>M003</v>
      </c>
      <c r="N2604" t="str">
        <f>_xlfn.XLOOKUP(E2604,[3]Sheet1!$A$2:$A$391,[3]Sheet1!$A$2:$A$391)</f>
        <v>PO10174</v>
      </c>
    </row>
    <row r="2605" spans="1:14" x14ac:dyDescent="0.2">
      <c r="A2605" t="s">
        <v>2614</v>
      </c>
      <c r="B2605" s="2">
        <v>46316</v>
      </c>
      <c r="C2605" t="s">
        <v>2941</v>
      </c>
      <c r="D2605" t="s">
        <v>2944</v>
      </c>
      <c r="E2605" t="s">
        <v>3124</v>
      </c>
      <c r="F2605" s="3">
        <v>46316.777180914367</v>
      </c>
      <c r="G2605" s="3">
        <v>46316.778429315738</v>
      </c>
      <c r="H2605">
        <v>1.8</v>
      </c>
      <c r="I2605" t="s">
        <v>3150</v>
      </c>
      <c r="J2605" t="s">
        <v>3166</v>
      </c>
      <c r="K2605" t="s">
        <v>3179</v>
      </c>
      <c r="L2605" t="str">
        <f>_xlfn.XLOOKUP(C2605,[1]!Table1[Shift_ID],[1]!Table1[Shift_ID])</f>
        <v>S02</v>
      </c>
      <c r="M2605" t="str">
        <f>_xlfn.XLOOKUP(D2605,[2]!Table1[Machine_ID],[2]!Table1[Machine_ID])</f>
        <v>M003</v>
      </c>
      <c r="N2605" t="str">
        <f>_xlfn.XLOOKUP(E2605,[3]Sheet1!$A$2:$A$391,[3]Sheet1!$A$2:$A$391)</f>
        <v>PO10174</v>
      </c>
    </row>
    <row r="2606" spans="1:14" x14ac:dyDescent="0.2">
      <c r="A2606" t="s">
        <v>2615</v>
      </c>
      <c r="B2606" s="2">
        <v>46316</v>
      </c>
      <c r="C2606" t="s">
        <v>2941</v>
      </c>
      <c r="D2606" t="s">
        <v>2944</v>
      </c>
      <c r="E2606" t="s">
        <v>3124</v>
      </c>
      <c r="F2606" s="3">
        <v>46316.826688466543</v>
      </c>
      <c r="G2606" s="3">
        <v>46316.827936867929</v>
      </c>
      <c r="H2606">
        <v>1.8</v>
      </c>
      <c r="I2606" t="s">
        <v>3149</v>
      </c>
      <c r="J2606" t="s">
        <v>3158</v>
      </c>
      <c r="K2606" t="s">
        <v>3176</v>
      </c>
      <c r="L2606" t="str">
        <f>_xlfn.XLOOKUP(C2606,[1]!Table1[Shift_ID],[1]!Table1[Shift_ID])</f>
        <v>S02</v>
      </c>
      <c r="M2606" t="str">
        <f>_xlfn.XLOOKUP(D2606,[2]!Table1[Machine_ID],[2]!Table1[Machine_ID])</f>
        <v>M003</v>
      </c>
      <c r="N2606" t="str">
        <f>_xlfn.XLOOKUP(E2606,[3]Sheet1!$A$2:$A$391,[3]Sheet1!$A$2:$A$391)</f>
        <v>PO10174</v>
      </c>
    </row>
    <row r="2607" spans="1:14" x14ac:dyDescent="0.2">
      <c r="A2607" t="s">
        <v>2616</v>
      </c>
      <c r="B2607" s="2">
        <v>46316</v>
      </c>
      <c r="C2607" t="s">
        <v>2941</v>
      </c>
      <c r="D2607" t="s">
        <v>2945</v>
      </c>
      <c r="E2607" t="s">
        <v>3124</v>
      </c>
      <c r="F2607" s="3">
        <v>46316.703996821503</v>
      </c>
      <c r="G2607" s="3">
        <v>46316.709971940218</v>
      </c>
      <c r="H2607">
        <v>8.6</v>
      </c>
      <c r="I2607" t="s">
        <v>3150</v>
      </c>
      <c r="J2607" t="s">
        <v>3159</v>
      </c>
      <c r="K2607" t="s">
        <v>3178</v>
      </c>
      <c r="L2607" t="str">
        <f>_xlfn.XLOOKUP(C2607,[1]!Table1[Shift_ID],[1]!Table1[Shift_ID])</f>
        <v>S02</v>
      </c>
      <c r="M2607" t="str">
        <f>_xlfn.XLOOKUP(D2607,[2]!Table1[Machine_ID],[2]!Table1[Machine_ID])</f>
        <v>M004</v>
      </c>
      <c r="N2607" t="str">
        <f>_xlfn.XLOOKUP(E2607,[3]Sheet1!$A$2:$A$391,[3]Sheet1!$A$2:$A$391)</f>
        <v>PO10174</v>
      </c>
    </row>
    <row r="2608" spans="1:14" x14ac:dyDescent="0.2">
      <c r="A2608" t="s">
        <v>2617</v>
      </c>
      <c r="B2608" s="2">
        <v>46316</v>
      </c>
      <c r="C2608" t="s">
        <v>2941</v>
      </c>
      <c r="D2608" t="s">
        <v>2945</v>
      </c>
      <c r="E2608" t="s">
        <v>3124</v>
      </c>
      <c r="F2608" s="3">
        <v>46316.781864633922</v>
      </c>
      <c r="G2608" s="3">
        <v>46316.783734063807</v>
      </c>
      <c r="H2608">
        <v>2.69</v>
      </c>
      <c r="I2608" t="s">
        <v>3148</v>
      </c>
      <c r="J2608" t="s">
        <v>3164</v>
      </c>
      <c r="K2608" t="s">
        <v>3173</v>
      </c>
      <c r="L2608" t="str">
        <f>_xlfn.XLOOKUP(C2608,[1]!Table1[Shift_ID],[1]!Table1[Shift_ID])</f>
        <v>S02</v>
      </c>
      <c r="M2608" t="str">
        <f>_xlfn.XLOOKUP(D2608,[2]!Table1[Machine_ID],[2]!Table1[Machine_ID])</f>
        <v>M004</v>
      </c>
      <c r="N2608" t="str">
        <f>_xlfn.XLOOKUP(E2608,[3]Sheet1!$A$2:$A$391,[3]Sheet1!$A$2:$A$391)</f>
        <v>PO10174</v>
      </c>
    </row>
    <row r="2609" spans="1:14" x14ac:dyDescent="0.2">
      <c r="A2609" t="s">
        <v>2618</v>
      </c>
      <c r="B2609" s="2">
        <v>46316</v>
      </c>
      <c r="C2609" t="s">
        <v>2941</v>
      </c>
      <c r="D2609" t="s">
        <v>2946</v>
      </c>
      <c r="E2609" t="s">
        <v>3124</v>
      </c>
      <c r="F2609" s="3">
        <v>46316.904447647343</v>
      </c>
      <c r="G2609" s="3">
        <v>46316.912378543588</v>
      </c>
      <c r="H2609">
        <v>11.42</v>
      </c>
      <c r="I2609" t="s">
        <v>3149</v>
      </c>
      <c r="J2609" t="s">
        <v>3158</v>
      </c>
      <c r="K2609" t="s">
        <v>3182</v>
      </c>
      <c r="L2609" t="str">
        <f>_xlfn.XLOOKUP(C2609,[1]!Table1[Shift_ID],[1]!Table1[Shift_ID])</f>
        <v>S02</v>
      </c>
      <c r="M2609" t="str">
        <f>_xlfn.XLOOKUP(D2609,[2]!Table1[Machine_ID],[2]!Table1[Machine_ID])</f>
        <v>M005</v>
      </c>
      <c r="N2609" t="str">
        <f>_xlfn.XLOOKUP(E2609,[3]Sheet1!$A$2:$A$391,[3]Sheet1!$A$2:$A$391)</f>
        <v>PO10174</v>
      </c>
    </row>
    <row r="2610" spans="1:14" x14ac:dyDescent="0.2">
      <c r="A2610" t="s">
        <v>2619</v>
      </c>
      <c r="B2610" s="2">
        <v>46316</v>
      </c>
      <c r="C2610" t="s">
        <v>2941</v>
      </c>
      <c r="D2610" t="s">
        <v>2947</v>
      </c>
      <c r="E2610" t="s">
        <v>3124</v>
      </c>
      <c r="F2610" s="3">
        <v>46316.637831752938</v>
      </c>
      <c r="G2610" s="3">
        <v>46316.658859608127</v>
      </c>
      <c r="H2610">
        <v>30.28</v>
      </c>
      <c r="I2610" t="s">
        <v>3149</v>
      </c>
      <c r="J2610" t="s">
        <v>3168</v>
      </c>
      <c r="K2610" t="s">
        <v>3182</v>
      </c>
      <c r="L2610" t="str">
        <f>_xlfn.XLOOKUP(C2610,[1]!Table1[Shift_ID],[1]!Table1[Shift_ID])</f>
        <v>S02</v>
      </c>
      <c r="M2610" t="str">
        <f>_xlfn.XLOOKUP(D2610,[2]!Table1[Machine_ID],[2]!Table1[Machine_ID])</f>
        <v>M006</v>
      </c>
      <c r="N2610" t="str">
        <f>_xlfn.XLOOKUP(E2610,[3]Sheet1!$A$2:$A$391,[3]Sheet1!$A$2:$A$391)</f>
        <v>PO10174</v>
      </c>
    </row>
    <row r="2611" spans="1:14" x14ac:dyDescent="0.2">
      <c r="A2611" t="s">
        <v>2620</v>
      </c>
      <c r="B2611" s="2">
        <v>46316</v>
      </c>
      <c r="C2611" t="s">
        <v>2941</v>
      </c>
      <c r="D2611" t="s">
        <v>2948</v>
      </c>
      <c r="E2611" t="s">
        <v>3124</v>
      </c>
      <c r="F2611" s="3">
        <v>46316.679927781108</v>
      </c>
      <c r="G2611" s="3">
        <v>46316.69282834258</v>
      </c>
      <c r="H2611">
        <v>18.579999999999998</v>
      </c>
      <c r="I2611" t="s">
        <v>3148</v>
      </c>
      <c r="J2611" t="s">
        <v>3164</v>
      </c>
      <c r="K2611" t="s">
        <v>3183</v>
      </c>
      <c r="L2611" t="str">
        <f>_xlfn.XLOOKUP(C2611,[1]!Table1[Shift_ID],[1]!Table1[Shift_ID])</f>
        <v>S02</v>
      </c>
      <c r="M2611" t="str">
        <f>_xlfn.XLOOKUP(D2611,[2]!Table1[Machine_ID],[2]!Table1[Machine_ID])</f>
        <v>M007</v>
      </c>
      <c r="N2611" t="str">
        <f>_xlfn.XLOOKUP(E2611,[3]Sheet1!$A$2:$A$391,[3]Sheet1!$A$2:$A$391)</f>
        <v>PO10174</v>
      </c>
    </row>
    <row r="2612" spans="1:14" x14ac:dyDescent="0.2">
      <c r="A2612" t="s">
        <v>2621</v>
      </c>
      <c r="B2612" s="2">
        <v>46316</v>
      </c>
      <c r="C2612" t="s">
        <v>2941</v>
      </c>
      <c r="D2612" t="s">
        <v>2948</v>
      </c>
      <c r="E2612" t="s">
        <v>3124</v>
      </c>
      <c r="F2612" s="3">
        <v>46316.90788713326</v>
      </c>
      <c r="G2612" s="3">
        <v>46316.911981414087</v>
      </c>
      <c r="H2612">
        <v>5.9</v>
      </c>
      <c r="I2612" t="s">
        <v>3148</v>
      </c>
      <c r="J2612" t="s">
        <v>3164</v>
      </c>
      <c r="K2612" t="s">
        <v>3173</v>
      </c>
      <c r="L2612" t="str">
        <f>_xlfn.XLOOKUP(C2612,[1]!Table1[Shift_ID],[1]!Table1[Shift_ID])</f>
        <v>S02</v>
      </c>
      <c r="M2612" t="str">
        <f>_xlfn.XLOOKUP(D2612,[2]!Table1[Machine_ID],[2]!Table1[Machine_ID])</f>
        <v>M007</v>
      </c>
      <c r="N2612" t="str">
        <f>_xlfn.XLOOKUP(E2612,[3]Sheet1!$A$2:$A$391,[3]Sheet1!$A$2:$A$391)</f>
        <v>PO10174</v>
      </c>
    </row>
    <row r="2613" spans="1:14" x14ac:dyDescent="0.2">
      <c r="A2613" t="s">
        <v>2622</v>
      </c>
      <c r="B2613" s="2">
        <v>46316</v>
      </c>
      <c r="C2613" t="s">
        <v>2941</v>
      </c>
      <c r="D2613" t="s">
        <v>2949</v>
      </c>
      <c r="E2613" t="s">
        <v>3124</v>
      </c>
      <c r="F2613" s="3">
        <v>46316.878212427422</v>
      </c>
      <c r="G2613" s="3">
        <v>46316.880231417083</v>
      </c>
      <c r="H2613">
        <v>2.91</v>
      </c>
      <c r="I2613" t="s">
        <v>3147</v>
      </c>
      <c r="J2613" t="s">
        <v>3167</v>
      </c>
      <c r="K2613" t="s">
        <v>3172</v>
      </c>
      <c r="L2613" t="str">
        <f>_xlfn.XLOOKUP(C2613,[1]!Table1[Shift_ID],[1]!Table1[Shift_ID])</f>
        <v>S02</v>
      </c>
      <c r="M2613" t="str">
        <f>_xlfn.XLOOKUP(D2613,[2]!Table1[Machine_ID],[2]!Table1[Machine_ID])</f>
        <v>M008</v>
      </c>
      <c r="N2613" t="str">
        <f>_xlfn.XLOOKUP(E2613,[3]Sheet1!$A$2:$A$391,[3]Sheet1!$A$2:$A$391)</f>
        <v>PO10174</v>
      </c>
    </row>
    <row r="2614" spans="1:14" x14ac:dyDescent="0.2">
      <c r="A2614" t="s">
        <v>2623</v>
      </c>
      <c r="B2614" s="2">
        <v>46316</v>
      </c>
      <c r="C2614" t="s">
        <v>2941</v>
      </c>
      <c r="D2614" t="s">
        <v>2949</v>
      </c>
      <c r="E2614" t="s">
        <v>3124</v>
      </c>
      <c r="F2614" s="3">
        <v>46316.881457749507</v>
      </c>
      <c r="G2614" s="3">
        <v>46316.885599906091</v>
      </c>
      <c r="H2614">
        <v>5.96</v>
      </c>
      <c r="I2614" t="s">
        <v>3151</v>
      </c>
      <c r="J2614" t="s">
        <v>3169</v>
      </c>
      <c r="K2614" t="s">
        <v>3187</v>
      </c>
      <c r="L2614" t="str">
        <f>_xlfn.XLOOKUP(C2614,[1]!Table1[Shift_ID],[1]!Table1[Shift_ID])</f>
        <v>S02</v>
      </c>
      <c r="M2614" t="str">
        <f>_xlfn.XLOOKUP(D2614,[2]!Table1[Machine_ID],[2]!Table1[Machine_ID])</f>
        <v>M008</v>
      </c>
      <c r="N2614" t="str">
        <f>_xlfn.XLOOKUP(E2614,[3]Sheet1!$A$2:$A$391,[3]Sheet1!$A$2:$A$391)</f>
        <v>PO10174</v>
      </c>
    </row>
    <row r="2615" spans="1:14" x14ac:dyDescent="0.2">
      <c r="A2615" t="s">
        <v>2624</v>
      </c>
      <c r="B2615" s="2">
        <v>46317</v>
      </c>
      <c r="C2615" t="s">
        <v>2939</v>
      </c>
      <c r="D2615" t="s">
        <v>2942</v>
      </c>
      <c r="E2615" t="s">
        <v>3125</v>
      </c>
      <c r="F2615" s="3">
        <v>46318.005299206263</v>
      </c>
      <c r="G2615" s="3">
        <v>46318.010501086123</v>
      </c>
      <c r="H2615">
        <v>7.49</v>
      </c>
      <c r="I2615" t="s">
        <v>3151</v>
      </c>
      <c r="J2615" t="s">
        <v>3170</v>
      </c>
      <c r="K2615" t="s">
        <v>3187</v>
      </c>
      <c r="L2615" t="str">
        <f>_xlfn.XLOOKUP(C2615,[1]!Table1[Shift_ID],[1]!Table1[Shift_ID])</f>
        <v>S03</v>
      </c>
      <c r="M2615" t="str">
        <f>_xlfn.XLOOKUP(D2615,[2]!Table1[Machine_ID],[2]!Table1[Machine_ID])</f>
        <v>M001</v>
      </c>
      <c r="N2615" t="str">
        <f>_xlfn.XLOOKUP(E2615,[3]Sheet1!$A$2:$A$391,[3]Sheet1!$A$2:$A$391)</f>
        <v>PO10175</v>
      </c>
    </row>
    <row r="2616" spans="1:14" x14ac:dyDescent="0.2">
      <c r="A2616" t="s">
        <v>2625</v>
      </c>
      <c r="B2616" s="2">
        <v>46317</v>
      </c>
      <c r="C2616" t="s">
        <v>2939</v>
      </c>
      <c r="D2616" t="s">
        <v>2943</v>
      </c>
      <c r="E2616" t="s">
        <v>3125</v>
      </c>
      <c r="F2616" s="3">
        <v>46318.053760495488</v>
      </c>
      <c r="G2616" s="3">
        <v>46318.058929376981</v>
      </c>
      <c r="H2616">
        <v>7.44</v>
      </c>
      <c r="I2616" t="s">
        <v>3148</v>
      </c>
      <c r="J2616" t="s">
        <v>3164</v>
      </c>
      <c r="K2616" t="s">
        <v>3173</v>
      </c>
      <c r="L2616" t="str">
        <f>_xlfn.XLOOKUP(C2616,[1]!Table1[Shift_ID],[1]!Table1[Shift_ID])</f>
        <v>S03</v>
      </c>
      <c r="M2616" t="str">
        <f>_xlfn.XLOOKUP(D2616,[2]!Table1[Machine_ID],[2]!Table1[Machine_ID])</f>
        <v>M002</v>
      </c>
      <c r="N2616" t="str">
        <f>_xlfn.XLOOKUP(E2616,[3]Sheet1!$A$2:$A$391,[3]Sheet1!$A$2:$A$391)</f>
        <v>PO10175</v>
      </c>
    </row>
    <row r="2617" spans="1:14" x14ac:dyDescent="0.2">
      <c r="A2617" t="s">
        <v>2626</v>
      </c>
      <c r="B2617" s="2">
        <v>46317</v>
      </c>
      <c r="C2617" t="s">
        <v>2939</v>
      </c>
      <c r="D2617" t="s">
        <v>2943</v>
      </c>
      <c r="E2617" t="s">
        <v>3125</v>
      </c>
      <c r="F2617" s="3">
        <v>46318.207889777499</v>
      </c>
      <c r="G2617" s="3">
        <v>46318.209492174807</v>
      </c>
      <c r="H2617">
        <v>2.31</v>
      </c>
      <c r="I2617" t="s">
        <v>3147</v>
      </c>
      <c r="J2617" t="s">
        <v>3154</v>
      </c>
      <c r="K2617" t="s">
        <v>3186</v>
      </c>
      <c r="L2617" t="str">
        <f>_xlfn.XLOOKUP(C2617,[1]!Table1[Shift_ID],[1]!Table1[Shift_ID])</f>
        <v>S03</v>
      </c>
      <c r="M2617" t="str">
        <f>_xlfn.XLOOKUP(D2617,[2]!Table1[Machine_ID],[2]!Table1[Machine_ID])</f>
        <v>M002</v>
      </c>
      <c r="N2617" t="str">
        <f>_xlfn.XLOOKUP(E2617,[3]Sheet1!$A$2:$A$391,[3]Sheet1!$A$2:$A$391)</f>
        <v>PO10175</v>
      </c>
    </row>
    <row r="2618" spans="1:14" x14ac:dyDescent="0.2">
      <c r="A2618" t="s">
        <v>2627</v>
      </c>
      <c r="B2618" s="2">
        <v>46317</v>
      </c>
      <c r="C2618" t="s">
        <v>2939</v>
      </c>
      <c r="D2618" t="s">
        <v>2944</v>
      </c>
      <c r="E2618" t="s">
        <v>3125</v>
      </c>
      <c r="F2618" s="3">
        <v>46317.9495006789</v>
      </c>
      <c r="G2618" s="3">
        <v>46317.952746498238</v>
      </c>
      <c r="H2618">
        <v>4.67</v>
      </c>
      <c r="I2618" t="s">
        <v>3147</v>
      </c>
      <c r="J2618" t="s">
        <v>3167</v>
      </c>
      <c r="K2618" t="s">
        <v>3185</v>
      </c>
      <c r="L2618" t="str">
        <f>_xlfn.XLOOKUP(C2618,[1]!Table1[Shift_ID],[1]!Table1[Shift_ID])</f>
        <v>S03</v>
      </c>
      <c r="M2618" t="str">
        <f>_xlfn.XLOOKUP(D2618,[2]!Table1[Machine_ID],[2]!Table1[Machine_ID])</f>
        <v>M003</v>
      </c>
      <c r="N2618" t="str">
        <f>_xlfn.XLOOKUP(E2618,[3]Sheet1!$A$2:$A$391,[3]Sheet1!$A$2:$A$391)</f>
        <v>PO10175</v>
      </c>
    </row>
    <row r="2619" spans="1:14" x14ac:dyDescent="0.2">
      <c r="A2619" t="s">
        <v>2628</v>
      </c>
      <c r="B2619" s="2">
        <v>46317</v>
      </c>
      <c r="C2619" t="s">
        <v>2939</v>
      </c>
      <c r="D2619" t="s">
        <v>2944</v>
      </c>
      <c r="E2619" t="s">
        <v>3125</v>
      </c>
      <c r="F2619" s="3">
        <v>46318.009378243944</v>
      </c>
      <c r="G2619" s="3">
        <v>46318.011284423643</v>
      </c>
      <c r="H2619">
        <v>2.74</v>
      </c>
      <c r="I2619" t="s">
        <v>3148</v>
      </c>
      <c r="J2619" t="s">
        <v>3164</v>
      </c>
      <c r="K2619" t="s">
        <v>3173</v>
      </c>
      <c r="L2619" t="str">
        <f>_xlfn.XLOOKUP(C2619,[1]!Table1[Shift_ID],[1]!Table1[Shift_ID])</f>
        <v>S03</v>
      </c>
      <c r="M2619" t="str">
        <f>_xlfn.XLOOKUP(D2619,[2]!Table1[Machine_ID],[2]!Table1[Machine_ID])</f>
        <v>M003</v>
      </c>
      <c r="N2619" t="str">
        <f>_xlfn.XLOOKUP(E2619,[3]Sheet1!$A$2:$A$391,[3]Sheet1!$A$2:$A$391)</f>
        <v>PO10175</v>
      </c>
    </row>
    <row r="2620" spans="1:14" x14ac:dyDescent="0.2">
      <c r="A2620" t="s">
        <v>2629</v>
      </c>
      <c r="B2620" s="2">
        <v>46317</v>
      </c>
      <c r="C2620" t="s">
        <v>2939</v>
      </c>
      <c r="D2620" t="s">
        <v>2944</v>
      </c>
      <c r="E2620" t="s">
        <v>3125</v>
      </c>
      <c r="F2620" s="3">
        <v>46318.236459316962</v>
      </c>
      <c r="G2620" s="3">
        <v>46318.243007608347</v>
      </c>
      <c r="H2620">
        <v>9.43</v>
      </c>
      <c r="I2620" t="s">
        <v>3150</v>
      </c>
      <c r="J2620" t="s">
        <v>3166</v>
      </c>
      <c r="K2620" t="s">
        <v>3179</v>
      </c>
      <c r="L2620" t="str">
        <f>_xlfn.XLOOKUP(C2620,[1]!Table1[Shift_ID],[1]!Table1[Shift_ID])</f>
        <v>S03</v>
      </c>
      <c r="M2620" t="str">
        <f>_xlfn.XLOOKUP(D2620,[2]!Table1[Machine_ID],[2]!Table1[Machine_ID])</f>
        <v>M003</v>
      </c>
      <c r="N2620" t="str">
        <f>_xlfn.XLOOKUP(E2620,[3]Sheet1!$A$2:$A$391,[3]Sheet1!$A$2:$A$391)</f>
        <v>PO10175</v>
      </c>
    </row>
    <row r="2621" spans="1:14" x14ac:dyDescent="0.2">
      <c r="A2621" t="s">
        <v>2630</v>
      </c>
      <c r="B2621" s="2">
        <v>46317</v>
      </c>
      <c r="C2621" t="s">
        <v>2939</v>
      </c>
      <c r="D2621" t="s">
        <v>2945</v>
      </c>
      <c r="E2621" t="s">
        <v>3125</v>
      </c>
      <c r="F2621" s="3">
        <v>46317.926152019711</v>
      </c>
      <c r="G2621" s="3">
        <v>46317.930665862048</v>
      </c>
      <c r="H2621">
        <v>6.5</v>
      </c>
      <c r="I2621" t="s">
        <v>3151</v>
      </c>
      <c r="J2621" t="s">
        <v>3161</v>
      </c>
      <c r="K2621" t="s">
        <v>3187</v>
      </c>
      <c r="L2621" t="str">
        <f>_xlfn.XLOOKUP(C2621,[1]!Table1[Shift_ID],[1]!Table1[Shift_ID])</f>
        <v>S03</v>
      </c>
      <c r="M2621" t="str">
        <f>_xlfn.XLOOKUP(D2621,[2]!Table1[Machine_ID],[2]!Table1[Machine_ID])</f>
        <v>M004</v>
      </c>
      <c r="N2621" t="str">
        <f>_xlfn.XLOOKUP(E2621,[3]Sheet1!$A$2:$A$391,[3]Sheet1!$A$2:$A$391)</f>
        <v>PO10175</v>
      </c>
    </row>
    <row r="2622" spans="1:14" x14ac:dyDescent="0.2">
      <c r="A2622" t="s">
        <v>2631</v>
      </c>
      <c r="B2622" s="2">
        <v>46317</v>
      </c>
      <c r="C2622" t="s">
        <v>2939</v>
      </c>
      <c r="D2622" t="s">
        <v>2945</v>
      </c>
      <c r="E2622" t="s">
        <v>3125</v>
      </c>
      <c r="F2622" s="3">
        <v>46318.067096033381</v>
      </c>
      <c r="G2622" s="3">
        <v>46318.070293095327</v>
      </c>
      <c r="H2622">
        <v>4.5999999999999996</v>
      </c>
      <c r="I2622" t="s">
        <v>3150</v>
      </c>
      <c r="J2622" t="s">
        <v>3160</v>
      </c>
      <c r="K2622" t="s">
        <v>3177</v>
      </c>
      <c r="L2622" t="str">
        <f>_xlfn.XLOOKUP(C2622,[1]!Table1[Shift_ID],[1]!Table1[Shift_ID])</f>
        <v>S03</v>
      </c>
      <c r="M2622" t="str">
        <f>_xlfn.XLOOKUP(D2622,[2]!Table1[Machine_ID],[2]!Table1[Machine_ID])</f>
        <v>M004</v>
      </c>
      <c r="N2622" t="str">
        <f>_xlfn.XLOOKUP(E2622,[3]Sheet1!$A$2:$A$391,[3]Sheet1!$A$2:$A$391)</f>
        <v>PO10175</v>
      </c>
    </row>
    <row r="2623" spans="1:14" x14ac:dyDescent="0.2">
      <c r="A2623" t="s">
        <v>2632</v>
      </c>
      <c r="B2623" s="2">
        <v>46317</v>
      </c>
      <c r="C2623" t="s">
        <v>2939</v>
      </c>
      <c r="D2623" t="s">
        <v>2946</v>
      </c>
      <c r="E2623" t="s">
        <v>3125</v>
      </c>
      <c r="F2623" s="3">
        <v>46318.183374780558</v>
      </c>
      <c r="G2623" s="3">
        <v>46318.190743257182</v>
      </c>
      <c r="H2623">
        <v>10.61</v>
      </c>
      <c r="I2623" t="s">
        <v>3149</v>
      </c>
      <c r="J2623" t="s">
        <v>3162</v>
      </c>
      <c r="K2623" t="s">
        <v>3182</v>
      </c>
      <c r="L2623" t="str">
        <f>_xlfn.XLOOKUP(C2623,[1]!Table1[Shift_ID],[1]!Table1[Shift_ID])</f>
        <v>S03</v>
      </c>
      <c r="M2623" t="str">
        <f>_xlfn.XLOOKUP(D2623,[2]!Table1[Machine_ID],[2]!Table1[Machine_ID])</f>
        <v>M005</v>
      </c>
      <c r="N2623" t="str">
        <f>_xlfn.XLOOKUP(E2623,[3]Sheet1!$A$2:$A$391,[3]Sheet1!$A$2:$A$391)</f>
        <v>PO10175</v>
      </c>
    </row>
    <row r="2624" spans="1:14" x14ac:dyDescent="0.2">
      <c r="A2624" t="s">
        <v>2633</v>
      </c>
      <c r="B2624" s="2">
        <v>46317</v>
      </c>
      <c r="C2624" t="s">
        <v>2939</v>
      </c>
      <c r="D2624" t="s">
        <v>2947</v>
      </c>
      <c r="E2624" t="s">
        <v>3125</v>
      </c>
      <c r="F2624" s="3">
        <v>46317.96570988954</v>
      </c>
      <c r="G2624" s="3">
        <v>46317.967525775741</v>
      </c>
      <c r="H2624">
        <v>2.61</v>
      </c>
      <c r="I2624" t="s">
        <v>3149</v>
      </c>
      <c r="J2624" t="s">
        <v>3168</v>
      </c>
      <c r="K2624" t="s">
        <v>3184</v>
      </c>
      <c r="L2624" t="str">
        <f>_xlfn.XLOOKUP(C2624,[1]!Table1[Shift_ID],[1]!Table1[Shift_ID])</f>
        <v>S03</v>
      </c>
      <c r="M2624" t="str">
        <f>_xlfn.XLOOKUP(D2624,[2]!Table1[Machine_ID],[2]!Table1[Machine_ID])</f>
        <v>M006</v>
      </c>
      <c r="N2624" t="str">
        <f>_xlfn.XLOOKUP(E2624,[3]Sheet1!$A$2:$A$391,[3]Sheet1!$A$2:$A$391)</f>
        <v>PO10175</v>
      </c>
    </row>
    <row r="2625" spans="1:14" x14ac:dyDescent="0.2">
      <c r="A2625" t="s">
        <v>2634</v>
      </c>
      <c r="B2625" s="2">
        <v>46317</v>
      </c>
      <c r="C2625" t="s">
        <v>2939</v>
      </c>
      <c r="D2625" t="s">
        <v>2947</v>
      </c>
      <c r="E2625" t="s">
        <v>3125</v>
      </c>
      <c r="F2625" s="3">
        <v>46318.097812998181</v>
      </c>
      <c r="G2625" s="3">
        <v>46318.104192090832</v>
      </c>
      <c r="H2625">
        <v>9.19</v>
      </c>
      <c r="I2625" t="s">
        <v>3147</v>
      </c>
      <c r="J2625" t="s">
        <v>3154</v>
      </c>
      <c r="K2625" t="s">
        <v>3185</v>
      </c>
      <c r="L2625" t="str">
        <f>_xlfn.XLOOKUP(C2625,[1]!Table1[Shift_ID],[1]!Table1[Shift_ID])</f>
        <v>S03</v>
      </c>
      <c r="M2625" t="str">
        <f>_xlfn.XLOOKUP(D2625,[2]!Table1[Machine_ID],[2]!Table1[Machine_ID])</f>
        <v>M006</v>
      </c>
      <c r="N2625" t="str">
        <f>_xlfn.XLOOKUP(E2625,[3]Sheet1!$A$2:$A$391,[3]Sheet1!$A$2:$A$391)</f>
        <v>PO10175</v>
      </c>
    </row>
    <row r="2626" spans="1:14" x14ac:dyDescent="0.2">
      <c r="A2626" t="s">
        <v>2635</v>
      </c>
      <c r="B2626" s="2">
        <v>46317</v>
      </c>
      <c r="C2626" t="s">
        <v>2939</v>
      </c>
      <c r="D2626" t="s">
        <v>2947</v>
      </c>
      <c r="E2626" t="s">
        <v>3125</v>
      </c>
      <c r="F2626" s="3">
        <v>46318.119661299243</v>
      </c>
      <c r="G2626" s="3">
        <v>46318.131547601392</v>
      </c>
      <c r="H2626">
        <v>17.12</v>
      </c>
      <c r="I2626" t="s">
        <v>3150</v>
      </c>
      <c r="J2626" t="s">
        <v>3160</v>
      </c>
      <c r="K2626" t="s">
        <v>3177</v>
      </c>
      <c r="L2626" t="str">
        <f>_xlfn.XLOOKUP(C2626,[1]!Table1[Shift_ID],[1]!Table1[Shift_ID])</f>
        <v>S03</v>
      </c>
      <c r="M2626" t="str">
        <f>_xlfn.XLOOKUP(D2626,[2]!Table1[Machine_ID],[2]!Table1[Machine_ID])</f>
        <v>M006</v>
      </c>
      <c r="N2626" t="str">
        <f>_xlfn.XLOOKUP(E2626,[3]Sheet1!$A$2:$A$391,[3]Sheet1!$A$2:$A$391)</f>
        <v>PO10175</v>
      </c>
    </row>
    <row r="2627" spans="1:14" x14ac:dyDescent="0.2">
      <c r="A2627" t="s">
        <v>2636</v>
      </c>
      <c r="B2627" s="2">
        <v>46317</v>
      </c>
      <c r="C2627" t="s">
        <v>2939</v>
      </c>
      <c r="D2627" t="s">
        <v>2947</v>
      </c>
      <c r="E2627" t="s">
        <v>3125</v>
      </c>
      <c r="F2627" s="3">
        <v>46318.129455192517</v>
      </c>
      <c r="G2627" s="3">
        <v>46318.131271078717</v>
      </c>
      <c r="H2627">
        <v>2.61</v>
      </c>
      <c r="I2627" t="s">
        <v>3150</v>
      </c>
      <c r="J2627" t="s">
        <v>3163</v>
      </c>
      <c r="K2627" t="s">
        <v>3179</v>
      </c>
      <c r="L2627" t="str">
        <f>_xlfn.XLOOKUP(C2627,[1]!Table1[Shift_ID],[1]!Table1[Shift_ID])</f>
        <v>S03</v>
      </c>
      <c r="M2627" t="str">
        <f>_xlfn.XLOOKUP(D2627,[2]!Table1[Machine_ID],[2]!Table1[Machine_ID])</f>
        <v>M006</v>
      </c>
      <c r="N2627" t="str">
        <f>_xlfn.XLOOKUP(E2627,[3]Sheet1!$A$2:$A$391,[3]Sheet1!$A$2:$A$391)</f>
        <v>PO10175</v>
      </c>
    </row>
    <row r="2628" spans="1:14" x14ac:dyDescent="0.2">
      <c r="A2628" t="s">
        <v>2637</v>
      </c>
      <c r="B2628" s="2">
        <v>46317</v>
      </c>
      <c r="C2628" t="s">
        <v>2939</v>
      </c>
      <c r="D2628" t="s">
        <v>2947</v>
      </c>
      <c r="E2628" t="s">
        <v>3125</v>
      </c>
      <c r="F2628" s="3">
        <v>46318.147885046907</v>
      </c>
      <c r="G2628" s="3">
        <v>46318.149788844443</v>
      </c>
      <c r="H2628">
        <v>2.74</v>
      </c>
      <c r="I2628" t="s">
        <v>3150</v>
      </c>
      <c r="J2628" t="s">
        <v>3159</v>
      </c>
      <c r="K2628" t="s">
        <v>3178</v>
      </c>
      <c r="L2628" t="str">
        <f>_xlfn.XLOOKUP(C2628,[1]!Table1[Shift_ID],[1]!Table1[Shift_ID])</f>
        <v>S03</v>
      </c>
      <c r="M2628" t="str">
        <f>_xlfn.XLOOKUP(D2628,[2]!Table1[Machine_ID],[2]!Table1[Machine_ID])</f>
        <v>M006</v>
      </c>
      <c r="N2628" t="str">
        <f>_xlfn.XLOOKUP(E2628,[3]Sheet1!$A$2:$A$391,[3]Sheet1!$A$2:$A$391)</f>
        <v>PO10175</v>
      </c>
    </row>
    <row r="2629" spans="1:14" x14ac:dyDescent="0.2">
      <c r="A2629" t="s">
        <v>2638</v>
      </c>
      <c r="B2629" s="2">
        <v>46317</v>
      </c>
      <c r="C2629" t="s">
        <v>2939</v>
      </c>
      <c r="D2629" t="s">
        <v>2947</v>
      </c>
      <c r="E2629" t="s">
        <v>3125</v>
      </c>
      <c r="F2629" s="3">
        <v>46318.18154045102</v>
      </c>
      <c r="G2629" s="3">
        <v>46318.18335633722</v>
      </c>
      <c r="H2629">
        <v>2.61</v>
      </c>
      <c r="I2629" t="s">
        <v>3146</v>
      </c>
      <c r="J2629" t="s">
        <v>3156</v>
      </c>
      <c r="K2629" t="s">
        <v>3175</v>
      </c>
      <c r="L2629" t="str">
        <f>_xlfn.XLOOKUP(C2629,[1]!Table1[Shift_ID],[1]!Table1[Shift_ID])</f>
        <v>S03</v>
      </c>
      <c r="M2629" t="str">
        <f>_xlfn.XLOOKUP(D2629,[2]!Table1[Machine_ID],[2]!Table1[Machine_ID])</f>
        <v>M006</v>
      </c>
      <c r="N2629" t="str">
        <f>_xlfn.XLOOKUP(E2629,[3]Sheet1!$A$2:$A$391,[3]Sheet1!$A$2:$A$391)</f>
        <v>PO10175</v>
      </c>
    </row>
    <row r="2630" spans="1:14" x14ac:dyDescent="0.2">
      <c r="A2630" t="s">
        <v>2639</v>
      </c>
      <c r="B2630" s="2">
        <v>46317</v>
      </c>
      <c r="C2630" t="s">
        <v>2939</v>
      </c>
      <c r="D2630" t="s">
        <v>2948</v>
      </c>
      <c r="E2630" t="s">
        <v>3125</v>
      </c>
      <c r="F2630" s="3">
        <v>46318.044859388021</v>
      </c>
      <c r="G2630" s="3">
        <v>46318.058497959653</v>
      </c>
      <c r="H2630">
        <v>19.64</v>
      </c>
      <c r="I2630" t="s">
        <v>3150</v>
      </c>
      <c r="J2630" t="s">
        <v>3163</v>
      </c>
      <c r="K2630" t="s">
        <v>3178</v>
      </c>
      <c r="L2630" t="str">
        <f>_xlfn.XLOOKUP(C2630,[1]!Table1[Shift_ID],[1]!Table1[Shift_ID])</f>
        <v>S03</v>
      </c>
      <c r="M2630" t="str">
        <f>_xlfn.XLOOKUP(D2630,[2]!Table1[Machine_ID],[2]!Table1[Machine_ID])</f>
        <v>M007</v>
      </c>
      <c r="N2630" t="str">
        <f>_xlfn.XLOOKUP(E2630,[3]Sheet1!$A$2:$A$391,[3]Sheet1!$A$2:$A$391)</f>
        <v>PO10175</v>
      </c>
    </row>
    <row r="2631" spans="1:14" x14ac:dyDescent="0.2">
      <c r="A2631" t="s">
        <v>2640</v>
      </c>
      <c r="B2631" s="2">
        <v>46317</v>
      </c>
      <c r="C2631" t="s">
        <v>2939</v>
      </c>
      <c r="D2631" t="s">
        <v>2949</v>
      </c>
      <c r="E2631" t="s">
        <v>3125</v>
      </c>
      <c r="F2631" s="3">
        <v>46317.97672631024</v>
      </c>
      <c r="G2631" s="3">
        <v>46317.983763996002</v>
      </c>
      <c r="H2631">
        <v>10.130000000000001</v>
      </c>
      <c r="I2631" t="s">
        <v>3149</v>
      </c>
      <c r="J2631" t="s">
        <v>3162</v>
      </c>
      <c r="K2631" t="s">
        <v>3176</v>
      </c>
      <c r="L2631" t="str">
        <f>_xlfn.XLOOKUP(C2631,[1]!Table1[Shift_ID],[1]!Table1[Shift_ID])</f>
        <v>S03</v>
      </c>
      <c r="M2631" t="str">
        <f>_xlfn.XLOOKUP(D2631,[2]!Table1[Machine_ID],[2]!Table1[Machine_ID])</f>
        <v>M008</v>
      </c>
      <c r="N2631" t="str">
        <f>_xlfn.XLOOKUP(E2631,[3]Sheet1!$A$2:$A$391,[3]Sheet1!$A$2:$A$391)</f>
        <v>PO10175</v>
      </c>
    </row>
    <row r="2632" spans="1:14" x14ac:dyDescent="0.2">
      <c r="A2632" t="s">
        <v>2641</v>
      </c>
      <c r="B2632" s="2">
        <v>46317</v>
      </c>
      <c r="C2632" t="s">
        <v>2940</v>
      </c>
      <c r="D2632" t="s">
        <v>2942</v>
      </c>
      <c r="E2632" t="s">
        <v>3126</v>
      </c>
      <c r="F2632" s="3">
        <v>46317.552433958706</v>
      </c>
      <c r="G2632" s="3">
        <v>46317.560157042179</v>
      </c>
      <c r="H2632">
        <v>11.12</v>
      </c>
      <c r="I2632" t="s">
        <v>3149</v>
      </c>
      <c r="J2632" t="s">
        <v>3158</v>
      </c>
      <c r="K2632" t="s">
        <v>3184</v>
      </c>
      <c r="L2632" t="str">
        <f>_xlfn.XLOOKUP(C2632,[1]!Table1[Shift_ID],[1]!Table1[Shift_ID])</f>
        <v>S01</v>
      </c>
      <c r="M2632" t="str">
        <f>_xlfn.XLOOKUP(D2632,[2]!Table1[Machine_ID],[2]!Table1[Machine_ID])</f>
        <v>M001</v>
      </c>
      <c r="N2632" t="str">
        <f>_xlfn.XLOOKUP(E2632,[3]Sheet1!$A$2:$A$391,[3]Sheet1!$A$2:$A$391)</f>
        <v>PO10176</v>
      </c>
    </row>
    <row r="2633" spans="1:14" x14ac:dyDescent="0.2">
      <c r="A2633" t="s">
        <v>2642</v>
      </c>
      <c r="B2633" s="2">
        <v>46317</v>
      </c>
      <c r="C2633" t="s">
        <v>2940</v>
      </c>
      <c r="D2633" t="s">
        <v>2943</v>
      </c>
      <c r="E2633" t="s">
        <v>3126</v>
      </c>
      <c r="F2633" s="3">
        <v>46317.253441384077</v>
      </c>
      <c r="G2633" s="3">
        <v>46317.255964357013</v>
      </c>
      <c r="H2633">
        <v>3.63</v>
      </c>
      <c r="I2633" t="s">
        <v>3151</v>
      </c>
      <c r="J2633" t="s">
        <v>3161</v>
      </c>
      <c r="K2633" t="s">
        <v>3188</v>
      </c>
      <c r="L2633" t="str">
        <f>_xlfn.XLOOKUP(C2633,[1]!Table1[Shift_ID],[1]!Table1[Shift_ID])</f>
        <v>S01</v>
      </c>
      <c r="M2633" t="str">
        <f>_xlfn.XLOOKUP(D2633,[2]!Table1[Machine_ID],[2]!Table1[Machine_ID])</f>
        <v>M002</v>
      </c>
      <c r="N2633" t="str">
        <f>_xlfn.XLOOKUP(E2633,[3]Sheet1!$A$2:$A$391,[3]Sheet1!$A$2:$A$391)</f>
        <v>PO10176</v>
      </c>
    </row>
    <row r="2634" spans="1:14" x14ac:dyDescent="0.2">
      <c r="A2634" t="s">
        <v>2643</v>
      </c>
      <c r="B2634" s="2">
        <v>46317</v>
      </c>
      <c r="C2634" t="s">
        <v>2940</v>
      </c>
      <c r="D2634" t="s">
        <v>2943</v>
      </c>
      <c r="E2634" t="s">
        <v>3126</v>
      </c>
      <c r="F2634" s="3">
        <v>46317.563770245193</v>
      </c>
      <c r="G2634" s="3">
        <v>46317.571747431823</v>
      </c>
      <c r="H2634">
        <v>11.49</v>
      </c>
      <c r="I2634" t="s">
        <v>3147</v>
      </c>
      <c r="J2634" t="s">
        <v>3154</v>
      </c>
      <c r="K2634" t="s">
        <v>3185</v>
      </c>
      <c r="L2634" t="str">
        <f>_xlfn.XLOOKUP(C2634,[1]!Table1[Shift_ID],[1]!Table1[Shift_ID])</f>
        <v>S01</v>
      </c>
      <c r="M2634" t="str">
        <f>_xlfn.XLOOKUP(D2634,[2]!Table1[Machine_ID],[2]!Table1[Machine_ID])</f>
        <v>M002</v>
      </c>
      <c r="N2634" t="str">
        <f>_xlfn.XLOOKUP(E2634,[3]Sheet1!$A$2:$A$391,[3]Sheet1!$A$2:$A$391)</f>
        <v>PO10176</v>
      </c>
    </row>
    <row r="2635" spans="1:14" x14ac:dyDescent="0.2">
      <c r="A2635" t="s">
        <v>2644</v>
      </c>
      <c r="B2635" s="2">
        <v>46317</v>
      </c>
      <c r="C2635" t="s">
        <v>2940</v>
      </c>
      <c r="D2635" t="s">
        <v>2944</v>
      </c>
      <c r="E2635" t="s">
        <v>3126</v>
      </c>
      <c r="F2635" s="3">
        <v>46317.571491631214</v>
      </c>
      <c r="G2635" s="3">
        <v>46317.583333333343</v>
      </c>
      <c r="H2635">
        <v>17.05</v>
      </c>
      <c r="I2635" t="s">
        <v>3150</v>
      </c>
      <c r="J2635" t="s">
        <v>3160</v>
      </c>
      <c r="K2635" t="s">
        <v>3178</v>
      </c>
      <c r="L2635" t="str">
        <f>_xlfn.XLOOKUP(C2635,[1]!Table1[Shift_ID],[1]!Table1[Shift_ID])</f>
        <v>S01</v>
      </c>
      <c r="M2635" t="str">
        <f>_xlfn.XLOOKUP(D2635,[2]!Table1[Machine_ID],[2]!Table1[Machine_ID])</f>
        <v>M003</v>
      </c>
      <c r="N2635" t="str">
        <f>_xlfn.XLOOKUP(E2635,[3]Sheet1!$A$2:$A$391,[3]Sheet1!$A$2:$A$391)</f>
        <v>PO10176</v>
      </c>
    </row>
    <row r="2636" spans="1:14" x14ac:dyDescent="0.2">
      <c r="A2636" t="s">
        <v>2645</v>
      </c>
      <c r="B2636" s="2">
        <v>46317</v>
      </c>
      <c r="C2636" t="s">
        <v>2940</v>
      </c>
      <c r="D2636" t="s">
        <v>2945</v>
      </c>
      <c r="E2636" t="s">
        <v>3126</v>
      </c>
      <c r="F2636" s="3">
        <v>46317.299594706543</v>
      </c>
      <c r="G2636" s="3">
        <v>46317.303529475626</v>
      </c>
      <c r="H2636">
        <v>5.67</v>
      </c>
      <c r="I2636" t="s">
        <v>3147</v>
      </c>
      <c r="J2636" t="s">
        <v>3154</v>
      </c>
      <c r="K2636" t="s">
        <v>3185</v>
      </c>
      <c r="L2636" t="str">
        <f>_xlfn.XLOOKUP(C2636,[1]!Table1[Shift_ID],[1]!Table1[Shift_ID])</f>
        <v>S01</v>
      </c>
      <c r="M2636" t="str">
        <f>_xlfn.XLOOKUP(D2636,[2]!Table1[Machine_ID],[2]!Table1[Machine_ID])</f>
        <v>M004</v>
      </c>
      <c r="N2636" t="str">
        <f>_xlfn.XLOOKUP(E2636,[3]Sheet1!$A$2:$A$391,[3]Sheet1!$A$2:$A$391)</f>
        <v>PO10176</v>
      </c>
    </row>
    <row r="2637" spans="1:14" x14ac:dyDescent="0.2">
      <c r="A2637" t="s">
        <v>2646</v>
      </c>
      <c r="B2637" s="2">
        <v>46317</v>
      </c>
      <c r="C2637" t="s">
        <v>2940</v>
      </c>
      <c r="D2637" t="s">
        <v>2945</v>
      </c>
      <c r="E2637" t="s">
        <v>3126</v>
      </c>
      <c r="F2637" s="3">
        <v>46317.310488926123</v>
      </c>
      <c r="G2637" s="3">
        <v>46317.312423239062</v>
      </c>
      <c r="H2637">
        <v>2.79</v>
      </c>
      <c r="I2637" t="s">
        <v>3147</v>
      </c>
      <c r="J2637" t="s">
        <v>3153</v>
      </c>
      <c r="K2637" t="s">
        <v>3172</v>
      </c>
      <c r="L2637" t="str">
        <f>_xlfn.XLOOKUP(C2637,[1]!Table1[Shift_ID],[1]!Table1[Shift_ID])</f>
        <v>S01</v>
      </c>
      <c r="M2637" t="str">
        <f>_xlfn.XLOOKUP(D2637,[2]!Table1[Machine_ID],[2]!Table1[Machine_ID])</f>
        <v>M004</v>
      </c>
      <c r="N2637" t="str">
        <f>_xlfn.XLOOKUP(E2637,[3]Sheet1!$A$2:$A$391,[3]Sheet1!$A$2:$A$391)</f>
        <v>PO10176</v>
      </c>
    </row>
    <row r="2638" spans="1:14" x14ac:dyDescent="0.2">
      <c r="A2638" t="s">
        <v>2647</v>
      </c>
      <c r="B2638" s="2">
        <v>46317</v>
      </c>
      <c r="C2638" t="s">
        <v>2940</v>
      </c>
      <c r="D2638" t="s">
        <v>2945</v>
      </c>
      <c r="E2638" t="s">
        <v>3126</v>
      </c>
      <c r="F2638" s="3">
        <v>46317.567167779249</v>
      </c>
      <c r="G2638" s="3">
        <v>46317.569102092173</v>
      </c>
      <c r="H2638">
        <v>2.79</v>
      </c>
      <c r="I2638" t="s">
        <v>3149</v>
      </c>
      <c r="J2638" t="s">
        <v>3158</v>
      </c>
      <c r="K2638" t="s">
        <v>3182</v>
      </c>
      <c r="L2638" t="str">
        <f>_xlfn.XLOOKUP(C2638,[1]!Table1[Shift_ID],[1]!Table1[Shift_ID])</f>
        <v>S01</v>
      </c>
      <c r="M2638" t="str">
        <f>_xlfn.XLOOKUP(D2638,[2]!Table1[Machine_ID],[2]!Table1[Machine_ID])</f>
        <v>M004</v>
      </c>
      <c r="N2638" t="str">
        <f>_xlfn.XLOOKUP(E2638,[3]Sheet1!$A$2:$A$391,[3]Sheet1!$A$2:$A$391)</f>
        <v>PO10176</v>
      </c>
    </row>
    <row r="2639" spans="1:14" x14ac:dyDescent="0.2">
      <c r="A2639" t="s">
        <v>2648</v>
      </c>
      <c r="B2639" s="2">
        <v>46317</v>
      </c>
      <c r="C2639" t="s">
        <v>2940</v>
      </c>
      <c r="D2639" t="s">
        <v>2946</v>
      </c>
      <c r="E2639" t="s">
        <v>3126</v>
      </c>
      <c r="F2639" s="3">
        <v>46317.319485833483</v>
      </c>
      <c r="G2639" s="3">
        <v>46317.32114243212</v>
      </c>
      <c r="H2639">
        <v>2.39</v>
      </c>
      <c r="I2639" t="s">
        <v>3150</v>
      </c>
      <c r="J2639" t="s">
        <v>3159</v>
      </c>
      <c r="K2639" t="s">
        <v>3177</v>
      </c>
      <c r="L2639" t="str">
        <f>_xlfn.XLOOKUP(C2639,[1]!Table1[Shift_ID],[1]!Table1[Shift_ID])</f>
        <v>S01</v>
      </c>
      <c r="M2639" t="str">
        <f>_xlfn.XLOOKUP(D2639,[2]!Table1[Machine_ID],[2]!Table1[Machine_ID])</f>
        <v>M005</v>
      </c>
      <c r="N2639" t="str">
        <f>_xlfn.XLOOKUP(E2639,[3]Sheet1!$A$2:$A$391,[3]Sheet1!$A$2:$A$391)</f>
        <v>PO10176</v>
      </c>
    </row>
    <row r="2640" spans="1:14" x14ac:dyDescent="0.2">
      <c r="A2640" t="s">
        <v>2649</v>
      </c>
      <c r="B2640" s="2">
        <v>46317</v>
      </c>
      <c r="C2640" t="s">
        <v>2940</v>
      </c>
      <c r="D2640" t="s">
        <v>2946</v>
      </c>
      <c r="E2640" t="s">
        <v>3126</v>
      </c>
      <c r="F2640" s="3">
        <v>46317.33504382243</v>
      </c>
      <c r="G2640" s="3">
        <v>46317.340023312201</v>
      </c>
      <c r="H2640">
        <v>7.17</v>
      </c>
      <c r="I2640" t="s">
        <v>3148</v>
      </c>
      <c r="J2640" t="s">
        <v>3155</v>
      </c>
      <c r="K2640" t="s">
        <v>3180</v>
      </c>
      <c r="L2640" t="str">
        <f>_xlfn.XLOOKUP(C2640,[1]!Table1[Shift_ID],[1]!Table1[Shift_ID])</f>
        <v>S01</v>
      </c>
      <c r="M2640" t="str">
        <f>_xlfn.XLOOKUP(D2640,[2]!Table1[Machine_ID],[2]!Table1[Machine_ID])</f>
        <v>M005</v>
      </c>
      <c r="N2640" t="str">
        <f>_xlfn.XLOOKUP(E2640,[3]Sheet1!$A$2:$A$391,[3]Sheet1!$A$2:$A$391)</f>
        <v>PO10176</v>
      </c>
    </row>
    <row r="2641" spans="1:14" x14ac:dyDescent="0.2">
      <c r="A2641" t="s">
        <v>2650</v>
      </c>
      <c r="B2641" s="2">
        <v>46317</v>
      </c>
      <c r="C2641" t="s">
        <v>2940</v>
      </c>
      <c r="D2641" t="s">
        <v>2946</v>
      </c>
      <c r="E2641" t="s">
        <v>3126</v>
      </c>
      <c r="F2641" s="3">
        <v>46317.336063948758</v>
      </c>
      <c r="G2641" s="3">
        <v>46317.337720547403</v>
      </c>
      <c r="H2641">
        <v>2.39</v>
      </c>
      <c r="I2641" t="s">
        <v>3150</v>
      </c>
      <c r="J2641" t="s">
        <v>3166</v>
      </c>
      <c r="K2641" t="s">
        <v>3178</v>
      </c>
      <c r="L2641" t="str">
        <f>_xlfn.XLOOKUP(C2641,[1]!Table1[Shift_ID],[1]!Table1[Shift_ID])</f>
        <v>S01</v>
      </c>
      <c r="M2641" t="str">
        <f>_xlfn.XLOOKUP(D2641,[2]!Table1[Machine_ID],[2]!Table1[Machine_ID])</f>
        <v>M005</v>
      </c>
      <c r="N2641" t="str">
        <f>_xlfn.XLOOKUP(E2641,[3]Sheet1!$A$2:$A$391,[3]Sheet1!$A$2:$A$391)</f>
        <v>PO10176</v>
      </c>
    </row>
    <row r="2642" spans="1:14" x14ac:dyDescent="0.2">
      <c r="A2642" t="s">
        <v>2651</v>
      </c>
      <c r="B2642" s="2">
        <v>46317</v>
      </c>
      <c r="C2642" t="s">
        <v>2940</v>
      </c>
      <c r="D2642" t="s">
        <v>2946</v>
      </c>
      <c r="E2642" t="s">
        <v>3126</v>
      </c>
      <c r="F2642" s="3">
        <v>46317.560918684343</v>
      </c>
      <c r="G2642" s="3">
        <v>46317.563656126476</v>
      </c>
      <c r="H2642">
        <v>3.94</v>
      </c>
      <c r="I2642" t="s">
        <v>3150</v>
      </c>
      <c r="J2642" t="s">
        <v>3166</v>
      </c>
      <c r="K2642" t="s">
        <v>3178</v>
      </c>
      <c r="L2642" t="str">
        <f>_xlfn.XLOOKUP(C2642,[1]!Table1[Shift_ID],[1]!Table1[Shift_ID])</f>
        <v>S01</v>
      </c>
      <c r="M2642" t="str">
        <f>_xlfn.XLOOKUP(D2642,[2]!Table1[Machine_ID],[2]!Table1[Machine_ID])</f>
        <v>M005</v>
      </c>
      <c r="N2642" t="str">
        <f>_xlfn.XLOOKUP(E2642,[3]Sheet1!$A$2:$A$391,[3]Sheet1!$A$2:$A$391)</f>
        <v>PO10176</v>
      </c>
    </row>
    <row r="2643" spans="1:14" x14ac:dyDescent="0.2">
      <c r="A2643" t="s">
        <v>2652</v>
      </c>
      <c r="B2643" s="2">
        <v>46317</v>
      </c>
      <c r="C2643" t="s">
        <v>2940</v>
      </c>
      <c r="D2643" t="s">
        <v>2947</v>
      </c>
      <c r="E2643" t="s">
        <v>3126</v>
      </c>
      <c r="F2643" s="3">
        <v>46317.394662430379</v>
      </c>
      <c r="G2643" s="3">
        <v>46317.424030485927</v>
      </c>
      <c r="H2643">
        <v>42.29</v>
      </c>
      <c r="I2643" t="s">
        <v>3150</v>
      </c>
      <c r="J2643" t="s">
        <v>3160</v>
      </c>
      <c r="K2643" t="s">
        <v>3179</v>
      </c>
      <c r="L2643" t="str">
        <f>_xlfn.XLOOKUP(C2643,[1]!Table1[Shift_ID],[1]!Table1[Shift_ID])</f>
        <v>S01</v>
      </c>
      <c r="M2643" t="str">
        <f>_xlfn.XLOOKUP(D2643,[2]!Table1[Machine_ID],[2]!Table1[Machine_ID])</f>
        <v>M006</v>
      </c>
      <c r="N2643" t="str">
        <f>_xlfn.XLOOKUP(E2643,[3]Sheet1!$A$2:$A$391,[3]Sheet1!$A$2:$A$391)</f>
        <v>PO10176</v>
      </c>
    </row>
    <row r="2644" spans="1:14" x14ac:dyDescent="0.2">
      <c r="A2644" t="s">
        <v>2653</v>
      </c>
      <c r="B2644" s="2">
        <v>46317</v>
      </c>
      <c r="C2644" t="s">
        <v>2940</v>
      </c>
      <c r="D2644" t="s">
        <v>2948</v>
      </c>
      <c r="E2644" t="s">
        <v>3126</v>
      </c>
      <c r="F2644" s="3">
        <v>46317.308213764052</v>
      </c>
      <c r="G2644" s="3">
        <v>46317.310163121481</v>
      </c>
      <c r="H2644">
        <v>2.81</v>
      </c>
      <c r="I2644" t="s">
        <v>3147</v>
      </c>
      <c r="J2644" t="s">
        <v>3153</v>
      </c>
      <c r="K2644" t="s">
        <v>3185</v>
      </c>
      <c r="L2644" t="str">
        <f>_xlfn.XLOOKUP(C2644,[1]!Table1[Shift_ID],[1]!Table1[Shift_ID])</f>
        <v>S01</v>
      </c>
      <c r="M2644" t="str">
        <f>_xlfn.XLOOKUP(D2644,[2]!Table1[Machine_ID],[2]!Table1[Machine_ID])</f>
        <v>M007</v>
      </c>
      <c r="N2644" t="str">
        <f>_xlfn.XLOOKUP(E2644,[3]Sheet1!$A$2:$A$391,[3]Sheet1!$A$2:$A$391)</f>
        <v>PO10176</v>
      </c>
    </row>
    <row r="2645" spans="1:14" x14ac:dyDescent="0.2">
      <c r="A2645" t="s">
        <v>2654</v>
      </c>
      <c r="B2645" s="2">
        <v>46317</v>
      </c>
      <c r="C2645" t="s">
        <v>2940</v>
      </c>
      <c r="D2645" t="s">
        <v>2948</v>
      </c>
      <c r="E2645" t="s">
        <v>3126</v>
      </c>
      <c r="F2645" s="3">
        <v>46317.392682512793</v>
      </c>
      <c r="G2645" s="3">
        <v>46317.403915721021</v>
      </c>
      <c r="H2645">
        <v>16.18</v>
      </c>
      <c r="I2645" t="s">
        <v>3148</v>
      </c>
      <c r="J2645" t="s">
        <v>3164</v>
      </c>
      <c r="K2645" t="s">
        <v>3180</v>
      </c>
      <c r="L2645" t="str">
        <f>_xlfn.XLOOKUP(C2645,[1]!Table1[Shift_ID],[1]!Table1[Shift_ID])</f>
        <v>S01</v>
      </c>
      <c r="M2645" t="str">
        <f>_xlfn.XLOOKUP(D2645,[2]!Table1[Machine_ID],[2]!Table1[Machine_ID])</f>
        <v>M007</v>
      </c>
      <c r="N2645" t="str">
        <f>_xlfn.XLOOKUP(E2645,[3]Sheet1!$A$2:$A$391,[3]Sheet1!$A$2:$A$391)</f>
        <v>PO10176</v>
      </c>
    </row>
    <row r="2646" spans="1:14" x14ac:dyDescent="0.2">
      <c r="A2646" t="s">
        <v>2655</v>
      </c>
      <c r="B2646" s="2">
        <v>46317</v>
      </c>
      <c r="C2646" t="s">
        <v>2940</v>
      </c>
      <c r="D2646" t="s">
        <v>2948</v>
      </c>
      <c r="E2646" t="s">
        <v>3126</v>
      </c>
      <c r="F2646" s="3">
        <v>46317.456004502659</v>
      </c>
      <c r="G2646" s="3">
        <v>46317.461575695103</v>
      </c>
      <c r="H2646">
        <v>8.02</v>
      </c>
      <c r="I2646" t="s">
        <v>3149</v>
      </c>
      <c r="J2646" t="s">
        <v>3162</v>
      </c>
      <c r="K2646" t="s">
        <v>3176</v>
      </c>
      <c r="L2646" t="str">
        <f>_xlfn.XLOOKUP(C2646,[1]!Table1[Shift_ID],[1]!Table1[Shift_ID])</f>
        <v>S01</v>
      </c>
      <c r="M2646" t="str">
        <f>_xlfn.XLOOKUP(D2646,[2]!Table1[Machine_ID],[2]!Table1[Machine_ID])</f>
        <v>M007</v>
      </c>
      <c r="N2646" t="str">
        <f>_xlfn.XLOOKUP(E2646,[3]Sheet1!$A$2:$A$391,[3]Sheet1!$A$2:$A$391)</f>
        <v>PO10176</v>
      </c>
    </row>
    <row r="2647" spans="1:14" x14ac:dyDescent="0.2">
      <c r="A2647" t="s">
        <v>2656</v>
      </c>
      <c r="B2647" s="2">
        <v>46317</v>
      </c>
      <c r="C2647" t="s">
        <v>2940</v>
      </c>
      <c r="D2647" t="s">
        <v>2949</v>
      </c>
      <c r="E2647" t="s">
        <v>3126</v>
      </c>
      <c r="F2647" s="3">
        <v>46317.553411898807</v>
      </c>
      <c r="G2647" s="3">
        <v>46317.559762527737</v>
      </c>
      <c r="H2647">
        <v>9.14</v>
      </c>
      <c r="I2647" t="s">
        <v>3146</v>
      </c>
      <c r="J2647" t="s">
        <v>3156</v>
      </c>
      <c r="K2647" t="s">
        <v>3174</v>
      </c>
      <c r="L2647" t="str">
        <f>_xlfn.XLOOKUP(C2647,[1]!Table1[Shift_ID],[1]!Table1[Shift_ID])</f>
        <v>S01</v>
      </c>
      <c r="M2647" t="str">
        <f>_xlfn.XLOOKUP(D2647,[2]!Table1[Machine_ID],[2]!Table1[Machine_ID])</f>
        <v>M008</v>
      </c>
      <c r="N2647" t="str">
        <f>_xlfn.XLOOKUP(E2647,[3]Sheet1!$A$2:$A$391,[3]Sheet1!$A$2:$A$391)</f>
        <v>PO10176</v>
      </c>
    </row>
    <row r="2648" spans="1:14" x14ac:dyDescent="0.2">
      <c r="A2648" t="s">
        <v>2657</v>
      </c>
      <c r="B2648" s="2">
        <v>46317</v>
      </c>
      <c r="C2648" t="s">
        <v>2941</v>
      </c>
      <c r="D2648" t="s">
        <v>2942</v>
      </c>
      <c r="E2648" t="s">
        <v>3127</v>
      </c>
      <c r="F2648" s="3">
        <v>46317.630344093261</v>
      </c>
      <c r="G2648" s="3">
        <v>46317.636626147949</v>
      </c>
      <c r="H2648">
        <v>9.0500000000000007</v>
      </c>
      <c r="I2648" t="s">
        <v>3149</v>
      </c>
      <c r="J2648" t="s">
        <v>3158</v>
      </c>
      <c r="K2648" t="s">
        <v>3184</v>
      </c>
      <c r="L2648" t="str">
        <f>_xlfn.XLOOKUP(C2648,[1]!Table1[Shift_ID],[1]!Table1[Shift_ID])</f>
        <v>S02</v>
      </c>
      <c r="M2648" t="str">
        <f>_xlfn.XLOOKUP(D2648,[2]!Table1[Machine_ID],[2]!Table1[Machine_ID])</f>
        <v>M001</v>
      </c>
      <c r="N2648" t="str">
        <f>_xlfn.XLOOKUP(E2648,[3]Sheet1!$A$2:$A$391,[3]Sheet1!$A$2:$A$391)</f>
        <v>PO10177</v>
      </c>
    </row>
    <row r="2649" spans="1:14" x14ac:dyDescent="0.2">
      <c r="A2649" t="s">
        <v>2658</v>
      </c>
      <c r="B2649" s="2">
        <v>46317</v>
      </c>
      <c r="C2649" t="s">
        <v>2941</v>
      </c>
      <c r="D2649" t="s">
        <v>2943</v>
      </c>
      <c r="E2649" t="s">
        <v>3127</v>
      </c>
      <c r="F2649" s="3">
        <v>46317.746974190602</v>
      </c>
      <c r="G2649" s="3">
        <v>46317.753714016158</v>
      </c>
      <c r="H2649">
        <v>9.7100000000000009</v>
      </c>
      <c r="I2649" t="s">
        <v>3147</v>
      </c>
      <c r="J2649" t="s">
        <v>3154</v>
      </c>
      <c r="K2649" t="s">
        <v>3185</v>
      </c>
      <c r="L2649" t="str">
        <f>_xlfn.XLOOKUP(C2649,[1]!Table1[Shift_ID],[1]!Table1[Shift_ID])</f>
        <v>S02</v>
      </c>
      <c r="M2649" t="str">
        <f>_xlfn.XLOOKUP(D2649,[2]!Table1[Machine_ID],[2]!Table1[Machine_ID])</f>
        <v>M002</v>
      </c>
      <c r="N2649" t="str">
        <f>_xlfn.XLOOKUP(E2649,[3]Sheet1!$A$2:$A$391,[3]Sheet1!$A$2:$A$391)</f>
        <v>PO10177</v>
      </c>
    </row>
    <row r="2650" spans="1:14" x14ac:dyDescent="0.2">
      <c r="A2650" t="s">
        <v>2659</v>
      </c>
      <c r="B2650" s="2">
        <v>46317</v>
      </c>
      <c r="C2650" t="s">
        <v>2941</v>
      </c>
      <c r="D2650" t="s">
        <v>2944</v>
      </c>
      <c r="E2650" t="s">
        <v>3127</v>
      </c>
      <c r="F2650" s="3">
        <v>46317.831914768321</v>
      </c>
      <c r="G2650" s="3">
        <v>46317.840603608143</v>
      </c>
      <c r="H2650">
        <v>12.51</v>
      </c>
      <c r="I2650" t="s">
        <v>3151</v>
      </c>
      <c r="J2650" t="s">
        <v>3161</v>
      </c>
      <c r="K2650" t="s">
        <v>3187</v>
      </c>
      <c r="L2650" t="str">
        <f>_xlfn.XLOOKUP(C2650,[1]!Table1[Shift_ID],[1]!Table1[Shift_ID])</f>
        <v>S02</v>
      </c>
      <c r="M2650" t="str">
        <f>_xlfn.XLOOKUP(D2650,[2]!Table1[Machine_ID],[2]!Table1[Machine_ID])</f>
        <v>M003</v>
      </c>
      <c r="N2650" t="str">
        <f>_xlfn.XLOOKUP(E2650,[3]Sheet1!$A$2:$A$391,[3]Sheet1!$A$2:$A$391)</f>
        <v>PO10177</v>
      </c>
    </row>
    <row r="2651" spans="1:14" x14ac:dyDescent="0.2">
      <c r="A2651" t="s">
        <v>2660</v>
      </c>
      <c r="B2651" s="2">
        <v>46317</v>
      </c>
      <c r="C2651" t="s">
        <v>2941</v>
      </c>
      <c r="D2651" t="s">
        <v>2945</v>
      </c>
      <c r="E2651" t="s">
        <v>3127</v>
      </c>
      <c r="F2651" s="3">
        <v>46317.629543278053</v>
      </c>
      <c r="G2651" s="3">
        <v>46317.631119409867</v>
      </c>
      <c r="H2651">
        <v>2.27</v>
      </c>
      <c r="I2651" t="s">
        <v>3149</v>
      </c>
      <c r="J2651" t="s">
        <v>3168</v>
      </c>
      <c r="K2651" t="s">
        <v>3184</v>
      </c>
      <c r="L2651" t="str">
        <f>_xlfn.XLOOKUP(C2651,[1]!Table1[Shift_ID],[1]!Table1[Shift_ID])</f>
        <v>S02</v>
      </c>
      <c r="M2651" t="str">
        <f>_xlfn.XLOOKUP(D2651,[2]!Table1[Machine_ID],[2]!Table1[Machine_ID])</f>
        <v>M004</v>
      </c>
      <c r="N2651" t="str">
        <f>_xlfn.XLOOKUP(E2651,[3]Sheet1!$A$2:$A$391,[3]Sheet1!$A$2:$A$391)</f>
        <v>PO10177</v>
      </c>
    </row>
    <row r="2652" spans="1:14" x14ac:dyDescent="0.2">
      <c r="A2652" t="s">
        <v>2661</v>
      </c>
      <c r="B2652" s="2">
        <v>46317</v>
      </c>
      <c r="C2652" t="s">
        <v>2941</v>
      </c>
      <c r="D2652" t="s">
        <v>2945</v>
      </c>
      <c r="E2652" t="s">
        <v>3127</v>
      </c>
      <c r="F2652" s="3">
        <v>46317.689964753823</v>
      </c>
      <c r="G2652" s="3">
        <v>46317.691504760332</v>
      </c>
      <c r="H2652">
        <v>2.2200000000000002</v>
      </c>
      <c r="I2652" t="s">
        <v>3147</v>
      </c>
      <c r="J2652" t="s">
        <v>3154</v>
      </c>
      <c r="K2652" t="s">
        <v>3186</v>
      </c>
      <c r="L2652" t="str">
        <f>_xlfn.XLOOKUP(C2652,[1]!Table1[Shift_ID],[1]!Table1[Shift_ID])</f>
        <v>S02</v>
      </c>
      <c r="M2652" t="str">
        <f>_xlfn.XLOOKUP(D2652,[2]!Table1[Machine_ID],[2]!Table1[Machine_ID])</f>
        <v>M004</v>
      </c>
      <c r="N2652" t="str">
        <f>_xlfn.XLOOKUP(E2652,[3]Sheet1!$A$2:$A$391,[3]Sheet1!$A$2:$A$391)</f>
        <v>PO10177</v>
      </c>
    </row>
    <row r="2653" spans="1:14" x14ac:dyDescent="0.2">
      <c r="A2653" t="s">
        <v>2662</v>
      </c>
      <c r="B2653" s="2">
        <v>46317</v>
      </c>
      <c r="C2653" t="s">
        <v>2941</v>
      </c>
      <c r="D2653" t="s">
        <v>2945</v>
      </c>
      <c r="E2653" t="s">
        <v>3127</v>
      </c>
      <c r="F2653" s="3">
        <v>46317.765969872577</v>
      </c>
      <c r="G2653" s="3">
        <v>46317.767509879093</v>
      </c>
      <c r="H2653">
        <v>2.2200000000000002</v>
      </c>
      <c r="I2653" t="s">
        <v>3150</v>
      </c>
      <c r="J2653" t="s">
        <v>3166</v>
      </c>
      <c r="K2653" t="s">
        <v>3177</v>
      </c>
      <c r="L2653" t="str">
        <f>_xlfn.XLOOKUP(C2653,[1]!Table1[Shift_ID],[1]!Table1[Shift_ID])</f>
        <v>S02</v>
      </c>
      <c r="M2653" t="str">
        <f>_xlfn.XLOOKUP(D2653,[2]!Table1[Machine_ID],[2]!Table1[Machine_ID])</f>
        <v>M004</v>
      </c>
      <c r="N2653" t="str">
        <f>_xlfn.XLOOKUP(E2653,[3]Sheet1!$A$2:$A$391,[3]Sheet1!$A$2:$A$391)</f>
        <v>PO10177</v>
      </c>
    </row>
    <row r="2654" spans="1:14" x14ac:dyDescent="0.2">
      <c r="A2654" t="s">
        <v>2663</v>
      </c>
      <c r="B2654" s="2">
        <v>46317</v>
      </c>
      <c r="C2654" t="s">
        <v>2941</v>
      </c>
      <c r="D2654" t="s">
        <v>2945</v>
      </c>
      <c r="E2654" t="s">
        <v>3127</v>
      </c>
      <c r="F2654" s="3">
        <v>46317.815996283527</v>
      </c>
      <c r="G2654" s="3">
        <v>46317.817536290037</v>
      </c>
      <c r="H2654">
        <v>2.2200000000000002</v>
      </c>
      <c r="I2654" t="s">
        <v>3149</v>
      </c>
      <c r="J2654" t="s">
        <v>3162</v>
      </c>
      <c r="K2654" t="s">
        <v>3176</v>
      </c>
      <c r="L2654" t="str">
        <f>_xlfn.XLOOKUP(C2654,[1]!Table1[Shift_ID],[1]!Table1[Shift_ID])</f>
        <v>S02</v>
      </c>
      <c r="M2654" t="str">
        <f>_xlfn.XLOOKUP(D2654,[2]!Table1[Machine_ID],[2]!Table1[Machine_ID])</f>
        <v>M004</v>
      </c>
      <c r="N2654" t="str">
        <f>_xlfn.XLOOKUP(E2654,[3]Sheet1!$A$2:$A$391,[3]Sheet1!$A$2:$A$391)</f>
        <v>PO10177</v>
      </c>
    </row>
    <row r="2655" spans="1:14" x14ac:dyDescent="0.2">
      <c r="A2655" t="s">
        <v>2664</v>
      </c>
      <c r="B2655" s="2">
        <v>46317</v>
      </c>
      <c r="C2655" t="s">
        <v>2941</v>
      </c>
      <c r="D2655" t="s">
        <v>2945</v>
      </c>
      <c r="E2655" t="s">
        <v>3127</v>
      </c>
      <c r="F2655" s="3">
        <v>46317.889674571772</v>
      </c>
      <c r="G2655" s="3">
        <v>46317.891214578267</v>
      </c>
      <c r="H2655">
        <v>2.2200000000000002</v>
      </c>
      <c r="I2655" t="s">
        <v>3148</v>
      </c>
      <c r="J2655" t="s">
        <v>3164</v>
      </c>
      <c r="K2655" t="s">
        <v>3183</v>
      </c>
      <c r="L2655" t="str">
        <f>_xlfn.XLOOKUP(C2655,[1]!Table1[Shift_ID],[1]!Table1[Shift_ID])</f>
        <v>S02</v>
      </c>
      <c r="M2655" t="str">
        <f>_xlfn.XLOOKUP(D2655,[2]!Table1[Machine_ID],[2]!Table1[Machine_ID])</f>
        <v>M004</v>
      </c>
      <c r="N2655" t="str">
        <f>_xlfn.XLOOKUP(E2655,[3]Sheet1!$A$2:$A$391,[3]Sheet1!$A$2:$A$391)</f>
        <v>PO10177</v>
      </c>
    </row>
    <row r="2656" spans="1:14" x14ac:dyDescent="0.2">
      <c r="A2656" t="s">
        <v>2665</v>
      </c>
      <c r="B2656" s="2">
        <v>46317</v>
      </c>
      <c r="C2656" t="s">
        <v>2941</v>
      </c>
      <c r="D2656" t="s">
        <v>2946</v>
      </c>
      <c r="E2656" t="s">
        <v>3127</v>
      </c>
      <c r="F2656" s="3">
        <v>46317.763820153647</v>
      </c>
      <c r="G2656" s="3">
        <v>46317.773422973783</v>
      </c>
      <c r="H2656">
        <v>13.83</v>
      </c>
      <c r="I2656" t="s">
        <v>3150</v>
      </c>
      <c r="J2656" t="s">
        <v>3160</v>
      </c>
      <c r="K2656" t="s">
        <v>3179</v>
      </c>
      <c r="L2656" t="str">
        <f>_xlfn.XLOOKUP(C2656,[1]!Table1[Shift_ID],[1]!Table1[Shift_ID])</f>
        <v>S02</v>
      </c>
      <c r="M2656" t="str">
        <f>_xlfn.XLOOKUP(D2656,[2]!Table1[Machine_ID],[2]!Table1[Machine_ID])</f>
        <v>M005</v>
      </c>
      <c r="N2656" t="str">
        <f>_xlfn.XLOOKUP(E2656,[3]Sheet1!$A$2:$A$391,[3]Sheet1!$A$2:$A$391)</f>
        <v>PO10177</v>
      </c>
    </row>
    <row r="2657" spans="1:14" x14ac:dyDescent="0.2">
      <c r="A2657" t="s">
        <v>2666</v>
      </c>
      <c r="B2657" s="2">
        <v>46317</v>
      </c>
      <c r="C2657" t="s">
        <v>2941</v>
      </c>
      <c r="D2657" t="s">
        <v>2947</v>
      </c>
      <c r="E2657" t="s">
        <v>3127</v>
      </c>
      <c r="F2657" s="3">
        <v>46317.683750857163</v>
      </c>
      <c r="G2657" s="3">
        <v>46317.689504328751</v>
      </c>
      <c r="H2657">
        <v>8.2799999999999994</v>
      </c>
      <c r="I2657" t="s">
        <v>3149</v>
      </c>
      <c r="J2657" t="s">
        <v>3158</v>
      </c>
      <c r="K2657" t="s">
        <v>3182</v>
      </c>
      <c r="L2657" t="str">
        <f>_xlfn.XLOOKUP(C2657,[1]!Table1[Shift_ID],[1]!Table1[Shift_ID])</f>
        <v>S02</v>
      </c>
      <c r="M2657" t="str">
        <f>_xlfn.XLOOKUP(D2657,[2]!Table1[Machine_ID],[2]!Table1[Machine_ID])</f>
        <v>M006</v>
      </c>
      <c r="N2657" t="str">
        <f>_xlfn.XLOOKUP(E2657,[3]Sheet1!$A$2:$A$391,[3]Sheet1!$A$2:$A$391)</f>
        <v>PO10177</v>
      </c>
    </row>
    <row r="2658" spans="1:14" x14ac:dyDescent="0.2">
      <c r="A2658" t="s">
        <v>2667</v>
      </c>
      <c r="B2658" s="2">
        <v>46317</v>
      </c>
      <c r="C2658" t="s">
        <v>2941</v>
      </c>
      <c r="D2658" t="s">
        <v>2947</v>
      </c>
      <c r="E2658" t="s">
        <v>3127</v>
      </c>
      <c r="F2658" s="3">
        <v>46317.738943008357</v>
      </c>
      <c r="G2658" s="3">
        <v>46317.742889088317</v>
      </c>
      <c r="H2658">
        <v>5.68</v>
      </c>
      <c r="I2658" t="s">
        <v>3151</v>
      </c>
      <c r="J2658" t="s">
        <v>3169</v>
      </c>
      <c r="K2658" t="s">
        <v>3187</v>
      </c>
      <c r="L2658" t="str">
        <f>_xlfn.XLOOKUP(C2658,[1]!Table1[Shift_ID],[1]!Table1[Shift_ID])</f>
        <v>S02</v>
      </c>
      <c r="M2658" t="str">
        <f>_xlfn.XLOOKUP(D2658,[2]!Table1[Machine_ID],[2]!Table1[Machine_ID])</f>
        <v>M006</v>
      </c>
      <c r="N2658" t="str">
        <f>_xlfn.XLOOKUP(E2658,[3]Sheet1!$A$2:$A$391,[3]Sheet1!$A$2:$A$391)</f>
        <v>PO10177</v>
      </c>
    </row>
    <row r="2659" spans="1:14" x14ac:dyDescent="0.2">
      <c r="A2659" t="s">
        <v>2668</v>
      </c>
      <c r="B2659" s="2">
        <v>46317</v>
      </c>
      <c r="C2659" t="s">
        <v>2941</v>
      </c>
      <c r="D2659" t="s">
        <v>2947</v>
      </c>
      <c r="E2659" t="s">
        <v>3127</v>
      </c>
      <c r="F2659" s="3">
        <v>46317.814322095692</v>
      </c>
      <c r="G2659" s="3">
        <v>46317.816286797133</v>
      </c>
      <c r="H2659">
        <v>2.83</v>
      </c>
      <c r="I2659" t="s">
        <v>3150</v>
      </c>
      <c r="J2659" t="s">
        <v>3166</v>
      </c>
      <c r="K2659" t="s">
        <v>3179</v>
      </c>
      <c r="L2659" t="str">
        <f>_xlfn.XLOOKUP(C2659,[1]!Table1[Shift_ID],[1]!Table1[Shift_ID])</f>
        <v>S02</v>
      </c>
      <c r="M2659" t="str">
        <f>_xlfn.XLOOKUP(D2659,[2]!Table1[Machine_ID],[2]!Table1[Machine_ID])</f>
        <v>M006</v>
      </c>
      <c r="N2659" t="str">
        <f>_xlfn.XLOOKUP(E2659,[3]Sheet1!$A$2:$A$391,[3]Sheet1!$A$2:$A$391)</f>
        <v>PO10177</v>
      </c>
    </row>
    <row r="2660" spans="1:14" x14ac:dyDescent="0.2">
      <c r="A2660" t="s">
        <v>2669</v>
      </c>
      <c r="B2660" s="2">
        <v>46317</v>
      </c>
      <c r="C2660" t="s">
        <v>2941</v>
      </c>
      <c r="D2660" t="s">
        <v>2947</v>
      </c>
      <c r="E2660" t="s">
        <v>3127</v>
      </c>
      <c r="F2660" s="3">
        <v>46317.817484818937</v>
      </c>
      <c r="G2660" s="3">
        <v>46317.821475038552</v>
      </c>
      <c r="H2660">
        <v>5.75</v>
      </c>
      <c r="I2660" t="s">
        <v>3150</v>
      </c>
      <c r="J2660" t="s">
        <v>3166</v>
      </c>
      <c r="K2660" t="s">
        <v>3177</v>
      </c>
      <c r="L2660" t="str">
        <f>_xlfn.XLOOKUP(C2660,[1]!Table1[Shift_ID],[1]!Table1[Shift_ID])</f>
        <v>S02</v>
      </c>
      <c r="M2660" t="str">
        <f>_xlfn.XLOOKUP(D2660,[2]!Table1[Machine_ID],[2]!Table1[Machine_ID])</f>
        <v>M006</v>
      </c>
      <c r="N2660" t="str">
        <f>_xlfn.XLOOKUP(E2660,[3]Sheet1!$A$2:$A$391,[3]Sheet1!$A$2:$A$391)</f>
        <v>PO10177</v>
      </c>
    </row>
    <row r="2661" spans="1:14" x14ac:dyDescent="0.2">
      <c r="A2661" t="s">
        <v>2670</v>
      </c>
      <c r="B2661" s="2">
        <v>46317</v>
      </c>
      <c r="C2661" t="s">
        <v>2941</v>
      </c>
      <c r="D2661" t="s">
        <v>2947</v>
      </c>
      <c r="E2661" t="s">
        <v>3127</v>
      </c>
      <c r="F2661" s="3">
        <v>46317.861127434837</v>
      </c>
      <c r="G2661" s="3">
        <v>46317.866367050628</v>
      </c>
      <c r="H2661">
        <v>7.55</v>
      </c>
      <c r="I2661" t="s">
        <v>3147</v>
      </c>
      <c r="J2661" t="s">
        <v>3167</v>
      </c>
      <c r="K2661" t="s">
        <v>3172</v>
      </c>
      <c r="L2661" t="str">
        <f>_xlfn.XLOOKUP(C2661,[1]!Table1[Shift_ID],[1]!Table1[Shift_ID])</f>
        <v>S02</v>
      </c>
      <c r="M2661" t="str">
        <f>_xlfn.XLOOKUP(D2661,[2]!Table1[Machine_ID],[2]!Table1[Machine_ID])</f>
        <v>M006</v>
      </c>
      <c r="N2661" t="str">
        <f>_xlfn.XLOOKUP(E2661,[3]Sheet1!$A$2:$A$391,[3]Sheet1!$A$2:$A$391)</f>
        <v>PO10177</v>
      </c>
    </row>
    <row r="2662" spans="1:14" x14ac:dyDescent="0.2">
      <c r="A2662" t="s">
        <v>2671</v>
      </c>
      <c r="B2662" s="2">
        <v>46317</v>
      </c>
      <c r="C2662" t="s">
        <v>2941</v>
      </c>
      <c r="D2662" t="s">
        <v>2948</v>
      </c>
      <c r="E2662" t="s">
        <v>3127</v>
      </c>
      <c r="F2662" s="3">
        <v>46317.818948790889</v>
      </c>
      <c r="G2662" s="3">
        <v>46317.820943413171</v>
      </c>
      <c r="H2662">
        <v>2.87</v>
      </c>
      <c r="I2662" t="s">
        <v>3146</v>
      </c>
      <c r="J2662" t="s">
        <v>3157</v>
      </c>
      <c r="K2662" t="s">
        <v>3171</v>
      </c>
      <c r="L2662" t="str">
        <f>_xlfn.XLOOKUP(C2662,[1]!Table1[Shift_ID],[1]!Table1[Shift_ID])</f>
        <v>S02</v>
      </c>
      <c r="M2662" t="str">
        <f>_xlfn.XLOOKUP(D2662,[2]!Table1[Machine_ID],[2]!Table1[Machine_ID])</f>
        <v>M007</v>
      </c>
      <c r="N2662" t="str">
        <f>_xlfn.XLOOKUP(E2662,[3]Sheet1!$A$2:$A$391,[3]Sheet1!$A$2:$A$391)</f>
        <v>PO10177</v>
      </c>
    </row>
    <row r="2663" spans="1:14" x14ac:dyDescent="0.2">
      <c r="A2663" t="s">
        <v>2672</v>
      </c>
      <c r="B2663" s="2">
        <v>46317</v>
      </c>
      <c r="C2663" t="s">
        <v>2941</v>
      </c>
      <c r="D2663" t="s">
        <v>2948</v>
      </c>
      <c r="E2663" t="s">
        <v>3127</v>
      </c>
      <c r="F2663" s="3">
        <v>46317.831965606318</v>
      </c>
      <c r="G2663" s="3">
        <v>46317.84503527543</v>
      </c>
      <c r="H2663">
        <v>18.82</v>
      </c>
      <c r="I2663" t="s">
        <v>3150</v>
      </c>
      <c r="J2663" t="s">
        <v>3166</v>
      </c>
      <c r="K2663" t="s">
        <v>3178</v>
      </c>
      <c r="L2663" t="str">
        <f>_xlfn.XLOOKUP(C2663,[1]!Table1[Shift_ID],[1]!Table1[Shift_ID])</f>
        <v>S02</v>
      </c>
      <c r="M2663" t="str">
        <f>_xlfn.XLOOKUP(D2663,[2]!Table1[Machine_ID],[2]!Table1[Machine_ID])</f>
        <v>M007</v>
      </c>
      <c r="N2663" t="str">
        <f>_xlfn.XLOOKUP(E2663,[3]Sheet1!$A$2:$A$391,[3]Sheet1!$A$2:$A$391)</f>
        <v>PO10177</v>
      </c>
    </row>
    <row r="2664" spans="1:14" x14ac:dyDescent="0.2">
      <c r="A2664" t="s">
        <v>2673</v>
      </c>
      <c r="B2664" s="2">
        <v>46317</v>
      </c>
      <c r="C2664" t="s">
        <v>2941</v>
      </c>
      <c r="D2664" t="s">
        <v>2949</v>
      </c>
      <c r="E2664" t="s">
        <v>3127</v>
      </c>
      <c r="F2664" s="3">
        <v>46317.79794117339</v>
      </c>
      <c r="G2664" s="3">
        <v>46317.804320041461</v>
      </c>
      <c r="H2664">
        <v>9.19</v>
      </c>
      <c r="I2664" t="s">
        <v>3146</v>
      </c>
      <c r="J2664" t="s">
        <v>3152</v>
      </c>
      <c r="K2664" t="s">
        <v>3174</v>
      </c>
      <c r="L2664" t="str">
        <f>_xlfn.XLOOKUP(C2664,[1]!Table1[Shift_ID],[1]!Table1[Shift_ID])</f>
        <v>S02</v>
      </c>
      <c r="M2664" t="str">
        <f>_xlfn.XLOOKUP(D2664,[2]!Table1[Machine_ID],[2]!Table1[Machine_ID])</f>
        <v>M008</v>
      </c>
      <c r="N2664" t="str">
        <f>_xlfn.XLOOKUP(E2664,[3]Sheet1!$A$2:$A$391,[3]Sheet1!$A$2:$A$391)</f>
        <v>PO10177</v>
      </c>
    </row>
    <row r="2665" spans="1:14" x14ac:dyDescent="0.2">
      <c r="A2665" t="s">
        <v>2674</v>
      </c>
      <c r="B2665" s="2">
        <v>46318</v>
      </c>
      <c r="C2665" t="s">
        <v>2939</v>
      </c>
      <c r="D2665" t="s">
        <v>2942</v>
      </c>
      <c r="E2665" t="s">
        <v>3128</v>
      </c>
      <c r="F2665" s="3">
        <v>46318.917029752221</v>
      </c>
      <c r="G2665" s="3">
        <v>46318.918988201367</v>
      </c>
      <c r="H2665">
        <v>2.82</v>
      </c>
      <c r="I2665" t="s">
        <v>3149</v>
      </c>
      <c r="J2665" t="s">
        <v>3162</v>
      </c>
      <c r="K2665" t="s">
        <v>3176</v>
      </c>
      <c r="L2665" t="str">
        <f>_xlfn.XLOOKUP(C2665,[1]!Table1[Shift_ID],[1]!Table1[Shift_ID])</f>
        <v>S03</v>
      </c>
      <c r="M2665" t="str">
        <f>_xlfn.XLOOKUP(D2665,[2]!Table1[Machine_ID],[2]!Table1[Machine_ID])</f>
        <v>M001</v>
      </c>
      <c r="N2665" t="str">
        <f>_xlfn.XLOOKUP(E2665,[3]Sheet1!$A$2:$A$391,[3]Sheet1!$A$2:$A$391)</f>
        <v>PO10178</v>
      </c>
    </row>
    <row r="2666" spans="1:14" x14ac:dyDescent="0.2">
      <c r="A2666" t="s">
        <v>2675</v>
      </c>
      <c r="B2666" s="2">
        <v>46318</v>
      </c>
      <c r="C2666" t="s">
        <v>2939</v>
      </c>
      <c r="D2666" t="s">
        <v>2942</v>
      </c>
      <c r="E2666" t="s">
        <v>3128</v>
      </c>
      <c r="F2666" s="3">
        <v>46318.957892604398</v>
      </c>
      <c r="G2666" s="3">
        <v>46318.959851053551</v>
      </c>
      <c r="H2666">
        <v>2.82</v>
      </c>
      <c r="I2666" t="s">
        <v>3151</v>
      </c>
      <c r="J2666" t="s">
        <v>3170</v>
      </c>
      <c r="K2666" t="s">
        <v>3188</v>
      </c>
      <c r="L2666" t="str">
        <f>_xlfn.XLOOKUP(C2666,[1]!Table1[Shift_ID],[1]!Table1[Shift_ID])</f>
        <v>S03</v>
      </c>
      <c r="M2666" t="str">
        <f>_xlfn.XLOOKUP(D2666,[2]!Table1[Machine_ID],[2]!Table1[Machine_ID])</f>
        <v>M001</v>
      </c>
      <c r="N2666" t="str">
        <f>_xlfn.XLOOKUP(E2666,[3]Sheet1!$A$2:$A$391,[3]Sheet1!$A$2:$A$391)</f>
        <v>PO10178</v>
      </c>
    </row>
    <row r="2667" spans="1:14" x14ac:dyDescent="0.2">
      <c r="A2667" t="s">
        <v>2676</v>
      </c>
      <c r="B2667" s="2">
        <v>46318</v>
      </c>
      <c r="C2667" t="s">
        <v>2939</v>
      </c>
      <c r="D2667" t="s">
        <v>2942</v>
      </c>
      <c r="E2667" t="s">
        <v>3128</v>
      </c>
      <c r="F2667" s="3">
        <v>46319.084887235244</v>
      </c>
      <c r="G2667" s="3">
        <v>46319.087310545467</v>
      </c>
      <c r="H2667">
        <v>3.49</v>
      </c>
      <c r="I2667" t="s">
        <v>3150</v>
      </c>
      <c r="J2667" t="s">
        <v>3160</v>
      </c>
      <c r="K2667" t="s">
        <v>3178</v>
      </c>
      <c r="L2667" t="str">
        <f>_xlfn.XLOOKUP(C2667,[1]!Table1[Shift_ID],[1]!Table1[Shift_ID])</f>
        <v>S03</v>
      </c>
      <c r="M2667" t="str">
        <f>_xlfn.XLOOKUP(D2667,[2]!Table1[Machine_ID],[2]!Table1[Machine_ID])</f>
        <v>M001</v>
      </c>
      <c r="N2667" t="str">
        <f>_xlfn.XLOOKUP(E2667,[3]Sheet1!$A$2:$A$391,[3]Sheet1!$A$2:$A$391)</f>
        <v>PO10178</v>
      </c>
    </row>
    <row r="2668" spans="1:14" x14ac:dyDescent="0.2">
      <c r="A2668" t="s">
        <v>2677</v>
      </c>
      <c r="B2668" s="2">
        <v>46318</v>
      </c>
      <c r="C2668" t="s">
        <v>2939</v>
      </c>
      <c r="D2668" t="s">
        <v>2943</v>
      </c>
      <c r="E2668" t="s">
        <v>3128</v>
      </c>
      <c r="F2668" s="3">
        <v>46319.168141861723</v>
      </c>
      <c r="G2668" s="3">
        <v>46319.170558214631</v>
      </c>
      <c r="H2668">
        <v>3.48</v>
      </c>
      <c r="I2668" t="s">
        <v>3147</v>
      </c>
      <c r="J2668" t="s">
        <v>3167</v>
      </c>
      <c r="K2668" t="s">
        <v>3186</v>
      </c>
      <c r="L2668" t="str">
        <f>_xlfn.XLOOKUP(C2668,[1]!Table1[Shift_ID],[1]!Table1[Shift_ID])</f>
        <v>S03</v>
      </c>
      <c r="M2668" t="str">
        <f>_xlfn.XLOOKUP(D2668,[2]!Table1[Machine_ID],[2]!Table1[Machine_ID])</f>
        <v>M002</v>
      </c>
      <c r="N2668" t="str">
        <f>_xlfn.XLOOKUP(E2668,[3]Sheet1!$A$2:$A$391,[3]Sheet1!$A$2:$A$391)</f>
        <v>PO10178</v>
      </c>
    </row>
    <row r="2669" spans="1:14" x14ac:dyDescent="0.2">
      <c r="A2669" t="s">
        <v>2678</v>
      </c>
      <c r="B2669" s="2">
        <v>46318</v>
      </c>
      <c r="C2669" t="s">
        <v>2939</v>
      </c>
      <c r="D2669" t="s">
        <v>2943</v>
      </c>
      <c r="E2669" t="s">
        <v>3128</v>
      </c>
      <c r="F2669" s="3">
        <v>46319.20185204006</v>
      </c>
      <c r="G2669" s="3">
        <v>46319.209570795392</v>
      </c>
      <c r="H2669">
        <v>11.12</v>
      </c>
      <c r="I2669" t="s">
        <v>3150</v>
      </c>
      <c r="J2669" t="s">
        <v>3160</v>
      </c>
      <c r="K2669" t="s">
        <v>3177</v>
      </c>
      <c r="L2669" t="str">
        <f>_xlfn.XLOOKUP(C2669,[1]!Table1[Shift_ID],[1]!Table1[Shift_ID])</f>
        <v>S03</v>
      </c>
      <c r="M2669" t="str">
        <f>_xlfn.XLOOKUP(D2669,[2]!Table1[Machine_ID],[2]!Table1[Machine_ID])</f>
        <v>M002</v>
      </c>
      <c r="N2669" t="str">
        <f>_xlfn.XLOOKUP(E2669,[3]Sheet1!$A$2:$A$391,[3]Sheet1!$A$2:$A$391)</f>
        <v>PO10178</v>
      </c>
    </row>
    <row r="2670" spans="1:14" x14ac:dyDescent="0.2">
      <c r="A2670" t="s">
        <v>2679</v>
      </c>
      <c r="B2670" s="2">
        <v>46318</v>
      </c>
      <c r="C2670" t="s">
        <v>2939</v>
      </c>
      <c r="D2670" t="s">
        <v>2944</v>
      </c>
      <c r="E2670" t="s">
        <v>3128</v>
      </c>
      <c r="F2670" s="3">
        <v>46318.999073627747</v>
      </c>
      <c r="G2670" s="3">
        <v>46319.001585733247</v>
      </c>
      <c r="H2670">
        <v>3.62</v>
      </c>
      <c r="I2670" t="s">
        <v>3150</v>
      </c>
      <c r="J2670" t="s">
        <v>3166</v>
      </c>
      <c r="K2670" t="s">
        <v>3178</v>
      </c>
      <c r="L2670" t="str">
        <f>_xlfn.XLOOKUP(C2670,[1]!Table1[Shift_ID],[1]!Table1[Shift_ID])</f>
        <v>S03</v>
      </c>
      <c r="M2670" t="str">
        <f>_xlfn.XLOOKUP(D2670,[2]!Table1[Machine_ID],[2]!Table1[Machine_ID])</f>
        <v>M003</v>
      </c>
      <c r="N2670" t="str">
        <f>_xlfn.XLOOKUP(E2670,[3]Sheet1!$A$2:$A$391,[3]Sheet1!$A$2:$A$391)</f>
        <v>PO10178</v>
      </c>
    </row>
    <row r="2671" spans="1:14" x14ac:dyDescent="0.2">
      <c r="A2671" t="s">
        <v>2680</v>
      </c>
      <c r="B2671" s="2">
        <v>46318</v>
      </c>
      <c r="C2671" t="s">
        <v>2939</v>
      </c>
      <c r="D2671" t="s">
        <v>2944</v>
      </c>
      <c r="E2671" t="s">
        <v>3128</v>
      </c>
      <c r="F2671" s="3">
        <v>46319.029001220682</v>
      </c>
      <c r="G2671" s="3">
        <v>46319.031611211067</v>
      </c>
      <c r="H2671">
        <v>3.76</v>
      </c>
      <c r="I2671" t="s">
        <v>3147</v>
      </c>
      <c r="J2671" t="s">
        <v>3153</v>
      </c>
      <c r="K2671" t="s">
        <v>3186</v>
      </c>
      <c r="L2671" t="str">
        <f>_xlfn.XLOOKUP(C2671,[1]!Table1[Shift_ID],[1]!Table1[Shift_ID])</f>
        <v>S03</v>
      </c>
      <c r="M2671" t="str">
        <f>_xlfn.XLOOKUP(D2671,[2]!Table1[Machine_ID],[2]!Table1[Machine_ID])</f>
        <v>M003</v>
      </c>
      <c r="N2671" t="str">
        <f>_xlfn.XLOOKUP(E2671,[3]Sheet1!$A$2:$A$391,[3]Sheet1!$A$2:$A$391)</f>
        <v>PO10178</v>
      </c>
    </row>
    <row r="2672" spans="1:14" x14ac:dyDescent="0.2">
      <c r="A2672" t="s">
        <v>2681</v>
      </c>
      <c r="B2672" s="2">
        <v>46318</v>
      </c>
      <c r="C2672" t="s">
        <v>2939</v>
      </c>
      <c r="D2672" t="s">
        <v>2944</v>
      </c>
      <c r="E2672" t="s">
        <v>3128</v>
      </c>
      <c r="F2672" s="3">
        <v>46319.176286655231</v>
      </c>
      <c r="G2672" s="3">
        <v>46319.180992883877</v>
      </c>
      <c r="H2672">
        <v>6.78</v>
      </c>
      <c r="I2672" t="s">
        <v>3146</v>
      </c>
      <c r="J2672" t="s">
        <v>3157</v>
      </c>
      <c r="K2672" t="s">
        <v>3174</v>
      </c>
      <c r="L2672" t="str">
        <f>_xlfn.XLOOKUP(C2672,[1]!Table1[Shift_ID],[1]!Table1[Shift_ID])</f>
        <v>S03</v>
      </c>
      <c r="M2672" t="str">
        <f>_xlfn.XLOOKUP(D2672,[2]!Table1[Machine_ID],[2]!Table1[Machine_ID])</f>
        <v>M003</v>
      </c>
      <c r="N2672" t="str">
        <f>_xlfn.XLOOKUP(E2672,[3]Sheet1!$A$2:$A$391,[3]Sheet1!$A$2:$A$391)</f>
        <v>PO10178</v>
      </c>
    </row>
    <row r="2673" spans="1:14" x14ac:dyDescent="0.2">
      <c r="A2673" t="s">
        <v>2682</v>
      </c>
      <c r="B2673" s="2">
        <v>46318</v>
      </c>
      <c r="C2673" t="s">
        <v>2939</v>
      </c>
      <c r="D2673" t="s">
        <v>2944</v>
      </c>
      <c r="E2673" t="s">
        <v>3128</v>
      </c>
      <c r="F2673" s="3">
        <v>46319.240347500607</v>
      </c>
      <c r="G2673" s="3">
        <v>46319.242327079883</v>
      </c>
      <c r="H2673">
        <v>2.85</v>
      </c>
      <c r="I2673" t="s">
        <v>3151</v>
      </c>
      <c r="J2673" t="s">
        <v>3169</v>
      </c>
      <c r="K2673" t="s">
        <v>3187</v>
      </c>
      <c r="L2673" t="str">
        <f>_xlfn.XLOOKUP(C2673,[1]!Table1[Shift_ID],[1]!Table1[Shift_ID])</f>
        <v>S03</v>
      </c>
      <c r="M2673" t="str">
        <f>_xlfn.XLOOKUP(D2673,[2]!Table1[Machine_ID],[2]!Table1[Machine_ID])</f>
        <v>M003</v>
      </c>
      <c r="N2673" t="str">
        <f>_xlfn.XLOOKUP(E2673,[3]Sheet1!$A$2:$A$391,[3]Sheet1!$A$2:$A$391)</f>
        <v>PO10178</v>
      </c>
    </row>
    <row r="2674" spans="1:14" x14ac:dyDescent="0.2">
      <c r="A2674" t="s">
        <v>2683</v>
      </c>
      <c r="B2674" s="2">
        <v>46318</v>
      </c>
      <c r="C2674" t="s">
        <v>2939</v>
      </c>
      <c r="D2674" t="s">
        <v>2945</v>
      </c>
      <c r="E2674" t="s">
        <v>3128</v>
      </c>
      <c r="F2674" s="3">
        <v>46319.232064574142</v>
      </c>
      <c r="G2674" s="3">
        <v>46319.23983171022</v>
      </c>
      <c r="H2674">
        <v>11.18</v>
      </c>
      <c r="I2674" t="s">
        <v>3147</v>
      </c>
      <c r="J2674" t="s">
        <v>3153</v>
      </c>
      <c r="K2674" t="s">
        <v>3185</v>
      </c>
      <c r="L2674" t="str">
        <f>_xlfn.XLOOKUP(C2674,[1]!Table1[Shift_ID],[1]!Table1[Shift_ID])</f>
        <v>S03</v>
      </c>
      <c r="M2674" t="str">
        <f>_xlfn.XLOOKUP(D2674,[2]!Table1[Machine_ID],[2]!Table1[Machine_ID])</f>
        <v>M004</v>
      </c>
      <c r="N2674" t="str">
        <f>_xlfn.XLOOKUP(E2674,[3]Sheet1!$A$2:$A$391,[3]Sheet1!$A$2:$A$391)</f>
        <v>PO10178</v>
      </c>
    </row>
    <row r="2675" spans="1:14" x14ac:dyDescent="0.2">
      <c r="A2675" t="s">
        <v>2684</v>
      </c>
      <c r="B2675" s="2">
        <v>46318</v>
      </c>
      <c r="C2675" t="s">
        <v>2939</v>
      </c>
      <c r="D2675" t="s">
        <v>2946</v>
      </c>
      <c r="E2675" t="s">
        <v>3128</v>
      </c>
      <c r="F2675" s="3">
        <v>46318.964845398863</v>
      </c>
      <c r="G2675" s="3">
        <v>46318.967862010933</v>
      </c>
      <c r="H2675">
        <v>4.34</v>
      </c>
      <c r="I2675" t="s">
        <v>3150</v>
      </c>
      <c r="J2675" t="s">
        <v>3166</v>
      </c>
      <c r="K2675" t="s">
        <v>3178</v>
      </c>
      <c r="L2675" t="str">
        <f>_xlfn.XLOOKUP(C2675,[1]!Table1[Shift_ID],[1]!Table1[Shift_ID])</f>
        <v>S03</v>
      </c>
      <c r="M2675" t="str">
        <f>_xlfn.XLOOKUP(D2675,[2]!Table1[Machine_ID],[2]!Table1[Machine_ID])</f>
        <v>M005</v>
      </c>
      <c r="N2675" t="str">
        <f>_xlfn.XLOOKUP(E2675,[3]Sheet1!$A$2:$A$391,[3]Sheet1!$A$2:$A$391)</f>
        <v>PO10178</v>
      </c>
    </row>
    <row r="2676" spans="1:14" x14ac:dyDescent="0.2">
      <c r="A2676" t="s">
        <v>2685</v>
      </c>
      <c r="B2676" s="2">
        <v>46318</v>
      </c>
      <c r="C2676" t="s">
        <v>2939</v>
      </c>
      <c r="D2676" t="s">
        <v>2946</v>
      </c>
      <c r="E2676" t="s">
        <v>3128</v>
      </c>
      <c r="F2676" s="3">
        <v>46319.011487574717</v>
      </c>
      <c r="G2676" s="3">
        <v>46319.014498550983</v>
      </c>
      <c r="H2676">
        <v>4.34</v>
      </c>
      <c r="I2676" t="s">
        <v>3150</v>
      </c>
      <c r="J2676" t="s">
        <v>3163</v>
      </c>
      <c r="K2676" t="s">
        <v>3179</v>
      </c>
      <c r="L2676" t="str">
        <f>_xlfn.XLOOKUP(C2676,[1]!Table1[Shift_ID],[1]!Table1[Shift_ID])</f>
        <v>S03</v>
      </c>
      <c r="M2676" t="str">
        <f>_xlfn.XLOOKUP(D2676,[2]!Table1[Machine_ID],[2]!Table1[Machine_ID])</f>
        <v>M005</v>
      </c>
      <c r="N2676" t="str">
        <f>_xlfn.XLOOKUP(E2676,[3]Sheet1!$A$2:$A$391,[3]Sheet1!$A$2:$A$391)</f>
        <v>PO10178</v>
      </c>
    </row>
    <row r="2677" spans="1:14" x14ac:dyDescent="0.2">
      <c r="A2677" t="s">
        <v>2686</v>
      </c>
      <c r="B2677" s="2">
        <v>46318</v>
      </c>
      <c r="C2677" t="s">
        <v>2939</v>
      </c>
      <c r="D2677" t="s">
        <v>2946</v>
      </c>
      <c r="E2677" t="s">
        <v>3128</v>
      </c>
      <c r="F2677" s="3">
        <v>46319.210675296643</v>
      </c>
      <c r="G2677" s="3">
        <v>46319.212448465907</v>
      </c>
      <c r="H2677">
        <v>2.5499999999999998</v>
      </c>
      <c r="I2677" t="s">
        <v>3148</v>
      </c>
      <c r="J2677" t="s">
        <v>3155</v>
      </c>
      <c r="K2677" t="s">
        <v>3180</v>
      </c>
      <c r="L2677" t="str">
        <f>_xlfn.XLOOKUP(C2677,[1]!Table1[Shift_ID],[1]!Table1[Shift_ID])</f>
        <v>S03</v>
      </c>
      <c r="M2677" t="str">
        <f>_xlfn.XLOOKUP(D2677,[2]!Table1[Machine_ID],[2]!Table1[Machine_ID])</f>
        <v>M005</v>
      </c>
      <c r="N2677" t="str">
        <f>_xlfn.XLOOKUP(E2677,[3]Sheet1!$A$2:$A$391,[3]Sheet1!$A$2:$A$391)</f>
        <v>PO10178</v>
      </c>
    </row>
    <row r="2678" spans="1:14" x14ac:dyDescent="0.2">
      <c r="A2678" t="s">
        <v>2687</v>
      </c>
      <c r="B2678" s="2">
        <v>46318</v>
      </c>
      <c r="C2678" t="s">
        <v>2939</v>
      </c>
      <c r="D2678" t="s">
        <v>2946</v>
      </c>
      <c r="E2678" t="s">
        <v>3128</v>
      </c>
      <c r="F2678" s="3">
        <v>46319.211350705882</v>
      </c>
      <c r="G2678" s="3">
        <v>46319.213123875139</v>
      </c>
      <c r="H2678">
        <v>2.5499999999999998</v>
      </c>
      <c r="I2678" t="s">
        <v>3148</v>
      </c>
      <c r="J2678" t="s">
        <v>3165</v>
      </c>
      <c r="K2678" t="s">
        <v>3183</v>
      </c>
      <c r="L2678" t="str">
        <f>_xlfn.XLOOKUP(C2678,[1]!Table1[Shift_ID],[1]!Table1[Shift_ID])</f>
        <v>S03</v>
      </c>
      <c r="M2678" t="str">
        <f>_xlfn.XLOOKUP(D2678,[2]!Table1[Machine_ID],[2]!Table1[Machine_ID])</f>
        <v>M005</v>
      </c>
      <c r="N2678" t="str">
        <f>_xlfn.XLOOKUP(E2678,[3]Sheet1!$A$2:$A$391,[3]Sheet1!$A$2:$A$391)</f>
        <v>PO10178</v>
      </c>
    </row>
    <row r="2679" spans="1:14" x14ac:dyDescent="0.2">
      <c r="A2679" t="s">
        <v>2688</v>
      </c>
      <c r="B2679" s="2">
        <v>46318</v>
      </c>
      <c r="C2679" t="s">
        <v>2939</v>
      </c>
      <c r="D2679" t="s">
        <v>2947</v>
      </c>
      <c r="E2679" t="s">
        <v>3128</v>
      </c>
      <c r="F2679" s="3">
        <v>46318.952959213893</v>
      </c>
      <c r="G2679" s="3">
        <v>46318.968396814271</v>
      </c>
      <c r="H2679">
        <v>22.23</v>
      </c>
      <c r="I2679" t="s">
        <v>3149</v>
      </c>
      <c r="J2679" t="s">
        <v>3162</v>
      </c>
      <c r="K2679" t="s">
        <v>3176</v>
      </c>
      <c r="L2679" t="str">
        <f>_xlfn.XLOOKUP(C2679,[1]!Table1[Shift_ID],[1]!Table1[Shift_ID])</f>
        <v>S03</v>
      </c>
      <c r="M2679" t="str">
        <f>_xlfn.XLOOKUP(D2679,[2]!Table1[Machine_ID],[2]!Table1[Machine_ID])</f>
        <v>M006</v>
      </c>
      <c r="N2679" t="str">
        <f>_xlfn.XLOOKUP(E2679,[3]Sheet1!$A$2:$A$391,[3]Sheet1!$A$2:$A$391)</f>
        <v>PO10178</v>
      </c>
    </row>
    <row r="2680" spans="1:14" x14ac:dyDescent="0.2">
      <c r="A2680" t="s">
        <v>2689</v>
      </c>
      <c r="B2680" s="2">
        <v>46318</v>
      </c>
      <c r="C2680" t="s">
        <v>2939</v>
      </c>
      <c r="D2680" t="s">
        <v>2947</v>
      </c>
      <c r="E2680" t="s">
        <v>3128</v>
      </c>
      <c r="F2680" s="3">
        <v>46318.977983932811</v>
      </c>
      <c r="G2680" s="3">
        <v>46318.992435184147</v>
      </c>
      <c r="H2680">
        <v>20.81</v>
      </c>
      <c r="I2680" t="s">
        <v>3146</v>
      </c>
      <c r="J2680" t="s">
        <v>3152</v>
      </c>
      <c r="K2680" t="s">
        <v>3175</v>
      </c>
      <c r="L2680" t="str">
        <f>_xlfn.XLOOKUP(C2680,[1]!Table1[Shift_ID],[1]!Table1[Shift_ID])</f>
        <v>S03</v>
      </c>
      <c r="M2680" t="str">
        <f>_xlfn.XLOOKUP(D2680,[2]!Table1[Machine_ID],[2]!Table1[Machine_ID])</f>
        <v>M006</v>
      </c>
      <c r="N2680" t="str">
        <f>_xlfn.XLOOKUP(E2680,[3]Sheet1!$A$2:$A$391,[3]Sheet1!$A$2:$A$391)</f>
        <v>PO10178</v>
      </c>
    </row>
    <row r="2681" spans="1:14" x14ac:dyDescent="0.2">
      <c r="A2681" t="s">
        <v>2690</v>
      </c>
      <c r="B2681" s="2">
        <v>46318</v>
      </c>
      <c r="C2681" t="s">
        <v>2939</v>
      </c>
      <c r="D2681" t="s">
        <v>2948</v>
      </c>
      <c r="E2681" t="s">
        <v>3128</v>
      </c>
      <c r="F2681" s="3">
        <v>46319.000301119791</v>
      </c>
      <c r="G2681" s="3">
        <v>46319.01244612757</v>
      </c>
      <c r="H2681">
        <v>17.489999999999998</v>
      </c>
      <c r="I2681" t="s">
        <v>3147</v>
      </c>
      <c r="J2681" t="s">
        <v>3167</v>
      </c>
      <c r="K2681" t="s">
        <v>3172</v>
      </c>
      <c r="L2681" t="str">
        <f>_xlfn.XLOOKUP(C2681,[1]!Table1[Shift_ID],[1]!Table1[Shift_ID])</f>
        <v>S03</v>
      </c>
      <c r="M2681" t="str">
        <f>_xlfn.XLOOKUP(D2681,[2]!Table1[Machine_ID],[2]!Table1[Machine_ID])</f>
        <v>M007</v>
      </c>
      <c r="N2681" t="str">
        <f>_xlfn.XLOOKUP(E2681,[3]Sheet1!$A$2:$A$391,[3]Sheet1!$A$2:$A$391)</f>
        <v>PO10178</v>
      </c>
    </row>
    <row r="2682" spans="1:14" x14ac:dyDescent="0.2">
      <c r="A2682" t="s">
        <v>2691</v>
      </c>
      <c r="B2682" s="2">
        <v>46318</v>
      </c>
      <c r="C2682" t="s">
        <v>2939</v>
      </c>
      <c r="D2682" t="s">
        <v>2949</v>
      </c>
      <c r="E2682" t="s">
        <v>3128</v>
      </c>
      <c r="F2682" s="3">
        <v>46319.092053822576</v>
      </c>
      <c r="G2682" s="3">
        <v>46319.100102185483</v>
      </c>
      <c r="H2682">
        <v>11.59</v>
      </c>
      <c r="I2682" t="s">
        <v>3149</v>
      </c>
      <c r="J2682" t="s">
        <v>3162</v>
      </c>
      <c r="K2682" t="s">
        <v>3182</v>
      </c>
      <c r="L2682" t="str">
        <f>_xlfn.XLOOKUP(C2682,[1]!Table1[Shift_ID],[1]!Table1[Shift_ID])</f>
        <v>S03</v>
      </c>
      <c r="M2682" t="str">
        <f>_xlfn.XLOOKUP(D2682,[2]!Table1[Machine_ID],[2]!Table1[Machine_ID])</f>
        <v>M008</v>
      </c>
      <c r="N2682" t="str">
        <f>_xlfn.XLOOKUP(E2682,[3]Sheet1!$A$2:$A$391,[3]Sheet1!$A$2:$A$391)</f>
        <v>PO10178</v>
      </c>
    </row>
    <row r="2683" spans="1:14" x14ac:dyDescent="0.2">
      <c r="A2683" t="s">
        <v>2692</v>
      </c>
      <c r="B2683" s="2">
        <v>46318</v>
      </c>
      <c r="C2683" t="s">
        <v>2940</v>
      </c>
      <c r="D2683" t="s">
        <v>2942</v>
      </c>
      <c r="E2683" t="s">
        <v>3129</v>
      </c>
      <c r="F2683" s="3">
        <v>46318.470002274596</v>
      </c>
      <c r="G2683" s="3">
        <v>46318.475561254039</v>
      </c>
      <c r="H2683">
        <v>8</v>
      </c>
      <c r="I2683" t="s">
        <v>3150</v>
      </c>
      <c r="J2683" t="s">
        <v>3163</v>
      </c>
      <c r="K2683" t="s">
        <v>3178</v>
      </c>
      <c r="L2683" t="str">
        <f>_xlfn.XLOOKUP(C2683,[1]!Table1[Shift_ID],[1]!Table1[Shift_ID])</f>
        <v>S01</v>
      </c>
      <c r="M2683" t="str">
        <f>_xlfn.XLOOKUP(D2683,[2]!Table1[Machine_ID],[2]!Table1[Machine_ID])</f>
        <v>M001</v>
      </c>
      <c r="N2683" t="str">
        <f>_xlfn.XLOOKUP(E2683,[3]Sheet1!$A$2:$A$391,[3]Sheet1!$A$2:$A$391)</f>
        <v>PO10179</v>
      </c>
    </row>
    <row r="2684" spans="1:14" x14ac:dyDescent="0.2">
      <c r="A2684" t="s">
        <v>2693</v>
      </c>
      <c r="B2684" s="2">
        <v>46318</v>
      </c>
      <c r="C2684" t="s">
        <v>2940</v>
      </c>
      <c r="D2684" t="s">
        <v>2943</v>
      </c>
      <c r="E2684" t="s">
        <v>3129</v>
      </c>
      <c r="F2684" s="3">
        <v>46318.277242331344</v>
      </c>
      <c r="G2684" s="3">
        <v>46318.279451102499</v>
      </c>
      <c r="H2684">
        <v>3.18</v>
      </c>
      <c r="I2684" t="s">
        <v>3151</v>
      </c>
      <c r="J2684" t="s">
        <v>3161</v>
      </c>
      <c r="K2684" t="s">
        <v>3188</v>
      </c>
      <c r="L2684" t="str">
        <f>_xlfn.XLOOKUP(C2684,[1]!Table1[Shift_ID],[1]!Table1[Shift_ID])</f>
        <v>S01</v>
      </c>
      <c r="M2684" t="str">
        <f>_xlfn.XLOOKUP(D2684,[2]!Table1[Machine_ID],[2]!Table1[Machine_ID])</f>
        <v>M002</v>
      </c>
      <c r="N2684" t="str">
        <f>_xlfn.XLOOKUP(E2684,[3]Sheet1!$A$2:$A$391,[3]Sheet1!$A$2:$A$391)</f>
        <v>PO10179</v>
      </c>
    </row>
    <row r="2685" spans="1:14" x14ac:dyDescent="0.2">
      <c r="A2685" t="s">
        <v>2694</v>
      </c>
      <c r="B2685" s="2">
        <v>46318</v>
      </c>
      <c r="C2685" t="s">
        <v>2940</v>
      </c>
      <c r="D2685" t="s">
        <v>2943</v>
      </c>
      <c r="E2685" t="s">
        <v>3129</v>
      </c>
      <c r="F2685" s="3">
        <v>46318.528855331228</v>
      </c>
      <c r="G2685" s="3">
        <v>46318.531940642613</v>
      </c>
      <c r="H2685">
        <v>4.4400000000000004</v>
      </c>
      <c r="I2685" t="s">
        <v>3149</v>
      </c>
      <c r="J2685" t="s">
        <v>3158</v>
      </c>
      <c r="K2685" t="s">
        <v>3176</v>
      </c>
      <c r="L2685" t="str">
        <f>_xlfn.XLOOKUP(C2685,[1]!Table1[Shift_ID],[1]!Table1[Shift_ID])</f>
        <v>S01</v>
      </c>
      <c r="M2685" t="str">
        <f>_xlfn.XLOOKUP(D2685,[2]!Table1[Machine_ID],[2]!Table1[Machine_ID])</f>
        <v>M002</v>
      </c>
      <c r="N2685" t="str">
        <f>_xlfn.XLOOKUP(E2685,[3]Sheet1!$A$2:$A$391,[3]Sheet1!$A$2:$A$391)</f>
        <v>PO10179</v>
      </c>
    </row>
    <row r="2686" spans="1:14" x14ac:dyDescent="0.2">
      <c r="A2686" t="s">
        <v>2695</v>
      </c>
      <c r="B2686" s="2">
        <v>46318</v>
      </c>
      <c r="C2686" t="s">
        <v>2940</v>
      </c>
      <c r="D2686" t="s">
        <v>2943</v>
      </c>
      <c r="E2686" t="s">
        <v>3129</v>
      </c>
      <c r="F2686" s="3">
        <v>46318.539708281947</v>
      </c>
      <c r="G2686" s="3">
        <v>46318.541398570713</v>
      </c>
      <c r="H2686">
        <v>2.4300000000000002</v>
      </c>
      <c r="I2686" t="s">
        <v>3150</v>
      </c>
      <c r="J2686" t="s">
        <v>3166</v>
      </c>
      <c r="K2686" t="s">
        <v>3177</v>
      </c>
      <c r="L2686" t="str">
        <f>_xlfn.XLOOKUP(C2686,[1]!Table1[Shift_ID],[1]!Table1[Shift_ID])</f>
        <v>S01</v>
      </c>
      <c r="M2686" t="str">
        <f>_xlfn.XLOOKUP(D2686,[2]!Table1[Machine_ID],[2]!Table1[Machine_ID])</f>
        <v>M002</v>
      </c>
      <c r="N2686" t="str">
        <f>_xlfn.XLOOKUP(E2686,[3]Sheet1!$A$2:$A$391,[3]Sheet1!$A$2:$A$391)</f>
        <v>PO10179</v>
      </c>
    </row>
    <row r="2687" spans="1:14" x14ac:dyDescent="0.2">
      <c r="A2687" t="s">
        <v>2696</v>
      </c>
      <c r="B2687" s="2">
        <v>46318</v>
      </c>
      <c r="C2687" t="s">
        <v>2940</v>
      </c>
      <c r="D2687" t="s">
        <v>2944</v>
      </c>
      <c r="E2687" t="s">
        <v>3129</v>
      </c>
      <c r="F2687" s="3">
        <v>46318.307012108817</v>
      </c>
      <c r="G2687" s="3">
        <v>46318.308750068958</v>
      </c>
      <c r="H2687">
        <v>2.5</v>
      </c>
      <c r="I2687" t="s">
        <v>3147</v>
      </c>
      <c r="J2687" t="s">
        <v>3167</v>
      </c>
      <c r="K2687" t="s">
        <v>3186</v>
      </c>
      <c r="L2687" t="str">
        <f>_xlfn.XLOOKUP(C2687,[1]!Table1[Shift_ID],[1]!Table1[Shift_ID])</f>
        <v>S01</v>
      </c>
      <c r="M2687" t="str">
        <f>_xlfn.XLOOKUP(D2687,[2]!Table1[Machine_ID],[2]!Table1[Machine_ID])</f>
        <v>M003</v>
      </c>
      <c r="N2687" t="str">
        <f>_xlfn.XLOOKUP(E2687,[3]Sheet1!$A$2:$A$391,[3]Sheet1!$A$2:$A$391)</f>
        <v>PO10179</v>
      </c>
    </row>
    <row r="2688" spans="1:14" x14ac:dyDescent="0.2">
      <c r="A2688" t="s">
        <v>2697</v>
      </c>
      <c r="B2688" s="2">
        <v>46318</v>
      </c>
      <c r="C2688" t="s">
        <v>2940</v>
      </c>
      <c r="D2688" t="s">
        <v>2944</v>
      </c>
      <c r="E2688" t="s">
        <v>3129</v>
      </c>
      <c r="F2688" s="3">
        <v>46318.35386406177</v>
      </c>
      <c r="G2688" s="3">
        <v>46318.356258402418</v>
      </c>
      <c r="H2688">
        <v>3.45</v>
      </c>
      <c r="I2688" t="s">
        <v>3150</v>
      </c>
      <c r="J2688" t="s">
        <v>3159</v>
      </c>
      <c r="K2688" t="s">
        <v>3179</v>
      </c>
      <c r="L2688" t="str">
        <f>_xlfn.XLOOKUP(C2688,[1]!Table1[Shift_ID],[1]!Table1[Shift_ID])</f>
        <v>S01</v>
      </c>
      <c r="M2688" t="str">
        <f>_xlfn.XLOOKUP(D2688,[2]!Table1[Machine_ID],[2]!Table1[Machine_ID])</f>
        <v>M003</v>
      </c>
      <c r="N2688" t="str">
        <f>_xlfn.XLOOKUP(E2688,[3]Sheet1!$A$2:$A$391,[3]Sheet1!$A$2:$A$391)</f>
        <v>PO10179</v>
      </c>
    </row>
    <row r="2689" spans="1:14" x14ac:dyDescent="0.2">
      <c r="A2689" t="s">
        <v>2698</v>
      </c>
      <c r="B2689" s="2">
        <v>46318</v>
      </c>
      <c r="C2689" t="s">
        <v>2940</v>
      </c>
      <c r="D2689" t="s">
        <v>2944</v>
      </c>
      <c r="E2689" t="s">
        <v>3129</v>
      </c>
      <c r="F2689" s="3">
        <v>46318.447446514518</v>
      </c>
      <c r="G2689" s="3">
        <v>46318.452238630867</v>
      </c>
      <c r="H2689">
        <v>6.9</v>
      </c>
      <c r="I2689" t="s">
        <v>3146</v>
      </c>
      <c r="J2689" t="s">
        <v>3157</v>
      </c>
      <c r="K2689" t="s">
        <v>3171</v>
      </c>
      <c r="L2689" t="str">
        <f>_xlfn.XLOOKUP(C2689,[1]!Table1[Shift_ID],[1]!Table1[Shift_ID])</f>
        <v>S01</v>
      </c>
      <c r="M2689" t="str">
        <f>_xlfn.XLOOKUP(D2689,[2]!Table1[Machine_ID],[2]!Table1[Machine_ID])</f>
        <v>M003</v>
      </c>
      <c r="N2689" t="str">
        <f>_xlfn.XLOOKUP(E2689,[3]Sheet1!$A$2:$A$391,[3]Sheet1!$A$2:$A$391)</f>
        <v>PO10179</v>
      </c>
    </row>
    <row r="2690" spans="1:14" x14ac:dyDescent="0.2">
      <c r="A2690" t="s">
        <v>2699</v>
      </c>
      <c r="B2690" s="2">
        <v>46318</v>
      </c>
      <c r="C2690" t="s">
        <v>2940</v>
      </c>
      <c r="D2690" t="s">
        <v>2944</v>
      </c>
      <c r="E2690" t="s">
        <v>3129</v>
      </c>
      <c r="F2690" s="3">
        <v>46318.460919656623</v>
      </c>
      <c r="G2690" s="3">
        <v>46318.462657616772</v>
      </c>
      <c r="H2690">
        <v>2.5</v>
      </c>
      <c r="I2690" t="s">
        <v>3148</v>
      </c>
      <c r="J2690" t="s">
        <v>3155</v>
      </c>
      <c r="K2690" t="s">
        <v>3173</v>
      </c>
      <c r="L2690" t="str">
        <f>_xlfn.XLOOKUP(C2690,[1]!Table1[Shift_ID],[1]!Table1[Shift_ID])</f>
        <v>S01</v>
      </c>
      <c r="M2690" t="str">
        <f>_xlfn.XLOOKUP(D2690,[2]!Table1[Machine_ID],[2]!Table1[Machine_ID])</f>
        <v>M003</v>
      </c>
      <c r="N2690" t="str">
        <f>_xlfn.XLOOKUP(E2690,[3]Sheet1!$A$2:$A$391,[3]Sheet1!$A$2:$A$391)</f>
        <v>PO10179</v>
      </c>
    </row>
    <row r="2691" spans="1:14" x14ac:dyDescent="0.2">
      <c r="A2691" t="s">
        <v>2700</v>
      </c>
      <c r="B2691" s="2">
        <v>46318</v>
      </c>
      <c r="C2691" t="s">
        <v>2940</v>
      </c>
      <c r="D2691" t="s">
        <v>2944</v>
      </c>
      <c r="E2691" t="s">
        <v>3129</v>
      </c>
      <c r="F2691" s="3">
        <v>46318.472244434131</v>
      </c>
      <c r="G2691" s="3">
        <v>46318.47398239428</v>
      </c>
      <c r="H2691">
        <v>2.5</v>
      </c>
      <c r="I2691" t="s">
        <v>3148</v>
      </c>
      <c r="J2691" t="s">
        <v>3164</v>
      </c>
      <c r="K2691" t="s">
        <v>3183</v>
      </c>
      <c r="L2691" t="str">
        <f>_xlfn.XLOOKUP(C2691,[1]!Table1[Shift_ID],[1]!Table1[Shift_ID])</f>
        <v>S01</v>
      </c>
      <c r="M2691" t="str">
        <f>_xlfn.XLOOKUP(D2691,[2]!Table1[Machine_ID],[2]!Table1[Machine_ID])</f>
        <v>M003</v>
      </c>
      <c r="N2691" t="str">
        <f>_xlfn.XLOOKUP(E2691,[3]Sheet1!$A$2:$A$391,[3]Sheet1!$A$2:$A$391)</f>
        <v>PO10179</v>
      </c>
    </row>
    <row r="2692" spans="1:14" x14ac:dyDescent="0.2">
      <c r="A2692" t="s">
        <v>2701</v>
      </c>
      <c r="B2692" s="2">
        <v>46318</v>
      </c>
      <c r="C2692" t="s">
        <v>2940</v>
      </c>
      <c r="D2692" t="s">
        <v>2945</v>
      </c>
      <c r="E2692" t="s">
        <v>3129</v>
      </c>
      <c r="F2692" s="3">
        <v>46318.313217867821</v>
      </c>
      <c r="G2692" s="3">
        <v>46318.314668450294</v>
      </c>
      <c r="H2692">
        <v>2.09</v>
      </c>
      <c r="I2692" t="s">
        <v>3147</v>
      </c>
      <c r="J2692" t="s">
        <v>3154</v>
      </c>
      <c r="K2692" t="s">
        <v>3186</v>
      </c>
      <c r="L2692" t="str">
        <f>_xlfn.XLOOKUP(C2692,[1]!Table1[Shift_ID],[1]!Table1[Shift_ID])</f>
        <v>S01</v>
      </c>
      <c r="M2692" t="str">
        <f>_xlfn.XLOOKUP(D2692,[2]!Table1[Machine_ID],[2]!Table1[Machine_ID])</f>
        <v>M004</v>
      </c>
      <c r="N2692" t="str">
        <f>_xlfn.XLOOKUP(E2692,[3]Sheet1!$A$2:$A$391,[3]Sheet1!$A$2:$A$391)</f>
        <v>PO10179</v>
      </c>
    </row>
    <row r="2693" spans="1:14" x14ac:dyDescent="0.2">
      <c r="A2693" t="s">
        <v>2702</v>
      </c>
      <c r="B2693" s="2">
        <v>46318</v>
      </c>
      <c r="C2693" t="s">
        <v>2940</v>
      </c>
      <c r="D2693" t="s">
        <v>2945</v>
      </c>
      <c r="E2693" t="s">
        <v>3129</v>
      </c>
      <c r="F2693" s="3">
        <v>46318.316781232097</v>
      </c>
      <c r="G2693" s="3">
        <v>46318.318237379041</v>
      </c>
      <c r="H2693">
        <v>2.1</v>
      </c>
      <c r="I2693" t="s">
        <v>3149</v>
      </c>
      <c r="J2693" t="s">
        <v>3162</v>
      </c>
      <c r="K2693" t="s">
        <v>3182</v>
      </c>
      <c r="L2693" t="str">
        <f>_xlfn.XLOOKUP(C2693,[1]!Table1[Shift_ID],[1]!Table1[Shift_ID])</f>
        <v>S01</v>
      </c>
      <c r="M2693" t="str">
        <f>_xlfn.XLOOKUP(D2693,[2]!Table1[Machine_ID],[2]!Table1[Machine_ID])</f>
        <v>M004</v>
      </c>
      <c r="N2693" t="str">
        <f>_xlfn.XLOOKUP(E2693,[3]Sheet1!$A$2:$A$391,[3]Sheet1!$A$2:$A$391)</f>
        <v>PO10179</v>
      </c>
    </row>
    <row r="2694" spans="1:14" x14ac:dyDescent="0.2">
      <c r="A2694" t="s">
        <v>2703</v>
      </c>
      <c r="B2694" s="2">
        <v>46318</v>
      </c>
      <c r="C2694" t="s">
        <v>2940</v>
      </c>
      <c r="D2694" t="s">
        <v>2945</v>
      </c>
      <c r="E2694" t="s">
        <v>3129</v>
      </c>
      <c r="F2694" s="3">
        <v>46318.444826361432</v>
      </c>
      <c r="G2694" s="3">
        <v>46318.446276943898</v>
      </c>
      <c r="H2694">
        <v>2.09</v>
      </c>
      <c r="I2694" t="s">
        <v>3151</v>
      </c>
      <c r="J2694" t="s">
        <v>3161</v>
      </c>
      <c r="K2694" t="s">
        <v>3188</v>
      </c>
      <c r="L2694" t="str">
        <f>_xlfn.XLOOKUP(C2694,[1]!Table1[Shift_ID],[1]!Table1[Shift_ID])</f>
        <v>S01</v>
      </c>
      <c r="M2694" t="str">
        <f>_xlfn.XLOOKUP(D2694,[2]!Table1[Machine_ID],[2]!Table1[Machine_ID])</f>
        <v>M004</v>
      </c>
      <c r="N2694" t="str">
        <f>_xlfn.XLOOKUP(E2694,[3]Sheet1!$A$2:$A$391,[3]Sheet1!$A$2:$A$391)</f>
        <v>PO10179</v>
      </c>
    </row>
    <row r="2695" spans="1:14" x14ac:dyDescent="0.2">
      <c r="A2695" t="s">
        <v>2704</v>
      </c>
      <c r="B2695" s="2">
        <v>46318</v>
      </c>
      <c r="C2695" t="s">
        <v>2940</v>
      </c>
      <c r="D2695" t="s">
        <v>2945</v>
      </c>
      <c r="E2695" t="s">
        <v>3129</v>
      </c>
      <c r="F2695" s="3">
        <v>46318.530911536953</v>
      </c>
      <c r="G2695" s="3">
        <v>46318.532362119418</v>
      </c>
      <c r="H2695">
        <v>2.09</v>
      </c>
      <c r="I2695" t="s">
        <v>3147</v>
      </c>
      <c r="J2695" t="s">
        <v>3153</v>
      </c>
      <c r="K2695" t="s">
        <v>3185</v>
      </c>
      <c r="L2695" t="str">
        <f>_xlfn.XLOOKUP(C2695,[1]!Table1[Shift_ID],[1]!Table1[Shift_ID])</f>
        <v>S01</v>
      </c>
      <c r="M2695" t="str">
        <f>_xlfn.XLOOKUP(D2695,[2]!Table1[Machine_ID],[2]!Table1[Machine_ID])</f>
        <v>M004</v>
      </c>
      <c r="N2695" t="str">
        <f>_xlfn.XLOOKUP(E2695,[3]Sheet1!$A$2:$A$391,[3]Sheet1!$A$2:$A$391)</f>
        <v>PO10179</v>
      </c>
    </row>
    <row r="2696" spans="1:14" x14ac:dyDescent="0.2">
      <c r="A2696" t="s">
        <v>2705</v>
      </c>
      <c r="B2696" s="2">
        <v>46318</v>
      </c>
      <c r="C2696" t="s">
        <v>2940</v>
      </c>
      <c r="D2696" t="s">
        <v>2946</v>
      </c>
      <c r="E2696" t="s">
        <v>3129</v>
      </c>
      <c r="F2696" s="3">
        <v>46318.504920047737</v>
      </c>
      <c r="G2696" s="3">
        <v>46318.513864249777</v>
      </c>
      <c r="H2696">
        <v>12.88</v>
      </c>
      <c r="I2696" t="s">
        <v>3151</v>
      </c>
      <c r="J2696" t="s">
        <v>3169</v>
      </c>
      <c r="K2696" t="s">
        <v>3188</v>
      </c>
      <c r="L2696" t="str">
        <f>_xlfn.XLOOKUP(C2696,[1]!Table1[Shift_ID],[1]!Table1[Shift_ID])</f>
        <v>S01</v>
      </c>
      <c r="M2696" t="str">
        <f>_xlfn.XLOOKUP(D2696,[2]!Table1[Machine_ID],[2]!Table1[Machine_ID])</f>
        <v>M005</v>
      </c>
      <c r="N2696" t="str">
        <f>_xlfn.XLOOKUP(E2696,[3]Sheet1!$A$2:$A$391,[3]Sheet1!$A$2:$A$391)</f>
        <v>PO10179</v>
      </c>
    </row>
    <row r="2697" spans="1:14" x14ac:dyDescent="0.2">
      <c r="A2697" t="s">
        <v>2706</v>
      </c>
      <c r="B2697" s="2">
        <v>46318</v>
      </c>
      <c r="C2697" t="s">
        <v>2940</v>
      </c>
      <c r="D2697" t="s">
        <v>2947</v>
      </c>
      <c r="E2697" t="s">
        <v>3129</v>
      </c>
      <c r="F2697" s="3">
        <v>46318.278753766434</v>
      </c>
      <c r="G2697" s="3">
        <v>46318.298871406143</v>
      </c>
      <c r="H2697">
        <v>28.97</v>
      </c>
      <c r="I2697" t="s">
        <v>3150</v>
      </c>
      <c r="J2697" t="s">
        <v>3166</v>
      </c>
      <c r="K2697" t="s">
        <v>3179</v>
      </c>
      <c r="L2697" t="str">
        <f>_xlfn.XLOOKUP(C2697,[1]!Table1[Shift_ID],[1]!Table1[Shift_ID])</f>
        <v>S01</v>
      </c>
      <c r="M2697" t="str">
        <f>_xlfn.XLOOKUP(D2697,[2]!Table1[Machine_ID],[2]!Table1[Machine_ID])</f>
        <v>M006</v>
      </c>
      <c r="N2697" t="str">
        <f>_xlfn.XLOOKUP(E2697,[3]Sheet1!$A$2:$A$391,[3]Sheet1!$A$2:$A$391)</f>
        <v>PO10179</v>
      </c>
    </row>
    <row r="2698" spans="1:14" x14ac:dyDescent="0.2">
      <c r="A2698" t="s">
        <v>2707</v>
      </c>
      <c r="B2698" s="2">
        <v>46318</v>
      </c>
      <c r="C2698" t="s">
        <v>2940</v>
      </c>
      <c r="D2698" t="s">
        <v>2948</v>
      </c>
      <c r="E2698" t="s">
        <v>3129</v>
      </c>
      <c r="F2698" s="3">
        <v>46318.27549155536</v>
      </c>
      <c r="G2698" s="3">
        <v>46318.286896555073</v>
      </c>
      <c r="H2698">
        <v>16.420000000000002</v>
      </c>
      <c r="I2698" t="s">
        <v>3146</v>
      </c>
      <c r="J2698" t="s">
        <v>3152</v>
      </c>
      <c r="K2698" t="s">
        <v>3175</v>
      </c>
      <c r="L2698" t="str">
        <f>_xlfn.XLOOKUP(C2698,[1]!Table1[Shift_ID],[1]!Table1[Shift_ID])</f>
        <v>S01</v>
      </c>
      <c r="M2698" t="str">
        <f>_xlfn.XLOOKUP(D2698,[2]!Table1[Machine_ID],[2]!Table1[Machine_ID])</f>
        <v>M007</v>
      </c>
      <c r="N2698" t="str">
        <f>_xlfn.XLOOKUP(E2698,[3]Sheet1!$A$2:$A$391,[3]Sheet1!$A$2:$A$391)</f>
        <v>PO10179</v>
      </c>
    </row>
    <row r="2699" spans="1:14" x14ac:dyDescent="0.2">
      <c r="A2699" t="s">
        <v>2708</v>
      </c>
      <c r="B2699" s="2">
        <v>46318</v>
      </c>
      <c r="C2699" t="s">
        <v>2940</v>
      </c>
      <c r="D2699" t="s">
        <v>2949</v>
      </c>
      <c r="E2699" t="s">
        <v>3129</v>
      </c>
      <c r="F2699" s="3">
        <v>46318.388950759843</v>
      </c>
      <c r="G2699" s="3">
        <v>46318.393880966018</v>
      </c>
      <c r="H2699">
        <v>7.1</v>
      </c>
      <c r="I2699" t="s">
        <v>3149</v>
      </c>
      <c r="J2699" t="s">
        <v>3162</v>
      </c>
      <c r="K2699" t="s">
        <v>3184</v>
      </c>
      <c r="L2699" t="str">
        <f>_xlfn.XLOOKUP(C2699,[1]!Table1[Shift_ID],[1]!Table1[Shift_ID])</f>
        <v>S01</v>
      </c>
      <c r="M2699" t="str">
        <f>_xlfn.XLOOKUP(D2699,[2]!Table1[Machine_ID],[2]!Table1[Machine_ID])</f>
        <v>M008</v>
      </c>
      <c r="N2699" t="str">
        <f>_xlfn.XLOOKUP(E2699,[3]Sheet1!$A$2:$A$391,[3]Sheet1!$A$2:$A$391)</f>
        <v>PO10179</v>
      </c>
    </row>
    <row r="2700" spans="1:14" x14ac:dyDescent="0.2">
      <c r="A2700" t="s">
        <v>2709</v>
      </c>
      <c r="B2700" s="2">
        <v>46318</v>
      </c>
      <c r="C2700" t="s">
        <v>2941</v>
      </c>
      <c r="D2700" t="s">
        <v>2942</v>
      </c>
      <c r="E2700" t="s">
        <v>3130</v>
      </c>
      <c r="F2700" s="3">
        <v>46318.909539755819</v>
      </c>
      <c r="G2700" s="3">
        <v>46318.915189824387</v>
      </c>
      <c r="H2700">
        <v>8.14</v>
      </c>
      <c r="I2700" t="s">
        <v>3151</v>
      </c>
      <c r="J2700" t="s">
        <v>3170</v>
      </c>
      <c r="K2700" t="s">
        <v>3181</v>
      </c>
      <c r="L2700" t="str">
        <f>_xlfn.XLOOKUP(C2700,[1]!Table1[Shift_ID],[1]!Table1[Shift_ID])</f>
        <v>S02</v>
      </c>
      <c r="M2700" t="str">
        <f>_xlfn.XLOOKUP(D2700,[2]!Table1[Machine_ID],[2]!Table1[Machine_ID])</f>
        <v>M001</v>
      </c>
      <c r="N2700" t="str">
        <f>_xlfn.XLOOKUP(E2700,[3]Sheet1!$A$2:$A$391,[3]Sheet1!$A$2:$A$391)</f>
        <v>PO10180</v>
      </c>
    </row>
    <row r="2701" spans="1:14" x14ac:dyDescent="0.2">
      <c r="A2701" t="s">
        <v>2710</v>
      </c>
      <c r="B2701" s="2">
        <v>46318</v>
      </c>
      <c r="C2701" t="s">
        <v>2941</v>
      </c>
      <c r="D2701" t="s">
        <v>2943</v>
      </c>
      <c r="E2701" t="s">
        <v>3130</v>
      </c>
      <c r="F2701" s="3">
        <v>46318.80673864355</v>
      </c>
      <c r="G2701" s="3">
        <v>46318.81368607987</v>
      </c>
      <c r="H2701">
        <v>10</v>
      </c>
      <c r="I2701" t="s">
        <v>3151</v>
      </c>
      <c r="J2701" t="s">
        <v>3161</v>
      </c>
      <c r="K2701" t="s">
        <v>3181</v>
      </c>
      <c r="L2701" t="str">
        <f>_xlfn.XLOOKUP(C2701,[1]!Table1[Shift_ID],[1]!Table1[Shift_ID])</f>
        <v>S02</v>
      </c>
      <c r="M2701" t="str">
        <f>_xlfn.XLOOKUP(D2701,[2]!Table1[Machine_ID],[2]!Table1[Machine_ID])</f>
        <v>M002</v>
      </c>
      <c r="N2701" t="str">
        <f>_xlfn.XLOOKUP(E2701,[3]Sheet1!$A$2:$A$391,[3]Sheet1!$A$2:$A$391)</f>
        <v>PO10180</v>
      </c>
    </row>
    <row r="2702" spans="1:14" x14ac:dyDescent="0.2">
      <c r="A2702" t="s">
        <v>2711</v>
      </c>
      <c r="B2702" s="2">
        <v>46318</v>
      </c>
      <c r="C2702" t="s">
        <v>2941</v>
      </c>
      <c r="D2702" t="s">
        <v>2944</v>
      </c>
      <c r="E2702" t="s">
        <v>3130</v>
      </c>
      <c r="F2702" s="3">
        <v>46318.588980657187</v>
      </c>
      <c r="G2702" s="3">
        <v>46318.595210038548</v>
      </c>
      <c r="H2702">
        <v>8.9700000000000006</v>
      </c>
      <c r="I2702" t="s">
        <v>3148</v>
      </c>
      <c r="J2702" t="s">
        <v>3155</v>
      </c>
      <c r="K2702" t="s">
        <v>3173</v>
      </c>
      <c r="L2702" t="str">
        <f>_xlfn.XLOOKUP(C2702,[1]!Table1[Shift_ID],[1]!Table1[Shift_ID])</f>
        <v>S02</v>
      </c>
      <c r="M2702" t="str">
        <f>_xlfn.XLOOKUP(D2702,[2]!Table1[Machine_ID],[2]!Table1[Machine_ID])</f>
        <v>M003</v>
      </c>
      <c r="N2702" t="str">
        <f>_xlfn.XLOOKUP(E2702,[3]Sheet1!$A$2:$A$391,[3]Sheet1!$A$2:$A$391)</f>
        <v>PO10180</v>
      </c>
    </row>
    <row r="2703" spans="1:14" x14ac:dyDescent="0.2">
      <c r="A2703" t="s">
        <v>2712</v>
      </c>
      <c r="B2703" s="2">
        <v>46318</v>
      </c>
      <c r="C2703" t="s">
        <v>2941</v>
      </c>
      <c r="D2703" t="s">
        <v>2944</v>
      </c>
      <c r="E2703" t="s">
        <v>3130</v>
      </c>
      <c r="F2703" s="3">
        <v>46318.834020329421</v>
      </c>
      <c r="G2703" s="3">
        <v>46318.837045179876</v>
      </c>
      <c r="H2703">
        <v>4.3600000000000003</v>
      </c>
      <c r="I2703" t="s">
        <v>3149</v>
      </c>
      <c r="J2703" t="s">
        <v>3158</v>
      </c>
      <c r="K2703" t="s">
        <v>3182</v>
      </c>
      <c r="L2703" t="str">
        <f>_xlfn.XLOOKUP(C2703,[1]!Table1[Shift_ID],[1]!Table1[Shift_ID])</f>
        <v>S02</v>
      </c>
      <c r="M2703" t="str">
        <f>_xlfn.XLOOKUP(D2703,[2]!Table1[Machine_ID],[2]!Table1[Machine_ID])</f>
        <v>M003</v>
      </c>
      <c r="N2703" t="str">
        <f>_xlfn.XLOOKUP(E2703,[3]Sheet1!$A$2:$A$391,[3]Sheet1!$A$2:$A$391)</f>
        <v>PO10180</v>
      </c>
    </row>
    <row r="2704" spans="1:14" x14ac:dyDescent="0.2">
      <c r="A2704" t="s">
        <v>2713</v>
      </c>
      <c r="B2704" s="2">
        <v>46318</v>
      </c>
      <c r="C2704" t="s">
        <v>2941</v>
      </c>
      <c r="D2704" t="s">
        <v>2944</v>
      </c>
      <c r="E2704" t="s">
        <v>3130</v>
      </c>
      <c r="F2704" s="3">
        <v>46318.896538405141</v>
      </c>
      <c r="G2704" s="3">
        <v>46318.898309744269</v>
      </c>
      <c r="H2704">
        <v>2.5499999999999998</v>
      </c>
      <c r="I2704" t="s">
        <v>3150</v>
      </c>
      <c r="J2704" t="s">
        <v>3159</v>
      </c>
      <c r="K2704" t="s">
        <v>3179</v>
      </c>
      <c r="L2704" t="str">
        <f>_xlfn.XLOOKUP(C2704,[1]!Table1[Shift_ID],[1]!Table1[Shift_ID])</f>
        <v>S02</v>
      </c>
      <c r="M2704" t="str">
        <f>_xlfn.XLOOKUP(D2704,[2]!Table1[Machine_ID],[2]!Table1[Machine_ID])</f>
        <v>M003</v>
      </c>
      <c r="N2704" t="str">
        <f>_xlfn.XLOOKUP(E2704,[3]Sheet1!$A$2:$A$391,[3]Sheet1!$A$2:$A$391)</f>
        <v>PO10180</v>
      </c>
    </row>
    <row r="2705" spans="1:14" x14ac:dyDescent="0.2">
      <c r="A2705" t="s">
        <v>2714</v>
      </c>
      <c r="B2705" s="2">
        <v>46318</v>
      </c>
      <c r="C2705" t="s">
        <v>2941</v>
      </c>
      <c r="D2705" t="s">
        <v>2945</v>
      </c>
      <c r="E2705" t="s">
        <v>3130</v>
      </c>
      <c r="F2705" s="3">
        <v>46318.59850698051</v>
      </c>
      <c r="G2705" s="3">
        <v>46318.601572287072</v>
      </c>
      <c r="H2705">
        <v>4.41</v>
      </c>
      <c r="I2705" t="s">
        <v>3147</v>
      </c>
      <c r="J2705" t="s">
        <v>3154</v>
      </c>
      <c r="K2705" t="s">
        <v>3185</v>
      </c>
      <c r="L2705" t="str">
        <f>_xlfn.XLOOKUP(C2705,[1]!Table1[Shift_ID],[1]!Table1[Shift_ID])</f>
        <v>S02</v>
      </c>
      <c r="M2705" t="str">
        <f>_xlfn.XLOOKUP(D2705,[2]!Table1[Machine_ID],[2]!Table1[Machine_ID])</f>
        <v>M004</v>
      </c>
      <c r="N2705" t="str">
        <f>_xlfn.XLOOKUP(E2705,[3]Sheet1!$A$2:$A$391,[3]Sheet1!$A$2:$A$391)</f>
        <v>PO10180</v>
      </c>
    </row>
    <row r="2706" spans="1:14" x14ac:dyDescent="0.2">
      <c r="A2706" t="s">
        <v>2715</v>
      </c>
      <c r="B2706" s="2">
        <v>46318</v>
      </c>
      <c r="C2706" t="s">
        <v>2941</v>
      </c>
      <c r="D2706" t="s">
        <v>2945</v>
      </c>
      <c r="E2706" t="s">
        <v>3130</v>
      </c>
      <c r="F2706" s="3">
        <v>46318.674765784563</v>
      </c>
      <c r="G2706" s="3">
        <v>46318.678551094286</v>
      </c>
      <c r="H2706">
        <v>5.45</v>
      </c>
      <c r="I2706" t="s">
        <v>3147</v>
      </c>
      <c r="J2706" t="s">
        <v>3167</v>
      </c>
      <c r="K2706" t="s">
        <v>3172</v>
      </c>
      <c r="L2706" t="str">
        <f>_xlfn.XLOOKUP(C2706,[1]!Table1[Shift_ID],[1]!Table1[Shift_ID])</f>
        <v>S02</v>
      </c>
      <c r="M2706" t="str">
        <f>_xlfn.XLOOKUP(D2706,[2]!Table1[Machine_ID],[2]!Table1[Machine_ID])</f>
        <v>M004</v>
      </c>
      <c r="N2706" t="str">
        <f>_xlfn.XLOOKUP(E2706,[3]Sheet1!$A$2:$A$391,[3]Sheet1!$A$2:$A$391)</f>
        <v>PO10180</v>
      </c>
    </row>
    <row r="2707" spans="1:14" x14ac:dyDescent="0.2">
      <c r="A2707" t="s">
        <v>2716</v>
      </c>
      <c r="B2707" s="2">
        <v>46318</v>
      </c>
      <c r="C2707" t="s">
        <v>2941</v>
      </c>
      <c r="D2707" t="s">
        <v>2946</v>
      </c>
      <c r="E2707" t="s">
        <v>3130</v>
      </c>
      <c r="F2707" s="3">
        <v>46318.626369714773</v>
      </c>
      <c r="G2707" s="3">
        <v>46318.633658532483</v>
      </c>
      <c r="H2707">
        <v>10.5</v>
      </c>
      <c r="I2707" t="s">
        <v>3150</v>
      </c>
      <c r="J2707" t="s">
        <v>3166</v>
      </c>
      <c r="K2707" t="s">
        <v>3177</v>
      </c>
      <c r="L2707" t="str">
        <f>_xlfn.XLOOKUP(C2707,[1]!Table1[Shift_ID],[1]!Table1[Shift_ID])</f>
        <v>S02</v>
      </c>
      <c r="M2707" t="str">
        <f>_xlfn.XLOOKUP(D2707,[2]!Table1[Machine_ID],[2]!Table1[Machine_ID])</f>
        <v>M005</v>
      </c>
      <c r="N2707" t="str">
        <f>_xlfn.XLOOKUP(E2707,[3]Sheet1!$A$2:$A$391,[3]Sheet1!$A$2:$A$391)</f>
        <v>PO10180</v>
      </c>
    </row>
    <row r="2708" spans="1:14" x14ac:dyDescent="0.2">
      <c r="A2708" t="s">
        <v>2717</v>
      </c>
      <c r="B2708" s="2">
        <v>46318</v>
      </c>
      <c r="C2708" t="s">
        <v>2941</v>
      </c>
      <c r="D2708" t="s">
        <v>2947</v>
      </c>
      <c r="E2708" t="s">
        <v>3130</v>
      </c>
      <c r="F2708" s="3">
        <v>46318.64848899257</v>
      </c>
      <c r="G2708" s="3">
        <v>46318.652901880952</v>
      </c>
      <c r="H2708">
        <v>6.35</v>
      </c>
      <c r="I2708" t="s">
        <v>3150</v>
      </c>
      <c r="J2708" t="s">
        <v>3160</v>
      </c>
      <c r="K2708" t="s">
        <v>3177</v>
      </c>
      <c r="L2708" t="str">
        <f>_xlfn.XLOOKUP(C2708,[1]!Table1[Shift_ID],[1]!Table1[Shift_ID])</f>
        <v>S02</v>
      </c>
      <c r="M2708" t="str">
        <f>_xlfn.XLOOKUP(D2708,[2]!Table1[Machine_ID],[2]!Table1[Machine_ID])</f>
        <v>M006</v>
      </c>
      <c r="N2708" t="str">
        <f>_xlfn.XLOOKUP(E2708,[3]Sheet1!$A$2:$A$391,[3]Sheet1!$A$2:$A$391)</f>
        <v>PO10180</v>
      </c>
    </row>
    <row r="2709" spans="1:14" x14ac:dyDescent="0.2">
      <c r="A2709" t="s">
        <v>2718</v>
      </c>
      <c r="B2709" s="2">
        <v>46318</v>
      </c>
      <c r="C2709" t="s">
        <v>2941</v>
      </c>
      <c r="D2709" t="s">
        <v>2947</v>
      </c>
      <c r="E2709" t="s">
        <v>3130</v>
      </c>
      <c r="F2709" s="3">
        <v>46318.789442904017</v>
      </c>
      <c r="G2709" s="3">
        <v>46318.813764288818</v>
      </c>
      <c r="H2709">
        <v>35.020000000000003</v>
      </c>
      <c r="I2709" t="s">
        <v>3150</v>
      </c>
      <c r="J2709" t="s">
        <v>3160</v>
      </c>
      <c r="K2709" t="s">
        <v>3178</v>
      </c>
      <c r="L2709" t="str">
        <f>_xlfn.XLOOKUP(C2709,[1]!Table1[Shift_ID],[1]!Table1[Shift_ID])</f>
        <v>S02</v>
      </c>
      <c r="M2709" t="str">
        <f>_xlfn.XLOOKUP(D2709,[2]!Table1[Machine_ID],[2]!Table1[Machine_ID])</f>
        <v>M006</v>
      </c>
      <c r="N2709" t="str">
        <f>_xlfn.XLOOKUP(E2709,[3]Sheet1!$A$2:$A$391,[3]Sheet1!$A$2:$A$391)</f>
        <v>PO10180</v>
      </c>
    </row>
    <row r="2710" spans="1:14" x14ac:dyDescent="0.2">
      <c r="A2710" t="s">
        <v>2719</v>
      </c>
      <c r="B2710" s="2">
        <v>46318</v>
      </c>
      <c r="C2710" t="s">
        <v>2941</v>
      </c>
      <c r="D2710" t="s">
        <v>2948</v>
      </c>
      <c r="E2710" t="s">
        <v>3130</v>
      </c>
      <c r="F2710" s="3">
        <v>46318.757927169223</v>
      </c>
      <c r="G2710" s="3">
        <v>46318.762673506637</v>
      </c>
      <c r="H2710">
        <v>6.83</v>
      </c>
      <c r="I2710" t="s">
        <v>3146</v>
      </c>
      <c r="J2710" t="s">
        <v>3157</v>
      </c>
      <c r="K2710" t="s">
        <v>3175</v>
      </c>
      <c r="L2710" t="str">
        <f>_xlfn.XLOOKUP(C2710,[1]!Table1[Shift_ID],[1]!Table1[Shift_ID])</f>
        <v>S02</v>
      </c>
      <c r="M2710" t="str">
        <f>_xlfn.XLOOKUP(D2710,[2]!Table1[Machine_ID],[2]!Table1[Machine_ID])</f>
        <v>M007</v>
      </c>
      <c r="N2710" t="str">
        <f>_xlfn.XLOOKUP(E2710,[3]Sheet1!$A$2:$A$391,[3]Sheet1!$A$2:$A$391)</f>
        <v>PO10180</v>
      </c>
    </row>
    <row r="2711" spans="1:14" x14ac:dyDescent="0.2">
      <c r="A2711" t="s">
        <v>2720</v>
      </c>
      <c r="B2711" s="2">
        <v>46318</v>
      </c>
      <c r="C2711" t="s">
        <v>2941</v>
      </c>
      <c r="D2711" t="s">
        <v>2948</v>
      </c>
      <c r="E2711" t="s">
        <v>3130</v>
      </c>
      <c r="F2711" s="3">
        <v>46318.811068255272</v>
      </c>
      <c r="G2711" s="3">
        <v>46318.820593139098</v>
      </c>
      <c r="H2711">
        <v>13.72</v>
      </c>
      <c r="I2711" t="s">
        <v>3148</v>
      </c>
      <c r="J2711" t="s">
        <v>3165</v>
      </c>
      <c r="K2711" t="s">
        <v>3180</v>
      </c>
      <c r="L2711" t="str">
        <f>_xlfn.XLOOKUP(C2711,[1]!Table1[Shift_ID],[1]!Table1[Shift_ID])</f>
        <v>S02</v>
      </c>
      <c r="M2711" t="str">
        <f>_xlfn.XLOOKUP(D2711,[2]!Table1[Machine_ID],[2]!Table1[Machine_ID])</f>
        <v>M007</v>
      </c>
      <c r="N2711" t="str">
        <f>_xlfn.XLOOKUP(E2711,[3]Sheet1!$A$2:$A$391,[3]Sheet1!$A$2:$A$391)</f>
        <v>PO10180</v>
      </c>
    </row>
    <row r="2712" spans="1:14" x14ac:dyDescent="0.2">
      <c r="A2712" t="s">
        <v>2721</v>
      </c>
      <c r="B2712" s="2">
        <v>46318</v>
      </c>
      <c r="C2712" t="s">
        <v>2941</v>
      </c>
      <c r="D2712" t="s">
        <v>2949</v>
      </c>
      <c r="E2712" t="s">
        <v>3130</v>
      </c>
      <c r="F2712" s="3">
        <v>46318.81005541941</v>
      </c>
      <c r="G2712" s="3">
        <v>46318.816554109922</v>
      </c>
      <c r="H2712">
        <v>9.36</v>
      </c>
      <c r="I2712" t="s">
        <v>3148</v>
      </c>
      <c r="J2712" t="s">
        <v>3155</v>
      </c>
      <c r="K2712" t="s">
        <v>3180</v>
      </c>
      <c r="L2712" t="str">
        <f>_xlfn.XLOOKUP(C2712,[1]!Table1[Shift_ID],[1]!Table1[Shift_ID])</f>
        <v>S02</v>
      </c>
      <c r="M2712" t="str">
        <f>_xlfn.XLOOKUP(D2712,[2]!Table1[Machine_ID],[2]!Table1[Machine_ID])</f>
        <v>M008</v>
      </c>
      <c r="N2712" t="str">
        <f>_xlfn.XLOOKUP(E2712,[3]Sheet1!$A$2:$A$391,[3]Sheet1!$A$2:$A$391)</f>
        <v>PO10180</v>
      </c>
    </row>
    <row r="2713" spans="1:14" x14ac:dyDescent="0.2">
      <c r="A2713" t="s">
        <v>2722</v>
      </c>
      <c r="B2713" s="2">
        <v>46321</v>
      </c>
      <c r="C2713" t="s">
        <v>2939</v>
      </c>
      <c r="D2713" t="s">
        <v>2942</v>
      </c>
      <c r="E2713" t="s">
        <v>3131</v>
      </c>
      <c r="F2713" s="3">
        <v>46322.225201286303</v>
      </c>
      <c r="G2713" s="3">
        <v>46322.22881662006</v>
      </c>
      <c r="H2713">
        <v>5.21</v>
      </c>
      <c r="I2713" t="s">
        <v>3147</v>
      </c>
      <c r="J2713" t="s">
        <v>3153</v>
      </c>
      <c r="K2713" t="s">
        <v>3185</v>
      </c>
      <c r="L2713" t="str">
        <f>_xlfn.XLOOKUP(C2713,[1]!Table1[Shift_ID],[1]!Table1[Shift_ID])</f>
        <v>S03</v>
      </c>
      <c r="M2713" t="str">
        <f>_xlfn.XLOOKUP(D2713,[2]!Table1[Machine_ID],[2]!Table1[Machine_ID])</f>
        <v>M001</v>
      </c>
      <c r="N2713" t="str">
        <f>_xlfn.XLOOKUP(E2713,[3]Sheet1!$A$2:$A$391,[3]Sheet1!$A$2:$A$391)</f>
        <v>PO10181</v>
      </c>
    </row>
    <row r="2714" spans="1:14" x14ac:dyDescent="0.2">
      <c r="A2714" t="s">
        <v>2723</v>
      </c>
      <c r="B2714" s="2">
        <v>46321</v>
      </c>
      <c r="C2714" t="s">
        <v>2939</v>
      </c>
      <c r="D2714" t="s">
        <v>2942</v>
      </c>
      <c r="E2714" t="s">
        <v>3131</v>
      </c>
      <c r="F2714" s="3">
        <v>46322.237604797752</v>
      </c>
      <c r="G2714" s="3">
        <v>46322.239164774051</v>
      </c>
      <c r="H2714">
        <v>2.25</v>
      </c>
      <c r="I2714" t="s">
        <v>3149</v>
      </c>
      <c r="J2714" t="s">
        <v>3158</v>
      </c>
      <c r="K2714" t="s">
        <v>3176</v>
      </c>
      <c r="L2714" t="str">
        <f>_xlfn.XLOOKUP(C2714,[1]!Table1[Shift_ID],[1]!Table1[Shift_ID])</f>
        <v>S03</v>
      </c>
      <c r="M2714" t="str">
        <f>_xlfn.XLOOKUP(D2714,[2]!Table1[Machine_ID],[2]!Table1[Machine_ID])</f>
        <v>M001</v>
      </c>
      <c r="N2714" t="str">
        <f>_xlfn.XLOOKUP(E2714,[3]Sheet1!$A$2:$A$391,[3]Sheet1!$A$2:$A$391)</f>
        <v>PO10181</v>
      </c>
    </row>
    <row r="2715" spans="1:14" x14ac:dyDescent="0.2">
      <c r="A2715" t="s">
        <v>2724</v>
      </c>
      <c r="B2715" s="2">
        <v>46321</v>
      </c>
      <c r="C2715" t="s">
        <v>2939</v>
      </c>
      <c r="D2715" t="s">
        <v>2943</v>
      </c>
      <c r="E2715" t="s">
        <v>3131</v>
      </c>
      <c r="F2715" s="3">
        <v>46321.918187731768</v>
      </c>
      <c r="G2715" s="3">
        <v>46321.924113199842</v>
      </c>
      <c r="H2715">
        <v>8.5299999999999994</v>
      </c>
      <c r="I2715" t="s">
        <v>3151</v>
      </c>
      <c r="J2715" t="s">
        <v>3161</v>
      </c>
      <c r="K2715" t="s">
        <v>3188</v>
      </c>
      <c r="L2715" t="str">
        <f>_xlfn.XLOOKUP(C2715,[1]!Table1[Shift_ID],[1]!Table1[Shift_ID])</f>
        <v>S03</v>
      </c>
      <c r="M2715" t="str">
        <f>_xlfn.XLOOKUP(D2715,[2]!Table1[Machine_ID],[2]!Table1[Machine_ID])</f>
        <v>M002</v>
      </c>
      <c r="N2715" t="str">
        <f>_xlfn.XLOOKUP(E2715,[3]Sheet1!$A$2:$A$391,[3]Sheet1!$A$2:$A$391)</f>
        <v>PO10181</v>
      </c>
    </row>
    <row r="2716" spans="1:14" x14ac:dyDescent="0.2">
      <c r="A2716" t="s">
        <v>2725</v>
      </c>
      <c r="B2716" s="2">
        <v>46321</v>
      </c>
      <c r="C2716" t="s">
        <v>2939</v>
      </c>
      <c r="D2716" t="s">
        <v>2944</v>
      </c>
      <c r="E2716" t="s">
        <v>3131</v>
      </c>
      <c r="F2716" s="3">
        <v>46322.019112219197</v>
      </c>
      <c r="G2716" s="3">
        <v>46322.026962400327</v>
      </c>
      <c r="H2716">
        <v>11.3</v>
      </c>
      <c r="I2716" t="s">
        <v>3147</v>
      </c>
      <c r="J2716" t="s">
        <v>3154</v>
      </c>
      <c r="K2716" t="s">
        <v>3185</v>
      </c>
      <c r="L2716" t="str">
        <f>_xlfn.XLOOKUP(C2716,[1]!Table1[Shift_ID],[1]!Table1[Shift_ID])</f>
        <v>S03</v>
      </c>
      <c r="M2716" t="str">
        <f>_xlfn.XLOOKUP(D2716,[2]!Table1[Machine_ID],[2]!Table1[Machine_ID])</f>
        <v>M003</v>
      </c>
      <c r="N2716" t="str">
        <f>_xlfn.XLOOKUP(E2716,[3]Sheet1!$A$2:$A$391,[3]Sheet1!$A$2:$A$391)</f>
        <v>PO10181</v>
      </c>
    </row>
    <row r="2717" spans="1:14" x14ac:dyDescent="0.2">
      <c r="A2717" t="s">
        <v>2726</v>
      </c>
      <c r="B2717" s="2">
        <v>46321</v>
      </c>
      <c r="C2717" t="s">
        <v>2939</v>
      </c>
      <c r="D2717" t="s">
        <v>2944</v>
      </c>
      <c r="E2717" t="s">
        <v>3131</v>
      </c>
      <c r="F2717" s="3">
        <v>46322.219012321773</v>
      </c>
      <c r="G2717" s="3">
        <v>46322.22098579142</v>
      </c>
      <c r="H2717">
        <v>2.84</v>
      </c>
      <c r="I2717" t="s">
        <v>3150</v>
      </c>
      <c r="J2717" t="s">
        <v>3159</v>
      </c>
      <c r="K2717" t="s">
        <v>3178</v>
      </c>
      <c r="L2717" t="str">
        <f>_xlfn.XLOOKUP(C2717,[1]!Table1[Shift_ID],[1]!Table1[Shift_ID])</f>
        <v>S03</v>
      </c>
      <c r="M2717" t="str">
        <f>_xlfn.XLOOKUP(D2717,[2]!Table1[Machine_ID],[2]!Table1[Machine_ID])</f>
        <v>M003</v>
      </c>
      <c r="N2717" t="str">
        <f>_xlfn.XLOOKUP(E2717,[3]Sheet1!$A$2:$A$391,[3]Sheet1!$A$2:$A$391)</f>
        <v>PO10181</v>
      </c>
    </row>
    <row r="2718" spans="1:14" x14ac:dyDescent="0.2">
      <c r="A2718" t="s">
        <v>2727</v>
      </c>
      <c r="B2718" s="2">
        <v>46321</v>
      </c>
      <c r="C2718" t="s">
        <v>2939</v>
      </c>
      <c r="D2718" t="s">
        <v>2945</v>
      </c>
      <c r="E2718" t="s">
        <v>3131</v>
      </c>
      <c r="F2718" s="3">
        <v>46322.151770683689</v>
      </c>
      <c r="G2718" s="3">
        <v>46322.160218476747</v>
      </c>
      <c r="H2718">
        <v>12.16</v>
      </c>
      <c r="I2718" t="s">
        <v>3148</v>
      </c>
      <c r="J2718" t="s">
        <v>3155</v>
      </c>
      <c r="K2718" t="s">
        <v>3180</v>
      </c>
      <c r="L2718" t="str">
        <f>_xlfn.XLOOKUP(C2718,[1]!Table1[Shift_ID],[1]!Table1[Shift_ID])</f>
        <v>S03</v>
      </c>
      <c r="M2718" t="str">
        <f>_xlfn.XLOOKUP(D2718,[2]!Table1[Machine_ID],[2]!Table1[Machine_ID])</f>
        <v>M004</v>
      </c>
      <c r="N2718" t="str">
        <f>_xlfn.XLOOKUP(E2718,[3]Sheet1!$A$2:$A$391,[3]Sheet1!$A$2:$A$391)</f>
        <v>PO10181</v>
      </c>
    </row>
    <row r="2719" spans="1:14" x14ac:dyDescent="0.2">
      <c r="A2719" t="s">
        <v>2728</v>
      </c>
      <c r="B2719" s="2">
        <v>46321</v>
      </c>
      <c r="C2719" t="s">
        <v>2939</v>
      </c>
      <c r="D2719" t="s">
        <v>2946</v>
      </c>
      <c r="E2719" t="s">
        <v>3131</v>
      </c>
      <c r="F2719" s="3">
        <v>46321.955537219568</v>
      </c>
      <c r="G2719" s="3">
        <v>46321.962874599973</v>
      </c>
      <c r="H2719">
        <v>10.57</v>
      </c>
      <c r="I2719" t="s">
        <v>3150</v>
      </c>
      <c r="J2719" t="s">
        <v>3160</v>
      </c>
      <c r="K2719" t="s">
        <v>3178</v>
      </c>
      <c r="L2719" t="str">
        <f>_xlfn.XLOOKUP(C2719,[1]!Table1[Shift_ID],[1]!Table1[Shift_ID])</f>
        <v>S03</v>
      </c>
      <c r="M2719" t="str">
        <f>_xlfn.XLOOKUP(D2719,[2]!Table1[Machine_ID],[2]!Table1[Machine_ID])</f>
        <v>M005</v>
      </c>
      <c r="N2719" t="str">
        <f>_xlfn.XLOOKUP(E2719,[3]Sheet1!$A$2:$A$391,[3]Sheet1!$A$2:$A$391)</f>
        <v>PO10181</v>
      </c>
    </row>
    <row r="2720" spans="1:14" x14ac:dyDescent="0.2">
      <c r="A2720" t="s">
        <v>2729</v>
      </c>
      <c r="B2720" s="2">
        <v>46321</v>
      </c>
      <c r="C2720" t="s">
        <v>2939</v>
      </c>
      <c r="D2720" t="s">
        <v>2947</v>
      </c>
      <c r="E2720" t="s">
        <v>3131</v>
      </c>
      <c r="F2720" s="3">
        <v>46322.017374212592</v>
      </c>
      <c r="G2720" s="3">
        <v>46322.019290946351</v>
      </c>
      <c r="H2720">
        <v>2.76</v>
      </c>
      <c r="I2720" t="s">
        <v>3150</v>
      </c>
      <c r="J2720" t="s">
        <v>3160</v>
      </c>
      <c r="K2720" t="s">
        <v>3179</v>
      </c>
      <c r="L2720" t="str">
        <f>_xlfn.XLOOKUP(C2720,[1]!Table1[Shift_ID],[1]!Table1[Shift_ID])</f>
        <v>S03</v>
      </c>
      <c r="M2720" t="str">
        <f>_xlfn.XLOOKUP(D2720,[2]!Table1[Machine_ID],[2]!Table1[Machine_ID])</f>
        <v>M006</v>
      </c>
      <c r="N2720" t="str">
        <f>_xlfn.XLOOKUP(E2720,[3]Sheet1!$A$2:$A$391,[3]Sheet1!$A$2:$A$391)</f>
        <v>PO10181</v>
      </c>
    </row>
    <row r="2721" spans="1:14" x14ac:dyDescent="0.2">
      <c r="A2721" t="s">
        <v>2730</v>
      </c>
      <c r="B2721" s="2">
        <v>46321</v>
      </c>
      <c r="C2721" t="s">
        <v>2939</v>
      </c>
      <c r="D2721" t="s">
        <v>2947</v>
      </c>
      <c r="E2721" t="s">
        <v>3131</v>
      </c>
      <c r="F2721" s="3">
        <v>46322.238341685021</v>
      </c>
      <c r="G2721" s="3">
        <v>46322.25</v>
      </c>
      <c r="H2721">
        <v>16.79</v>
      </c>
      <c r="I2721" t="s">
        <v>3146</v>
      </c>
      <c r="J2721" t="s">
        <v>3156</v>
      </c>
      <c r="K2721" t="s">
        <v>3171</v>
      </c>
      <c r="L2721" t="str">
        <f>_xlfn.XLOOKUP(C2721,[1]!Table1[Shift_ID],[1]!Table1[Shift_ID])</f>
        <v>S03</v>
      </c>
      <c r="M2721" t="str">
        <f>_xlfn.XLOOKUP(D2721,[2]!Table1[Machine_ID],[2]!Table1[Machine_ID])</f>
        <v>M006</v>
      </c>
      <c r="N2721" t="str">
        <f>_xlfn.XLOOKUP(E2721,[3]Sheet1!$A$2:$A$391,[3]Sheet1!$A$2:$A$391)</f>
        <v>PO10181</v>
      </c>
    </row>
    <row r="2722" spans="1:14" x14ac:dyDescent="0.2">
      <c r="A2722" t="s">
        <v>2731</v>
      </c>
      <c r="B2722" s="2">
        <v>46321</v>
      </c>
      <c r="C2722" t="s">
        <v>2939</v>
      </c>
      <c r="D2722" t="s">
        <v>2948</v>
      </c>
      <c r="E2722" t="s">
        <v>3131</v>
      </c>
      <c r="F2722" s="3">
        <v>46321.919014107247</v>
      </c>
      <c r="G2722" s="3">
        <v>46321.921254615969</v>
      </c>
      <c r="H2722">
        <v>3.23</v>
      </c>
      <c r="I2722" t="s">
        <v>3150</v>
      </c>
      <c r="J2722" t="s">
        <v>3160</v>
      </c>
      <c r="K2722" t="s">
        <v>3178</v>
      </c>
      <c r="L2722" t="str">
        <f>_xlfn.XLOOKUP(C2722,[1]!Table1[Shift_ID],[1]!Table1[Shift_ID])</f>
        <v>S03</v>
      </c>
      <c r="M2722" t="str">
        <f>_xlfn.XLOOKUP(D2722,[2]!Table1[Machine_ID],[2]!Table1[Machine_ID])</f>
        <v>M007</v>
      </c>
      <c r="N2722" t="str">
        <f>_xlfn.XLOOKUP(E2722,[3]Sheet1!$A$2:$A$391,[3]Sheet1!$A$2:$A$391)</f>
        <v>PO10181</v>
      </c>
    </row>
    <row r="2723" spans="1:14" x14ac:dyDescent="0.2">
      <c r="A2723" t="s">
        <v>2732</v>
      </c>
      <c r="B2723" s="2">
        <v>46321</v>
      </c>
      <c r="C2723" t="s">
        <v>2939</v>
      </c>
      <c r="D2723" t="s">
        <v>2948</v>
      </c>
      <c r="E2723" t="s">
        <v>3131</v>
      </c>
      <c r="F2723" s="3">
        <v>46322.206415577217</v>
      </c>
      <c r="G2723" s="3">
        <v>46322.216561423476</v>
      </c>
      <c r="H2723">
        <v>14.61</v>
      </c>
      <c r="I2723" t="s">
        <v>3148</v>
      </c>
      <c r="J2723" t="s">
        <v>3155</v>
      </c>
      <c r="K2723" t="s">
        <v>3183</v>
      </c>
      <c r="L2723" t="str">
        <f>_xlfn.XLOOKUP(C2723,[1]!Table1[Shift_ID],[1]!Table1[Shift_ID])</f>
        <v>S03</v>
      </c>
      <c r="M2723" t="str">
        <f>_xlfn.XLOOKUP(D2723,[2]!Table1[Machine_ID],[2]!Table1[Machine_ID])</f>
        <v>M007</v>
      </c>
      <c r="N2723" t="str">
        <f>_xlfn.XLOOKUP(E2723,[3]Sheet1!$A$2:$A$391,[3]Sheet1!$A$2:$A$391)</f>
        <v>PO10181</v>
      </c>
    </row>
    <row r="2724" spans="1:14" x14ac:dyDescent="0.2">
      <c r="A2724" t="s">
        <v>2733</v>
      </c>
      <c r="B2724" s="2">
        <v>46321</v>
      </c>
      <c r="C2724" t="s">
        <v>2939</v>
      </c>
      <c r="D2724" t="s">
        <v>2949</v>
      </c>
      <c r="E2724" t="s">
        <v>3131</v>
      </c>
      <c r="F2724" s="3">
        <v>46321.963816556206</v>
      </c>
      <c r="G2724" s="3">
        <v>46321.965109791192</v>
      </c>
      <c r="H2724">
        <v>1.86</v>
      </c>
      <c r="I2724" t="s">
        <v>3148</v>
      </c>
      <c r="J2724" t="s">
        <v>3164</v>
      </c>
      <c r="K2724" t="s">
        <v>3180</v>
      </c>
      <c r="L2724" t="str">
        <f>_xlfn.XLOOKUP(C2724,[1]!Table1[Shift_ID],[1]!Table1[Shift_ID])</f>
        <v>S03</v>
      </c>
      <c r="M2724" t="str">
        <f>_xlfn.XLOOKUP(D2724,[2]!Table1[Machine_ID],[2]!Table1[Machine_ID])</f>
        <v>M008</v>
      </c>
      <c r="N2724" t="str">
        <f>_xlfn.XLOOKUP(E2724,[3]Sheet1!$A$2:$A$391,[3]Sheet1!$A$2:$A$391)</f>
        <v>PO10181</v>
      </c>
    </row>
    <row r="2725" spans="1:14" x14ac:dyDescent="0.2">
      <c r="A2725" t="s">
        <v>2734</v>
      </c>
      <c r="B2725" s="2">
        <v>46321</v>
      </c>
      <c r="C2725" t="s">
        <v>2939</v>
      </c>
      <c r="D2725" t="s">
        <v>2949</v>
      </c>
      <c r="E2725" t="s">
        <v>3131</v>
      </c>
      <c r="F2725" s="3">
        <v>46322.026757027248</v>
      </c>
      <c r="G2725" s="3">
        <v>46322.028209523087</v>
      </c>
      <c r="H2725">
        <v>2.09</v>
      </c>
      <c r="I2725" t="s">
        <v>3147</v>
      </c>
      <c r="J2725" t="s">
        <v>3167</v>
      </c>
      <c r="K2725" t="s">
        <v>3186</v>
      </c>
      <c r="L2725" t="str">
        <f>_xlfn.XLOOKUP(C2725,[1]!Table1[Shift_ID],[1]!Table1[Shift_ID])</f>
        <v>S03</v>
      </c>
      <c r="M2725" t="str">
        <f>_xlfn.XLOOKUP(D2725,[2]!Table1[Machine_ID],[2]!Table1[Machine_ID])</f>
        <v>M008</v>
      </c>
      <c r="N2725" t="str">
        <f>_xlfn.XLOOKUP(E2725,[3]Sheet1!$A$2:$A$391,[3]Sheet1!$A$2:$A$391)</f>
        <v>PO10181</v>
      </c>
    </row>
    <row r="2726" spans="1:14" x14ac:dyDescent="0.2">
      <c r="A2726" t="s">
        <v>2735</v>
      </c>
      <c r="B2726" s="2">
        <v>46321</v>
      </c>
      <c r="C2726" t="s">
        <v>2939</v>
      </c>
      <c r="D2726" t="s">
        <v>2949</v>
      </c>
      <c r="E2726" t="s">
        <v>3131</v>
      </c>
      <c r="F2726" s="3">
        <v>46322.207527862047</v>
      </c>
      <c r="G2726" s="3">
        <v>46322.208821097032</v>
      </c>
      <c r="H2726">
        <v>1.86</v>
      </c>
      <c r="I2726" t="s">
        <v>3146</v>
      </c>
      <c r="J2726" t="s">
        <v>3156</v>
      </c>
      <c r="K2726" t="s">
        <v>3174</v>
      </c>
      <c r="L2726" t="str">
        <f>_xlfn.XLOOKUP(C2726,[1]!Table1[Shift_ID],[1]!Table1[Shift_ID])</f>
        <v>S03</v>
      </c>
      <c r="M2726" t="str">
        <f>_xlfn.XLOOKUP(D2726,[2]!Table1[Machine_ID],[2]!Table1[Machine_ID])</f>
        <v>M008</v>
      </c>
      <c r="N2726" t="str">
        <f>_xlfn.XLOOKUP(E2726,[3]Sheet1!$A$2:$A$391,[3]Sheet1!$A$2:$A$391)</f>
        <v>PO10181</v>
      </c>
    </row>
    <row r="2727" spans="1:14" x14ac:dyDescent="0.2">
      <c r="A2727" t="s">
        <v>2736</v>
      </c>
      <c r="B2727" s="2">
        <v>46321</v>
      </c>
      <c r="C2727" t="s">
        <v>2939</v>
      </c>
      <c r="D2727" t="s">
        <v>2949</v>
      </c>
      <c r="E2727" t="s">
        <v>3131</v>
      </c>
      <c r="F2727" s="3">
        <v>46322.223225442263</v>
      </c>
      <c r="G2727" s="3">
        <v>46322.224518677227</v>
      </c>
      <c r="H2727">
        <v>1.86</v>
      </c>
      <c r="I2727" t="s">
        <v>3148</v>
      </c>
      <c r="J2727" t="s">
        <v>3164</v>
      </c>
      <c r="K2727" t="s">
        <v>3173</v>
      </c>
      <c r="L2727" t="str">
        <f>_xlfn.XLOOKUP(C2727,[1]!Table1[Shift_ID],[1]!Table1[Shift_ID])</f>
        <v>S03</v>
      </c>
      <c r="M2727" t="str">
        <f>_xlfn.XLOOKUP(D2727,[2]!Table1[Machine_ID],[2]!Table1[Machine_ID])</f>
        <v>M008</v>
      </c>
      <c r="N2727" t="str">
        <f>_xlfn.XLOOKUP(E2727,[3]Sheet1!$A$2:$A$391,[3]Sheet1!$A$2:$A$391)</f>
        <v>PO10181</v>
      </c>
    </row>
    <row r="2728" spans="1:14" x14ac:dyDescent="0.2">
      <c r="A2728" t="s">
        <v>2737</v>
      </c>
      <c r="B2728" s="2">
        <v>46321</v>
      </c>
      <c r="C2728" t="s">
        <v>2940</v>
      </c>
      <c r="D2728" t="s">
        <v>2942</v>
      </c>
      <c r="E2728" t="s">
        <v>3132</v>
      </c>
      <c r="F2728" s="3">
        <v>46321.375732803113</v>
      </c>
      <c r="G2728" s="3">
        <v>46321.380758327221</v>
      </c>
      <c r="H2728">
        <v>7.24</v>
      </c>
      <c r="I2728" t="s">
        <v>3149</v>
      </c>
      <c r="J2728" t="s">
        <v>3158</v>
      </c>
      <c r="K2728" t="s">
        <v>3184</v>
      </c>
      <c r="L2728" t="str">
        <f>_xlfn.XLOOKUP(C2728,[1]!Table1[Shift_ID],[1]!Table1[Shift_ID])</f>
        <v>S01</v>
      </c>
      <c r="M2728" t="str">
        <f>_xlfn.XLOOKUP(D2728,[2]!Table1[Machine_ID],[2]!Table1[Machine_ID])</f>
        <v>M001</v>
      </c>
      <c r="N2728" t="str">
        <f>_xlfn.XLOOKUP(E2728,[3]Sheet1!$A$2:$A$391,[3]Sheet1!$A$2:$A$391)</f>
        <v>PO10182</v>
      </c>
    </row>
    <row r="2729" spans="1:14" x14ac:dyDescent="0.2">
      <c r="A2729" t="s">
        <v>2738</v>
      </c>
      <c r="B2729" s="2">
        <v>46321</v>
      </c>
      <c r="C2729" t="s">
        <v>2940</v>
      </c>
      <c r="D2729" t="s">
        <v>2943</v>
      </c>
      <c r="E2729" t="s">
        <v>3132</v>
      </c>
      <c r="F2729" s="3">
        <v>46321.364878002903</v>
      </c>
      <c r="G2729" s="3">
        <v>46321.368562994328</v>
      </c>
      <c r="H2729">
        <v>5.31</v>
      </c>
      <c r="I2729" t="s">
        <v>3151</v>
      </c>
      <c r="J2729" t="s">
        <v>3161</v>
      </c>
      <c r="K2729" t="s">
        <v>3188</v>
      </c>
      <c r="L2729" t="str">
        <f>_xlfn.XLOOKUP(C2729,[1]!Table1[Shift_ID],[1]!Table1[Shift_ID])</f>
        <v>S01</v>
      </c>
      <c r="M2729" t="str">
        <f>_xlfn.XLOOKUP(D2729,[2]!Table1[Machine_ID],[2]!Table1[Machine_ID])</f>
        <v>M002</v>
      </c>
      <c r="N2729" t="str">
        <f>_xlfn.XLOOKUP(E2729,[3]Sheet1!$A$2:$A$391,[3]Sheet1!$A$2:$A$391)</f>
        <v>PO10182</v>
      </c>
    </row>
    <row r="2730" spans="1:14" x14ac:dyDescent="0.2">
      <c r="A2730" t="s">
        <v>2739</v>
      </c>
      <c r="B2730" s="2">
        <v>46321</v>
      </c>
      <c r="C2730" t="s">
        <v>2940</v>
      </c>
      <c r="D2730" t="s">
        <v>2943</v>
      </c>
      <c r="E2730" t="s">
        <v>3132</v>
      </c>
      <c r="F2730" s="3">
        <v>46321.442456160403</v>
      </c>
      <c r="G2730" s="3">
        <v>46321.444253547546</v>
      </c>
      <c r="H2730">
        <v>2.59</v>
      </c>
      <c r="I2730" t="s">
        <v>3146</v>
      </c>
      <c r="J2730" t="s">
        <v>3157</v>
      </c>
      <c r="K2730" t="s">
        <v>3171</v>
      </c>
      <c r="L2730" t="str">
        <f>_xlfn.XLOOKUP(C2730,[1]!Table1[Shift_ID],[1]!Table1[Shift_ID])</f>
        <v>S01</v>
      </c>
      <c r="M2730" t="str">
        <f>_xlfn.XLOOKUP(D2730,[2]!Table1[Machine_ID],[2]!Table1[Machine_ID])</f>
        <v>M002</v>
      </c>
      <c r="N2730" t="str">
        <f>_xlfn.XLOOKUP(E2730,[3]Sheet1!$A$2:$A$391,[3]Sheet1!$A$2:$A$391)</f>
        <v>PO10182</v>
      </c>
    </row>
    <row r="2731" spans="1:14" x14ac:dyDescent="0.2">
      <c r="A2731" t="s">
        <v>2740</v>
      </c>
      <c r="B2731" s="2">
        <v>46321</v>
      </c>
      <c r="C2731" t="s">
        <v>2940</v>
      </c>
      <c r="D2731" t="s">
        <v>2943</v>
      </c>
      <c r="E2731" t="s">
        <v>3132</v>
      </c>
      <c r="F2731" s="3">
        <v>46321.510341010973</v>
      </c>
      <c r="G2731" s="3">
        <v>46321.51273870156</v>
      </c>
      <c r="H2731">
        <v>3.45</v>
      </c>
      <c r="I2731" t="s">
        <v>3150</v>
      </c>
      <c r="J2731" t="s">
        <v>3163</v>
      </c>
      <c r="K2731" t="s">
        <v>3177</v>
      </c>
      <c r="L2731" t="str">
        <f>_xlfn.XLOOKUP(C2731,[1]!Table1[Shift_ID],[1]!Table1[Shift_ID])</f>
        <v>S01</v>
      </c>
      <c r="M2731" t="str">
        <f>_xlfn.XLOOKUP(D2731,[2]!Table1[Machine_ID],[2]!Table1[Machine_ID])</f>
        <v>M002</v>
      </c>
      <c r="N2731" t="str">
        <f>_xlfn.XLOOKUP(E2731,[3]Sheet1!$A$2:$A$391,[3]Sheet1!$A$2:$A$391)</f>
        <v>PO10182</v>
      </c>
    </row>
    <row r="2732" spans="1:14" x14ac:dyDescent="0.2">
      <c r="A2732" t="s">
        <v>2741</v>
      </c>
      <c r="B2732" s="2">
        <v>46321</v>
      </c>
      <c r="C2732" t="s">
        <v>2940</v>
      </c>
      <c r="D2732" t="s">
        <v>2943</v>
      </c>
      <c r="E2732" t="s">
        <v>3132</v>
      </c>
      <c r="F2732" s="3">
        <v>46321.54365816059</v>
      </c>
      <c r="G2732" s="3">
        <v>46321.545392979177</v>
      </c>
      <c r="H2732">
        <v>2.5</v>
      </c>
      <c r="I2732" t="s">
        <v>3148</v>
      </c>
      <c r="J2732" t="s">
        <v>3165</v>
      </c>
      <c r="K2732" t="s">
        <v>3180</v>
      </c>
      <c r="L2732" t="str">
        <f>_xlfn.XLOOKUP(C2732,[1]!Table1[Shift_ID],[1]!Table1[Shift_ID])</f>
        <v>S01</v>
      </c>
      <c r="M2732" t="str">
        <f>_xlfn.XLOOKUP(D2732,[2]!Table1[Machine_ID],[2]!Table1[Machine_ID])</f>
        <v>M002</v>
      </c>
      <c r="N2732" t="str">
        <f>_xlfn.XLOOKUP(E2732,[3]Sheet1!$A$2:$A$391,[3]Sheet1!$A$2:$A$391)</f>
        <v>PO10182</v>
      </c>
    </row>
    <row r="2733" spans="1:14" x14ac:dyDescent="0.2">
      <c r="A2733" t="s">
        <v>2742</v>
      </c>
      <c r="B2733" s="2">
        <v>46321</v>
      </c>
      <c r="C2733" t="s">
        <v>2940</v>
      </c>
      <c r="D2733" t="s">
        <v>2944</v>
      </c>
      <c r="E2733" t="s">
        <v>3132</v>
      </c>
      <c r="F2733" s="3">
        <v>46321.439838054474</v>
      </c>
      <c r="G2733" s="3">
        <v>46321.453772413734</v>
      </c>
      <c r="H2733">
        <v>20.07</v>
      </c>
      <c r="I2733" t="s">
        <v>3146</v>
      </c>
      <c r="J2733" t="s">
        <v>3157</v>
      </c>
      <c r="K2733" t="s">
        <v>3175</v>
      </c>
      <c r="L2733" t="str">
        <f>_xlfn.XLOOKUP(C2733,[1]!Table1[Shift_ID],[1]!Table1[Shift_ID])</f>
        <v>S01</v>
      </c>
      <c r="M2733" t="str">
        <f>_xlfn.XLOOKUP(D2733,[2]!Table1[Machine_ID],[2]!Table1[Machine_ID])</f>
        <v>M003</v>
      </c>
      <c r="N2733" t="str">
        <f>_xlfn.XLOOKUP(E2733,[3]Sheet1!$A$2:$A$391,[3]Sheet1!$A$2:$A$391)</f>
        <v>PO10182</v>
      </c>
    </row>
    <row r="2734" spans="1:14" x14ac:dyDescent="0.2">
      <c r="A2734" t="s">
        <v>2743</v>
      </c>
      <c r="B2734" s="2">
        <v>46321</v>
      </c>
      <c r="C2734" t="s">
        <v>2940</v>
      </c>
      <c r="D2734" t="s">
        <v>2945</v>
      </c>
      <c r="E2734" t="s">
        <v>3132</v>
      </c>
      <c r="F2734" s="3">
        <v>46321.318355107753</v>
      </c>
      <c r="G2734" s="3">
        <v>46321.325224564367</v>
      </c>
      <c r="H2734">
        <v>9.89</v>
      </c>
      <c r="I2734" t="s">
        <v>3147</v>
      </c>
      <c r="J2734" t="s">
        <v>3167</v>
      </c>
      <c r="K2734" t="s">
        <v>3186</v>
      </c>
      <c r="L2734" t="str">
        <f>_xlfn.XLOOKUP(C2734,[1]!Table1[Shift_ID],[1]!Table1[Shift_ID])</f>
        <v>S01</v>
      </c>
      <c r="M2734" t="str">
        <f>_xlfn.XLOOKUP(D2734,[2]!Table1[Machine_ID],[2]!Table1[Machine_ID])</f>
        <v>M004</v>
      </c>
      <c r="N2734" t="str">
        <f>_xlfn.XLOOKUP(E2734,[3]Sheet1!$A$2:$A$391,[3]Sheet1!$A$2:$A$391)</f>
        <v>PO10182</v>
      </c>
    </row>
    <row r="2735" spans="1:14" x14ac:dyDescent="0.2">
      <c r="A2735" t="s">
        <v>2744</v>
      </c>
      <c r="B2735" s="2">
        <v>46321</v>
      </c>
      <c r="C2735" t="s">
        <v>2940</v>
      </c>
      <c r="D2735" t="s">
        <v>2946</v>
      </c>
      <c r="E2735" t="s">
        <v>3132</v>
      </c>
      <c r="F2735" s="3">
        <v>46321.284874465076</v>
      </c>
      <c r="G2735" s="3">
        <v>46321.286916026009</v>
      </c>
      <c r="H2735">
        <v>2.94</v>
      </c>
      <c r="I2735" t="s">
        <v>3147</v>
      </c>
      <c r="J2735" t="s">
        <v>3154</v>
      </c>
      <c r="K2735" t="s">
        <v>3186</v>
      </c>
      <c r="L2735" t="str">
        <f>_xlfn.XLOOKUP(C2735,[1]!Table1[Shift_ID],[1]!Table1[Shift_ID])</f>
        <v>S01</v>
      </c>
      <c r="M2735" t="str">
        <f>_xlfn.XLOOKUP(D2735,[2]!Table1[Machine_ID],[2]!Table1[Machine_ID])</f>
        <v>M005</v>
      </c>
      <c r="N2735" t="str">
        <f>_xlfn.XLOOKUP(E2735,[3]Sheet1!$A$2:$A$391,[3]Sheet1!$A$2:$A$391)</f>
        <v>PO10182</v>
      </c>
    </row>
    <row r="2736" spans="1:14" x14ac:dyDescent="0.2">
      <c r="A2736" t="s">
        <v>2745</v>
      </c>
      <c r="B2736" s="2">
        <v>46321</v>
      </c>
      <c r="C2736" t="s">
        <v>2940</v>
      </c>
      <c r="D2736" t="s">
        <v>2946</v>
      </c>
      <c r="E2736" t="s">
        <v>3132</v>
      </c>
      <c r="F2736" s="3">
        <v>46321.439786763083</v>
      </c>
      <c r="G2736" s="3">
        <v>46321.447120147131</v>
      </c>
      <c r="H2736">
        <v>10.56</v>
      </c>
      <c r="I2736" t="s">
        <v>3146</v>
      </c>
      <c r="J2736" t="s">
        <v>3157</v>
      </c>
      <c r="K2736" t="s">
        <v>3175</v>
      </c>
      <c r="L2736" t="str">
        <f>_xlfn.XLOOKUP(C2736,[1]!Table1[Shift_ID],[1]!Table1[Shift_ID])</f>
        <v>S01</v>
      </c>
      <c r="M2736" t="str">
        <f>_xlfn.XLOOKUP(D2736,[2]!Table1[Machine_ID],[2]!Table1[Machine_ID])</f>
        <v>M005</v>
      </c>
      <c r="N2736" t="str">
        <f>_xlfn.XLOOKUP(E2736,[3]Sheet1!$A$2:$A$391,[3]Sheet1!$A$2:$A$391)</f>
        <v>PO10182</v>
      </c>
    </row>
    <row r="2737" spans="1:14" x14ac:dyDescent="0.2">
      <c r="A2737" t="s">
        <v>2746</v>
      </c>
      <c r="B2737" s="2">
        <v>46321</v>
      </c>
      <c r="C2737" t="s">
        <v>2940</v>
      </c>
      <c r="D2737" t="s">
        <v>2947</v>
      </c>
      <c r="E2737" t="s">
        <v>3132</v>
      </c>
      <c r="F2737" s="3">
        <v>46321.510202027712</v>
      </c>
      <c r="G2737" s="3">
        <v>46321.535701819412</v>
      </c>
      <c r="H2737">
        <v>36.72</v>
      </c>
      <c r="I2737" t="s">
        <v>3148</v>
      </c>
      <c r="J2737" t="s">
        <v>3155</v>
      </c>
      <c r="K2737" t="s">
        <v>3173</v>
      </c>
      <c r="L2737" t="str">
        <f>_xlfn.XLOOKUP(C2737,[1]!Table1[Shift_ID],[1]!Table1[Shift_ID])</f>
        <v>S01</v>
      </c>
      <c r="M2737" t="str">
        <f>_xlfn.XLOOKUP(D2737,[2]!Table1[Machine_ID],[2]!Table1[Machine_ID])</f>
        <v>M006</v>
      </c>
      <c r="N2737" t="str">
        <f>_xlfn.XLOOKUP(E2737,[3]Sheet1!$A$2:$A$391,[3]Sheet1!$A$2:$A$391)</f>
        <v>PO10182</v>
      </c>
    </row>
    <row r="2738" spans="1:14" x14ac:dyDescent="0.2">
      <c r="A2738" t="s">
        <v>2747</v>
      </c>
      <c r="B2738" s="2">
        <v>46321</v>
      </c>
      <c r="C2738" t="s">
        <v>2940</v>
      </c>
      <c r="D2738" t="s">
        <v>2948</v>
      </c>
      <c r="E2738" t="s">
        <v>3132</v>
      </c>
      <c r="F2738" s="3">
        <v>46321.262893122897</v>
      </c>
      <c r="G2738" s="3">
        <v>46321.267427646701</v>
      </c>
      <c r="H2738">
        <v>6.53</v>
      </c>
      <c r="I2738" t="s">
        <v>3150</v>
      </c>
      <c r="J2738" t="s">
        <v>3160</v>
      </c>
      <c r="K2738" t="s">
        <v>3178</v>
      </c>
      <c r="L2738" t="str">
        <f>_xlfn.XLOOKUP(C2738,[1]!Table1[Shift_ID],[1]!Table1[Shift_ID])</f>
        <v>S01</v>
      </c>
      <c r="M2738" t="str">
        <f>_xlfn.XLOOKUP(D2738,[2]!Table1[Machine_ID],[2]!Table1[Machine_ID])</f>
        <v>M007</v>
      </c>
      <c r="N2738" t="str">
        <f>_xlfn.XLOOKUP(E2738,[3]Sheet1!$A$2:$A$391,[3]Sheet1!$A$2:$A$391)</f>
        <v>PO10182</v>
      </c>
    </row>
    <row r="2739" spans="1:14" x14ac:dyDescent="0.2">
      <c r="A2739" t="s">
        <v>2748</v>
      </c>
      <c r="B2739" s="2">
        <v>46321</v>
      </c>
      <c r="C2739" t="s">
        <v>2940</v>
      </c>
      <c r="D2739" t="s">
        <v>2948</v>
      </c>
      <c r="E2739" t="s">
        <v>3132</v>
      </c>
      <c r="F2739" s="3">
        <v>46321.269507820602</v>
      </c>
      <c r="G2739" s="3">
        <v>46321.274929168467</v>
      </c>
      <c r="H2739">
        <v>7.81</v>
      </c>
      <c r="I2739" t="s">
        <v>3147</v>
      </c>
      <c r="J2739" t="s">
        <v>3167</v>
      </c>
      <c r="K2739" t="s">
        <v>3172</v>
      </c>
      <c r="L2739" t="str">
        <f>_xlfn.XLOOKUP(C2739,[1]!Table1[Shift_ID],[1]!Table1[Shift_ID])</f>
        <v>S01</v>
      </c>
      <c r="M2739" t="str">
        <f>_xlfn.XLOOKUP(D2739,[2]!Table1[Machine_ID],[2]!Table1[Machine_ID])</f>
        <v>M007</v>
      </c>
      <c r="N2739" t="str">
        <f>_xlfn.XLOOKUP(E2739,[3]Sheet1!$A$2:$A$391,[3]Sheet1!$A$2:$A$391)</f>
        <v>PO10182</v>
      </c>
    </row>
    <row r="2740" spans="1:14" x14ac:dyDescent="0.2">
      <c r="A2740" t="s">
        <v>2749</v>
      </c>
      <c r="B2740" s="2">
        <v>46321</v>
      </c>
      <c r="C2740" t="s">
        <v>2940</v>
      </c>
      <c r="D2740" t="s">
        <v>2948</v>
      </c>
      <c r="E2740" t="s">
        <v>3132</v>
      </c>
      <c r="F2740" s="3">
        <v>46321.400414647869</v>
      </c>
      <c r="G2740" s="3">
        <v>46321.403675664362</v>
      </c>
      <c r="H2740">
        <v>4.7</v>
      </c>
      <c r="I2740" t="s">
        <v>3148</v>
      </c>
      <c r="J2740" t="s">
        <v>3164</v>
      </c>
      <c r="K2740" t="s">
        <v>3183</v>
      </c>
      <c r="L2740" t="str">
        <f>_xlfn.XLOOKUP(C2740,[1]!Table1[Shift_ID],[1]!Table1[Shift_ID])</f>
        <v>S01</v>
      </c>
      <c r="M2740" t="str">
        <f>_xlfn.XLOOKUP(D2740,[2]!Table1[Machine_ID],[2]!Table1[Machine_ID])</f>
        <v>M007</v>
      </c>
      <c r="N2740" t="str">
        <f>_xlfn.XLOOKUP(E2740,[3]Sheet1!$A$2:$A$391,[3]Sheet1!$A$2:$A$391)</f>
        <v>PO10182</v>
      </c>
    </row>
    <row r="2741" spans="1:14" x14ac:dyDescent="0.2">
      <c r="A2741" t="s">
        <v>2750</v>
      </c>
      <c r="B2741" s="2">
        <v>46321</v>
      </c>
      <c r="C2741" t="s">
        <v>2940</v>
      </c>
      <c r="D2741" t="s">
        <v>2948</v>
      </c>
      <c r="E2741" t="s">
        <v>3132</v>
      </c>
      <c r="F2741" s="3">
        <v>46321.490586676868</v>
      </c>
      <c r="G2741" s="3">
        <v>46321.494953064641</v>
      </c>
      <c r="H2741">
        <v>6.29</v>
      </c>
      <c r="I2741" t="s">
        <v>3148</v>
      </c>
      <c r="J2741" t="s">
        <v>3164</v>
      </c>
      <c r="K2741" t="s">
        <v>3180</v>
      </c>
      <c r="L2741" t="str">
        <f>_xlfn.XLOOKUP(C2741,[1]!Table1[Shift_ID],[1]!Table1[Shift_ID])</f>
        <v>S01</v>
      </c>
      <c r="M2741" t="str">
        <f>_xlfn.XLOOKUP(D2741,[2]!Table1[Machine_ID],[2]!Table1[Machine_ID])</f>
        <v>M007</v>
      </c>
      <c r="N2741" t="str">
        <f>_xlfn.XLOOKUP(E2741,[3]Sheet1!$A$2:$A$391,[3]Sheet1!$A$2:$A$391)</f>
        <v>PO10182</v>
      </c>
    </row>
    <row r="2742" spans="1:14" x14ac:dyDescent="0.2">
      <c r="A2742" t="s">
        <v>2751</v>
      </c>
      <c r="B2742" s="2">
        <v>46321</v>
      </c>
      <c r="C2742" t="s">
        <v>2940</v>
      </c>
      <c r="D2742" t="s">
        <v>2949</v>
      </c>
      <c r="E2742" t="s">
        <v>3132</v>
      </c>
      <c r="F2742" s="3">
        <v>46321.39111384868</v>
      </c>
      <c r="G2742" s="3">
        <v>46321.398780770767</v>
      </c>
      <c r="H2742">
        <v>11.04</v>
      </c>
      <c r="I2742" t="s">
        <v>3148</v>
      </c>
      <c r="J2742" t="s">
        <v>3165</v>
      </c>
      <c r="K2742" t="s">
        <v>3180</v>
      </c>
      <c r="L2742" t="str">
        <f>_xlfn.XLOOKUP(C2742,[1]!Table1[Shift_ID],[1]!Table1[Shift_ID])</f>
        <v>S01</v>
      </c>
      <c r="M2742" t="str">
        <f>_xlfn.XLOOKUP(D2742,[2]!Table1[Machine_ID],[2]!Table1[Machine_ID])</f>
        <v>M008</v>
      </c>
      <c r="N2742" t="str">
        <f>_xlfn.XLOOKUP(E2742,[3]Sheet1!$A$2:$A$391,[3]Sheet1!$A$2:$A$391)</f>
        <v>PO10182</v>
      </c>
    </row>
    <row r="2743" spans="1:14" x14ac:dyDescent="0.2">
      <c r="A2743" t="s">
        <v>2752</v>
      </c>
      <c r="B2743" s="2">
        <v>46321</v>
      </c>
      <c r="C2743" t="s">
        <v>2941</v>
      </c>
      <c r="D2743" t="s">
        <v>2942</v>
      </c>
      <c r="E2743" t="s">
        <v>3133</v>
      </c>
      <c r="F2743" s="3">
        <v>46321.654930752316</v>
      </c>
      <c r="G2743" s="3">
        <v>46321.659864037509</v>
      </c>
      <c r="H2743">
        <v>7.1</v>
      </c>
      <c r="I2743" t="s">
        <v>3149</v>
      </c>
      <c r="J2743" t="s">
        <v>3168</v>
      </c>
      <c r="K2743" t="s">
        <v>3182</v>
      </c>
      <c r="L2743" t="str">
        <f>_xlfn.XLOOKUP(C2743,[1]!Table1[Shift_ID],[1]!Table1[Shift_ID])</f>
        <v>S02</v>
      </c>
      <c r="M2743" t="str">
        <f>_xlfn.XLOOKUP(D2743,[2]!Table1[Machine_ID],[2]!Table1[Machine_ID])</f>
        <v>M001</v>
      </c>
      <c r="N2743" t="str">
        <f>_xlfn.XLOOKUP(E2743,[3]Sheet1!$A$2:$A$391,[3]Sheet1!$A$2:$A$391)</f>
        <v>PO10183</v>
      </c>
    </row>
    <row r="2744" spans="1:14" x14ac:dyDescent="0.2">
      <c r="A2744" t="s">
        <v>2753</v>
      </c>
      <c r="B2744" s="2">
        <v>46321</v>
      </c>
      <c r="C2744" t="s">
        <v>2941</v>
      </c>
      <c r="D2744" t="s">
        <v>2943</v>
      </c>
      <c r="E2744" t="s">
        <v>3133</v>
      </c>
      <c r="F2744" s="3">
        <v>46321.674683080048</v>
      </c>
      <c r="G2744" s="3">
        <v>46321.678451977867</v>
      </c>
      <c r="H2744">
        <v>5.43</v>
      </c>
      <c r="I2744" t="s">
        <v>3149</v>
      </c>
      <c r="J2744" t="s">
        <v>3158</v>
      </c>
      <c r="K2744" t="s">
        <v>3176</v>
      </c>
      <c r="L2744" t="str">
        <f>_xlfn.XLOOKUP(C2744,[1]!Table1[Shift_ID],[1]!Table1[Shift_ID])</f>
        <v>S02</v>
      </c>
      <c r="M2744" t="str">
        <f>_xlfn.XLOOKUP(D2744,[2]!Table1[Machine_ID],[2]!Table1[Machine_ID])</f>
        <v>M002</v>
      </c>
      <c r="N2744" t="str">
        <f>_xlfn.XLOOKUP(E2744,[3]Sheet1!$A$2:$A$391,[3]Sheet1!$A$2:$A$391)</f>
        <v>PO10183</v>
      </c>
    </row>
    <row r="2745" spans="1:14" x14ac:dyDescent="0.2">
      <c r="A2745" t="s">
        <v>2754</v>
      </c>
      <c r="B2745" s="2">
        <v>46321</v>
      </c>
      <c r="C2745" t="s">
        <v>2941</v>
      </c>
      <c r="D2745" t="s">
        <v>2943</v>
      </c>
      <c r="E2745" t="s">
        <v>3133</v>
      </c>
      <c r="F2745" s="3">
        <v>46321.809699337318</v>
      </c>
      <c r="G2745" s="3">
        <v>46321.811627647818</v>
      </c>
      <c r="H2745">
        <v>2.78</v>
      </c>
      <c r="I2745" t="s">
        <v>3150</v>
      </c>
      <c r="J2745" t="s">
        <v>3166</v>
      </c>
      <c r="K2745" t="s">
        <v>3177</v>
      </c>
      <c r="L2745" t="str">
        <f>_xlfn.XLOOKUP(C2745,[1]!Table1[Shift_ID],[1]!Table1[Shift_ID])</f>
        <v>S02</v>
      </c>
      <c r="M2745" t="str">
        <f>_xlfn.XLOOKUP(D2745,[2]!Table1[Machine_ID],[2]!Table1[Machine_ID])</f>
        <v>M002</v>
      </c>
      <c r="N2745" t="str">
        <f>_xlfn.XLOOKUP(E2745,[3]Sheet1!$A$2:$A$391,[3]Sheet1!$A$2:$A$391)</f>
        <v>PO10183</v>
      </c>
    </row>
    <row r="2746" spans="1:14" x14ac:dyDescent="0.2">
      <c r="A2746" t="s">
        <v>2755</v>
      </c>
      <c r="B2746" s="2">
        <v>46321</v>
      </c>
      <c r="C2746" t="s">
        <v>2941</v>
      </c>
      <c r="D2746" t="s">
        <v>2943</v>
      </c>
      <c r="E2746" t="s">
        <v>3133</v>
      </c>
      <c r="F2746" s="3">
        <v>46321.894550430377</v>
      </c>
      <c r="G2746" s="3">
        <v>46321.898733250287</v>
      </c>
      <c r="H2746">
        <v>6.02</v>
      </c>
      <c r="I2746" t="s">
        <v>3147</v>
      </c>
      <c r="J2746" t="s">
        <v>3153</v>
      </c>
      <c r="K2746" t="s">
        <v>3185</v>
      </c>
      <c r="L2746" t="str">
        <f>_xlfn.XLOOKUP(C2746,[1]!Table1[Shift_ID],[1]!Table1[Shift_ID])</f>
        <v>S02</v>
      </c>
      <c r="M2746" t="str">
        <f>_xlfn.XLOOKUP(D2746,[2]!Table1[Machine_ID],[2]!Table1[Machine_ID])</f>
        <v>M002</v>
      </c>
      <c r="N2746" t="str">
        <f>_xlfn.XLOOKUP(E2746,[3]Sheet1!$A$2:$A$391,[3]Sheet1!$A$2:$A$391)</f>
        <v>PO10183</v>
      </c>
    </row>
    <row r="2747" spans="1:14" x14ac:dyDescent="0.2">
      <c r="A2747" t="s">
        <v>2756</v>
      </c>
      <c r="B2747" s="2">
        <v>46321</v>
      </c>
      <c r="C2747" t="s">
        <v>2941</v>
      </c>
      <c r="D2747" t="s">
        <v>2944</v>
      </c>
      <c r="E2747" t="s">
        <v>3133</v>
      </c>
      <c r="F2747" s="3">
        <v>46321.67287888904</v>
      </c>
      <c r="G2747" s="3">
        <v>46321.685657077549</v>
      </c>
      <c r="H2747">
        <v>18.399999999999999</v>
      </c>
      <c r="I2747" t="s">
        <v>3147</v>
      </c>
      <c r="J2747" t="s">
        <v>3153</v>
      </c>
      <c r="K2747" t="s">
        <v>3172</v>
      </c>
      <c r="L2747" t="str">
        <f>_xlfn.XLOOKUP(C2747,[1]!Table1[Shift_ID],[1]!Table1[Shift_ID])</f>
        <v>S02</v>
      </c>
      <c r="M2747" t="str">
        <f>_xlfn.XLOOKUP(D2747,[2]!Table1[Machine_ID],[2]!Table1[Machine_ID])</f>
        <v>M003</v>
      </c>
      <c r="N2747" t="str">
        <f>_xlfn.XLOOKUP(E2747,[3]Sheet1!$A$2:$A$391,[3]Sheet1!$A$2:$A$391)</f>
        <v>PO10183</v>
      </c>
    </row>
    <row r="2748" spans="1:14" x14ac:dyDescent="0.2">
      <c r="A2748" t="s">
        <v>2757</v>
      </c>
      <c r="B2748" s="2">
        <v>46321</v>
      </c>
      <c r="C2748" t="s">
        <v>2941</v>
      </c>
      <c r="D2748" t="s">
        <v>2945</v>
      </c>
      <c r="E2748" t="s">
        <v>3133</v>
      </c>
      <c r="F2748" s="3">
        <v>46321.90805815046</v>
      </c>
      <c r="G2748" s="3">
        <v>46321.916245897177</v>
      </c>
      <c r="H2748">
        <v>11.79</v>
      </c>
      <c r="I2748" t="s">
        <v>3147</v>
      </c>
      <c r="J2748" t="s">
        <v>3154</v>
      </c>
      <c r="K2748" t="s">
        <v>3186</v>
      </c>
      <c r="L2748" t="str">
        <f>_xlfn.XLOOKUP(C2748,[1]!Table1[Shift_ID],[1]!Table1[Shift_ID])</f>
        <v>S02</v>
      </c>
      <c r="M2748" t="str">
        <f>_xlfn.XLOOKUP(D2748,[2]!Table1[Machine_ID],[2]!Table1[Machine_ID])</f>
        <v>M004</v>
      </c>
      <c r="N2748" t="str">
        <f>_xlfn.XLOOKUP(E2748,[3]Sheet1!$A$2:$A$391,[3]Sheet1!$A$2:$A$391)</f>
        <v>PO10183</v>
      </c>
    </row>
    <row r="2749" spans="1:14" x14ac:dyDescent="0.2">
      <c r="A2749" t="s">
        <v>2758</v>
      </c>
      <c r="B2749" s="2">
        <v>46321</v>
      </c>
      <c r="C2749" t="s">
        <v>2941</v>
      </c>
      <c r="D2749" t="s">
        <v>2946</v>
      </c>
      <c r="E2749" t="s">
        <v>3133</v>
      </c>
      <c r="F2749" s="3">
        <v>46321.884202174988</v>
      </c>
      <c r="G2749" s="3">
        <v>46321.89448901845</v>
      </c>
      <c r="H2749">
        <v>14.81</v>
      </c>
      <c r="I2749" t="s">
        <v>3146</v>
      </c>
      <c r="J2749" t="s">
        <v>3152</v>
      </c>
      <c r="K2749" t="s">
        <v>3175</v>
      </c>
      <c r="L2749" t="str">
        <f>_xlfn.XLOOKUP(C2749,[1]!Table1[Shift_ID],[1]!Table1[Shift_ID])</f>
        <v>S02</v>
      </c>
      <c r="M2749" t="str">
        <f>_xlfn.XLOOKUP(D2749,[2]!Table1[Machine_ID],[2]!Table1[Machine_ID])</f>
        <v>M005</v>
      </c>
      <c r="N2749" t="str">
        <f>_xlfn.XLOOKUP(E2749,[3]Sheet1!$A$2:$A$391,[3]Sheet1!$A$2:$A$391)</f>
        <v>PO10183</v>
      </c>
    </row>
    <row r="2750" spans="1:14" x14ac:dyDescent="0.2">
      <c r="A2750" t="s">
        <v>2759</v>
      </c>
      <c r="B2750" s="2">
        <v>46321</v>
      </c>
      <c r="C2750" t="s">
        <v>2941</v>
      </c>
      <c r="D2750" t="s">
        <v>2947</v>
      </c>
      <c r="E2750" t="s">
        <v>3133</v>
      </c>
      <c r="F2750" s="3">
        <v>46321.725188116121</v>
      </c>
      <c r="G2750" s="3">
        <v>46321.727177619803</v>
      </c>
      <c r="H2750">
        <v>2.86</v>
      </c>
      <c r="I2750" t="s">
        <v>3151</v>
      </c>
      <c r="J2750" t="s">
        <v>3161</v>
      </c>
      <c r="K2750" t="s">
        <v>3181</v>
      </c>
      <c r="L2750" t="str">
        <f>_xlfn.XLOOKUP(C2750,[1]!Table1[Shift_ID],[1]!Table1[Shift_ID])</f>
        <v>S02</v>
      </c>
      <c r="M2750" t="str">
        <f>_xlfn.XLOOKUP(D2750,[2]!Table1[Machine_ID],[2]!Table1[Machine_ID])</f>
        <v>M006</v>
      </c>
      <c r="N2750" t="str">
        <f>_xlfn.XLOOKUP(E2750,[3]Sheet1!$A$2:$A$391,[3]Sheet1!$A$2:$A$391)</f>
        <v>PO10183</v>
      </c>
    </row>
    <row r="2751" spans="1:14" x14ac:dyDescent="0.2">
      <c r="A2751" t="s">
        <v>2760</v>
      </c>
      <c r="B2751" s="2">
        <v>46321</v>
      </c>
      <c r="C2751" t="s">
        <v>2941</v>
      </c>
      <c r="D2751" t="s">
        <v>2947</v>
      </c>
      <c r="E2751" t="s">
        <v>3133</v>
      </c>
      <c r="F2751" s="3">
        <v>46321.76951912314</v>
      </c>
      <c r="G2751" s="3">
        <v>46321.793659563184</v>
      </c>
      <c r="H2751">
        <v>34.76</v>
      </c>
      <c r="I2751" t="s">
        <v>3149</v>
      </c>
      <c r="J2751" t="s">
        <v>3162</v>
      </c>
      <c r="K2751" t="s">
        <v>3184</v>
      </c>
      <c r="L2751" t="str">
        <f>_xlfn.XLOOKUP(C2751,[1]!Table1[Shift_ID],[1]!Table1[Shift_ID])</f>
        <v>S02</v>
      </c>
      <c r="M2751" t="str">
        <f>_xlfn.XLOOKUP(D2751,[2]!Table1[Machine_ID],[2]!Table1[Machine_ID])</f>
        <v>M006</v>
      </c>
      <c r="N2751" t="str">
        <f>_xlfn.XLOOKUP(E2751,[3]Sheet1!$A$2:$A$391,[3]Sheet1!$A$2:$A$391)</f>
        <v>PO10183</v>
      </c>
    </row>
    <row r="2752" spans="1:14" x14ac:dyDescent="0.2">
      <c r="A2752" t="s">
        <v>2761</v>
      </c>
      <c r="B2752" s="2">
        <v>46321</v>
      </c>
      <c r="C2752" t="s">
        <v>2941</v>
      </c>
      <c r="D2752" t="s">
        <v>2948</v>
      </c>
      <c r="E2752" t="s">
        <v>3133</v>
      </c>
      <c r="F2752" s="3">
        <v>46321.901668496008</v>
      </c>
      <c r="G2752" s="3">
        <v>46321.913709822671</v>
      </c>
      <c r="H2752">
        <v>17.34</v>
      </c>
      <c r="I2752" t="s">
        <v>3147</v>
      </c>
      <c r="J2752" t="s">
        <v>3153</v>
      </c>
      <c r="K2752" t="s">
        <v>3172</v>
      </c>
      <c r="L2752" t="str">
        <f>_xlfn.XLOOKUP(C2752,[1]!Table1[Shift_ID],[1]!Table1[Shift_ID])</f>
        <v>S02</v>
      </c>
      <c r="M2752" t="str">
        <f>_xlfn.XLOOKUP(D2752,[2]!Table1[Machine_ID],[2]!Table1[Machine_ID])</f>
        <v>M007</v>
      </c>
      <c r="N2752" t="str">
        <f>_xlfn.XLOOKUP(E2752,[3]Sheet1!$A$2:$A$391,[3]Sheet1!$A$2:$A$391)</f>
        <v>PO10183</v>
      </c>
    </row>
    <row r="2753" spans="1:14" x14ac:dyDescent="0.2">
      <c r="A2753" t="s">
        <v>2762</v>
      </c>
      <c r="B2753" s="2">
        <v>46321</v>
      </c>
      <c r="C2753" t="s">
        <v>2941</v>
      </c>
      <c r="D2753" t="s">
        <v>2949</v>
      </c>
      <c r="E2753" t="s">
        <v>3133</v>
      </c>
      <c r="F2753" s="3">
        <v>46321.655886317072</v>
      </c>
      <c r="G2753" s="3">
        <v>46321.661198447633</v>
      </c>
      <c r="H2753">
        <v>7.65</v>
      </c>
      <c r="I2753" t="s">
        <v>3146</v>
      </c>
      <c r="J2753" t="s">
        <v>3152</v>
      </c>
      <c r="K2753" t="s">
        <v>3175</v>
      </c>
      <c r="L2753" t="str">
        <f>_xlfn.XLOOKUP(C2753,[1]!Table1[Shift_ID],[1]!Table1[Shift_ID])</f>
        <v>S02</v>
      </c>
      <c r="M2753" t="str">
        <f>_xlfn.XLOOKUP(D2753,[2]!Table1[Machine_ID],[2]!Table1[Machine_ID])</f>
        <v>M008</v>
      </c>
      <c r="N2753" t="str">
        <f>_xlfn.XLOOKUP(E2753,[3]Sheet1!$A$2:$A$391,[3]Sheet1!$A$2:$A$391)</f>
        <v>PO10183</v>
      </c>
    </row>
    <row r="2754" spans="1:14" x14ac:dyDescent="0.2">
      <c r="A2754" t="s">
        <v>2763</v>
      </c>
      <c r="B2754" s="2">
        <v>46322</v>
      </c>
      <c r="C2754" t="s">
        <v>2939</v>
      </c>
      <c r="D2754" t="s">
        <v>2942</v>
      </c>
      <c r="E2754" t="s">
        <v>3134</v>
      </c>
      <c r="F2754" s="3">
        <v>46323.071107960081</v>
      </c>
      <c r="G2754" s="3">
        <v>46323.075914747023</v>
      </c>
      <c r="H2754">
        <v>6.92</v>
      </c>
      <c r="I2754" t="s">
        <v>3149</v>
      </c>
      <c r="J2754" t="s">
        <v>3162</v>
      </c>
      <c r="K2754" t="s">
        <v>3176</v>
      </c>
      <c r="L2754" t="str">
        <f>_xlfn.XLOOKUP(C2754,[1]!Table1[Shift_ID],[1]!Table1[Shift_ID])</f>
        <v>S03</v>
      </c>
      <c r="M2754" t="str">
        <f>_xlfn.XLOOKUP(D2754,[2]!Table1[Machine_ID],[2]!Table1[Machine_ID])</f>
        <v>M001</v>
      </c>
      <c r="N2754" t="str">
        <f>_xlfn.XLOOKUP(E2754,[3]Sheet1!$A$2:$A$391,[3]Sheet1!$A$2:$A$391)</f>
        <v>PO10184</v>
      </c>
    </row>
    <row r="2755" spans="1:14" x14ac:dyDescent="0.2">
      <c r="A2755" t="s">
        <v>2764</v>
      </c>
      <c r="B2755" s="2">
        <v>46322</v>
      </c>
      <c r="C2755" t="s">
        <v>2939</v>
      </c>
      <c r="D2755" t="s">
        <v>2943</v>
      </c>
      <c r="E2755" t="s">
        <v>3134</v>
      </c>
      <c r="F2755" s="3">
        <v>46322.998062383522</v>
      </c>
      <c r="G2755" s="3">
        <v>46322.999373616571</v>
      </c>
      <c r="H2755">
        <v>1.89</v>
      </c>
      <c r="I2755" t="s">
        <v>3149</v>
      </c>
      <c r="J2755" t="s">
        <v>3168</v>
      </c>
      <c r="K2755" t="s">
        <v>3176</v>
      </c>
      <c r="L2755" t="str">
        <f>_xlfn.XLOOKUP(C2755,[1]!Table1[Shift_ID],[1]!Table1[Shift_ID])</f>
        <v>S03</v>
      </c>
      <c r="M2755" t="str">
        <f>_xlfn.XLOOKUP(D2755,[2]!Table1[Machine_ID],[2]!Table1[Machine_ID])</f>
        <v>M002</v>
      </c>
      <c r="N2755" t="str">
        <f>_xlfn.XLOOKUP(E2755,[3]Sheet1!$A$2:$A$391,[3]Sheet1!$A$2:$A$391)</f>
        <v>PO10184</v>
      </c>
    </row>
    <row r="2756" spans="1:14" x14ac:dyDescent="0.2">
      <c r="A2756" t="s">
        <v>2765</v>
      </c>
      <c r="B2756" s="2">
        <v>46322</v>
      </c>
      <c r="C2756" t="s">
        <v>2939</v>
      </c>
      <c r="D2756" t="s">
        <v>2943</v>
      </c>
      <c r="E2756" t="s">
        <v>3134</v>
      </c>
      <c r="F2756" s="3">
        <v>46323.140264515627</v>
      </c>
      <c r="G2756" s="3">
        <v>46323.142756015761</v>
      </c>
      <c r="H2756">
        <v>3.59</v>
      </c>
      <c r="I2756" t="s">
        <v>3146</v>
      </c>
      <c r="J2756" t="s">
        <v>3152</v>
      </c>
      <c r="K2756" t="s">
        <v>3175</v>
      </c>
      <c r="L2756" t="str">
        <f>_xlfn.XLOOKUP(C2756,[1]!Table1[Shift_ID],[1]!Table1[Shift_ID])</f>
        <v>S03</v>
      </c>
      <c r="M2756" t="str">
        <f>_xlfn.XLOOKUP(D2756,[2]!Table1[Machine_ID],[2]!Table1[Machine_ID])</f>
        <v>M002</v>
      </c>
      <c r="N2756" t="str">
        <f>_xlfn.XLOOKUP(E2756,[3]Sheet1!$A$2:$A$391,[3]Sheet1!$A$2:$A$391)</f>
        <v>PO10184</v>
      </c>
    </row>
    <row r="2757" spans="1:14" x14ac:dyDescent="0.2">
      <c r="A2757" t="s">
        <v>2766</v>
      </c>
      <c r="B2757" s="2">
        <v>46322</v>
      </c>
      <c r="C2757" t="s">
        <v>2939</v>
      </c>
      <c r="D2757" t="s">
        <v>2943</v>
      </c>
      <c r="E2757" t="s">
        <v>3134</v>
      </c>
      <c r="F2757" s="3">
        <v>46323.165261390473</v>
      </c>
      <c r="G2757" s="3">
        <v>46323.16657262353</v>
      </c>
      <c r="H2757">
        <v>1.89</v>
      </c>
      <c r="I2757" t="s">
        <v>3150</v>
      </c>
      <c r="J2757" t="s">
        <v>3159</v>
      </c>
      <c r="K2757" t="s">
        <v>3179</v>
      </c>
      <c r="L2757" t="str">
        <f>_xlfn.XLOOKUP(C2757,[1]!Table1[Shift_ID],[1]!Table1[Shift_ID])</f>
        <v>S03</v>
      </c>
      <c r="M2757" t="str">
        <f>_xlfn.XLOOKUP(D2757,[2]!Table1[Machine_ID],[2]!Table1[Machine_ID])</f>
        <v>M002</v>
      </c>
      <c r="N2757" t="str">
        <f>_xlfn.XLOOKUP(E2757,[3]Sheet1!$A$2:$A$391,[3]Sheet1!$A$2:$A$391)</f>
        <v>PO10184</v>
      </c>
    </row>
    <row r="2758" spans="1:14" x14ac:dyDescent="0.2">
      <c r="A2758" t="s">
        <v>2767</v>
      </c>
      <c r="B2758" s="2">
        <v>46322</v>
      </c>
      <c r="C2758" t="s">
        <v>2939</v>
      </c>
      <c r="D2758" t="s">
        <v>2943</v>
      </c>
      <c r="E2758" t="s">
        <v>3134</v>
      </c>
      <c r="F2758" s="3">
        <v>46323.212821513524</v>
      </c>
      <c r="G2758" s="3">
        <v>46323.214132746572</v>
      </c>
      <c r="H2758">
        <v>1.89</v>
      </c>
      <c r="I2758" t="s">
        <v>3151</v>
      </c>
      <c r="J2758" t="s">
        <v>3161</v>
      </c>
      <c r="K2758" t="s">
        <v>3188</v>
      </c>
      <c r="L2758" t="str">
        <f>_xlfn.XLOOKUP(C2758,[1]!Table1[Shift_ID],[1]!Table1[Shift_ID])</f>
        <v>S03</v>
      </c>
      <c r="M2758" t="str">
        <f>_xlfn.XLOOKUP(D2758,[2]!Table1[Machine_ID],[2]!Table1[Machine_ID])</f>
        <v>M002</v>
      </c>
      <c r="N2758" t="str">
        <f>_xlfn.XLOOKUP(E2758,[3]Sheet1!$A$2:$A$391,[3]Sheet1!$A$2:$A$391)</f>
        <v>PO10184</v>
      </c>
    </row>
    <row r="2759" spans="1:14" x14ac:dyDescent="0.2">
      <c r="A2759" t="s">
        <v>2768</v>
      </c>
      <c r="B2759" s="2">
        <v>46322</v>
      </c>
      <c r="C2759" t="s">
        <v>2939</v>
      </c>
      <c r="D2759" t="s">
        <v>2944</v>
      </c>
      <c r="E2759" t="s">
        <v>3134</v>
      </c>
      <c r="F2759" s="3">
        <v>46322.918102167838</v>
      </c>
      <c r="G2759" s="3">
        <v>46322.924215622697</v>
      </c>
      <c r="H2759">
        <v>8.8000000000000007</v>
      </c>
      <c r="I2759" t="s">
        <v>3147</v>
      </c>
      <c r="J2759" t="s">
        <v>3153</v>
      </c>
      <c r="K2759" t="s">
        <v>3186</v>
      </c>
      <c r="L2759" t="str">
        <f>_xlfn.XLOOKUP(C2759,[1]!Table1[Shift_ID],[1]!Table1[Shift_ID])</f>
        <v>S03</v>
      </c>
      <c r="M2759" t="str">
        <f>_xlfn.XLOOKUP(D2759,[2]!Table1[Machine_ID],[2]!Table1[Machine_ID])</f>
        <v>M003</v>
      </c>
      <c r="N2759" t="str">
        <f>_xlfn.XLOOKUP(E2759,[3]Sheet1!$A$2:$A$391,[3]Sheet1!$A$2:$A$391)</f>
        <v>PO10184</v>
      </c>
    </row>
    <row r="2760" spans="1:14" x14ac:dyDescent="0.2">
      <c r="A2760" t="s">
        <v>2769</v>
      </c>
      <c r="B2760" s="2">
        <v>46322</v>
      </c>
      <c r="C2760" t="s">
        <v>2939</v>
      </c>
      <c r="D2760" t="s">
        <v>2944</v>
      </c>
      <c r="E2760" t="s">
        <v>3134</v>
      </c>
      <c r="F2760" s="3">
        <v>46322.963627936493</v>
      </c>
      <c r="G2760" s="3">
        <v>46322.96890157256</v>
      </c>
      <c r="H2760">
        <v>7.59</v>
      </c>
      <c r="I2760" t="s">
        <v>3147</v>
      </c>
      <c r="J2760" t="s">
        <v>3167</v>
      </c>
      <c r="K2760" t="s">
        <v>3185</v>
      </c>
      <c r="L2760" t="str">
        <f>_xlfn.XLOOKUP(C2760,[1]!Table1[Shift_ID],[1]!Table1[Shift_ID])</f>
        <v>S03</v>
      </c>
      <c r="M2760" t="str">
        <f>_xlfn.XLOOKUP(D2760,[2]!Table1[Machine_ID],[2]!Table1[Machine_ID])</f>
        <v>M003</v>
      </c>
      <c r="N2760" t="str">
        <f>_xlfn.XLOOKUP(E2760,[3]Sheet1!$A$2:$A$391,[3]Sheet1!$A$2:$A$391)</f>
        <v>PO10184</v>
      </c>
    </row>
    <row r="2761" spans="1:14" x14ac:dyDescent="0.2">
      <c r="A2761" t="s">
        <v>2770</v>
      </c>
      <c r="B2761" s="2">
        <v>46322</v>
      </c>
      <c r="C2761" t="s">
        <v>2939</v>
      </c>
      <c r="D2761" t="s">
        <v>2945</v>
      </c>
      <c r="E2761" t="s">
        <v>3134</v>
      </c>
      <c r="F2761" s="3">
        <v>46323.027920864813</v>
      </c>
      <c r="G2761" s="3">
        <v>46323.035418409723</v>
      </c>
      <c r="H2761">
        <v>10.8</v>
      </c>
      <c r="I2761" t="s">
        <v>3147</v>
      </c>
      <c r="J2761" t="s">
        <v>3154</v>
      </c>
      <c r="K2761" t="s">
        <v>3185</v>
      </c>
      <c r="L2761" t="str">
        <f>_xlfn.XLOOKUP(C2761,[1]!Table1[Shift_ID],[1]!Table1[Shift_ID])</f>
        <v>S03</v>
      </c>
      <c r="M2761" t="str">
        <f>_xlfn.XLOOKUP(D2761,[2]!Table1[Machine_ID],[2]!Table1[Machine_ID])</f>
        <v>M004</v>
      </c>
      <c r="N2761" t="str">
        <f>_xlfn.XLOOKUP(E2761,[3]Sheet1!$A$2:$A$391,[3]Sheet1!$A$2:$A$391)</f>
        <v>PO10184</v>
      </c>
    </row>
    <row r="2762" spans="1:14" x14ac:dyDescent="0.2">
      <c r="A2762" t="s">
        <v>2771</v>
      </c>
      <c r="B2762" s="2">
        <v>46322</v>
      </c>
      <c r="C2762" t="s">
        <v>2939</v>
      </c>
      <c r="D2762" t="s">
        <v>2946</v>
      </c>
      <c r="E2762" t="s">
        <v>3134</v>
      </c>
      <c r="F2762" s="3">
        <v>46323.057257950502</v>
      </c>
      <c r="G2762" s="3">
        <v>46323.058980187467</v>
      </c>
      <c r="H2762">
        <v>2.48</v>
      </c>
      <c r="I2762" t="s">
        <v>3147</v>
      </c>
      <c r="J2762" t="s">
        <v>3167</v>
      </c>
      <c r="K2762" t="s">
        <v>3172</v>
      </c>
      <c r="L2762" t="str">
        <f>_xlfn.XLOOKUP(C2762,[1]!Table1[Shift_ID],[1]!Table1[Shift_ID])</f>
        <v>S03</v>
      </c>
      <c r="M2762" t="str">
        <f>_xlfn.XLOOKUP(D2762,[2]!Table1[Machine_ID],[2]!Table1[Machine_ID])</f>
        <v>M005</v>
      </c>
      <c r="N2762" t="str">
        <f>_xlfn.XLOOKUP(E2762,[3]Sheet1!$A$2:$A$391,[3]Sheet1!$A$2:$A$391)</f>
        <v>PO10184</v>
      </c>
    </row>
    <row r="2763" spans="1:14" x14ac:dyDescent="0.2">
      <c r="A2763" t="s">
        <v>2772</v>
      </c>
      <c r="B2763" s="2">
        <v>46322</v>
      </c>
      <c r="C2763" t="s">
        <v>2939</v>
      </c>
      <c r="D2763" t="s">
        <v>2946</v>
      </c>
      <c r="E2763" t="s">
        <v>3134</v>
      </c>
      <c r="F2763" s="3">
        <v>46323.09102147675</v>
      </c>
      <c r="G2763" s="3">
        <v>46323.093331419688</v>
      </c>
      <c r="H2763">
        <v>3.33</v>
      </c>
      <c r="I2763" t="s">
        <v>3151</v>
      </c>
      <c r="J2763" t="s">
        <v>3170</v>
      </c>
      <c r="K2763" t="s">
        <v>3187</v>
      </c>
      <c r="L2763" t="str">
        <f>_xlfn.XLOOKUP(C2763,[1]!Table1[Shift_ID],[1]!Table1[Shift_ID])</f>
        <v>S03</v>
      </c>
      <c r="M2763" t="str">
        <f>_xlfn.XLOOKUP(D2763,[2]!Table1[Machine_ID],[2]!Table1[Machine_ID])</f>
        <v>M005</v>
      </c>
      <c r="N2763" t="str">
        <f>_xlfn.XLOOKUP(E2763,[3]Sheet1!$A$2:$A$391,[3]Sheet1!$A$2:$A$391)</f>
        <v>PO10184</v>
      </c>
    </row>
    <row r="2764" spans="1:14" x14ac:dyDescent="0.2">
      <c r="A2764" t="s">
        <v>2773</v>
      </c>
      <c r="B2764" s="2">
        <v>46322</v>
      </c>
      <c r="C2764" t="s">
        <v>2939</v>
      </c>
      <c r="D2764" t="s">
        <v>2946</v>
      </c>
      <c r="E2764" t="s">
        <v>3134</v>
      </c>
      <c r="F2764" s="3">
        <v>46323.109871681067</v>
      </c>
      <c r="G2764" s="3">
        <v>46323.112259800087</v>
      </c>
      <c r="H2764">
        <v>3.44</v>
      </c>
      <c r="I2764" t="s">
        <v>3149</v>
      </c>
      <c r="J2764" t="s">
        <v>3162</v>
      </c>
      <c r="K2764" t="s">
        <v>3176</v>
      </c>
      <c r="L2764" t="str">
        <f>_xlfn.XLOOKUP(C2764,[1]!Table1[Shift_ID],[1]!Table1[Shift_ID])</f>
        <v>S03</v>
      </c>
      <c r="M2764" t="str">
        <f>_xlfn.XLOOKUP(D2764,[2]!Table1[Machine_ID],[2]!Table1[Machine_ID])</f>
        <v>M005</v>
      </c>
      <c r="N2764" t="str">
        <f>_xlfn.XLOOKUP(E2764,[3]Sheet1!$A$2:$A$391,[3]Sheet1!$A$2:$A$391)</f>
        <v>PO10184</v>
      </c>
    </row>
    <row r="2765" spans="1:14" x14ac:dyDescent="0.2">
      <c r="A2765" t="s">
        <v>2774</v>
      </c>
      <c r="B2765" s="2">
        <v>46322</v>
      </c>
      <c r="C2765" t="s">
        <v>2939</v>
      </c>
      <c r="D2765" t="s">
        <v>2946</v>
      </c>
      <c r="E2765" t="s">
        <v>3134</v>
      </c>
      <c r="F2765" s="3">
        <v>46323.127939993981</v>
      </c>
      <c r="G2765" s="3">
        <v>46323.129662230938</v>
      </c>
      <c r="H2765">
        <v>2.48</v>
      </c>
      <c r="I2765" t="s">
        <v>3146</v>
      </c>
      <c r="J2765" t="s">
        <v>3157</v>
      </c>
      <c r="K2765" t="s">
        <v>3171</v>
      </c>
      <c r="L2765" t="str">
        <f>_xlfn.XLOOKUP(C2765,[1]!Table1[Shift_ID],[1]!Table1[Shift_ID])</f>
        <v>S03</v>
      </c>
      <c r="M2765" t="str">
        <f>_xlfn.XLOOKUP(D2765,[2]!Table1[Machine_ID],[2]!Table1[Machine_ID])</f>
        <v>M005</v>
      </c>
      <c r="N2765" t="str">
        <f>_xlfn.XLOOKUP(E2765,[3]Sheet1!$A$2:$A$391,[3]Sheet1!$A$2:$A$391)</f>
        <v>PO10184</v>
      </c>
    </row>
    <row r="2766" spans="1:14" x14ac:dyDescent="0.2">
      <c r="A2766" t="s">
        <v>2775</v>
      </c>
      <c r="B2766" s="2">
        <v>46322</v>
      </c>
      <c r="C2766" t="s">
        <v>2939</v>
      </c>
      <c r="D2766" t="s">
        <v>2947</v>
      </c>
      <c r="E2766" t="s">
        <v>3134</v>
      </c>
      <c r="F2766" s="3">
        <v>46322.933376244859</v>
      </c>
      <c r="G2766" s="3">
        <v>46322.935343999059</v>
      </c>
      <c r="H2766">
        <v>2.83</v>
      </c>
      <c r="I2766" t="s">
        <v>3148</v>
      </c>
      <c r="J2766" t="s">
        <v>3164</v>
      </c>
      <c r="K2766" t="s">
        <v>3183</v>
      </c>
      <c r="L2766" t="str">
        <f>_xlfn.XLOOKUP(C2766,[1]!Table1[Shift_ID],[1]!Table1[Shift_ID])</f>
        <v>S03</v>
      </c>
      <c r="M2766" t="str">
        <f>_xlfn.XLOOKUP(D2766,[2]!Table1[Machine_ID],[2]!Table1[Machine_ID])</f>
        <v>M006</v>
      </c>
      <c r="N2766" t="str">
        <f>_xlfn.XLOOKUP(E2766,[3]Sheet1!$A$2:$A$391,[3]Sheet1!$A$2:$A$391)</f>
        <v>PO10184</v>
      </c>
    </row>
    <row r="2767" spans="1:14" x14ac:dyDescent="0.2">
      <c r="A2767" t="s">
        <v>2776</v>
      </c>
      <c r="B2767" s="2">
        <v>46322</v>
      </c>
      <c r="C2767" t="s">
        <v>2939</v>
      </c>
      <c r="D2767" t="s">
        <v>2947</v>
      </c>
      <c r="E2767" t="s">
        <v>3134</v>
      </c>
      <c r="F2767" s="3">
        <v>46323.142458718947</v>
      </c>
      <c r="G2767" s="3">
        <v>46323.16205056235</v>
      </c>
      <c r="H2767">
        <v>28.21</v>
      </c>
      <c r="I2767" t="s">
        <v>3149</v>
      </c>
      <c r="J2767" t="s">
        <v>3168</v>
      </c>
      <c r="K2767" t="s">
        <v>3184</v>
      </c>
      <c r="L2767" t="str">
        <f>_xlfn.XLOOKUP(C2767,[1]!Table1[Shift_ID],[1]!Table1[Shift_ID])</f>
        <v>S03</v>
      </c>
      <c r="M2767" t="str">
        <f>_xlfn.XLOOKUP(D2767,[2]!Table1[Machine_ID],[2]!Table1[Machine_ID])</f>
        <v>M006</v>
      </c>
      <c r="N2767" t="str">
        <f>_xlfn.XLOOKUP(E2767,[3]Sheet1!$A$2:$A$391,[3]Sheet1!$A$2:$A$391)</f>
        <v>PO10184</v>
      </c>
    </row>
    <row r="2768" spans="1:14" x14ac:dyDescent="0.2">
      <c r="A2768" t="s">
        <v>2777</v>
      </c>
      <c r="B2768" s="2">
        <v>46322</v>
      </c>
      <c r="C2768" t="s">
        <v>2939</v>
      </c>
      <c r="D2768" t="s">
        <v>2948</v>
      </c>
      <c r="E2768" t="s">
        <v>3134</v>
      </c>
      <c r="F2768" s="3">
        <v>46322.932831380727</v>
      </c>
      <c r="G2768" s="3">
        <v>46322.9342826067</v>
      </c>
      <c r="H2768">
        <v>2.09</v>
      </c>
      <c r="I2768" t="s">
        <v>3150</v>
      </c>
      <c r="J2768" t="s">
        <v>3163</v>
      </c>
      <c r="K2768" t="s">
        <v>3179</v>
      </c>
      <c r="L2768" t="str">
        <f>_xlfn.XLOOKUP(C2768,[1]!Table1[Shift_ID],[1]!Table1[Shift_ID])</f>
        <v>S03</v>
      </c>
      <c r="M2768" t="str">
        <f>_xlfn.XLOOKUP(D2768,[2]!Table1[Machine_ID],[2]!Table1[Machine_ID])</f>
        <v>M007</v>
      </c>
      <c r="N2768" t="str">
        <f>_xlfn.XLOOKUP(E2768,[3]Sheet1!$A$2:$A$391,[3]Sheet1!$A$2:$A$391)</f>
        <v>PO10184</v>
      </c>
    </row>
    <row r="2769" spans="1:14" x14ac:dyDescent="0.2">
      <c r="A2769" t="s">
        <v>2778</v>
      </c>
      <c r="B2769" s="2">
        <v>46322</v>
      </c>
      <c r="C2769" t="s">
        <v>2939</v>
      </c>
      <c r="D2769" t="s">
        <v>2948</v>
      </c>
      <c r="E2769" t="s">
        <v>3134</v>
      </c>
      <c r="F2769" s="3">
        <v>46322.985563503469</v>
      </c>
      <c r="G2769" s="3">
        <v>46322.987014729442</v>
      </c>
      <c r="H2769">
        <v>2.09</v>
      </c>
      <c r="I2769" t="s">
        <v>3150</v>
      </c>
      <c r="J2769" t="s">
        <v>3163</v>
      </c>
      <c r="K2769" t="s">
        <v>3177</v>
      </c>
      <c r="L2769" t="str">
        <f>_xlfn.XLOOKUP(C2769,[1]!Table1[Shift_ID],[1]!Table1[Shift_ID])</f>
        <v>S03</v>
      </c>
      <c r="M2769" t="str">
        <f>_xlfn.XLOOKUP(D2769,[2]!Table1[Machine_ID],[2]!Table1[Machine_ID])</f>
        <v>M007</v>
      </c>
      <c r="N2769" t="str">
        <f>_xlfn.XLOOKUP(E2769,[3]Sheet1!$A$2:$A$391,[3]Sheet1!$A$2:$A$391)</f>
        <v>PO10184</v>
      </c>
    </row>
    <row r="2770" spans="1:14" x14ac:dyDescent="0.2">
      <c r="A2770" t="s">
        <v>2779</v>
      </c>
      <c r="B2770" s="2">
        <v>46322</v>
      </c>
      <c r="C2770" t="s">
        <v>2939</v>
      </c>
      <c r="D2770" t="s">
        <v>2948</v>
      </c>
      <c r="E2770" t="s">
        <v>3134</v>
      </c>
      <c r="F2770" s="3">
        <v>46323.027220449701</v>
      </c>
      <c r="G2770" s="3">
        <v>46323.033045962271</v>
      </c>
      <c r="H2770">
        <v>8.39</v>
      </c>
      <c r="I2770" t="s">
        <v>3149</v>
      </c>
      <c r="J2770" t="s">
        <v>3158</v>
      </c>
      <c r="K2770" t="s">
        <v>3184</v>
      </c>
      <c r="L2770" t="str">
        <f>_xlfn.XLOOKUP(C2770,[1]!Table1[Shift_ID],[1]!Table1[Shift_ID])</f>
        <v>S03</v>
      </c>
      <c r="M2770" t="str">
        <f>_xlfn.XLOOKUP(D2770,[2]!Table1[Machine_ID],[2]!Table1[Machine_ID])</f>
        <v>M007</v>
      </c>
      <c r="N2770" t="str">
        <f>_xlfn.XLOOKUP(E2770,[3]Sheet1!$A$2:$A$391,[3]Sheet1!$A$2:$A$391)</f>
        <v>PO10184</v>
      </c>
    </row>
    <row r="2771" spans="1:14" x14ac:dyDescent="0.2">
      <c r="A2771" t="s">
        <v>2780</v>
      </c>
      <c r="B2771" s="2">
        <v>46322</v>
      </c>
      <c r="C2771" t="s">
        <v>2939</v>
      </c>
      <c r="D2771" t="s">
        <v>2948</v>
      </c>
      <c r="E2771" t="s">
        <v>3134</v>
      </c>
      <c r="F2771" s="3">
        <v>46323.187898507291</v>
      </c>
      <c r="G2771" s="3">
        <v>46323.189349733257</v>
      </c>
      <c r="H2771">
        <v>2.09</v>
      </c>
      <c r="I2771" t="s">
        <v>3150</v>
      </c>
      <c r="J2771" t="s">
        <v>3160</v>
      </c>
      <c r="K2771" t="s">
        <v>3177</v>
      </c>
      <c r="L2771" t="str">
        <f>_xlfn.XLOOKUP(C2771,[1]!Table1[Shift_ID],[1]!Table1[Shift_ID])</f>
        <v>S03</v>
      </c>
      <c r="M2771" t="str">
        <f>_xlfn.XLOOKUP(D2771,[2]!Table1[Machine_ID],[2]!Table1[Machine_ID])</f>
        <v>M007</v>
      </c>
      <c r="N2771" t="str">
        <f>_xlfn.XLOOKUP(E2771,[3]Sheet1!$A$2:$A$391,[3]Sheet1!$A$2:$A$391)</f>
        <v>PO10184</v>
      </c>
    </row>
    <row r="2772" spans="1:14" x14ac:dyDescent="0.2">
      <c r="A2772" t="s">
        <v>2781</v>
      </c>
      <c r="B2772" s="2">
        <v>46322</v>
      </c>
      <c r="C2772" t="s">
        <v>2939</v>
      </c>
      <c r="D2772" t="s">
        <v>2949</v>
      </c>
      <c r="E2772" t="s">
        <v>3134</v>
      </c>
      <c r="F2772" s="3">
        <v>46322.932159329801</v>
      </c>
      <c r="G2772" s="3">
        <v>46322.937059913937</v>
      </c>
      <c r="H2772">
        <v>7.06</v>
      </c>
      <c r="I2772" t="s">
        <v>3148</v>
      </c>
      <c r="J2772" t="s">
        <v>3155</v>
      </c>
      <c r="K2772" t="s">
        <v>3173</v>
      </c>
      <c r="L2772" t="str">
        <f>_xlfn.XLOOKUP(C2772,[1]!Table1[Shift_ID],[1]!Table1[Shift_ID])</f>
        <v>S03</v>
      </c>
      <c r="M2772" t="str">
        <f>_xlfn.XLOOKUP(D2772,[2]!Table1[Machine_ID],[2]!Table1[Machine_ID])</f>
        <v>M008</v>
      </c>
      <c r="N2772" t="str">
        <f>_xlfn.XLOOKUP(E2772,[3]Sheet1!$A$2:$A$391,[3]Sheet1!$A$2:$A$391)</f>
        <v>PO10184</v>
      </c>
    </row>
    <row r="2773" spans="1:14" x14ac:dyDescent="0.2">
      <c r="A2773" t="s">
        <v>2782</v>
      </c>
      <c r="B2773" s="2">
        <v>46322</v>
      </c>
      <c r="C2773" t="s">
        <v>2940</v>
      </c>
      <c r="D2773" t="s">
        <v>2942</v>
      </c>
      <c r="E2773" t="s">
        <v>3135</v>
      </c>
      <c r="F2773" s="3">
        <v>46322.377308433832</v>
      </c>
      <c r="G2773" s="3">
        <v>46322.379624414622</v>
      </c>
      <c r="H2773">
        <v>3.34</v>
      </c>
      <c r="I2773" t="s">
        <v>3151</v>
      </c>
      <c r="J2773" t="s">
        <v>3170</v>
      </c>
      <c r="K2773" t="s">
        <v>3188</v>
      </c>
      <c r="L2773" t="str">
        <f>_xlfn.XLOOKUP(C2773,[1]!Table1[Shift_ID],[1]!Table1[Shift_ID])</f>
        <v>S01</v>
      </c>
      <c r="M2773" t="str">
        <f>_xlfn.XLOOKUP(D2773,[2]!Table1[Machine_ID],[2]!Table1[Machine_ID])</f>
        <v>M001</v>
      </c>
      <c r="N2773" t="str">
        <f>_xlfn.XLOOKUP(E2773,[3]Sheet1!$A$2:$A$391,[3]Sheet1!$A$2:$A$391)</f>
        <v>PO10185</v>
      </c>
    </row>
    <row r="2774" spans="1:14" x14ac:dyDescent="0.2">
      <c r="A2774" t="s">
        <v>2783</v>
      </c>
      <c r="B2774" s="2">
        <v>46322</v>
      </c>
      <c r="C2774" t="s">
        <v>2940</v>
      </c>
      <c r="D2774" t="s">
        <v>2942</v>
      </c>
      <c r="E2774" t="s">
        <v>3135</v>
      </c>
      <c r="F2774" s="3">
        <v>46322.486494014527</v>
      </c>
      <c r="G2774" s="3">
        <v>46322.489314641658</v>
      </c>
      <c r="H2774">
        <v>4.0599999999999996</v>
      </c>
      <c r="I2774" t="s">
        <v>3151</v>
      </c>
      <c r="J2774" t="s">
        <v>3170</v>
      </c>
      <c r="K2774" t="s">
        <v>3188</v>
      </c>
      <c r="L2774" t="str">
        <f>_xlfn.XLOOKUP(C2774,[1]!Table1[Shift_ID],[1]!Table1[Shift_ID])</f>
        <v>S01</v>
      </c>
      <c r="M2774" t="str">
        <f>_xlfn.XLOOKUP(D2774,[2]!Table1[Machine_ID],[2]!Table1[Machine_ID])</f>
        <v>M001</v>
      </c>
      <c r="N2774" t="str">
        <f>_xlfn.XLOOKUP(E2774,[3]Sheet1!$A$2:$A$391,[3]Sheet1!$A$2:$A$391)</f>
        <v>PO10185</v>
      </c>
    </row>
    <row r="2775" spans="1:14" x14ac:dyDescent="0.2">
      <c r="A2775" t="s">
        <v>2784</v>
      </c>
      <c r="B2775" s="2">
        <v>46322</v>
      </c>
      <c r="C2775" t="s">
        <v>2940</v>
      </c>
      <c r="D2775" t="s">
        <v>2943</v>
      </c>
      <c r="E2775" t="s">
        <v>3135</v>
      </c>
      <c r="F2775" s="3">
        <v>46322.259795497463</v>
      </c>
      <c r="G2775" s="3">
        <v>46322.261106864411</v>
      </c>
      <c r="H2775">
        <v>1.89</v>
      </c>
      <c r="I2775" t="s">
        <v>3147</v>
      </c>
      <c r="J2775" t="s">
        <v>3153</v>
      </c>
      <c r="K2775" t="s">
        <v>3185</v>
      </c>
      <c r="L2775" t="str">
        <f>_xlfn.XLOOKUP(C2775,[1]!Table1[Shift_ID],[1]!Table1[Shift_ID])</f>
        <v>S01</v>
      </c>
      <c r="M2775" t="str">
        <f>_xlfn.XLOOKUP(D2775,[2]!Table1[Machine_ID],[2]!Table1[Machine_ID])</f>
        <v>M002</v>
      </c>
      <c r="N2775" t="str">
        <f>_xlfn.XLOOKUP(E2775,[3]Sheet1!$A$2:$A$391,[3]Sheet1!$A$2:$A$391)</f>
        <v>PO10185</v>
      </c>
    </row>
    <row r="2776" spans="1:14" x14ac:dyDescent="0.2">
      <c r="A2776" t="s">
        <v>2785</v>
      </c>
      <c r="B2776" s="2">
        <v>46322</v>
      </c>
      <c r="C2776" t="s">
        <v>2940</v>
      </c>
      <c r="D2776" t="s">
        <v>2943</v>
      </c>
      <c r="E2776" t="s">
        <v>3135</v>
      </c>
      <c r="F2776" s="3">
        <v>46322.305178477902</v>
      </c>
      <c r="G2776" s="3">
        <v>46322.306489844857</v>
      </c>
      <c r="H2776">
        <v>1.89</v>
      </c>
      <c r="I2776" t="s">
        <v>3149</v>
      </c>
      <c r="J2776" t="s">
        <v>3158</v>
      </c>
      <c r="K2776" t="s">
        <v>3176</v>
      </c>
      <c r="L2776" t="str">
        <f>_xlfn.XLOOKUP(C2776,[1]!Table1[Shift_ID],[1]!Table1[Shift_ID])</f>
        <v>S01</v>
      </c>
      <c r="M2776" t="str">
        <f>_xlfn.XLOOKUP(D2776,[2]!Table1[Machine_ID],[2]!Table1[Machine_ID])</f>
        <v>M002</v>
      </c>
      <c r="N2776" t="str">
        <f>_xlfn.XLOOKUP(E2776,[3]Sheet1!$A$2:$A$391,[3]Sheet1!$A$2:$A$391)</f>
        <v>PO10185</v>
      </c>
    </row>
    <row r="2777" spans="1:14" x14ac:dyDescent="0.2">
      <c r="A2777" t="s">
        <v>2786</v>
      </c>
      <c r="B2777" s="2">
        <v>46322</v>
      </c>
      <c r="C2777" t="s">
        <v>2940</v>
      </c>
      <c r="D2777" t="s">
        <v>2943</v>
      </c>
      <c r="E2777" t="s">
        <v>3135</v>
      </c>
      <c r="F2777" s="3">
        <v>46322.424928271401</v>
      </c>
      <c r="G2777" s="3">
        <v>46322.42814808774</v>
      </c>
      <c r="H2777">
        <v>4.6399999999999997</v>
      </c>
      <c r="I2777" t="s">
        <v>3149</v>
      </c>
      <c r="J2777" t="s">
        <v>3168</v>
      </c>
      <c r="K2777" t="s">
        <v>3176</v>
      </c>
      <c r="L2777" t="str">
        <f>_xlfn.XLOOKUP(C2777,[1]!Table1[Shift_ID],[1]!Table1[Shift_ID])</f>
        <v>S01</v>
      </c>
      <c r="M2777" t="str">
        <f>_xlfn.XLOOKUP(D2777,[2]!Table1[Machine_ID],[2]!Table1[Machine_ID])</f>
        <v>M002</v>
      </c>
      <c r="N2777" t="str">
        <f>_xlfn.XLOOKUP(E2777,[3]Sheet1!$A$2:$A$391,[3]Sheet1!$A$2:$A$391)</f>
        <v>PO10185</v>
      </c>
    </row>
    <row r="2778" spans="1:14" x14ac:dyDescent="0.2">
      <c r="A2778" t="s">
        <v>2787</v>
      </c>
      <c r="B2778" s="2">
        <v>46322</v>
      </c>
      <c r="C2778" t="s">
        <v>2940</v>
      </c>
      <c r="D2778" t="s">
        <v>2943</v>
      </c>
      <c r="E2778" t="s">
        <v>3135</v>
      </c>
      <c r="F2778" s="3">
        <v>46322.446226254782</v>
      </c>
      <c r="G2778" s="3">
        <v>46322.447537621738</v>
      </c>
      <c r="H2778">
        <v>1.89</v>
      </c>
      <c r="I2778" t="s">
        <v>3147</v>
      </c>
      <c r="J2778" t="s">
        <v>3153</v>
      </c>
      <c r="K2778" t="s">
        <v>3186</v>
      </c>
      <c r="L2778" t="str">
        <f>_xlfn.XLOOKUP(C2778,[1]!Table1[Shift_ID],[1]!Table1[Shift_ID])</f>
        <v>S01</v>
      </c>
      <c r="M2778" t="str">
        <f>_xlfn.XLOOKUP(D2778,[2]!Table1[Machine_ID],[2]!Table1[Machine_ID])</f>
        <v>M002</v>
      </c>
      <c r="N2778" t="str">
        <f>_xlfn.XLOOKUP(E2778,[3]Sheet1!$A$2:$A$391,[3]Sheet1!$A$2:$A$391)</f>
        <v>PO10185</v>
      </c>
    </row>
    <row r="2779" spans="1:14" x14ac:dyDescent="0.2">
      <c r="A2779" t="s">
        <v>2788</v>
      </c>
      <c r="B2779" s="2">
        <v>46322</v>
      </c>
      <c r="C2779" t="s">
        <v>2940</v>
      </c>
      <c r="D2779" t="s">
        <v>2944</v>
      </c>
      <c r="E2779" t="s">
        <v>3135</v>
      </c>
      <c r="F2779" s="3">
        <v>46322.270010836401</v>
      </c>
      <c r="G2779" s="3">
        <v>46322.271811453153</v>
      </c>
      <c r="H2779">
        <v>2.59</v>
      </c>
      <c r="I2779" t="s">
        <v>3147</v>
      </c>
      <c r="J2779" t="s">
        <v>3153</v>
      </c>
      <c r="K2779" t="s">
        <v>3185</v>
      </c>
      <c r="L2779" t="str">
        <f>_xlfn.XLOOKUP(C2779,[1]!Table1[Shift_ID],[1]!Table1[Shift_ID])</f>
        <v>S01</v>
      </c>
      <c r="M2779" t="str">
        <f>_xlfn.XLOOKUP(D2779,[2]!Table1[Machine_ID],[2]!Table1[Machine_ID])</f>
        <v>M003</v>
      </c>
      <c r="N2779" t="str">
        <f>_xlfn.XLOOKUP(E2779,[3]Sheet1!$A$2:$A$391,[3]Sheet1!$A$2:$A$391)</f>
        <v>PO10185</v>
      </c>
    </row>
    <row r="2780" spans="1:14" x14ac:dyDescent="0.2">
      <c r="A2780" t="s">
        <v>2789</v>
      </c>
      <c r="B2780" s="2">
        <v>46322</v>
      </c>
      <c r="C2780" t="s">
        <v>2940</v>
      </c>
      <c r="D2780" t="s">
        <v>2944</v>
      </c>
      <c r="E2780" t="s">
        <v>3135</v>
      </c>
      <c r="F2780" s="3">
        <v>46322.371700113021</v>
      </c>
      <c r="G2780" s="3">
        <v>46322.37814581619</v>
      </c>
      <c r="H2780">
        <v>9.2799999999999994</v>
      </c>
      <c r="I2780" t="s">
        <v>3151</v>
      </c>
      <c r="J2780" t="s">
        <v>3169</v>
      </c>
      <c r="K2780" t="s">
        <v>3188</v>
      </c>
      <c r="L2780" t="str">
        <f>_xlfn.XLOOKUP(C2780,[1]!Table1[Shift_ID],[1]!Table1[Shift_ID])</f>
        <v>S01</v>
      </c>
      <c r="M2780" t="str">
        <f>_xlfn.XLOOKUP(D2780,[2]!Table1[Machine_ID],[2]!Table1[Machine_ID])</f>
        <v>M003</v>
      </c>
      <c r="N2780" t="str">
        <f>_xlfn.XLOOKUP(E2780,[3]Sheet1!$A$2:$A$391,[3]Sheet1!$A$2:$A$391)</f>
        <v>PO10185</v>
      </c>
    </row>
    <row r="2781" spans="1:14" x14ac:dyDescent="0.2">
      <c r="A2781" t="s">
        <v>2790</v>
      </c>
      <c r="B2781" s="2">
        <v>46322</v>
      </c>
      <c r="C2781" t="s">
        <v>2940</v>
      </c>
      <c r="D2781" t="s">
        <v>2944</v>
      </c>
      <c r="E2781" t="s">
        <v>3135</v>
      </c>
      <c r="F2781" s="3">
        <v>46322.548713783959</v>
      </c>
      <c r="G2781" s="3">
        <v>46322.550514400697</v>
      </c>
      <c r="H2781">
        <v>2.59</v>
      </c>
      <c r="I2781" t="s">
        <v>3150</v>
      </c>
      <c r="J2781" t="s">
        <v>3160</v>
      </c>
      <c r="K2781" t="s">
        <v>3179</v>
      </c>
      <c r="L2781" t="str">
        <f>_xlfn.XLOOKUP(C2781,[1]!Table1[Shift_ID],[1]!Table1[Shift_ID])</f>
        <v>S01</v>
      </c>
      <c r="M2781" t="str">
        <f>_xlfn.XLOOKUP(D2781,[2]!Table1[Machine_ID],[2]!Table1[Machine_ID])</f>
        <v>M003</v>
      </c>
      <c r="N2781" t="str">
        <f>_xlfn.XLOOKUP(E2781,[3]Sheet1!$A$2:$A$391,[3]Sheet1!$A$2:$A$391)</f>
        <v>PO10185</v>
      </c>
    </row>
    <row r="2782" spans="1:14" x14ac:dyDescent="0.2">
      <c r="A2782" t="s">
        <v>2791</v>
      </c>
      <c r="B2782" s="2">
        <v>46322</v>
      </c>
      <c r="C2782" t="s">
        <v>2940</v>
      </c>
      <c r="D2782" t="s">
        <v>2945</v>
      </c>
      <c r="E2782" t="s">
        <v>3135</v>
      </c>
      <c r="F2782" s="3">
        <v>46322.447459489733</v>
      </c>
      <c r="G2782" s="3">
        <v>46322.454772117642</v>
      </c>
      <c r="H2782">
        <v>10.53</v>
      </c>
      <c r="I2782" t="s">
        <v>3151</v>
      </c>
      <c r="J2782" t="s">
        <v>3161</v>
      </c>
      <c r="K2782" t="s">
        <v>3188</v>
      </c>
      <c r="L2782" t="str">
        <f>_xlfn.XLOOKUP(C2782,[1]!Table1[Shift_ID],[1]!Table1[Shift_ID])</f>
        <v>S01</v>
      </c>
      <c r="M2782" t="str">
        <f>_xlfn.XLOOKUP(D2782,[2]!Table1[Machine_ID],[2]!Table1[Machine_ID])</f>
        <v>M004</v>
      </c>
      <c r="N2782" t="str">
        <f>_xlfn.XLOOKUP(E2782,[3]Sheet1!$A$2:$A$391,[3]Sheet1!$A$2:$A$391)</f>
        <v>PO10185</v>
      </c>
    </row>
    <row r="2783" spans="1:14" x14ac:dyDescent="0.2">
      <c r="A2783" t="s">
        <v>2792</v>
      </c>
      <c r="B2783" s="2">
        <v>46322</v>
      </c>
      <c r="C2783" t="s">
        <v>2940</v>
      </c>
      <c r="D2783" t="s">
        <v>2946</v>
      </c>
      <c r="E2783" t="s">
        <v>3135</v>
      </c>
      <c r="F2783" s="3">
        <v>46322.440985629131</v>
      </c>
      <c r="G2783" s="3">
        <v>46322.447937639641</v>
      </c>
      <c r="H2783">
        <v>10.01</v>
      </c>
      <c r="I2783" t="s">
        <v>3147</v>
      </c>
      <c r="J2783" t="s">
        <v>3154</v>
      </c>
      <c r="K2783" t="s">
        <v>3185</v>
      </c>
      <c r="L2783" t="str">
        <f>_xlfn.XLOOKUP(C2783,[1]!Table1[Shift_ID],[1]!Table1[Shift_ID])</f>
        <v>S01</v>
      </c>
      <c r="M2783" t="str">
        <f>_xlfn.XLOOKUP(D2783,[2]!Table1[Machine_ID],[2]!Table1[Machine_ID])</f>
        <v>M005</v>
      </c>
      <c r="N2783" t="str">
        <f>_xlfn.XLOOKUP(E2783,[3]Sheet1!$A$2:$A$391,[3]Sheet1!$A$2:$A$391)</f>
        <v>PO10185</v>
      </c>
    </row>
    <row r="2784" spans="1:14" x14ac:dyDescent="0.2">
      <c r="A2784" t="s">
        <v>2793</v>
      </c>
      <c r="B2784" s="2">
        <v>46322</v>
      </c>
      <c r="C2784" t="s">
        <v>2940</v>
      </c>
      <c r="D2784" t="s">
        <v>2946</v>
      </c>
      <c r="E2784" t="s">
        <v>3135</v>
      </c>
      <c r="F2784" s="3">
        <v>46322.511830592754</v>
      </c>
      <c r="G2784" s="3">
        <v>46322.514384205009</v>
      </c>
      <c r="H2784">
        <v>3.68</v>
      </c>
      <c r="I2784" t="s">
        <v>3147</v>
      </c>
      <c r="J2784" t="s">
        <v>3153</v>
      </c>
      <c r="K2784" t="s">
        <v>3185</v>
      </c>
      <c r="L2784" t="str">
        <f>_xlfn.XLOOKUP(C2784,[1]!Table1[Shift_ID],[1]!Table1[Shift_ID])</f>
        <v>S01</v>
      </c>
      <c r="M2784" t="str">
        <f>_xlfn.XLOOKUP(D2784,[2]!Table1[Machine_ID],[2]!Table1[Machine_ID])</f>
        <v>M005</v>
      </c>
      <c r="N2784" t="str">
        <f>_xlfn.XLOOKUP(E2784,[3]Sheet1!$A$2:$A$391,[3]Sheet1!$A$2:$A$391)</f>
        <v>PO10185</v>
      </c>
    </row>
    <row r="2785" spans="1:14" x14ac:dyDescent="0.2">
      <c r="A2785" t="s">
        <v>2794</v>
      </c>
      <c r="B2785" s="2">
        <v>46322</v>
      </c>
      <c r="C2785" t="s">
        <v>2940</v>
      </c>
      <c r="D2785" t="s">
        <v>2947</v>
      </c>
      <c r="E2785" t="s">
        <v>3135</v>
      </c>
      <c r="F2785" s="3">
        <v>46322.492773856487</v>
      </c>
      <c r="G2785" s="3">
        <v>46322.512678196668</v>
      </c>
      <c r="H2785">
        <v>28.66</v>
      </c>
      <c r="I2785" t="s">
        <v>3146</v>
      </c>
      <c r="J2785" t="s">
        <v>3156</v>
      </c>
      <c r="K2785" t="s">
        <v>3174</v>
      </c>
      <c r="L2785" t="str">
        <f>_xlfn.XLOOKUP(C2785,[1]!Table1[Shift_ID],[1]!Table1[Shift_ID])</f>
        <v>S01</v>
      </c>
      <c r="M2785" t="str">
        <f>_xlfn.XLOOKUP(D2785,[2]!Table1[Machine_ID],[2]!Table1[Machine_ID])</f>
        <v>M006</v>
      </c>
      <c r="N2785" t="str">
        <f>_xlfn.XLOOKUP(E2785,[3]Sheet1!$A$2:$A$391,[3]Sheet1!$A$2:$A$391)</f>
        <v>PO10185</v>
      </c>
    </row>
    <row r="2786" spans="1:14" x14ac:dyDescent="0.2">
      <c r="A2786" t="s">
        <v>2795</v>
      </c>
      <c r="B2786" s="2">
        <v>46322</v>
      </c>
      <c r="C2786" t="s">
        <v>2940</v>
      </c>
      <c r="D2786" t="s">
        <v>2947</v>
      </c>
      <c r="E2786" t="s">
        <v>3135</v>
      </c>
      <c r="F2786" s="3">
        <v>46322.513822133333</v>
      </c>
      <c r="G2786" s="3">
        <v>46322.525418437093</v>
      </c>
      <c r="H2786">
        <v>16.7</v>
      </c>
      <c r="I2786" t="s">
        <v>3150</v>
      </c>
      <c r="J2786" t="s">
        <v>3166</v>
      </c>
      <c r="K2786" t="s">
        <v>3179</v>
      </c>
      <c r="L2786" t="str">
        <f>_xlfn.XLOOKUP(C2786,[1]!Table1[Shift_ID],[1]!Table1[Shift_ID])</f>
        <v>S01</v>
      </c>
      <c r="M2786" t="str">
        <f>_xlfn.XLOOKUP(D2786,[2]!Table1[Machine_ID],[2]!Table1[Machine_ID])</f>
        <v>M006</v>
      </c>
      <c r="N2786" t="str">
        <f>_xlfn.XLOOKUP(E2786,[3]Sheet1!$A$2:$A$391,[3]Sheet1!$A$2:$A$391)</f>
        <v>PO10185</v>
      </c>
    </row>
    <row r="2787" spans="1:14" x14ac:dyDescent="0.2">
      <c r="A2787" t="s">
        <v>2796</v>
      </c>
      <c r="B2787" s="2">
        <v>46322</v>
      </c>
      <c r="C2787" t="s">
        <v>2940</v>
      </c>
      <c r="D2787" t="s">
        <v>2948</v>
      </c>
      <c r="E2787" t="s">
        <v>3135</v>
      </c>
      <c r="F2787" s="3">
        <v>46322.372895879147</v>
      </c>
      <c r="G2787" s="3">
        <v>46322.381901769433</v>
      </c>
      <c r="H2787">
        <v>12.97</v>
      </c>
      <c r="I2787" t="s">
        <v>3146</v>
      </c>
      <c r="J2787" t="s">
        <v>3157</v>
      </c>
      <c r="K2787" t="s">
        <v>3175</v>
      </c>
      <c r="L2787" t="str">
        <f>_xlfn.XLOOKUP(C2787,[1]!Table1[Shift_ID],[1]!Table1[Shift_ID])</f>
        <v>S01</v>
      </c>
      <c r="M2787" t="str">
        <f>_xlfn.XLOOKUP(D2787,[2]!Table1[Machine_ID],[2]!Table1[Machine_ID])</f>
        <v>M007</v>
      </c>
      <c r="N2787" t="str">
        <f>_xlfn.XLOOKUP(E2787,[3]Sheet1!$A$2:$A$391,[3]Sheet1!$A$2:$A$391)</f>
        <v>PO10185</v>
      </c>
    </row>
    <row r="2788" spans="1:14" x14ac:dyDescent="0.2">
      <c r="A2788" t="s">
        <v>2797</v>
      </c>
      <c r="B2788" s="2">
        <v>46322</v>
      </c>
      <c r="C2788" t="s">
        <v>2940</v>
      </c>
      <c r="D2788" t="s">
        <v>2948</v>
      </c>
      <c r="E2788" t="s">
        <v>3135</v>
      </c>
      <c r="F2788" s="3">
        <v>46322.474146627967</v>
      </c>
      <c r="G2788" s="3">
        <v>46322.478003150783</v>
      </c>
      <c r="H2788">
        <v>5.55</v>
      </c>
      <c r="I2788" t="s">
        <v>3147</v>
      </c>
      <c r="J2788" t="s">
        <v>3154</v>
      </c>
      <c r="K2788" t="s">
        <v>3186</v>
      </c>
      <c r="L2788" t="str">
        <f>_xlfn.XLOOKUP(C2788,[1]!Table1[Shift_ID],[1]!Table1[Shift_ID])</f>
        <v>S01</v>
      </c>
      <c r="M2788" t="str">
        <f>_xlfn.XLOOKUP(D2788,[2]!Table1[Machine_ID],[2]!Table1[Machine_ID])</f>
        <v>M007</v>
      </c>
      <c r="N2788" t="str">
        <f>_xlfn.XLOOKUP(E2788,[3]Sheet1!$A$2:$A$391,[3]Sheet1!$A$2:$A$391)</f>
        <v>PO10185</v>
      </c>
    </row>
    <row r="2789" spans="1:14" x14ac:dyDescent="0.2">
      <c r="A2789" t="s">
        <v>2798</v>
      </c>
      <c r="B2789" s="2">
        <v>46322</v>
      </c>
      <c r="C2789" t="s">
        <v>2940</v>
      </c>
      <c r="D2789" t="s">
        <v>2948</v>
      </c>
      <c r="E2789" t="s">
        <v>3135</v>
      </c>
      <c r="F2789" s="3">
        <v>46322.497788771107</v>
      </c>
      <c r="G2789" s="3">
        <v>46322.499658250803</v>
      </c>
      <c r="H2789">
        <v>2.69</v>
      </c>
      <c r="I2789" t="s">
        <v>3147</v>
      </c>
      <c r="J2789" t="s">
        <v>3154</v>
      </c>
      <c r="K2789" t="s">
        <v>3172</v>
      </c>
      <c r="L2789" t="str">
        <f>_xlfn.XLOOKUP(C2789,[1]!Table1[Shift_ID],[1]!Table1[Shift_ID])</f>
        <v>S01</v>
      </c>
      <c r="M2789" t="str">
        <f>_xlfn.XLOOKUP(D2789,[2]!Table1[Machine_ID],[2]!Table1[Machine_ID])</f>
        <v>M007</v>
      </c>
      <c r="N2789" t="str">
        <f>_xlfn.XLOOKUP(E2789,[3]Sheet1!$A$2:$A$391,[3]Sheet1!$A$2:$A$391)</f>
        <v>PO10185</v>
      </c>
    </row>
    <row r="2790" spans="1:14" x14ac:dyDescent="0.2">
      <c r="A2790" t="s">
        <v>2799</v>
      </c>
      <c r="B2790" s="2">
        <v>46322</v>
      </c>
      <c r="C2790" t="s">
        <v>2940</v>
      </c>
      <c r="D2790" t="s">
        <v>2949</v>
      </c>
      <c r="E2790" t="s">
        <v>3135</v>
      </c>
      <c r="F2790" s="3">
        <v>46322.418215706602</v>
      </c>
      <c r="G2790" s="3">
        <v>46322.422213753591</v>
      </c>
      <c r="H2790">
        <v>5.76</v>
      </c>
      <c r="I2790" t="s">
        <v>3148</v>
      </c>
      <c r="J2790" t="s">
        <v>3165</v>
      </c>
      <c r="K2790" t="s">
        <v>3183</v>
      </c>
      <c r="L2790" t="str">
        <f>_xlfn.XLOOKUP(C2790,[1]!Table1[Shift_ID],[1]!Table1[Shift_ID])</f>
        <v>S01</v>
      </c>
      <c r="M2790" t="str">
        <f>_xlfn.XLOOKUP(D2790,[2]!Table1[Machine_ID],[2]!Table1[Machine_ID])</f>
        <v>M008</v>
      </c>
      <c r="N2790" t="str">
        <f>_xlfn.XLOOKUP(E2790,[3]Sheet1!$A$2:$A$391,[3]Sheet1!$A$2:$A$391)</f>
        <v>PO10185</v>
      </c>
    </row>
    <row r="2791" spans="1:14" x14ac:dyDescent="0.2">
      <c r="A2791" t="s">
        <v>2800</v>
      </c>
      <c r="B2791" s="2">
        <v>46322</v>
      </c>
      <c r="C2791" t="s">
        <v>2940</v>
      </c>
      <c r="D2791" t="s">
        <v>2949</v>
      </c>
      <c r="E2791" t="s">
        <v>3135</v>
      </c>
      <c r="F2791" s="3">
        <v>46322.448061113493</v>
      </c>
      <c r="G2791" s="3">
        <v>46322.449683021972</v>
      </c>
      <c r="H2791">
        <v>2.34</v>
      </c>
      <c r="I2791" t="s">
        <v>3149</v>
      </c>
      <c r="J2791" t="s">
        <v>3158</v>
      </c>
      <c r="K2791" t="s">
        <v>3176</v>
      </c>
      <c r="L2791" t="str">
        <f>_xlfn.XLOOKUP(C2791,[1]!Table1[Shift_ID],[1]!Table1[Shift_ID])</f>
        <v>S01</v>
      </c>
      <c r="M2791" t="str">
        <f>_xlfn.XLOOKUP(D2791,[2]!Table1[Machine_ID],[2]!Table1[Machine_ID])</f>
        <v>M008</v>
      </c>
      <c r="N2791" t="str">
        <f>_xlfn.XLOOKUP(E2791,[3]Sheet1!$A$2:$A$391,[3]Sheet1!$A$2:$A$391)</f>
        <v>PO10185</v>
      </c>
    </row>
    <row r="2792" spans="1:14" x14ac:dyDescent="0.2">
      <c r="A2792" t="s">
        <v>2801</v>
      </c>
      <c r="B2792" s="2">
        <v>46322</v>
      </c>
      <c r="C2792" t="s">
        <v>2941</v>
      </c>
      <c r="D2792" t="s">
        <v>2942</v>
      </c>
      <c r="E2792" t="s">
        <v>3136</v>
      </c>
      <c r="F2792" s="3">
        <v>46322.585958986041</v>
      </c>
      <c r="G2792" s="3">
        <v>46322.590993304882</v>
      </c>
      <c r="H2792">
        <v>7.25</v>
      </c>
      <c r="I2792" t="s">
        <v>3150</v>
      </c>
      <c r="J2792" t="s">
        <v>3160</v>
      </c>
      <c r="K2792" t="s">
        <v>3178</v>
      </c>
      <c r="L2792" t="str">
        <f>_xlfn.XLOOKUP(C2792,[1]!Table1[Shift_ID],[1]!Table1[Shift_ID])</f>
        <v>S02</v>
      </c>
      <c r="M2792" t="str">
        <f>_xlfn.XLOOKUP(D2792,[2]!Table1[Machine_ID],[2]!Table1[Machine_ID])</f>
        <v>M001</v>
      </c>
      <c r="N2792" t="str">
        <f>_xlfn.XLOOKUP(E2792,[3]Sheet1!$A$2:$A$391,[3]Sheet1!$A$2:$A$391)</f>
        <v>PO10186</v>
      </c>
    </row>
    <row r="2793" spans="1:14" x14ac:dyDescent="0.2">
      <c r="A2793" t="s">
        <v>2802</v>
      </c>
      <c r="B2793" s="2">
        <v>46322</v>
      </c>
      <c r="C2793" t="s">
        <v>2941</v>
      </c>
      <c r="D2793" t="s">
        <v>2943</v>
      </c>
      <c r="E2793" t="s">
        <v>3136</v>
      </c>
      <c r="F2793" s="3">
        <v>46322.761713967528</v>
      </c>
      <c r="G2793" s="3">
        <v>46322.771909726849</v>
      </c>
      <c r="H2793">
        <v>14.68</v>
      </c>
      <c r="I2793" t="s">
        <v>3151</v>
      </c>
      <c r="J2793" t="s">
        <v>3169</v>
      </c>
      <c r="K2793" t="s">
        <v>3188</v>
      </c>
      <c r="L2793" t="str">
        <f>_xlfn.XLOOKUP(C2793,[1]!Table1[Shift_ID],[1]!Table1[Shift_ID])</f>
        <v>S02</v>
      </c>
      <c r="M2793" t="str">
        <f>_xlfn.XLOOKUP(D2793,[2]!Table1[Machine_ID],[2]!Table1[Machine_ID])</f>
        <v>M002</v>
      </c>
      <c r="N2793" t="str">
        <f>_xlfn.XLOOKUP(E2793,[3]Sheet1!$A$2:$A$391,[3]Sheet1!$A$2:$A$391)</f>
        <v>PO10186</v>
      </c>
    </row>
    <row r="2794" spans="1:14" x14ac:dyDescent="0.2">
      <c r="A2794" t="s">
        <v>2803</v>
      </c>
      <c r="B2794" s="2">
        <v>46322</v>
      </c>
      <c r="C2794" t="s">
        <v>2941</v>
      </c>
      <c r="D2794" t="s">
        <v>2944</v>
      </c>
      <c r="E2794" t="s">
        <v>3136</v>
      </c>
      <c r="F2794" s="3">
        <v>46322.668704201496</v>
      </c>
      <c r="G2794" s="3">
        <v>46322.670242198677</v>
      </c>
      <c r="H2794">
        <v>2.21</v>
      </c>
      <c r="I2794" t="s">
        <v>3150</v>
      </c>
      <c r="J2794" t="s">
        <v>3160</v>
      </c>
      <c r="K2794" t="s">
        <v>3178</v>
      </c>
      <c r="L2794" t="str">
        <f>_xlfn.XLOOKUP(C2794,[1]!Table1[Shift_ID],[1]!Table1[Shift_ID])</f>
        <v>S02</v>
      </c>
      <c r="M2794" t="str">
        <f>_xlfn.XLOOKUP(D2794,[2]!Table1[Machine_ID],[2]!Table1[Machine_ID])</f>
        <v>M003</v>
      </c>
      <c r="N2794" t="str">
        <f>_xlfn.XLOOKUP(E2794,[3]Sheet1!$A$2:$A$391,[3]Sheet1!$A$2:$A$391)</f>
        <v>PO10186</v>
      </c>
    </row>
    <row r="2795" spans="1:14" x14ac:dyDescent="0.2">
      <c r="A2795" t="s">
        <v>2804</v>
      </c>
      <c r="B2795" s="2">
        <v>46322</v>
      </c>
      <c r="C2795" t="s">
        <v>2941</v>
      </c>
      <c r="D2795" t="s">
        <v>2944</v>
      </c>
      <c r="E2795" t="s">
        <v>3136</v>
      </c>
      <c r="F2795" s="3">
        <v>46322.74990527927</v>
      </c>
      <c r="G2795" s="3">
        <v>46322.751443276473</v>
      </c>
      <c r="H2795">
        <v>2.21</v>
      </c>
      <c r="I2795" t="s">
        <v>3147</v>
      </c>
      <c r="J2795" t="s">
        <v>3167</v>
      </c>
      <c r="K2795" t="s">
        <v>3186</v>
      </c>
      <c r="L2795" t="str">
        <f>_xlfn.XLOOKUP(C2795,[1]!Table1[Shift_ID],[1]!Table1[Shift_ID])</f>
        <v>S02</v>
      </c>
      <c r="M2795" t="str">
        <f>_xlfn.XLOOKUP(D2795,[2]!Table1[Machine_ID],[2]!Table1[Machine_ID])</f>
        <v>M003</v>
      </c>
      <c r="N2795" t="str">
        <f>_xlfn.XLOOKUP(E2795,[3]Sheet1!$A$2:$A$391,[3]Sheet1!$A$2:$A$391)</f>
        <v>PO10186</v>
      </c>
    </row>
    <row r="2796" spans="1:14" x14ac:dyDescent="0.2">
      <c r="A2796" t="s">
        <v>2805</v>
      </c>
      <c r="B2796" s="2">
        <v>46322</v>
      </c>
      <c r="C2796" t="s">
        <v>2941</v>
      </c>
      <c r="D2796" t="s">
        <v>2944</v>
      </c>
      <c r="E2796" t="s">
        <v>3136</v>
      </c>
      <c r="F2796" s="3">
        <v>46322.847475217422</v>
      </c>
      <c r="G2796" s="3">
        <v>46322.852955792769</v>
      </c>
      <c r="H2796">
        <v>7.89</v>
      </c>
      <c r="I2796" t="s">
        <v>3147</v>
      </c>
      <c r="J2796" t="s">
        <v>3154</v>
      </c>
      <c r="K2796" t="s">
        <v>3172</v>
      </c>
      <c r="L2796" t="str">
        <f>_xlfn.XLOOKUP(C2796,[1]!Table1[Shift_ID],[1]!Table1[Shift_ID])</f>
        <v>S02</v>
      </c>
      <c r="M2796" t="str">
        <f>_xlfn.XLOOKUP(D2796,[2]!Table1[Machine_ID],[2]!Table1[Machine_ID])</f>
        <v>M003</v>
      </c>
      <c r="N2796" t="str">
        <f>_xlfn.XLOOKUP(E2796,[3]Sheet1!$A$2:$A$391,[3]Sheet1!$A$2:$A$391)</f>
        <v>PO10186</v>
      </c>
    </row>
    <row r="2797" spans="1:14" x14ac:dyDescent="0.2">
      <c r="A2797" t="s">
        <v>2806</v>
      </c>
      <c r="B2797" s="2">
        <v>46322</v>
      </c>
      <c r="C2797" t="s">
        <v>2941</v>
      </c>
      <c r="D2797" t="s">
        <v>2945</v>
      </c>
      <c r="E2797" t="s">
        <v>3136</v>
      </c>
      <c r="F2797" s="3">
        <v>46322.606831542143</v>
      </c>
      <c r="G2797" s="3">
        <v>46322.609259268997</v>
      </c>
      <c r="H2797">
        <v>3.5</v>
      </c>
      <c r="I2797" t="s">
        <v>3147</v>
      </c>
      <c r="J2797" t="s">
        <v>3153</v>
      </c>
      <c r="K2797" t="s">
        <v>3185</v>
      </c>
      <c r="L2797" t="str">
        <f>_xlfn.XLOOKUP(C2797,[1]!Table1[Shift_ID],[1]!Table1[Shift_ID])</f>
        <v>S02</v>
      </c>
      <c r="M2797" t="str">
        <f>_xlfn.XLOOKUP(D2797,[2]!Table1[Machine_ID],[2]!Table1[Machine_ID])</f>
        <v>M004</v>
      </c>
      <c r="N2797" t="str">
        <f>_xlfn.XLOOKUP(E2797,[3]Sheet1!$A$2:$A$391,[3]Sheet1!$A$2:$A$391)</f>
        <v>PO10186</v>
      </c>
    </row>
    <row r="2798" spans="1:14" x14ac:dyDescent="0.2">
      <c r="A2798" t="s">
        <v>2807</v>
      </c>
      <c r="B2798" s="2">
        <v>46322</v>
      </c>
      <c r="C2798" t="s">
        <v>2941</v>
      </c>
      <c r="D2798" t="s">
        <v>2945</v>
      </c>
      <c r="E2798" t="s">
        <v>3136</v>
      </c>
      <c r="F2798" s="3">
        <v>46322.879197555383</v>
      </c>
      <c r="G2798" s="3">
        <v>46322.882487353178</v>
      </c>
      <c r="H2798">
        <v>4.74</v>
      </c>
      <c r="I2798" t="s">
        <v>3149</v>
      </c>
      <c r="J2798" t="s">
        <v>3158</v>
      </c>
      <c r="K2798" t="s">
        <v>3176</v>
      </c>
      <c r="L2798" t="str">
        <f>_xlfn.XLOOKUP(C2798,[1]!Table1[Shift_ID],[1]!Table1[Shift_ID])</f>
        <v>S02</v>
      </c>
      <c r="M2798" t="str">
        <f>_xlfn.XLOOKUP(D2798,[2]!Table1[Machine_ID],[2]!Table1[Machine_ID])</f>
        <v>M004</v>
      </c>
      <c r="N2798" t="str">
        <f>_xlfn.XLOOKUP(E2798,[3]Sheet1!$A$2:$A$391,[3]Sheet1!$A$2:$A$391)</f>
        <v>PO10186</v>
      </c>
    </row>
    <row r="2799" spans="1:14" x14ac:dyDescent="0.2">
      <c r="A2799" t="s">
        <v>2808</v>
      </c>
      <c r="B2799" s="2">
        <v>46322</v>
      </c>
      <c r="C2799" t="s">
        <v>2941</v>
      </c>
      <c r="D2799" t="s">
        <v>2946</v>
      </c>
      <c r="E2799" t="s">
        <v>3136</v>
      </c>
      <c r="F2799" s="3">
        <v>46322.585304513152</v>
      </c>
      <c r="G2799" s="3">
        <v>46322.586891194267</v>
      </c>
      <c r="H2799">
        <v>2.2799999999999998</v>
      </c>
      <c r="I2799" t="s">
        <v>3150</v>
      </c>
      <c r="J2799" t="s">
        <v>3166</v>
      </c>
      <c r="K2799" t="s">
        <v>3178</v>
      </c>
      <c r="L2799" t="str">
        <f>_xlfn.XLOOKUP(C2799,[1]!Table1[Shift_ID],[1]!Table1[Shift_ID])</f>
        <v>S02</v>
      </c>
      <c r="M2799" t="str">
        <f>_xlfn.XLOOKUP(D2799,[2]!Table1[Machine_ID],[2]!Table1[Machine_ID])</f>
        <v>M005</v>
      </c>
      <c r="N2799" t="str">
        <f>_xlfn.XLOOKUP(E2799,[3]Sheet1!$A$2:$A$391,[3]Sheet1!$A$2:$A$391)</f>
        <v>PO10186</v>
      </c>
    </row>
    <row r="2800" spans="1:14" x14ac:dyDescent="0.2">
      <c r="A2800" t="s">
        <v>2809</v>
      </c>
      <c r="B2800" s="2">
        <v>46322</v>
      </c>
      <c r="C2800" t="s">
        <v>2941</v>
      </c>
      <c r="D2800" t="s">
        <v>2946</v>
      </c>
      <c r="E2800" t="s">
        <v>3136</v>
      </c>
      <c r="F2800" s="3">
        <v>46322.71287348037</v>
      </c>
      <c r="G2800" s="3">
        <v>46322.715681542839</v>
      </c>
      <c r="H2800">
        <v>4.04</v>
      </c>
      <c r="I2800" t="s">
        <v>3149</v>
      </c>
      <c r="J2800" t="s">
        <v>3158</v>
      </c>
      <c r="K2800" t="s">
        <v>3176</v>
      </c>
      <c r="L2800" t="str">
        <f>_xlfn.XLOOKUP(C2800,[1]!Table1[Shift_ID],[1]!Table1[Shift_ID])</f>
        <v>S02</v>
      </c>
      <c r="M2800" t="str">
        <f>_xlfn.XLOOKUP(D2800,[2]!Table1[Machine_ID],[2]!Table1[Machine_ID])</f>
        <v>M005</v>
      </c>
      <c r="N2800" t="str">
        <f>_xlfn.XLOOKUP(E2800,[3]Sheet1!$A$2:$A$391,[3]Sheet1!$A$2:$A$391)</f>
        <v>PO10186</v>
      </c>
    </row>
    <row r="2801" spans="1:14" x14ac:dyDescent="0.2">
      <c r="A2801" t="s">
        <v>2810</v>
      </c>
      <c r="B2801" s="2">
        <v>46322</v>
      </c>
      <c r="C2801" t="s">
        <v>2941</v>
      </c>
      <c r="D2801" t="s">
        <v>2946</v>
      </c>
      <c r="E2801" t="s">
        <v>3136</v>
      </c>
      <c r="F2801" s="3">
        <v>46322.752646974492</v>
      </c>
      <c r="G2801" s="3">
        <v>46322.754233655607</v>
      </c>
      <c r="H2801">
        <v>2.2799999999999998</v>
      </c>
      <c r="I2801" t="s">
        <v>3148</v>
      </c>
      <c r="J2801" t="s">
        <v>3155</v>
      </c>
      <c r="K2801" t="s">
        <v>3183</v>
      </c>
      <c r="L2801" t="str">
        <f>_xlfn.XLOOKUP(C2801,[1]!Table1[Shift_ID],[1]!Table1[Shift_ID])</f>
        <v>S02</v>
      </c>
      <c r="M2801" t="str">
        <f>_xlfn.XLOOKUP(D2801,[2]!Table1[Machine_ID],[2]!Table1[Machine_ID])</f>
        <v>M005</v>
      </c>
      <c r="N2801" t="str">
        <f>_xlfn.XLOOKUP(E2801,[3]Sheet1!$A$2:$A$391,[3]Sheet1!$A$2:$A$391)</f>
        <v>PO10186</v>
      </c>
    </row>
    <row r="2802" spans="1:14" x14ac:dyDescent="0.2">
      <c r="A2802" t="s">
        <v>2811</v>
      </c>
      <c r="B2802" s="2">
        <v>46322</v>
      </c>
      <c r="C2802" t="s">
        <v>2941</v>
      </c>
      <c r="D2802" t="s">
        <v>2947</v>
      </c>
      <c r="E2802" t="s">
        <v>3136</v>
      </c>
      <c r="F2802" s="3">
        <v>46322.601876973567</v>
      </c>
      <c r="G2802" s="3">
        <v>46322.618395503669</v>
      </c>
      <c r="H2802">
        <v>23.79</v>
      </c>
      <c r="I2802" t="s">
        <v>3151</v>
      </c>
      <c r="J2802" t="s">
        <v>3161</v>
      </c>
      <c r="K2802" t="s">
        <v>3181</v>
      </c>
      <c r="L2802" t="str">
        <f>_xlfn.XLOOKUP(C2802,[1]!Table1[Shift_ID],[1]!Table1[Shift_ID])</f>
        <v>S02</v>
      </c>
      <c r="M2802" t="str">
        <f>_xlfn.XLOOKUP(D2802,[2]!Table1[Machine_ID],[2]!Table1[Machine_ID])</f>
        <v>M006</v>
      </c>
      <c r="N2802" t="str">
        <f>_xlfn.XLOOKUP(E2802,[3]Sheet1!$A$2:$A$391,[3]Sheet1!$A$2:$A$391)</f>
        <v>PO10186</v>
      </c>
    </row>
    <row r="2803" spans="1:14" x14ac:dyDescent="0.2">
      <c r="A2803" t="s">
        <v>2812</v>
      </c>
      <c r="B2803" s="2">
        <v>46322</v>
      </c>
      <c r="C2803" t="s">
        <v>2941</v>
      </c>
      <c r="D2803" t="s">
        <v>2947</v>
      </c>
      <c r="E2803" t="s">
        <v>3136</v>
      </c>
      <c r="F2803" s="3">
        <v>46322.851242524543</v>
      </c>
      <c r="G2803" s="3">
        <v>46322.860440808239</v>
      </c>
      <c r="H2803">
        <v>13.25</v>
      </c>
      <c r="I2803" t="s">
        <v>3150</v>
      </c>
      <c r="J2803" t="s">
        <v>3160</v>
      </c>
      <c r="K2803" t="s">
        <v>3179</v>
      </c>
      <c r="L2803" t="str">
        <f>_xlfn.XLOOKUP(C2803,[1]!Table1[Shift_ID],[1]!Table1[Shift_ID])</f>
        <v>S02</v>
      </c>
      <c r="M2803" t="str">
        <f>_xlfn.XLOOKUP(D2803,[2]!Table1[Machine_ID],[2]!Table1[Machine_ID])</f>
        <v>M006</v>
      </c>
      <c r="N2803" t="str">
        <f>_xlfn.XLOOKUP(E2803,[3]Sheet1!$A$2:$A$391,[3]Sheet1!$A$2:$A$391)</f>
        <v>PO10186</v>
      </c>
    </row>
    <row r="2804" spans="1:14" x14ac:dyDescent="0.2">
      <c r="A2804" t="s">
        <v>2813</v>
      </c>
      <c r="B2804" s="2">
        <v>46322</v>
      </c>
      <c r="C2804" t="s">
        <v>2941</v>
      </c>
      <c r="D2804" t="s">
        <v>2948</v>
      </c>
      <c r="E2804" t="s">
        <v>3136</v>
      </c>
      <c r="F2804" s="3">
        <v>46322.767701405231</v>
      </c>
      <c r="G2804" s="3">
        <v>46322.778771582183</v>
      </c>
      <c r="H2804">
        <v>15.94</v>
      </c>
      <c r="I2804" t="s">
        <v>3149</v>
      </c>
      <c r="J2804" t="s">
        <v>3158</v>
      </c>
      <c r="K2804" t="s">
        <v>3182</v>
      </c>
      <c r="L2804" t="str">
        <f>_xlfn.XLOOKUP(C2804,[1]!Table1[Shift_ID],[1]!Table1[Shift_ID])</f>
        <v>S02</v>
      </c>
      <c r="M2804" t="str">
        <f>_xlfn.XLOOKUP(D2804,[2]!Table1[Machine_ID],[2]!Table1[Machine_ID])</f>
        <v>M007</v>
      </c>
      <c r="N2804" t="str">
        <f>_xlfn.XLOOKUP(E2804,[3]Sheet1!$A$2:$A$391,[3]Sheet1!$A$2:$A$391)</f>
        <v>PO10186</v>
      </c>
    </row>
    <row r="2805" spans="1:14" x14ac:dyDescent="0.2">
      <c r="A2805" t="s">
        <v>2814</v>
      </c>
      <c r="B2805" s="2">
        <v>46322</v>
      </c>
      <c r="C2805" t="s">
        <v>2941</v>
      </c>
      <c r="D2805" t="s">
        <v>2949</v>
      </c>
      <c r="E2805" t="s">
        <v>3136</v>
      </c>
      <c r="F2805" s="3">
        <v>46322.859987579563</v>
      </c>
      <c r="G2805" s="3">
        <v>46322.866697746482</v>
      </c>
      <c r="H2805">
        <v>9.66</v>
      </c>
      <c r="I2805" t="s">
        <v>3148</v>
      </c>
      <c r="J2805" t="s">
        <v>3155</v>
      </c>
      <c r="K2805" t="s">
        <v>3180</v>
      </c>
      <c r="L2805" t="str">
        <f>_xlfn.XLOOKUP(C2805,[1]!Table1[Shift_ID],[1]!Table1[Shift_ID])</f>
        <v>S02</v>
      </c>
      <c r="M2805" t="str">
        <f>_xlfn.XLOOKUP(D2805,[2]!Table1[Machine_ID],[2]!Table1[Machine_ID])</f>
        <v>M008</v>
      </c>
      <c r="N2805" t="str">
        <f>_xlfn.XLOOKUP(E2805,[3]Sheet1!$A$2:$A$391,[3]Sheet1!$A$2:$A$391)</f>
        <v>PO10186</v>
      </c>
    </row>
    <row r="2806" spans="1:14" x14ac:dyDescent="0.2">
      <c r="A2806" t="s">
        <v>2815</v>
      </c>
      <c r="B2806" s="2">
        <v>46323</v>
      </c>
      <c r="C2806" t="s">
        <v>2939</v>
      </c>
      <c r="D2806" t="s">
        <v>2942</v>
      </c>
      <c r="E2806" t="s">
        <v>3137</v>
      </c>
      <c r="F2806" s="3">
        <v>46323.950558636549</v>
      </c>
      <c r="G2806" s="3">
        <v>46323.952609713589</v>
      </c>
      <c r="H2806">
        <v>2.95</v>
      </c>
      <c r="I2806" t="s">
        <v>3149</v>
      </c>
      <c r="J2806" t="s">
        <v>3168</v>
      </c>
      <c r="K2806" t="s">
        <v>3182</v>
      </c>
      <c r="L2806" t="str">
        <f>_xlfn.XLOOKUP(C2806,[1]!Table1[Shift_ID],[1]!Table1[Shift_ID])</f>
        <v>S03</v>
      </c>
      <c r="M2806" t="str">
        <f>_xlfn.XLOOKUP(D2806,[2]!Table1[Machine_ID],[2]!Table1[Machine_ID])</f>
        <v>M001</v>
      </c>
      <c r="N2806" t="str">
        <f>_xlfn.XLOOKUP(E2806,[3]Sheet1!$A$2:$A$391,[3]Sheet1!$A$2:$A$391)</f>
        <v>PO10187</v>
      </c>
    </row>
    <row r="2807" spans="1:14" x14ac:dyDescent="0.2">
      <c r="A2807" t="s">
        <v>2816</v>
      </c>
      <c r="B2807" s="2">
        <v>46323</v>
      </c>
      <c r="C2807" t="s">
        <v>2939</v>
      </c>
      <c r="D2807" t="s">
        <v>2942</v>
      </c>
      <c r="E2807" t="s">
        <v>3137</v>
      </c>
      <c r="F2807" s="3">
        <v>46324.229862199441</v>
      </c>
      <c r="G2807" s="3">
        <v>46324.233366945256</v>
      </c>
      <c r="H2807">
        <v>5.05</v>
      </c>
      <c r="I2807" t="s">
        <v>3148</v>
      </c>
      <c r="J2807" t="s">
        <v>3164</v>
      </c>
      <c r="K2807" t="s">
        <v>3180</v>
      </c>
      <c r="L2807" t="str">
        <f>_xlfn.XLOOKUP(C2807,[1]!Table1[Shift_ID],[1]!Table1[Shift_ID])</f>
        <v>S03</v>
      </c>
      <c r="M2807" t="str">
        <f>_xlfn.XLOOKUP(D2807,[2]!Table1[Machine_ID],[2]!Table1[Machine_ID])</f>
        <v>M001</v>
      </c>
      <c r="N2807" t="str">
        <f>_xlfn.XLOOKUP(E2807,[3]Sheet1!$A$2:$A$391,[3]Sheet1!$A$2:$A$391)</f>
        <v>PO10187</v>
      </c>
    </row>
    <row r="2808" spans="1:14" x14ac:dyDescent="0.2">
      <c r="A2808" t="s">
        <v>2817</v>
      </c>
      <c r="B2808" s="2">
        <v>46323</v>
      </c>
      <c r="C2808" t="s">
        <v>2939</v>
      </c>
      <c r="D2808" t="s">
        <v>2943</v>
      </c>
      <c r="E2808" t="s">
        <v>3137</v>
      </c>
      <c r="F2808" s="3">
        <v>46323.935104749362</v>
      </c>
      <c r="G2808" s="3">
        <v>46323.937171439968</v>
      </c>
      <c r="H2808">
        <v>2.98</v>
      </c>
      <c r="I2808" t="s">
        <v>3149</v>
      </c>
      <c r="J2808" t="s">
        <v>3158</v>
      </c>
      <c r="K2808" t="s">
        <v>3182</v>
      </c>
      <c r="L2808" t="str">
        <f>_xlfn.XLOOKUP(C2808,[1]!Table1[Shift_ID],[1]!Table1[Shift_ID])</f>
        <v>S03</v>
      </c>
      <c r="M2808" t="str">
        <f>_xlfn.XLOOKUP(D2808,[2]!Table1[Machine_ID],[2]!Table1[Machine_ID])</f>
        <v>M002</v>
      </c>
      <c r="N2808" t="str">
        <f>_xlfn.XLOOKUP(E2808,[3]Sheet1!$A$2:$A$391,[3]Sheet1!$A$2:$A$391)</f>
        <v>PO10187</v>
      </c>
    </row>
    <row r="2809" spans="1:14" x14ac:dyDescent="0.2">
      <c r="A2809" t="s">
        <v>2818</v>
      </c>
      <c r="B2809" s="2">
        <v>46323</v>
      </c>
      <c r="C2809" t="s">
        <v>2939</v>
      </c>
      <c r="D2809" t="s">
        <v>2943</v>
      </c>
      <c r="E2809" t="s">
        <v>3137</v>
      </c>
      <c r="F2809" s="3">
        <v>46323.977638179698</v>
      </c>
      <c r="G2809" s="3">
        <v>46323.983036827907</v>
      </c>
      <c r="H2809">
        <v>7.77</v>
      </c>
      <c r="I2809" t="s">
        <v>3150</v>
      </c>
      <c r="J2809" t="s">
        <v>3160</v>
      </c>
      <c r="K2809" t="s">
        <v>3178</v>
      </c>
      <c r="L2809" t="str">
        <f>_xlfn.XLOOKUP(C2809,[1]!Table1[Shift_ID],[1]!Table1[Shift_ID])</f>
        <v>S03</v>
      </c>
      <c r="M2809" t="str">
        <f>_xlfn.XLOOKUP(D2809,[2]!Table1[Machine_ID],[2]!Table1[Machine_ID])</f>
        <v>M002</v>
      </c>
      <c r="N2809" t="str">
        <f>_xlfn.XLOOKUP(E2809,[3]Sheet1!$A$2:$A$391,[3]Sheet1!$A$2:$A$391)</f>
        <v>PO10187</v>
      </c>
    </row>
    <row r="2810" spans="1:14" x14ac:dyDescent="0.2">
      <c r="A2810" t="s">
        <v>2819</v>
      </c>
      <c r="B2810" s="2">
        <v>46323</v>
      </c>
      <c r="C2810" t="s">
        <v>2939</v>
      </c>
      <c r="D2810" t="s">
        <v>2943</v>
      </c>
      <c r="E2810" t="s">
        <v>3137</v>
      </c>
      <c r="F2810" s="3">
        <v>46324.219516777353</v>
      </c>
      <c r="G2810" s="3">
        <v>46324.221258664467</v>
      </c>
      <c r="H2810">
        <v>2.5099999999999998</v>
      </c>
      <c r="I2810" t="s">
        <v>3151</v>
      </c>
      <c r="J2810" t="s">
        <v>3161</v>
      </c>
      <c r="K2810" t="s">
        <v>3188</v>
      </c>
      <c r="L2810" t="str">
        <f>_xlfn.XLOOKUP(C2810,[1]!Table1[Shift_ID],[1]!Table1[Shift_ID])</f>
        <v>S03</v>
      </c>
      <c r="M2810" t="str">
        <f>_xlfn.XLOOKUP(D2810,[2]!Table1[Machine_ID],[2]!Table1[Machine_ID])</f>
        <v>M002</v>
      </c>
      <c r="N2810" t="str">
        <f>_xlfn.XLOOKUP(E2810,[3]Sheet1!$A$2:$A$391,[3]Sheet1!$A$2:$A$391)</f>
        <v>PO10187</v>
      </c>
    </row>
    <row r="2811" spans="1:14" x14ac:dyDescent="0.2">
      <c r="A2811" t="s">
        <v>2820</v>
      </c>
      <c r="B2811" s="2">
        <v>46323</v>
      </c>
      <c r="C2811" t="s">
        <v>2939</v>
      </c>
      <c r="D2811" t="s">
        <v>2944</v>
      </c>
      <c r="E2811" t="s">
        <v>3137</v>
      </c>
      <c r="F2811" s="3">
        <v>46324.155127384583</v>
      </c>
      <c r="G2811" s="3">
        <v>46324.157056491189</v>
      </c>
      <c r="H2811">
        <v>2.78</v>
      </c>
      <c r="I2811" t="s">
        <v>3146</v>
      </c>
      <c r="J2811" t="s">
        <v>3152</v>
      </c>
      <c r="K2811" t="s">
        <v>3171</v>
      </c>
      <c r="L2811" t="str">
        <f>_xlfn.XLOOKUP(C2811,[1]!Table1[Shift_ID],[1]!Table1[Shift_ID])</f>
        <v>S03</v>
      </c>
      <c r="M2811" t="str">
        <f>_xlfn.XLOOKUP(D2811,[2]!Table1[Machine_ID],[2]!Table1[Machine_ID])</f>
        <v>M003</v>
      </c>
      <c r="N2811" t="str">
        <f>_xlfn.XLOOKUP(E2811,[3]Sheet1!$A$2:$A$391,[3]Sheet1!$A$2:$A$391)</f>
        <v>PO10187</v>
      </c>
    </row>
    <row r="2812" spans="1:14" x14ac:dyDescent="0.2">
      <c r="A2812" t="s">
        <v>2821</v>
      </c>
      <c r="B2812" s="2">
        <v>46323</v>
      </c>
      <c r="C2812" t="s">
        <v>2939</v>
      </c>
      <c r="D2812" t="s">
        <v>2944</v>
      </c>
      <c r="E2812" t="s">
        <v>3137</v>
      </c>
      <c r="F2812" s="3">
        <v>46324.174926733147</v>
      </c>
      <c r="G2812" s="3">
        <v>46324.182997050033</v>
      </c>
      <c r="H2812">
        <v>11.62</v>
      </c>
      <c r="I2812" t="s">
        <v>3147</v>
      </c>
      <c r="J2812" t="s">
        <v>3167</v>
      </c>
      <c r="K2812" t="s">
        <v>3185</v>
      </c>
      <c r="L2812" t="str">
        <f>_xlfn.XLOOKUP(C2812,[1]!Table1[Shift_ID],[1]!Table1[Shift_ID])</f>
        <v>S03</v>
      </c>
      <c r="M2812" t="str">
        <f>_xlfn.XLOOKUP(D2812,[2]!Table1[Machine_ID],[2]!Table1[Machine_ID])</f>
        <v>M003</v>
      </c>
      <c r="N2812" t="str">
        <f>_xlfn.XLOOKUP(E2812,[3]Sheet1!$A$2:$A$391,[3]Sheet1!$A$2:$A$391)</f>
        <v>PO10187</v>
      </c>
    </row>
    <row r="2813" spans="1:14" x14ac:dyDescent="0.2">
      <c r="A2813" t="s">
        <v>2822</v>
      </c>
      <c r="B2813" s="2">
        <v>46323</v>
      </c>
      <c r="C2813" t="s">
        <v>2939</v>
      </c>
      <c r="D2813" t="s">
        <v>2945</v>
      </c>
      <c r="E2813" t="s">
        <v>3137</v>
      </c>
      <c r="F2813" s="3">
        <v>46323.923077204083</v>
      </c>
      <c r="G2813" s="3">
        <v>46323.929876878101</v>
      </c>
      <c r="H2813">
        <v>9.7899999999999991</v>
      </c>
      <c r="I2813" t="s">
        <v>3147</v>
      </c>
      <c r="J2813" t="s">
        <v>3167</v>
      </c>
      <c r="K2813" t="s">
        <v>3186</v>
      </c>
      <c r="L2813" t="str">
        <f>_xlfn.XLOOKUP(C2813,[1]!Table1[Shift_ID],[1]!Table1[Shift_ID])</f>
        <v>S03</v>
      </c>
      <c r="M2813" t="str">
        <f>_xlfn.XLOOKUP(D2813,[2]!Table1[Machine_ID],[2]!Table1[Machine_ID])</f>
        <v>M004</v>
      </c>
      <c r="N2813" t="str">
        <f>_xlfn.XLOOKUP(E2813,[3]Sheet1!$A$2:$A$391,[3]Sheet1!$A$2:$A$391)</f>
        <v>PO10187</v>
      </c>
    </row>
    <row r="2814" spans="1:14" x14ac:dyDescent="0.2">
      <c r="A2814" t="s">
        <v>2823</v>
      </c>
      <c r="B2814" s="2">
        <v>46323</v>
      </c>
      <c r="C2814" t="s">
        <v>2939</v>
      </c>
      <c r="D2814" t="s">
        <v>2946</v>
      </c>
      <c r="E2814" t="s">
        <v>3137</v>
      </c>
      <c r="F2814" s="3">
        <v>46323.964219335161</v>
      </c>
      <c r="G2814" s="3">
        <v>46323.96770882899</v>
      </c>
      <c r="H2814">
        <v>5.0199999999999996</v>
      </c>
      <c r="I2814" t="s">
        <v>3149</v>
      </c>
      <c r="J2814" t="s">
        <v>3158</v>
      </c>
      <c r="K2814" t="s">
        <v>3176</v>
      </c>
      <c r="L2814" t="str">
        <f>_xlfn.XLOOKUP(C2814,[1]!Table1[Shift_ID],[1]!Table1[Shift_ID])</f>
        <v>S03</v>
      </c>
      <c r="M2814" t="str">
        <f>_xlfn.XLOOKUP(D2814,[2]!Table1[Machine_ID],[2]!Table1[Machine_ID])</f>
        <v>M005</v>
      </c>
      <c r="N2814" t="str">
        <f>_xlfn.XLOOKUP(E2814,[3]Sheet1!$A$2:$A$391,[3]Sheet1!$A$2:$A$391)</f>
        <v>PO10187</v>
      </c>
    </row>
    <row r="2815" spans="1:14" x14ac:dyDescent="0.2">
      <c r="A2815" t="s">
        <v>2824</v>
      </c>
      <c r="B2815" s="2">
        <v>46323</v>
      </c>
      <c r="C2815" t="s">
        <v>2939</v>
      </c>
      <c r="D2815" t="s">
        <v>2946</v>
      </c>
      <c r="E2815" t="s">
        <v>3137</v>
      </c>
      <c r="F2815" s="3">
        <v>46323.971341320343</v>
      </c>
      <c r="G2815" s="3">
        <v>46323.97633813737</v>
      </c>
      <c r="H2815">
        <v>7.2</v>
      </c>
      <c r="I2815" t="s">
        <v>3146</v>
      </c>
      <c r="J2815" t="s">
        <v>3156</v>
      </c>
      <c r="K2815" t="s">
        <v>3174</v>
      </c>
      <c r="L2815" t="str">
        <f>_xlfn.XLOOKUP(C2815,[1]!Table1[Shift_ID],[1]!Table1[Shift_ID])</f>
        <v>S03</v>
      </c>
      <c r="M2815" t="str">
        <f>_xlfn.XLOOKUP(D2815,[2]!Table1[Machine_ID],[2]!Table1[Machine_ID])</f>
        <v>M005</v>
      </c>
      <c r="N2815" t="str">
        <f>_xlfn.XLOOKUP(E2815,[3]Sheet1!$A$2:$A$391,[3]Sheet1!$A$2:$A$391)</f>
        <v>PO10187</v>
      </c>
    </row>
    <row r="2816" spans="1:14" x14ac:dyDescent="0.2">
      <c r="A2816" t="s">
        <v>2825</v>
      </c>
      <c r="B2816" s="2">
        <v>46323</v>
      </c>
      <c r="C2816" t="s">
        <v>2939</v>
      </c>
      <c r="D2816" t="s">
        <v>2947</v>
      </c>
      <c r="E2816" t="s">
        <v>3137</v>
      </c>
      <c r="F2816" s="3">
        <v>46324.025811945939</v>
      </c>
      <c r="G2816" s="3">
        <v>46324.028698998198</v>
      </c>
      <c r="H2816">
        <v>4.16</v>
      </c>
      <c r="I2816" t="s">
        <v>3150</v>
      </c>
      <c r="J2816" t="s">
        <v>3159</v>
      </c>
      <c r="K2816" t="s">
        <v>3177</v>
      </c>
      <c r="L2816" t="str">
        <f>_xlfn.XLOOKUP(C2816,[1]!Table1[Shift_ID],[1]!Table1[Shift_ID])</f>
        <v>S03</v>
      </c>
      <c r="M2816" t="str">
        <f>_xlfn.XLOOKUP(D2816,[2]!Table1[Machine_ID],[2]!Table1[Machine_ID])</f>
        <v>M006</v>
      </c>
      <c r="N2816" t="str">
        <f>_xlfn.XLOOKUP(E2816,[3]Sheet1!$A$2:$A$391,[3]Sheet1!$A$2:$A$391)</f>
        <v>PO10187</v>
      </c>
    </row>
    <row r="2817" spans="1:14" x14ac:dyDescent="0.2">
      <c r="A2817" t="s">
        <v>2826</v>
      </c>
      <c r="B2817" s="2">
        <v>46323</v>
      </c>
      <c r="C2817" t="s">
        <v>2939</v>
      </c>
      <c r="D2817" t="s">
        <v>2947</v>
      </c>
      <c r="E2817" t="s">
        <v>3137</v>
      </c>
      <c r="F2817" s="3">
        <v>46324.062959666568</v>
      </c>
      <c r="G2817" s="3">
        <v>46324.07459709965</v>
      </c>
      <c r="H2817">
        <v>16.760000000000002</v>
      </c>
      <c r="I2817" t="s">
        <v>3149</v>
      </c>
      <c r="J2817" t="s">
        <v>3162</v>
      </c>
      <c r="K2817" t="s">
        <v>3184</v>
      </c>
      <c r="L2817" t="str">
        <f>_xlfn.XLOOKUP(C2817,[1]!Table1[Shift_ID],[1]!Table1[Shift_ID])</f>
        <v>S03</v>
      </c>
      <c r="M2817" t="str">
        <f>_xlfn.XLOOKUP(D2817,[2]!Table1[Machine_ID],[2]!Table1[Machine_ID])</f>
        <v>M006</v>
      </c>
      <c r="N2817" t="str">
        <f>_xlfn.XLOOKUP(E2817,[3]Sheet1!$A$2:$A$391,[3]Sheet1!$A$2:$A$391)</f>
        <v>PO10187</v>
      </c>
    </row>
    <row r="2818" spans="1:14" x14ac:dyDescent="0.2">
      <c r="A2818" t="s">
        <v>2827</v>
      </c>
      <c r="B2818" s="2">
        <v>46323</v>
      </c>
      <c r="C2818" t="s">
        <v>2939</v>
      </c>
      <c r="D2818" t="s">
        <v>2947</v>
      </c>
      <c r="E2818" t="s">
        <v>3137</v>
      </c>
      <c r="F2818" s="3">
        <v>46324.137873439016</v>
      </c>
      <c r="G2818" s="3">
        <v>46324.149232392039</v>
      </c>
      <c r="H2818">
        <v>16.36</v>
      </c>
      <c r="I2818" t="s">
        <v>3147</v>
      </c>
      <c r="J2818" t="s">
        <v>3153</v>
      </c>
      <c r="K2818" t="s">
        <v>3172</v>
      </c>
      <c r="L2818" t="str">
        <f>_xlfn.XLOOKUP(C2818,[1]!Table1[Shift_ID],[1]!Table1[Shift_ID])</f>
        <v>S03</v>
      </c>
      <c r="M2818" t="str">
        <f>_xlfn.XLOOKUP(D2818,[2]!Table1[Machine_ID],[2]!Table1[Machine_ID])</f>
        <v>M006</v>
      </c>
      <c r="N2818" t="str">
        <f>_xlfn.XLOOKUP(E2818,[3]Sheet1!$A$2:$A$391,[3]Sheet1!$A$2:$A$391)</f>
        <v>PO10187</v>
      </c>
    </row>
    <row r="2819" spans="1:14" x14ac:dyDescent="0.2">
      <c r="A2819" t="s">
        <v>2828</v>
      </c>
      <c r="B2819" s="2">
        <v>46323</v>
      </c>
      <c r="C2819" t="s">
        <v>2939</v>
      </c>
      <c r="D2819" t="s">
        <v>2947</v>
      </c>
      <c r="E2819" t="s">
        <v>3137</v>
      </c>
      <c r="F2819" s="3">
        <v>46324.174941598991</v>
      </c>
      <c r="G2819" s="3">
        <v>46324.176918300298</v>
      </c>
      <c r="H2819">
        <v>2.85</v>
      </c>
      <c r="I2819" t="s">
        <v>3150</v>
      </c>
      <c r="J2819" t="s">
        <v>3159</v>
      </c>
      <c r="K2819" t="s">
        <v>3177</v>
      </c>
      <c r="L2819" t="str">
        <f>_xlfn.XLOOKUP(C2819,[1]!Table1[Shift_ID],[1]!Table1[Shift_ID])</f>
        <v>S03</v>
      </c>
      <c r="M2819" t="str">
        <f>_xlfn.XLOOKUP(D2819,[2]!Table1[Machine_ID],[2]!Table1[Machine_ID])</f>
        <v>M006</v>
      </c>
      <c r="N2819" t="str">
        <f>_xlfn.XLOOKUP(E2819,[3]Sheet1!$A$2:$A$391,[3]Sheet1!$A$2:$A$391)</f>
        <v>PO10187</v>
      </c>
    </row>
    <row r="2820" spans="1:14" x14ac:dyDescent="0.2">
      <c r="A2820" t="s">
        <v>2829</v>
      </c>
      <c r="B2820" s="2">
        <v>46323</v>
      </c>
      <c r="C2820" t="s">
        <v>2939</v>
      </c>
      <c r="D2820" t="s">
        <v>2948</v>
      </c>
      <c r="E2820" t="s">
        <v>3137</v>
      </c>
      <c r="F2820" s="3">
        <v>46323.945092386391</v>
      </c>
      <c r="G2820" s="3">
        <v>46323.946933281317</v>
      </c>
      <c r="H2820">
        <v>2.65</v>
      </c>
      <c r="I2820" t="s">
        <v>3146</v>
      </c>
      <c r="J2820" t="s">
        <v>3156</v>
      </c>
      <c r="K2820" t="s">
        <v>3171</v>
      </c>
      <c r="L2820" t="str">
        <f>_xlfn.XLOOKUP(C2820,[1]!Table1[Shift_ID],[1]!Table1[Shift_ID])</f>
        <v>S03</v>
      </c>
      <c r="M2820" t="str">
        <f>_xlfn.XLOOKUP(D2820,[2]!Table1[Machine_ID],[2]!Table1[Machine_ID])</f>
        <v>M007</v>
      </c>
      <c r="N2820" t="str">
        <f>_xlfn.XLOOKUP(E2820,[3]Sheet1!$A$2:$A$391,[3]Sheet1!$A$2:$A$391)</f>
        <v>PO10187</v>
      </c>
    </row>
    <row r="2821" spans="1:14" x14ac:dyDescent="0.2">
      <c r="A2821" t="s">
        <v>2830</v>
      </c>
      <c r="B2821" s="2">
        <v>46323</v>
      </c>
      <c r="C2821" t="s">
        <v>2939</v>
      </c>
      <c r="D2821" t="s">
        <v>2948</v>
      </c>
      <c r="E2821" t="s">
        <v>3137</v>
      </c>
      <c r="F2821" s="3">
        <v>46324.156089422453</v>
      </c>
      <c r="G2821" s="3">
        <v>46324.166152854072</v>
      </c>
      <c r="H2821">
        <v>14.49</v>
      </c>
      <c r="I2821" t="s">
        <v>3149</v>
      </c>
      <c r="J2821" t="s">
        <v>3168</v>
      </c>
      <c r="K2821" t="s">
        <v>3182</v>
      </c>
      <c r="L2821" t="str">
        <f>_xlfn.XLOOKUP(C2821,[1]!Table1[Shift_ID],[1]!Table1[Shift_ID])</f>
        <v>S03</v>
      </c>
      <c r="M2821" t="str">
        <f>_xlfn.XLOOKUP(D2821,[2]!Table1[Machine_ID],[2]!Table1[Machine_ID])</f>
        <v>M007</v>
      </c>
      <c r="N2821" t="str">
        <f>_xlfn.XLOOKUP(E2821,[3]Sheet1!$A$2:$A$391,[3]Sheet1!$A$2:$A$391)</f>
        <v>PO10187</v>
      </c>
    </row>
    <row r="2822" spans="1:14" x14ac:dyDescent="0.2">
      <c r="A2822" t="s">
        <v>2831</v>
      </c>
      <c r="B2822" s="2">
        <v>46323</v>
      </c>
      <c r="C2822" t="s">
        <v>2939</v>
      </c>
      <c r="D2822" t="s">
        <v>2948</v>
      </c>
      <c r="E2822" t="s">
        <v>3137</v>
      </c>
      <c r="F2822" s="3">
        <v>46324.223829160102</v>
      </c>
      <c r="G2822" s="3">
        <v>46324.225670055021</v>
      </c>
      <c r="H2822">
        <v>2.65</v>
      </c>
      <c r="I2822" t="s">
        <v>3150</v>
      </c>
      <c r="J2822" t="s">
        <v>3159</v>
      </c>
      <c r="K2822" t="s">
        <v>3178</v>
      </c>
      <c r="L2822" t="str">
        <f>_xlfn.XLOOKUP(C2822,[1]!Table1[Shift_ID],[1]!Table1[Shift_ID])</f>
        <v>S03</v>
      </c>
      <c r="M2822" t="str">
        <f>_xlfn.XLOOKUP(D2822,[2]!Table1[Machine_ID],[2]!Table1[Machine_ID])</f>
        <v>M007</v>
      </c>
      <c r="N2822" t="str">
        <f>_xlfn.XLOOKUP(E2822,[3]Sheet1!$A$2:$A$391,[3]Sheet1!$A$2:$A$391)</f>
        <v>PO10187</v>
      </c>
    </row>
    <row r="2823" spans="1:14" x14ac:dyDescent="0.2">
      <c r="A2823" t="s">
        <v>2832</v>
      </c>
      <c r="B2823" s="2">
        <v>46323</v>
      </c>
      <c r="C2823" t="s">
        <v>2939</v>
      </c>
      <c r="D2823" t="s">
        <v>2949</v>
      </c>
      <c r="E2823" t="s">
        <v>3137</v>
      </c>
      <c r="F2823" s="3">
        <v>46324.096881990299</v>
      </c>
      <c r="G2823" s="3">
        <v>46324.102883136169</v>
      </c>
      <c r="H2823">
        <v>8.64</v>
      </c>
      <c r="I2823" t="s">
        <v>3147</v>
      </c>
      <c r="J2823" t="s">
        <v>3167</v>
      </c>
      <c r="K2823" t="s">
        <v>3185</v>
      </c>
      <c r="L2823" t="str">
        <f>_xlfn.XLOOKUP(C2823,[1]!Table1[Shift_ID],[1]!Table1[Shift_ID])</f>
        <v>S03</v>
      </c>
      <c r="M2823" t="str">
        <f>_xlfn.XLOOKUP(D2823,[2]!Table1[Machine_ID],[2]!Table1[Machine_ID])</f>
        <v>M008</v>
      </c>
      <c r="N2823" t="str">
        <f>_xlfn.XLOOKUP(E2823,[3]Sheet1!$A$2:$A$391,[3]Sheet1!$A$2:$A$391)</f>
        <v>PO10187</v>
      </c>
    </row>
    <row r="2824" spans="1:14" x14ac:dyDescent="0.2">
      <c r="A2824" t="s">
        <v>2833</v>
      </c>
      <c r="B2824" s="2">
        <v>46323</v>
      </c>
      <c r="C2824" t="s">
        <v>2940</v>
      </c>
      <c r="D2824" t="s">
        <v>2942</v>
      </c>
      <c r="E2824" t="s">
        <v>3138</v>
      </c>
      <c r="F2824" s="3">
        <v>46323.461495394338</v>
      </c>
      <c r="G2824" s="3">
        <v>46323.467023488069</v>
      </c>
      <c r="H2824">
        <v>7.96</v>
      </c>
      <c r="I2824" t="s">
        <v>3151</v>
      </c>
      <c r="J2824" t="s">
        <v>3170</v>
      </c>
      <c r="K2824" t="s">
        <v>3188</v>
      </c>
      <c r="L2824" t="str">
        <f>_xlfn.XLOOKUP(C2824,[1]!Table1[Shift_ID],[1]!Table1[Shift_ID])</f>
        <v>S01</v>
      </c>
      <c r="M2824" t="str">
        <f>_xlfn.XLOOKUP(D2824,[2]!Table1[Machine_ID],[2]!Table1[Machine_ID])</f>
        <v>M001</v>
      </c>
      <c r="N2824" t="str">
        <f>_xlfn.XLOOKUP(E2824,[3]Sheet1!$A$2:$A$391,[3]Sheet1!$A$2:$A$391)</f>
        <v>PO10188</v>
      </c>
    </row>
    <row r="2825" spans="1:14" x14ac:dyDescent="0.2">
      <c r="A2825" t="s">
        <v>2834</v>
      </c>
      <c r="B2825" s="2">
        <v>46323</v>
      </c>
      <c r="C2825" t="s">
        <v>2940</v>
      </c>
      <c r="D2825" t="s">
        <v>2943</v>
      </c>
      <c r="E2825" t="s">
        <v>3138</v>
      </c>
      <c r="F2825" s="3">
        <v>46323.362206787097</v>
      </c>
      <c r="G2825" s="3">
        <v>46323.364126303422</v>
      </c>
      <c r="H2825">
        <v>2.76</v>
      </c>
      <c r="I2825" t="s">
        <v>3150</v>
      </c>
      <c r="J2825" t="s">
        <v>3163</v>
      </c>
      <c r="K2825" t="s">
        <v>3178</v>
      </c>
      <c r="L2825" t="str">
        <f>_xlfn.XLOOKUP(C2825,[1]!Table1[Shift_ID],[1]!Table1[Shift_ID])</f>
        <v>S01</v>
      </c>
      <c r="M2825" t="str">
        <f>_xlfn.XLOOKUP(D2825,[2]!Table1[Machine_ID],[2]!Table1[Machine_ID])</f>
        <v>M002</v>
      </c>
      <c r="N2825" t="str">
        <f>_xlfn.XLOOKUP(E2825,[3]Sheet1!$A$2:$A$391,[3]Sheet1!$A$2:$A$391)</f>
        <v>PO10188</v>
      </c>
    </row>
    <row r="2826" spans="1:14" x14ac:dyDescent="0.2">
      <c r="A2826" t="s">
        <v>2835</v>
      </c>
      <c r="B2826" s="2">
        <v>46323</v>
      </c>
      <c r="C2826" t="s">
        <v>2940</v>
      </c>
      <c r="D2826" t="s">
        <v>2943</v>
      </c>
      <c r="E2826" t="s">
        <v>3138</v>
      </c>
      <c r="F2826" s="3">
        <v>46323.412577618663</v>
      </c>
      <c r="G2826" s="3">
        <v>46323.418671400257</v>
      </c>
      <c r="H2826">
        <v>8.7799999999999994</v>
      </c>
      <c r="I2826" t="s">
        <v>3149</v>
      </c>
      <c r="J2826" t="s">
        <v>3162</v>
      </c>
      <c r="K2826" t="s">
        <v>3184</v>
      </c>
      <c r="L2826" t="str">
        <f>_xlfn.XLOOKUP(C2826,[1]!Table1[Shift_ID],[1]!Table1[Shift_ID])</f>
        <v>S01</v>
      </c>
      <c r="M2826" t="str">
        <f>_xlfn.XLOOKUP(D2826,[2]!Table1[Machine_ID],[2]!Table1[Machine_ID])</f>
        <v>M002</v>
      </c>
      <c r="N2826" t="str">
        <f>_xlfn.XLOOKUP(E2826,[3]Sheet1!$A$2:$A$391,[3]Sheet1!$A$2:$A$391)</f>
        <v>PO10188</v>
      </c>
    </row>
    <row r="2827" spans="1:14" x14ac:dyDescent="0.2">
      <c r="A2827" t="s">
        <v>2836</v>
      </c>
      <c r="B2827" s="2">
        <v>46323</v>
      </c>
      <c r="C2827" t="s">
        <v>2940</v>
      </c>
      <c r="D2827" t="s">
        <v>2943</v>
      </c>
      <c r="E2827" t="s">
        <v>3138</v>
      </c>
      <c r="F2827" s="3">
        <v>46323.492402036944</v>
      </c>
      <c r="G2827" s="3">
        <v>46323.494321553262</v>
      </c>
      <c r="H2827">
        <v>2.76</v>
      </c>
      <c r="I2827" t="s">
        <v>3148</v>
      </c>
      <c r="J2827" t="s">
        <v>3164</v>
      </c>
      <c r="K2827" t="s">
        <v>3173</v>
      </c>
      <c r="L2827" t="str">
        <f>_xlfn.XLOOKUP(C2827,[1]!Table1[Shift_ID],[1]!Table1[Shift_ID])</f>
        <v>S01</v>
      </c>
      <c r="M2827" t="str">
        <f>_xlfn.XLOOKUP(D2827,[2]!Table1[Machine_ID],[2]!Table1[Machine_ID])</f>
        <v>M002</v>
      </c>
      <c r="N2827" t="str">
        <f>_xlfn.XLOOKUP(E2827,[3]Sheet1!$A$2:$A$391,[3]Sheet1!$A$2:$A$391)</f>
        <v>PO10188</v>
      </c>
    </row>
    <row r="2828" spans="1:14" x14ac:dyDescent="0.2">
      <c r="A2828" t="s">
        <v>2837</v>
      </c>
      <c r="B2828" s="2">
        <v>46323</v>
      </c>
      <c r="C2828" t="s">
        <v>2940</v>
      </c>
      <c r="D2828" t="s">
        <v>2944</v>
      </c>
      <c r="E2828" t="s">
        <v>3138</v>
      </c>
      <c r="F2828" s="3">
        <v>46323.390536038787</v>
      </c>
      <c r="G2828" s="3">
        <v>46323.404776243231</v>
      </c>
      <c r="H2828">
        <v>20.51</v>
      </c>
      <c r="I2828" t="s">
        <v>3151</v>
      </c>
      <c r="J2828" t="s">
        <v>3170</v>
      </c>
      <c r="K2828" t="s">
        <v>3188</v>
      </c>
      <c r="L2828" t="str">
        <f>_xlfn.XLOOKUP(C2828,[1]!Table1[Shift_ID],[1]!Table1[Shift_ID])</f>
        <v>S01</v>
      </c>
      <c r="M2828" t="str">
        <f>_xlfn.XLOOKUP(D2828,[2]!Table1[Machine_ID],[2]!Table1[Machine_ID])</f>
        <v>M003</v>
      </c>
      <c r="N2828" t="str">
        <f>_xlfn.XLOOKUP(E2828,[3]Sheet1!$A$2:$A$391,[3]Sheet1!$A$2:$A$391)</f>
        <v>PO10188</v>
      </c>
    </row>
    <row r="2829" spans="1:14" x14ac:dyDescent="0.2">
      <c r="A2829" t="s">
        <v>2838</v>
      </c>
      <c r="B2829" s="2">
        <v>46323</v>
      </c>
      <c r="C2829" t="s">
        <v>2940</v>
      </c>
      <c r="D2829" t="s">
        <v>2945</v>
      </c>
      <c r="E2829" t="s">
        <v>3138</v>
      </c>
      <c r="F2829" s="3">
        <v>46323.300667678297</v>
      </c>
      <c r="G2829" s="3">
        <v>46323.309804341647</v>
      </c>
      <c r="H2829">
        <v>13.16</v>
      </c>
      <c r="I2829" t="s">
        <v>3149</v>
      </c>
      <c r="J2829" t="s">
        <v>3158</v>
      </c>
      <c r="K2829" t="s">
        <v>3184</v>
      </c>
      <c r="L2829" t="str">
        <f>_xlfn.XLOOKUP(C2829,[1]!Table1[Shift_ID],[1]!Table1[Shift_ID])</f>
        <v>S01</v>
      </c>
      <c r="M2829" t="str">
        <f>_xlfn.XLOOKUP(D2829,[2]!Table1[Machine_ID],[2]!Table1[Machine_ID])</f>
        <v>M004</v>
      </c>
      <c r="N2829" t="str">
        <f>_xlfn.XLOOKUP(E2829,[3]Sheet1!$A$2:$A$391,[3]Sheet1!$A$2:$A$391)</f>
        <v>PO10188</v>
      </c>
    </row>
    <row r="2830" spans="1:14" x14ac:dyDescent="0.2">
      <c r="A2830" t="s">
        <v>2839</v>
      </c>
      <c r="B2830" s="2">
        <v>46323</v>
      </c>
      <c r="C2830" t="s">
        <v>2940</v>
      </c>
      <c r="D2830" t="s">
        <v>2946</v>
      </c>
      <c r="E2830" t="s">
        <v>3138</v>
      </c>
      <c r="F2830" s="3">
        <v>46323.337284626563</v>
      </c>
      <c r="G2830" s="3">
        <v>46323.342001468482</v>
      </c>
      <c r="H2830">
        <v>6.79</v>
      </c>
      <c r="I2830" t="s">
        <v>3146</v>
      </c>
      <c r="J2830" t="s">
        <v>3156</v>
      </c>
      <c r="K2830" t="s">
        <v>3174</v>
      </c>
      <c r="L2830" t="str">
        <f>_xlfn.XLOOKUP(C2830,[1]!Table1[Shift_ID],[1]!Table1[Shift_ID])</f>
        <v>S01</v>
      </c>
      <c r="M2830" t="str">
        <f>_xlfn.XLOOKUP(D2830,[2]!Table1[Machine_ID],[2]!Table1[Machine_ID])</f>
        <v>M005</v>
      </c>
      <c r="N2830" t="str">
        <f>_xlfn.XLOOKUP(E2830,[3]Sheet1!$A$2:$A$391,[3]Sheet1!$A$2:$A$391)</f>
        <v>PO10188</v>
      </c>
    </row>
    <row r="2831" spans="1:14" x14ac:dyDescent="0.2">
      <c r="A2831" t="s">
        <v>2840</v>
      </c>
      <c r="B2831" s="2">
        <v>46323</v>
      </c>
      <c r="C2831" t="s">
        <v>2940</v>
      </c>
      <c r="D2831" t="s">
        <v>2946</v>
      </c>
      <c r="E2831" t="s">
        <v>3138</v>
      </c>
      <c r="F2831" s="3">
        <v>46323.345801576252</v>
      </c>
      <c r="G2831" s="3">
        <v>46323.347806056503</v>
      </c>
      <c r="H2831">
        <v>2.89</v>
      </c>
      <c r="I2831" t="s">
        <v>3147</v>
      </c>
      <c r="J2831" t="s">
        <v>3154</v>
      </c>
      <c r="K2831" t="s">
        <v>3186</v>
      </c>
      <c r="L2831" t="str">
        <f>_xlfn.XLOOKUP(C2831,[1]!Table1[Shift_ID],[1]!Table1[Shift_ID])</f>
        <v>S01</v>
      </c>
      <c r="M2831" t="str">
        <f>_xlfn.XLOOKUP(D2831,[2]!Table1[Machine_ID],[2]!Table1[Machine_ID])</f>
        <v>M005</v>
      </c>
      <c r="N2831" t="str">
        <f>_xlfn.XLOOKUP(E2831,[3]Sheet1!$A$2:$A$391,[3]Sheet1!$A$2:$A$391)</f>
        <v>PO10188</v>
      </c>
    </row>
    <row r="2832" spans="1:14" x14ac:dyDescent="0.2">
      <c r="A2832" t="s">
        <v>2841</v>
      </c>
      <c r="B2832" s="2">
        <v>46323</v>
      </c>
      <c r="C2832" t="s">
        <v>2940</v>
      </c>
      <c r="D2832" t="s">
        <v>2946</v>
      </c>
      <c r="E2832" t="s">
        <v>3138</v>
      </c>
      <c r="F2832" s="3">
        <v>46323.420116333909</v>
      </c>
      <c r="G2832" s="3">
        <v>46323.422940641918</v>
      </c>
      <c r="H2832">
        <v>4.07</v>
      </c>
      <c r="I2832" t="s">
        <v>3149</v>
      </c>
      <c r="J2832" t="s">
        <v>3158</v>
      </c>
      <c r="K2832" t="s">
        <v>3176</v>
      </c>
      <c r="L2832" t="str">
        <f>_xlfn.XLOOKUP(C2832,[1]!Table1[Shift_ID],[1]!Table1[Shift_ID])</f>
        <v>S01</v>
      </c>
      <c r="M2832" t="str">
        <f>_xlfn.XLOOKUP(D2832,[2]!Table1[Machine_ID],[2]!Table1[Machine_ID])</f>
        <v>M005</v>
      </c>
      <c r="N2832" t="str">
        <f>_xlfn.XLOOKUP(E2832,[3]Sheet1!$A$2:$A$391,[3]Sheet1!$A$2:$A$391)</f>
        <v>PO10188</v>
      </c>
    </row>
    <row r="2833" spans="1:14" x14ac:dyDescent="0.2">
      <c r="A2833" t="s">
        <v>2842</v>
      </c>
      <c r="B2833" s="2">
        <v>46323</v>
      </c>
      <c r="C2833" t="s">
        <v>2940</v>
      </c>
      <c r="D2833" t="s">
        <v>2947</v>
      </c>
      <c r="E2833" t="s">
        <v>3138</v>
      </c>
      <c r="F2833" s="3">
        <v>46323.312914285692</v>
      </c>
      <c r="G2833" s="3">
        <v>46323.334081585483</v>
      </c>
      <c r="H2833">
        <v>30.48</v>
      </c>
      <c r="I2833" t="s">
        <v>3151</v>
      </c>
      <c r="J2833" t="s">
        <v>3161</v>
      </c>
      <c r="K2833" t="s">
        <v>3188</v>
      </c>
      <c r="L2833" t="str">
        <f>_xlfn.XLOOKUP(C2833,[1]!Table1[Shift_ID],[1]!Table1[Shift_ID])</f>
        <v>S01</v>
      </c>
      <c r="M2833" t="str">
        <f>_xlfn.XLOOKUP(D2833,[2]!Table1[Machine_ID],[2]!Table1[Machine_ID])</f>
        <v>M006</v>
      </c>
      <c r="N2833" t="str">
        <f>_xlfn.XLOOKUP(E2833,[3]Sheet1!$A$2:$A$391,[3]Sheet1!$A$2:$A$391)</f>
        <v>PO10188</v>
      </c>
    </row>
    <row r="2834" spans="1:14" x14ac:dyDescent="0.2">
      <c r="A2834" t="s">
        <v>2843</v>
      </c>
      <c r="B2834" s="2">
        <v>46323</v>
      </c>
      <c r="C2834" t="s">
        <v>2940</v>
      </c>
      <c r="D2834" t="s">
        <v>2948</v>
      </c>
      <c r="E2834" t="s">
        <v>3138</v>
      </c>
      <c r="F2834" s="3">
        <v>46323.456294764488</v>
      </c>
      <c r="G2834" s="3">
        <v>46323.462550679084</v>
      </c>
      <c r="H2834">
        <v>9.01</v>
      </c>
      <c r="I2834" t="s">
        <v>3148</v>
      </c>
      <c r="J2834" t="s">
        <v>3155</v>
      </c>
      <c r="K2834" t="s">
        <v>3183</v>
      </c>
      <c r="L2834" t="str">
        <f>_xlfn.XLOOKUP(C2834,[1]!Table1[Shift_ID],[1]!Table1[Shift_ID])</f>
        <v>S01</v>
      </c>
      <c r="M2834" t="str">
        <f>_xlfn.XLOOKUP(D2834,[2]!Table1[Machine_ID],[2]!Table1[Machine_ID])</f>
        <v>M007</v>
      </c>
      <c r="N2834" t="str">
        <f>_xlfn.XLOOKUP(E2834,[3]Sheet1!$A$2:$A$391,[3]Sheet1!$A$2:$A$391)</f>
        <v>PO10188</v>
      </c>
    </row>
    <row r="2835" spans="1:14" x14ac:dyDescent="0.2">
      <c r="A2835" t="s">
        <v>2844</v>
      </c>
      <c r="B2835" s="2">
        <v>46323</v>
      </c>
      <c r="C2835" t="s">
        <v>2940</v>
      </c>
      <c r="D2835" t="s">
        <v>2948</v>
      </c>
      <c r="E2835" t="s">
        <v>3138</v>
      </c>
      <c r="F2835" s="3">
        <v>46323.57362544912</v>
      </c>
      <c r="G2835" s="3">
        <v>46323.579468669654</v>
      </c>
      <c r="H2835">
        <v>8.41</v>
      </c>
      <c r="I2835" t="s">
        <v>3147</v>
      </c>
      <c r="J2835" t="s">
        <v>3154</v>
      </c>
      <c r="K2835" t="s">
        <v>3186</v>
      </c>
      <c r="L2835" t="str">
        <f>_xlfn.XLOOKUP(C2835,[1]!Table1[Shift_ID],[1]!Table1[Shift_ID])</f>
        <v>S01</v>
      </c>
      <c r="M2835" t="str">
        <f>_xlfn.XLOOKUP(D2835,[2]!Table1[Machine_ID],[2]!Table1[Machine_ID])</f>
        <v>M007</v>
      </c>
      <c r="N2835" t="str">
        <f>_xlfn.XLOOKUP(E2835,[3]Sheet1!$A$2:$A$391,[3]Sheet1!$A$2:$A$391)</f>
        <v>PO10188</v>
      </c>
    </row>
    <row r="2836" spans="1:14" x14ac:dyDescent="0.2">
      <c r="A2836" t="s">
        <v>2845</v>
      </c>
      <c r="B2836" s="2">
        <v>46323</v>
      </c>
      <c r="C2836" t="s">
        <v>2940</v>
      </c>
      <c r="D2836" t="s">
        <v>2949</v>
      </c>
      <c r="E2836" t="s">
        <v>3138</v>
      </c>
      <c r="F2836" s="3">
        <v>46323.293541746127</v>
      </c>
      <c r="G2836" s="3">
        <v>46323.295294934404</v>
      </c>
      <c r="H2836">
        <v>2.52</v>
      </c>
      <c r="I2836" t="s">
        <v>3148</v>
      </c>
      <c r="J2836" t="s">
        <v>3164</v>
      </c>
      <c r="K2836" t="s">
        <v>3180</v>
      </c>
      <c r="L2836" t="str">
        <f>_xlfn.XLOOKUP(C2836,[1]!Table1[Shift_ID],[1]!Table1[Shift_ID])</f>
        <v>S01</v>
      </c>
      <c r="M2836" t="str">
        <f>_xlfn.XLOOKUP(D2836,[2]!Table1[Machine_ID],[2]!Table1[Machine_ID])</f>
        <v>M008</v>
      </c>
      <c r="N2836" t="str">
        <f>_xlfn.XLOOKUP(E2836,[3]Sheet1!$A$2:$A$391,[3]Sheet1!$A$2:$A$391)</f>
        <v>PO10188</v>
      </c>
    </row>
    <row r="2837" spans="1:14" x14ac:dyDescent="0.2">
      <c r="A2837" t="s">
        <v>2846</v>
      </c>
      <c r="B2837" s="2">
        <v>46323</v>
      </c>
      <c r="C2837" t="s">
        <v>2940</v>
      </c>
      <c r="D2837" t="s">
        <v>2949</v>
      </c>
      <c r="E2837" t="s">
        <v>3138</v>
      </c>
      <c r="F2837" s="3">
        <v>46323.455815845853</v>
      </c>
      <c r="G2837" s="3">
        <v>46323.459362680172</v>
      </c>
      <c r="H2837">
        <v>5.1100000000000003</v>
      </c>
      <c r="I2837" t="s">
        <v>3148</v>
      </c>
      <c r="J2837" t="s">
        <v>3165</v>
      </c>
      <c r="K2837" t="s">
        <v>3173</v>
      </c>
      <c r="L2837" t="str">
        <f>_xlfn.XLOOKUP(C2837,[1]!Table1[Shift_ID],[1]!Table1[Shift_ID])</f>
        <v>S01</v>
      </c>
      <c r="M2837" t="str">
        <f>_xlfn.XLOOKUP(D2837,[2]!Table1[Machine_ID],[2]!Table1[Machine_ID])</f>
        <v>M008</v>
      </c>
      <c r="N2837" t="str">
        <f>_xlfn.XLOOKUP(E2837,[3]Sheet1!$A$2:$A$391,[3]Sheet1!$A$2:$A$391)</f>
        <v>PO10188</v>
      </c>
    </row>
    <row r="2838" spans="1:14" x14ac:dyDescent="0.2">
      <c r="A2838" t="s">
        <v>2847</v>
      </c>
      <c r="B2838" s="2">
        <v>46323</v>
      </c>
      <c r="C2838" t="s">
        <v>2941</v>
      </c>
      <c r="D2838" t="s">
        <v>2942</v>
      </c>
      <c r="E2838" t="s">
        <v>3139</v>
      </c>
      <c r="F2838" s="3">
        <v>46323.78738579162</v>
      </c>
      <c r="G2838" s="3">
        <v>46323.795348192863</v>
      </c>
      <c r="H2838">
        <v>11.47</v>
      </c>
      <c r="I2838" t="s">
        <v>3149</v>
      </c>
      <c r="J2838" t="s">
        <v>3162</v>
      </c>
      <c r="K2838" t="s">
        <v>3182</v>
      </c>
      <c r="L2838" t="str">
        <f>_xlfn.XLOOKUP(C2838,[1]!Table1[Shift_ID],[1]!Table1[Shift_ID])</f>
        <v>S02</v>
      </c>
      <c r="M2838" t="str">
        <f>_xlfn.XLOOKUP(D2838,[2]!Table1[Machine_ID],[2]!Table1[Machine_ID])</f>
        <v>M001</v>
      </c>
      <c r="N2838" t="str">
        <f>_xlfn.XLOOKUP(E2838,[3]Sheet1!$A$2:$A$391,[3]Sheet1!$A$2:$A$391)</f>
        <v>PO10189</v>
      </c>
    </row>
    <row r="2839" spans="1:14" x14ac:dyDescent="0.2">
      <c r="A2839" t="s">
        <v>2848</v>
      </c>
      <c r="B2839" s="2">
        <v>46323</v>
      </c>
      <c r="C2839" t="s">
        <v>2941</v>
      </c>
      <c r="D2839" t="s">
        <v>2943</v>
      </c>
      <c r="E2839" t="s">
        <v>3139</v>
      </c>
      <c r="F2839" s="3">
        <v>46323.629345073379</v>
      </c>
      <c r="G2839" s="3">
        <v>46323.641651434118</v>
      </c>
      <c r="H2839">
        <v>17.72</v>
      </c>
      <c r="I2839" t="s">
        <v>3150</v>
      </c>
      <c r="J2839" t="s">
        <v>3160</v>
      </c>
      <c r="K2839" t="s">
        <v>3179</v>
      </c>
      <c r="L2839" t="str">
        <f>_xlfn.XLOOKUP(C2839,[1]!Table1[Shift_ID],[1]!Table1[Shift_ID])</f>
        <v>S02</v>
      </c>
      <c r="M2839" t="str">
        <f>_xlfn.XLOOKUP(D2839,[2]!Table1[Machine_ID],[2]!Table1[Machine_ID])</f>
        <v>M002</v>
      </c>
      <c r="N2839" t="str">
        <f>_xlfn.XLOOKUP(E2839,[3]Sheet1!$A$2:$A$391,[3]Sheet1!$A$2:$A$391)</f>
        <v>PO10189</v>
      </c>
    </row>
    <row r="2840" spans="1:14" x14ac:dyDescent="0.2">
      <c r="A2840" t="s">
        <v>2849</v>
      </c>
      <c r="B2840" s="2">
        <v>46323</v>
      </c>
      <c r="C2840" t="s">
        <v>2941</v>
      </c>
      <c r="D2840" t="s">
        <v>2944</v>
      </c>
      <c r="E2840" t="s">
        <v>3139</v>
      </c>
      <c r="F2840" s="3">
        <v>46323.652266017387</v>
      </c>
      <c r="G2840" s="3">
        <v>46323.65573213523</v>
      </c>
      <c r="H2840">
        <v>4.99</v>
      </c>
      <c r="I2840" t="s">
        <v>3150</v>
      </c>
      <c r="J2840" t="s">
        <v>3160</v>
      </c>
      <c r="K2840" t="s">
        <v>3179</v>
      </c>
      <c r="L2840" t="str">
        <f>_xlfn.XLOOKUP(C2840,[1]!Table1[Shift_ID],[1]!Table1[Shift_ID])</f>
        <v>S02</v>
      </c>
      <c r="M2840" t="str">
        <f>_xlfn.XLOOKUP(D2840,[2]!Table1[Machine_ID],[2]!Table1[Machine_ID])</f>
        <v>M003</v>
      </c>
      <c r="N2840" t="str">
        <f>_xlfn.XLOOKUP(E2840,[3]Sheet1!$A$2:$A$391,[3]Sheet1!$A$2:$A$391)</f>
        <v>PO10189</v>
      </c>
    </row>
    <row r="2841" spans="1:14" x14ac:dyDescent="0.2">
      <c r="A2841" t="s">
        <v>2850</v>
      </c>
      <c r="B2841" s="2">
        <v>46323</v>
      </c>
      <c r="C2841" t="s">
        <v>2941</v>
      </c>
      <c r="D2841" t="s">
        <v>2944</v>
      </c>
      <c r="E2841" t="s">
        <v>3139</v>
      </c>
      <c r="F2841" s="3">
        <v>46323.68598489221</v>
      </c>
      <c r="G2841" s="3">
        <v>46323.68774073197</v>
      </c>
      <c r="H2841">
        <v>2.5299999999999998</v>
      </c>
      <c r="I2841" t="s">
        <v>3146</v>
      </c>
      <c r="J2841" t="s">
        <v>3156</v>
      </c>
      <c r="K2841" t="s">
        <v>3175</v>
      </c>
      <c r="L2841" t="str">
        <f>_xlfn.XLOOKUP(C2841,[1]!Table1[Shift_ID],[1]!Table1[Shift_ID])</f>
        <v>S02</v>
      </c>
      <c r="M2841" t="str">
        <f>_xlfn.XLOOKUP(D2841,[2]!Table1[Machine_ID],[2]!Table1[Machine_ID])</f>
        <v>M003</v>
      </c>
      <c r="N2841" t="str">
        <f>_xlfn.XLOOKUP(E2841,[3]Sheet1!$A$2:$A$391,[3]Sheet1!$A$2:$A$391)</f>
        <v>PO10189</v>
      </c>
    </row>
    <row r="2842" spans="1:14" x14ac:dyDescent="0.2">
      <c r="A2842" t="s">
        <v>2851</v>
      </c>
      <c r="B2842" s="2">
        <v>46323</v>
      </c>
      <c r="C2842" t="s">
        <v>2941</v>
      </c>
      <c r="D2842" t="s">
        <v>2944</v>
      </c>
      <c r="E2842" t="s">
        <v>3139</v>
      </c>
      <c r="F2842" s="3">
        <v>46323.723452356637</v>
      </c>
      <c r="G2842" s="3">
        <v>46323.728369146251</v>
      </c>
      <c r="H2842">
        <v>7.08</v>
      </c>
      <c r="I2842" t="s">
        <v>3149</v>
      </c>
      <c r="J2842" t="s">
        <v>3158</v>
      </c>
      <c r="K2842" t="s">
        <v>3182</v>
      </c>
      <c r="L2842" t="str">
        <f>_xlfn.XLOOKUP(C2842,[1]!Table1[Shift_ID],[1]!Table1[Shift_ID])</f>
        <v>S02</v>
      </c>
      <c r="M2842" t="str">
        <f>_xlfn.XLOOKUP(D2842,[2]!Table1[Machine_ID],[2]!Table1[Machine_ID])</f>
        <v>M003</v>
      </c>
      <c r="N2842" t="str">
        <f>_xlfn.XLOOKUP(E2842,[3]Sheet1!$A$2:$A$391,[3]Sheet1!$A$2:$A$391)</f>
        <v>PO10189</v>
      </c>
    </row>
    <row r="2843" spans="1:14" x14ac:dyDescent="0.2">
      <c r="A2843" t="s">
        <v>2852</v>
      </c>
      <c r="B2843" s="2">
        <v>46323</v>
      </c>
      <c r="C2843" t="s">
        <v>2941</v>
      </c>
      <c r="D2843" t="s">
        <v>2945</v>
      </c>
      <c r="E2843" t="s">
        <v>3139</v>
      </c>
      <c r="F2843" s="3">
        <v>46323.728168936577</v>
      </c>
      <c r="G2843" s="3">
        <v>46323.736596523828</v>
      </c>
      <c r="H2843">
        <v>12.14</v>
      </c>
      <c r="I2843" t="s">
        <v>3149</v>
      </c>
      <c r="J2843" t="s">
        <v>3162</v>
      </c>
      <c r="K2843" t="s">
        <v>3182</v>
      </c>
      <c r="L2843" t="str">
        <f>_xlfn.XLOOKUP(C2843,[1]!Table1[Shift_ID],[1]!Table1[Shift_ID])</f>
        <v>S02</v>
      </c>
      <c r="M2843" t="str">
        <f>_xlfn.XLOOKUP(D2843,[2]!Table1[Machine_ID],[2]!Table1[Machine_ID])</f>
        <v>M004</v>
      </c>
      <c r="N2843" t="str">
        <f>_xlfn.XLOOKUP(E2843,[3]Sheet1!$A$2:$A$391,[3]Sheet1!$A$2:$A$391)</f>
        <v>PO10189</v>
      </c>
    </row>
    <row r="2844" spans="1:14" x14ac:dyDescent="0.2">
      <c r="A2844" t="s">
        <v>2853</v>
      </c>
      <c r="B2844" s="2">
        <v>46323</v>
      </c>
      <c r="C2844" t="s">
        <v>2941</v>
      </c>
      <c r="D2844" t="s">
        <v>2945</v>
      </c>
      <c r="E2844" t="s">
        <v>3139</v>
      </c>
      <c r="F2844" s="3">
        <v>46323.763661702716</v>
      </c>
      <c r="G2844" s="3">
        <v>46323.76543464337</v>
      </c>
      <c r="H2844">
        <v>2.5499999999999998</v>
      </c>
      <c r="I2844" t="s">
        <v>3149</v>
      </c>
      <c r="J2844" t="s">
        <v>3168</v>
      </c>
      <c r="K2844" t="s">
        <v>3176</v>
      </c>
      <c r="L2844" t="str">
        <f>_xlfn.XLOOKUP(C2844,[1]!Table1[Shift_ID],[1]!Table1[Shift_ID])</f>
        <v>S02</v>
      </c>
      <c r="M2844" t="str">
        <f>_xlfn.XLOOKUP(D2844,[2]!Table1[Machine_ID],[2]!Table1[Machine_ID])</f>
        <v>M004</v>
      </c>
      <c r="N2844" t="str">
        <f>_xlfn.XLOOKUP(E2844,[3]Sheet1!$A$2:$A$391,[3]Sheet1!$A$2:$A$391)</f>
        <v>PO10189</v>
      </c>
    </row>
    <row r="2845" spans="1:14" x14ac:dyDescent="0.2">
      <c r="A2845" t="s">
        <v>2854</v>
      </c>
      <c r="B2845" s="2">
        <v>46323</v>
      </c>
      <c r="C2845" t="s">
        <v>2941</v>
      </c>
      <c r="D2845" t="s">
        <v>2946</v>
      </c>
      <c r="E2845" t="s">
        <v>3139</v>
      </c>
      <c r="F2845" s="3">
        <v>46323.592327114267</v>
      </c>
      <c r="G2845" s="3">
        <v>46323.594825076478</v>
      </c>
      <c r="H2845">
        <v>3.6</v>
      </c>
      <c r="I2845" t="s">
        <v>3150</v>
      </c>
      <c r="J2845" t="s">
        <v>3160</v>
      </c>
      <c r="K2845" t="s">
        <v>3178</v>
      </c>
      <c r="L2845" t="str">
        <f>_xlfn.XLOOKUP(C2845,[1]!Table1[Shift_ID],[1]!Table1[Shift_ID])</f>
        <v>S02</v>
      </c>
      <c r="M2845" t="str">
        <f>_xlfn.XLOOKUP(D2845,[2]!Table1[Machine_ID],[2]!Table1[Machine_ID])</f>
        <v>M005</v>
      </c>
      <c r="N2845" t="str">
        <f>_xlfn.XLOOKUP(E2845,[3]Sheet1!$A$2:$A$391,[3]Sheet1!$A$2:$A$391)</f>
        <v>PO10189</v>
      </c>
    </row>
    <row r="2846" spans="1:14" x14ac:dyDescent="0.2">
      <c r="A2846" t="s">
        <v>2855</v>
      </c>
      <c r="B2846" s="2">
        <v>46323</v>
      </c>
      <c r="C2846" t="s">
        <v>2941</v>
      </c>
      <c r="D2846" t="s">
        <v>2946</v>
      </c>
      <c r="E2846" t="s">
        <v>3139</v>
      </c>
      <c r="F2846" s="3">
        <v>46323.840911215397</v>
      </c>
      <c r="G2846" s="3">
        <v>46323.84683946288</v>
      </c>
      <c r="H2846">
        <v>8.5399999999999991</v>
      </c>
      <c r="I2846" t="s">
        <v>3149</v>
      </c>
      <c r="J2846" t="s">
        <v>3158</v>
      </c>
      <c r="K2846" t="s">
        <v>3184</v>
      </c>
      <c r="L2846" t="str">
        <f>_xlfn.XLOOKUP(C2846,[1]!Table1[Shift_ID],[1]!Table1[Shift_ID])</f>
        <v>S02</v>
      </c>
      <c r="M2846" t="str">
        <f>_xlfn.XLOOKUP(D2846,[2]!Table1[Machine_ID],[2]!Table1[Machine_ID])</f>
        <v>M005</v>
      </c>
      <c r="N2846" t="str">
        <f>_xlfn.XLOOKUP(E2846,[3]Sheet1!$A$2:$A$391,[3]Sheet1!$A$2:$A$391)</f>
        <v>PO10189</v>
      </c>
    </row>
    <row r="2847" spans="1:14" x14ac:dyDescent="0.2">
      <c r="A2847" t="s">
        <v>2856</v>
      </c>
      <c r="B2847" s="2">
        <v>46323</v>
      </c>
      <c r="C2847" t="s">
        <v>2941</v>
      </c>
      <c r="D2847" t="s">
        <v>2946</v>
      </c>
      <c r="E2847" t="s">
        <v>3139</v>
      </c>
      <c r="F2847" s="3">
        <v>46323.90247738058</v>
      </c>
      <c r="G2847" s="3">
        <v>46323.904240967167</v>
      </c>
      <c r="H2847">
        <v>2.54</v>
      </c>
      <c r="I2847" t="s">
        <v>3147</v>
      </c>
      <c r="J2847" t="s">
        <v>3153</v>
      </c>
      <c r="K2847" t="s">
        <v>3186</v>
      </c>
      <c r="L2847" t="str">
        <f>_xlfn.XLOOKUP(C2847,[1]!Table1[Shift_ID],[1]!Table1[Shift_ID])</f>
        <v>S02</v>
      </c>
      <c r="M2847" t="str">
        <f>_xlfn.XLOOKUP(D2847,[2]!Table1[Machine_ID],[2]!Table1[Machine_ID])</f>
        <v>M005</v>
      </c>
      <c r="N2847" t="str">
        <f>_xlfn.XLOOKUP(E2847,[3]Sheet1!$A$2:$A$391,[3]Sheet1!$A$2:$A$391)</f>
        <v>PO10189</v>
      </c>
    </row>
    <row r="2848" spans="1:14" x14ac:dyDescent="0.2">
      <c r="A2848" t="s">
        <v>2857</v>
      </c>
      <c r="B2848" s="2">
        <v>46323</v>
      </c>
      <c r="C2848" t="s">
        <v>2941</v>
      </c>
      <c r="D2848" t="s">
        <v>2947</v>
      </c>
      <c r="E2848" t="s">
        <v>3139</v>
      </c>
      <c r="F2848" s="3">
        <v>46323.600659264863</v>
      </c>
      <c r="G2848" s="3">
        <v>46323.62040395756</v>
      </c>
      <c r="H2848">
        <v>28.43</v>
      </c>
      <c r="I2848" t="s">
        <v>3149</v>
      </c>
      <c r="J2848" t="s">
        <v>3158</v>
      </c>
      <c r="K2848" t="s">
        <v>3182</v>
      </c>
      <c r="L2848" t="str">
        <f>_xlfn.XLOOKUP(C2848,[1]!Table1[Shift_ID],[1]!Table1[Shift_ID])</f>
        <v>S02</v>
      </c>
      <c r="M2848" t="str">
        <f>_xlfn.XLOOKUP(D2848,[2]!Table1[Machine_ID],[2]!Table1[Machine_ID])</f>
        <v>M006</v>
      </c>
      <c r="N2848" t="str">
        <f>_xlfn.XLOOKUP(E2848,[3]Sheet1!$A$2:$A$391,[3]Sheet1!$A$2:$A$391)</f>
        <v>PO10189</v>
      </c>
    </row>
    <row r="2849" spans="1:14" x14ac:dyDescent="0.2">
      <c r="A2849" t="s">
        <v>2858</v>
      </c>
      <c r="B2849" s="2">
        <v>46323</v>
      </c>
      <c r="C2849" t="s">
        <v>2941</v>
      </c>
      <c r="D2849" t="s">
        <v>2947</v>
      </c>
      <c r="E2849" t="s">
        <v>3139</v>
      </c>
      <c r="F2849" s="3">
        <v>46323.634389285449</v>
      </c>
      <c r="G2849" s="3">
        <v>46323.643068203863</v>
      </c>
      <c r="H2849">
        <v>12.5</v>
      </c>
      <c r="I2849" t="s">
        <v>3150</v>
      </c>
      <c r="J2849" t="s">
        <v>3163</v>
      </c>
      <c r="K2849" t="s">
        <v>3177</v>
      </c>
      <c r="L2849" t="str">
        <f>_xlfn.XLOOKUP(C2849,[1]!Table1[Shift_ID],[1]!Table1[Shift_ID])</f>
        <v>S02</v>
      </c>
      <c r="M2849" t="str">
        <f>_xlfn.XLOOKUP(D2849,[2]!Table1[Machine_ID],[2]!Table1[Machine_ID])</f>
        <v>M006</v>
      </c>
      <c r="N2849" t="str">
        <f>_xlfn.XLOOKUP(E2849,[3]Sheet1!$A$2:$A$391,[3]Sheet1!$A$2:$A$391)</f>
        <v>PO10189</v>
      </c>
    </row>
    <row r="2850" spans="1:14" x14ac:dyDescent="0.2">
      <c r="A2850" t="s">
        <v>2859</v>
      </c>
      <c r="B2850" s="2">
        <v>46323</v>
      </c>
      <c r="C2850" t="s">
        <v>2941</v>
      </c>
      <c r="D2850" t="s">
        <v>2948</v>
      </c>
      <c r="E2850" t="s">
        <v>3139</v>
      </c>
      <c r="F2850" s="3">
        <v>46323.590888267769</v>
      </c>
      <c r="G2850" s="3">
        <v>46323.607373784827</v>
      </c>
      <c r="H2850">
        <v>23.74</v>
      </c>
      <c r="I2850" t="s">
        <v>3147</v>
      </c>
      <c r="J2850" t="s">
        <v>3154</v>
      </c>
      <c r="K2850" t="s">
        <v>3186</v>
      </c>
      <c r="L2850" t="str">
        <f>_xlfn.XLOOKUP(C2850,[1]!Table1[Shift_ID],[1]!Table1[Shift_ID])</f>
        <v>S02</v>
      </c>
      <c r="M2850" t="str">
        <f>_xlfn.XLOOKUP(D2850,[2]!Table1[Machine_ID],[2]!Table1[Machine_ID])</f>
        <v>M007</v>
      </c>
      <c r="N2850" t="str">
        <f>_xlfn.XLOOKUP(E2850,[3]Sheet1!$A$2:$A$391,[3]Sheet1!$A$2:$A$391)</f>
        <v>PO10189</v>
      </c>
    </row>
    <row r="2851" spans="1:14" x14ac:dyDescent="0.2">
      <c r="A2851" t="s">
        <v>2860</v>
      </c>
      <c r="B2851" s="2">
        <v>46323</v>
      </c>
      <c r="C2851" t="s">
        <v>2941</v>
      </c>
      <c r="D2851" t="s">
        <v>2949</v>
      </c>
      <c r="E2851" t="s">
        <v>3139</v>
      </c>
      <c r="F2851" s="3">
        <v>46323.58825490022</v>
      </c>
      <c r="G2851" s="3">
        <v>46323.597317302272</v>
      </c>
      <c r="H2851">
        <v>13.05</v>
      </c>
      <c r="I2851" t="s">
        <v>3148</v>
      </c>
      <c r="J2851" t="s">
        <v>3155</v>
      </c>
      <c r="K2851" t="s">
        <v>3173</v>
      </c>
      <c r="L2851" t="str">
        <f>_xlfn.XLOOKUP(C2851,[1]!Table1[Shift_ID],[1]!Table1[Shift_ID])</f>
        <v>S02</v>
      </c>
      <c r="M2851" t="str">
        <f>_xlfn.XLOOKUP(D2851,[2]!Table1[Machine_ID],[2]!Table1[Machine_ID])</f>
        <v>M008</v>
      </c>
      <c r="N2851" t="str">
        <f>_xlfn.XLOOKUP(E2851,[3]Sheet1!$A$2:$A$391,[3]Sheet1!$A$2:$A$391)</f>
        <v>PO10189</v>
      </c>
    </row>
    <row r="2852" spans="1:14" x14ac:dyDescent="0.2">
      <c r="A2852" t="s">
        <v>2861</v>
      </c>
      <c r="B2852" s="2">
        <v>46324</v>
      </c>
      <c r="C2852" t="s">
        <v>2939</v>
      </c>
      <c r="D2852" t="s">
        <v>2942</v>
      </c>
      <c r="E2852" t="s">
        <v>3140</v>
      </c>
      <c r="F2852" s="3">
        <v>46325.012502335747</v>
      </c>
      <c r="G2852" s="3">
        <v>46325.02122551178</v>
      </c>
      <c r="H2852">
        <v>12.56</v>
      </c>
      <c r="I2852" t="s">
        <v>3149</v>
      </c>
      <c r="J2852" t="s">
        <v>3162</v>
      </c>
      <c r="K2852" t="s">
        <v>3176</v>
      </c>
      <c r="L2852" t="str">
        <f>_xlfn.XLOOKUP(C2852,[1]!Table1[Shift_ID],[1]!Table1[Shift_ID])</f>
        <v>S03</v>
      </c>
      <c r="M2852" t="str">
        <f>_xlfn.XLOOKUP(D2852,[2]!Table1[Machine_ID],[2]!Table1[Machine_ID])</f>
        <v>M001</v>
      </c>
      <c r="N2852" t="str">
        <f>_xlfn.XLOOKUP(E2852,[3]Sheet1!$A$2:$A$391,[3]Sheet1!$A$2:$A$391)</f>
        <v>PO10190</v>
      </c>
    </row>
    <row r="2853" spans="1:14" x14ac:dyDescent="0.2">
      <c r="A2853" t="s">
        <v>2862</v>
      </c>
      <c r="B2853" s="2">
        <v>46324</v>
      </c>
      <c r="C2853" t="s">
        <v>2939</v>
      </c>
      <c r="D2853" t="s">
        <v>2943</v>
      </c>
      <c r="E2853" t="s">
        <v>3140</v>
      </c>
      <c r="F2853" s="3">
        <v>46325.12293434226</v>
      </c>
      <c r="G2853" s="3">
        <v>46325.134748168748</v>
      </c>
      <c r="H2853">
        <v>17.010000000000002</v>
      </c>
      <c r="I2853" t="s">
        <v>3148</v>
      </c>
      <c r="J2853" t="s">
        <v>3165</v>
      </c>
      <c r="K2853" t="s">
        <v>3173</v>
      </c>
      <c r="L2853" t="str">
        <f>_xlfn.XLOOKUP(C2853,[1]!Table1[Shift_ID],[1]!Table1[Shift_ID])</f>
        <v>S03</v>
      </c>
      <c r="M2853" t="str">
        <f>_xlfn.XLOOKUP(D2853,[2]!Table1[Machine_ID],[2]!Table1[Machine_ID])</f>
        <v>M002</v>
      </c>
      <c r="N2853" t="str">
        <f>_xlfn.XLOOKUP(E2853,[3]Sheet1!$A$2:$A$391,[3]Sheet1!$A$2:$A$391)</f>
        <v>PO10190</v>
      </c>
    </row>
    <row r="2854" spans="1:14" x14ac:dyDescent="0.2">
      <c r="A2854" t="s">
        <v>2863</v>
      </c>
      <c r="B2854" s="2">
        <v>46324</v>
      </c>
      <c r="C2854" t="s">
        <v>2939</v>
      </c>
      <c r="D2854" t="s">
        <v>2944</v>
      </c>
      <c r="E2854" t="s">
        <v>3140</v>
      </c>
      <c r="F2854" s="3">
        <v>46325.034083122511</v>
      </c>
      <c r="G2854" s="3">
        <v>46325.03596864648</v>
      </c>
      <c r="H2854">
        <v>2.72</v>
      </c>
      <c r="I2854" t="s">
        <v>3147</v>
      </c>
      <c r="J2854" t="s">
        <v>3167</v>
      </c>
      <c r="K2854" t="s">
        <v>3186</v>
      </c>
      <c r="L2854" t="str">
        <f>_xlfn.XLOOKUP(C2854,[1]!Table1[Shift_ID],[1]!Table1[Shift_ID])</f>
        <v>S03</v>
      </c>
      <c r="M2854" t="str">
        <f>_xlfn.XLOOKUP(D2854,[2]!Table1[Machine_ID],[2]!Table1[Machine_ID])</f>
        <v>M003</v>
      </c>
      <c r="N2854" t="str">
        <f>_xlfn.XLOOKUP(E2854,[3]Sheet1!$A$2:$A$391,[3]Sheet1!$A$2:$A$391)</f>
        <v>PO10190</v>
      </c>
    </row>
    <row r="2855" spans="1:14" x14ac:dyDescent="0.2">
      <c r="A2855" t="s">
        <v>2864</v>
      </c>
      <c r="B2855" s="2">
        <v>46324</v>
      </c>
      <c r="C2855" t="s">
        <v>2939</v>
      </c>
      <c r="D2855" t="s">
        <v>2944</v>
      </c>
      <c r="E2855" t="s">
        <v>3140</v>
      </c>
      <c r="F2855" s="3">
        <v>46325.055354828452</v>
      </c>
      <c r="G2855" s="3">
        <v>46325.057864440518</v>
      </c>
      <c r="H2855">
        <v>3.61</v>
      </c>
      <c r="I2855" t="s">
        <v>3150</v>
      </c>
      <c r="J2855" t="s">
        <v>3159</v>
      </c>
      <c r="K2855" t="s">
        <v>3177</v>
      </c>
      <c r="L2855" t="str">
        <f>_xlfn.XLOOKUP(C2855,[1]!Table1[Shift_ID],[1]!Table1[Shift_ID])</f>
        <v>S03</v>
      </c>
      <c r="M2855" t="str">
        <f>_xlfn.XLOOKUP(D2855,[2]!Table1[Machine_ID],[2]!Table1[Machine_ID])</f>
        <v>M003</v>
      </c>
      <c r="N2855" t="str">
        <f>_xlfn.XLOOKUP(E2855,[3]Sheet1!$A$2:$A$391,[3]Sheet1!$A$2:$A$391)</f>
        <v>PO10190</v>
      </c>
    </row>
    <row r="2856" spans="1:14" x14ac:dyDescent="0.2">
      <c r="A2856" t="s">
        <v>2865</v>
      </c>
      <c r="B2856" s="2">
        <v>46324</v>
      </c>
      <c r="C2856" t="s">
        <v>2939</v>
      </c>
      <c r="D2856" t="s">
        <v>2944</v>
      </c>
      <c r="E2856" t="s">
        <v>3140</v>
      </c>
      <c r="F2856" s="3">
        <v>46325.068395708011</v>
      </c>
      <c r="G2856" s="3">
        <v>46325.07552652817</v>
      </c>
      <c r="H2856">
        <v>10.27</v>
      </c>
      <c r="I2856" t="s">
        <v>3150</v>
      </c>
      <c r="J2856" t="s">
        <v>3166</v>
      </c>
      <c r="K2856" t="s">
        <v>3177</v>
      </c>
      <c r="L2856" t="str">
        <f>_xlfn.XLOOKUP(C2856,[1]!Table1[Shift_ID],[1]!Table1[Shift_ID])</f>
        <v>S03</v>
      </c>
      <c r="M2856" t="str">
        <f>_xlfn.XLOOKUP(D2856,[2]!Table1[Machine_ID],[2]!Table1[Machine_ID])</f>
        <v>M003</v>
      </c>
      <c r="N2856" t="str">
        <f>_xlfn.XLOOKUP(E2856,[3]Sheet1!$A$2:$A$391,[3]Sheet1!$A$2:$A$391)</f>
        <v>PO10190</v>
      </c>
    </row>
    <row r="2857" spans="1:14" x14ac:dyDescent="0.2">
      <c r="A2857" t="s">
        <v>2866</v>
      </c>
      <c r="B2857" s="2">
        <v>46324</v>
      </c>
      <c r="C2857" t="s">
        <v>2939</v>
      </c>
      <c r="D2857" t="s">
        <v>2944</v>
      </c>
      <c r="E2857" t="s">
        <v>3140</v>
      </c>
      <c r="F2857" s="3">
        <v>46325.089103845698</v>
      </c>
      <c r="G2857" s="3">
        <v>46325.090809238412</v>
      </c>
      <c r="H2857">
        <v>2.46</v>
      </c>
      <c r="I2857" t="s">
        <v>3147</v>
      </c>
      <c r="J2857" t="s">
        <v>3167</v>
      </c>
      <c r="K2857" t="s">
        <v>3186</v>
      </c>
      <c r="L2857" t="str">
        <f>_xlfn.XLOOKUP(C2857,[1]!Table1[Shift_ID],[1]!Table1[Shift_ID])</f>
        <v>S03</v>
      </c>
      <c r="M2857" t="str">
        <f>_xlfn.XLOOKUP(D2857,[2]!Table1[Machine_ID],[2]!Table1[Machine_ID])</f>
        <v>M003</v>
      </c>
      <c r="N2857" t="str">
        <f>_xlfn.XLOOKUP(E2857,[3]Sheet1!$A$2:$A$391,[3]Sheet1!$A$2:$A$391)</f>
        <v>PO10190</v>
      </c>
    </row>
    <row r="2858" spans="1:14" x14ac:dyDescent="0.2">
      <c r="A2858" t="s">
        <v>2867</v>
      </c>
      <c r="B2858" s="2">
        <v>46324</v>
      </c>
      <c r="C2858" t="s">
        <v>2939</v>
      </c>
      <c r="D2858" t="s">
        <v>2944</v>
      </c>
      <c r="E2858" t="s">
        <v>3140</v>
      </c>
      <c r="F2858" s="3">
        <v>46325.21857729707</v>
      </c>
      <c r="G2858" s="3">
        <v>46325.220282689792</v>
      </c>
      <c r="H2858">
        <v>2.46</v>
      </c>
      <c r="I2858" t="s">
        <v>3147</v>
      </c>
      <c r="J2858" t="s">
        <v>3154</v>
      </c>
      <c r="K2858" t="s">
        <v>3185</v>
      </c>
      <c r="L2858" t="str">
        <f>_xlfn.XLOOKUP(C2858,[1]!Table1[Shift_ID],[1]!Table1[Shift_ID])</f>
        <v>S03</v>
      </c>
      <c r="M2858" t="str">
        <f>_xlfn.XLOOKUP(D2858,[2]!Table1[Machine_ID],[2]!Table1[Machine_ID])</f>
        <v>M003</v>
      </c>
      <c r="N2858" t="str">
        <f>_xlfn.XLOOKUP(E2858,[3]Sheet1!$A$2:$A$391,[3]Sheet1!$A$2:$A$391)</f>
        <v>PO10190</v>
      </c>
    </row>
    <row r="2859" spans="1:14" x14ac:dyDescent="0.2">
      <c r="A2859" t="s">
        <v>2868</v>
      </c>
      <c r="B2859" s="2">
        <v>46324</v>
      </c>
      <c r="C2859" t="s">
        <v>2939</v>
      </c>
      <c r="D2859" t="s">
        <v>2945</v>
      </c>
      <c r="E2859" t="s">
        <v>3140</v>
      </c>
      <c r="F2859" s="3">
        <v>46325.239737761352</v>
      </c>
      <c r="G2859" s="3">
        <v>46325.246587629779</v>
      </c>
      <c r="H2859">
        <v>9.86</v>
      </c>
      <c r="I2859" t="s">
        <v>3148</v>
      </c>
      <c r="J2859" t="s">
        <v>3165</v>
      </c>
      <c r="K2859" t="s">
        <v>3180</v>
      </c>
      <c r="L2859" t="str">
        <f>_xlfn.XLOOKUP(C2859,[1]!Table1[Shift_ID],[1]!Table1[Shift_ID])</f>
        <v>S03</v>
      </c>
      <c r="M2859" t="str">
        <f>_xlfn.XLOOKUP(D2859,[2]!Table1[Machine_ID],[2]!Table1[Machine_ID])</f>
        <v>M004</v>
      </c>
      <c r="N2859" t="str">
        <f>_xlfn.XLOOKUP(E2859,[3]Sheet1!$A$2:$A$391,[3]Sheet1!$A$2:$A$391)</f>
        <v>PO10190</v>
      </c>
    </row>
    <row r="2860" spans="1:14" x14ac:dyDescent="0.2">
      <c r="A2860" t="s">
        <v>2869</v>
      </c>
      <c r="B2860" s="2">
        <v>46324</v>
      </c>
      <c r="C2860" t="s">
        <v>2939</v>
      </c>
      <c r="D2860" t="s">
        <v>2946</v>
      </c>
      <c r="E2860" t="s">
        <v>3140</v>
      </c>
      <c r="F2860" s="3">
        <v>46325.15786984146</v>
      </c>
      <c r="G2860" s="3">
        <v>46325.167546676013</v>
      </c>
      <c r="H2860">
        <v>13.93</v>
      </c>
      <c r="I2860" t="s">
        <v>3149</v>
      </c>
      <c r="J2860" t="s">
        <v>3162</v>
      </c>
      <c r="K2860" t="s">
        <v>3176</v>
      </c>
      <c r="L2860" t="str">
        <f>_xlfn.XLOOKUP(C2860,[1]!Table1[Shift_ID],[1]!Table1[Shift_ID])</f>
        <v>S03</v>
      </c>
      <c r="M2860" t="str">
        <f>_xlfn.XLOOKUP(D2860,[2]!Table1[Machine_ID],[2]!Table1[Machine_ID])</f>
        <v>M005</v>
      </c>
      <c r="N2860" t="str">
        <f>_xlfn.XLOOKUP(E2860,[3]Sheet1!$A$2:$A$391,[3]Sheet1!$A$2:$A$391)</f>
        <v>PO10190</v>
      </c>
    </row>
    <row r="2861" spans="1:14" x14ac:dyDescent="0.2">
      <c r="A2861" t="s">
        <v>2870</v>
      </c>
      <c r="B2861" s="2">
        <v>46324</v>
      </c>
      <c r="C2861" t="s">
        <v>2939</v>
      </c>
      <c r="D2861" t="s">
        <v>2947</v>
      </c>
      <c r="E2861" t="s">
        <v>3140</v>
      </c>
      <c r="F2861" s="3">
        <v>46325.162965098163</v>
      </c>
      <c r="G2861" s="3">
        <v>46325.184437592863</v>
      </c>
      <c r="H2861">
        <v>30.92</v>
      </c>
      <c r="I2861" t="s">
        <v>3149</v>
      </c>
      <c r="J2861" t="s">
        <v>3158</v>
      </c>
      <c r="K2861" t="s">
        <v>3176</v>
      </c>
      <c r="L2861" t="str">
        <f>_xlfn.XLOOKUP(C2861,[1]!Table1[Shift_ID],[1]!Table1[Shift_ID])</f>
        <v>S03</v>
      </c>
      <c r="M2861" t="str">
        <f>_xlfn.XLOOKUP(D2861,[2]!Table1[Machine_ID],[2]!Table1[Machine_ID])</f>
        <v>M006</v>
      </c>
      <c r="N2861" t="str">
        <f>_xlfn.XLOOKUP(E2861,[3]Sheet1!$A$2:$A$391,[3]Sheet1!$A$2:$A$391)</f>
        <v>PO10190</v>
      </c>
    </row>
    <row r="2862" spans="1:14" x14ac:dyDescent="0.2">
      <c r="A2862" t="s">
        <v>2871</v>
      </c>
      <c r="B2862" s="2">
        <v>46324</v>
      </c>
      <c r="C2862" t="s">
        <v>2939</v>
      </c>
      <c r="D2862" t="s">
        <v>2947</v>
      </c>
      <c r="E2862" t="s">
        <v>3140</v>
      </c>
      <c r="F2862" s="3">
        <v>46325.221704809788</v>
      </c>
      <c r="G2862" s="3">
        <v>46325.23128666891</v>
      </c>
      <c r="H2862">
        <v>13.8</v>
      </c>
      <c r="I2862" t="s">
        <v>3149</v>
      </c>
      <c r="J2862" t="s">
        <v>3158</v>
      </c>
      <c r="K2862" t="s">
        <v>3184</v>
      </c>
      <c r="L2862" t="str">
        <f>_xlfn.XLOOKUP(C2862,[1]!Table1[Shift_ID],[1]!Table1[Shift_ID])</f>
        <v>S03</v>
      </c>
      <c r="M2862" t="str">
        <f>_xlfn.XLOOKUP(D2862,[2]!Table1[Machine_ID],[2]!Table1[Machine_ID])</f>
        <v>M006</v>
      </c>
      <c r="N2862" t="str">
        <f>_xlfn.XLOOKUP(E2862,[3]Sheet1!$A$2:$A$391,[3]Sheet1!$A$2:$A$391)</f>
        <v>PO10190</v>
      </c>
    </row>
    <row r="2863" spans="1:14" x14ac:dyDescent="0.2">
      <c r="A2863" t="s">
        <v>2872</v>
      </c>
      <c r="B2863" s="2">
        <v>46324</v>
      </c>
      <c r="C2863" t="s">
        <v>2939</v>
      </c>
      <c r="D2863" t="s">
        <v>2948</v>
      </c>
      <c r="E2863" t="s">
        <v>3140</v>
      </c>
      <c r="F2863" s="3">
        <v>46324.985752921457</v>
      </c>
      <c r="G2863" s="3">
        <v>46324.989045858012</v>
      </c>
      <c r="H2863">
        <v>4.74</v>
      </c>
      <c r="I2863" t="s">
        <v>3147</v>
      </c>
      <c r="J2863" t="s">
        <v>3154</v>
      </c>
      <c r="K2863" t="s">
        <v>3186</v>
      </c>
      <c r="L2863" t="str">
        <f>_xlfn.XLOOKUP(C2863,[1]!Table1[Shift_ID],[1]!Table1[Shift_ID])</f>
        <v>S03</v>
      </c>
      <c r="M2863" t="str">
        <f>_xlfn.XLOOKUP(D2863,[2]!Table1[Machine_ID],[2]!Table1[Machine_ID])</f>
        <v>M007</v>
      </c>
      <c r="N2863" t="str">
        <f>_xlfn.XLOOKUP(E2863,[3]Sheet1!$A$2:$A$391,[3]Sheet1!$A$2:$A$391)</f>
        <v>PO10190</v>
      </c>
    </row>
    <row r="2864" spans="1:14" x14ac:dyDescent="0.2">
      <c r="A2864" t="s">
        <v>2873</v>
      </c>
      <c r="B2864" s="2">
        <v>46324</v>
      </c>
      <c r="C2864" t="s">
        <v>2939</v>
      </c>
      <c r="D2864" t="s">
        <v>2948</v>
      </c>
      <c r="E2864" t="s">
        <v>3140</v>
      </c>
      <c r="F2864" s="3">
        <v>46324.994321967861</v>
      </c>
      <c r="G2864" s="3">
        <v>46324.996172927618</v>
      </c>
      <c r="H2864">
        <v>2.67</v>
      </c>
      <c r="I2864" t="s">
        <v>3151</v>
      </c>
      <c r="J2864" t="s">
        <v>3161</v>
      </c>
      <c r="K2864" t="s">
        <v>3181</v>
      </c>
      <c r="L2864" t="str">
        <f>_xlfn.XLOOKUP(C2864,[1]!Table1[Shift_ID],[1]!Table1[Shift_ID])</f>
        <v>S03</v>
      </c>
      <c r="M2864" t="str">
        <f>_xlfn.XLOOKUP(D2864,[2]!Table1[Machine_ID],[2]!Table1[Machine_ID])</f>
        <v>M007</v>
      </c>
      <c r="N2864" t="str">
        <f>_xlfn.XLOOKUP(E2864,[3]Sheet1!$A$2:$A$391,[3]Sheet1!$A$2:$A$391)</f>
        <v>PO10190</v>
      </c>
    </row>
    <row r="2865" spans="1:14" x14ac:dyDescent="0.2">
      <c r="A2865" t="s">
        <v>2874</v>
      </c>
      <c r="B2865" s="2">
        <v>46324</v>
      </c>
      <c r="C2865" t="s">
        <v>2939</v>
      </c>
      <c r="D2865" t="s">
        <v>2948</v>
      </c>
      <c r="E2865" t="s">
        <v>3140</v>
      </c>
      <c r="F2865" s="3">
        <v>46325.052935050197</v>
      </c>
      <c r="G2865" s="3">
        <v>46325.05624806683</v>
      </c>
      <c r="H2865">
        <v>4.7699999999999996</v>
      </c>
      <c r="I2865" t="s">
        <v>3150</v>
      </c>
      <c r="J2865" t="s">
        <v>3163</v>
      </c>
      <c r="K2865" t="s">
        <v>3178</v>
      </c>
      <c r="L2865" t="str">
        <f>_xlfn.XLOOKUP(C2865,[1]!Table1[Shift_ID],[1]!Table1[Shift_ID])</f>
        <v>S03</v>
      </c>
      <c r="M2865" t="str">
        <f>_xlfn.XLOOKUP(D2865,[2]!Table1[Machine_ID],[2]!Table1[Machine_ID])</f>
        <v>M007</v>
      </c>
      <c r="N2865" t="str">
        <f>_xlfn.XLOOKUP(E2865,[3]Sheet1!$A$2:$A$391,[3]Sheet1!$A$2:$A$391)</f>
        <v>PO10190</v>
      </c>
    </row>
    <row r="2866" spans="1:14" x14ac:dyDescent="0.2">
      <c r="A2866" t="s">
        <v>2875</v>
      </c>
      <c r="B2866" s="2">
        <v>46324</v>
      </c>
      <c r="C2866" t="s">
        <v>2939</v>
      </c>
      <c r="D2866" t="s">
        <v>2948</v>
      </c>
      <c r="E2866" t="s">
        <v>3140</v>
      </c>
      <c r="F2866" s="3">
        <v>46325.116065762537</v>
      </c>
      <c r="G2866" s="3">
        <v>46325.117916722287</v>
      </c>
      <c r="H2866">
        <v>2.67</v>
      </c>
      <c r="I2866" t="s">
        <v>3148</v>
      </c>
      <c r="J2866" t="s">
        <v>3165</v>
      </c>
      <c r="K2866" t="s">
        <v>3180</v>
      </c>
      <c r="L2866" t="str">
        <f>_xlfn.XLOOKUP(C2866,[1]!Table1[Shift_ID],[1]!Table1[Shift_ID])</f>
        <v>S03</v>
      </c>
      <c r="M2866" t="str">
        <f>_xlfn.XLOOKUP(D2866,[2]!Table1[Machine_ID],[2]!Table1[Machine_ID])</f>
        <v>M007</v>
      </c>
      <c r="N2866" t="str">
        <f>_xlfn.XLOOKUP(E2866,[3]Sheet1!$A$2:$A$391,[3]Sheet1!$A$2:$A$391)</f>
        <v>PO10190</v>
      </c>
    </row>
    <row r="2867" spans="1:14" x14ac:dyDescent="0.2">
      <c r="A2867" t="s">
        <v>2876</v>
      </c>
      <c r="B2867" s="2">
        <v>46324</v>
      </c>
      <c r="C2867" t="s">
        <v>2939</v>
      </c>
      <c r="D2867" t="s">
        <v>2948</v>
      </c>
      <c r="E2867" t="s">
        <v>3140</v>
      </c>
      <c r="F2867" s="3">
        <v>46325.157745546727</v>
      </c>
      <c r="G2867" s="3">
        <v>46325.162260798483</v>
      </c>
      <c r="H2867">
        <v>6.5</v>
      </c>
      <c r="I2867" t="s">
        <v>3147</v>
      </c>
      <c r="J2867" t="s">
        <v>3167</v>
      </c>
      <c r="K2867" t="s">
        <v>3172</v>
      </c>
      <c r="L2867" t="str">
        <f>_xlfn.XLOOKUP(C2867,[1]!Table1[Shift_ID],[1]!Table1[Shift_ID])</f>
        <v>S03</v>
      </c>
      <c r="M2867" t="str">
        <f>_xlfn.XLOOKUP(D2867,[2]!Table1[Machine_ID],[2]!Table1[Machine_ID])</f>
        <v>M007</v>
      </c>
      <c r="N2867" t="str">
        <f>_xlfn.XLOOKUP(E2867,[3]Sheet1!$A$2:$A$391,[3]Sheet1!$A$2:$A$391)</f>
        <v>PO10190</v>
      </c>
    </row>
    <row r="2868" spans="1:14" x14ac:dyDescent="0.2">
      <c r="A2868" t="s">
        <v>2877</v>
      </c>
      <c r="B2868" s="2">
        <v>46324</v>
      </c>
      <c r="C2868" t="s">
        <v>2939</v>
      </c>
      <c r="D2868" t="s">
        <v>2949</v>
      </c>
      <c r="E2868" t="s">
        <v>3140</v>
      </c>
      <c r="F2868" s="3">
        <v>46325.094249287933</v>
      </c>
      <c r="G2868" s="3">
        <v>46325.101180713151</v>
      </c>
      <c r="H2868">
        <v>9.98</v>
      </c>
      <c r="I2868" t="s">
        <v>3149</v>
      </c>
      <c r="J2868" t="s">
        <v>3158</v>
      </c>
      <c r="K2868" t="s">
        <v>3176</v>
      </c>
      <c r="L2868" t="str">
        <f>_xlfn.XLOOKUP(C2868,[1]!Table1[Shift_ID],[1]!Table1[Shift_ID])</f>
        <v>S03</v>
      </c>
      <c r="M2868" t="str">
        <f>_xlfn.XLOOKUP(D2868,[2]!Table1[Machine_ID],[2]!Table1[Machine_ID])</f>
        <v>M008</v>
      </c>
      <c r="N2868" t="str">
        <f>_xlfn.XLOOKUP(E2868,[3]Sheet1!$A$2:$A$391,[3]Sheet1!$A$2:$A$391)</f>
        <v>PO10190</v>
      </c>
    </row>
    <row r="2869" spans="1:14" x14ac:dyDescent="0.2">
      <c r="A2869" t="s">
        <v>2878</v>
      </c>
      <c r="B2869" s="2">
        <v>46324</v>
      </c>
      <c r="C2869" t="s">
        <v>2940</v>
      </c>
      <c r="D2869" t="s">
        <v>2942</v>
      </c>
      <c r="E2869" t="s">
        <v>3141</v>
      </c>
      <c r="F2869" s="3">
        <v>46324.408939022032</v>
      </c>
      <c r="G2869" s="3">
        <v>46324.414142808717</v>
      </c>
      <c r="H2869">
        <v>7.49</v>
      </c>
      <c r="I2869" t="s">
        <v>3149</v>
      </c>
      <c r="J2869" t="s">
        <v>3162</v>
      </c>
      <c r="K2869" t="s">
        <v>3176</v>
      </c>
      <c r="L2869" t="str">
        <f>_xlfn.XLOOKUP(C2869,[1]!Table1[Shift_ID],[1]!Table1[Shift_ID])</f>
        <v>S01</v>
      </c>
      <c r="M2869" t="str">
        <f>_xlfn.XLOOKUP(D2869,[2]!Table1[Machine_ID],[2]!Table1[Machine_ID])</f>
        <v>M001</v>
      </c>
      <c r="N2869" t="str">
        <f>_xlfn.XLOOKUP(E2869,[3]Sheet1!$A$2:$A$391,[3]Sheet1!$A$2:$A$391)</f>
        <v>PO10191</v>
      </c>
    </row>
    <row r="2870" spans="1:14" x14ac:dyDescent="0.2">
      <c r="A2870" t="s">
        <v>2879</v>
      </c>
      <c r="B2870" s="2">
        <v>46324</v>
      </c>
      <c r="C2870" t="s">
        <v>2940</v>
      </c>
      <c r="D2870" t="s">
        <v>2943</v>
      </c>
      <c r="E2870" t="s">
        <v>3141</v>
      </c>
      <c r="F2870" s="3">
        <v>46324.310516313519</v>
      </c>
      <c r="G2870" s="3">
        <v>46324.319020399351</v>
      </c>
      <c r="H2870">
        <v>12.25</v>
      </c>
      <c r="I2870" t="s">
        <v>3150</v>
      </c>
      <c r="J2870" t="s">
        <v>3160</v>
      </c>
      <c r="K2870" t="s">
        <v>3179</v>
      </c>
      <c r="L2870" t="str">
        <f>_xlfn.XLOOKUP(C2870,[1]!Table1[Shift_ID],[1]!Table1[Shift_ID])</f>
        <v>S01</v>
      </c>
      <c r="M2870" t="str">
        <f>_xlfn.XLOOKUP(D2870,[2]!Table1[Machine_ID],[2]!Table1[Machine_ID])</f>
        <v>M002</v>
      </c>
      <c r="N2870" t="str">
        <f>_xlfn.XLOOKUP(E2870,[3]Sheet1!$A$2:$A$391,[3]Sheet1!$A$2:$A$391)</f>
        <v>PO10191</v>
      </c>
    </row>
    <row r="2871" spans="1:14" x14ac:dyDescent="0.2">
      <c r="A2871" t="s">
        <v>2880</v>
      </c>
      <c r="B2871" s="2">
        <v>46324</v>
      </c>
      <c r="C2871" t="s">
        <v>2940</v>
      </c>
      <c r="D2871" t="s">
        <v>2944</v>
      </c>
      <c r="E2871" t="s">
        <v>3141</v>
      </c>
      <c r="F2871" s="3">
        <v>46324.297208192023</v>
      </c>
      <c r="G2871" s="3">
        <v>46324.304826470106</v>
      </c>
      <c r="H2871">
        <v>10.97</v>
      </c>
      <c r="I2871" t="s">
        <v>3149</v>
      </c>
      <c r="J2871" t="s">
        <v>3162</v>
      </c>
      <c r="K2871" t="s">
        <v>3184</v>
      </c>
      <c r="L2871" t="str">
        <f>_xlfn.XLOOKUP(C2871,[1]!Table1[Shift_ID],[1]!Table1[Shift_ID])</f>
        <v>S01</v>
      </c>
      <c r="M2871" t="str">
        <f>_xlfn.XLOOKUP(D2871,[2]!Table1[Machine_ID],[2]!Table1[Machine_ID])</f>
        <v>M003</v>
      </c>
      <c r="N2871" t="str">
        <f>_xlfn.XLOOKUP(E2871,[3]Sheet1!$A$2:$A$391,[3]Sheet1!$A$2:$A$391)</f>
        <v>PO10191</v>
      </c>
    </row>
    <row r="2872" spans="1:14" x14ac:dyDescent="0.2">
      <c r="A2872" t="s">
        <v>2881</v>
      </c>
      <c r="B2872" s="2">
        <v>46324</v>
      </c>
      <c r="C2872" t="s">
        <v>2940</v>
      </c>
      <c r="D2872" t="s">
        <v>2944</v>
      </c>
      <c r="E2872" t="s">
        <v>3141</v>
      </c>
      <c r="F2872" s="3">
        <v>46324.559129236543</v>
      </c>
      <c r="G2872" s="3">
        <v>46324.560947751947</v>
      </c>
      <c r="H2872">
        <v>2.62</v>
      </c>
      <c r="I2872" t="s">
        <v>3148</v>
      </c>
      <c r="J2872" t="s">
        <v>3155</v>
      </c>
      <c r="K2872" t="s">
        <v>3180</v>
      </c>
      <c r="L2872" t="str">
        <f>_xlfn.XLOOKUP(C2872,[1]!Table1[Shift_ID],[1]!Table1[Shift_ID])</f>
        <v>S01</v>
      </c>
      <c r="M2872" t="str">
        <f>_xlfn.XLOOKUP(D2872,[2]!Table1[Machine_ID],[2]!Table1[Machine_ID])</f>
        <v>M003</v>
      </c>
      <c r="N2872" t="str">
        <f>_xlfn.XLOOKUP(E2872,[3]Sheet1!$A$2:$A$391,[3]Sheet1!$A$2:$A$391)</f>
        <v>PO10191</v>
      </c>
    </row>
    <row r="2873" spans="1:14" x14ac:dyDescent="0.2">
      <c r="A2873" t="s">
        <v>2882</v>
      </c>
      <c r="B2873" s="2">
        <v>46324</v>
      </c>
      <c r="C2873" t="s">
        <v>2940</v>
      </c>
      <c r="D2873" t="s">
        <v>2945</v>
      </c>
      <c r="E2873" t="s">
        <v>3141</v>
      </c>
      <c r="F2873" s="3">
        <v>46324.535811418798</v>
      </c>
      <c r="G2873" s="3">
        <v>46324.543853558149</v>
      </c>
      <c r="H2873">
        <v>11.58</v>
      </c>
      <c r="I2873" t="s">
        <v>3151</v>
      </c>
      <c r="J2873" t="s">
        <v>3169</v>
      </c>
      <c r="K2873" t="s">
        <v>3188</v>
      </c>
      <c r="L2873" t="str">
        <f>_xlfn.XLOOKUP(C2873,[1]!Table1[Shift_ID],[1]!Table1[Shift_ID])</f>
        <v>S01</v>
      </c>
      <c r="M2873" t="str">
        <f>_xlfn.XLOOKUP(D2873,[2]!Table1[Machine_ID],[2]!Table1[Machine_ID])</f>
        <v>M004</v>
      </c>
      <c r="N2873" t="str">
        <f>_xlfn.XLOOKUP(E2873,[3]Sheet1!$A$2:$A$391,[3]Sheet1!$A$2:$A$391)</f>
        <v>PO10191</v>
      </c>
    </row>
    <row r="2874" spans="1:14" x14ac:dyDescent="0.2">
      <c r="A2874" t="s">
        <v>2883</v>
      </c>
      <c r="B2874" s="2">
        <v>46324</v>
      </c>
      <c r="C2874" t="s">
        <v>2940</v>
      </c>
      <c r="D2874" t="s">
        <v>2946</v>
      </c>
      <c r="E2874" t="s">
        <v>3141</v>
      </c>
      <c r="F2874" s="3">
        <v>46324.468552294609</v>
      </c>
      <c r="G2874" s="3">
        <v>46324.471956486341</v>
      </c>
      <c r="H2874">
        <v>4.9000000000000004</v>
      </c>
      <c r="I2874" t="s">
        <v>3147</v>
      </c>
      <c r="J2874" t="s">
        <v>3153</v>
      </c>
      <c r="K2874" t="s">
        <v>3185</v>
      </c>
      <c r="L2874" t="str">
        <f>_xlfn.XLOOKUP(C2874,[1]!Table1[Shift_ID],[1]!Table1[Shift_ID])</f>
        <v>S01</v>
      </c>
      <c r="M2874" t="str">
        <f>_xlfn.XLOOKUP(D2874,[2]!Table1[Machine_ID],[2]!Table1[Machine_ID])</f>
        <v>M005</v>
      </c>
      <c r="N2874" t="str">
        <f>_xlfn.XLOOKUP(E2874,[3]Sheet1!$A$2:$A$391,[3]Sheet1!$A$2:$A$391)</f>
        <v>PO10191</v>
      </c>
    </row>
    <row r="2875" spans="1:14" x14ac:dyDescent="0.2">
      <c r="A2875" t="s">
        <v>2884</v>
      </c>
      <c r="B2875" s="2">
        <v>46324</v>
      </c>
      <c r="C2875" t="s">
        <v>2940</v>
      </c>
      <c r="D2875" t="s">
        <v>2946</v>
      </c>
      <c r="E2875" t="s">
        <v>3141</v>
      </c>
      <c r="F2875" s="3">
        <v>46324.475946753169</v>
      </c>
      <c r="G2875" s="3">
        <v>46324.47973228206</v>
      </c>
      <c r="H2875">
        <v>5.45</v>
      </c>
      <c r="I2875" t="s">
        <v>3150</v>
      </c>
      <c r="J2875" t="s">
        <v>3160</v>
      </c>
      <c r="K2875" t="s">
        <v>3177</v>
      </c>
      <c r="L2875" t="str">
        <f>_xlfn.XLOOKUP(C2875,[1]!Table1[Shift_ID],[1]!Table1[Shift_ID])</f>
        <v>S01</v>
      </c>
      <c r="M2875" t="str">
        <f>_xlfn.XLOOKUP(D2875,[2]!Table1[Machine_ID],[2]!Table1[Machine_ID])</f>
        <v>M005</v>
      </c>
      <c r="N2875" t="str">
        <f>_xlfn.XLOOKUP(E2875,[3]Sheet1!$A$2:$A$391,[3]Sheet1!$A$2:$A$391)</f>
        <v>PO10191</v>
      </c>
    </row>
    <row r="2876" spans="1:14" x14ac:dyDescent="0.2">
      <c r="A2876" t="s">
        <v>2885</v>
      </c>
      <c r="B2876" s="2">
        <v>46324</v>
      </c>
      <c r="C2876" t="s">
        <v>2940</v>
      </c>
      <c r="D2876" t="s">
        <v>2947</v>
      </c>
      <c r="E2876" t="s">
        <v>3141</v>
      </c>
      <c r="F2876" s="3">
        <v>46324.263858691942</v>
      </c>
      <c r="G2876" s="3">
        <v>46324.281688694653</v>
      </c>
      <c r="H2876">
        <v>25.68</v>
      </c>
      <c r="I2876" t="s">
        <v>3147</v>
      </c>
      <c r="J2876" t="s">
        <v>3154</v>
      </c>
      <c r="K2876" t="s">
        <v>3185</v>
      </c>
      <c r="L2876" t="str">
        <f>_xlfn.XLOOKUP(C2876,[1]!Table1[Shift_ID],[1]!Table1[Shift_ID])</f>
        <v>S01</v>
      </c>
      <c r="M2876" t="str">
        <f>_xlfn.XLOOKUP(D2876,[2]!Table1[Machine_ID],[2]!Table1[Machine_ID])</f>
        <v>M006</v>
      </c>
      <c r="N2876" t="str">
        <f>_xlfn.XLOOKUP(E2876,[3]Sheet1!$A$2:$A$391,[3]Sheet1!$A$2:$A$391)</f>
        <v>PO10191</v>
      </c>
    </row>
    <row r="2877" spans="1:14" x14ac:dyDescent="0.2">
      <c r="A2877" t="s">
        <v>2886</v>
      </c>
      <c r="B2877" s="2">
        <v>46324</v>
      </c>
      <c r="C2877" t="s">
        <v>2940</v>
      </c>
      <c r="D2877" t="s">
        <v>2947</v>
      </c>
      <c r="E2877" t="s">
        <v>3141</v>
      </c>
      <c r="F2877" s="3">
        <v>46324.306583479978</v>
      </c>
      <c r="G2877" s="3">
        <v>46324.313897175183</v>
      </c>
      <c r="H2877">
        <v>10.53</v>
      </c>
      <c r="I2877" t="s">
        <v>3151</v>
      </c>
      <c r="J2877" t="s">
        <v>3161</v>
      </c>
      <c r="K2877" t="s">
        <v>3187</v>
      </c>
      <c r="L2877" t="str">
        <f>_xlfn.XLOOKUP(C2877,[1]!Table1[Shift_ID],[1]!Table1[Shift_ID])</f>
        <v>S01</v>
      </c>
      <c r="M2877" t="str">
        <f>_xlfn.XLOOKUP(D2877,[2]!Table1[Machine_ID],[2]!Table1[Machine_ID])</f>
        <v>M006</v>
      </c>
      <c r="N2877" t="str">
        <f>_xlfn.XLOOKUP(E2877,[3]Sheet1!$A$2:$A$391,[3]Sheet1!$A$2:$A$391)</f>
        <v>PO10191</v>
      </c>
    </row>
    <row r="2878" spans="1:14" x14ac:dyDescent="0.2">
      <c r="A2878" t="s">
        <v>2887</v>
      </c>
      <c r="B2878" s="2">
        <v>46324</v>
      </c>
      <c r="C2878" t="s">
        <v>2940</v>
      </c>
      <c r="D2878" t="s">
        <v>2948</v>
      </c>
      <c r="E2878" t="s">
        <v>3141</v>
      </c>
      <c r="F2878" s="3">
        <v>46324.445413447051</v>
      </c>
      <c r="G2878" s="3">
        <v>46324.460335187323</v>
      </c>
      <c r="H2878">
        <v>21.49</v>
      </c>
      <c r="I2878" t="s">
        <v>3150</v>
      </c>
      <c r="J2878" t="s">
        <v>3163</v>
      </c>
      <c r="K2878" t="s">
        <v>3178</v>
      </c>
      <c r="L2878" t="str">
        <f>_xlfn.XLOOKUP(C2878,[1]!Table1[Shift_ID],[1]!Table1[Shift_ID])</f>
        <v>S01</v>
      </c>
      <c r="M2878" t="str">
        <f>_xlfn.XLOOKUP(D2878,[2]!Table1[Machine_ID],[2]!Table1[Machine_ID])</f>
        <v>M007</v>
      </c>
      <c r="N2878" t="str">
        <f>_xlfn.XLOOKUP(E2878,[3]Sheet1!$A$2:$A$391,[3]Sheet1!$A$2:$A$391)</f>
        <v>PO10191</v>
      </c>
    </row>
    <row r="2879" spans="1:14" x14ac:dyDescent="0.2">
      <c r="A2879" t="s">
        <v>2888</v>
      </c>
      <c r="B2879" s="2">
        <v>46324</v>
      </c>
      <c r="C2879" t="s">
        <v>2940</v>
      </c>
      <c r="D2879" t="s">
        <v>2949</v>
      </c>
      <c r="E2879" t="s">
        <v>3141</v>
      </c>
      <c r="F2879" s="3">
        <v>46324.295213062549</v>
      </c>
      <c r="G2879" s="3">
        <v>46324.296803546131</v>
      </c>
      <c r="H2879">
        <v>2.29</v>
      </c>
      <c r="I2879" t="s">
        <v>3150</v>
      </c>
      <c r="J2879" t="s">
        <v>3159</v>
      </c>
      <c r="K2879" t="s">
        <v>3178</v>
      </c>
      <c r="L2879" t="str">
        <f>_xlfn.XLOOKUP(C2879,[1]!Table1[Shift_ID],[1]!Table1[Shift_ID])</f>
        <v>S01</v>
      </c>
      <c r="M2879" t="str">
        <f>_xlfn.XLOOKUP(D2879,[2]!Table1[Machine_ID],[2]!Table1[Machine_ID])</f>
        <v>M008</v>
      </c>
      <c r="N2879" t="str">
        <f>_xlfn.XLOOKUP(E2879,[3]Sheet1!$A$2:$A$391,[3]Sheet1!$A$2:$A$391)</f>
        <v>PO10191</v>
      </c>
    </row>
    <row r="2880" spans="1:14" x14ac:dyDescent="0.2">
      <c r="A2880" t="s">
        <v>2889</v>
      </c>
      <c r="B2880" s="2">
        <v>46324</v>
      </c>
      <c r="C2880" t="s">
        <v>2940</v>
      </c>
      <c r="D2880" t="s">
        <v>2949</v>
      </c>
      <c r="E2880" t="s">
        <v>3141</v>
      </c>
      <c r="F2880" s="3">
        <v>46324.409017763661</v>
      </c>
      <c r="G2880" s="3">
        <v>46324.410608247257</v>
      </c>
      <c r="H2880">
        <v>2.29</v>
      </c>
      <c r="I2880" t="s">
        <v>3148</v>
      </c>
      <c r="J2880" t="s">
        <v>3164</v>
      </c>
      <c r="K2880" t="s">
        <v>3180</v>
      </c>
      <c r="L2880" t="str">
        <f>_xlfn.XLOOKUP(C2880,[1]!Table1[Shift_ID],[1]!Table1[Shift_ID])</f>
        <v>S01</v>
      </c>
      <c r="M2880" t="str">
        <f>_xlfn.XLOOKUP(D2880,[2]!Table1[Machine_ID],[2]!Table1[Machine_ID])</f>
        <v>M008</v>
      </c>
      <c r="N2880" t="str">
        <f>_xlfn.XLOOKUP(E2880,[3]Sheet1!$A$2:$A$391,[3]Sheet1!$A$2:$A$391)</f>
        <v>PO10191</v>
      </c>
    </row>
    <row r="2881" spans="1:14" x14ac:dyDescent="0.2">
      <c r="A2881" t="s">
        <v>2890</v>
      </c>
      <c r="B2881" s="2">
        <v>46324</v>
      </c>
      <c r="C2881" t="s">
        <v>2940</v>
      </c>
      <c r="D2881" t="s">
        <v>2949</v>
      </c>
      <c r="E2881" t="s">
        <v>3141</v>
      </c>
      <c r="F2881" s="3">
        <v>46324.552159107989</v>
      </c>
      <c r="G2881" s="3">
        <v>46324.553749591592</v>
      </c>
      <c r="H2881">
        <v>2.29</v>
      </c>
      <c r="I2881" t="s">
        <v>3150</v>
      </c>
      <c r="J2881" t="s">
        <v>3166</v>
      </c>
      <c r="K2881" t="s">
        <v>3177</v>
      </c>
      <c r="L2881" t="str">
        <f>_xlfn.XLOOKUP(C2881,[1]!Table1[Shift_ID],[1]!Table1[Shift_ID])</f>
        <v>S01</v>
      </c>
      <c r="M2881" t="str">
        <f>_xlfn.XLOOKUP(D2881,[2]!Table1[Machine_ID],[2]!Table1[Machine_ID])</f>
        <v>M008</v>
      </c>
      <c r="N2881" t="str">
        <f>_xlfn.XLOOKUP(E2881,[3]Sheet1!$A$2:$A$391,[3]Sheet1!$A$2:$A$391)</f>
        <v>PO10191</v>
      </c>
    </row>
    <row r="2882" spans="1:14" x14ac:dyDescent="0.2">
      <c r="A2882" t="s">
        <v>2891</v>
      </c>
      <c r="B2882" s="2">
        <v>46324</v>
      </c>
      <c r="C2882" t="s">
        <v>2941</v>
      </c>
      <c r="D2882" t="s">
        <v>2942</v>
      </c>
      <c r="E2882" t="s">
        <v>3142</v>
      </c>
      <c r="F2882" s="3">
        <v>46324.60528855156</v>
      </c>
      <c r="G2882" s="3">
        <v>46324.609919400231</v>
      </c>
      <c r="H2882">
        <v>6.67</v>
      </c>
      <c r="I2882" t="s">
        <v>3151</v>
      </c>
      <c r="J2882" t="s">
        <v>3170</v>
      </c>
      <c r="K2882" t="s">
        <v>3187</v>
      </c>
      <c r="L2882" t="str">
        <f>_xlfn.XLOOKUP(C2882,[1]!Table1[Shift_ID],[1]!Table1[Shift_ID])</f>
        <v>S02</v>
      </c>
      <c r="M2882" t="str">
        <f>_xlfn.XLOOKUP(D2882,[2]!Table1[Machine_ID],[2]!Table1[Machine_ID])</f>
        <v>M001</v>
      </c>
      <c r="N2882" t="str">
        <f>_xlfn.XLOOKUP(E2882,[3]Sheet1!$A$2:$A$391,[3]Sheet1!$A$2:$A$391)</f>
        <v>PO10192</v>
      </c>
    </row>
    <row r="2883" spans="1:14" x14ac:dyDescent="0.2">
      <c r="A2883" t="s">
        <v>2892</v>
      </c>
      <c r="B2883" s="2">
        <v>46324</v>
      </c>
      <c r="C2883" t="s">
        <v>2941</v>
      </c>
      <c r="D2883" t="s">
        <v>2943</v>
      </c>
      <c r="E2883" t="s">
        <v>3142</v>
      </c>
      <c r="F2883" s="3">
        <v>46324.658630926111</v>
      </c>
      <c r="G2883" s="3">
        <v>46324.661010110882</v>
      </c>
      <c r="H2883">
        <v>3.43</v>
      </c>
      <c r="I2883" t="s">
        <v>3147</v>
      </c>
      <c r="J2883" t="s">
        <v>3154</v>
      </c>
      <c r="K2883" t="s">
        <v>3185</v>
      </c>
      <c r="L2883" t="str">
        <f>_xlfn.XLOOKUP(C2883,[1]!Table1[Shift_ID],[1]!Table1[Shift_ID])</f>
        <v>S02</v>
      </c>
      <c r="M2883" t="str">
        <f>_xlfn.XLOOKUP(D2883,[2]!Table1[Machine_ID],[2]!Table1[Machine_ID])</f>
        <v>M002</v>
      </c>
      <c r="N2883" t="str">
        <f>_xlfn.XLOOKUP(E2883,[3]Sheet1!$A$2:$A$391,[3]Sheet1!$A$2:$A$391)</f>
        <v>PO10192</v>
      </c>
    </row>
    <row r="2884" spans="1:14" x14ac:dyDescent="0.2">
      <c r="A2884" t="s">
        <v>2893</v>
      </c>
      <c r="B2884" s="2">
        <v>46324</v>
      </c>
      <c r="C2884" t="s">
        <v>2941</v>
      </c>
      <c r="D2884" t="s">
        <v>2943</v>
      </c>
      <c r="E2884" t="s">
        <v>3142</v>
      </c>
      <c r="F2884" s="3">
        <v>46324.70287792146</v>
      </c>
      <c r="G2884" s="3">
        <v>46324.709033227577</v>
      </c>
      <c r="H2884">
        <v>8.86</v>
      </c>
      <c r="I2884" t="s">
        <v>3147</v>
      </c>
      <c r="J2884" t="s">
        <v>3153</v>
      </c>
      <c r="K2884" t="s">
        <v>3185</v>
      </c>
      <c r="L2884" t="str">
        <f>_xlfn.XLOOKUP(C2884,[1]!Table1[Shift_ID],[1]!Table1[Shift_ID])</f>
        <v>S02</v>
      </c>
      <c r="M2884" t="str">
        <f>_xlfn.XLOOKUP(D2884,[2]!Table1[Machine_ID],[2]!Table1[Machine_ID])</f>
        <v>M002</v>
      </c>
      <c r="N2884" t="str">
        <f>_xlfn.XLOOKUP(E2884,[3]Sheet1!$A$2:$A$391,[3]Sheet1!$A$2:$A$391)</f>
        <v>PO10192</v>
      </c>
    </row>
    <row r="2885" spans="1:14" x14ac:dyDescent="0.2">
      <c r="A2885" t="s">
        <v>2894</v>
      </c>
      <c r="B2885" s="2">
        <v>46324</v>
      </c>
      <c r="C2885" t="s">
        <v>2941</v>
      </c>
      <c r="D2885" t="s">
        <v>2944</v>
      </c>
      <c r="E2885" t="s">
        <v>3142</v>
      </c>
      <c r="F2885" s="3">
        <v>46324.834818286319</v>
      </c>
      <c r="G2885" s="3">
        <v>46324.847586785087</v>
      </c>
      <c r="H2885">
        <v>18.39</v>
      </c>
      <c r="I2885" t="s">
        <v>3146</v>
      </c>
      <c r="J2885" t="s">
        <v>3156</v>
      </c>
      <c r="K2885" t="s">
        <v>3174</v>
      </c>
      <c r="L2885" t="str">
        <f>_xlfn.XLOOKUP(C2885,[1]!Table1[Shift_ID],[1]!Table1[Shift_ID])</f>
        <v>S02</v>
      </c>
      <c r="M2885" t="str">
        <f>_xlfn.XLOOKUP(D2885,[2]!Table1[Machine_ID],[2]!Table1[Machine_ID])</f>
        <v>M003</v>
      </c>
      <c r="N2885" t="str">
        <f>_xlfn.XLOOKUP(E2885,[3]Sheet1!$A$2:$A$391,[3]Sheet1!$A$2:$A$391)</f>
        <v>PO10192</v>
      </c>
    </row>
    <row r="2886" spans="1:14" x14ac:dyDescent="0.2">
      <c r="A2886" t="s">
        <v>2895</v>
      </c>
      <c r="B2886" s="2">
        <v>46324</v>
      </c>
      <c r="C2886" t="s">
        <v>2941</v>
      </c>
      <c r="D2886" t="s">
        <v>2945</v>
      </c>
      <c r="E2886" t="s">
        <v>3142</v>
      </c>
      <c r="F2886" s="3">
        <v>46324.611202993008</v>
      </c>
      <c r="G2886" s="3">
        <v>46324.619494595478</v>
      </c>
      <c r="H2886">
        <v>11.94</v>
      </c>
      <c r="I2886" t="s">
        <v>3150</v>
      </c>
      <c r="J2886" t="s">
        <v>3166</v>
      </c>
      <c r="K2886" t="s">
        <v>3178</v>
      </c>
      <c r="L2886" t="str">
        <f>_xlfn.XLOOKUP(C2886,[1]!Table1[Shift_ID],[1]!Table1[Shift_ID])</f>
        <v>S02</v>
      </c>
      <c r="M2886" t="str">
        <f>_xlfn.XLOOKUP(D2886,[2]!Table1[Machine_ID],[2]!Table1[Machine_ID])</f>
        <v>M004</v>
      </c>
      <c r="N2886" t="str">
        <f>_xlfn.XLOOKUP(E2886,[3]Sheet1!$A$2:$A$391,[3]Sheet1!$A$2:$A$391)</f>
        <v>PO10192</v>
      </c>
    </row>
    <row r="2887" spans="1:14" x14ac:dyDescent="0.2">
      <c r="A2887" t="s">
        <v>2896</v>
      </c>
      <c r="B2887" s="2">
        <v>46324</v>
      </c>
      <c r="C2887" t="s">
        <v>2941</v>
      </c>
      <c r="D2887" t="s">
        <v>2946</v>
      </c>
      <c r="E2887" t="s">
        <v>3142</v>
      </c>
      <c r="F2887" s="3">
        <v>46324.632579701327</v>
      </c>
      <c r="G2887" s="3">
        <v>46324.634583806037</v>
      </c>
      <c r="H2887">
        <v>2.89</v>
      </c>
      <c r="I2887" t="s">
        <v>3147</v>
      </c>
      <c r="J2887" t="s">
        <v>3167</v>
      </c>
      <c r="K2887" t="s">
        <v>3186</v>
      </c>
      <c r="L2887" t="str">
        <f>_xlfn.XLOOKUP(C2887,[1]!Table1[Shift_ID],[1]!Table1[Shift_ID])</f>
        <v>S02</v>
      </c>
      <c r="M2887" t="str">
        <f>_xlfn.XLOOKUP(D2887,[2]!Table1[Machine_ID],[2]!Table1[Machine_ID])</f>
        <v>M005</v>
      </c>
      <c r="N2887" t="str">
        <f>_xlfn.XLOOKUP(E2887,[3]Sheet1!$A$2:$A$391,[3]Sheet1!$A$2:$A$391)</f>
        <v>PO10192</v>
      </c>
    </row>
    <row r="2888" spans="1:14" x14ac:dyDescent="0.2">
      <c r="A2888" t="s">
        <v>2897</v>
      </c>
      <c r="B2888" s="2">
        <v>46324</v>
      </c>
      <c r="C2888" t="s">
        <v>2941</v>
      </c>
      <c r="D2888" t="s">
        <v>2946</v>
      </c>
      <c r="E2888" t="s">
        <v>3142</v>
      </c>
      <c r="F2888" s="3">
        <v>46324.656618243389</v>
      </c>
      <c r="G2888" s="3">
        <v>46324.662197441758</v>
      </c>
      <c r="H2888">
        <v>8.0299999999999994</v>
      </c>
      <c r="I2888" t="s">
        <v>3149</v>
      </c>
      <c r="J2888" t="s">
        <v>3168</v>
      </c>
      <c r="K2888" t="s">
        <v>3184</v>
      </c>
      <c r="L2888" t="str">
        <f>_xlfn.XLOOKUP(C2888,[1]!Table1[Shift_ID],[1]!Table1[Shift_ID])</f>
        <v>S02</v>
      </c>
      <c r="M2888" t="str">
        <f>_xlfn.XLOOKUP(D2888,[2]!Table1[Machine_ID],[2]!Table1[Machine_ID])</f>
        <v>M005</v>
      </c>
      <c r="N2888" t="str">
        <f>_xlfn.XLOOKUP(E2888,[3]Sheet1!$A$2:$A$391,[3]Sheet1!$A$2:$A$391)</f>
        <v>PO10192</v>
      </c>
    </row>
    <row r="2889" spans="1:14" x14ac:dyDescent="0.2">
      <c r="A2889" t="s">
        <v>2898</v>
      </c>
      <c r="B2889" s="2">
        <v>46324</v>
      </c>
      <c r="C2889" t="s">
        <v>2941</v>
      </c>
      <c r="D2889" t="s">
        <v>2947</v>
      </c>
      <c r="E2889" t="s">
        <v>3142</v>
      </c>
      <c r="F2889" s="3">
        <v>46324.705791046712</v>
      </c>
      <c r="G2889" s="3">
        <v>46324.725691900348</v>
      </c>
      <c r="H2889">
        <v>28.66</v>
      </c>
      <c r="I2889" t="s">
        <v>3147</v>
      </c>
      <c r="J2889" t="s">
        <v>3154</v>
      </c>
      <c r="K2889" t="s">
        <v>3186</v>
      </c>
      <c r="L2889" t="str">
        <f>_xlfn.XLOOKUP(C2889,[1]!Table1[Shift_ID],[1]!Table1[Shift_ID])</f>
        <v>S02</v>
      </c>
      <c r="M2889" t="str">
        <f>_xlfn.XLOOKUP(D2889,[2]!Table1[Machine_ID],[2]!Table1[Machine_ID])</f>
        <v>M006</v>
      </c>
      <c r="N2889" t="str">
        <f>_xlfn.XLOOKUP(E2889,[3]Sheet1!$A$2:$A$391,[3]Sheet1!$A$2:$A$391)</f>
        <v>PO10192</v>
      </c>
    </row>
    <row r="2890" spans="1:14" x14ac:dyDescent="0.2">
      <c r="A2890" t="s">
        <v>2899</v>
      </c>
      <c r="B2890" s="2">
        <v>46324</v>
      </c>
      <c r="C2890" t="s">
        <v>2941</v>
      </c>
      <c r="D2890" t="s">
        <v>2948</v>
      </c>
      <c r="E2890" t="s">
        <v>3142</v>
      </c>
      <c r="F2890" s="3">
        <v>46324.88219555765</v>
      </c>
      <c r="G2890" s="3">
        <v>46324.897449511504</v>
      </c>
      <c r="H2890">
        <v>21.97</v>
      </c>
      <c r="I2890" t="s">
        <v>3148</v>
      </c>
      <c r="J2890" t="s">
        <v>3155</v>
      </c>
      <c r="K2890" t="s">
        <v>3180</v>
      </c>
      <c r="L2890" t="str">
        <f>_xlfn.XLOOKUP(C2890,[1]!Table1[Shift_ID],[1]!Table1[Shift_ID])</f>
        <v>S02</v>
      </c>
      <c r="M2890" t="str">
        <f>_xlfn.XLOOKUP(D2890,[2]!Table1[Machine_ID],[2]!Table1[Machine_ID])</f>
        <v>M007</v>
      </c>
      <c r="N2890" t="str">
        <f>_xlfn.XLOOKUP(E2890,[3]Sheet1!$A$2:$A$391,[3]Sheet1!$A$2:$A$391)</f>
        <v>PO10192</v>
      </c>
    </row>
    <row r="2891" spans="1:14" x14ac:dyDescent="0.2">
      <c r="A2891" t="s">
        <v>2900</v>
      </c>
      <c r="B2891" s="2">
        <v>46324</v>
      </c>
      <c r="C2891" t="s">
        <v>2941</v>
      </c>
      <c r="D2891" t="s">
        <v>2949</v>
      </c>
      <c r="E2891" t="s">
        <v>3142</v>
      </c>
      <c r="F2891" s="3">
        <v>46324.894954731251</v>
      </c>
      <c r="G2891" s="3">
        <v>46324.901534372977</v>
      </c>
      <c r="H2891">
        <v>9.4700000000000006</v>
      </c>
      <c r="I2891" t="s">
        <v>3150</v>
      </c>
      <c r="J2891" t="s">
        <v>3163</v>
      </c>
      <c r="K2891" t="s">
        <v>3177</v>
      </c>
      <c r="L2891" t="str">
        <f>_xlfn.XLOOKUP(C2891,[1]!Table1[Shift_ID],[1]!Table1[Shift_ID])</f>
        <v>S02</v>
      </c>
      <c r="M2891" t="str">
        <f>_xlfn.XLOOKUP(D2891,[2]!Table1[Machine_ID],[2]!Table1[Machine_ID])</f>
        <v>M008</v>
      </c>
      <c r="N2891" t="str">
        <f>_xlfn.XLOOKUP(E2891,[3]Sheet1!$A$2:$A$391,[3]Sheet1!$A$2:$A$391)</f>
        <v>PO10192</v>
      </c>
    </row>
    <row r="2892" spans="1:14" x14ac:dyDescent="0.2">
      <c r="A2892" t="s">
        <v>2901</v>
      </c>
      <c r="B2892" s="2">
        <v>46325</v>
      </c>
      <c r="C2892" t="s">
        <v>2939</v>
      </c>
      <c r="D2892" t="s">
        <v>2942</v>
      </c>
      <c r="E2892" t="s">
        <v>3143</v>
      </c>
      <c r="F2892" s="3">
        <v>46326.218476332528</v>
      </c>
      <c r="G2892" s="3">
        <v>46326.223381159172</v>
      </c>
      <c r="H2892">
        <v>7.06</v>
      </c>
      <c r="I2892" t="s">
        <v>3150</v>
      </c>
      <c r="J2892" t="s">
        <v>3163</v>
      </c>
      <c r="K2892" t="s">
        <v>3178</v>
      </c>
      <c r="L2892" t="str">
        <f>_xlfn.XLOOKUP(C2892,[1]!Table1[Shift_ID],[1]!Table1[Shift_ID])</f>
        <v>S03</v>
      </c>
      <c r="M2892" t="str">
        <f>_xlfn.XLOOKUP(D2892,[2]!Table1[Machine_ID],[2]!Table1[Machine_ID])</f>
        <v>M001</v>
      </c>
      <c r="N2892" t="str">
        <f>_xlfn.XLOOKUP(E2892,[3]Sheet1!$A$2:$A$391,[3]Sheet1!$A$2:$A$391)</f>
        <v>PO10193</v>
      </c>
    </row>
    <row r="2893" spans="1:14" x14ac:dyDescent="0.2">
      <c r="A2893" t="s">
        <v>2902</v>
      </c>
      <c r="B2893" s="2">
        <v>46325</v>
      </c>
      <c r="C2893" t="s">
        <v>2939</v>
      </c>
      <c r="D2893" t="s">
        <v>2943</v>
      </c>
      <c r="E2893" t="s">
        <v>3143</v>
      </c>
      <c r="F2893" s="3">
        <v>46326.146851222162</v>
      </c>
      <c r="G2893" s="3">
        <v>46326.156971823577</v>
      </c>
      <c r="H2893">
        <v>14.57</v>
      </c>
      <c r="I2893" t="s">
        <v>3151</v>
      </c>
      <c r="J2893" t="s">
        <v>3161</v>
      </c>
      <c r="K2893" t="s">
        <v>3181</v>
      </c>
      <c r="L2893" t="str">
        <f>_xlfn.XLOOKUP(C2893,[1]!Table1[Shift_ID],[1]!Table1[Shift_ID])</f>
        <v>S03</v>
      </c>
      <c r="M2893" t="str">
        <f>_xlfn.XLOOKUP(D2893,[2]!Table1[Machine_ID],[2]!Table1[Machine_ID])</f>
        <v>M002</v>
      </c>
      <c r="N2893" t="str">
        <f>_xlfn.XLOOKUP(E2893,[3]Sheet1!$A$2:$A$391,[3]Sheet1!$A$2:$A$391)</f>
        <v>PO10193</v>
      </c>
    </row>
    <row r="2894" spans="1:14" x14ac:dyDescent="0.2">
      <c r="A2894" t="s">
        <v>2903</v>
      </c>
      <c r="B2894" s="2">
        <v>46325</v>
      </c>
      <c r="C2894" t="s">
        <v>2939</v>
      </c>
      <c r="D2894" t="s">
        <v>2944</v>
      </c>
      <c r="E2894" t="s">
        <v>3143</v>
      </c>
      <c r="F2894" s="3">
        <v>46325.924829178461</v>
      </c>
      <c r="G2894" s="3">
        <v>46325.929455966907</v>
      </c>
      <c r="H2894">
        <v>6.66</v>
      </c>
      <c r="I2894" t="s">
        <v>3151</v>
      </c>
      <c r="J2894" t="s">
        <v>3170</v>
      </c>
      <c r="K2894" t="s">
        <v>3187</v>
      </c>
      <c r="L2894" t="str">
        <f>_xlfn.XLOOKUP(C2894,[1]!Table1[Shift_ID],[1]!Table1[Shift_ID])</f>
        <v>S03</v>
      </c>
      <c r="M2894" t="str">
        <f>_xlfn.XLOOKUP(D2894,[2]!Table1[Machine_ID],[2]!Table1[Machine_ID])</f>
        <v>M003</v>
      </c>
      <c r="N2894" t="str">
        <f>_xlfn.XLOOKUP(E2894,[3]Sheet1!$A$2:$A$391,[3]Sheet1!$A$2:$A$391)</f>
        <v>PO10193</v>
      </c>
    </row>
    <row r="2895" spans="1:14" x14ac:dyDescent="0.2">
      <c r="A2895" t="s">
        <v>2904</v>
      </c>
      <c r="B2895" s="2">
        <v>46325</v>
      </c>
      <c r="C2895" t="s">
        <v>2939</v>
      </c>
      <c r="D2895" t="s">
        <v>2944</v>
      </c>
      <c r="E2895" t="s">
        <v>3143</v>
      </c>
      <c r="F2895" s="3">
        <v>46326.184743105186</v>
      </c>
      <c r="G2895" s="3">
        <v>46326.193012167801</v>
      </c>
      <c r="H2895">
        <v>11.91</v>
      </c>
      <c r="I2895" t="s">
        <v>3148</v>
      </c>
      <c r="J2895" t="s">
        <v>3164</v>
      </c>
      <c r="K2895" t="s">
        <v>3183</v>
      </c>
      <c r="L2895" t="str">
        <f>_xlfn.XLOOKUP(C2895,[1]!Table1[Shift_ID],[1]!Table1[Shift_ID])</f>
        <v>S03</v>
      </c>
      <c r="M2895" t="str">
        <f>_xlfn.XLOOKUP(D2895,[2]!Table1[Machine_ID],[2]!Table1[Machine_ID])</f>
        <v>M003</v>
      </c>
      <c r="N2895" t="str">
        <f>_xlfn.XLOOKUP(E2895,[3]Sheet1!$A$2:$A$391,[3]Sheet1!$A$2:$A$391)</f>
        <v>PO10193</v>
      </c>
    </row>
    <row r="2896" spans="1:14" x14ac:dyDescent="0.2">
      <c r="A2896" t="s">
        <v>2905</v>
      </c>
      <c r="B2896" s="2">
        <v>46325</v>
      </c>
      <c r="C2896" t="s">
        <v>2939</v>
      </c>
      <c r="D2896" t="s">
        <v>2945</v>
      </c>
      <c r="E2896" t="s">
        <v>3143</v>
      </c>
      <c r="F2896" s="3">
        <v>46326.057190502281</v>
      </c>
      <c r="G2896" s="3">
        <v>46326.065467382439</v>
      </c>
      <c r="H2896">
        <v>11.92</v>
      </c>
      <c r="I2896" t="s">
        <v>3147</v>
      </c>
      <c r="J2896" t="s">
        <v>3154</v>
      </c>
      <c r="K2896" t="s">
        <v>3185</v>
      </c>
      <c r="L2896" t="str">
        <f>_xlfn.XLOOKUP(C2896,[1]!Table1[Shift_ID],[1]!Table1[Shift_ID])</f>
        <v>S03</v>
      </c>
      <c r="M2896" t="str">
        <f>_xlfn.XLOOKUP(D2896,[2]!Table1[Machine_ID],[2]!Table1[Machine_ID])</f>
        <v>M004</v>
      </c>
      <c r="N2896" t="str">
        <f>_xlfn.XLOOKUP(E2896,[3]Sheet1!$A$2:$A$391,[3]Sheet1!$A$2:$A$391)</f>
        <v>PO10193</v>
      </c>
    </row>
    <row r="2897" spans="1:14" x14ac:dyDescent="0.2">
      <c r="A2897" t="s">
        <v>2906</v>
      </c>
      <c r="B2897" s="2">
        <v>46325</v>
      </c>
      <c r="C2897" t="s">
        <v>2939</v>
      </c>
      <c r="D2897" t="s">
        <v>2946</v>
      </c>
      <c r="E2897" t="s">
        <v>3143</v>
      </c>
      <c r="F2897" s="3">
        <v>46325.985266203606</v>
      </c>
      <c r="G2897" s="3">
        <v>46325.992905770858</v>
      </c>
      <c r="H2897">
        <v>11</v>
      </c>
      <c r="I2897" t="s">
        <v>3148</v>
      </c>
      <c r="J2897" t="s">
        <v>3155</v>
      </c>
      <c r="K2897" t="s">
        <v>3180</v>
      </c>
      <c r="L2897" t="str">
        <f>_xlfn.XLOOKUP(C2897,[1]!Table1[Shift_ID],[1]!Table1[Shift_ID])</f>
        <v>S03</v>
      </c>
      <c r="M2897" t="str">
        <f>_xlfn.XLOOKUP(D2897,[2]!Table1[Machine_ID],[2]!Table1[Machine_ID])</f>
        <v>M005</v>
      </c>
      <c r="N2897" t="str">
        <f>_xlfn.XLOOKUP(E2897,[3]Sheet1!$A$2:$A$391,[3]Sheet1!$A$2:$A$391)</f>
        <v>PO10193</v>
      </c>
    </row>
    <row r="2898" spans="1:14" x14ac:dyDescent="0.2">
      <c r="A2898" t="s">
        <v>2907</v>
      </c>
      <c r="B2898" s="2">
        <v>46325</v>
      </c>
      <c r="C2898" t="s">
        <v>2939</v>
      </c>
      <c r="D2898" t="s">
        <v>2947</v>
      </c>
      <c r="E2898" t="s">
        <v>3143</v>
      </c>
      <c r="F2898" s="3">
        <v>46325.932868534583</v>
      </c>
      <c r="G2898" s="3">
        <v>46325.942124899448</v>
      </c>
      <c r="H2898">
        <v>13.33</v>
      </c>
      <c r="I2898" t="s">
        <v>3147</v>
      </c>
      <c r="J2898" t="s">
        <v>3153</v>
      </c>
      <c r="K2898" t="s">
        <v>3172</v>
      </c>
      <c r="L2898" t="str">
        <f>_xlfn.XLOOKUP(C2898,[1]!Table1[Shift_ID],[1]!Table1[Shift_ID])</f>
        <v>S03</v>
      </c>
      <c r="M2898" t="str">
        <f>_xlfn.XLOOKUP(D2898,[2]!Table1[Machine_ID],[2]!Table1[Machine_ID])</f>
        <v>M006</v>
      </c>
      <c r="N2898" t="str">
        <f>_xlfn.XLOOKUP(E2898,[3]Sheet1!$A$2:$A$391,[3]Sheet1!$A$2:$A$391)</f>
        <v>PO10193</v>
      </c>
    </row>
    <row r="2899" spans="1:14" x14ac:dyDescent="0.2">
      <c r="A2899" t="s">
        <v>2908</v>
      </c>
      <c r="B2899" s="2">
        <v>46325</v>
      </c>
      <c r="C2899" t="s">
        <v>2939</v>
      </c>
      <c r="D2899" t="s">
        <v>2947</v>
      </c>
      <c r="E2899" t="s">
        <v>3143</v>
      </c>
      <c r="F2899" s="3">
        <v>46326.190707521673</v>
      </c>
      <c r="G2899" s="3">
        <v>46326.205760455297</v>
      </c>
      <c r="H2899">
        <v>21.68</v>
      </c>
      <c r="I2899" t="s">
        <v>3151</v>
      </c>
      <c r="J2899" t="s">
        <v>3161</v>
      </c>
      <c r="K2899" t="s">
        <v>3188</v>
      </c>
      <c r="L2899" t="str">
        <f>_xlfn.XLOOKUP(C2899,[1]!Table1[Shift_ID],[1]!Table1[Shift_ID])</f>
        <v>S03</v>
      </c>
      <c r="M2899" t="str">
        <f>_xlfn.XLOOKUP(D2899,[2]!Table1[Machine_ID],[2]!Table1[Machine_ID])</f>
        <v>M006</v>
      </c>
      <c r="N2899" t="str">
        <f>_xlfn.XLOOKUP(E2899,[3]Sheet1!$A$2:$A$391,[3]Sheet1!$A$2:$A$391)</f>
        <v>PO10193</v>
      </c>
    </row>
    <row r="2900" spans="1:14" x14ac:dyDescent="0.2">
      <c r="A2900" t="s">
        <v>2909</v>
      </c>
      <c r="B2900" s="2">
        <v>46325</v>
      </c>
      <c r="C2900" t="s">
        <v>2939</v>
      </c>
      <c r="D2900" t="s">
        <v>2947</v>
      </c>
      <c r="E2900" t="s">
        <v>3143</v>
      </c>
      <c r="F2900" s="3">
        <v>46326.221691604071</v>
      </c>
      <c r="G2900" s="3">
        <v>46326.223765137103</v>
      </c>
      <c r="H2900">
        <v>2.99</v>
      </c>
      <c r="I2900" t="s">
        <v>3150</v>
      </c>
      <c r="J2900" t="s">
        <v>3166</v>
      </c>
      <c r="K2900" t="s">
        <v>3179</v>
      </c>
      <c r="L2900" t="str">
        <f>_xlfn.XLOOKUP(C2900,[1]!Table1[Shift_ID],[1]!Table1[Shift_ID])</f>
        <v>S03</v>
      </c>
      <c r="M2900" t="str">
        <f>_xlfn.XLOOKUP(D2900,[2]!Table1[Machine_ID],[2]!Table1[Machine_ID])</f>
        <v>M006</v>
      </c>
      <c r="N2900" t="str">
        <f>_xlfn.XLOOKUP(E2900,[3]Sheet1!$A$2:$A$391,[3]Sheet1!$A$2:$A$391)</f>
        <v>PO10193</v>
      </c>
    </row>
    <row r="2901" spans="1:14" x14ac:dyDescent="0.2">
      <c r="A2901" t="s">
        <v>2910</v>
      </c>
      <c r="B2901" s="2">
        <v>46325</v>
      </c>
      <c r="C2901" t="s">
        <v>2939</v>
      </c>
      <c r="D2901" t="s">
        <v>2948</v>
      </c>
      <c r="E2901" t="s">
        <v>3143</v>
      </c>
      <c r="F2901" s="3">
        <v>46325.985298381733</v>
      </c>
      <c r="G2901" s="3">
        <v>46326.003518760692</v>
      </c>
      <c r="H2901">
        <v>26.24</v>
      </c>
      <c r="I2901" t="s">
        <v>3147</v>
      </c>
      <c r="J2901" t="s">
        <v>3167</v>
      </c>
      <c r="K2901" t="s">
        <v>3186</v>
      </c>
      <c r="L2901" t="str">
        <f>_xlfn.XLOOKUP(C2901,[1]!Table1[Shift_ID],[1]!Table1[Shift_ID])</f>
        <v>S03</v>
      </c>
      <c r="M2901" t="str">
        <f>_xlfn.XLOOKUP(D2901,[2]!Table1[Machine_ID],[2]!Table1[Machine_ID])</f>
        <v>M007</v>
      </c>
      <c r="N2901" t="str">
        <f>_xlfn.XLOOKUP(E2901,[3]Sheet1!$A$2:$A$391,[3]Sheet1!$A$2:$A$391)</f>
        <v>PO10193</v>
      </c>
    </row>
    <row r="2902" spans="1:14" x14ac:dyDescent="0.2">
      <c r="A2902" t="s">
        <v>2911</v>
      </c>
      <c r="B2902" s="2">
        <v>46325</v>
      </c>
      <c r="C2902" t="s">
        <v>2939</v>
      </c>
      <c r="D2902" t="s">
        <v>2949</v>
      </c>
      <c r="E2902" t="s">
        <v>3143</v>
      </c>
      <c r="F2902" s="3">
        <v>46326.054669088328</v>
      </c>
      <c r="G2902" s="3">
        <v>46326.061253877779</v>
      </c>
      <c r="H2902">
        <v>9.48</v>
      </c>
      <c r="I2902" t="s">
        <v>3148</v>
      </c>
      <c r="J2902" t="s">
        <v>3164</v>
      </c>
      <c r="K2902" t="s">
        <v>3180</v>
      </c>
      <c r="L2902" t="str">
        <f>_xlfn.XLOOKUP(C2902,[1]!Table1[Shift_ID],[1]!Table1[Shift_ID])</f>
        <v>S03</v>
      </c>
      <c r="M2902" t="str">
        <f>_xlfn.XLOOKUP(D2902,[2]!Table1[Machine_ID],[2]!Table1[Machine_ID])</f>
        <v>M008</v>
      </c>
      <c r="N2902" t="str">
        <f>_xlfn.XLOOKUP(E2902,[3]Sheet1!$A$2:$A$391,[3]Sheet1!$A$2:$A$391)</f>
        <v>PO10193</v>
      </c>
    </row>
    <row r="2903" spans="1:14" x14ac:dyDescent="0.2">
      <c r="A2903" t="s">
        <v>2912</v>
      </c>
      <c r="B2903" s="2">
        <v>46325</v>
      </c>
      <c r="C2903" t="s">
        <v>2940</v>
      </c>
      <c r="D2903" t="s">
        <v>2942</v>
      </c>
      <c r="E2903" t="s">
        <v>3144</v>
      </c>
      <c r="F2903" s="3">
        <v>46325.349483454193</v>
      </c>
      <c r="G2903" s="3">
        <v>46325.35470330355</v>
      </c>
      <c r="H2903">
        <v>7.52</v>
      </c>
      <c r="I2903" t="s">
        <v>3151</v>
      </c>
      <c r="J2903" t="s">
        <v>3161</v>
      </c>
      <c r="K2903" t="s">
        <v>3188</v>
      </c>
      <c r="L2903" t="str">
        <f>_xlfn.XLOOKUP(C2903,[1]!Table1[Shift_ID],[1]!Table1[Shift_ID])</f>
        <v>S01</v>
      </c>
      <c r="M2903" t="str">
        <f>_xlfn.XLOOKUP(D2903,[2]!Table1[Machine_ID],[2]!Table1[Machine_ID])</f>
        <v>M001</v>
      </c>
      <c r="N2903" t="str">
        <f>_xlfn.XLOOKUP(E2903,[3]Sheet1!$A$2:$A$391,[3]Sheet1!$A$2:$A$391)</f>
        <v>PO10194</v>
      </c>
    </row>
    <row r="2904" spans="1:14" x14ac:dyDescent="0.2">
      <c r="A2904" t="s">
        <v>2913</v>
      </c>
      <c r="B2904" s="2">
        <v>46325</v>
      </c>
      <c r="C2904" t="s">
        <v>2940</v>
      </c>
      <c r="D2904" t="s">
        <v>2942</v>
      </c>
      <c r="E2904" t="s">
        <v>3144</v>
      </c>
      <c r="F2904" s="3">
        <v>46325.482434830679</v>
      </c>
      <c r="G2904" s="3">
        <v>46325.48418426649</v>
      </c>
      <c r="H2904">
        <v>2.52</v>
      </c>
      <c r="I2904" t="s">
        <v>3151</v>
      </c>
      <c r="J2904" t="s">
        <v>3161</v>
      </c>
      <c r="K2904" t="s">
        <v>3181</v>
      </c>
      <c r="L2904" t="str">
        <f>_xlfn.XLOOKUP(C2904,[1]!Table1[Shift_ID],[1]!Table1[Shift_ID])</f>
        <v>S01</v>
      </c>
      <c r="M2904" t="str">
        <f>_xlfn.XLOOKUP(D2904,[2]!Table1[Machine_ID],[2]!Table1[Machine_ID])</f>
        <v>M001</v>
      </c>
      <c r="N2904" t="str">
        <f>_xlfn.XLOOKUP(E2904,[3]Sheet1!$A$2:$A$391,[3]Sheet1!$A$2:$A$391)</f>
        <v>PO10194</v>
      </c>
    </row>
    <row r="2905" spans="1:14" x14ac:dyDescent="0.2">
      <c r="A2905" t="s">
        <v>2914</v>
      </c>
      <c r="B2905" s="2">
        <v>46325</v>
      </c>
      <c r="C2905" t="s">
        <v>2940</v>
      </c>
      <c r="D2905" t="s">
        <v>2943</v>
      </c>
      <c r="E2905" t="s">
        <v>3144</v>
      </c>
      <c r="F2905" s="3">
        <v>46325.315670425662</v>
      </c>
      <c r="G2905" s="3">
        <v>46325.320201253737</v>
      </c>
      <c r="H2905">
        <v>6.52</v>
      </c>
      <c r="I2905" t="s">
        <v>3151</v>
      </c>
      <c r="J2905" t="s">
        <v>3169</v>
      </c>
      <c r="K2905" t="s">
        <v>3188</v>
      </c>
      <c r="L2905" t="str">
        <f>_xlfn.XLOOKUP(C2905,[1]!Table1[Shift_ID],[1]!Table1[Shift_ID])</f>
        <v>S01</v>
      </c>
      <c r="M2905" t="str">
        <f>_xlfn.XLOOKUP(D2905,[2]!Table1[Machine_ID],[2]!Table1[Machine_ID])</f>
        <v>M002</v>
      </c>
      <c r="N2905" t="str">
        <f>_xlfn.XLOOKUP(E2905,[3]Sheet1!$A$2:$A$391,[3]Sheet1!$A$2:$A$391)</f>
        <v>PO10194</v>
      </c>
    </row>
    <row r="2906" spans="1:14" x14ac:dyDescent="0.2">
      <c r="A2906" t="s">
        <v>2915</v>
      </c>
      <c r="B2906" s="2">
        <v>46325</v>
      </c>
      <c r="C2906" t="s">
        <v>2940</v>
      </c>
      <c r="D2906" t="s">
        <v>2943</v>
      </c>
      <c r="E2906" t="s">
        <v>3144</v>
      </c>
      <c r="F2906" s="3">
        <v>46325.386470245488</v>
      </c>
      <c r="G2906" s="3">
        <v>46325.388492259772</v>
      </c>
      <c r="H2906">
        <v>2.91</v>
      </c>
      <c r="I2906" t="s">
        <v>3150</v>
      </c>
      <c r="J2906" t="s">
        <v>3160</v>
      </c>
      <c r="K2906" t="s">
        <v>3177</v>
      </c>
      <c r="L2906" t="str">
        <f>_xlfn.XLOOKUP(C2906,[1]!Table1[Shift_ID],[1]!Table1[Shift_ID])</f>
        <v>S01</v>
      </c>
      <c r="M2906" t="str">
        <f>_xlfn.XLOOKUP(D2906,[2]!Table1[Machine_ID],[2]!Table1[Machine_ID])</f>
        <v>M002</v>
      </c>
      <c r="N2906" t="str">
        <f>_xlfn.XLOOKUP(E2906,[3]Sheet1!$A$2:$A$391,[3]Sheet1!$A$2:$A$391)</f>
        <v>PO10194</v>
      </c>
    </row>
    <row r="2907" spans="1:14" x14ac:dyDescent="0.2">
      <c r="A2907" t="s">
        <v>2916</v>
      </c>
      <c r="B2907" s="2">
        <v>46325</v>
      </c>
      <c r="C2907" t="s">
        <v>2940</v>
      </c>
      <c r="D2907" t="s">
        <v>2943</v>
      </c>
      <c r="E2907" t="s">
        <v>3144</v>
      </c>
      <c r="F2907" s="3">
        <v>46325.574950242291</v>
      </c>
      <c r="G2907" s="3">
        <v>46325.577062848257</v>
      </c>
      <c r="H2907">
        <v>3.04</v>
      </c>
      <c r="I2907" t="s">
        <v>3148</v>
      </c>
      <c r="J2907" t="s">
        <v>3165</v>
      </c>
      <c r="K2907" t="s">
        <v>3173</v>
      </c>
      <c r="L2907" t="str">
        <f>_xlfn.XLOOKUP(C2907,[1]!Table1[Shift_ID],[1]!Table1[Shift_ID])</f>
        <v>S01</v>
      </c>
      <c r="M2907" t="str">
        <f>_xlfn.XLOOKUP(D2907,[2]!Table1[Machine_ID],[2]!Table1[Machine_ID])</f>
        <v>M002</v>
      </c>
      <c r="N2907" t="str">
        <f>_xlfn.XLOOKUP(E2907,[3]Sheet1!$A$2:$A$391,[3]Sheet1!$A$2:$A$391)</f>
        <v>PO10194</v>
      </c>
    </row>
    <row r="2908" spans="1:14" x14ac:dyDescent="0.2">
      <c r="A2908" t="s">
        <v>2917</v>
      </c>
      <c r="B2908" s="2">
        <v>46325</v>
      </c>
      <c r="C2908" t="s">
        <v>2940</v>
      </c>
      <c r="D2908" t="s">
        <v>2944</v>
      </c>
      <c r="E2908" t="s">
        <v>3144</v>
      </c>
      <c r="F2908" s="3">
        <v>46325.268597040507</v>
      </c>
      <c r="G2908" s="3">
        <v>46325.27291342814</v>
      </c>
      <c r="H2908">
        <v>6.22</v>
      </c>
      <c r="I2908" t="s">
        <v>3151</v>
      </c>
      <c r="J2908" t="s">
        <v>3161</v>
      </c>
      <c r="K2908" t="s">
        <v>3187</v>
      </c>
      <c r="L2908" t="str">
        <f>_xlfn.XLOOKUP(C2908,[1]!Table1[Shift_ID],[1]!Table1[Shift_ID])</f>
        <v>S01</v>
      </c>
      <c r="M2908" t="str">
        <f>_xlfn.XLOOKUP(D2908,[2]!Table1[Machine_ID],[2]!Table1[Machine_ID])</f>
        <v>M003</v>
      </c>
      <c r="N2908" t="str">
        <f>_xlfn.XLOOKUP(E2908,[3]Sheet1!$A$2:$A$391,[3]Sheet1!$A$2:$A$391)</f>
        <v>PO10194</v>
      </c>
    </row>
    <row r="2909" spans="1:14" x14ac:dyDescent="0.2">
      <c r="A2909" t="s">
        <v>2918</v>
      </c>
      <c r="B2909" s="2">
        <v>46325</v>
      </c>
      <c r="C2909" t="s">
        <v>2940</v>
      </c>
      <c r="D2909" t="s">
        <v>2944</v>
      </c>
      <c r="E2909" t="s">
        <v>3144</v>
      </c>
      <c r="F2909" s="3">
        <v>46325.543640107069</v>
      </c>
      <c r="G2909" s="3">
        <v>46325.552619729038</v>
      </c>
      <c r="H2909">
        <v>12.93</v>
      </c>
      <c r="I2909" t="s">
        <v>3151</v>
      </c>
      <c r="J2909" t="s">
        <v>3170</v>
      </c>
      <c r="K2909" t="s">
        <v>3188</v>
      </c>
      <c r="L2909" t="str">
        <f>_xlfn.XLOOKUP(C2909,[1]!Table1[Shift_ID],[1]!Table1[Shift_ID])</f>
        <v>S01</v>
      </c>
      <c r="M2909" t="str">
        <f>_xlfn.XLOOKUP(D2909,[2]!Table1[Machine_ID],[2]!Table1[Machine_ID])</f>
        <v>M003</v>
      </c>
      <c r="N2909" t="str">
        <f>_xlfn.XLOOKUP(E2909,[3]Sheet1!$A$2:$A$391,[3]Sheet1!$A$2:$A$391)</f>
        <v>PO10194</v>
      </c>
    </row>
    <row r="2910" spans="1:14" x14ac:dyDescent="0.2">
      <c r="A2910" t="s">
        <v>2919</v>
      </c>
      <c r="B2910" s="2">
        <v>46325</v>
      </c>
      <c r="C2910" t="s">
        <v>2940</v>
      </c>
      <c r="D2910" t="s">
        <v>2945</v>
      </c>
      <c r="E2910" t="s">
        <v>3144</v>
      </c>
      <c r="F2910" s="3">
        <v>46325.498650255999</v>
      </c>
      <c r="G2910" s="3">
        <v>46325.506802975091</v>
      </c>
      <c r="H2910">
        <v>11.74</v>
      </c>
      <c r="I2910" t="s">
        <v>3147</v>
      </c>
      <c r="J2910" t="s">
        <v>3167</v>
      </c>
      <c r="K2910" t="s">
        <v>3186</v>
      </c>
      <c r="L2910" t="str">
        <f>_xlfn.XLOOKUP(C2910,[1]!Table1[Shift_ID],[1]!Table1[Shift_ID])</f>
        <v>S01</v>
      </c>
      <c r="M2910" t="str">
        <f>_xlfn.XLOOKUP(D2910,[2]!Table1[Machine_ID],[2]!Table1[Machine_ID])</f>
        <v>M004</v>
      </c>
      <c r="N2910" t="str">
        <f>_xlfn.XLOOKUP(E2910,[3]Sheet1!$A$2:$A$391,[3]Sheet1!$A$2:$A$391)</f>
        <v>PO10194</v>
      </c>
    </row>
    <row r="2911" spans="1:14" x14ac:dyDescent="0.2">
      <c r="A2911" t="s">
        <v>2920</v>
      </c>
      <c r="B2911" s="2">
        <v>46325</v>
      </c>
      <c r="C2911" t="s">
        <v>2940</v>
      </c>
      <c r="D2911" t="s">
        <v>2946</v>
      </c>
      <c r="E2911" t="s">
        <v>3144</v>
      </c>
      <c r="F2911" s="3">
        <v>46325.267839099492</v>
      </c>
      <c r="G2911" s="3">
        <v>46325.276542922533</v>
      </c>
      <c r="H2911">
        <v>12.53</v>
      </c>
      <c r="I2911" t="s">
        <v>3148</v>
      </c>
      <c r="J2911" t="s">
        <v>3155</v>
      </c>
      <c r="K2911" t="s">
        <v>3183</v>
      </c>
      <c r="L2911" t="str">
        <f>_xlfn.XLOOKUP(C2911,[1]!Table1[Shift_ID],[1]!Table1[Shift_ID])</f>
        <v>S01</v>
      </c>
      <c r="M2911" t="str">
        <f>_xlfn.XLOOKUP(D2911,[2]!Table1[Machine_ID],[2]!Table1[Machine_ID])</f>
        <v>M005</v>
      </c>
      <c r="N2911" t="str">
        <f>_xlfn.XLOOKUP(E2911,[3]Sheet1!$A$2:$A$391,[3]Sheet1!$A$2:$A$391)</f>
        <v>PO10194</v>
      </c>
    </row>
    <row r="2912" spans="1:14" x14ac:dyDescent="0.2">
      <c r="A2912" t="s">
        <v>2921</v>
      </c>
      <c r="B2912" s="2">
        <v>46325</v>
      </c>
      <c r="C2912" t="s">
        <v>2940</v>
      </c>
      <c r="D2912" t="s">
        <v>2947</v>
      </c>
      <c r="E2912" t="s">
        <v>3144</v>
      </c>
      <c r="F2912" s="3">
        <v>46325.256928736722</v>
      </c>
      <c r="G2912" s="3">
        <v>46325.260317823697</v>
      </c>
      <c r="H2912">
        <v>4.88</v>
      </c>
      <c r="I2912" t="s">
        <v>3147</v>
      </c>
      <c r="J2912" t="s">
        <v>3153</v>
      </c>
      <c r="K2912" t="s">
        <v>3172</v>
      </c>
      <c r="L2912" t="str">
        <f>_xlfn.XLOOKUP(C2912,[1]!Table1[Shift_ID],[1]!Table1[Shift_ID])</f>
        <v>S01</v>
      </c>
      <c r="M2912" t="str">
        <f>_xlfn.XLOOKUP(D2912,[2]!Table1[Machine_ID],[2]!Table1[Machine_ID])</f>
        <v>M006</v>
      </c>
      <c r="N2912" t="str">
        <f>_xlfn.XLOOKUP(E2912,[3]Sheet1!$A$2:$A$391,[3]Sheet1!$A$2:$A$391)</f>
        <v>PO10194</v>
      </c>
    </row>
    <row r="2913" spans="1:14" x14ac:dyDescent="0.2">
      <c r="A2913" t="s">
        <v>2922</v>
      </c>
      <c r="B2913" s="2">
        <v>46325</v>
      </c>
      <c r="C2913" t="s">
        <v>2940</v>
      </c>
      <c r="D2913" t="s">
        <v>2947</v>
      </c>
      <c r="E2913" t="s">
        <v>3144</v>
      </c>
      <c r="F2913" s="3">
        <v>46325.289352949367</v>
      </c>
      <c r="G2913" s="3">
        <v>46325.291319755634</v>
      </c>
      <c r="H2913">
        <v>2.83</v>
      </c>
      <c r="I2913" t="s">
        <v>3151</v>
      </c>
      <c r="J2913" t="s">
        <v>3169</v>
      </c>
      <c r="K2913" t="s">
        <v>3188</v>
      </c>
      <c r="L2913" t="str">
        <f>_xlfn.XLOOKUP(C2913,[1]!Table1[Shift_ID],[1]!Table1[Shift_ID])</f>
        <v>S01</v>
      </c>
      <c r="M2913" t="str">
        <f>_xlfn.XLOOKUP(D2913,[2]!Table1[Machine_ID],[2]!Table1[Machine_ID])</f>
        <v>M006</v>
      </c>
      <c r="N2913" t="str">
        <f>_xlfn.XLOOKUP(E2913,[3]Sheet1!$A$2:$A$391,[3]Sheet1!$A$2:$A$391)</f>
        <v>PO10194</v>
      </c>
    </row>
    <row r="2914" spans="1:14" x14ac:dyDescent="0.2">
      <c r="A2914" t="s">
        <v>2923</v>
      </c>
      <c r="B2914" s="2">
        <v>46325</v>
      </c>
      <c r="C2914" t="s">
        <v>2940</v>
      </c>
      <c r="D2914" t="s">
        <v>2947</v>
      </c>
      <c r="E2914" t="s">
        <v>3144</v>
      </c>
      <c r="F2914" s="3">
        <v>46325.335373214257</v>
      </c>
      <c r="G2914" s="3">
        <v>46325.337340020487</v>
      </c>
      <c r="H2914">
        <v>2.83</v>
      </c>
      <c r="I2914" t="s">
        <v>3149</v>
      </c>
      <c r="J2914" t="s">
        <v>3158</v>
      </c>
      <c r="K2914" t="s">
        <v>3182</v>
      </c>
      <c r="L2914" t="str">
        <f>_xlfn.XLOOKUP(C2914,[1]!Table1[Shift_ID],[1]!Table1[Shift_ID])</f>
        <v>S01</v>
      </c>
      <c r="M2914" t="str">
        <f>_xlfn.XLOOKUP(D2914,[2]!Table1[Machine_ID],[2]!Table1[Machine_ID])</f>
        <v>M006</v>
      </c>
      <c r="N2914" t="str">
        <f>_xlfn.XLOOKUP(E2914,[3]Sheet1!$A$2:$A$391,[3]Sheet1!$A$2:$A$391)</f>
        <v>PO10194</v>
      </c>
    </row>
    <row r="2915" spans="1:14" x14ac:dyDescent="0.2">
      <c r="A2915" t="s">
        <v>2924</v>
      </c>
      <c r="B2915" s="2">
        <v>46325</v>
      </c>
      <c r="C2915" t="s">
        <v>2940</v>
      </c>
      <c r="D2915" t="s">
        <v>2947</v>
      </c>
      <c r="E2915" t="s">
        <v>3144</v>
      </c>
      <c r="F2915" s="3">
        <v>46325.452970876191</v>
      </c>
      <c r="G2915" s="3">
        <v>46325.465077699882</v>
      </c>
      <c r="H2915">
        <v>17.43</v>
      </c>
      <c r="I2915" t="s">
        <v>3150</v>
      </c>
      <c r="J2915" t="s">
        <v>3163</v>
      </c>
      <c r="K2915" t="s">
        <v>3177</v>
      </c>
      <c r="L2915" t="str">
        <f>_xlfn.XLOOKUP(C2915,[1]!Table1[Shift_ID],[1]!Table1[Shift_ID])</f>
        <v>S01</v>
      </c>
      <c r="M2915" t="str">
        <f>_xlfn.XLOOKUP(D2915,[2]!Table1[Machine_ID],[2]!Table1[Machine_ID])</f>
        <v>M006</v>
      </c>
      <c r="N2915" t="str">
        <f>_xlfn.XLOOKUP(E2915,[3]Sheet1!$A$2:$A$391,[3]Sheet1!$A$2:$A$391)</f>
        <v>PO10194</v>
      </c>
    </row>
    <row r="2916" spans="1:14" x14ac:dyDescent="0.2">
      <c r="A2916" t="s">
        <v>2925</v>
      </c>
      <c r="B2916" s="2">
        <v>46325</v>
      </c>
      <c r="C2916" t="s">
        <v>2940</v>
      </c>
      <c r="D2916" t="s">
        <v>2947</v>
      </c>
      <c r="E2916" t="s">
        <v>3144</v>
      </c>
      <c r="F2916" s="3">
        <v>46325.560103344389</v>
      </c>
      <c r="G2916" s="3">
        <v>46325.56995432845</v>
      </c>
      <c r="H2916">
        <v>14.19</v>
      </c>
      <c r="I2916" t="s">
        <v>3149</v>
      </c>
      <c r="J2916" t="s">
        <v>3168</v>
      </c>
      <c r="K2916" t="s">
        <v>3182</v>
      </c>
      <c r="L2916" t="str">
        <f>_xlfn.XLOOKUP(C2916,[1]!Table1[Shift_ID],[1]!Table1[Shift_ID])</f>
        <v>S01</v>
      </c>
      <c r="M2916" t="str">
        <f>_xlfn.XLOOKUP(D2916,[2]!Table1[Machine_ID],[2]!Table1[Machine_ID])</f>
        <v>M006</v>
      </c>
      <c r="N2916" t="str">
        <f>_xlfn.XLOOKUP(E2916,[3]Sheet1!$A$2:$A$391,[3]Sheet1!$A$2:$A$391)</f>
        <v>PO10194</v>
      </c>
    </row>
    <row r="2917" spans="1:14" x14ac:dyDescent="0.2">
      <c r="A2917" t="s">
        <v>2926</v>
      </c>
      <c r="B2917" s="2">
        <v>46325</v>
      </c>
      <c r="C2917" t="s">
        <v>2940</v>
      </c>
      <c r="D2917" t="s">
        <v>2948</v>
      </c>
      <c r="E2917" t="s">
        <v>3144</v>
      </c>
      <c r="F2917" s="3">
        <v>46325.307842778377</v>
      </c>
      <c r="G2917" s="3">
        <v>46325.315338005254</v>
      </c>
      <c r="H2917">
        <v>10.79</v>
      </c>
      <c r="I2917" t="s">
        <v>3149</v>
      </c>
      <c r="J2917" t="s">
        <v>3162</v>
      </c>
      <c r="K2917" t="s">
        <v>3184</v>
      </c>
      <c r="L2917" t="str">
        <f>_xlfn.XLOOKUP(C2917,[1]!Table1[Shift_ID],[1]!Table1[Shift_ID])</f>
        <v>S01</v>
      </c>
      <c r="M2917" t="str">
        <f>_xlfn.XLOOKUP(D2917,[2]!Table1[Machine_ID],[2]!Table1[Machine_ID])</f>
        <v>M007</v>
      </c>
      <c r="N2917" t="str">
        <f>_xlfn.XLOOKUP(E2917,[3]Sheet1!$A$2:$A$391,[3]Sheet1!$A$2:$A$391)</f>
        <v>PO10194</v>
      </c>
    </row>
    <row r="2918" spans="1:14" x14ac:dyDescent="0.2">
      <c r="A2918" t="s">
        <v>2927</v>
      </c>
      <c r="B2918" s="2">
        <v>46325</v>
      </c>
      <c r="C2918" t="s">
        <v>2940</v>
      </c>
      <c r="D2918" t="s">
        <v>2948</v>
      </c>
      <c r="E2918" t="s">
        <v>3144</v>
      </c>
      <c r="F2918" s="3">
        <v>46325.407822870577</v>
      </c>
      <c r="G2918" s="3">
        <v>46325.409575001453</v>
      </c>
      <c r="H2918">
        <v>2.52</v>
      </c>
      <c r="I2918" t="s">
        <v>3148</v>
      </c>
      <c r="J2918" t="s">
        <v>3155</v>
      </c>
      <c r="K2918" t="s">
        <v>3183</v>
      </c>
      <c r="L2918" t="str">
        <f>_xlfn.XLOOKUP(C2918,[1]!Table1[Shift_ID],[1]!Table1[Shift_ID])</f>
        <v>S01</v>
      </c>
      <c r="M2918" t="str">
        <f>_xlfn.XLOOKUP(D2918,[2]!Table1[Machine_ID],[2]!Table1[Machine_ID])</f>
        <v>M007</v>
      </c>
      <c r="N2918" t="str">
        <f>_xlfn.XLOOKUP(E2918,[3]Sheet1!$A$2:$A$391,[3]Sheet1!$A$2:$A$391)</f>
        <v>PO10194</v>
      </c>
    </row>
    <row r="2919" spans="1:14" x14ac:dyDescent="0.2">
      <c r="A2919" t="s">
        <v>2928</v>
      </c>
      <c r="B2919" s="2">
        <v>46325</v>
      </c>
      <c r="C2919" t="s">
        <v>2940</v>
      </c>
      <c r="D2919" t="s">
        <v>2948</v>
      </c>
      <c r="E2919" t="s">
        <v>3144</v>
      </c>
      <c r="F2919" s="3">
        <v>46325.576005741517</v>
      </c>
      <c r="G2919" s="3">
        <v>46325.577757872386</v>
      </c>
      <c r="H2919">
        <v>2.52</v>
      </c>
      <c r="I2919" t="s">
        <v>3150</v>
      </c>
      <c r="J2919" t="s">
        <v>3163</v>
      </c>
      <c r="K2919" t="s">
        <v>3177</v>
      </c>
      <c r="L2919" t="str">
        <f>_xlfn.XLOOKUP(C2919,[1]!Table1[Shift_ID],[1]!Table1[Shift_ID])</f>
        <v>S01</v>
      </c>
      <c r="M2919" t="str">
        <f>_xlfn.XLOOKUP(D2919,[2]!Table1[Machine_ID],[2]!Table1[Machine_ID])</f>
        <v>M007</v>
      </c>
      <c r="N2919" t="str">
        <f>_xlfn.XLOOKUP(E2919,[3]Sheet1!$A$2:$A$391,[3]Sheet1!$A$2:$A$391)</f>
        <v>PO10194</v>
      </c>
    </row>
    <row r="2920" spans="1:14" x14ac:dyDescent="0.2">
      <c r="A2920" t="s">
        <v>2929</v>
      </c>
      <c r="B2920" s="2">
        <v>46325</v>
      </c>
      <c r="C2920" t="s">
        <v>2940</v>
      </c>
      <c r="D2920" t="s">
        <v>2949</v>
      </c>
      <c r="E2920" t="s">
        <v>3144</v>
      </c>
      <c r="F2920" s="3">
        <v>46325.437739576832</v>
      </c>
      <c r="G2920" s="3">
        <v>46325.443081188379</v>
      </c>
      <c r="H2920">
        <v>7.69</v>
      </c>
      <c r="I2920" t="s">
        <v>3150</v>
      </c>
      <c r="J2920" t="s">
        <v>3166</v>
      </c>
      <c r="K2920" t="s">
        <v>3177</v>
      </c>
      <c r="L2920" t="str">
        <f>_xlfn.XLOOKUP(C2920,[1]!Table1[Shift_ID],[1]!Table1[Shift_ID])</f>
        <v>S01</v>
      </c>
      <c r="M2920" t="str">
        <f>_xlfn.XLOOKUP(D2920,[2]!Table1[Machine_ID],[2]!Table1[Machine_ID])</f>
        <v>M008</v>
      </c>
      <c r="N2920" t="str">
        <f>_xlfn.XLOOKUP(E2920,[3]Sheet1!$A$2:$A$391,[3]Sheet1!$A$2:$A$391)</f>
        <v>PO10194</v>
      </c>
    </row>
    <row r="2921" spans="1:14" x14ac:dyDescent="0.2">
      <c r="A2921" t="s">
        <v>2930</v>
      </c>
      <c r="B2921" s="2">
        <v>46325</v>
      </c>
      <c r="C2921" t="s">
        <v>2941</v>
      </c>
      <c r="D2921" t="s">
        <v>2942</v>
      </c>
      <c r="E2921" t="s">
        <v>3145</v>
      </c>
      <c r="F2921" s="3">
        <v>46325.664545089639</v>
      </c>
      <c r="G2921" s="3">
        <v>46325.671272050233</v>
      </c>
      <c r="H2921">
        <v>9.69</v>
      </c>
      <c r="I2921" t="s">
        <v>3151</v>
      </c>
      <c r="J2921" t="s">
        <v>3169</v>
      </c>
      <c r="K2921" t="s">
        <v>3181</v>
      </c>
      <c r="L2921" t="str">
        <f>_xlfn.XLOOKUP(C2921,[1]!Table1[Shift_ID],[1]!Table1[Shift_ID])</f>
        <v>S02</v>
      </c>
      <c r="M2921" t="str">
        <f>_xlfn.XLOOKUP(D2921,[2]!Table1[Machine_ID],[2]!Table1[Machine_ID])</f>
        <v>M001</v>
      </c>
      <c r="N2921" t="str">
        <f>_xlfn.XLOOKUP(E2921,[3]Sheet1!$A$2:$A$391,[3]Sheet1!$A$2:$A$391)</f>
        <v>PO10195</v>
      </c>
    </row>
    <row r="2922" spans="1:14" x14ac:dyDescent="0.2">
      <c r="A2922" t="s">
        <v>2931</v>
      </c>
      <c r="B2922" s="2">
        <v>46325</v>
      </c>
      <c r="C2922" t="s">
        <v>2941</v>
      </c>
      <c r="D2922" t="s">
        <v>2943</v>
      </c>
      <c r="E2922" t="s">
        <v>3145</v>
      </c>
      <c r="F2922" s="3">
        <v>46325.768411090918</v>
      </c>
      <c r="G2922" s="3">
        <v>46325.777050061813</v>
      </c>
      <c r="H2922">
        <v>12.44</v>
      </c>
      <c r="I2922" t="s">
        <v>3146</v>
      </c>
      <c r="J2922" t="s">
        <v>3152</v>
      </c>
      <c r="K2922" t="s">
        <v>3175</v>
      </c>
      <c r="L2922" t="str">
        <f>_xlfn.XLOOKUP(C2922,[1]!Table1[Shift_ID],[1]!Table1[Shift_ID])</f>
        <v>S02</v>
      </c>
      <c r="M2922" t="str">
        <f>_xlfn.XLOOKUP(D2922,[2]!Table1[Machine_ID],[2]!Table1[Machine_ID])</f>
        <v>M002</v>
      </c>
      <c r="N2922" t="str">
        <f>_xlfn.XLOOKUP(E2922,[3]Sheet1!$A$2:$A$391,[3]Sheet1!$A$2:$A$391)</f>
        <v>PO10195</v>
      </c>
    </row>
    <row r="2923" spans="1:14" x14ac:dyDescent="0.2">
      <c r="A2923" t="s">
        <v>2932</v>
      </c>
      <c r="B2923" s="2">
        <v>46325</v>
      </c>
      <c r="C2923" t="s">
        <v>2941</v>
      </c>
      <c r="D2923" t="s">
        <v>2944</v>
      </c>
      <c r="E2923" t="s">
        <v>3145</v>
      </c>
      <c r="F2923" s="3">
        <v>46325.657688952168</v>
      </c>
      <c r="G2923" s="3">
        <v>46325.670281220657</v>
      </c>
      <c r="H2923">
        <v>18.13</v>
      </c>
      <c r="I2923" t="s">
        <v>3151</v>
      </c>
      <c r="J2923" t="s">
        <v>3170</v>
      </c>
      <c r="K2923" t="s">
        <v>3187</v>
      </c>
      <c r="L2923" t="str">
        <f>_xlfn.XLOOKUP(C2923,[1]!Table1[Shift_ID],[1]!Table1[Shift_ID])</f>
        <v>S02</v>
      </c>
      <c r="M2923" t="str">
        <f>_xlfn.XLOOKUP(D2923,[2]!Table1[Machine_ID],[2]!Table1[Machine_ID])</f>
        <v>M003</v>
      </c>
      <c r="N2923" t="str">
        <f>_xlfn.XLOOKUP(E2923,[3]Sheet1!$A$2:$A$391,[3]Sheet1!$A$2:$A$391)</f>
        <v>PO10195</v>
      </c>
    </row>
    <row r="2924" spans="1:14" x14ac:dyDescent="0.2">
      <c r="A2924" t="s">
        <v>2933</v>
      </c>
      <c r="B2924" s="2">
        <v>46325</v>
      </c>
      <c r="C2924" t="s">
        <v>2941</v>
      </c>
      <c r="D2924" t="s">
        <v>2945</v>
      </c>
      <c r="E2924" t="s">
        <v>3145</v>
      </c>
      <c r="F2924" s="3">
        <v>46325.593082392137</v>
      </c>
      <c r="G2924" s="3">
        <v>46325.601336310501</v>
      </c>
      <c r="H2924">
        <v>11.89</v>
      </c>
      <c r="I2924" t="s">
        <v>3147</v>
      </c>
      <c r="J2924" t="s">
        <v>3154</v>
      </c>
      <c r="K2924" t="s">
        <v>3186</v>
      </c>
      <c r="L2924" t="str">
        <f>_xlfn.XLOOKUP(C2924,[1]!Table1[Shift_ID],[1]!Table1[Shift_ID])</f>
        <v>S02</v>
      </c>
      <c r="M2924" t="str">
        <f>_xlfn.XLOOKUP(D2924,[2]!Table1[Machine_ID],[2]!Table1[Machine_ID])</f>
        <v>M004</v>
      </c>
      <c r="N2924" t="str">
        <f>_xlfn.XLOOKUP(E2924,[3]Sheet1!$A$2:$A$391,[3]Sheet1!$A$2:$A$391)</f>
        <v>PO10195</v>
      </c>
    </row>
    <row r="2925" spans="1:14" x14ac:dyDescent="0.2">
      <c r="A2925" t="s">
        <v>2934</v>
      </c>
      <c r="B2925" s="2">
        <v>46325</v>
      </c>
      <c r="C2925" t="s">
        <v>2941</v>
      </c>
      <c r="D2925" t="s">
        <v>2946</v>
      </c>
      <c r="E2925" t="s">
        <v>3145</v>
      </c>
      <c r="F2925" s="3">
        <v>46325.640329968388</v>
      </c>
      <c r="G2925" s="3">
        <v>46325.648560169029</v>
      </c>
      <c r="H2925">
        <v>11.85</v>
      </c>
      <c r="I2925" t="s">
        <v>3146</v>
      </c>
      <c r="J2925" t="s">
        <v>3152</v>
      </c>
      <c r="K2925" t="s">
        <v>3174</v>
      </c>
      <c r="L2925" t="str">
        <f>_xlfn.XLOOKUP(C2925,[1]!Table1[Shift_ID],[1]!Table1[Shift_ID])</f>
        <v>S02</v>
      </c>
      <c r="M2925" t="str">
        <f>_xlfn.XLOOKUP(D2925,[2]!Table1[Machine_ID],[2]!Table1[Machine_ID])</f>
        <v>M005</v>
      </c>
      <c r="N2925" t="str">
        <f>_xlfn.XLOOKUP(E2925,[3]Sheet1!$A$2:$A$391,[3]Sheet1!$A$2:$A$391)</f>
        <v>PO10195</v>
      </c>
    </row>
    <row r="2926" spans="1:14" x14ac:dyDescent="0.2">
      <c r="A2926" t="s">
        <v>2935</v>
      </c>
      <c r="B2926" s="2">
        <v>46325</v>
      </c>
      <c r="C2926" t="s">
        <v>2941</v>
      </c>
      <c r="D2926" t="s">
        <v>2947</v>
      </c>
      <c r="E2926" t="s">
        <v>3145</v>
      </c>
      <c r="F2926" s="3">
        <v>46325.723009846341</v>
      </c>
      <c r="G2926" s="3">
        <v>46325.741115082114</v>
      </c>
      <c r="H2926">
        <v>26.07</v>
      </c>
      <c r="I2926" t="s">
        <v>3150</v>
      </c>
      <c r="J2926" t="s">
        <v>3163</v>
      </c>
      <c r="K2926" t="s">
        <v>3179</v>
      </c>
      <c r="L2926" t="str">
        <f>_xlfn.XLOOKUP(C2926,[1]!Table1[Shift_ID],[1]!Table1[Shift_ID])</f>
        <v>S02</v>
      </c>
      <c r="M2926" t="str">
        <f>_xlfn.XLOOKUP(D2926,[2]!Table1[Machine_ID],[2]!Table1[Machine_ID])</f>
        <v>M006</v>
      </c>
      <c r="N2926" t="str">
        <f>_xlfn.XLOOKUP(E2926,[3]Sheet1!$A$2:$A$391,[3]Sheet1!$A$2:$A$391)</f>
        <v>PO10195</v>
      </c>
    </row>
    <row r="2927" spans="1:14" x14ac:dyDescent="0.2">
      <c r="A2927" t="s">
        <v>2936</v>
      </c>
      <c r="B2927" s="2">
        <v>46325</v>
      </c>
      <c r="C2927" t="s">
        <v>2941</v>
      </c>
      <c r="D2927" t="s">
        <v>2947</v>
      </c>
      <c r="E2927" t="s">
        <v>3145</v>
      </c>
      <c r="F2927" s="3">
        <v>46325.786149241248</v>
      </c>
      <c r="G2927" s="3">
        <v>46325.795881256112</v>
      </c>
      <c r="H2927">
        <v>14.01</v>
      </c>
      <c r="I2927" t="s">
        <v>3149</v>
      </c>
      <c r="J2927" t="s">
        <v>3168</v>
      </c>
      <c r="K2927" t="s">
        <v>3182</v>
      </c>
      <c r="L2927" t="str">
        <f>_xlfn.XLOOKUP(C2927,[1]!Table1[Shift_ID],[1]!Table1[Shift_ID])</f>
        <v>S02</v>
      </c>
      <c r="M2927" t="str">
        <f>_xlfn.XLOOKUP(D2927,[2]!Table1[Machine_ID],[2]!Table1[Machine_ID])</f>
        <v>M006</v>
      </c>
      <c r="N2927" t="str">
        <f>_xlfn.XLOOKUP(E2927,[3]Sheet1!$A$2:$A$391,[3]Sheet1!$A$2:$A$391)</f>
        <v>PO10195</v>
      </c>
    </row>
    <row r="2928" spans="1:14" x14ac:dyDescent="0.2">
      <c r="A2928" t="s">
        <v>2937</v>
      </c>
      <c r="B2928" s="2">
        <v>46325</v>
      </c>
      <c r="C2928" t="s">
        <v>2941</v>
      </c>
      <c r="D2928" t="s">
        <v>2948</v>
      </c>
      <c r="E2928" t="s">
        <v>3145</v>
      </c>
      <c r="F2928" s="3">
        <v>46325.826230073922</v>
      </c>
      <c r="G2928" s="3">
        <v>46325.83793772458</v>
      </c>
      <c r="H2928">
        <v>16.86</v>
      </c>
      <c r="I2928" t="s">
        <v>3150</v>
      </c>
      <c r="J2928" t="s">
        <v>3163</v>
      </c>
      <c r="K2928" t="s">
        <v>3177</v>
      </c>
      <c r="L2928" t="str">
        <f>_xlfn.XLOOKUP(C2928,[1]!Table1[Shift_ID],[1]!Table1[Shift_ID])</f>
        <v>S02</v>
      </c>
      <c r="M2928" t="str">
        <f>_xlfn.XLOOKUP(D2928,[2]!Table1[Machine_ID],[2]!Table1[Machine_ID])</f>
        <v>M007</v>
      </c>
      <c r="N2928" t="str">
        <f>_xlfn.XLOOKUP(E2928,[3]Sheet1!$A$2:$A$391,[3]Sheet1!$A$2:$A$391)</f>
        <v>PO10195</v>
      </c>
    </row>
    <row r="2929" spans="1:14" x14ac:dyDescent="0.2">
      <c r="A2929" t="s">
        <v>2938</v>
      </c>
      <c r="B2929" s="2">
        <v>46325</v>
      </c>
      <c r="C2929" t="s">
        <v>2941</v>
      </c>
      <c r="D2929" t="s">
        <v>2949</v>
      </c>
      <c r="E2929" t="s">
        <v>3145</v>
      </c>
      <c r="F2929" s="3">
        <v>46325.868897421933</v>
      </c>
      <c r="G2929" s="3">
        <v>46325.874312717693</v>
      </c>
      <c r="H2929">
        <v>7.8</v>
      </c>
      <c r="I2929" t="s">
        <v>3148</v>
      </c>
      <c r="J2929" t="s">
        <v>3165</v>
      </c>
      <c r="K2929" t="s">
        <v>3180</v>
      </c>
      <c r="L2929" t="str">
        <f>_xlfn.XLOOKUP(C2929,[1]!Table1[Shift_ID],[1]!Table1[Shift_ID])</f>
        <v>S02</v>
      </c>
      <c r="M2929" t="str">
        <f>_xlfn.XLOOKUP(D2929,[2]!Table1[Machine_ID],[2]!Table1[Machine_ID])</f>
        <v>M008</v>
      </c>
      <c r="N2929" t="str">
        <f>_xlfn.XLOOKUP(E2929,[3]Sheet1!$A$2:$A$391,[3]Sheet1!$A$2:$A$391)</f>
        <v>PO10195</v>
      </c>
    </row>
  </sheetData>
  <autoFilter ref="N1:N2929" xr:uid="{00000000-0001-0000-0000-000000000000}"/>
  <conditionalFormatting sqref="A2:A2929">
    <cfRule type="duplicateValues" dxfId="3" priority="5"/>
  </conditionalFormatting>
  <conditionalFormatting sqref="L1:N1 A1:K2929">
    <cfRule type="cellIs" dxfId="2" priority="2" operator="lessThan">
      <formula>1</formula>
    </cfRule>
    <cfRule type="cellIs" dxfId="1" priority="3" operator="greaterThan">
      <formula>ISBLANK(a)</formula>
    </cfRule>
    <cfRule type="cellIs" dxfId="0" priority="4" operator="greaterThan">
      <formula>blank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manohar sah</cp:lastModifiedBy>
  <dcterms:created xsi:type="dcterms:W3CDTF">2026-08-10T15:01:50Z</dcterms:created>
  <dcterms:modified xsi:type="dcterms:W3CDTF">2026-08-11T04:14:45Z</dcterms:modified>
</cp:coreProperties>
</file>