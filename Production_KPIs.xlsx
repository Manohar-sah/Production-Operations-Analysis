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"/>
    </mc:Choice>
  </mc:AlternateContent>
  <xr:revisionPtr revIDLastSave="0" documentId="13_ncr:1_{1A512113-6FB8-E244-AD8E-56C1322C4A94}" xr6:coauthVersionLast="47" xr6:coauthVersionMax="47" xr10:uidLastSave="{00000000-0000-0000-0000-000000000000}"/>
  <bookViews>
    <workbookView xWindow="780" yWindow="1100" windowWidth="27640" windowHeight="16160" xr2:uid="{712C14A4-3961-424A-AFE3-C338C0677179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561" i="1" l="1"/>
  <c r="W1561" i="1" s="1"/>
  <c r="T1561" i="1"/>
  <c r="R1561" i="1"/>
  <c r="N1561" i="1"/>
  <c r="U1560" i="1"/>
  <c r="W1560" i="1" s="1"/>
  <c r="T1560" i="1"/>
  <c r="R1560" i="1"/>
  <c r="N1560" i="1"/>
  <c r="U1559" i="1"/>
  <c r="W1559" i="1" s="1"/>
  <c r="T1559" i="1"/>
  <c r="R1559" i="1"/>
  <c r="N1559" i="1"/>
  <c r="U1558" i="1"/>
  <c r="W1558" i="1" s="1"/>
  <c r="T1558" i="1"/>
  <c r="R1558" i="1"/>
  <c r="N1558" i="1"/>
  <c r="U1557" i="1"/>
  <c r="W1557" i="1" s="1"/>
  <c r="T1557" i="1"/>
  <c r="R1557" i="1"/>
  <c r="N1557" i="1"/>
  <c r="U1556" i="1"/>
  <c r="W1556" i="1" s="1"/>
  <c r="T1556" i="1"/>
  <c r="R1556" i="1"/>
  <c r="N1556" i="1"/>
  <c r="U1555" i="1"/>
  <c r="W1555" i="1" s="1"/>
  <c r="T1555" i="1"/>
  <c r="R1555" i="1"/>
  <c r="N1555" i="1"/>
  <c r="U1554" i="1"/>
  <c r="W1554" i="1" s="1"/>
  <c r="T1554" i="1"/>
  <c r="R1554" i="1"/>
  <c r="N1554" i="1"/>
  <c r="U1553" i="1"/>
  <c r="W1553" i="1" s="1"/>
  <c r="T1553" i="1"/>
  <c r="R1553" i="1"/>
  <c r="N1553" i="1"/>
  <c r="U1552" i="1"/>
  <c r="W1552" i="1" s="1"/>
  <c r="T1552" i="1"/>
  <c r="R1552" i="1"/>
  <c r="N1552" i="1"/>
  <c r="U1551" i="1"/>
  <c r="W1551" i="1" s="1"/>
  <c r="T1551" i="1"/>
  <c r="R1551" i="1"/>
  <c r="N1551" i="1"/>
  <c r="U1550" i="1"/>
  <c r="W1550" i="1" s="1"/>
  <c r="T1550" i="1"/>
  <c r="R1550" i="1"/>
  <c r="N1550" i="1"/>
  <c r="U1549" i="1"/>
  <c r="W1549" i="1" s="1"/>
  <c r="T1549" i="1"/>
  <c r="R1549" i="1"/>
  <c r="N1549" i="1"/>
  <c r="U1548" i="1"/>
  <c r="W1548" i="1" s="1"/>
  <c r="T1548" i="1"/>
  <c r="R1548" i="1"/>
  <c r="N1548" i="1"/>
  <c r="U1547" i="1"/>
  <c r="W1547" i="1" s="1"/>
  <c r="T1547" i="1"/>
  <c r="R1547" i="1"/>
  <c r="N1547" i="1"/>
  <c r="U1546" i="1"/>
  <c r="W1546" i="1" s="1"/>
  <c r="T1546" i="1"/>
  <c r="R1546" i="1"/>
  <c r="N1546" i="1"/>
  <c r="U1545" i="1"/>
  <c r="W1545" i="1" s="1"/>
  <c r="T1545" i="1"/>
  <c r="R1545" i="1"/>
  <c r="N1545" i="1"/>
  <c r="U1544" i="1"/>
  <c r="W1544" i="1" s="1"/>
  <c r="T1544" i="1"/>
  <c r="R1544" i="1"/>
  <c r="N1544" i="1"/>
  <c r="U1543" i="1"/>
  <c r="W1543" i="1" s="1"/>
  <c r="T1543" i="1"/>
  <c r="R1543" i="1"/>
  <c r="N1543" i="1"/>
  <c r="U1542" i="1"/>
  <c r="W1542" i="1" s="1"/>
  <c r="T1542" i="1"/>
  <c r="R1542" i="1"/>
  <c r="N1542" i="1"/>
  <c r="U1541" i="1"/>
  <c r="W1541" i="1" s="1"/>
  <c r="T1541" i="1"/>
  <c r="R1541" i="1"/>
  <c r="N1541" i="1"/>
  <c r="U1540" i="1"/>
  <c r="W1540" i="1" s="1"/>
  <c r="T1540" i="1"/>
  <c r="R1540" i="1"/>
  <c r="N1540" i="1"/>
  <c r="U1539" i="1"/>
  <c r="W1539" i="1" s="1"/>
  <c r="T1539" i="1"/>
  <c r="R1539" i="1"/>
  <c r="N1539" i="1"/>
  <c r="U1538" i="1"/>
  <c r="W1538" i="1" s="1"/>
  <c r="T1538" i="1"/>
  <c r="R1538" i="1"/>
  <c r="N1538" i="1"/>
  <c r="U1537" i="1"/>
  <c r="W1537" i="1" s="1"/>
  <c r="T1537" i="1"/>
  <c r="R1537" i="1"/>
  <c r="N1537" i="1"/>
  <c r="U1536" i="1"/>
  <c r="W1536" i="1" s="1"/>
  <c r="T1536" i="1"/>
  <c r="R1536" i="1"/>
  <c r="N1536" i="1"/>
  <c r="U1535" i="1"/>
  <c r="W1535" i="1" s="1"/>
  <c r="T1535" i="1"/>
  <c r="R1535" i="1"/>
  <c r="N1535" i="1"/>
  <c r="U1534" i="1"/>
  <c r="W1534" i="1" s="1"/>
  <c r="T1534" i="1"/>
  <c r="R1534" i="1"/>
  <c r="N1534" i="1"/>
  <c r="U1533" i="1"/>
  <c r="W1533" i="1" s="1"/>
  <c r="T1533" i="1"/>
  <c r="R1533" i="1"/>
  <c r="N1533" i="1"/>
  <c r="U1532" i="1"/>
  <c r="W1532" i="1" s="1"/>
  <c r="T1532" i="1"/>
  <c r="R1532" i="1"/>
  <c r="N1532" i="1"/>
  <c r="U1531" i="1"/>
  <c r="W1531" i="1" s="1"/>
  <c r="T1531" i="1"/>
  <c r="R1531" i="1"/>
  <c r="N1531" i="1"/>
  <c r="U1530" i="1"/>
  <c r="W1530" i="1" s="1"/>
  <c r="T1530" i="1"/>
  <c r="R1530" i="1"/>
  <c r="N1530" i="1"/>
  <c r="U1529" i="1"/>
  <c r="W1529" i="1" s="1"/>
  <c r="T1529" i="1"/>
  <c r="R1529" i="1"/>
  <c r="N1529" i="1"/>
  <c r="U1528" i="1"/>
  <c r="W1528" i="1" s="1"/>
  <c r="T1528" i="1"/>
  <c r="R1528" i="1"/>
  <c r="N1528" i="1"/>
  <c r="U1527" i="1"/>
  <c r="W1527" i="1" s="1"/>
  <c r="T1527" i="1"/>
  <c r="R1527" i="1"/>
  <c r="N1527" i="1"/>
  <c r="U1526" i="1"/>
  <c r="W1526" i="1" s="1"/>
  <c r="T1526" i="1"/>
  <c r="R1526" i="1"/>
  <c r="N1526" i="1"/>
  <c r="U1525" i="1"/>
  <c r="W1525" i="1" s="1"/>
  <c r="T1525" i="1"/>
  <c r="R1525" i="1"/>
  <c r="N1525" i="1"/>
  <c r="U1524" i="1"/>
  <c r="W1524" i="1" s="1"/>
  <c r="T1524" i="1"/>
  <c r="R1524" i="1"/>
  <c r="N1524" i="1"/>
  <c r="U1523" i="1"/>
  <c r="W1523" i="1" s="1"/>
  <c r="T1523" i="1"/>
  <c r="R1523" i="1"/>
  <c r="N1523" i="1"/>
  <c r="U1522" i="1"/>
  <c r="W1522" i="1" s="1"/>
  <c r="T1522" i="1"/>
  <c r="R1522" i="1"/>
  <c r="N1522" i="1"/>
  <c r="U1521" i="1"/>
  <c r="W1521" i="1" s="1"/>
  <c r="T1521" i="1"/>
  <c r="R1521" i="1"/>
  <c r="N1521" i="1"/>
  <c r="U1520" i="1"/>
  <c r="W1520" i="1" s="1"/>
  <c r="T1520" i="1"/>
  <c r="R1520" i="1"/>
  <c r="N1520" i="1"/>
  <c r="U1519" i="1"/>
  <c r="W1519" i="1" s="1"/>
  <c r="T1519" i="1"/>
  <c r="R1519" i="1"/>
  <c r="N1519" i="1"/>
  <c r="U1518" i="1"/>
  <c r="W1518" i="1" s="1"/>
  <c r="T1518" i="1"/>
  <c r="R1518" i="1"/>
  <c r="N1518" i="1"/>
  <c r="U1517" i="1"/>
  <c r="W1517" i="1" s="1"/>
  <c r="T1517" i="1"/>
  <c r="R1517" i="1"/>
  <c r="N1517" i="1"/>
  <c r="U1516" i="1"/>
  <c r="W1516" i="1" s="1"/>
  <c r="T1516" i="1"/>
  <c r="R1516" i="1"/>
  <c r="N1516" i="1"/>
  <c r="U1515" i="1"/>
  <c r="W1515" i="1" s="1"/>
  <c r="T1515" i="1"/>
  <c r="R1515" i="1"/>
  <c r="N1515" i="1"/>
  <c r="U1514" i="1"/>
  <c r="W1514" i="1" s="1"/>
  <c r="T1514" i="1"/>
  <c r="R1514" i="1"/>
  <c r="N1514" i="1"/>
  <c r="U1513" i="1"/>
  <c r="W1513" i="1" s="1"/>
  <c r="T1513" i="1"/>
  <c r="R1513" i="1"/>
  <c r="N1513" i="1"/>
  <c r="U1512" i="1"/>
  <c r="W1512" i="1" s="1"/>
  <c r="T1512" i="1"/>
  <c r="R1512" i="1"/>
  <c r="N1512" i="1"/>
  <c r="U1511" i="1"/>
  <c r="W1511" i="1" s="1"/>
  <c r="T1511" i="1"/>
  <c r="R1511" i="1"/>
  <c r="N1511" i="1"/>
  <c r="U1510" i="1"/>
  <c r="W1510" i="1" s="1"/>
  <c r="T1510" i="1"/>
  <c r="R1510" i="1"/>
  <c r="N1510" i="1"/>
  <c r="U1509" i="1"/>
  <c r="W1509" i="1" s="1"/>
  <c r="T1509" i="1"/>
  <c r="R1509" i="1"/>
  <c r="N1509" i="1"/>
  <c r="U1508" i="1"/>
  <c r="W1508" i="1" s="1"/>
  <c r="T1508" i="1"/>
  <c r="R1508" i="1"/>
  <c r="N1508" i="1"/>
  <c r="U1507" i="1"/>
  <c r="W1507" i="1" s="1"/>
  <c r="T1507" i="1"/>
  <c r="R1507" i="1"/>
  <c r="N1507" i="1"/>
  <c r="U1506" i="1"/>
  <c r="W1506" i="1" s="1"/>
  <c r="T1506" i="1"/>
  <c r="R1506" i="1"/>
  <c r="N1506" i="1"/>
  <c r="U1505" i="1"/>
  <c r="W1505" i="1" s="1"/>
  <c r="T1505" i="1"/>
  <c r="R1505" i="1"/>
  <c r="N1505" i="1"/>
  <c r="U1504" i="1"/>
  <c r="W1504" i="1" s="1"/>
  <c r="T1504" i="1"/>
  <c r="R1504" i="1"/>
  <c r="N1504" i="1"/>
  <c r="U1503" i="1"/>
  <c r="W1503" i="1" s="1"/>
  <c r="T1503" i="1"/>
  <c r="R1503" i="1"/>
  <c r="N1503" i="1"/>
  <c r="U1502" i="1"/>
  <c r="W1502" i="1" s="1"/>
  <c r="T1502" i="1"/>
  <c r="R1502" i="1"/>
  <c r="N1502" i="1"/>
  <c r="U1501" i="1"/>
  <c r="W1501" i="1" s="1"/>
  <c r="T1501" i="1"/>
  <c r="R1501" i="1"/>
  <c r="N1501" i="1"/>
  <c r="U1500" i="1"/>
  <c r="W1500" i="1" s="1"/>
  <c r="T1500" i="1"/>
  <c r="R1500" i="1"/>
  <c r="N1500" i="1"/>
  <c r="U1499" i="1"/>
  <c r="W1499" i="1" s="1"/>
  <c r="T1499" i="1"/>
  <c r="R1499" i="1"/>
  <c r="N1499" i="1"/>
  <c r="U1498" i="1"/>
  <c r="W1498" i="1" s="1"/>
  <c r="T1498" i="1"/>
  <c r="R1498" i="1"/>
  <c r="N1498" i="1"/>
  <c r="U1497" i="1"/>
  <c r="W1497" i="1" s="1"/>
  <c r="T1497" i="1"/>
  <c r="R1497" i="1"/>
  <c r="N1497" i="1"/>
  <c r="U1496" i="1"/>
  <c r="W1496" i="1" s="1"/>
  <c r="T1496" i="1"/>
  <c r="R1496" i="1"/>
  <c r="N1496" i="1"/>
  <c r="U1495" i="1"/>
  <c r="W1495" i="1" s="1"/>
  <c r="T1495" i="1"/>
  <c r="R1495" i="1"/>
  <c r="N1495" i="1"/>
  <c r="U1494" i="1"/>
  <c r="W1494" i="1" s="1"/>
  <c r="T1494" i="1"/>
  <c r="R1494" i="1"/>
  <c r="N1494" i="1"/>
  <c r="U1493" i="1"/>
  <c r="W1493" i="1" s="1"/>
  <c r="T1493" i="1"/>
  <c r="R1493" i="1"/>
  <c r="N1493" i="1"/>
  <c r="U1492" i="1"/>
  <c r="W1492" i="1" s="1"/>
  <c r="T1492" i="1"/>
  <c r="R1492" i="1"/>
  <c r="N1492" i="1"/>
  <c r="U1491" i="1"/>
  <c r="W1491" i="1" s="1"/>
  <c r="T1491" i="1"/>
  <c r="R1491" i="1"/>
  <c r="N1491" i="1"/>
  <c r="U1490" i="1"/>
  <c r="W1490" i="1" s="1"/>
  <c r="T1490" i="1"/>
  <c r="R1490" i="1"/>
  <c r="N1490" i="1"/>
  <c r="U1489" i="1"/>
  <c r="W1489" i="1" s="1"/>
  <c r="T1489" i="1"/>
  <c r="R1489" i="1"/>
  <c r="N1489" i="1"/>
  <c r="U1488" i="1"/>
  <c r="W1488" i="1" s="1"/>
  <c r="T1488" i="1"/>
  <c r="R1488" i="1"/>
  <c r="N1488" i="1"/>
  <c r="U1487" i="1"/>
  <c r="W1487" i="1" s="1"/>
  <c r="T1487" i="1"/>
  <c r="R1487" i="1"/>
  <c r="N1487" i="1"/>
  <c r="U1486" i="1"/>
  <c r="W1486" i="1" s="1"/>
  <c r="T1486" i="1"/>
  <c r="R1486" i="1"/>
  <c r="N1486" i="1"/>
  <c r="U1485" i="1"/>
  <c r="W1485" i="1" s="1"/>
  <c r="T1485" i="1"/>
  <c r="R1485" i="1"/>
  <c r="N1485" i="1"/>
  <c r="U1484" i="1"/>
  <c r="W1484" i="1" s="1"/>
  <c r="T1484" i="1"/>
  <c r="R1484" i="1"/>
  <c r="N1484" i="1"/>
  <c r="U1483" i="1"/>
  <c r="W1483" i="1" s="1"/>
  <c r="T1483" i="1"/>
  <c r="R1483" i="1"/>
  <c r="N1483" i="1"/>
  <c r="U1482" i="1"/>
  <c r="W1482" i="1" s="1"/>
  <c r="T1482" i="1"/>
  <c r="R1482" i="1"/>
  <c r="N1482" i="1"/>
  <c r="U1481" i="1"/>
  <c r="W1481" i="1" s="1"/>
  <c r="T1481" i="1"/>
  <c r="R1481" i="1"/>
  <c r="N1481" i="1"/>
  <c r="U1480" i="1"/>
  <c r="W1480" i="1" s="1"/>
  <c r="T1480" i="1"/>
  <c r="R1480" i="1"/>
  <c r="N1480" i="1"/>
  <c r="U1479" i="1"/>
  <c r="W1479" i="1" s="1"/>
  <c r="T1479" i="1"/>
  <c r="R1479" i="1"/>
  <c r="N1479" i="1"/>
  <c r="U1478" i="1"/>
  <c r="W1478" i="1" s="1"/>
  <c r="T1478" i="1"/>
  <c r="R1478" i="1"/>
  <c r="N1478" i="1"/>
  <c r="U1477" i="1"/>
  <c r="W1477" i="1" s="1"/>
  <c r="T1477" i="1"/>
  <c r="R1477" i="1"/>
  <c r="N1477" i="1"/>
  <c r="U1476" i="1"/>
  <c r="W1476" i="1" s="1"/>
  <c r="T1476" i="1"/>
  <c r="R1476" i="1"/>
  <c r="N1476" i="1"/>
  <c r="U1475" i="1"/>
  <c r="W1475" i="1" s="1"/>
  <c r="T1475" i="1"/>
  <c r="R1475" i="1"/>
  <c r="N1475" i="1"/>
  <c r="U1474" i="1"/>
  <c r="W1474" i="1" s="1"/>
  <c r="T1474" i="1"/>
  <c r="R1474" i="1"/>
  <c r="N1474" i="1"/>
  <c r="U1473" i="1"/>
  <c r="W1473" i="1" s="1"/>
  <c r="T1473" i="1"/>
  <c r="R1473" i="1"/>
  <c r="N1473" i="1"/>
  <c r="U1472" i="1"/>
  <c r="W1472" i="1" s="1"/>
  <c r="T1472" i="1"/>
  <c r="R1472" i="1"/>
  <c r="N1472" i="1"/>
  <c r="U1471" i="1"/>
  <c r="W1471" i="1" s="1"/>
  <c r="T1471" i="1"/>
  <c r="R1471" i="1"/>
  <c r="N1471" i="1"/>
  <c r="U1470" i="1"/>
  <c r="W1470" i="1" s="1"/>
  <c r="T1470" i="1"/>
  <c r="R1470" i="1"/>
  <c r="N1470" i="1"/>
  <c r="U1469" i="1"/>
  <c r="W1469" i="1" s="1"/>
  <c r="T1469" i="1"/>
  <c r="R1469" i="1"/>
  <c r="N1469" i="1"/>
  <c r="U1468" i="1"/>
  <c r="W1468" i="1" s="1"/>
  <c r="T1468" i="1"/>
  <c r="R1468" i="1"/>
  <c r="N1468" i="1"/>
  <c r="U1467" i="1"/>
  <c r="W1467" i="1" s="1"/>
  <c r="T1467" i="1"/>
  <c r="R1467" i="1"/>
  <c r="N1467" i="1"/>
  <c r="U1466" i="1"/>
  <c r="W1466" i="1" s="1"/>
  <c r="T1466" i="1"/>
  <c r="R1466" i="1"/>
  <c r="N1466" i="1"/>
  <c r="U1465" i="1"/>
  <c r="W1465" i="1" s="1"/>
  <c r="T1465" i="1"/>
  <c r="R1465" i="1"/>
  <c r="N1465" i="1"/>
  <c r="U1464" i="1"/>
  <c r="W1464" i="1" s="1"/>
  <c r="T1464" i="1"/>
  <c r="R1464" i="1"/>
  <c r="N1464" i="1"/>
  <c r="U1463" i="1"/>
  <c r="W1463" i="1" s="1"/>
  <c r="T1463" i="1"/>
  <c r="R1463" i="1"/>
  <c r="N1463" i="1"/>
  <c r="U1462" i="1"/>
  <c r="W1462" i="1" s="1"/>
  <c r="T1462" i="1"/>
  <c r="R1462" i="1"/>
  <c r="N1462" i="1"/>
  <c r="U1461" i="1"/>
  <c r="W1461" i="1" s="1"/>
  <c r="T1461" i="1"/>
  <c r="R1461" i="1"/>
  <c r="N1461" i="1"/>
  <c r="U1460" i="1"/>
  <c r="W1460" i="1" s="1"/>
  <c r="T1460" i="1"/>
  <c r="R1460" i="1"/>
  <c r="N1460" i="1"/>
  <c r="U1459" i="1"/>
  <c r="W1459" i="1" s="1"/>
  <c r="T1459" i="1"/>
  <c r="R1459" i="1"/>
  <c r="N1459" i="1"/>
  <c r="U1458" i="1"/>
  <c r="W1458" i="1" s="1"/>
  <c r="T1458" i="1"/>
  <c r="R1458" i="1"/>
  <c r="N1458" i="1"/>
  <c r="U1457" i="1"/>
  <c r="W1457" i="1" s="1"/>
  <c r="T1457" i="1"/>
  <c r="R1457" i="1"/>
  <c r="N1457" i="1"/>
  <c r="U1456" i="1"/>
  <c r="W1456" i="1" s="1"/>
  <c r="T1456" i="1"/>
  <c r="R1456" i="1"/>
  <c r="N1456" i="1"/>
  <c r="U1455" i="1"/>
  <c r="W1455" i="1" s="1"/>
  <c r="T1455" i="1"/>
  <c r="R1455" i="1"/>
  <c r="N1455" i="1"/>
  <c r="U1454" i="1"/>
  <c r="W1454" i="1" s="1"/>
  <c r="T1454" i="1"/>
  <c r="R1454" i="1"/>
  <c r="N1454" i="1"/>
  <c r="U1453" i="1"/>
  <c r="W1453" i="1" s="1"/>
  <c r="T1453" i="1"/>
  <c r="R1453" i="1"/>
  <c r="N1453" i="1"/>
  <c r="U1452" i="1"/>
  <c r="W1452" i="1" s="1"/>
  <c r="T1452" i="1"/>
  <c r="R1452" i="1"/>
  <c r="N1452" i="1"/>
  <c r="U1451" i="1"/>
  <c r="W1451" i="1" s="1"/>
  <c r="T1451" i="1"/>
  <c r="R1451" i="1"/>
  <c r="N1451" i="1"/>
  <c r="U1450" i="1"/>
  <c r="W1450" i="1" s="1"/>
  <c r="T1450" i="1"/>
  <c r="R1450" i="1"/>
  <c r="N1450" i="1"/>
  <c r="U1449" i="1"/>
  <c r="W1449" i="1" s="1"/>
  <c r="T1449" i="1"/>
  <c r="R1449" i="1"/>
  <c r="N1449" i="1"/>
  <c r="U1448" i="1"/>
  <c r="W1448" i="1" s="1"/>
  <c r="T1448" i="1"/>
  <c r="R1448" i="1"/>
  <c r="N1448" i="1"/>
  <c r="U1447" i="1"/>
  <c r="W1447" i="1" s="1"/>
  <c r="T1447" i="1"/>
  <c r="R1447" i="1"/>
  <c r="N1447" i="1"/>
  <c r="U1446" i="1"/>
  <c r="W1446" i="1" s="1"/>
  <c r="T1446" i="1"/>
  <c r="R1446" i="1"/>
  <c r="N1446" i="1"/>
  <c r="U1445" i="1"/>
  <c r="W1445" i="1" s="1"/>
  <c r="T1445" i="1"/>
  <c r="R1445" i="1"/>
  <c r="N1445" i="1"/>
  <c r="U1444" i="1"/>
  <c r="W1444" i="1" s="1"/>
  <c r="T1444" i="1"/>
  <c r="R1444" i="1"/>
  <c r="N1444" i="1"/>
  <c r="U1443" i="1"/>
  <c r="W1443" i="1" s="1"/>
  <c r="T1443" i="1"/>
  <c r="R1443" i="1"/>
  <c r="N1443" i="1"/>
  <c r="U1442" i="1"/>
  <c r="W1442" i="1" s="1"/>
  <c r="T1442" i="1"/>
  <c r="R1442" i="1"/>
  <c r="N1442" i="1"/>
  <c r="U1441" i="1"/>
  <c r="W1441" i="1" s="1"/>
  <c r="T1441" i="1"/>
  <c r="R1441" i="1"/>
  <c r="N1441" i="1"/>
  <c r="U1440" i="1"/>
  <c r="W1440" i="1" s="1"/>
  <c r="T1440" i="1"/>
  <c r="R1440" i="1"/>
  <c r="N1440" i="1"/>
  <c r="U1439" i="1"/>
  <c r="W1439" i="1" s="1"/>
  <c r="T1439" i="1"/>
  <c r="R1439" i="1"/>
  <c r="N1439" i="1"/>
  <c r="U1438" i="1"/>
  <c r="W1438" i="1" s="1"/>
  <c r="T1438" i="1"/>
  <c r="R1438" i="1"/>
  <c r="N1438" i="1"/>
  <c r="U1437" i="1"/>
  <c r="W1437" i="1" s="1"/>
  <c r="T1437" i="1"/>
  <c r="R1437" i="1"/>
  <c r="N1437" i="1"/>
  <c r="U1436" i="1"/>
  <c r="W1436" i="1" s="1"/>
  <c r="T1436" i="1"/>
  <c r="R1436" i="1"/>
  <c r="N1436" i="1"/>
  <c r="U1435" i="1"/>
  <c r="W1435" i="1" s="1"/>
  <c r="T1435" i="1"/>
  <c r="R1435" i="1"/>
  <c r="N1435" i="1"/>
  <c r="U1434" i="1"/>
  <c r="W1434" i="1" s="1"/>
  <c r="T1434" i="1"/>
  <c r="R1434" i="1"/>
  <c r="N1434" i="1"/>
  <c r="U1433" i="1"/>
  <c r="W1433" i="1" s="1"/>
  <c r="T1433" i="1"/>
  <c r="R1433" i="1"/>
  <c r="N1433" i="1"/>
  <c r="U1432" i="1"/>
  <c r="W1432" i="1" s="1"/>
  <c r="T1432" i="1"/>
  <c r="R1432" i="1"/>
  <c r="N1432" i="1"/>
  <c r="U1431" i="1"/>
  <c r="W1431" i="1" s="1"/>
  <c r="T1431" i="1"/>
  <c r="R1431" i="1"/>
  <c r="N1431" i="1"/>
  <c r="U1430" i="1"/>
  <c r="W1430" i="1" s="1"/>
  <c r="T1430" i="1"/>
  <c r="R1430" i="1"/>
  <c r="N1430" i="1"/>
  <c r="U1429" i="1"/>
  <c r="W1429" i="1" s="1"/>
  <c r="T1429" i="1"/>
  <c r="R1429" i="1"/>
  <c r="N1429" i="1"/>
  <c r="U1428" i="1"/>
  <c r="W1428" i="1" s="1"/>
  <c r="T1428" i="1"/>
  <c r="R1428" i="1"/>
  <c r="N1428" i="1"/>
  <c r="U1427" i="1"/>
  <c r="W1427" i="1" s="1"/>
  <c r="T1427" i="1"/>
  <c r="R1427" i="1"/>
  <c r="N1427" i="1"/>
  <c r="U1426" i="1"/>
  <c r="W1426" i="1" s="1"/>
  <c r="T1426" i="1"/>
  <c r="R1426" i="1"/>
  <c r="N1426" i="1"/>
  <c r="U1425" i="1"/>
  <c r="W1425" i="1" s="1"/>
  <c r="T1425" i="1"/>
  <c r="R1425" i="1"/>
  <c r="N1425" i="1"/>
  <c r="U1424" i="1"/>
  <c r="W1424" i="1" s="1"/>
  <c r="T1424" i="1"/>
  <c r="R1424" i="1"/>
  <c r="N1424" i="1"/>
  <c r="U1423" i="1"/>
  <c r="W1423" i="1" s="1"/>
  <c r="T1423" i="1"/>
  <c r="R1423" i="1"/>
  <c r="N1423" i="1"/>
  <c r="U1422" i="1"/>
  <c r="W1422" i="1" s="1"/>
  <c r="T1422" i="1"/>
  <c r="R1422" i="1"/>
  <c r="N1422" i="1"/>
  <c r="U1421" i="1"/>
  <c r="W1421" i="1" s="1"/>
  <c r="T1421" i="1"/>
  <c r="R1421" i="1"/>
  <c r="N1421" i="1"/>
  <c r="U1420" i="1"/>
  <c r="W1420" i="1" s="1"/>
  <c r="T1420" i="1"/>
  <c r="R1420" i="1"/>
  <c r="N1420" i="1"/>
  <c r="U1419" i="1"/>
  <c r="W1419" i="1" s="1"/>
  <c r="T1419" i="1"/>
  <c r="R1419" i="1"/>
  <c r="N1419" i="1"/>
  <c r="U1418" i="1"/>
  <c r="W1418" i="1" s="1"/>
  <c r="T1418" i="1"/>
  <c r="R1418" i="1"/>
  <c r="N1418" i="1"/>
  <c r="U1417" i="1"/>
  <c r="W1417" i="1" s="1"/>
  <c r="T1417" i="1"/>
  <c r="R1417" i="1"/>
  <c r="N1417" i="1"/>
  <c r="U1416" i="1"/>
  <c r="W1416" i="1" s="1"/>
  <c r="T1416" i="1"/>
  <c r="R1416" i="1"/>
  <c r="N1416" i="1"/>
  <c r="U1415" i="1"/>
  <c r="W1415" i="1" s="1"/>
  <c r="T1415" i="1"/>
  <c r="R1415" i="1"/>
  <c r="N1415" i="1"/>
  <c r="U1414" i="1"/>
  <c r="W1414" i="1" s="1"/>
  <c r="T1414" i="1"/>
  <c r="R1414" i="1"/>
  <c r="N1414" i="1"/>
  <c r="U1413" i="1"/>
  <c r="W1413" i="1" s="1"/>
  <c r="T1413" i="1"/>
  <c r="R1413" i="1"/>
  <c r="N1413" i="1"/>
  <c r="U1412" i="1"/>
  <c r="W1412" i="1" s="1"/>
  <c r="T1412" i="1"/>
  <c r="R1412" i="1"/>
  <c r="N1412" i="1"/>
  <c r="U1411" i="1"/>
  <c r="W1411" i="1" s="1"/>
  <c r="T1411" i="1"/>
  <c r="R1411" i="1"/>
  <c r="N1411" i="1"/>
  <c r="U1410" i="1"/>
  <c r="W1410" i="1" s="1"/>
  <c r="T1410" i="1"/>
  <c r="R1410" i="1"/>
  <c r="N1410" i="1"/>
  <c r="U1409" i="1"/>
  <c r="W1409" i="1" s="1"/>
  <c r="T1409" i="1"/>
  <c r="R1409" i="1"/>
  <c r="N1409" i="1"/>
  <c r="U1408" i="1"/>
  <c r="W1408" i="1" s="1"/>
  <c r="T1408" i="1"/>
  <c r="R1408" i="1"/>
  <c r="N1408" i="1"/>
  <c r="U1407" i="1"/>
  <c r="W1407" i="1" s="1"/>
  <c r="T1407" i="1"/>
  <c r="R1407" i="1"/>
  <c r="N1407" i="1"/>
  <c r="U1406" i="1"/>
  <c r="W1406" i="1" s="1"/>
  <c r="T1406" i="1"/>
  <c r="R1406" i="1"/>
  <c r="N1406" i="1"/>
  <c r="U1405" i="1"/>
  <c r="W1405" i="1" s="1"/>
  <c r="T1405" i="1"/>
  <c r="R1405" i="1"/>
  <c r="N1405" i="1"/>
  <c r="U1404" i="1"/>
  <c r="W1404" i="1" s="1"/>
  <c r="T1404" i="1"/>
  <c r="R1404" i="1"/>
  <c r="N1404" i="1"/>
  <c r="U1403" i="1"/>
  <c r="W1403" i="1" s="1"/>
  <c r="T1403" i="1"/>
  <c r="R1403" i="1"/>
  <c r="N1403" i="1"/>
  <c r="U1402" i="1"/>
  <c r="W1402" i="1" s="1"/>
  <c r="T1402" i="1"/>
  <c r="R1402" i="1"/>
  <c r="N1402" i="1"/>
  <c r="U1401" i="1"/>
  <c r="W1401" i="1" s="1"/>
  <c r="T1401" i="1"/>
  <c r="R1401" i="1"/>
  <c r="N1401" i="1"/>
  <c r="U1400" i="1"/>
  <c r="W1400" i="1" s="1"/>
  <c r="T1400" i="1"/>
  <c r="R1400" i="1"/>
  <c r="N1400" i="1"/>
  <c r="U1399" i="1"/>
  <c r="W1399" i="1" s="1"/>
  <c r="T1399" i="1"/>
  <c r="R1399" i="1"/>
  <c r="N1399" i="1"/>
  <c r="U1398" i="1"/>
  <c r="W1398" i="1" s="1"/>
  <c r="T1398" i="1"/>
  <c r="R1398" i="1"/>
  <c r="N1398" i="1"/>
  <c r="U1397" i="1"/>
  <c r="W1397" i="1" s="1"/>
  <c r="T1397" i="1"/>
  <c r="R1397" i="1"/>
  <c r="N1397" i="1"/>
  <c r="U1396" i="1"/>
  <c r="W1396" i="1" s="1"/>
  <c r="T1396" i="1"/>
  <c r="R1396" i="1"/>
  <c r="N1396" i="1"/>
  <c r="U1395" i="1"/>
  <c r="W1395" i="1" s="1"/>
  <c r="T1395" i="1"/>
  <c r="R1395" i="1"/>
  <c r="N1395" i="1"/>
  <c r="U1394" i="1"/>
  <c r="W1394" i="1" s="1"/>
  <c r="T1394" i="1"/>
  <c r="R1394" i="1"/>
  <c r="N1394" i="1"/>
  <c r="U1393" i="1"/>
  <c r="W1393" i="1" s="1"/>
  <c r="T1393" i="1"/>
  <c r="R1393" i="1"/>
  <c r="N1393" i="1"/>
  <c r="U1392" i="1"/>
  <c r="W1392" i="1" s="1"/>
  <c r="T1392" i="1"/>
  <c r="R1392" i="1"/>
  <c r="N1392" i="1"/>
  <c r="U1391" i="1"/>
  <c r="W1391" i="1" s="1"/>
  <c r="T1391" i="1"/>
  <c r="R1391" i="1"/>
  <c r="N1391" i="1"/>
  <c r="U1390" i="1"/>
  <c r="W1390" i="1" s="1"/>
  <c r="T1390" i="1"/>
  <c r="R1390" i="1"/>
  <c r="N1390" i="1"/>
  <c r="U1389" i="1"/>
  <c r="W1389" i="1" s="1"/>
  <c r="T1389" i="1"/>
  <c r="R1389" i="1"/>
  <c r="N1389" i="1"/>
  <c r="U1388" i="1"/>
  <c r="W1388" i="1" s="1"/>
  <c r="T1388" i="1"/>
  <c r="R1388" i="1"/>
  <c r="N1388" i="1"/>
  <c r="U1387" i="1"/>
  <c r="W1387" i="1" s="1"/>
  <c r="T1387" i="1"/>
  <c r="R1387" i="1"/>
  <c r="N1387" i="1"/>
  <c r="U1386" i="1"/>
  <c r="W1386" i="1" s="1"/>
  <c r="T1386" i="1"/>
  <c r="R1386" i="1"/>
  <c r="N1386" i="1"/>
  <c r="U1385" i="1"/>
  <c r="W1385" i="1" s="1"/>
  <c r="T1385" i="1"/>
  <c r="R1385" i="1"/>
  <c r="N1385" i="1"/>
  <c r="U1384" i="1"/>
  <c r="W1384" i="1" s="1"/>
  <c r="T1384" i="1"/>
  <c r="R1384" i="1"/>
  <c r="N1384" i="1"/>
  <c r="U1383" i="1"/>
  <c r="W1383" i="1" s="1"/>
  <c r="T1383" i="1"/>
  <c r="R1383" i="1"/>
  <c r="N1383" i="1"/>
  <c r="U1382" i="1"/>
  <c r="W1382" i="1" s="1"/>
  <c r="T1382" i="1"/>
  <c r="R1382" i="1"/>
  <c r="N1382" i="1"/>
  <c r="U1381" i="1"/>
  <c r="W1381" i="1" s="1"/>
  <c r="T1381" i="1"/>
  <c r="R1381" i="1"/>
  <c r="N1381" i="1"/>
  <c r="U1380" i="1"/>
  <c r="W1380" i="1" s="1"/>
  <c r="T1380" i="1"/>
  <c r="R1380" i="1"/>
  <c r="N1380" i="1"/>
  <c r="U1379" i="1"/>
  <c r="W1379" i="1" s="1"/>
  <c r="T1379" i="1"/>
  <c r="R1379" i="1"/>
  <c r="N1379" i="1"/>
  <c r="U1378" i="1"/>
  <c r="W1378" i="1" s="1"/>
  <c r="T1378" i="1"/>
  <c r="R1378" i="1"/>
  <c r="N1378" i="1"/>
  <c r="U1377" i="1"/>
  <c r="W1377" i="1" s="1"/>
  <c r="T1377" i="1"/>
  <c r="R1377" i="1"/>
  <c r="N1377" i="1"/>
  <c r="U1376" i="1"/>
  <c r="W1376" i="1" s="1"/>
  <c r="T1376" i="1"/>
  <c r="R1376" i="1"/>
  <c r="N1376" i="1"/>
  <c r="U1375" i="1"/>
  <c r="W1375" i="1" s="1"/>
  <c r="T1375" i="1"/>
  <c r="R1375" i="1"/>
  <c r="N1375" i="1"/>
  <c r="U1374" i="1"/>
  <c r="W1374" i="1" s="1"/>
  <c r="T1374" i="1"/>
  <c r="R1374" i="1"/>
  <c r="N1374" i="1"/>
  <c r="U1373" i="1"/>
  <c r="W1373" i="1" s="1"/>
  <c r="T1373" i="1"/>
  <c r="R1373" i="1"/>
  <c r="N1373" i="1"/>
  <c r="U1372" i="1"/>
  <c r="W1372" i="1" s="1"/>
  <c r="T1372" i="1"/>
  <c r="R1372" i="1"/>
  <c r="N1372" i="1"/>
  <c r="U1371" i="1"/>
  <c r="W1371" i="1" s="1"/>
  <c r="T1371" i="1"/>
  <c r="R1371" i="1"/>
  <c r="N1371" i="1"/>
  <c r="U1370" i="1"/>
  <c r="W1370" i="1" s="1"/>
  <c r="T1370" i="1"/>
  <c r="R1370" i="1"/>
  <c r="N1370" i="1"/>
  <c r="U1369" i="1"/>
  <c r="W1369" i="1" s="1"/>
  <c r="T1369" i="1"/>
  <c r="R1369" i="1"/>
  <c r="N1369" i="1"/>
  <c r="U1368" i="1"/>
  <c r="W1368" i="1" s="1"/>
  <c r="T1368" i="1"/>
  <c r="R1368" i="1"/>
  <c r="N1368" i="1"/>
  <c r="U1367" i="1"/>
  <c r="W1367" i="1" s="1"/>
  <c r="T1367" i="1"/>
  <c r="R1367" i="1"/>
  <c r="N1367" i="1"/>
  <c r="U1366" i="1"/>
  <c r="W1366" i="1" s="1"/>
  <c r="T1366" i="1"/>
  <c r="R1366" i="1"/>
  <c r="N1366" i="1"/>
  <c r="U1365" i="1"/>
  <c r="W1365" i="1" s="1"/>
  <c r="T1365" i="1"/>
  <c r="R1365" i="1"/>
  <c r="N1365" i="1"/>
  <c r="U1364" i="1"/>
  <c r="W1364" i="1" s="1"/>
  <c r="T1364" i="1"/>
  <c r="R1364" i="1"/>
  <c r="N1364" i="1"/>
  <c r="U1363" i="1"/>
  <c r="W1363" i="1" s="1"/>
  <c r="T1363" i="1"/>
  <c r="R1363" i="1"/>
  <c r="N1363" i="1"/>
  <c r="U1362" i="1"/>
  <c r="W1362" i="1" s="1"/>
  <c r="T1362" i="1"/>
  <c r="R1362" i="1"/>
  <c r="N1362" i="1"/>
  <c r="U1361" i="1"/>
  <c r="W1361" i="1" s="1"/>
  <c r="T1361" i="1"/>
  <c r="R1361" i="1"/>
  <c r="N1361" i="1"/>
  <c r="U1360" i="1"/>
  <c r="W1360" i="1" s="1"/>
  <c r="T1360" i="1"/>
  <c r="R1360" i="1"/>
  <c r="N1360" i="1"/>
  <c r="U1359" i="1"/>
  <c r="W1359" i="1" s="1"/>
  <c r="T1359" i="1"/>
  <c r="R1359" i="1"/>
  <c r="N1359" i="1"/>
  <c r="U1358" i="1"/>
  <c r="W1358" i="1" s="1"/>
  <c r="T1358" i="1"/>
  <c r="R1358" i="1"/>
  <c r="N1358" i="1"/>
  <c r="U1357" i="1"/>
  <c r="W1357" i="1" s="1"/>
  <c r="T1357" i="1"/>
  <c r="R1357" i="1"/>
  <c r="N1357" i="1"/>
  <c r="U1356" i="1"/>
  <c r="W1356" i="1" s="1"/>
  <c r="T1356" i="1"/>
  <c r="R1356" i="1"/>
  <c r="N1356" i="1"/>
  <c r="U1355" i="1"/>
  <c r="W1355" i="1" s="1"/>
  <c r="T1355" i="1"/>
  <c r="R1355" i="1"/>
  <c r="N1355" i="1"/>
  <c r="U1354" i="1"/>
  <c r="W1354" i="1" s="1"/>
  <c r="T1354" i="1"/>
  <c r="R1354" i="1"/>
  <c r="N1354" i="1"/>
  <c r="U1353" i="1"/>
  <c r="W1353" i="1" s="1"/>
  <c r="T1353" i="1"/>
  <c r="R1353" i="1"/>
  <c r="N1353" i="1"/>
  <c r="U1352" i="1"/>
  <c r="W1352" i="1" s="1"/>
  <c r="T1352" i="1"/>
  <c r="R1352" i="1"/>
  <c r="N1352" i="1"/>
  <c r="U1351" i="1"/>
  <c r="W1351" i="1" s="1"/>
  <c r="T1351" i="1"/>
  <c r="R1351" i="1"/>
  <c r="N1351" i="1"/>
  <c r="U1350" i="1"/>
  <c r="W1350" i="1" s="1"/>
  <c r="T1350" i="1"/>
  <c r="R1350" i="1"/>
  <c r="N1350" i="1"/>
  <c r="U1349" i="1"/>
  <c r="W1349" i="1" s="1"/>
  <c r="T1349" i="1"/>
  <c r="R1349" i="1"/>
  <c r="N1349" i="1"/>
  <c r="U1348" i="1"/>
  <c r="W1348" i="1" s="1"/>
  <c r="T1348" i="1"/>
  <c r="R1348" i="1"/>
  <c r="N1348" i="1"/>
  <c r="U1347" i="1"/>
  <c r="W1347" i="1" s="1"/>
  <c r="T1347" i="1"/>
  <c r="R1347" i="1"/>
  <c r="N1347" i="1"/>
  <c r="U1346" i="1"/>
  <c r="W1346" i="1" s="1"/>
  <c r="T1346" i="1"/>
  <c r="R1346" i="1"/>
  <c r="N1346" i="1"/>
  <c r="U1345" i="1"/>
  <c r="W1345" i="1" s="1"/>
  <c r="T1345" i="1"/>
  <c r="R1345" i="1"/>
  <c r="N1345" i="1"/>
  <c r="U1344" i="1"/>
  <c r="W1344" i="1" s="1"/>
  <c r="T1344" i="1"/>
  <c r="R1344" i="1"/>
  <c r="N1344" i="1"/>
  <c r="U1343" i="1"/>
  <c r="W1343" i="1" s="1"/>
  <c r="T1343" i="1"/>
  <c r="R1343" i="1"/>
  <c r="N1343" i="1"/>
  <c r="U1342" i="1"/>
  <c r="W1342" i="1" s="1"/>
  <c r="T1342" i="1"/>
  <c r="R1342" i="1"/>
  <c r="N1342" i="1"/>
  <c r="U1341" i="1"/>
  <c r="W1341" i="1" s="1"/>
  <c r="T1341" i="1"/>
  <c r="R1341" i="1"/>
  <c r="N1341" i="1"/>
  <c r="U1340" i="1"/>
  <c r="W1340" i="1" s="1"/>
  <c r="T1340" i="1"/>
  <c r="R1340" i="1"/>
  <c r="N1340" i="1"/>
  <c r="U1339" i="1"/>
  <c r="W1339" i="1" s="1"/>
  <c r="T1339" i="1"/>
  <c r="R1339" i="1"/>
  <c r="N1339" i="1"/>
  <c r="U1338" i="1"/>
  <c r="W1338" i="1" s="1"/>
  <c r="T1338" i="1"/>
  <c r="R1338" i="1"/>
  <c r="N1338" i="1"/>
  <c r="U1337" i="1"/>
  <c r="W1337" i="1" s="1"/>
  <c r="T1337" i="1"/>
  <c r="R1337" i="1"/>
  <c r="N1337" i="1"/>
  <c r="U1336" i="1"/>
  <c r="W1336" i="1" s="1"/>
  <c r="T1336" i="1"/>
  <c r="R1336" i="1"/>
  <c r="N1336" i="1"/>
  <c r="U1335" i="1"/>
  <c r="W1335" i="1" s="1"/>
  <c r="T1335" i="1"/>
  <c r="R1335" i="1"/>
  <c r="N1335" i="1"/>
  <c r="U1334" i="1"/>
  <c r="W1334" i="1" s="1"/>
  <c r="T1334" i="1"/>
  <c r="R1334" i="1"/>
  <c r="N1334" i="1"/>
  <c r="U1333" i="1"/>
  <c r="W1333" i="1" s="1"/>
  <c r="T1333" i="1"/>
  <c r="R1333" i="1"/>
  <c r="N1333" i="1"/>
  <c r="U1332" i="1"/>
  <c r="W1332" i="1" s="1"/>
  <c r="T1332" i="1"/>
  <c r="R1332" i="1"/>
  <c r="N1332" i="1"/>
  <c r="U1331" i="1"/>
  <c r="W1331" i="1" s="1"/>
  <c r="T1331" i="1"/>
  <c r="R1331" i="1"/>
  <c r="N1331" i="1"/>
  <c r="U1330" i="1"/>
  <c r="W1330" i="1" s="1"/>
  <c r="T1330" i="1"/>
  <c r="R1330" i="1"/>
  <c r="N1330" i="1"/>
  <c r="U1329" i="1"/>
  <c r="W1329" i="1" s="1"/>
  <c r="T1329" i="1"/>
  <c r="R1329" i="1"/>
  <c r="N1329" i="1"/>
  <c r="U1328" i="1"/>
  <c r="W1328" i="1" s="1"/>
  <c r="T1328" i="1"/>
  <c r="R1328" i="1"/>
  <c r="N1328" i="1"/>
  <c r="U1327" i="1"/>
  <c r="W1327" i="1" s="1"/>
  <c r="T1327" i="1"/>
  <c r="R1327" i="1"/>
  <c r="N1327" i="1"/>
  <c r="U1326" i="1"/>
  <c r="W1326" i="1" s="1"/>
  <c r="T1326" i="1"/>
  <c r="R1326" i="1"/>
  <c r="N1326" i="1"/>
  <c r="U1325" i="1"/>
  <c r="W1325" i="1" s="1"/>
  <c r="T1325" i="1"/>
  <c r="R1325" i="1"/>
  <c r="N1325" i="1"/>
  <c r="U1324" i="1"/>
  <c r="W1324" i="1" s="1"/>
  <c r="T1324" i="1"/>
  <c r="R1324" i="1"/>
  <c r="N1324" i="1"/>
  <c r="U1323" i="1"/>
  <c r="W1323" i="1" s="1"/>
  <c r="T1323" i="1"/>
  <c r="R1323" i="1"/>
  <c r="N1323" i="1"/>
  <c r="U1322" i="1"/>
  <c r="W1322" i="1" s="1"/>
  <c r="T1322" i="1"/>
  <c r="R1322" i="1"/>
  <c r="N1322" i="1"/>
  <c r="U1321" i="1"/>
  <c r="W1321" i="1" s="1"/>
  <c r="T1321" i="1"/>
  <c r="R1321" i="1"/>
  <c r="N1321" i="1"/>
  <c r="U1320" i="1"/>
  <c r="W1320" i="1" s="1"/>
  <c r="T1320" i="1"/>
  <c r="R1320" i="1"/>
  <c r="N1320" i="1"/>
  <c r="U1319" i="1"/>
  <c r="W1319" i="1" s="1"/>
  <c r="T1319" i="1"/>
  <c r="R1319" i="1"/>
  <c r="N1319" i="1"/>
  <c r="U1318" i="1"/>
  <c r="W1318" i="1" s="1"/>
  <c r="T1318" i="1"/>
  <c r="R1318" i="1"/>
  <c r="N1318" i="1"/>
  <c r="U1317" i="1"/>
  <c r="W1317" i="1" s="1"/>
  <c r="T1317" i="1"/>
  <c r="R1317" i="1"/>
  <c r="N1317" i="1"/>
  <c r="U1316" i="1"/>
  <c r="W1316" i="1" s="1"/>
  <c r="T1316" i="1"/>
  <c r="R1316" i="1"/>
  <c r="N1316" i="1"/>
  <c r="U1315" i="1"/>
  <c r="W1315" i="1" s="1"/>
  <c r="T1315" i="1"/>
  <c r="R1315" i="1"/>
  <c r="N1315" i="1"/>
  <c r="U1314" i="1"/>
  <c r="W1314" i="1" s="1"/>
  <c r="T1314" i="1"/>
  <c r="R1314" i="1"/>
  <c r="N1314" i="1"/>
  <c r="U1313" i="1"/>
  <c r="W1313" i="1" s="1"/>
  <c r="T1313" i="1"/>
  <c r="R1313" i="1"/>
  <c r="N1313" i="1"/>
  <c r="U1312" i="1"/>
  <c r="W1312" i="1" s="1"/>
  <c r="T1312" i="1"/>
  <c r="R1312" i="1"/>
  <c r="N1312" i="1"/>
  <c r="U1311" i="1"/>
  <c r="W1311" i="1" s="1"/>
  <c r="T1311" i="1"/>
  <c r="R1311" i="1"/>
  <c r="N1311" i="1"/>
  <c r="U1310" i="1"/>
  <c r="W1310" i="1" s="1"/>
  <c r="T1310" i="1"/>
  <c r="R1310" i="1"/>
  <c r="N1310" i="1"/>
  <c r="U1309" i="1"/>
  <c r="W1309" i="1" s="1"/>
  <c r="T1309" i="1"/>
  <c r="R1309" i="1"/>
  <c r="N1309" i="1"/>
  <c r="U1308" i="1"/>
  <c r="W1308" i="1" s="1"/>
  <c r="T1308" i="1"/>
  <c r="R1308" i="1"/>
  <c r="N1308" i="1"/>
  <c r="U1307" i="1"/>
  <c r="W1307" i="1" s="1"/>
  <c r="T1307" i="1"/>
  <c r="R1307" i="1"/>
  <c r="N1307" i="1"/>
  <c r="U1306" i="1"/>
  <c r="W1306" i="1" s="1"/>
  <c r="T1306" i="1"/>
  <c r="R1306" i="1"/>
  <c r="N1306" i="1"/>
  <c r="U1305" i="1"/>
  <c r="W1305" i="1" s="1"/>
  <c r="T1305" i="1"/>
  <c r="R1305" i="1"/>
  <c r="N1305" i="1"/>
  <c r="U1304" i="1"/>
  <c r="W1304" i="1" s="1"/>
  <c r="T1304" i="1"/>
  <c r="R1304" i="1"/>
  <c r="N1304" i="1"/>
  <c r="U1303" i="1"/>
  <c r="W1303" i="1" s="1"/>
  <c r="T1303" i="1"/>
  <c r="R1303" i="1"/>
  <c r="N1303" i="1"/>
  <c r="U1302" i="1"/>
  <c r="W1302" i="1" s="1"/>
  <c r="T1302" i="1"/>
  <c r="R1302" i="1"/>
  <c r="N1302" i="1"/>
  <c r="U1301" i="1"/>
  <c r="W1301" i="1" s="1"/>
  <c r="T1301" i="1"/>
  <c r="R1301" i="1"/>
  <c r="N1301" i="1"/>
  <c r="U1300" i="1"/>
  <c r="W1300" i="1" s="1"/>
  <c r="T1300" i="1"/>
  <c r="R1300" i="1"/>
  <c r="N1300" i="1"/>
  <c r="U1299" i="1"/>
  <c r="W1299" i="1" s="1"/>
  <c r="T1299" i="1"/>
  <c r="R1299" i="1"/>
  <c r="N1299" i="1"/>
  <c r="U1298" i="1"/>
  <c r="W1298" i="1" s="1"/>
  <c r="T1298" i="1"/>
  <c r="R1298" i="1"/>
  <c r="N1298" i="1"/>
  <c r="U1297" i="1"/>
  <c r="W1297" i="1" s="1"/>
  <c r="T1297" i="1"/>
  <c r="R1297" i="1"/>
  <c r="N1297" i="1"/>
  <c r="U1296" i="1"/>
  <c r="W1296" i="1" s="1"/>
  <c r="T1296" i="1"/>
  <c r="R1296" i="1"/>
  <c r="N1296" i="1"/>
  <c r="U1295" i="1"/>
  <c r="W1295" i="1" s="1"/>
  <c r="T1295" i="1"/>
  <c r="R1295" i="1"/>
  <c r="N1295" i="1"/>
  <c r="U1294" i="1"/>
  <c r="W1294" i="1" s="1"/>
  <c r="T1294" i="1"/>
  <c r="R1294" i="1"/>
  <c r="N1294" i="1"/>
  <c r="U1293" i="1"/>
  <c r="W1293" i="1" s="1"/>
  <c r="T1293" i="1"/>
  <c r="R1293" i="1"/>
  <c r="N1293" i="1"/>
  <c r="U1292" i="1"/>
  <c r="W1292" i="1" s="1"/>
  <c r="T1292" i="1"/>
  <c r="R1292" i="1"/>
  <c r="N1292" i="1"/>
  <c r="U1291" i="1"/>
  <c r="W1291" i="1" s="1"/>
  <c r="T1291" i="1"/>
  <c r="R1291" i="1"/>
  <c r="N1291" i="1"/>
  <c r="U1290" i="1"/>
  <c r="W1290" i="1" s="1"/>
  <c r="T1290" i="1"/>
  <c r="R1290" i="1"/>
  <c r="N1290" i="1"/>
  <c r="U1289" i="1"/>
  <c r="W1289" i="1" s="1"/>
  <c r="T1289" i="1"/>
  <c r="R1289" i="1"/>
  <c r="N1289" i="1"/>
  <c r="U1288" i="1"/>
  <c r="W1288" i="1" s="1"/>
  <c r="T1288" i="1"/>
  <c r="R1288" i="1"/>
  <c r="N1288" i="1"/>
  <c r="U1287" i="1"/>
  <c r="W1287" i="1" s="1"/>
  <c r="T1287" i="1"/>
  <c r="R1287" i="1"/>
  <c r="N1287" i="1"/>
  <c r="U1286" i="1"/>
  <c r="W1286" i="1" s="1"/>
  <c r="T1286" i="1"/>
  <c r="R1286" i="1"/>
  <c r="N1286" i="1"/>
  <c r="U1285" i="1"/>
  <c r="W1285" i="1" s="1"/>
  <c r="T1285" i="1"/>
  <c r="R1285" i="1"/>
  <c r="N1285" i="1"/>
  <c r="U1284" i="1"/>
  <c r="W1284" i="1" s="1"/>
  <c r="T1284" i="1"/>
  <c r="R1284" i="1"/>
  <c r="N1284" i="1"/>
  <c r="U1283" i="1"/>
  <c r="W1283" i="1" s="1"/>
  <c r="T1283" i="1"/>
  <c r="R1283" i="1"/>
  <c r="N1283" i="1"/>
  <c r="U1282" i="1"/>
  <c r="W1282" i="1" s="1"/>
  <c r="T1282" i="1"/>
  <c r="R1282" i="1"/>
  <c r="N1282" i="1"/>
  <c r="U1281" i="1"/>
  <c r="W1281" i="1" s="1"/>
  <c r="T1281" i="1"/>
  <c r="R1281" i="1"/>
  <c r="N1281" i="1"/>
  <c r="U1280" i="1"/>
  <c r="W1280" i="1" s="1"/>
  <c r="T1280" i="1"/>
  <c r="R1280" i="1"/>
  <c r="N1280" i="1"/>
  <c r="U1279" i="1"/>
  <c r="W1279" i="1" s="1"/>
  <c r="T1279" i="1"/>
  <c r="R1279" i="1"/>
  <c r="N1279" i="1"/>
  <c r="U1278" i="1"/>
  <c r="W1278" i="1" s="1"/>
  <c r="T1278" i="1"/>
  <c r="R1278" i="1"/>
  <c r="N1278" i="1"/>
  <c r="U1277" i="1"/>
  <c r="W1277" i="1" s="1"/>
  <c r="T1277" i="1"/>
  <c r="R1277" i="1"/>
  <c r="N1277" i="1"/>
  <c r="U1276" i="1"/>
  <c r="W1276" i="1" s="1"/>
  <c r="T1276" i="1"/>
  <c r="R1276" i="1"/>
  <c r="N1276" i="1"/>
  <c r="U1275" i="1"/>
  <c r="W1275" i="1" s="1"/>
  <c r="T1275" i="1"/>
  <c r="R1275" i="1"/>
  <c r="N1275" i="1"/>
  <c r="U1274" i="1"/>
  <c r="W1274" i="1" s="1"/>
  <c r="T1274" i="1"/>
  <c r="R1274" i="1"/>
  <c r="N1274" i="1"/>
  <c r="U1273" i="1"/>
  <c r="W1273" i="1" s="1"/>
  <c r="T1273" i="1"/>
  <c r="R1273" i="1"/>
  <c r="N1273" i="1"/>
  <c r="U1272" i="1"/>
  <c r="W1272" i="1" s="1"/>
  <c r="T1272" i="1"/>
  <c r="R1272" i="1"/>
  <c r="N1272" i="1"/>
  <c r="U1271" i="1"/>
  <c r="W1271" i="1" s="1"/>
  <c r="T1271" i="1"/>
  <c r="R1271" i="1"/>
  <c r="N1271" i="1"/>
  <c r="U1270" i="1"/>
  <c r="W1270" i="1" s="1"/>
  <c r="T1270" i="1"/>
  <c r="R1270" i="1"/>
  <c r="N1270" i="1"/>
  <c r="U1269" i="1"/>
  <c r="W1269" i="1" s="1"/>
  <c r="T1269" i="1"/>
  <c r="R1269" i="1"/>
  <c r="N1269" i="1"/>
  <c r="U1268" i="1"/>
  <c r="W1268" i="1" s="1"/>
  <c r="T1268" i="1"/>
  <c r="R1268" i="1"/>
  <c r="N1268" i="1"/>
  <c r="U1267" i="1"/>
  <c r="W1267" i="1" s="1"/>
  <c r="T1267" i="1"/>
  <c r="R1267" i="1"/>
  <c r="N1267" i="1"/>
  <c r="U1266" i="1"/>
  <c r="W1266" i="1" s="1"/>
  <c r="T1266" i="1"/>
  <c r="R1266" i="1"/>
  <c r="N1266" i="1"/>
  <c r="U1265" i="1"/>
  <c r="W1265" i="1" s="1"/>
  <c r="T1265" i="1"/>
  <c r="R1265" i="1"/>
  <c r="N1265" i="1"/>
  <c r="U1264" i="1"/>
  <c r="W1264" i="1" s="1"/>
  <c r="T1264" i="1"/>
  <c r="R1264" i="1"/>
  <c r="N1264" i="1"/>
  <c r="U1263" i="1"/>
  <c r="W1263" i="1" s="1"/>
  <c r="T1263" i="1"/>
  <c r="R1263" i="1"/>
  <c r="N1263" i="1"/>
  <c r="U1262" i="1"/>
  <c r="W1262" i="1" s="1"/>
  <c r="T1262" i="1"/>
  <c r="R1262" i="1"/>
  <c r="N1262" i="1"/>
  <c r="U1261" i="1"/>
  <c r="W1261" i="1" s="1"/>
  <c r="T1261" i="1"/>
  <c r="R1261" i="1"/>
  <c r="N1261" i="1"/>
  <c r="U1260" i="1"/>
  <c r="W1260" i="1" s="1"/>
  <c r="T1260" i="1"/>
  <c r="R1260" i="1"/>
  <c r="N1260" i="1"/>
  <c r="U1259" i="1"/>
  <c r="W1259" i="1" s="1"/>
  <c r="T1259" i="1"/>
  <c r="R1259" i="1"/>
  <c r="N1259" i="1"/>
  <c r="U1258" i="1"/>
  <c r="W1258" i="1" s="1"/>
  <c r="T1258" i="1"/>
  <c r="R1258" i="1"/>
  <c r="N1258" i="1"/>
  <c r="U1257" i="1"/>
  <c r="W1257" i="1" s="1"/>
  <c r="T1257" i="1"/>
  <c r="R1257" i="1"/>
  <c r="N1257" i="1"/>
  <c r="U1256" i="1"/>
  <c r="W1256" i="1" s="1"/>
  <c r="T1256" i="1"/>
  <c r="R1256" i="1"/>
  <c r="N1256" i="1"/>
  <c r="U1255" i="1"/>
  <c r="W1255" i="1" s="1"/>
  <c r="T1255" i="1"/>
  <c r="R1255" i="1"/>
  <c r="N1255" i="1"/>
  <c r="U1254" i="1"/>
  <c r="W1254" i="1" s="1"/>
  <c r="T1254" i="1"/>
  <c r="R1254" i="1"/>
  <c r="N1254" i="1"/>
  <c r="U1253" i="1"/>
  <c r="W1253" i="1" s="1"/>
  <c r="T1253" i="1"/>
  <c r="R1253" i="1"/>
  <c r="N1253" i="1"/>
  <c r="U1252" i="1"/>
  <c r="W1252" i="1" s="1"/>
  <c r="T1252" i="1"/>
  <c r="R1252" i="1"/>
  <c r="N1252" i="1"/>
  <c r="U1251" i="1"/>
  <c r="W1251" i="1" s="1"/>
  <c r="T1251" i="1"/>
  <c r="R1251" i="1"/>
  <c r="N1251" i="1"/>
  <c r="U1250" i="1"/>
  <c r="W1250" i="1" s="1"/>
  <c r="T1250" i="1"/>
  <c r="R1250" i="1"/>
  <c r="N1250" i="1"/>
  <c r="U1249" i="1"/>
  <c r="W1249" i="1" s="1"/>
  <c r="T1249" i="1"/>
  <c r="R1249" i="1"/>
  <c r="N1249" i="1"/>
  <c r="U1248" i="1"/>
  <c r="W1248" i="1" s="1"/>
  <c r="T1248" i="1"/>
  <c r="R1248" i="1"/>
  <c r="N1248" i="1"/>
  <c r="U1247" i="1"/>
  <c r="W1247" i="1" s="1"/>
  <c r="T1247" i="1"/>
  <c r="R1247" i="1"/>
  <c r="N1247" i="1"/>
  <c r="U1246" i="1"/>
  <c r="W1246" i="1" s="1"/>
  <c r="T1246" i="1"/>
  <c r="R1246" i="1"/>
  <c r="N1246" i="1"/>
  <c r="U1245" i="1"/>
  <c r="W1245" i="1" s="1"/>
  <c r="T1245" i="1"/>
  <c r="R1245" i="1"/>
  <c r="N1245" i="1"/>
  <c r="U1244" i="1"/>
  <c r="W1244" i="1" s="1"/>
  <c r="T1244" i="1"/>
  <c r="R1244" i="1"/>
  <c r="N1244" i="1"/>
  <c r="U1243" i="1"/>
  <c r="W1243" i="1" s="1"/>
  <c r="T1243" i="1"/>
  <c r="R1243" i="1"/>
  <c r="N1243" i="1"/>
  <c r="U1242" i="1"/>
  <c r="W1242" i="1" s="1"/>
  <c r="T1242" i="1"/>
  <c r="R1242" i="1"/>
  <c r="N1242" i="1"/>
  <c r="U1241" i="1"/>
  <c r="W1241" i="1" s="1"/>
  <c r="T1241" i="1"/>
  <c r="R1241" i="1"/>
  <c r="N1241" i="1"/>
  <c r="U1240" i="1"/>
  <c r="W1240" i="1" s="1"/>
  <c r="T1240" i="1"/>
  <c r="R1240" i="1"/>
  <c r="N1240" i="1"/>
  <c r="U1239" i="1"/>
  <c r="W1239" i="1" s="1"/>
  <c r="T1239" i="1"/>
  <c r="R1239" i="1"/>
  <c r="N1239" i="1"/>
  <c r="U1238" i="1"/>
  <c r="W1238" i="1" s="1"/>
  <c r="T1238" i="1"/>
  <c r="R1238" i="1"/>
  <c r="N1238" i="1"/>
  <c r="U1237" i="1"/>
  <c r="W1237" i="1" s="1"/>
  <c r="T1237" i="1"/>
  <c r="R1237" i="1"/>
  <c r="N1237" i="1"/>
  <c r="U1236" i="1"/>
  <c r="W1236" i="1" s="1"/>
  <c r="T1236" i="1"/>
  <c r="R1236" i="1"/>
  <c r="N1236" i="1"/>
  <c r="U1235" i="1"/>
  <c r="W1235" i="1" s="1"/>
  <c r="T1235" i="1"/>
  <c r="R1235" i="1"/>
  <c r="N1235" i="1"/>
  <c r="U1234" i="1"/>
  <c r="W1234" i="1" s="1"/>
  <c r="T1234" i="1"/>
  <c r="R1234" i="1"/>
  <c r="N1234" i="1"/>
  <c r="U1233" i="1"/>
  <c r="W1233" i="1" s="1"/>
  <c r="T1233" i="1"/>
  <c r="R1233" i="1"/>
  <c r="N1233" i="1"/>
  <c r="U1232" i="1"/>
  <c r="W1232" i="1" s="1"/>
  <c r="T1232" i="1"/>
  <c r="R1232" i="1"/>
  <c r="N1232" i="1"/>
  <c r="U1231" i="1"/>
  <c r="W1231" i="1" s="1"/>
  <c r="T1231" i="1"/>
  <c r="R1231" i="1"/>
  <c r="N1231" i="1"/>
  <c r="U1230" i="1"/>
  <c r="W1230" i="1" s="1"/>
  <c r="T1230" i="1"/>
  <c r="R1230" i="1"/>
  <c r="N1230" i="1"/>
  <c r="U1229" i="1"/>
  <c r="W1229" i="1" s="1"/>
  <c r="T1229" i="1"/>
  <c r="R1229" i="1"/>
  <c r="N1229" i="1"/>
  <c r="U1228" i="1"/>
  <c r="W1228" i="1" s="1"/>
  <c r="T1228" i="1"/>
  <c r="R1228" i="1"/>
  <c r="N1228" i="1"/>
  <c r="U1227" i="1"/>
  <c r="W1227" i="1" s="1"/>
  <c r="T1227" i="1"/>
  <c r="R1227" i="1"/>
  <c r="N1227" i="1"/>
  <c r="U1226" i="1"/>
  <c r="W1226" i="1" s="1"/>
  <c r="T1226" i="1"/>
  <c r="R1226" i="1"/>
  <c r="N1226" i="1"/>
  <c r="U1225" i="1"/>
  <c r="W1225" i="1" s="1"/>
  <c r="T1225" i="1"/>
  <c r="R1225" i="1"/>
  <c r="N1225" i="1"/>
  <c r="U1224" i="1"/>
  <c r="W1224" i="1" s="1"/>
  <c r="T1224" i="1"/>
  <c r="R1224" i="1"/>
  <c r="N1224" i="1"/>
  <c r="U1223" i="1"/>
  <c r="W1223" i="1" s="1"/>
  <c r="T1223" i="1"/>
  <c r="R1223" i="1"/>
  <c r="N1223" i="1"/>
  <c r="U1222" i="1"/>
  <c r="W1222" i="1" s="1"/>
  <c r="T1222" i="1"/>
  <c r="R1222" i="1"/>
  <c r="N1222" i="1"/>
  <c r="U1221" i="1"/>
  <c r="W1221" i="1" s="1"/>
  <c r="T1221" i="1"/>
  <c r="R1221" i="1"/>
  <c r="N1221" i="1"/>
  <c r="U1220" i="1"/>
  <c r="W1220" i="1" s="1"/>
  <c r="T1220" i="1"/>
  <c r="R1220" i="1"/>
  <c r="N1220" i="1"/>
  <c r="U1219" i="1"/>
  <c r="W1219" i="1" s="1"/>
  <c r="T1219" i="1"/>
  <c r="R1219" i="1"/>
  <c r="N1219" i="1"/>
  <c r="U1218" i="1"/>
  <c r="W1218" i="1" s="1"/>
  <c r="T1218" i="1"/>
  <c r="R1218" i="1"/>
  <c r="N1218" i="1"/>
  <c r="U1217" i="1"/>
  <c r="W1217" i="1" s="1"/>
  <c r="T1217" i="1"/>
  <c r="R1217" i="1"/>
  <c r="N1217" i="1"/>
  <c r="U1216" i="1"/>
  <c r="W1216" i="1" s="1"/>
  <c r="T1216" i="1"/>
  <c r="R1216" i="1"/>
  <c r="N1216" i="1"/>
  <c r="U1215" i="1"/>
  <c r="W1215" i="1" s="1"/>
  <c r="T1215" i="1"/>
  <c r="R1215" i="1"/>
  <c r="N1215" i="1"/>
  <c r="U1214" i="1"/>
  <c r="W1214" i="1" s="1"/>
  <c r="T1214" i="1"/>
  <c r="R1214" i="1"/>
  <c r="N1214" i="1"/>
  <c r="U1213" i="1"/>
  <c r="W1213" i="1" s="1"/>
  <c r="T1213" i="1"/>
  <c r="R1213" i="1"/>
  <c r="N1213" i="1"/>
  <c r="U1212" i="1"/>
  <c r="W1212" i="1" s="1"/>
  <c r="T1212" i="1"/>
  <c r="R1212" i="1"/>
  <c r="N1212" i="1"/>
  <c r="U1211" i="1"/>
  <c r="W1211" i="1" s="1"/>
  <c r="T1211" i="1"/>
  <c r="R1211" i="1"/>
  <c r="N1211" i="1"/>
  <c r="U1210" i="1"/>
  <c r="W1210" i="1" s="1"/>
  <c r="T1210" i="1"/>
  <c r="R1210" i="1"/>
  <c r="N1210" i="1"/>
  <c r="U1209" i="1"/>
  <c r="W1209" i="1" s="1"/>
  <c r="T1209" i="1"/>
  <c r="R1209" i="1"/>
  <c r="N1209" i="1"/>
  <c r="U1208" i="1"/>
  <c r="W1208" i="1" s="1"/>
  <c r="T1208" i="1"/>
  <c r="R1208" i="1"/>
  <c r="N1208" i="1"/>
  <c r="U1207" i="1"/>
  <c r="W1207" i="1" s="1"/>
  <c r="T1207" i="1"/>
  <c r="R1207" i="1"/>
  <c r="N1207" i="1"/>
  <c r="U1206" i="1"/>
  <c r="W1206" i="1" s="1"/>
  <c r="T1206" i="1"/>
  <c r="R1206" i="1"/>
  <c r="N1206" i="1"/>
  <c r="U1205" i="1"/>
  <c r="W1205" i="1" s="1"/>
  <c r="T1205" i="1"/>
  <c r="R1205" i="1"/>
  <c r="N1205" i="1"/>
  <c r="U1204" i="1"/>
  <c r="W1204" i="1" s="1"/>
  <c r="T1204" i="1"/>
  <c r="R1204" i="1"/>
  <c r="N1204" i="1"/>
  <c r="U1203" i="1"/>
  <c r="W1203" i="1" s="1"/>
  <c r="T1203" i="1"/>
  <c r="R1203" i="1"/>
  <c r="N1203" i="1"/>
  <c r="U1202" i="1"/>
  <c r="W1202" i="1" s="1"/>
  <c r="T1202" i="1"/>
  <c r="R1202" i="1"/>
  <c r="N1202" i="1"/>
  <c r="U1201" i="1"/>
  <c r="W1201" i="1" s="1"/>
  <c r="T1201" i="1"/>
  <c r="R1201" i="1"/>
  <c r="N1201" i="1"/>
  <c r="U1200" i="1"/>
  <c r="W1200" i="1" s="1"/>
  <c r="T1200" i="1"/>
  <c r="R1200" i="1"/>
  <c r="N1200" i="1"/>
  <c r="U1199" i="1"/>
  <c r="W1199" i="1" s="1"/>
  <c r="T1199" i="1"/>
  <c r="R1199" i="1"/>
  <c r="N1199" i="1"/>
  <c r="U1198" i="1"/>
  <c r="W1198" i="1" s="1"/>
  <c r="T1198" i="1"/>
  <c r="R1198" i="1"/>
  <c r="N1198" i="1"/>
  <c r="U1197" i="1"/>
  <c r="W1197" i="1" s="1"/>
  <c r="T1197" i="1"/>
  <c r="R1197" i="1"/>
  <c r="N1197" i="1"/>
  <c r="U1196" i="1"/>
  <c r="W1196" i="1" s="1"/>
  <c r="T1196" i="1"/>
  <c r="R1196" i="1"/>
  <c r="N1196" i="1"/>
  <c r="U1195" i="1"/>
  <c r="W1195" i="1" s="1"/>
  <c r="T1195" i="1"/>
  <c r="R1195" i="1"/>
  <c r="N1195" i="1"/>
  <c r="U1194" i="1"/>
  <c r="W1194" i="1" s="1"/>
  <c r="T1194" i="1"/>
  <c r="R1194" i="1"/>
  <c r="N1194" i="1"/>
  <c r="U1193" i="1"/>
  <c r="W1193" i="1" s="1"/>
  <c r="T1193" i="1"/>
  <c r="R1193" i="1"/>
  <c r="N1193" i="1"/>
  <c r="U1192" i="1"/>
  <c r="W1192" i="1" s="1"/>
  <c r="T1192" i="1"/>
  <c r="R1192" i="1"/>
  <c r="N1192" i="1"/>
  <c r="U1191" i="1"/>
  <c r="W1191" i="1" s="1"/>
  <c r="T1191" i="1"/>
  <c r="R1191" i="1"/>
  <c r="N1191" i="1"/>
  <c r="U1190" i="1"/>
  <c r="W1190" i="1" s="1"/>
  <c r="T1190" i="1"/>
  <c r="R1190" i="1"/>
  <c r="N1190" i="1"/>
  <c r="U1189" i="1"/>
  <c r="W1189" i="1" s="1"/>
  <c r="T1189" i="1"/>
  <c r="R1189" i="1"/>
  <c r="N1189" i="1"/>
  <c r="U1188" i="1"/>
  <c r="W1188" i="1" s="1"/>
  <c r="T1188" i="1"/>
  <c r="R1188" i="1"/>
  <c r="N1188" i="1"/>
  <c r="U1187" i="1"/>
  <c r="W1187" i="1" s="1"/>
  <c r="T1187" i="1"/>
  <c r="R1187" i="1"/>
  <c r="N1187" i="1"/>
  <c r="U1186" i="1"/>
  <c r="W1186" i="1" s="1"/>
  <c r="T1186" i="1"/>
  <c r="R1186" i="1"/>
  <c r="N1186" i="1"/>
  <c r="U1185" i="1"/>
  <c r="W1185" i="1" s="1"/>
  <c r="T1185" i="1"/>
  <c r="R1185" i="1"/>
  <c r="N1185" i="1"/>
  <c r="U1184" i="1"/>
  <c r="W1184" i="1" s="1"/>
  <c r="T1184" i="1"/>
  <c r="R1184" i="1"/>
  <c r="N1184" i="1"/>
  <c r="U1183" i="1"/>
  <c r="W1183" i="1" s="1"/>
  <c r="T1183" i="1"/>
  <c r="R1183" i="1"/>
  <c r="N1183" i="1"/>
  <c r="U1182" i="1"/>
  <c r="W1182" i="1" s="1"/>
  <c r="T1182" i="1"/>
  <c r="R1182" i="1"/>
  <c r="N1182" i="1"/>
  <c r="U1181" i="1"/>
  <c r="W1181" i="1" s="1"/>
  <c r="T1181" i="1"/>
  <c r="R1181" i="1"/>
  <c r="N1181" i="1"/>
  <c r="U1180" i="1"/>
  <c r="W1180" i="1" s="1"/>
  <c r="T1180" i="1"/>
  <c r="R1180" i="1"/>
  <c r="N1180" i="1"/>
  <c r="U1179" i="1"/>
  <c r="W1179" i="1" s="1"/>
  <c r="T1179" i="1"/>
  <c r="R1179" i="1"/>
  <c r="N1179" i="1"/>
  <c r="U1178" i="1"/>
  <c r="W1178" i="1" s="1"/>
  <c r="T1178" i="1"/>
  <c r="R1178" i="1"/>
  <c r="N1178" i="1"/>
  <c r="U1177" i="1"/>
  <c r="W1177" i="1" s="1"/>
  <c r="T1177" i="1"/>
  <c r="R1177" i="1"/>
  <c r="N1177" i="1"/>
  <c r="U1176" i="1"/>
  <c r="W1176" i="1" s="1"/>
  <c r="T1176" i="1"/>
  <c r="R1176" i="1"/>
  <c r="N1176" i="1"/>
  <c r="U1175" i="1"/>
  <c r="W1175" i="1" s="1"/>
  <c r="T1175" i="1"/>
  <c r="R1175" i="1"/>
  <c r="N1175" i="1"/>
  <c r="U1174" i="1"/>
  <c r="W1174" i="1" s="1"/>
  <c r="T1174" i="1"/>
  <c r="R1174" i="1"/>
  <c r="N1174" i="1"/>
  <c r="U1173" i="1"/>
  <c r="W1173" i="1" s="1"/>
  <c r="T1173" i="1"/>
  <c r="R1173" i="1"/>
  <c r="N1173" i="1"/>
  <c r="U1172" i="1"/>
  <c r="W1172" i="1" s="1"/>
  <c r="T1172" i="1"/>
  <c r="R1172" i="1"/>
  <c r="N1172" i="1"/>
  <c r="U1171" i="1"/>
  <c r="W1171" i="1" s="1"/>
  <c r="T1171" i="1"/>
  <c r="R1171" i="1"/>
  <c r="N1171" i="1"/>
  <c r="U1170" i="1"/>
  <c r="W1170" i="1" s="1"/>
  <c r="T1170" i="1"/>
  <c r="R1170" i="1"/>
  <c r="N1170" i="1"/>
  <c r="U1169" i="1"/>
  <c r="W1169" i="1" s="1"/>
  <c r="T1169" i="1"/>
  <c r="R1169" i="1"/>
  <c r="N1169" i="1"/>
  <c r="U1168" i="1"/>
  <c r="W1168" i="1" s="1"/>
  <c r="T1168" i="1"/>
  <c r="R1168" i="1"/>
  <c r="N1168" i="1"/>
  <c r="U1167" i="1"/>
  <c r="W1167" i="1" s="1"/>
  <c r="T1167" i="1"/>
  <c r="R1167" i="1"/>
  <c r="N1167" i="1"/>
  <c r="U1166" i="1"/>
  <c r="W1166" i="1" s="1"/>
  <c r="T1166" i="1"/>
  <c r="R1166" i="1"/>
  <c r="N1166" i="1"/>
  <c r="U1165" i="1"/>
  <c r="W1165" i="1" s="1"/>
  <c r="T1165" i="1"/>
  <c r="R1165" i="1"/>
  <c r="N1165" i="1"/>
  <c r="U1164" i="1"/>
  <c r="W1164" i="1" s="1"/>
  <c r="T1164" i="1"/>
  <c r="R1164" i="1"/>
  <c r="N1164" i="1"/>
  <c r="U1163" i="1"/>
  <c r="W1163" i="1" s="1"/>
  <c r="T1163" i="1"/>
  <c r="R1163" i="1"/>
  <c r="N1163" i="1"/>
  <c r="U1162" i="1"/>
  <c r="W1162" i="1" s="1"/>
  <c r="T1162" i="1"/>
  <c r="R1162" i="1"/>
  <c r="N1162" i="1"/>
  <c r="U1161" i="1"/>
  <c r="W1161" i="1" s="1"/>
  <c r="T1161" i="1"/>
  <c r="R1161" i="1"/>
  <c r="N1161" i="1"/>
  <c r="U1160" i="1"/>
  <c r="W1160" i="1" s="1"/>
  <c r="T1160" i="1"/>
  <c r="R1160" i="1"/>
  <c r="N1160" i="1"/>
  <c r="U1159" i="1"/>
  <c r="W1159" i="1" s="1"/>
  <c r="T1159" i="1"/>
  <c r="R1159" i="1"/>
  <c r="N1159" i="1"/>
  <c r="U1158" i="1"/>
  <c r="W1158" i="1" s="1"/>
  <c r="T1158" i="1"/>
  <c r="R1158" i="1"/>
  <c r="N1158" i="1"/>
  <c r="U1157" i="1"/>
  <c r="W1157" i="1" s="1"/>
  <c r="T1157" i="1"/>
  <c r="R1157" i="1"/>
  <c r="N1157" i="1"/>
  <c r="U1156" i="1"/>
  <c r="W1156" i="1" s="1"/>
  <c r="T1156" i="1"/>
  <c r="R1156" i="1"/>
  <c r="N1156" i="1"/>
  <c r="U1155" i="1"/>
  <c r="W1155" i="1" s="1"/>
  <c r="T1155" i="1"/>
  <c r="R1155" i="1"/>
  <c r="N1155" i="1"/>
  <c r="U1154" i="1"/>
  <c r="W1154" i="1" s="1"/>
  <c r="T1154" i="1"/>
  <c r="R1154" i="1"/>
  <c r="N1154" i="1"/>
  <c r="U1153" i="1"/>
  <c r="W1153" i="1" s="1"/>
  <c r="T1153" i="1"/>
  <c r="R1153" i="1"/>
  <c r="N1153" i="1"/>
  <c r="U1152" i="1"/>
  <c r="W1152" i="1" s="1"/>
  <c r="T1152" i="1"/>
  <c r="R1152" i="1"/>
  <c r="N1152" i="1"/>
  <c r="U1151" i="1"/>
  <c r="W1151" i="1" s="1"/>
  <c r="T1151" i="1"/>
  <c r="R1151" i="1"/>
  <c r="N1151" i="1"/>
  <c r="U1150" i="1"/>
  <c r="W1150" i="1" s="1"/>
  <c r="T1150" i="1"/>
  <c r="R1150" i="1"/>
  <c r="N1150" i="1"/>
  <c r="U1149" i="1"/>
  <c r="W1149" i="1" s="1"/>
  <c r="T1149" i="1"/>
  <c r="R1149" i="1"/>
  <c r="N1149" i="1"/>
  <c r="U1148" i="1"/>
  <c r="W1148" i="1" s="1"/>
  <c r="T1148" i="1"/>
  <c r="R1148" i="1"/>
  <c r="N1148" i="1"/>
  <c r="U1147" i="1"/>
  <c r="W1147" i="1" s="1"/>
  <c r="T1147" i="1"/>
  <c r="R1147" i="1"/>
  <c r="N1147" i="1"/>
  <c r="U1146" i="1"/>
  <c r="W1146" i="1" s="1"/>
  <c r="T1146" i="1"/>
  <c r="R1146" i="1"/>
  <c r="N1146" i="1"/>
  <c r="U1145" i="1"/>
  <c r="W1145" i="1" s="1"/>
  <c r="T1145" i="1"/>
  <c r="R1145" i="1"/>
  <c r="N1145" i="1"/>
  <c r="U1144" i="1"/>
  <c r="W1144" i="1" s="1"/>
  <c r="T1144" i="1"/>
  <c r="R1144" i="1"/>
  <c r="N1144" i="1"/>
  <c r="U1143" i="1"/>
  <c r="W1143" i="1" s="1"/>
  <c r="T1143" i="1"/>
  <c r="R1143" i="1"/>
  <c r="N1143" i="1"/>
  <c r="U1142" i="1"/>
  <c r="W1142" i="1" s="1"/>
  <c r="T1142" i="1"/>
  <c r="R1142" i="1"/>
  <c r="N1142" i="1"/>
  <c r="U1141" i="1"/>
  <c r="W1141" i="1" s="1"/>
  <c r="T1141" i="1"/>
  <c r="R1141" i="1"/>
  <c r="N1141" i="1"/>
  <c r="U1140" i="1"/>
  <c r="W1140" i="1" s="1"/>
  <c r="T1140" i="1"/>
  <c r="R1140" i="1"/>
  <c r="N1140" i="1"/>
  <c r="U1139" i="1"/>
  <c r="W1139" i="1" s="1"/>
  <c r="T1139" i="1"/>
  <c r="R1139" i="1"/>
  <c r="N1139" i="1"/>
  <c r="U1138" i="1"/>
  <c r="W1138" i="1" s="1"/>
  <c r="T1138" i="1"/>
  <c r="R1138" i="1"/>
  <c r="N1138" i="1"/>
  <c r="U1137" i="1"/>
  <c r="W1137" i="1" s="1"/>
  <c r="T1137" i="1"/>
  <c r="R1137" i="1"/>
  <c r="N1137" i="1"/>
  <c r="U1136" i="1"/>
  <c r="W1136" i="1" s="1"/>
  <c r="T1136" i="1"/>
  <c r="R1136" i="1"/>
  <c r="N1136" i="1"/>
  <c r="U1135" i="1"/>
  <c r="W1135" i="1" s="1"/>
  <c r="T1135" i="1"/>
  <c r="R1135" i="1"/>
  <c r="N1135" i="1"/>
  <c r="U1134" i="1"/>
  <c r="W1134" i="1" s="1"/>
  <c r="T1134" i="1"/>
  <c r="R1134" i="1"/>
  <c r="N1134" i="1"/>
  <c r="U1133" i="1"/>
  <c r="W1133" i="1" s="1"/>
  <c r="T1133" i="1"/>
  <c r="R1133" i="1"/>
  <c r="N1133" i="1"/>
  <c r="U1132" i="1"/>
  <c r="W1132" i="1" s="1"/>
  <c r="T1132" i="1"/>
  <c r="R1132" i="1"/>
  <c r="N1132" i="1"/>
  <c r="U1131" i="1"/>
  <c r="W1131" i="1" s="1"/>
  <c r="T1131" i="1"/>
  <c r="R1131" i="1"/>
  <c r="N1131" i="1"/>
  <c r="U1130" i="1"/>
  <c r="W1130" i="1" s="1"/>
  <c r="T1130" i="1"/>
  <c r="R1130" i="1"/>
  <c r="N1130" i="1"/>
  <c r="U1129" i="1"/>
  <c r="W1129" i="1" s="1"/>
  <c r="T1129" i="1"/>
  <c r="R1129" i="1"/>
  <c r="N1129" i="1"/>
  <c r="U1128" i="1"/>
  <c r="W1128" i="1" s="1"/>
  <c r="T1128" i="1"/>
  <c r="R1128" i="1"/>
  <c r="N1128" i="1"/>
  <c r="U1127" i="1"/>
  <c r="W1127" i="1" s="1"/>
  <c r="T1127" i="1"/>
  <c r="R1127" i="1"/>
  <c r="N1127" i="1"/>
  <c r="U1126" i="1"/>
  <c r="W1126" i="1" s="1"/>
  <c r="T1126" i="1"/>
  <c r="R1126" i="1"/>
  <c r="N1126" i="1"/>
  <c r="U1125" i="1"/>
  <c r="W1125" i="1" s="1"/>
  <c r="T1125" i="1"/>
  <c r="R1125" i="1"/>
  <c r="N1125" i="1"/>
  <c r="U1124" i="1"/>
  <c r="W1124" i="1" s="1"/>
  <c r="T1124" i="1"/>
  <c r="R1124" i="1"/>
  <c r="N1124" i="1"/>
  <c r="U1123" i="1"/>
  <c r="W1123" i="1" s="1"/>
  <c r="T1123" i="1"/>
  <c r="R1123" i="1"/>
  <c r="N1123" i="1"/>
  <c r="U1122" i="1"/>
  <c r="W1122" i="1" s="1"/>
  <c r="T1122" i="1"/>
  <c r="R1122" i="1"/>
  <c r="N1122" i="1"/>
  <c r="U1121" i="1"/>
  <c r="W1121" i="1" s="1"/>
  <c r="T1121" i="1"/>
  <c r="R1121" i="1"/>
  <c r="N1121" i="1"/>
  <c r="U1120" i="1"/>
  <c r="W1120" i="1" s="1"/>
  <c r="T1120" i="1"/>
  <c r="R1120" i="1"/>
  <c r="N1120" i="1"/>
  <c r="U1119" i="1"/>
  <c r="W1119" i="1" s="1"/>
  <c r="T1119" i="1"/>
  <c r="R1119" i="1"/>
  <c r="N1119" i="1"/>
  <c r="U1118" i="1"/>
  <c r="W1118" i="1" s="1"/>
  <c r="T1118" i="1"/>
  <c r="R1118" i="1"/>
  <c r="N1118" i="1"/>
  <c r="U1117" i="1"/>
  <c r="W1117" i="1" s="1"/>
  <c r="T1117" i="1"/>
  <c r="R1117" i="1"/>
  <c r="N1117" i="1"/>
  <c r="U1116" i="1"/>
  <c r="W1116" i="1" s="1"/>
  <c r="T1116" i="1"/>
  <c r="R1116" i="1"/>
  <c r="N1116" i="1"/>
  <c r="U1115" i="1"/>
  <c r="W1115" i="1" s="1"/>
  <c r="T1115" i="1"/>
  <c r="R1115" i="1"/>
  <c r="N1115" i="1"/>
  <c r="U1114" i="1"/>
  <c r="W1114" i="1" s="1"/>
  <c r="T1114" i="1"/>
  <c r="R1114" i="1"/>
  <c r="N1114" i="1"/>
  <c r="U1113" i="1"/>
  <c r="W1113" i="1" s="1"/>
  <c r="T1113" i="1"/>
  <c r="R1113" i="1"/>
  <c r="N1113" i="1"/>
  <c r="U1112" i="1"/>
  <c r="W1112" i="1" s="1"/>
  <c r="T1112" i="1"/>
  <c r="R1112" i="1"/>
  <c r="N1112" i="1"/>
  <c r="U1111" i="1"/>
  <c r="W1111" i="1" s="1"/>
  <c r="T1111" i="1"/>
  <c r="R1111" i="1"/>
  <c r="N1111" i="1"/>
  <c r="U1110" i="1"/>
  <c r="W1110" i="1" s="1"/>
  <c r="T1110" i="1"/>
  <c r="R1110" i="1"/>
  <c r="N1110" i="1"/>
  <c r="U1109" i="1"/>
  <c r="W1109" i="1" s="1"/>
  <c r="T1109" i="1"/>
  <c r="R1109" i="1"/>
  <c r="N1109" i="1"/>
  <c r="U1108" i="1"/>
  <c r="W1108" i="1" s="1"/>
  <c r="T1108" i="1"/>
  <c r="R1108" i="1"/>
  <c r="N1108" i="1"/>
  <c r="U1107" i="1"/>
  <c r="W1107" i="1" s="1"/>
  <c r="T1107" i="1"/>
  <c r="R1107" i="1"/>
  <c r="N1107" i="1"/>
  <c r="U1106" i="1"/>
  <c r="W1106" i="1" s="1"/>
  <c r="T1106" i="1"/>
  <c r="R1106" i="1"/>
  <c r="N1106" i="1"/>
  <c r="U1105" i="1"/>
  <c r="W1105" i="1" s="1"/>
  <c r="T1105" i="1"/>
  <c r="R1105" i="1"/>
  <c r="N1105" i="1"/>
  <c r="U1104" i="1"/>
  <c r="W1104" i="1" s="1"/>
  <c r="T1104" i="1"/>
  <c r="R1104" i="1"/>
  <c r="N1104" i="1"/>
  <c r="U1103" i="1"/>
  <c r="W1103" i="1" s="1"/>
  <c r="T1103" i="1"/>
  <c r="R1103" i="1"/>
  <c r="N1103" i="1"/>
  <c r="U1102" i="1"/>
  <c r="W1102" i="1" s="1"/>
  <c r="T1102" i="1"/>
  <c r="R1102" i="1"/>
  <c r="N1102" i="1"/>
  <c r="U1101" i="1"/>
  <c r="W1101" i="1" s="1"/>
  <c r="T1101" i="1"/>
  <c r="R1101" i="1"/>
  <c r="N1101" i="1"/>
  <c r="U1100" i="1"/>
  <c r="W1100" i="1" s="1"/>
  <c r="T1100" i="1"/>
  <c r="R1100" i="1"/>
  <c r="N1100" i="1"/>
  <c r="U1099" i="1"/>
  <c r="W1099" i="1" s="1"/>
  <c r="T1099" i="1"/>
  <c r="R1099" i="1"/>
  <c r="N1099" i="1"/>
  <c r="U1098" i="1"/>
  <c r="W1098" i="1" s="1"/>
  <c r="T1098" i="1"/>
  <c r="R1098" i="1"/>
  <c r="N1098" i="1"/>
  <c r="U1097" i="1"/>
  <c r="W1097" i="1" s="1"/>
  <c r="T1097" i="1"/>
  <c r="R1097" i="1"/>
  <c r="N1097" i="1"/>
  <c r="U1096" i="1"/>
  <c r="W1096" i="1" s="1"/>
  <c r="T1096" i="1"/>
  <c r="R1096" i="1"/>
  <c r="N1096" i="1"/>
  <c r="U1095" i="1"/>
  <c r="W1095" i="1" s="1"/>
  <c r="T1095" i="1"/>
  <c r="R1095" i="1"/>
  <c r="N1095" i="1"/>
  <c r="U1094" i="1"/>
  <c r="W1094" i="1" s="1"/>
  <c r="T1094" i="1"/>
  <c r="R1094" i="1"/>
  <c r="N1094" i="1"/>
  <c r="U1093" i="1"/>
  <c r="W1093" i="1" s="1"/>
  <c r="T1093" i="1"/>
  <c r="R1093" i="1"/>
  <c r="N1093" i="1"/>
  <c r="U1092" i="1"/>
  <c r="W1092" i="1" s="1"/>
  <c r="T1092" i="1"/>
  <c r="R1092" i="1"/>
  <c r="N1092" i="1"/>
  <c r="U1091" i="1"/>
  <c r="W1091" i="1" s="1"/>
  <c r="T1091" i="1"/>
  <c r="R1091" i="1"/>
  <c r="N1091" i="1"/>
  <c r="U1090" i="1"/>
  <c r="W1090" i="1" s="1"/>
  <c r="T1090" i="1"/>
  <c r="R1090" i="1"/>
  <c r="N1090" i="1"/>
  <c r="U1089" i="1"/>
  <c r="W1089" i="1" s="1"/>
  <c r="T1089" i="1"/>
  <c r="R1089" i="1"/>
  <c r="N1089" i="1"/>
  <c r="U1088" i="1"/>
  <c r="W1088" i="1" s="1"/>
  <c r="T1088" i="1"/>
  <c r="R1088" i="1"/>
  <c r="N1088" i="1"/>
  <c r="U1087" i="1"/>
  <c r="W1087" i="1" s="1"/>
  <c r="T1087" i="1"/>
  <c r="R1087" i="1"/>
  <c r="N1087" i="1"/>
  <c r="U1086" i="1"/>
  <c r="W1086" i="1" s="1"/>
  <c r="T1086" i="1"/>
  <c r="R1086" i="1"/>
  <c r="N1086" i="1"/>
  <c r="U1085" i="1"/>
  <c r="W1085" i="1" s="1"/>
  <c r="T1085" i="1"/>
  <c r="R1085" i="1"/>
  <c r="N1085" i="1"/>
  <c r="U1084" i="1"/>
  <c r="W1084" i="1" s="1"/>
  <c r="T1084" i="1"/>
  <c r="R1084" i="1"/>
  <c r="N1084" i="1"/>
  <c r="U1083" i="1"/>
  <c r="W1083" i="1" s="1"/>
  <c r="T1083" i="1"/>
  <c r="R1083" i="1"/>
  <c r="N1083" i="1"/>
  <c r="U1082" i="1"/>
  <c r="W1082" i="1" s="1"/>
  <c r="T1082" i="1"/>
  <c r="R1082" i="1"/>
  <c r="N1082" i="1"/>
  <c r="U1081" i="1"/>
  <c r="W1081" i="1" s="1"/>
  <c r="T1081" i="1"/>
  <c r="R1081" i="1"/>
  <c r="N1081" i="1"/>
  <c r="U1080" i="1"/>
  <c r="W1080" i="1" s="1"/>
  <c r="T1080" i="1"/>
  <c r="R1080" i="1"/>
  <c r="N1080" i="1"/>
  <c r="U1079" i="1"/>
  <c r="W1079" i="1" s="1"/>
  <c r="T1079" i="1"/>
  <c r="R1079" i="1"/>
  <c r="N1079" i="1"/>
  <c r="U1078" i="1"/>
  <c r="W1078" i="1" s="1"/>
  <c r="T1078" i="1"/>
  <c r="R1078" i="1"/>
  <c r="N1078" i="1"/>
  <c r="U1077" i="1"/>
  <c r="W1077" i="1" s="1"/>
  <c r="T1077" i="1"/>
  <c r="R1077" i="1"/>
  <c r="N1077" i="1"/>
  <c r="U1076" i="1"/>
  <c r="W1076" i="1" s="1"/>
  <c r="T1076" i="1"/>
  <c r="R1076" i="1"/>
  <c r="N1076" i="1"/>
  <c r="U1075" i="1"/>
  <c r="W1075" i="1" s="1"/>
  <c r="T1075" i="1"/>
  <c r="R1075" i="1"/>
  <c r="N1075" i="1"/>
  <c r="U1074" i="1"/>
  <c r="W1074" i="1" s="1"/>
  <c r="T1074" i="1"/>
  <c r="R1074" i="1"/>
  <c r="N1074" i="1"/>
  <c r="U1073" i="1"/>
  <c r="W1073" i="1" s="1"/>
  <c r="T1073" i="1"/>
  <c r="R1073" i="1"/>
  <c r="N1073" i="1"/>
  <c r="U1072" i="1"/>
  <c r="W1072" i="1" s="1"/>
  <c r="T1072" i="1"/>
  <c r="R1072" i="1"/>
  <c r="N1072" i="1"/>
  <c r="U1071" i="1"/>
  <c r="W1071" i="1" s="1"/>
  <c r="T1071" i="1"/>
  <c r="R1071" i="1"/>
  <c r="N1071" i="1"/>
  <c r="U1070" i="1"/>
  <c r="W1070" i="1" s="1"/>
  <c r="T1070" i="1"/>
  <c r="R1070" i="1"/>
  <c r="N1070" i="1"/>
  <c r="U1069" i="1"/>
  <c r="W1069" i="1" s="1"/>
  <c r="T1069" i="1"/>
  <c r="R1069" i="1"/>
  <c r="N1069" i="1"/>
  <c r="U1068" i="1"/>
  <c r="W1068" i="1" s="1"/>
  <c r="T1068" i="1"/>
  <c r="R1068" i="1"/>
  <c r="N1068" i="1"/>
  <c r="U1067" i="1"/>
  <c r="W1067" i="1" s="1"/>
  <c r="T1067" i="1"/>
  <c r="R1067" i="1"/>
  <c r="N1067" i="1"/>
  <c r="U1066" i="1"/>
  <c r="W1066" i="1" s="1"/>
  <c r="T1066" i="1"/>
  <c r="R1066" i="1"/>
  <c r="N1066" i="1"/>
  <c r="U1065" i="1"/>
  <c r="W1065" i="1" s="1"/>
  <c r="T1065" i="1"/>
  <c r="R1065" i="1"/>
  <c r="N1065" i="1"/>
  <c r="U1064" i="1"/>
  <c r="W1064" i="1" s="1"/>
  <c r="T1064" i="1"/>
  <c r="R1064" i="1"/>
  <c r="N1064" i="1"/>
  <c r="U1063" i="1"/>
  <c r="W1063" i="1" s="1"/>
  <c r="T1063" i="1"/>
  <c r="R1063" i="1"/>
  <c r="N1063" i="1"/>
  <c r="U1062" i="1"/>
  <c r="W1062" i="1" s="1"/>
  <c r="T1062" i="1"/>
  <c r="R1062" i="1"/>
  <c r="N1062" i="1"/>
  <c r="U1061" i="1"/>
  <c r="W1061" i="1" s="1"/>
  <c r="T1061" i="1"/>
  <c r="R1061" i="1"/>
  <c r="N1061" i="1"/>
  <c r="U1060" i="1"/>
  <c r="W1060" i="1" s="1"/>
  <c r="T1060" i="1"/>
  <c r="R1060" i="1"/>
  <c r="N1060" i="1"/>
  <c r="U1059" i="1"/>
  <c r="W1059" i="1" s="1"/>
  <c r="T1059" i="1"/>
  <c r="R1059" i="1"/>
  <c r="N1059" i="1"/>
  <c r="U1058" i="1"/>
  <c r="W1058" i="1" s="1"/>
  <c r="T1058" i="1"/>
  <c r="R1058" i="1"/>
  <c r="N1058" i="1"/>
  <c r="U1057" i="1"/>
  <c r="W1057" i="1" s="1"/>
  <c r="T1057" i="1"/>
  <c r="R1057" i="1"/>
  <c r="N1057" i="1"/>
  <c r="U1056" i="1"/>
  <c r="W1056" i="1" s="1"/>
  <c r="T1056" i="1"/>
  <c r="R1056" i="1"/>
  <c r="N1056" i="1"/>
  <c r="U1055" i="1"/>
  <c r="W1055" i="1" s="1"/>
  <c r="T1055" i="1"/>
  <c r="R1055" i="1"/>
  <c r="N1055" i="1"/>
  <c r="U1054" i="1"/>
  <c r="W1054" i="1" s="1"/>
  <c r="T1054" i="1"/>
  <c r="R1054" i="1"/>
  <c r="N1054" i="1"/>
  <c r="U1053" i="1"/>
  <c r="W1053" i="1" s="1"/>
  <c r="T1053" i="1"/>
  <c r="R1053" i="1"/>
  <c r="N1053" i="1"/>
  <c r="U1052" i="1"/>
  <c r="W1052" i="1" s="1"/>
  <c r="T1052" i="1"/>
  <c r="R1052" i="1"/>
  <c r="N1052" i="1"/>
  <c r="U1051" i="1"/>
  <c r="W1051" i="1" s="1"/>
  <c r="T1051" i="1"/>
  <c r="R1051" i="1"/>
  <c r="N1051" i="1"/>
  <c r="U1050" i="1"/>
  <c r="W1050" i="1" s="1"/>
  <c r="T1050" i="1"/>
  <c r="R1050" i="1"/>
  <c r="N1050" i="1"/>
  <c r="U1049" i="1"/>
  <c r="W1049" i="1" s="1"/>
  <c r="T1049" i="1"/>
  <c r="R1049" i="1"/>
  <c r="N1049" i="1"/>
  <c r="U1048" i="1"/>
  <c r="W1048" i="1" s="1"/>
  <c r="T1048" i="1"/>
  <c r="R1048" i="1"/>
  <c r="N1048" i="1"/>
  <c r="U1047" i="1"/>
  <c r="W1047" i="1" s="1"/>
  <c r="T1047" i="1"/>
  <c r="R1047" i="1"/>
  <c r="N1047" i="1"/>
  <c r="U1046" i="1"/>
  <c r="W1046" i="1" s="1"/>
  <c r="T1046" i="1"/>
  <c r="R1046" i="1"/>
  <c r="N1046" i="1"/>
  <c r="U1045" i="1"/>
  <c r="W1045" i="1" s="1"/>
  <c r="T1045" i="1"/>
  <c r="R1045" i="1"/>
  <c r="N1045" i="1"/>
  <c r="U1044" i="1"/>
  <c r="W1044" i="1" s="1"/>
  <c r="T1044" i="1"/>
  <c r="R1044" i="1"/>
  <c r="N1044" i="1"/>
  <c r="U1043" i="1"/>
  <c r="W1043" i="1" s="1"/>
  <c r="T1043" i="1"/>
  <c r="R1043" i="1"/>
  <c r="N1043" i="1"/>
  <c r="U1042" i="1"/>
  <c r="W1042" i="1" s="1"/>
  <c r="T1042" i="1"/>
  <c r="R1042" i="1"/>
  <c r="N1042" i="1"/>
  <c r="U1041" i="1"/>
  <c r="W1041" i="1" s="1"/>
  <c r="T1041" i="1"/>
  <c r="R1041" i="1"/>
  <c r="N1041" i="1"/>
  <c r="U1040" i="1"/>
  <c r="W1040" i="1" s="1"/>
  <c r="T1040" i="1"/>
  <c r="R1040" i="1"/>
  <c r="N1040" i="1"/>
  <c r="U1039" i="1"/>
  <c r="W1039" i="1" s="1"/>
  <c r="T1039" i="1"/>
  <c r="R1039" i="1"/>
  <c r="N1039" i="1"/>
  <c r="U1038" i="1"/>
  <c r="W1038" i="1" s="1"/>
  <c r="T1038" i="1"/>
  <c r="R1038" i="1"/>
  <c r="N1038" i="1"/>
  <c r="U1037" i="1"/>
  <c r="W1037" i="1" s="1"/>
  <c r="T1037" i="1"/>
  <c r="R1037" i="1"/>
  <c r="N1037" i="1"/>
  <c r="U1036" i="1"/>
  <c r="W1036" i="1" s="1"/>
  <c r="T1036" i="1"/>
  <c r="R1036" i="1"/>
  <c r="N1036" i="1"/>
  <c r="U1035" i="1"/>
  <c r="W1035" i="1" s="1"/>
  <c r="T1035" i="1"/>
  <c r="R1035" i="1"/>
  <c r="N1035" i="1"/>
  <c r="U1034" i="1"/>
  <c r="W1034" i="1" s="1"/>
  <c r="T1034" i="1"/>
  <c r="R1034" i="1"/>
  <c r="N1034" i="1"/>
  <c r="U1033" i="1"/>
  <c r="W1033" i="1" s="1"/>
  <c r="T1033" i="1"/>
  <c r="R1033" i="1"/>
  <c r="N1033" i="1"/>
  <c r="U1032" i="1"/>
  <c r="W1032" i="1" s="1"/>
  <c r="T1032" i="1"/>
  <c r="R1032" i="1"/>
  <c r="N1032" i="1"/>
  <c r="U1031" i="1"/>
  <c r="W1031" i="1" s="1"/>
  <c r="T1031" i="1"/>
  <c r="R1031" i="1"/>
  <c r="N1031" i="1"/>
  <c r="U1030" i="1"/>
  <c r="W1030" i="1" s="1"/>
  <c r="T1030" i="1"/>
  <c r="R1030" i="1"/>
  <c r="N1030" i="1"/>
  <c r="U1029" i="1"/>
  <c r="W1029" i="1" s="1"/>
  <c r="T1029" i="1"/>
  <c r="R1029" i="1"/>
  <c r="N1029" i="1"/>
  <c r="U1028" i="1"/>
  <c r="W1028" i="1" s="1"/>
  <c r="T1028" i="1"/>
  <c r="R1028" i="1"/>
  <c r="N1028" i="1"/>
  <c r="U1027" i="1"/>
  <c r="W1027" i="1" s="1"/>
  <c r="T1027" i="1"/>
  <c r="R1027" i="1"/>
  <c r="N1027" i="1"/>
  <c r="U1026" i="1"/>
  <c r="W1026" i="1" s="1"/>
  <c r="T1026" i="1"/>
  <c r="R1026" i="1"/>
  <c r="N1026" i="1"/>
  <c r="U1025" i="1"/>
  <c r="W1025" i="1" s="1"/>
  <c r="T1025" i="1"/>
  <c r="R1025" i="1"/>
  <c r="N1025" i="1"/>
  <c r="U1024" i="1"/>
  <c r="W1024" i="1" s="1"/>
  <c r="T1024" i="1"/>
  <c r="R1024" i="1"/>
  <c r="N1024" i="1"/>
  <c r="U1023" i="1"/>
  <c r="W1023" i="1" s="1"/>
  <c r="T1023" i="1"/>
  <c r="R1023" i="1"/>
  <c r="N1023" i="1"/>
  <c r="U1022" i="1"/>
  <c r="W1022" i="1" s="1"/>
  <c r="T1022" i="1"/>
  <c r="R1022" i="1"/>
  <c r="N1022" i="1"/>
  <c r="U1021" i="1"/>
  <c r="W1021" i="1" s="1"/>
  <c r="T1021" i="1"/>
  <c r="R1021" i="1"/>
  <c r="N1021" i="1"/>
  <c r="U1020" i="1"/>
  <c r="W1020" i="1" s="1"/>
  <c r="T1020" i="1"/>
  <c r="R1020" i="1"/>
  <c r="N1020" i="1"/>
  <c r="U1019" i="1"/>
  <c r="W1019" i="1" s="1"/>
  <c r="T1019" i="1"/>
  <c r="R1019" i="1"/>
  <c r="N1019" i="1"/>
  <c r="U1018" i="1"/>
  <c r="W1018" i="1" s="1"/>
  <c r="T1018" i="1"/>
  <c r="R1018" i="1"/>
  <c r="N1018" i="1"/>
  <c r="U1017" i="1"/>
  <c r="W1017" i="1" s="1"/>
  <c r="T1017" i="1"/>
  <c r="R1017" i="1"/>
  <c r="N1017" i="1"/>
  <c r="U1016" i="1"/>
  <c r="W1016" i="1" s="1"/>
  <c r="T1016" i="1"/>
  <c r="R1016" i="1"/>
  <c r="N1016" i="1"/>
  <c r="U1015" i="1"/>
  <c r="W1015" i="1" s="1"/>
  <c r="T1015" i="1"/>
  <c r="R1015" i="1"/>
  <c r="N1015" i="1"/>
  <c r="U1014" i="1"/>
  <c r="W1014" i="1" s="1"/>
  <c r="T1014" i="1"/>
  <c r="R1014" i="1"/>
  <c r="N1014" i="1"/>
  <c r="U1013" i="1"/>
  <c r="W1013" i="1" s="1"/>
  <c r="T1013" i="1"/>
  <c r="R1013" i="1"/>
  <c r="N1013" i="1"/>
  <c r="U1012" i="1"/>
  <c r="W1012" i="1" s="1"/>
  <c r="T1012" i="1"/>
  <c r="R1012" i="1"/>
  <c r="N1012" i="1"/>
  <c r="U1011" i="1"/>
  <c r="W1011" i="1" s="1"/>
  <c r="T1011" i="1"/>
  <c r="R1011" i="1"/>
  <c r="N1011" i="1"/>
  <c r="U1010" i="1"/>
  <c r="W1010" i="1" s="1"/>
  <c r="T1010" i="1"/>
  <c r="R1010" i="1"/>
  <c r="N1010" i="1"/>
  <c r="U1009" i="1"/>
  <c r="W1009" i="1" s="1"/>
  <c r="T1009" i="1"/>
  <c r="R1009" i="1"/>
  <c r="N1009" i="1"/>
  <c r="U1008" i="1"/>
  <c r="W1008" i="1" s="1"/>
  <c r="T1008" i="1"/>
  <c r="R1008" i="1"/>
  <c r="N1008" i="1"/>
  <c r="U1007" i="1"/>
  <c r="W1007" i="1" s="1"/>
  <c r="T1007" i="1"/>
  <c r="R1007" i="1"/>
  <c r="N1007" i="1"/>
  <c r="U1006" i="1"/>
  <c r="W1006" i="1" s="1"/>
  <c r="T1006" i="1"/>
  <c r="R1006" i="1"/>
  <c r="N1006" i="1"/>
  <c r="U1005" i="1"/>
  <c r="W1005" i="1" s="1"/>
  <c r="T1005" i="1"/>
  <c r="R1005" i="1"/>
  <c r="N1005" i="1"/>
  <c r="U1004" i="1"/>
  <c r="W1004" i="1" s="1"/>
  <c r="T1004" i="1"/>
  <c r="R1004" i="1"/>
  <c r="N1004" i="1"/>
  <c r="U1003" i="1"/>
  <c r="W1003" i="1" s="1"/>
  <c r="T1003" i="1"/>
  <c r="R1003" i="1"/>
  <c r="N1003" i="1"/>
  <c r="U1002" i="1"/>
  <c r="W1002" i="1" s="1"/>
  <c r="T1002" i="1"/>
  <c r="R1002" i="1"/>
  <c r="N1002" i="1"/>
  <c r="U1001" i="1"/>
  <c r="W1001" i="1" s="1"/>
  <c r="T1001" i="1"/>
  <c r="R1001" i="1"/>
  <c r="N1001" i="1"/>
  <c r="U1000" i="1"/>
  <c r="W1000" i="1" s="1"/>
  <c r="T1000" i="1"/>
  <c r="R1000" i="1"/>
  <c r="N1000" i="1"/>
  <c r="U999" i="1"/>
  <c r="W999" i="1" s="1"/>
  <c r="T999" i="1"/>
  <c r="R999" i="1"/>
  <c r="N999" i="1"/>
  <c r="U998" i="1"/>
  <c r="W998" i="1" s="1"/>
  <c r="T998" i="1"/>
  <c r="R998" i="1"/>
  <c r="N998" i="1"/>
  <c r="U997" i="1"/>
  <c r="W997" i="1" s="1"/>
  <c r="T997" i="1"/>
  <c r="R997" i="1"/>
  <c r="N997" i="1"/>
  <c r="U996" i="1"/>
  <c r="W996" i="1" s="1"/>
  <c r="T996" i="1"/>
  <c r="R996" i="1"/>
  <c r="N996" i="1"/>
  <c r="U995" i="1"/>
  <c r="W995" i="1" s="1"/>
  <c r="T995" i="1"/>
  <c r="R995" i="1"/>
  <c r="N995" i="1"/>
  <c r="U994" i="1"/>
  <c r="W994" i="1" s="1"/>
  <c r="T994" i="1"/>
  <c r="R994" i="1"/>
  <c r="N994" i="1"/>
  <c r="U993" i="1"/>
  <c r="W993" i="1" s="1"/>
  <c r="T993" i="1"/>
  <c r="R993" i="1"/>
  <c r="N993" i="1"/>
  <c r="U992" i="1"/>
  <c r="W992" i="1" s="1"/>
  <c r="T992" i="1"/>
  <c r="R992" i="1"/>
  <c r="N992" i="1"/>
  <c r="U991" i="1"/>
  <c r="W991" i="1" s="1"/>
  <c r="T991" i="1"/>
  <c r="R991" i="1"/>
  <c r="N991" i="1"/>
  <c r="U990" i="1"/>
  <c r="W990" i="1" s="1"/>
  <c r="T990" i="1"/>
  <c r="R990" i="1"/>
  <c r="N990" i="1"/>
  <c r="U989" i="1"/>
  <c r="W989" i="1" s="1"/>
  <c r="T989" i="1"/>
  <c r="R989" i="1"/>
  <c r="N989" i="1"/>
  <c r="U988" i="1"/>
  <c r="W988" i="1" s="1"/>
  <c r="T988" i="1"/>
  <c r="R988" i="1"/>
  <c r="N988" i="1"/>
  <c r="U987" i="1"/>
  <c r="W987" i="1" s="1"/>
  <c r="T987" i="1"/>
  <c r="R987" i="1"/>
  <c r="N987" i="1"/>
  <c r="U986" i="1"/>
  <c r="W986" i="1" s="1"/>
  <c r="T986" i="1"/>
  <c r="R986" i="1"/>
  <c r="N986" i="1"/>
  <c r="U985" i="1"/>
  <c r="W985" i="1" s="1"/>
  <c r="T985" i="1"/>
  <c r="R985" i="1"/>
  <c r="N985" i="1"/>
  <c r="U984" i="1"/>
  <c r="W984" i="1" s="1"/>
  <c r="T984" i="1"/>
  <c r="R984" i="1"/>
  <c r="N984" i="1"/>
  <c r="U983" i="1"/>
  <c r="W983" i="1" s="1"/>
  <c r="T983" i="1"/>
  <c r="R983" i="1"/>
  <c r="N983" i="1"/>
  <c r="U982" i="1"/>
  <c r="W982" i="1" s="1"/>
  <c r="T982" i="1"/>
  <c r="R982" i="1"/>
  <c r="N982" i="1"/>
  <c r="U981" i="1"/>
  <c r="W981" i="1" s="1"/>
  <c r="T981" i="1"/>
  <c r="R981" i="1"/>
  <c r="N981" i="1"/>
  <c r="U980" i="1"/>
  <c r="W980" i="1" s="1"/>
  <c r="T980" i="1"/>
  <c r="R980" i="1"/>
  <c r="N980" i="1"/>
  <c r="U979" i="1"/>
  <c r="W979" i="1" s="1"/>
  <c r="T979" i="1"/>
  <c r="R979" i="1"/>
  <c r="N979" i="1"/>
  <c r="U978" i="1"/>
  <c r="W978" i="1" s="1"/>
  <c r="T978" i="1"/>
  <c r="R978" i="1"/>
  <c r="N978" i="1"/>
  <c r="U977" i="1"/>
  <c r="W977" i="1" s="1"/>
  <c r="T977" i="1"/>
  <c r="R977" i="1"/>
  <c r="N977" i="1"/>
  <c r="U976" i="1"/>
  <c r="W976" i="1" s="1"/>
  <c r="T976" i="1"/>
  <c r="R976" i="1"/>
  <c r="N976" i="1"/>
  <c r="U975" i="1"/>
  <c r="W975" i="1" s="1"/>
  <c r="T975" i="1"/>
  <c r="R975" i="1"/>
  <c r="N975" i="1"/>
  <c r="U974" i="1"/>
  <c r="W974" i="1" s="1"/>
  <c r="T974" i="1"/>
  <c r="R974" i="1"/>
  <c r="N974" i="1"/>
  <c r="U973" i="1"/>
  <c r="W973" i="1" s="1"/>
  <c r="T973" i="1"/>
  <c r="R973" i="1"/>
  <c r="N973" i="1"/>
  <c r="U972" i="1"/>
  <c r="W972" i="1" s="1"/>
  <c r="T972" i="1"/>
  <c r="R972" i="1"/>
  <c r="N972" i="1"/>
  <c r="U971" i="1"/>
  <c r="W971" i="1" s="1"/>
  <c r="T971" i="1"/>
  <c r="R971" i="1"/>
  <c r="N971" i="1"/>
  <c r="U970" i="1"/>
  <c r="W970" i="1" s="1"/>
  <c r="T970" i="1"/>
  <c r="R970" i="1"/>
  <c r="N970" i="1"/>
  <c r="U969" i="1"/>
  <c r="W969" i="1" s="1"/>
  <c r="T969" i="1"/>
  <c r="R969" i="1"/>
  <c r="N969" i="1"/>
  <c r="U968" i="1"/>
  <c r="W968" i="1" s="1"/>
  <c r="T968" i="1"/>
  <c r="R968" i="1"/>
  <c r="N968" i="1"/>
  <c r="U967" i="1"/>
  <c r="W967" i="1" s="1"/>
  <c r="T967" i="1"/>
  <c r="R967" i="1"/>
  <c r="N967" i="1"/>
  <c r="U966" i="1"/>
  <c r="W966" i="1" s="1"/>
  <c r="T966" i="1"/>
  <c r="R966" i="1"/>
  <c r="N966" i="1"/>
  <c r="U965" i="1"/>
  <c r="W965" i="1" s="1"/>
  <c r="T965" i="1"/>
  <c r="R965" i="1"/>
  <c r="N965" i="1"/>
  <c r="U964" i="1"/>
  <c r="W964" i="1" s="1"/>
  <c r="T964" i="1"/>
  <c r="R964" i="1"/>
  <c r="N964" i="1"/>
  <c r="U963" i="1"/>
  <c r="W963" i="1" s="1"/>
  <c r="T963" i="1"/>
  <c r="R963" i="1"/>
  <c r="N963" i="1"/>
  <c r="U962" i="1"/>
  <c r="W962" i="1" s="1"/>
  <c r="T962" i="1"/>
  <c r="R962" i="1"/>
  <c r="N962" i="1"/>
  <c r="U961" i="1"/>
  <c r="W961" i="1" s="1"/>
  <c r="T961" i="1"/>
  <c r="R961" i="1"/>
  <c r="N961" i="1"/>
  <c r="U960" i="1"/>
  <c r="W960" i="1" s="1"/>
  <c r="T960" i="1"/>
  <c r="R960" i="1"/>
  <c r="N960" i="1"/>
  <c r="U959" i="1"/>
  <c r="W959" i="1" s="1"/>
  <c r="T959" i="1"/>
  <c r="R959" i="1"/>
  <c r="N959" i="1"/>
  <c r="U958" i="1"/>
  <c r="W958" i="1" s="1"/>
  <c r="T958" i="1"/>
  <c r="R958" i="1"/>
  <c r="N958" i="1"/>
  <c r="U957" i="1"/>
  <c r="W957" i="1" s="1"/>
  <c r="T957" i="1"/>
  <c r="R957" i="1"/>
  <c r="N957" i="1"/>
  <c r="U956" i="1"/>
  <c r="W956" i="1" s="1"/>
  <c r="T956" i="1"/>
  <c r="R956" i="1"/>
  <c r="N956" i="1"/>
  <c r="U955" i="1"/>
  <c r="W955" i="1" s="1"/>
  <c r="T955" i="1"/>
  <c r="R955" i="1"/>
  <c r="N955" i="1"/>
  <c r="U954" i="1"/>
  <c r="W954" i="1" s="1"/>
  <c r="T954" i="1"/>
  <c r="R954" i="1"/>
  <c r="N954" i="1"/>
  <c r="U953" i="1"/>
  <c r="W953" i="1" s="1"/>
  <c r="T953" i="1"/>
  <c r="R953" i="1"/>
  <c r="N953" i="1"/>
  <c r="U952" i="1"/>
  <c r="W952" i="1" s="1"/>
  <c r="T952" i="1"/>
  <c r="R952" i="1"/>
  <c r="N952" i="1"/>
  <c r="U951" i="1"/>
  <c r="W951" i="1" s="1"/>
  <c r="T951" i="1"/>
  <c r="R951" i="1"/>
  <c r="N951" i="1"/>
  <c r="U950" i="1"/>
  <c r="W950" i="1" s="1"/>
  <c r="T950" i="1"/>
  <c r="R950" i="1"/>
  <c r="N950" i="1"/>
  <c r="U949" i="1"/>
  <c r="W949" i="1" s="1"/>
  <c r="T949" i="1"/>
  <c r="R949" i="1"/>
  <c r="N949" i="1"/>
  <c r="U948" i="1"/>
  <c r="W948" i="1" s="1"/>
  <c r="T948" i="1"/>
  <c r="R948" i="1"/>
  <c r="N948" i="1"/>
  <c r="U947" i="1"/>
  <c r="W947" i="1" s="1"/>
  <c r="T947" i="1"/>
  <c r="R947" i="1"/>
  <c r="N947" i="1"/>
  <c r="U946" i="1"/>
  <c r="W946" i="1" s="1"/>
  <c r="T946" i="1"/>
  <c r="R946" i="1"/>
  <c r="N946" i="1"/>
  <c r="U945" i="1"/>
  <c r="W945" i="1" s="1"/>
  <c r="T945" i="1"/>
  <c r="R945" i="1"/>
  <c r="N945" i="1"/>
  <c r="U944" i="1"/>
  <c r="W944" i="1" s="1"/>
  <c r="T944" i="1"/>
  <c r="R944" i="1"/>
  <c r="N944" i="1"/>
  <c r="U943" i="1"/>
  <c r="W943" i="1" s="1"/>
  <c r="T943" i="1"/>
  <c r="R943" i="1"/>
  <c r="N943" i="1"/>
  <c r="U942" i="1"/>
  <c r="W942" i="1" s="1"/>
  <c r="T942" i="1"/>
  <c r="R942" i="1"/>
  <c r="N942" i="1"/>
  <c r="U941" i="1"/>
  <c r="W941" i="1" s="1"/>
  <c r="T941" i="1"/>
  <c r="R941" i="1"/>
  <c r="N941" i="1"/>
  <c r="U940" i="1"/>
  <c r="W940" i="1" s="1"/>
  <c r="T940" i="1"/>
  <c r="R940" i="1"/>
  <c r="N940" i="1"/>
  <c r="U939" i="1"/>
  <c r="W939" i="1" s="1"/>
  <c r="T939" i="1"/>
  <c r="R939" i="1"/>
  <c r="N939" i="1"/>
  <c r="U938" i="1"/>
  <c r="W938" i="1" s="1"/>
  <c r="T938" i="1"/>
  <c r="R938" i="1"/>
  <c r="N938" i="1"/>
  <c r="U937" i="1"/>
  <c r="W937" i="1" s="1"/>
  <c r="T937" i="1"/>
  <c r="R937" i="1"/>
  <c r="N937" i="1"/>
  <c r="U936" i="1"/>
  <c r="W936" i="1" s="1"/>
  <c r="T936" i="1"/>
  <c r="R936" i="1"/>
  <c r="N936" i="1"/>
  <c r="U935" i="1"/>
  <c r="W935" i="1" s="1"/>
  <c r="T935" i="1"/>
  <c r="R935" i="1"/>
  <c r="N935" i="1"/>
  <c r="U934" i="1"/>
  <c r="W934" i="1" s="1"/>
  <c r="T934" i="1"/>
  <c r="R934" i="1"/>
  <c r="N934" i="1"/>
  <c r="U933" i="1"/>
  <c r="W933" i="1" s="1"/>
  <c r="T933" i="1"/>
  <c r="R933" i="1"/>
  <c r="N933" i="1"/>
  <c r="U932" i="1"/>
  <c r="W932" i="1" s="1"/>
  <c r="T932" i="1"/>
  <c r="R932" i="1"/>
  <c r="N932" i="1"/>
  <c r="U931" i="1"/>
  <c r="W931" i="1" s="1"/>
  <c r="T931" i="1"/>
  <c r="R931" i="1"/>
  <c r="N931" i="1"/>
  <c r="U930" i="1"/>
  <c r="W930" i="1" s="1"/>
  <c r="T930" i="1"/>
  <c r="R930" i="1"/>
  <c r="N930" i="1"/>
  <c r="U929" i="1"/>
  <c r="W929" i="1" s="1"/>
  <c r="T929" i="1"/>
  <c r="R929" i="1"/>
  <c r="N929" i="1"/>
  <c r="U928" i="1"/>
  <c r="W928" i="1" s="1"/>
  <c r="T928" i="1"/>
  <c r="R928" i="1"/>
  <c r="N928" i="1"/>
  <c r="U927" i="1"/>
  <c r="W927" i="1" s="1"/>
  <c r="T927" i="1"/>
  <c r="R927" i="1"/>
  <c r="N927" i="1"/>
  <c r="U926" i="1"/>
  <c r="W926" i="1" s="1"/>
  <c r="T926" i="1"/>
  <c r="R926" i="1"/>
  <c r="N926" i="1"/>
  <c r="U925" i="1"/>
  <c r="W925" i="1" s="1"/>
  <c r="T925" i="1"/>
  <c r="R925" i="1"/>
  <c r="N925" i="1"/>
  <c r="U924" i="1"/>
  <c r="W924" i="1" s="1"/>
  <c r="T924" i="1"/>
  <c r="R924" i="1"/>
  <c r="N924" i="1"/>
  <c r="U923" i="1"/>
  <c r="W923" i="1" s="1"/>
  <c r="T923" i="1"/>
  <c r="R923" i="1"/>
  <c r="N923" i="1"/>
  <c r="U922" i="1"/>
  <c r="W922" i="1" s="1"/>
  <c r="T922" i="1"/>
  <c r="R922" i="1"/>
  <c r="N922" i="1"/>
  <c r="U921" i="1"/>
  <c r="W921" i="1" s="1"/>
  <c r="T921" i="1"/>
  <c r="R921" i="1"/>
  <c r="N921" i="1"/>
  <c r="U920" i="1"/>
  <c r="W920" i="1" s="1"/>
  <c r="T920" i="1"/>
  <c r="R920" i="1"/>
  <c r="N920" i="1"/>
  <c r="U919" i="1"/>
  <c r="W919" i="1" s="1"/>
  <c r="T919" i="1"/>
  <c r="R919" i="1"/>
  <c r="N919" i="1"/>
  <c r="U918" i="1"/>
  <c r="W918" i="1" s="1"/>
  <c r="T918" i="1"/>
  <c r="R918" i="1"/>
  <c r="N918" i="1"/>
  <c r="U917" i="1"/>
  <c r="W917" i="1" s="1"/>
  <c r="T917" i="1"/>
  <c r="R917" i="1"/>
  <c r="N917" i="1"/>
  <c r="U916" i="1"/>
  <c r="W916" i="1" s="1"/>
  <c r="T916" i="1"/>
  <c r="R916" i="1"/>
  <c r="N916" i="1"/>
  <c r="U915" i="1"/>
  <c r="W915" i="1" s="1"/>
  <c r="T915" i="1"/>
  <c r="R915" i="1"/>
  <c r="N915" i="1"/>
  <c r="U914" i="1"/>
  <c r="W914" i="1" s="1"/>
  <c r="T914" i="1"/>
  <c r="R914" i="1"/>
  <c r="N914" i="1"/>
  <c r="U913" i="1"/>
  <c r="W913" i="1" s="1"/>
  <c r="T913" i="1"/>
  <c r="R913" i="1"/>
  <c r="N913" i="1"/>
  <c r="U912" i="1"/>
  <c r="W912" i="1" s="1"/>
  <c r="T912" i="1"/>
  <c r="R912" i="1"/>
  <c r="N912" i="1"/>
  <c r="U911" i="1"/>
  <c r="W911" i="1" s="1"/>
  <c r="T911" i="1"/>
  <c r="R911" i="1"/>
  <c r="N911" i="1"/>
  <c r="U910" i="1"/>
  <c r="W910" i="1" s="1"/>
  <c r="T910" i="1"/>
  <c r="R910" i="1"/>
  <c r="N910" i="1"/>
  <c r="U909" i="1"/>
  <c r="W909" i="1" s="1"/>
  <c r="T909" i="1"/>
  <c r="R909" i="1"/>
  <c r="N909" i="1"/>
  <c r="U908" i="1"/>
  <c r="W908" i="1" s="1"/>
  <c r="T908" i="1"/>
  <c r="R908" i="1"/>
  <c r="N908" i="1"/>
  <c r="U907" i="1"/>
  <c r="W907" i="1" s="1"/>
  <c r="T907" i="1"/>
  <c r="R907" i="1"/>
  <c r="N907" i="1"/>
  <c r="U906" i="1"/>
  <c r="W906" i="1" s="1"/>
  <c r="T906" i="1"/>
  <c r="R906" i="1"/>
  <c r="N906" i="1"/>
  <c r="U905" i="1"/>
  <c r="W905" i="1" s="1"/>
  <c r="T905" i="1"/>
  <c r="R905" i="1"/>
  <c r="N905" i="1"/>
  <c r="U904" i="1"/>
  <c r="W904" i="1" s="1"/>
  <c r="T904" i="1"/>
  <c r="R904" i="1"/>
  <c r="N904" i="1"/>
  <c r="U903" i="1"/>
  <c r="W903" i="1" s="1"/>
  <c r="T903" i="1"/>
  <c r="R903" i="1"/>
  <c r="N903" i="1"/>
  <c r="U902" i="1"/>
  <c r="W902" i="1" s="1"/>
  <c r="T902" i="1"/>
  <c r="R902" i="1"/>
  <c r="N902" i="1"/>
  <c r="U901" i="1"/>
  <c r="W901" i="1" s="1"/>
  <c r="T901" i="1"/>
  <c r="R901" i="1"/>
  <c r="N901" i="1"/>
  <c r="U900" i="1"/>
  <c r="W900" i="1" s="1"/>
  <c r="T900" i="1"/>
  <c r="R900" i="1"/>
  <c r="N900" i="1"/>
  <c r="U899" i="1"/>
  <c r="W899" i="1" s="1"/>
  <c r="T899" i="1"/>
  <c r="R899" i="1"/>
  <c r="N899" i="1"/>
  <c r="U898" i="1"/>
  <c r="W898" i="1" s="1"/>
  <c r="T898" i="1"/>
  <c r="R898" i="1"/>
  <c r="N898" i="1"/>
  <c r="U897" i="1"/>
  <c r="W897" i="1" s="1"/>
  <c r="T897" i="1"/>
  <c r="R897" i="1"/>
  <c r="N897" i="1"/>
  <c r="U896" i="1"/>
  <c r="W896" i="1" s="1"/>
  <c r="T896" i="1"/>
  <c r="R896" i="1"/>
  <c r="N896" i="1"/>
  <c r="U895" i="1"/>
  <c r="W895" i="1" s="1"/>
  <c r="T895" i="1"/>
  <c r="R895" i="1"/>
  <c r="N895" i="1"/>
  <c r="U894" i="1"/>
  <c r="W894" i="1" s="1"/>
  <c r="T894" i="1"/>
  <c r="R894" i="1"/>
  <c r="N894" i="1"/>
  <c r="U893" i="1"/>
  <c r="W893" i="1" s="1"/>
  <c r="T893" i="1"/>
  <c r="R893" i="1"/>
  <c r="N893" i="1"/>
  <c r="U892" i="1"/>
  <c r="W892" i="1" s="1"/>
  <c r="T892" i="1"/>
  <c r="R892" i="1"/>
  <c r="N892" i="1"/>
  <c r="U891" i="1"/>
  <c r="W891" i="1" s="1"/>
  <c r="T891" i="1"/>
  <c r="R891" i="1"/>
  <c r="N891" i="1"/>
  <c r="U890" i="1"/>
  <c r="W890" i="1" s="1"/>
  <c r="T890" i="1"/>
  <c r="R890" i="1"/>
  <c r="N890" i="1"/>
  <c r="U889" i="1"/>
  <c r="W889" i="1" s="1"/>
  <c r="T889" i="1"/>
  <c r="R889" i="1"/>
  <c r="N889" i="1"/>
  <c r="U888" i="1"/>
  <c r="W888" i="1" s="1"/>
  <c r="T888" i="1"/>
  <c r="R888" i="1"/>
  <c r="N888" i="1"/>
  <c r="U887" i="1"/>
  <c r="W887" i="1" s="1"/>
  <c r="T887" i="1"/>
  <c r="R887" i="1"/>
  <c r="N887" i="1"/>
  <c r="U886" i="1"/>
  <c r="W886" i="1" s="1"/>
  <c r="T886" i="1"/>
  <c r="R886" i="1"/>
  <c r="N886" i="1"/>
  <c r="U885" i="1"/>
  <c r="W885" i="1" s="1"/>
  <c r="T885" i="1"/>
  <c r="R885" i="1"/>
  <c r="N885" i="1"/>
  <c r="U884" i="1"/>
  <c r="W884" i="1" s="1"/>
  <c r="T884" i="1"/>
  <c r="R884" i="1"/>
  <c r="N884" i="1"/>
  <c r="U883" i="1"/>
  <c r="W883" i="1" s="1"/>
  <c r="T883" i="1"/>
  <c r="R883" i="1"/>
  <c r="N883" i="1"/>
  <c r="U882" i="1"/>
  <c r="W882" i="1" s="1"/>
  <c r="T882" i="1"/>
  <c r="R882" i="1"/>
  <c r="N882" i="1"/>
  <c r="U881" i="1"/>
  <c r="W881" i="1" s="1"/>
  <c r="T881" i="1"/>
  <c r="R881" i="1"/>
  <c r="N881" i="1"/>
  <c r="U880" i="1"/>
  <c r="W880" i="1" s="1"/>
  <c r="T880" i="1"/>
  <c r="R880" i="1"/>
  <c r="N880" i="1"/>
  <c r="U879" i="1"/>
  <c r="W879" i="1" s="1"/>
  <c r="T879" i="1"/>
  <c r="R879" i="1"/>
  <c r="N879" i="1"/>
  <c r="U878" i="1"/>
  <c r="W878" i="1" s="1"/>
  <c r="T878" i="1"/>
  <c r="R878" i="1"/>
  <c r="N878" i="1"/>
  <c r="U877" i="1"/>
  <c r="W877" i="1" s="1"/>
  <c r="T877" i="1"/>
  <c r="R877" i="1"/>
  <c r="N877" i="1"/>
  <c r="U876" i="1"/>
  <c r="W876" i="1" s="1"/>
  <c r="T876" i="1"/>
  <c r="R876" i="1"/>
  <c r="N876" i="1"/>
  <c r="U875" i="1"/>
  <c r="W875" i="1" s="1"/>
  <c r="T875" i="1"/>
  <c r="R875" i="1"/>
  <c r="N875" i="1"/>
  <c r="U874" i="1"/>
  <c r="W874" i="1" s="1"/>
  <c r="T874" i="1"/>
  <c r="R874" i="1"/>
  <c r="N874" i="1"/>
  <c r="U873" i="1"/>
  <c r="W873" i="1" s="1"/>
  <c r="T873" i="1"/>
  <c r="R873" i="1"/>
  <c r="N873" i="1"/>
  <c r="U872" i="1"/>
  <c r="W872" i="1" s="1"/>
  <c r="T872" i="1"/>
  <c r="R872" i="1"/>
  <c r="N872" i="1"/>
  <c r="U871" i="1"/>
  <c r="W871" i="1" s="1"/>
  <c r="T871" i="1"/>
  <c r="R871" i="1"/>
  <c r="N871" i="1"/>
  <c r="U870" i="1"/>
  <c r="W870" i="1" s="1"/>
  <c r="T870" i="1"/>
  <c r="R870" i="1"/>
  <c r="N870" i="1"/>
  <c r="U869" i="1"/>
  <c r="W869" i="1" s="1"/>
  <c r="T869" i="1"/>
  <c r="R869" i="1"/>
  <c r="N869" i="1"/>
  <c r="U868" i="1"/>
  <c r="W868" i="1" s="1"/>
  <c r="T868" i="1"/>
  <c r="R868" i="1"/>
  <c r="N868" i="1"/>
  <c r="U867" i="1"/>
  <c r="W867" i="1" s="1"/>
  <c r="T867" i="1"/>
  <c r="R867" i="1"/>
  <c r="N867" i="1"/>
  <c r="U866" i="1"/>
  <c r="W866" i="1" s="1"/>
  <c r="T866" i="1"/>
  <c r="R866" i="1"/>
  <c r="N866" i="1"/>
  <c r="U865" i="1"/>
  <c r="W865" i="1" s="1"/>
  <c r="T865" i="1"/>
  <c r="R865" i="1"/>
  <c r="N865" i="1"/>
  <c r="U864" i="1"/>
  <c r="W864" i="1" s="1"/>
  <c r="T864" i="1"/>
  <c r="R864" i="1"/>
  <c r="N864" i="1"/>
  <c r="U863" i="1"/>
  <c r="W863" i="1" s="1"/>
  <c r="T863" i="1"/>
  <c r="R863" i="1"/>
  <c r="N863" i="1"/>
  <c r="U862" i="1"/>
  <c r="W862" i="1" s="1"/>
  <c r="T862" i="1"/>
  <c r="R862" i="1"/>
  <c r="N862" i="1"/>
  <c r="U861" i="1"/>
  <c r="W861" i="1" s="1"/>
  <c r="T861" i="1"/>
  <c r="R861" i="1"/>
  <c r="N861" i="1"/>
  <c r="U860" i="1"/>
  <c r="W860" i="1" s="1"/>
  <c r="T860" i="1"/>
  <c r="R860" i="1"/>
  <c r="N860" i="1"/>
  <c r="U859" i="1"/>
  <c r="W859" i="1" s="1"/>
  <c r="T859" i="1"/>
  <c r="R859" i="1"/>
  <c r="N859" i="1"/>
  <c r="U858" i="1"/>
  <c r="W858" i="1" s="1"/>
  <c r="T858" i="1"/>
  <c r="R858" i="1"/>
  <c r="N858" i="1"/>
  <c r="U857" i="1"/>
  <c r="W857" i="1" s="1"/>
  <c r="T857" i="1"/>
  <c r="R857" i="1"/>
  <c r="N857" i="1"/>
  <c r="U856" i="1"/>
  <c r="W856" i="1" s="1"/>
  <c r="T856" i="1"/>
  <c r="R856" i="1"/>
  <c r="N856" i="1"/>
  <c r="U855" i="1"/>
  <c r="W855" i="1" s="1"/>
  <c r="T855" i="1"/>
  <c r="R855" i="1"/>
  <c r="N855" i="1"/>
  <c r="U854" i="1"/>
  <c r="W854" i="1" s="1"/>
  <c r="T854" i="1"/>
  <c r="R854" i="1"/>
  <c r="N854" i="1"/>
  <c r="U853" i="1"/>
  <c r="W853" i="1" s="1"/>
  <c r="T853" i="1"/>
  <c r="R853" i="1"/>
  <c r="N853" i="1"/>
  <c r="U852" i="1"/>
  <c r="W852" i="1" s="1"/>
  <c r="T852" i="1"/>
  <c r="R852" i="1"/>
  <c r="N852" i="1"/>
  <c r="U851" i="1"/>
  <c r="W851" i="1" s="1"/>
  <c r="T851" i="1"/>
  <c r="R851" i="1"/>
  <c r="N851" i="1"/>
  <c r="U850" i="1"/>
  <c r="W850" i="1" s="1"/>
  <c r="T850" i="1"/>
  <c r="R850" i="1"/>
  <c r="N850" i="1"/>
  <c r="U849" i="1"/>
  <c r="W849" i="1" s="1"/>
  <c r="T849" i="1"/>
  <c r="R849" i="1"/>
  <c r="N849" i="1"/>
  <c r="U848" i="1"/>
  <c r="W848" i="1" s="1"/>
  <c r="T848" i="1"/>
  <c r="R848" i="1"/>
  <c r="N848" i="1"/>
  <c r="U847" i="1"/>
  <c r="W847" i="1" s="1"/>
  <c r="T847" i="1"/>
  <c r="R847" i="1"/>
  <c r="N847" i="1"/>
  <c r="U846" i="1"/>
  <c r="W846" i="1" s="1"/>
  <c r="T846" i="1"/>
  <c r="R846" i="1"/>
  <c r="N846" i="1"/>
  <c r="U845" i="1"/>
  <c r="W845" i="1" s="1"/>
  <c r="T845" i="1"/>
  <c r="R845" i="1"/>
  <c r="N845" i="1"/>
  <c r="U844" i="1"/>
  <c r="W844" i="1" s="1"/>
  <c r="T844" i="1"/>
  <c r="R844" i="1"/>
  <c r="N844" i="1"/>
  <c r="U843" i="1"/>
  <c r="W843" i="1" s="1"/>
  <c r="T843" i="1"/>
  <c r="R843" i="1"/>
  <c r="N843" i="1"/>
  <c r="U842" i="1"/>
  <c r="W842" i="1" s="1"/>
  <c r="T842" i="1"/>
  <c r="R842" i="1"/>
  <c r="N842" i="1"/>
  <c r="U841" i="1"/>
  <c r="W841" i="1" s="1"/>
  <c r="T841" i="1"/>
  <c r="R841" i="1"/>
  <c r="N841" i="1"/>
  <c r="U840" i="1"/>
  <c r="W840" i="1" s="1"/>
  <c r="T840" i="1"/>
  <c r="R840" i="1"/>
  <c r="N840" i="1"/>
  <c r="U839" i="1"/>
  <c r="W839" i="1" s="1"/>
  <c r="T839" i="1"/>
  <c r="R839" i="1"/>
  <c r="N839" i="1"/>
  <c r="U838" i="1"/>
  <c r="W838" i="1" s="1"/>
  <c r="T838" i="1"/>
  <c r="R838" i="1"/>
  <c r="N838" i="1"/>
  <c r="U837" i="1"/>
  <c r="W837" i="1" s="1"/>
  <c r="T837" i="1"/>
  <c r="R837" i="1"/>
  <c r="N837" i="1"/>
  <c r="U836" i="1"/>
  <c r="W836" i="1" s="1"/>
  <c r="T836" i="1"/>
  <c r="R836" i="1"/>
  <c r="N836" i="1"/>
  <c r="U835" i="1"/>
  <c r="W835" i="1" s="1"/>
  <c r="T835" i="1"/>
  <c r="R835" i="1"/>
  <c r="N835" i="1"/>
  <c r="U834" i="1"/>
  <c r="W834" i="1" s="1"/>
  <c r="T834" i="1"/>
  <c r="R834" i="1"/>
  <c r="N834" i="1"/>
  <c r="U833" i="1"/>
  <c r="W833" i="1" s="1"/>
  <c r="T833" i="1"/>
  <c r="R833" i="1"/>
  <c r="N833" i="1"/>
  <c r="U832" i="1"/>
  <c r="W832" i="1" s="1"/>
  <c r="T832" i="1"/>
  <c r="R832" i="1"/>
  <c r="N832" i="1"/>
  <c r="U831" i="1"/>
  <c r="W831" i="1" s="1"/>
  <c r="T831" i="1"/>
  <c r="R831" i="1"/>
  <c r="N831" i="1"/>
  <c r="U830" i="1"/>
  <c r="W830" i="1" s="1"/>
  <c r="T830" i="1"/>
  <c r="R830" i="1"/>
  <c r="N830" i="1"/>
  <c r="U829" i="1"/>
  <c r="W829" i="1" s="1"/>
  <c r="T829" i="1"/>
  <c r="R829" i="1"/>
  <c r="N829" i="1"/>
  <c r="U828" i="1"/>
  <c r="W828" i="1" s="1"/>
  <c r="T828" i="1"/>
  <c r="R828" i="1"/>
  <c r="N828" i="1"/>
  <c r="U827" i="1"/>
  <c r="W827" i="1" s="1"/>
  <c r="T827" i="1"/>
  <c r="R827" i="1"/>
  <c r="N827" i="1"/>
  <c r="U826" i="1"/>
  <c r="W826" i="1" s="1"/>
  <c r="T826" i="1"/>
  <c r="R826" i="1"/>
  <c r="N826" i="1"/>
  <c r="U825" i="1"/>
  <c r="W825" i="1" s="1"/>
  <c r="T825" i="1"/>
  <c r="R825" i="1"/>
  <c r="N825" i="1"/>
  <c r="U824" i="1"/>
  <c r="W824" i="1" s="1"/>
  <c r="T824" i="1"/>
  <c r="R824" i="1"/>
  <c r="N824" i="1"/>
  <c r="U823" i="1"/>
  <c r="W823" i="1" s="1"/>
  <c r="T823" i="1"/>
  <c r="R823" i="1"/>
  <c r="N823" i="1"/>
  <c r="U822" i="1"/>
  <c r="W822" i="1" s="1"/>
  <c r="T822" i="1"/>
  <c r="R822" i="1"/>
  <c r="N822" i="1"/>
  <c r="U821" i="1"/>
  <c r="W821" i="1" s="1"/>
  <c r="T821" i="1"/>
  <c r="R821" i="1"/>
  <c r="N821" i="1"/>
  <c r="U820" i="1"/>
  <c r="W820" i="1" s="1"/>
  <c r="T820" i="1"/>
  <c r="R820" i="1"/>
  <c r="N820" i="1"/>
  <c r="U819" i="1"/>
  <c r="W819" i="1" s="1"/>
  <c r="T819" i="1"/>
  <c r="R819" i="1"/>
  <c r="N819" i="1"/>
  <c r="U818" i="1"/>
  <c r="W818" i="1" s="1"/>
  <c r="T818" i="1"/>
  <c r="R818" i="1"/>
  <c r="N818" i="1"/>
  <c r="U817" i="1"/>
  <c r="W817" i="1" s="1"/>
  <c r="T817" i="1"/>
  <c r="R817" i="1"/>
  <c r="N817" i="1"/>
  <c r="U816" i="1"/>
  <c r="W816" i="1" s="1"/>
  <c r="T816" i="1"/>
  <c r="R816" i="1"/>
  <c r="N816" i="1"/>
  <c r="U815" i="1"/>
  <c r="W815" i="1" s="1"/>
  <c r="T815" i="1"/>
  <c r="R815" i="1"/>
  <c r="N815" i="1"/>
  <c r="U814" i="1"/>
  <c r="W814" i="1" s="1"/>
  <c r="T814" i="1"/>
  <c r="R814" i="1"/>
  <c r="N814" i="1"/>
  <c r="U813" i="1"/>
  <c r="W813" i="1" s="1"/>
  <c r="T813" i="1"/>
  <c r="R813" i="1"/>
  <c r="N813" i="1"/>
  <c r="U812" i="1"/>
  <c r="W812" i="1" s="1"/>
  <c r="T812" i="1"/>
  <c r="R812" i="1"/>
  <c r="N812" i="1"/>
  <c r="U811" i="1"/>
  <c r="W811" i="1" s="1"/>
  <c r="T811" i="1"/>
  <c r="R811" i="1"/>
  <c r="N811" i="1"/>
  <c r="U810" i="1"/>
  <c r="W810" i="1" s="1"/>
  <c r="T810" i="1"/>
  <c r="R810" i="1"/>
  <c r="N810" i="1"/>
  <c r="U809" i="1"/>
  <c r="W809" i="1" s="1"/>
  <c r="T809" i="1"/>
  <c r="R809" i="1"/>
  <c r="N809" i="1"/>
  <c r="U808" i="1"/>
  <c r="W808" i="1" s="1"/>
  <c r="T808" i="1"/>
  <c r="R808" i="1"/>
  <c r="N808" i="1"/>
  <c r="U807" i="1"/>
  <c r="W807" i="1" s="1"/>
  <c r="T807" i="1"/>
  <c r="R807" i="1"/>
  <c r="N807" i="1"/>
  <c r="U806" i="1"/>
  <c r="W806" i="1" s="1"/>
  <c r="T806" i="1"/>
  <c r="R806" i="1"/>
  <c r="N806" i="1"/>
  <c r="U805" i="1"/>
  <c r="W805" i="1" s="1"/>
  <c r="T805" i="1"/>
  <c r="R805" i="1"/>
  <c r="N805" i="1"/>
  <c r="U804" i="1"/>
  <c r="W804" i="1" s="1"/>
  <c r="T804" i="1"/>
  <c r="R804" i="1"/>
  <c r="N804" i="1"/>
  <c r="U803" i="1"/>
  <c r="W803" i="1" s="1"/>
  <c r="T803" i="1"/>
  <c r="R803" i="1"/>
  <c r="N803" i="1"/>
  <c r="U802" i="1"/>
  <c r="W802" i="1" s="1"/>
  <c r="T802" i="1"/>
  <c r="R802" i="1"/>
  <c r="N802" i="1"/>
  <c r="U801" i="1"/>
  <c r="W801" i="1" s="1"/>
  <c r="T801" i="1"/>
  <c r="R801" i="1"/>
  <c r="N801" i="1"/>
  <c r="U800" i="1"/>
  <c r="W800" i="1" s="1"/>
  <c r="T800" i="1"/>
  <c r="R800" i="1"/>
  <c r="N800" i="1"/>
  <c r="U799" i="1"/>
  <c r="W799" i="1" s="1"/>
  <c r="T799" i="1"/>
  <c r="R799" i="1"/>
  <c r="N799" i="1"/>
  <c r="U798" i="1"/>
  <c r="W798" i="1" s="1"/>
  <c r="T798" i="1"/>
  <c r="R798" i="1"/>
  <c r="N798" i="1"/>
  <c r="U797" i="1"/>
  <c r="W797" i="1" s="1"/>
  <c r="T797" i="1"/>
  <c r="R797" i="1"/>
  <c r="N797" i="1"/>
  <c r="U796" i="1"/>
  <c r="W796" i="1" s="1"/>
  <c r="T796" i="1"/>
  <c r="R796" i="1"/>
  <c r="N796" i="1"/>
  <c r="U795" i="1"/>
  <c r="W795" i="1" s="1"/>
  <c r="T795" i="1"/>
  <c r="R795" i="1"/>
  <c r="N795" i="1"/>
  <c r="U794" i="1"/>
  <c r="W794" i="1" s="1"/>
  <c r="T794" i="1"/>
  <c r="R794" i="1"/>
  <c r="N794" i="1"/>
  <c r="U793" i="1"/>
  <c r="W793" i="1" s="1"/>
  <c r="T793" i="1"/>
  <c r="R793" i="1"/>
  <c r="N793" i="1"/>
  <c r="U792" i="1"/>
  <c r="W792" i="1" s="1"/>
  <c r="T792" i="1"/>
  <c r="R792" i="1"/>
  <c r="N792" i="1"/>
  <c r="U791" i="1"/>
  <c r="W791" i="1" s="1"/>
  <c r="T791" i="1"/>
  <c r="R791" i="1"/>
  <c r="N791" i="1"/>
  <c r="U790" i="1"/>
  <c r="W790" i="1" s="1"/>
  <c r="T790" i="1"/>
  <c r="R790" i="1"/>
  <c r="N790" i="1"/>
  <c r="U789" i="1"/>
  <c r="W789" i="1" s="1"/>
  <c r="T789" i="1"/>
  <c r="R789" i="1"/>
  <c r="N789" i="1"/>
  <c r="U788" i="1"/>
  <c r="W788" i="1" s="1"/>
  <c r="T788" i="1"/>
  <c r="R788" i="1"/>
  <c r="N788" i="1"/>
  <c r="U787" i="1"/>
  <c r="W787" i="1" s="1"/>
  <c r="T787" i="1"/>
  <c r="R787" i="1"/>
  <c r="N787" i="1"/>
  <c r="U786" i="1"/>
  <c r="W786" i="1" s="1"/>
  <c r="T786" i="1"/>
  <c r="R786" i="1"/>
  <c r="N786" i="1"/>
  <c r="U785" i="1"/>
  <c r="W785" i="1" s="1"/>
  <c r="T785" i="1"/>
  <c r="R785" i="1"/>
  <c r="N785" i="1"/>
  <c r="U784" i="1"/>
  <c r="W784" i="1" s="1"/>
  <c r="T784" i="1"/>
  <c r="R784" i="1"/>
  <c r="N784" i="1"/>
  <c r="U783" i="1"/>
  <c r="W783" i="1" s="1"/>
  <c r="T783" i="1"/>
  <c r="R783" i="1"/>
  <c r="N783" i="1"/>
  <c r="U782" i="1"/>
  <c r="W782" i="1" s="1"/>
  <c r="T782" i="1"/>
  <c r="R782" i="1"/>
  <c r="N782" i="1"/>
  <c r="U781" i="1"/>
  <c r="W781" i="1" s="1"/>
  <c r="T781" i="1"/>
  <c r="R781" i="1"/>
  <c r="N781" i="1"/>
  <c r="U780" i="1"/>
  <c r="W780" i="1" s="1"/>
  <c r="T780" i="1"/>
  <c r="R780" i="1"/>
  <c r="N780" i="1"/>
  <c r="U779" i="1"/>
  <c r="W779" i="1" s="1"/>
  <c r="T779" i="1"/>
  <c r="R779" i="1"/>
  <c r="N779" i="1"/>
  <c r="U778" i="1"/>
  <c r="W778" i="1" s="1"/>
  <c r="T778" i="1"/>
  <c r="R778" i="1"/>
  <c r="N778" i="1"/>
  <c r="U777" i="1"/>
  <c r="W777" i="1" s="1"/>
  <c r="T777" i="1"/>
  <c r="R777" i="1"/>
  <c r="N777" i="1"/>
  <c r="U776" i="1"/>
  <c r="W776" i="1" s="1"/>
  <c r="T776" i="1"/>
  <c r="R776" i="1"/>
  <c r="N776" i="1"/>
  <c r="U775" i="1"/>
  <c r="W775" i="1" s="1"/>
  <c r="T775" i="1"/>
  <c r="R775" i="1"/>
  <c r="N775" i="1"/>
  <c r="U774" i="1"/>
  <c r="W774" i="1" s="1"/>
  <c r="T774" i="1"/>
  <c r="R774" i="1"/>
  <c r="N774" i="1"/>
  <c r="U773" i="1"/>
  <c r="W773" i="1" s="1"/>
  <c r="T773" i="1"/>
  <c r="R773" i="1"/>
  <c r="N773" i="1"/>
  <c r="U772" i="1"/>
  <c r="W772" i="1" s="1"/>
  <c r="T772" i="1"/>
  <c r="R772" i="1"/>
  <c r="N772" i="1"/>
  <c r="U771" i="1"/>
  <c r="W771" i="1" s="1"/>
  <c r="T771" i="1"/>
  <c r="R771" i="1"/>
  <c r="N771" i="1"/>
  <c r="U770" i="1"/>
  <c r="W770" i="1" s="1"/>
  <c r="T770" i="1"/>
  <c r="R770" i="1"/>
  <c r="N770" i="1"/>
  <c r="U769" i="1"/>
  <c r="W769" i="1" s="1"/>
  <c r="T769" i="1"/>
  <c r="R769" i="1"/>
  <c r="N769" i="1"/>
  <c r="U768" i="1"/>
  <c r="W768" i="1" s="1"/>
  <c r="T768" i="1"/>
  <c r="R768" i="1"/>
  <c r="N768" i="1"/>
  <c r="U767" i="1"/>
  <c r="W767" i="1" s="1"/>
  <c r="T767" i="1"/>
  <c r="R767" i="1"/>
  <c r="N767" i="1"/>
  <c r="U766" i="1"/>
  <c r="W766" i="1" s="1"/>
  <c r="T766" i="1"/>
  <c r="R766" i="1"/>
  <c r="N766" i="1"/>
  <c r="U765" i="1"/>
  <c r="W765" i="1" s="1"/>
  <c r="T765" i="1"/>
  <c r="R765" i="1"/>
  <c r="N765" i="1"/>
  <c r="U764" i="1"/>
  <c r="W764" i="1" s="1"/>
  <c r="T764" i="1"/>
  <c r="R764" i="1"/>
  <c r="N764" i="1"/>
  <c r="U763" i="1"/>
  <c r="W763" i="1" s="1"/>
  <c r="T763" i="1"/>
  <c r="R763" i="1"/>
  <c r="N763" i="1"/>
  <c r="U762" i="1"/>
  <c r="W762" i="1" s="1"/>
  <c r="T762" i="1"/>
  <c r="R762" i="1"/>
  <c r="N762" i="1"/>
  <c r="U761" i="1"/>
  <c r="W761" i="1" s="1"/>
  <c r="T761" i="1"/>
  <c r="R761" i="1"/>
  <c r="N761" i="1"/>
  <c r="U760" i="1"/>
  <c r="W760" i="1" s="1"/>
  <c r="T760" i="1"/>
  <c r="R760" i="1"/>
  <c r="N760" i="1"/>
  <c r="U759" i="1"/>
  <c r="W759" i="1" s="1"/>
  <c r="T759" i="1"/>
  <c r="R759" i="1"/>
  <c r="N759" i="1"/>
  <c r="U758" i="1"/>
  <c r="W758" i="1" s="1"/>
  <c r="T758" i="1"/>
  <c r="R758" i="1"/>
  <c r="N758" i="1"/>
  <c r="U757" i="1"/>
  <c r="W757" i="1" s="1"/>
  <c r="T757" i="1"/>
  <c r="R757" i="1"/>
  <c r="N757" i="1"/>
  <c r="U756" i="1"/>
  <c r="W756" i="1" s="1"/>
  <c r="T756" i="1"/>
  <c r="R756" i="1"/>
  <c r="N756" i="1"/>
  <c r="U755" i="1"/>
  <c r="W755" i="1" s="1"/>
  <c r="T755" i="1"/>
  <c r="R755" i="1"/>
  <c r="N755" i="1"/>
  <c r="U754" i="1"/>
  <c r="W754" i="1" s="1"/>
  <c r="T754" i="1"/>
  <c r="R754" i="1"/>
  <c r="N754" i="1"/>
  <c r="U753" i="1"/>
  <c r="W753" i="1" s="1"/>
  <c r="T753" i="1"/>
  <c r="R753" i="1"/>
  <c r="N753" i="1"/>
  <c r="U752" i="1"/>
  <c r="W752" i="1" s="1"/>
  <c r="T752" i="1"/>
  <c r="R752" i="1"/>
  <c r="N752" i="1"/>
  <c r="U751" i="1"/>
  <c r="W751" i="1" s="1"/>
  <c r="T751" i="1"/>
  <c r="R751" i="1"/>
  <c r="N751" i="1"/>
  <c r="U750" i="1"/>
  <c r="W750" i="1" s="1"/>
  <c r="T750" i="1"/>
  <c r="R750" i="1"/>
  <c r="N750" i="1"/>
  <c r="U749" i="1"/>
  <c r="W749" i="1" s="1"/>
  <c r="T749" i="1"/>
  <c r="R749" i="1"/>
  <c r="N749" i="1"/>
  <c r="U748" i="1"/>
  <c r="W748" i="1" s="1"/>
  <c r="T748" i="1"/>
  <c r="R748" i="1"/>
  <c r="N748" i="1"/>
  <c r="U747" i="1"/>
  <c r="W747" i="1" s="1"/>
  <c r="T747" i="1"/>
  <c r="R747" i="1"/>
  <c r="N747" i="1"/>
  <c r="U746" i="1"/>
  <c r="W746" i="1" s="1"/>
  <c r="T746" i="1"/>
  <c r="R746" i="1"/>
  <c r="N746" i="1"/>
  <c r="U745" i="1"/>
  <c r="W745" i="1" s="1"/>
  <c r="T745" i="1"/>
  <c r="R745" i="1"/>
  <c r="N745" i="1"/>
  <c r="U744" i="1"/>
  <c r="W744" i="1" s="1"/>
  <c r="T744" i="1"/>
  <c r="R744" i="1"/>
  <c r="N744" i="1"/>
  <c r="U743" i="1"/>
  <c r="W743" i="1" s="1"/>
  <c r="T743" i="1"/>
  <c r="R743" i="1"/>
  <c r="N743" i="1"/>
  <c r="U742" i="1"/>
  <c r="W742" i="1" s="1"/>
  <c r="T742" i="1"/>
  <c r="R742" i="1"/>
  <c r="N742" i="1"/>
  <c r="U741" i="1"/>
  <c r="W741" i="1" s="1"/>
  <c r="T741" i="1"/>
  <c r="R741" i="1"/>
  <c r="N741" i="1"/>
  <c r="U740" i="1"/>
  <c r="W740" i="1" s="1"/>
  <c r="T740" i="1"/>
  <c r="R740" i="1"/>
  <c r="N740" i="1"/>
  <c r="U739" i="1"/>
  <c r="W739" i="1" s="1"/>
  <c r="T739" i="1"/>
  <c r="R739" i="1"/>
  <c r="N739" i="1"/>
  <c r="U738" i="1"/>
  <c r="W738" i="1" s="1"/>
  <c r="T738" i="1"/>
  <c r="R738" i="1"/>
  <c r="N738" i="1"/>
  <c r="U737" i="1"/>
  <c r="W737" i="1" s="1"/>
  <c r="T737" i="1"/>
  <c r="R737" i="1"/>
  <c r="N737" i="1"/>
  <c r="U736" i="1"/>
  <c r="W736" i="1" s="1"/>
  <c r="T736" i="1"/>
  <c r="R736" i="1"/>
  <c r="N736" i="1"/>
  <c r="U735" i="1"/>
  <c r="W735" i="1" s="1"/>
  <c r="T735" i="1"/>
  <c r="R735" i="1"/>
  <c r="N735" i="1"/>
  <c r="U734" i="1"/>
  <c r="W734" i="1" s="1"/>
  <c r="T734" i="1"/>
  <c r="R734" i="1"/>
  <c r="N734" i="1"/>
  <c r="U733" i="1"/>
  <c r="W733" i="1" s="1"/>
  <c r="T733" i="1"/>
  <c r="R733" i="1"/>
  <c r="N733" i="1"/>
  <c r="U732" i="1"/>
  <c r="W732" i="1" s="1"/>
  <c r="T732" i="1"/>
  <c r="R732" i="1"/>
  <c r="N732" i="1"/>
  <c r="U731" i="1"/>
  <c r="W731" i="1" s="1"/>
  <c r="T731" i="1"/>
  <c r="R731" i="1"/>
  <c r="N731" i="1"/>
  <c r="U730" i="1"/>
  <c r="W730" i="1" s="1"/>
  <c r="T730" i="1"/>
  <c r="R730" i="1"/>
  <c r="N730" i="1"/>
  <c r="U729" i="1"/>
  <c r="W729" i="1" s="1"/>
  <c r="T729" i="1"/>
  <c r="R729" i="1"/>
  <c r="N729" i="1"/>
  <c r="U728" i="1"/>
  <c r="W728" i="1" s="1"/>
  <c r="T728" i="1"/>
  <c r="R728" i="1"/>
  <c r="N728" i="1"/>
  <c r="U727" i="1"/>
  <c r="W727" i="1" s="1"/>
  <c r="T727" i="1"/>
  <c r="R727" i="1"/>
  <c r="N727" i="1"/>
  <c r="U726" i="1"/>
  <c r="W726" i="1" s="1"/>
  <c r="T726" i="1"/>
  <c r="R726" i="1"/>
  <c r="N726" i="1"/>
  <c r="U725" i="1"/>
  <c r="W725" i="1" s="1"/>
  <c r="T725" i="1"/>
  <c r="R725" i="1"/>
  <c r="N725" i="1"/>
  <c r="U724" i="1"/>
  <c r="W724" i="1" s="1"/>
  <c r="T724" i="1"/>
  <c r="R724" i="1"/>
  <c r="N724" i="1"/>
  <c r="U723" i="1"/>
  <c r="W723" i="1" s="1"/>
  <c r="T723" i="1"/>
  <c r="R723" i="1"/>
  <c r="N723" i="1"/>
  <c r="U722" i="1"/>
  <c r="W722" i="1" s="1"/>
  <c r="T722" i="1"/>
  <c r="R722" i="1"/>
  <c r="N722" i="1"/>
  <c r="U721" i="1"/>
  <c r="W721" i="1" s="1"/>
  <c r="T721" i="1"/>
  <c r="R721" i="1"/>
  <c r="N721" i="1"/>
  <c r="U720" i="1"/>
  <c r="W720" i="1" s="1"/>
  <c r="T720" i="1"/>
  <c r="R720" i="1"/>
  <c r="N720" i="1"/>
  <c r="U719" i="1"/>
  <c r="W719" i="1" s="1"/>
  <c r="T719" i="1"/>
  <c r="R719" i="1"/>
  <c r="N719" i="1"/>
  <c r="U718" i="1"/>
  <c r="W718" i="1" s="1"/>
  <c r="T718" i="1"/>
  <c r="R718" i="1"/>
  <c r="N718" i="1"/>
  <c r="U717" i="1"/>
  <c r="W717" i="1" s="1"/>
  <c r="T717" i="1"/>
  <c r="R717" i="1"/>
  <c r="N717" i="1"/>
  <c r="U716" i="1"/>
  <c r="W716" i="1" s="1"/>
  <c r="T716" i="1"/>
  <c r="R716" i="1"/>
  <c r="N716" i="1"/>
  <c r="U715" i="1"/>
  <c r="W715" i="1" s="1"/>
  <c r="T715" i="1"/>
  <c r="R715" i="1"/>
  <c r="N715" i="1"/>
  <c r="U714" i="1"/>
  <c r="W714" i="1" s="1"/>
  <c r="T714" i="1"/>
  <c r="R714" i="1"/>
  <c r="N714" i="1"/>
  <c r="U713" i="1"/>
  <c r="W713" i="1" s="1"/>
  <c r="T713" i="1"/>
  <c r="R713" i="1"/>
  <c r="N713" i="1"/>
  <c r="U712" i="1"/>
  <c r="W712" i="1" s="1"/>
  <c r="T712" i="1"/>
  <c r="R712" i="1"/>
  <c r="N712" i="1"/>
  <c r="U711" i="1"/>
  <c r="W711" i="1" s="1"/>
  <c r="T711" i="1"/>
  <c r="R711" i="1"/>
  <c r="N711" i="1"/>
  <c r="U710" i="1"/>
  <c r="W710" i="1" s="1"/>
  <c r="T710" i="1"/>
  <c r="R710" i="1"/>
  <c r="N710" i="1"/>
  <c r="U709" i="1"/>
  <c r="W709" i="1" s="1"/>
  <c r="T709" i="1"/>
  <c r="R709" i="1"/>
  <c r="N709" i="1"/>
  <c r="U708" i="1"/>
  <c r="W708" i="1" s="1"/>
  <c r="T708" i="1"/>
  <c r="R708" i="1"/>
  <c r="N708" i="1"/>
  <c r="U707" i="1"/>
  <c r="W707" i="1" s="1"/>
  <c r="T707" i="1"/>
  <c r="R707" i="1"/>
  <c r="N707" i="1"/>
  <c r="U706" i="1"/>
  <c r="W706" i="1" s="1"/>
  <c r="T706" i="1"/>
  <c r="R706" i="1"/>
  <c r="N706" i="1"/>
  <c r="U705" i="1"/>
  <c r="W705" i="1" s="1"/>
  <c r="T705" i="1"/>
  <c r="R705" i="1"/>
  <c r="N705" i="1"/>
  <c r="U704" i="1"/>
  <c r="W704" i="1" s="1"/>
  <c r="T704" i="1"/>
  <c r="R704" i="1"/>
  <c r="N704" i="1"/>
  <c r="U703" i="1"/>
  <c r="W703" i="1" s="1"/>
  <c r="T703" i="1"/>
  <c r="R703" i="1"/>
  <c r="N703" i="1"/>
  <c r="U702" i="1"/>
  <c r="W702" i="1" s="1"/>
  <c r="T702" i="1"/>
  <c r="R702" i="1"/>
  <c r="N702" i="1"/>
  <c r="U701" i="1"/>
  <c r="W701" i="1" s="1"/>
  <c r="T701" i="1"/>
  <c r="R701" i="1"/>
  <c r="N701" i="1"/>
  <c r="U700" i="1"/>
  <c r="W700" i="1" s="1"/>
  <c r="T700" i="1"/>
  <c r="R700" i="1"/>
  <c r="N700" i="1"/>
  <c r="U699" i="1"/>
  <c r="W699" i="1" s="1"/>
  <c r="T699" i="1"/>
  <c r="R699" i="1"/>
  <c r="N699" i="1"/>
  <c r="U698" i="1"/>
  <c r="W698" i="1" s="1"/>
  <c r="T698" i="1"/>
  <c r="R698" i="1"/>
  <c r="N698" i="1"/>
  <c r="U697" i="1"/>
  <c r="W697" i="1" s="1"/>
  <c r="T697" i="1"/>
  <c r="R697" i="1"/>
  <c r="N697" i="1"/>
  <c r="U696" i="1"/>
  <c r="W696" i="1" s="1"/>
  <c r="T696" i="1"/>
  <c r="R696" i="1"/>
  <c r="N696" i="1"/>
  <c r="U695" i="1"/>
  <c r="W695" i="1" s="1"/>
  <c r="T695" i="1"/>
  <c r="R695" i="1"/>
  <c r="N695" i="1"/>
  <c r="U694" i="1"/>
  <c r="W694" i="1" s="1"/>
  <c r="T694" i="1"/>
  <c r="R694" i="1"/>
  <c r="N694" i="1"/>
  <c r="U693" i="1"/>
  <c r="W693" i="1" s="1"/>
  <c r="T693" i="1"/>
  <c r="R693" i="1"/>
  <c r="N693" i="1"/>
  <c r="U692" i="1"/>
  <c r="W692" i="1" s="1"/>
  <c r="T692" i="1"/>
  <c r="R692" i="1"/>
  <c r="N692" i="1"/>
  <c r="U691" i="1"/>
  <c r="W691" i="1" s="1"/>
  <c r="T691" i="1"/>
  <c r="R691" i="1"/>
  <c r="N691" i="1"/>
  <c r="U690" i="1"/>
  <c r="W690" i="1" s="1"/>
  <c r="T690" i="1"/>
  <c r="R690" i="1"/>
  <c r="N690" i="1"/>
  <c r="U689" i="1"/>
  <c r="W689" i="1" s="1"/>
  <c r="T689" i="1"/>
  <c r="R689" i="1"/>
  <c r="N689" i="1"/>
  <c r="U688" i="1"/>
  <c r="W688" i="1" s="1"/>
  <c r="T688" i="1"/>
  <c r="R688" i="1"/>
  <c r="N688" i="1"/>
  <c r="U687" i="1"/>
  <c r="W687" i="1" s="1"/>
  <c r="T687" i="1"/>
  <c r="R687" i="1"/>
  <c r="N687" i="1"/>
  <c r="U686" i="1"/>
  <c r="W686" i="1" s="1"/>
  <c r="T686" i="1"/>
  <c r="R686" i="1"/>
  <c r="N686" i="1"/>
  <c r="U685" i="1"/>
  <c r="W685" i="1" s="1"/>
  <c r="T685" i="1"/>
  <c r="R685" i="1"/>
  <c r="N685" i="1"/>
  <c r="U684" i="1"/>
  <c r="W684" i="1" s="1"/>
  <c r="T684" i="1"/>
  <c r="R684" i="1"/>
  <c r="N684" i="1"/>
  <c r="U683" i="1"/>
  <c r="W683" i="1" s="1"/>
  <c r="T683" i="1"/>
  <c r="R683" i="1"/>
  <c r="N683" i="1"/>
  <c r="U682" i="1"/>
  <c r="W682" i="1" s="1"/>
  <c r="T682" i="1"/>
  <c r="R682" i="1"/>
  <c r="N682" i="1"/>
  <c r="U681" i="1"/>
  <c r="W681" i="1" s="1"/>
  <c r="T681" i="1"/>
  <c r="R681" i="1"/>
  <c r="N681" i="1"/>
  <c r="U680" i="1"/>
  <c r="W680" i="1" s="1"/>
  <c r="T680" i="1"/>
  <c r="R680" i="1"/>
  <c r="N680" i="1"/>
  <c r="U679" i="1"/>
  <c r="W679" i="1" s="1"/>
  <c r="T679" i="1"/>
  <c r="R679" i="1"/>
  <c r="N679" i="1"/>
  <c r="U678" i="1"/>
  <c r="W678" i="1" s="1"/>
  <c r="T678" i="1"/>
  <c r="R678" i="1"/>
  <c r="N678" i="1"/>
  <c r="U677" i="1"/>
  <c r="W677" i="1" s="1"/>
  <c r="T677" i="1"/>
  <c r="R677" i="1"/>
  <c r="N677" i="1"/>
  <c r="U676" i="1"/>
  <c r="W676" i="1" s="1"/>
  <c r="T676" i="1"/>
  <c r="R676" i="1"/>
  <c r="N676" i="1"/>
  <c r="U675" i="1"/>
  <c r="W675" i="1" s="1"/>
  <c r="T675" i="1"/>
  <c r="R675" i="1"/>
  <c r="N675" i="1"/>
  <c r="U674" i="1"/>
  <c r="W674" i="1" s="1"/>
  <c r="T674" i="1"/>
  <c r="R674" i="1"/>
  <c r="N674" i="1"/>
  <c r="U673" i="1"/>
  <c r="W673" i="1" s="1"/>
  <c r="T673" i="1"/>
  <c r="R673" i="1"/>
  <c r="N673" i="1"/>
  <c r="U672" i="1"/>
  <c r="W672" i="1" s="1"/>
  <c r="T672" i="1"/>
  <c r="R672" i="1"/>
  <c r="N672" i="1"/>
  <c r="U671" i="1"/>
  <c r="W671" i="1" s="1"/>
  <c r="T671" i="1"/>
  <c r="R671" i="1"/>
  <c r="N671" i="1"/>
  <c r="U670" i="1"/>
  <c r="W670" i="1" s="1"/>
  <c r="T670" i="1"/>
  <c r="R670" i="1"/>
  <c r="N670" i="1"/>
  <c r="U669" i="1"/>
  <c r="W669" i="1" s="1"/>
  <c r="T669" i="1"/>
  <c r="R669" i="1"/>
  <c r="N669" i="1"/>
  <c r="U668" i="1"/>
  <c r="W668" i="1" s="1"/>
  <c r="T668" i="1"/>
  <c r="R668" i="1"/>
  <c r="N668" i="1"/>
  <c r="U667" i="1"/>
  <c r="W667" i="1" s="1"/>
  <c r="T667" i="1"/>
  <c r="R667" i="1"/>
  <c r="N667" i="1"/>
  <c r="U666" i="1"/>
  <c r="W666" i="1" s="1"/>
  <c r="T666" i="1"/>
  <c r="R666" i="1"/>
  <c r="N666" i="1"/>
  <c r="U665" i="1"/>
  <c r="W665" i="1" s="1"/>
  <c r="T665" i="1"/>
  <c r="R665" i="1"/>
  <c r="N665" i="1"/>
  <c r="U664" i="1"/>
  <c r="W664" i="1" s="1"/>
  <c r="T664" i="1"/>
  <c r="R664" i="1"/>
  <c r="N664" i="1"/>
  <c r="U663" i="1"/>
  <c r="W663" i="1" s="1"/>
  <c r="T663" i="1"/>
  <c r="R663" i="1"/>
  <c r="N663" i="1"/>
  <c r="U662" i="1"/>
  <c r="W662" i="1" s="1"/>
  <c r="T662" i="1"/>
  <c r="R662" i="1"/>
  <c r="N662" i="1"/>
  <c r="U661" i="1"/>
  <c r="W661" i="1" s="1"/>
  <c r="T661" i="1"/>
  <c r="R661" i="1"/>
  <c r="N661" i="1"/>
  <c r="U660" i="1"/>
  <c r="W660" i="1" s="1"/>
  <c r="T660" i="1"/>
  <c r="R660" i="1"/>
  <c r="N660" i="1"/>
  <c r="U659" i="1"/>
  <c r="W659" i="1" s="1"/>
  <c r="T659" i="1"/>
  <c r="R659" i="1"/>
  <c r="N659" i="1"/>
  <c r="U658" i="1"/>
  <c r="W658" i="1" s="1"/>
  <c r="T658" i="1"/>
  <c r="R658" i="1"/>
  <c r="N658" i="1"/>
  <c r="U657" i="1"/>
  <c r="W657" i="1" s="1"/>
  <c r="T657" i="1"/>
  <c r="R657" i="1"/>
  <c r="N657" i="1"/>
  <c r="U656" i="1"/>
  <c r="W656" i="1" s="1"/>
  <c r="T656" i="1"/>
  <c r="R656" i="1"/>
  <c r="N656" i="1"/>
  <c r="U655" i="1"/>
  <c r="W655" i="1" s="1"/>
  <c r="T655" i="1"/>
  <c r="R655" i="1"/>
  <c r="N655" i="1"/>
  <c r="U654" i="1"/>
  <c r="W654" i="1" s="1"/>
  <c r="T654" i="1"/>
  <c r="R654" i="1"/>
  <c r="N654" i="1"/>
  <c r="U653" i="1"/>
  <c r="W653" i="1" s="1"/>
  <c r="T653" i="1"/>
  <c r="R653" i="1"/>
  <c r="N653" i="1"/>
  <c r="U652" i="1"/>
  <c r="W652" i="1" s="1"/>
  <c r="T652" i="1"/>
  <c r="R652" i="1"/>
  <c r="N652" i="1"/>
  <c r="U651" i="1"/>
  <c r="W651" i="1" s="1"/>
  <c r="T651" i="1"/>
  <c r="R651" i="1"/>
  <c r="N651" i="1"/>
  <c r="U650" i="1"/>
  <c r="W650" i="1" s="1"/>
  <c r="T650" i="1"/>
  <c r="R650" i="1"/>
  <c r="N650" i="1"/>
  <c r="U649" i="1"/>
  <c r="W649" i="1" s="1"/>
  <c r="T649" i="1"/>
  <c r="R649" i="1"/>
  <c r="N649" i="1"/>
  <c r="U648" i="1"/>
  <c r="W648" i="1" s="1"/>
  <c r="T648" i="1"/>
  <c r="R648" i="1"/>
  <c r="N648" i="1"/>
  <c r="U647" i="1"/>
  <c r="W647" i="1" s="1"/>
  <c r="T647" i="1"/>
  <c r="R647" i="1"/>
  <c r="N647" i="1"/>
  <c r="U646" i="1"/>
  <c r="W646" i="1" s="1"/>
  <c r="T646" i="1"/>
  <c r="R646" i="1"/>
  <c r="N646" i="1"/>
  <c r="U645" i="1"/>
  <c r="W645" i="1" s="1"/>
  <c r="T645" i="1"/>
  <c r="R645" i="1"/>
  <c r="N645" i="1"/>
  <c r="U644" i="1"/>
  <c r="W644" i="1" s="1"/>
  <c r="T644" i="1"/>
  <c r="R644" i="1"/>
  <c r="N644" i="1"/>
  <c r="U643" i="1"/>
  <c r="W643" i="1" s="1"/>
  <c r="T643" i="1"/>
  <c r="R643" i="1"/>
  <c r="N643" i="1"/>
  <c r="U642" i="1"/>
  <c r="W642" i="1" s="1"/>
  <c r="T642" i="1"/>
  <c r="R642" i="1"/>
  <c r="N642" i="1"/>
  <c r="U641" i="1"/>
  <c r="W641" i="1" s="1"/>
  <c r="T641" i="1"/>
  <c r="R641" i="1"/>
  <c r="N641" i="1"/>
  <c r="U640" i="1"/>
  <c r="W640" i="1" s="1"/>
  <c r="T640" i="1"/>
  <c r="R640" i="1"/>
  <c r="N640" i="1"/>
  <c r="U639" i="1"/>
  <c r="W639" i="1" s="1"/>
  <c r="T639" i="1"/>
  <c r="R639" i="1"/>
  <c r="N639" i="1"/>
  <c r="U638" i="1"/>
  <c r="W638" i="1" s="1"/>
  <c r="T638" i="1"/>
  <c r="R638" i="1"/>
  <c r="N638" i="1"/>
  <c r="U637" i="1"/>
  <c r="W637" i="1" s="1"/>
  <c r="T637" i="1"/>
  <c r="R637" i="1"/>
  <c r="N637" i="1"/>
  <c r="U636" i="1"/>
  <c r="W636" i="1" s="1"/>
  <c r="T636" i="1"/>
  <c r="R636" i="1"/>
  <c r="N636" i="1"/>
  <c r="U635" i="1"/>
  <c r="W635" i="1" s="1"/>
  <c r="T635" i="1"/>
  <c r="R635" i="1"/>
  <c r="N635" i="1"/>
  <c r="U634" i="1"/>
  <c r="W634" i="1" s="1"/>
  <c r="T634" i="1"/>
  <c r="R634" i="1"/>
  <c r="N634" i="1"/>
  <c r="U633" i="1"/>
  <c r="W633" i="1" s="1"/>
  <c r="T633" i="1"/>
  <c r="R633" i="1"/>
  <c r="N633" i="1"/>
  <c r="U632" i="1"/>
  <c r="W632" i="1" s="1"/>
  <c r="T632" i="1"/>
  <c r="R632" i="1"/>
  <c r="N632" i="1"/>
  <c r="U631" i="1"/>
  <c r="W631" i="1" s="1"/>
  <c r="T631" i="1"/>
  <c r="R631" i="1"/>
  <c r="N631" i="1"/>
  <c r="U630" i="1"/>
  <c r="W630" i="1" s="1"/>
  <c r="T630" i="1"/>
  <c r="R630" i="1"/>
  <c r="N630" i="1"/>
  <c r="U629" i="1"/>
  <c r="W629" i="1" s="1"/>
  <c r="T629" i="1"/>
  <c r="R629" i="1"/>
  <c r="N629" i="1"/>
  <c r="U628" i="1"/>
  <c r="W628" i="1" s="1"/>
  <c r="T628" i="1"/>
  <c r="R628" i="1"/>
  <c r="N628" i="1"/>
  <c r="U627" i="1"/>
  <c r="W627" i="1" s="1"/>
  <c r="T627" i="1"/>
  <c r="R627" i="1"/>
  <c r="N627" i="1"/>
  <c r="U626" i="1"/>
  <c r="W626" i="1" s="1"/>
  <c r="T626" i="1"/>
  <c r="R626" i="1"/>
  <c r="N626" i="1"/>
  <c r="U625" i="1"/>
  <c r="W625" i="1" s="1"/>
  <c r="T625" i="1"/>
  <c r="R625" i="1"/>
  <c r="N625" i="1"/>
  <c r="U624" i="1"/>
  <c r="W624" i="1" s="1"/>
  <c r="T624" i="1"/>
  <c r="R624" i="1"/>
  <c r="N624" i="1"/>
  <c r="U623" i="1"/>
  <c r="W623" i="1" s="1"/>
  <c r="T623" i="1"/>
  <c r="R623" i="1"/>
  <c r="N623" i="1"/>
  <c r="U622" i="1"/>
  <c r="W622" i="1" s="1"/>
  <c r="T622" i="1"/>
  <c r="R622" i="1"/>
  <c r="N622" i="1"/>
  <c r="U621" i="1"/>
  <c r="W621" i="1" s="1"/>
  <c r="T621" i="1"/>
  <c r="R621" i="1"/>
  <c r="N621" i="1"/>
  <c r="U620" i="1"/>
  <c r="W620" i="1" s="1"/>
  <c r="T620" i="1"/>
  <c r="R620" i="1"/>
  <c r="N620" i="1"/>
  <c r="U619" i="1"/>
  <c r="W619" i="1" s="1"/>
  <c r="T619" i="1"/>
  <c r="R619" i="1"/>
  <c r="N619" i="1"/>
  <c r="U618" i="1"/>
  <c r="W618" i="1" s="1"/>
  <c r="T618" i="1"/>
  <c r="R618" i="1"/>
  <c r="N618" i="1"/>
  <c r="U617" i="1"/>
  <c r="W617" i="1" s="1"/>
  <c r="T617" i="1"/>
  <c r="R617" i="1"/>
  <c r="N617" i="1"/>
  <c r="U616" i="1"/>
  <c r="W616" i="1" s="1"/>
  <c r="T616" i="1"/>
  <c r="R616" i="1"/>
  <c r="N616" i="1"/>
  <c r="U615" i="1"/>
  <c r="W615" i="1" s="1"/>
  <c r="T615" i="1"/>
  <c r="R615" i="1"/>
  <c r="N615" i="1"/>
  <c r="U614" i="1"/>
  <c r="W614" i="1" s="1"/>
  <c r="T614" i="1"/>
  <c r="R614" i="1"/>
  <c r="N614" i="1"/>
  <c r="U613" i="1"/>
  <c r="W613" i="1" s="1"/>
  <c r="T613" i="1"/>
  <c r="R613" i="1"/>
  <c r="N613" i="1"/>
  <c r="U612" i="1"/>
  <c r="W612" i="1" s="1"/>
  <c r="T612" i="1"/>
  <c r="R612" i="1"/>
  <c r="N612" i="1"/>
  <c r="U611" i="1"/>
  <c r="W611" i="1" s="1"/>
  <c r="T611" i="1"/>
  <c r="R611" i="1"/>
  <c r="N611" i="1"/>
  <c r="U610" i="1"/>
  <c r="W610" i="1" s="1"/>
  <c r="T610" i="1"/>
  <c r="R610" i="1"/>
  <c r="N610" i="1"/>
  <c r="U609" i="1"/>
  <c r="W609" i="1" s="1"/>
  <c r="T609" i="1"/>
  <c r="R609" i="1"/>
  <c r="N609" i="1"/>
  <c r="U608" i="1"/>
  <c r="W608" i="1" s="1"/>
  <c r="T608" i="1"/>
  <c r="R608" i="1"/>
  <c r="N608" i="1"/>
  <c r="U607" i="1"/>
  <c r="W607" i="1" s="1"/>
  <c r="T607" i="1"/>
  <c r="R607" i="1"/>
  <c r="N607" i="1"/>
  <c r="U606" i="1"/>
  <c r="W606" i="1" s="1"/>
  <c r="T606" i="1"/>
  <c r="R606" i="1"/>
  <c r="N606" i="1"/>
  <c r="U605" i="1"/>
  <c r="W605" i="1" s="1"/>
  <c r="T605" i="1"/>
  <c r="R605" i="1"/>
  <c r="N605" i="1"/>
  <c r="U604" i="1"/>
  <c r="W604" i="1" s="1"/>
  <c r="T604" i="1"/>
  <c r="R604" i="1"/>
  <c r="N604" i="1"/>
  <c r="U603" i="1"/>
  <c r="W603" i="1" s="1"/>
  <c r="T603" i="1"/>
  <c r="R603" i="1"/>
  <c r="N603" i="1"/>
  <c r="U602" i="1"/>
  <c r="W602" i="1" s="1"/>
  <c r="T602" i="1"/>
  <c r="R602" i="1"/>
  <c r="N602" i="1"/>
  <c r="U601" i="1"/>
  <c r="W601" i="1" s="1"/>
  <c r="T601" i="1"/>
  <c r="R601" i="1"/>
  <c r="N601" i="1"/>
  <c r="U600" i="1"/>
  <c r="W600" i="1" s="1"/>
  <c r="T600" i="1"/>
  <c r="R600" i="1"/>
  <c r="N600" i="1"/>
  <c r="U599" i="1"/>
  <c r="W599" i="1" s="1"/>
  <c r="T599" i="1"/>
  <c r="R599" i="1"/>
  <c r="N599" i="1"/>
  <c r="U598" i="1"/>
  <c r="W598" i="1" s="1"/>
  <c r="T598" i="1"/>
  <c r="R598" i="1"/>
  <c r="N598" i="1"/>
  <c r="U597" i="1"/>
  <c r="W597" i="1" s="1"/>
  <c r="T597" i="1"/>
  <c r="R597" i="1"/>
  <c r="N597" i="1"/>
  <c r="U596" i="1"/>
  <c r="W596" i="1" s="1"/>
  <c r="T596" i="1"/>
  <c r="R596" i="1"/>
  <c r="N596" i="1"/>
  <c r="U595" i="1"/>
  <c r="W595" i="1" s="1"/>
  <c r="T595" i="1"/>
  <c r="R595" i="1"/>
  <c r="N595" i="1"/>
  <c r="U594" i="1"/>
  <c r="W594" i="1" s="1"/>
  <c r="T594" i="1"/>
  <c r="R594" i="1"/>
  <c r="N594" i="1"/>
  <c r="U593" i="1"/>
  <c r="W593" i="1" s="1"/>
  <c r="T593" i="1"/>
  <c r="R593" i="1"/>
  <c r="N593" i="1"/>
  <c r="U592" i="1"/>
  <c r="W592" i="1" s="1"/>
  <c r="T592" i="1"/>
  <c r="R592" i="1"/>
  <c r="N592" i="1"/>
  <c r="U591" i="1"/>
  <c r="W591" i="1" s="1"/>
  <c r="T591" i="1"/>
  <c r="R591" i="1"/>
  <c r="N591" i="1"/>
  <c r="U590" i="1"/>
  <c r="W590" i="1" s="1"/>
  <c r="T590" i="1"/>
  <c r="R590" i="1"/>
  <c r="N590" i="1"/>
  <c r="U589" i="1"/>
  <c r="W589" i="1" s="1"/>
  <c r="T589" i="1"/>
  <c r="R589" i="1"/>
  <c r="N589" i="1"/>
  <c r="U588" i="1"/>
  <c r="W588" i="1" s="1"/>
  <c r="T588" i="1"/>
  <c r="R588" i="1"/>
  <c r="N588" i="1"/>
  <c r="U587" i="1"/>
  <c r="W587" i="1" s="1"/>
  <c r="T587" i="1"/>
  <c r="R587" i="1"/>
  <c r="N587" i="1"/>
  <c r="U586" i="1"/>
  <c r="W586" i="1" s="1"/>
  <c r="T586" i="1"/>
  <c r="R586" i="1"/>
  <c r="N586" i="1"/>
  <c r="U585" i="1"/>
  <c r="W585" i="1" s="1"/>
  <c r="T585" i="1"/>
  <c r="R585" i="1"/>
  <c r="N585" i="1"/>
  <c r="U584" i="1"/>
  <c r="W584" i="1" s="1"/>
  <c r="T584" i="1"/>
  <c r="R584" i="1"/>
  <c r="N584" i="1"/>
  <c r="U583" i="1"/>
  <c r="W583" i="1" s="1"/>
  <c r="T583" i="1"/>
  <c r="R583" i="1"/>
  <c r="N583" i="1"/>
  <c r="U582" i="1"/>
  <c r="W582" i="1" s="1"/>
  <c r="T582" i="1"/>
  <c r="R582" i="1"/>
  <c r="N582" i="1"/>
  <c r="U581" i="1"/>
  <c r="W581" i="1" s="1"/>
  <c r="T581" i="1"/>
  <c r="R581" i="1"/>
  <c r="N581" i="1"/>
  <c r="U580" i="1"/>
  <c r="W580" i="1" s="1"/>
  <c r="T580" i="1"/>
  <c r="R580" i="1"/>
  <c r="N580" i="1"/>
  <c r="U579" i="1"/>
  <c r="W579" i="1" s="1"/>
  <c r="T579" i="1"/>
  <c r="R579" i="1"/>
  <c r="N579" i="1"/>
  <c r="U578" i="1"/>
  <c r="W578" i="1" s="1"/>
  <c r="T578" i="1"/>
  <c r="R578" i="1"/>
  <c r="N578" i="1"/>
  <c r="U577" i="1"/>
  <c r="W577" i="1" s="1"/>
  <c r="T577" i="1"/>
  <c r="R577" i="1"/>
  <c r="N577" i="1"/>
  <c r="U576" i="1"/>
  <c r="W576" i="1" s="1"/>
  <c r="T576" i="1"/>
  <c r="R576" i="1"/>
  <c r="N576" i="1"/>
  <c r="U575" i="1"/>
  <c r="W575" i="1" s="1"/>
  <c r="T575" i="1"/>
  <c r="R575" i="1"/>
  <c r="N575" i="1"/>
  <c r="U574" i="1"/>
  <c r="W574" i="1" s="1"/>
  <c r="T574" i="1"/>
  <c r="R574" i="1"/>
  <c r="N574" i="1"/>
  <c r="U573" i="1"/>
  <c r="W573" i="1" s="1"/>
  <c r="T573" i="1"/>
  <c r="R573" i="1"/>
  <c r="N573" i="1"/>
  <c r="U572" i="1"/>
  <c r="W572" i="1" s="1"/>
  <c r="T572" i="1"/>
  <c r="R572" i="1"/>
  <c r="N572" i="1"/>
  <c r="U571" i="1"/>
  <c r="W571" i="1" s="1"/>
  <c r="T571" i="1"/>
  <c r="R571" i="1"/>
  <c r="N571" i="1"/>
  <c r="U570" i="1"/>
  <c r="W570" i="1" s="1"/>
  <c r="T570" i="1"/>
  <c r="R570" i="1"/>
  <c r="N570" i="1"/>
  <c r="U569" i="1"/>
  <c r="W569" i="1" s="1"/>
  <c r="T569" i="1"/>
  <c r="R569" i="1"/>
  <c r="N569" i="1"/>
  <c r="U568" i="1"/>
  <c r="W568" i="1" s="1"/>
  <c r="T568" i="1"/>
  <c r="R568" i="1"/>
  <c r="N568" i="1"/>
  <c r="U567" i="1"/>
  <c r="W567" i="1" s="1"/>
  <c r="T567" i="1"/>
  <c r="R567" i="1"/>
  <c r="N567" i="1"/>
  <c r="U566" i="1"/>
  <c r="W566" i="1" s="1"/>
  <c r="T566" i="1"/>
  <c r="R566" i="1"/>
  <c r="N566" i="1"/>
  <c r="U565" i="1"/>
  <c r="W565" i="1" s="1"/>
  <c r="T565" i="1"/>
  <c r="R565" i="1"/>
  <c r="N565" i="1"/>
  <c r="U564" i="1"/>
  <c r="W564" i="1" s="1"/>
  <c r="T564" i="1"/>
  <c r="R564" i="1"/>
  <c r="N564" i="1"/>
  <c r="U563" i="1"/>
  <c r="W563" i="1" s="1"/>
  <c r="T563" i="1"/>
  <c r="R563" i="1"/>
  <c r="N563" i="1"/>
  <c r="U562" i="1"/>
  <c r="W562" i="1" s="1"/>
  <c r="T562" i="1"/>
  <c r="R562" i="1"/>
  <c r="N562" i="1"/>
  <c r="U561" i="1"/>
  <c r="W561" i="1" s="1"/>
  <c r="T561" i="1"/>
  <c r="R561" i="1"/>
  <c r="N561" i="1"/>
  <c r="U560" i="1"/>
  <c r="W560" i="1" s="1"/>
  <c r="T560" i="1"/>
  <c r="R560" i="1"/>
  <c r="N560" i="1"/>
  <c r="U559" i="1"/>
  <c r="W559" i="1" s="1"/>
  <c r="T559" i="1"/>
  <c r="R559" i="1"/>
  <c r="N559" i="1"/>
  <c r="U558" i="1"/>
  <c r="W558" i="1" s="1"/>
  <c r="T558" i="1"/>
  <c r="R558" i="1"/>
  <c r="N558" i="1"/>
  <c r="U557" i="1"/>
  <c r="W557" i="1" s="1"/>
  <c r="T557" i="1"/>
  <c r="R557" i="1"/>
  <c r="N557" i="1"/>
  <c r="U556" i="1"/>
  <c r="W556" i="1" s="1"/>
  <c r="T556" i="1"/>
  <c r="R556" i="1"/>
  <c r="N556" i="1"/>
  <c r="U555" i="1"/>
  <c r="W555" i="1" s="1"/>
  <c r="T555" i="1"/>
  <c r="R555" i="1"/>
  <c r="N555" i="1"/>
  <c r="U554" i="1"/>
  <c r="W554" i="1" s="1"/>
  <c r="T554" i="1"/>
  <c r="R554" i="1"/>
  <c r="N554" i="1"/>
  <c r="U553" i="1"/>
  <c r="W553" i="1" s="1"/>
  <c r="T553" i="1"/>
  <c r="R553" i="1"/>
  <c r="N553" i="1"/>
  <c r="U552" i="1"/>
  <c r="W552" i="1" s="1"/>
  <c r="T552" i="1"/>
  <c r="R552" i="1"/>
  <c r="N552" i="1"/>
  <c r="U551" i="1"/>
  <c r="W551" i="1" s="1"/>
  <c r="T551" i="1"/>
  <c r="R551" i="1"/>
  <c r="N551" i="1"/>
  <c r="U550" i="1"/>
  <c r="W550" i="1" s="1"/>
  <c r="T550" i="1"/>
  <c r="R550" i="1"/>
  <c r="N550" i="1"/>
  <c r="U549" i="1"/>
  <c r="W549" i="1" s="1"/>
  <c r="T549" i="1"/>
  <c r="R549" i="1"/>
  <c r="N549" i="1"/>
  <c r="U548" i="1"/>
  <c r="W548" i="1" s="1"/>
  <c r="T548" i="1"/>
  <c r="R548" i="1"/>
  <c r="N548" i="1"/>
  <c r="U547" i="1"/>
  <c r="W547" i="1" s="1"/>
  <c r="T547" i="1"/>
  <c r="R547" i="1"/>
  <c r="N547" i="1"/>
  <c r="U546" i="1"/>
  <c r="W546" i="1" s="1"/>
  <c r="T546" i="1"/>
  <c r="R546" i="1"/>
  <c r="N546" i="1"/>
  <c r="U545" i="1"/>
  <c r="W545" i="1" s="1"/>
  <c r="T545" i="1"/>
  <c r="R545" i="1"/>
  <c r="N545" i="1"/>
  <c r="U544" i="1"/>
  <c r="W544" i="1" s="1"/>
  <c r="T544" i="1"/>
  <c r="R544" i="1"/>
  <c r="N544" i="1"/>
  <c r="U543" i="1"/>
  <c r="W543" i="1" s="1"/>
  <c r="T543" i="1"/>
  <c r="R543" i="1"/>
  <c r="N543" i="1"/>
  <c r="U542" i="1"/>
  <c r="W542" i="1" s="1"/>
  <c r="T542" i="1"/>
  <c r="R542" i="1"/>
  <c r="N542" i="1"/>
  <c r="U541" i="1"/>
  <c r="W541" i="1" s="1"/>
  <c r="T541" i="1"/>
  <c r="R541" i="1"/>
  <c r="N541" i="1"/>
  <c r="U540" i="1"/>
  <c r="W540" i="1" s="1"/>
  <c r="T540" i="1"/>
  <c r="R540" i="1"/>
  <c r="N540" i="1"/>
  <c r="U539" i="1"/>
  <c r="W539" i="1" s="1"/>
  <c r="T539" i="1"/>
  <c r="R539" i="1"/>
  <c r="N539" i="1"/>
  <c r="U538" i="1"/>
  <c r="W538" i="1" s="1"/>
  <c r="T538" i="1"/>
  <c r="R538" i="1"/>
  <c r="N538" i="1"/>
  <c r="U537" i="1"/>
  <c r="W537" i="1" s="1"/>
  <c r="T537" i="1"/>
  <c r="R537" i="1"/>
  <c r="N537" i="1"/>
  <c r="U536" i="1"/>
  <c r="W536" i="1" s="1"/>
  <c r="T536" i="1"/>
  <c r="R536" i="1"/>
  <c r="N536" i="1"/>
  <c r="U535" i="1"/>
  <c r="W535" i="1" s="1"/>
  <c r="T535" i="1"/>
  <c r="R535" i="1"/>
  <c r="N535" i="1"/>
  <c r="U534" i="1"/>
  <c r="W534" i="1" s="1"/>
  <c r="T534" i="1"/>
  <c r="R534" i="1"/>
  <c r="N534" i="1"/>
  <c r="U533" i="1"/>
  <c r="W533" i="1" s="1"/>
  <c r="T533" i="1"/>
  <c r="R533" i="1"/>
  <c r="N533" i="1"/>
  <c r="U532" i="1"/>
  <c r="W532" i="1" s="1"/>
  <c r="T532" i="1"/>
  <c r="R532" i="1"/>
  <c r="N532" i="1"/>
  <c r="U531" i="1"/>
  <c r="W531" i="1" s="1"/>
  <c r="T531" i="1"/>
  <c r="R531" i="1"/>
  <c r="N531" i="1"/>
  <c r="U530" i="1"/>
  <c r="W530" i="1" s="1"/>
  <c r="T530" i="1"/>
  <c r="R530" i="1"/>
  <c r="N530" i="1"/>
  <c r="U529" i="1"/>
  <c r="W529" i="1" s="1"/>
  <c r="T529" i="1"/>
  <c r="R529" i="1"/>
  <c r="N529" i="1"/>
  <c r="U528" i="1"/>
  <c r="W528" i="1" s="1"/>
  <c r="T528" i="1"/>
  <c r="R528" i="1"/>
  <c r="N528" i="1"/>
  <c r="U527" i="1"/>
  <c r="W527" i="1" s="1"/>
  <c r="T527" i="1"/>
  <c r="R527" i="1"/>
  <c r="N527" i="1"/>
  <c r="U526" i="1"/>
  <c r="W526" i="1" s="1"/>
  <c r="T526" i="1"/>
  <c r="R526" i="1"/>
  <c r="N526" i="1"/>
  <c r="U525" i="1"/>
  <c r="W525" i="1" s="1"/>
  <c r="T525" i="1"/>
  <c r="R525" i="1"/>
  <c r="N525" i="1"/>
  <c r="U524" i="1"/>
  <c r="W524" i="1" s="1"/>
  <c r="T524" i="1"/>
  <c r="R524" i="1"/>
  <c r="N524" i="1"/>
  <c r="U523" i="1"/>
  <c r="W523" i="1" s="1"/>
  <c r="T523" i="1"/>
  <c r="R523" i="1"/>
  <c r="N523" i="1"/>
  <c r="U522" i="1"/>
  <c r="W522" i="1" s="1"/>
  <c r="T522" i="1"/>
  <c r="R522" i="1"/>
  <c r="N522" i="1"/>
  <c r="U521" i="1"/>
  <c r="W521" i="1" s="1"/>
  <c r="T521" i="1"/>
  <c r="R521" i="1"/>
  <c r="N521" i="1"/>
  <c r="U520" i="1"/>
  <c r="W520" i="1" s="1"/>
  <c r="T520" i="1"/>
  <c r="R520" i="1"/>
  <c r="N520" i="1"/>
  <c r="U519" i="1"/>
  <c r="W519" i="1" s="1"/>
  <c r="T519" i="1"/>
  <c r="R519" i="1"/>
  <c r="N519" i="1"/>
  <c r="U518" i="1"/>
  <c r="W518" i="1" s="1"/>
  <c r="T518" i="1"/>
  <c r="R518" i="1"/>
  <c r="N518" i="1"/>
  <c r="U517" i="1"/>
  <c r="W517" i="1" s="1"/>
  <c r="T517" i="1"/>
  <c r="R517" i="1"/>
  <c r="N517" i="1"/>
  <c r="U516" i="1"/>
  <c r="W516" i="1" s="1"/>
  <c r="T516" i="1"/>
  <c r="R516" i="1"/>
  <c r="N516" i="1"/>
  <c r="U515" i="1"/>
  <c r="W515" i="1" s="1"/>
  <c r="T515" i="1"/>
  <c r="R515" i="1"/>
  <c r="N515" i="1"/>
  <c r="U514" i="1"/>
  <c r="W514" i="1" s="1"/>
  <c r="T514" i="1"/>
  <c r="R514" i="1"/>
  <c r="N514" i="1"/>
  <c r="U513" i="1"/>
  <c r="W513" i="1" s="1"/>
  <c r="T513" i="1"/>
  <c r="R513" i="1"/>
  <c r="N513" i="1"/>
  <c r="U512" i="1"/>
  <c r="W512" i="1" s="1"/>
  <c r="T512" i="1"/>
  <c r="R512" i="1"/>
  <c r="N512" i="1"/>
  <c r="U511" i="1"/>
  <c r="W511" i="1" s="1"/>
  <c r="T511" i="1"/>
  <c r="R511" i="1"/>
  <c r="N511" i="1"/>
  <c r="U510" i="1"/>
  <c r="W510" i="1" s="1"/>
  <c r="T510" i="1"/>
  <c r="R510" i="1"/>
  <c r="N510" i="1"/>
  <c r="U509" i="1"/>
  <c r="W509" i="1" s="1"/>
  <c r="T509" i="1"/>
  <c r="R509" i="1"/>
  <c r="N509" i="1"/>
  <c r="U508" i="1"/>
  <c r="W508" i="1" s="1"/>
  <c r="T508" i="1"/>
  <c r="R508" i="1"/>
  <c r="N508" i="1"/>
  <c r="U507" i="1"/>
  <c r="W507" i="1" s="1"/>
  <c r="T507" i="1"/>
  <c r="R507" i="1"/>
  <c r="N507" i="1"/>
  <c r="U506" i="1"/>
  <c r="W506" i="1" s="1"/>
  <c r="T506" i="1"/>
  <c r="R506" i="1"/>
  <c r="N506" i="1"/>
  <c r="U505" i="1"/>
  <c r="W505" i="1" s="1"/>
  <c r="T505" i="1"/>
  <c r="R505" i="1"/>
  <c r="N505" i="1"/>
  <c r="U504" i="1"/>
  <c r="W504" i="1" s="1"/>
  <c r="T504" i="1"/>
  <c r="R504" i="1"/>
  <c r="N504" i="1"/>
  <c r="U503" i="1"/>
  <c r="W503" i="1" s="1"/>
  <c r="T503" i="1"/>
  <c r="R503" i="1"/>
  <c r="N503" i="1"/>
  <c r="U502" i="1"/>
  <c r="W502" i="1" s="1"/>
  <c r="T502" i="1"/>
  <c r="R502" i="1"/>
  <c r="N502" i="1"/>
  <c r="U501" i="1"/>
  <c r="W501" i="1" s="1"/>
  <c r="T501" i="1"/>
  <c r="R501" i="1"/>
  <c r="N501" i="1"/>
  <c r="U500" i="1"/>
  <c r="W500" i="1" s="1"/>
  <c r="T500" i="1"/>
  <c r="R500" i="1"/>
  <c r="N500" i="1"/>
  <c r="U499" i="1"/>
  <c r="W499" i="1" s="1"/>
  <c r="T499" i="1"/>
  <c r="R499" i="1"/>
  <c r="N499" i="1"/>
  <c r="U498" i="1"/>
  <c r="W498" i="1" s="1"/>
  <c r="T498" i="1"/>
  <c r="R498" i="1"/>
  <c r="N498" i="1"/>
  <c r="U497" i="1"/>
  <c r="W497" i="1" s="1"/>
  <c r="T497" i="1"/>
  <c r="R497" i="1"/>
  <c r="N497" i="1"/>
  <c r="U496" i="1"/>
  <c r="W496" i="1" s="1"/>
  <c r="T496" i="1"/>
  <c r="R496" i="1"/>
  <c r="N496" i="1"/>
  <c r="U495" i="1"/>
  <c r="W495" i="1" s="1"/>
  <c r="T495" i="1"/>
  <c r="R495" i="1"/>
  <c r="N495" i="1"/>
  <c r="U494" i="1"/>
  <c r="W494" i="1" s="1"/>
  <c r="T494" i="1"/>
  <c r="R494" i="1"/>
  <c r="N494" i="1"/>
  <c r="U493" i="1"/>
  <c r="W493" i="1" s="1"/>
  <c r="T493" i="1"/>
  <c r="R493" i="1"/>
  <c r="N493" i="1"/>
  <c r="U492" i="1"/>
  <c r="W492" i="1" s="1"/>
  <c r="T492" i="1"/>
  <c r="R492" i="1"/>
  <c r="N492" i="1"/>
  <c r="U491" i="1"/>
  <c r="W491" i="1" s="1"/>
  <c r="T491" i="1"/>
  <c r="R491" i="1"/>
  <c r="N491" i="1"/>
  <c r="U490" i="1"/>
  <c r="W490" i="1" s="1"/>
  <c r="T490" i="1"/>
  <c r="R490" i="1"/>
  <c r="N490" i="1"/>
  <c r="U489" i="1"/>
  <c r="W489" i="1" s="1"/>
  <c r="T489" i="1"/>
  <c r="R489" i="1"/>
  <c r="N489" i="1"/>
  <c r="U488" i="1"/>
  <c r="W488" i="1" s="1"/>
  <c r="T488" i="1"/>
  <c r="R488" i="1"/>
  <c r="N488" i="1"/>
  <c r="U487" i="1"/>
  <c r="W487" i="1" s="1"/>
  <c r="T487" i="1"/>
  <c r="R487" i="1"/>
  <c r="N487" i="1"/>
  <c r="U486" i="1"/>
  <c r="W486" i="1" s="1"/>
  <c r="T486" i="1"/>
  <c r="R486" i="1"/>
  <c r="N486" i="1"/>
  <c r="U485" i="1"/>
  <c r="W485" i="1" s="1"/>
  <c r="T485" i="1"/>
  <c r="R485" i="1"/>
  <c r="N485" i="1"/>
  <c r="U484" i="1"/>
  <c r="W484" i="1" s="1"/>
  <c r="T484" i="1"/>
  <c r="R484" i="1"/>
  <c r="N484" i="1"/>
  <c r="U483" i="1"/>
  <c r="W483" i="1" s="1"/>
  <c r="T483" i="1"/>
  <c r="R483" i="1"/>
  <c r="N483" i="1"/>
  <c r="U482" i="1"/>
  <c r="W482" i="1" s="1"/>
  <c r="T482" i="1"/>
  <c r="R482" i="1"/>
  <c r="N482" i="1"/>
  <c r="U481" i="1"/>
  <c r="W481" i="1" s="1"/>
  <c r="T481" i="1"/>
  <c r="R481" i="1"/>
  <c r="N481" i="1"/>
  <c r="U480" i="1"/>
  <c r="W480" i="1" s="1"/>
  <c r="T480" i="1"/>
  <c r="R480" i="1"/>
  <c r="N480" i="1"/>
  <c r="U479" i="1"/>
  <c r="W479" i="1" s="1"/>
  <c r="T479" i="1"/>
  <c r="R479" i="1"/>
  <c r="N479" i="1"/>
  <c r="U478" i="1"/>
  <c r="W478" i="1" s="1"/>
  <c r="T478" i="1"/>
  <c r="R478" i="1"/>
  <c r="N478" i="1"/>
  <c r="U477" i="1"/>
  <c r="W477" i="1" s="1"/>
  <c r="T477" i="1"/>
  <c r="R477" i="1"/>
  <c r="N477" i="1"/>
  <c r="U476" i="1"/>
  <c r="W476" i="1" s="1"/>
  <c r="T476" i="1"/>
  <c r="R476" i="1"/>
  <c r="N476" i="1"/>
  <c r="U475" i="1"/>
  <c r="W475" i="1" s="1"/>
  <c r="T475" i="1"/>
  <c r="R475" i="1"/>
  <c r="N475" i="1"/>
  <c r="U474" i="1"/>
  <c r="W474" i="1" s="1"/>
  <c r="T474" i="1"/>
  <c r="R474" i="1"/>
  <c r="N474" i="1"/>
  <c r="U473" i="1"/>
  <c r="W473" i="1" s="1"/>
  <c r="T473" i="1"/>
  <c r="R473" i="1"/>
  <c r="N473" i="1"/>
  <c r="U472" i="1"/>
  <c r="W472" i="1" s="1"/>
  <c r="T472" i="1"/>
  <c r="R472" i="1"/>
  <c r="N472" i="1"/>
  <c r="U471" i="1"/>
  <c r="W471" i="1" s="1"/>
  <c r="T471" i="1"/>
  <c r="R471" i="1"/>
  <c r="N471" i="1"/>
  <c r="U470" i="1"/>
  <c r="W470" i="1" s="1"/>
  <c r="T470" i="1"/>
  <c r="R470" i="1"/>
  <c r="N470" i="1"/>
  <c r="U469" i="1"/>
  <c r="W469" i="1" s="1"/>
  <c r="T469" i="1"/>
  <c r="R469" i="1"/>
  <c r="N469" i="1"/>
  <c r="U468" i="1"/>
  <c r="W468" i="1" s="1"/>
  <c r="T468" i="1"/>
  <c r="R468" i="1"/>
  <c r="N468" i="1"/>
  <c r="U467" i="1"/>
  <c r="W467" i="1" s="1"/>
  <c r="T467" i="1"/>
  <c r="R467" i="1"/>
  <c r="N467" i="1"/>
  <c r="U466" i="1"/>
  <c r="W466" i="1" s="1"/>
  <c r="T466" i="1"/>
  <c r="R466" i="1"/>
  <c r="N466" i="1"/>
  <c r="U465" i="1"/>
  <c r="W465" i="1" s="1"/>
  <c r="T465" i="1"/>
  <c r="R465" i="1"/>
  <c r="N465" i="1"/>
  <c r="U464" i="1"/>
  <c r="W464" i="1" s="1"/>
  <c r="T464" i="1"/>
  <c r="R464" i="1"/>
  <c r="N464" i="1"/>
  <c r="U463" i="1"/>
  <c r="W463" i="1" s="1"/>
  <c r="T463" i="1"/>
  <c r="R463" i="1"/>
  <c r="N463" i="1"/>
  <c r="U462" i="1"/>
  <c r="W462" i="1" s="1"/>
  <c r="T462" i="1"/>
  <c r="R462" i="1"/>
  <c r="N462" i="1"/>
  <c r="U461" i="1"/>
  <c r="W461" i="1" s="1"/>
  <c r="T461" i="1"/>
  <c r="R461" i="1"/>
  <c r="N461" i="1"/>
  <c r="U460" i="1"/>
  <c r="W460" i="1" s="1"/>
  <c r="T460" i="1"/>
  <c r="R460" i="1"/>
  <c r="N460" i="1"/>
  <c r="U459" i="1"/>
  <c r="W459" i="1" s="1"/>
  <c r="T459" i="1"/>
  <c r="R459" i="1"/>
  <c r="N459" i="1"/>
  <c r="U458" i="1"/>
  <c r="W458" i="1" s="1"/>
  <c r="T458" i="1"/>
  <c r="R458" i="1"/>
  <c r="N458" i="1"/>
  <c r="U457" i="1"/>
  <c r="W457" i="1" s="1"/>
  <c r="T457" i="1"/>
  <c r="R457" i="1"/>
  <c r="N457" i="1"/>
  <c r="U456" i="1"/>
  <c r="W456" i="1" s="1"/>
  <c r="T456" i="1"/>
  <c r="R456" i="1"/>
  <c r="N456" i="1"/>
  <c r="U455" i="1"/>
  <c r="W455" i="1" s="1"/>
  <c r="T455" i="1"/>
  <c r="R455" i="1"/>
  <c r="N455" i="1"/>
  <c r="U454" i="1"/>
  <c r="W454" i="1" s="1"/>
  <c r="T454" i="1"/>
  <c r="R454" i="1"/>
  <c r="N454" i="1"/>
  <c r="U453" i="1"/>
  <c r="W453" i="1" s="1"/>
  <c r="T453" i="1"/>
  <c r="R453" i="1"/>
  <c r="N453" i="1"/>
  <c r="U452" i="1"/>
  <c r="W452" i="1" s="1"/>
  <c r="T452" i="1"/>
  <c r="R452" i="1"/>
  <c r="N452" i="1"/>
  <c r="U451" i="1"/>
  <c r="W451" i="1" s="1"/>
  <c r="T451" i="1"/>
  <c r="R451" i="1"/>
  <c r="N451" i="1"/>
  <c r="U450" i="1"/>
  <c r="W450" i="1" s="1"/>
  <c r="T450" i="1"/>
  <c r="R450" i="1"/>
  <c r="N450" i="1"/>
  <c r="U449" i="1"/>
  <c r="W449" i="1" s="1"/>
  <c r="T449" i="1"/>
  <c r="R449" i="1"/>
  <c r="N449" i="1"/>
  <c r="U448" i="1"/>
  <c r="W448" i="1" s="1"/>
  <c r="T448" i="1"/>
  <c r="R448" i="1"/>
  <c r="N448" i="1"/>
  <c r="U447" i="1"/>
  <c r="W447" i="1" s="1"/>
  <c r="T447" i="1"/>
  <c r="R447" i="1"/>
  <c r="N447" i="1"/>
  <c r="U446" i="1"/>
  <c r="W446" i="1" s="1"/>
  <c r="T446" i="1"/>
  <c r="R446" i="1"/>
  <c r="N446" i="1"/>
  <c r="U445" i="1"/>
  <c r="W445" i="1" s="1"/>
  <c r="T445" i="1"/>
  <c r="R445" i="1"/>
  <c r="N445" i="1"/>
  <c r="U444" i="1"/>
  <c r="W444" i="1" s="1"/>
  <c r="T444" i="1"/>
  <c r="R444" i="1"/>
  <c r="N444" i="1"/>
  <c r="U443" i="1"/>
  <c r="W443" i="1" s="1"/>
  <c r="T443" i="1"/>
  <c r="R443" i="1"/>
  <c r="N443" i="1"/>
  <c r="U442" i="1"/>
  <c r="W442" i="1" s="1"/>
  <c r="T442" i="1"/>
  <c r="R442" i="1"/>
  <c r="N442" i="1"/>
  <c r="U441" i="1"/>
  <c r="W441" i="1" s="1"/>
  <c r="T441" i="1"/>
  <c r="R441" i="1"/>
  <c r="N441" i="1"/>
  <c r="U440" i="1"/>
  <c r="W440" i="1" s="1"/>
  <c r="T440" i="1"/>
  <c r="R440" i="1"/>
  <c r="N440" i="1"/>
  <c r="U439" i="1"/>
  <c r="W439" i="1" s="1"/>
  <c r="T439" i="1"/>
  <c r="R439" i="1"/>
  <c r="N439" i="1"/>
  <c r="U438" i="1"/>
  <c r="W438" i="1" s="1"/>
  <c r="T438" i="1"/>
  <c r="R438" i="1"/>
  <c r="N438" i="1"/>
  <c r="U437" i="1"/>
  <c r="W437" i="1" s="1"/>
  <c r="T437" i="1"/>
  <c r="R437" i="1"/>
  <c r="N437" i="1"/>
  <c r="U436" i="1"/>
  <c r="W436" i="1" s="1"/>
  <c r="T436" i="1"/>
  <c r="R436" i="1"/>
  <c r="N436" i="1"/>
  <c r="U435" i="1"/>
  <c r="W435" i="1" s="1"/>
  <c r="T435" i="1"/>
  <c r="R435" i="1"/>
  <c r="N435" i="1"/>
  <c r="U434" i="1"/>
  <c r="W434" i="1" s="1"/>
  <c r="T434" i="1"/>
  <c r="R434" i="1"/>
  <c r="N434" i="1"/>
  <c r="U433" i="1"/>
  <c r="W433" i="1" s="1"/>
  <c r="T433" i="1"/>
  <c r="R433" i="1"/>
  <c r="N433" i="1"/>
  <c r="U432" i="1"/>
  <c r="W432" i="1" s="1"/>
  <c r="T432" i="1"/>
  <c r="R432" i="1"/>
  <c r="N432" i="1"/>
  <c r="U431" i="1"/>
  <c r="W431" i="1" s="1"/>
  <c r="T431" i="1"/>
  <c r="R431" i="1"/>
  <c r="N431" i="1"/>
  <c r="U430" i="1"/>
  <c r="W430" i="1" s="1"/>
  <c r="T430" i="1"/>
  <c r="R430" i="1"/>
  <c r="N430" i="1"/>
  <c r="U429" i="1"/>
  <c r="W429" i="1" s="1"/>
  <c r="T429" i="1"/>
  <c r="R429" i="1"/>
  <c r="N429" i="1"/>
  <c r="U428" i="1"/>
  <c r="W428" i="1" s="1"/>
  <c r="T428" i="1"/>
  <c r="R428" i="1"/>
  <c r="N428" i="1"/>
  <c r="U427" i="1"/>
  <c r="W427" i="1" s="1"/>
  <c r="T427" i="1"/>
  <c r="R427" i="1"/>
  <c r="N427" i="1"/>
  <c r="U426" i="1"/>
  <c r="W426" i="1" s="1"/>
  <c r="T426" i="1"/>
  <c r="R426" i="1"/>
  <c r="N426" i="1"/>
  <c r="U425" i="1"/>
  <c r="W425" i="1" s="1"/>
  <c r="T425" i="1"/>
  <c r="R425" i="1"/>
  <c r="N425" i="1"/>
  <c r="U424" i="1"/>
  <c r="W424" i="1" s="1"/>
  <c r="T424" i="1"/>
  <c r="R424" i="1"/>
  <c r="N424" i="1"/>
  <c r="U423" i="1"/>
  <c r="W423" i="1" s="1"/>
  <c r="T423" i="1"/>
  <c r="R423" i="1"/>
  <c r="N423" i="1"/>
  <c r="U422" i="1"/>
  <c r="W422" i="1" s="1"/>
  <c r="T422" i="1"/>
  <c r="R422" i="1"/>
  <c r="N422" i="1"/>
  <c r="U421" i="1"/>
  <c r="W421" i="1" s="1"/>
  <c r="T421" i="1"/>
  <c r="R421" i="1"/>
  <c r="N421" i="1"/>
  <c r="U420" i="1"/>
  <c r="W420" i="1" s="1"/>
  <c r="T420" i="1"/>
  <c r="R420" i="1"/>
  <c r="N420" i="1"/>
  <c r="U419" i="1"/>
  <c r="W419" i="1" s="1"/>
  <c r="T419" i="1"/>
  <c r="R419" i="1"/>
  <c r="N419" i="1"/>
  <c r="U418" i="1"/>
  <c r="W418" i="1" s="1"/>
  <c r="T418" i="1"/>
  <c r="R418" i="1"/>
  <c r="N418" i="1"/>
  <c r="U417" i="1"/>
  <c r="W417" i="1" s="1"/>
  <c r="T417" i="1"/>
  <c r="R417" i="1"/>
  <c r="N417" i="1"/>
  <c r="U416" i="1"/>
  <c r="W416" i="1" s="1"/>
  <c r="T416" i="1"/>
  <c r="R416" i="1"/>
  <c r="N416" i="1"/>
  <c r="U415" i="1"/>
  <c r="W415" i="1" s="1"/>
  <c r="T415" i="1"/>
  <c r="R415" i="1"/>
  <c r="N415" i="1"/>
  <c r="U414" i="1"/>
  <c r="W414" i="1" s="1"/>
  <c r="T414" i="1"/>
  <c r="R414" i="1"/>
  <c r="N414" i="1"/>
  <c r="U413" i="1"/>
  <c r="W413" i="1" s="1"/>
  <c r="T413" i="1"/>
  <c r="R413" i="1"/>
  <c r="N413" i="1"/>
  <c r="U412" i="1"/>
  <c r="W412" i="1" s="1"/>
  <c r="T412" i="1"/>
  <c r="R412" i="1"/>
  <c r="N412" i="1"/>
  <c r="U411" i="1"/>
  <c r="W411" i="1" s="1"/>
  <c r="T411" i="1"/>
  <c r="R411" i="1"/>
  <c r="N411" i="1"/>
  <c r="U410" i="1"/>
  <c r="W410" i="1" s="1"/>
  <c r="T410" i="1"/>
  <c r="R410" i="1"/>
  <c r="N410" i="1"/>
  <c r="U409" i="1"/>
  <c r="W409" i="1" s="1"/>
  <c r="T409" i="1"/>
  <c r="R409" i="1"/>
  <c r="N409" i="1"/>
  <c r="U408" i="1"/>
  <c r="W408" i="1" s="1"/>
  <c r="T408" i="1"/>
  <c r="R408" i="1"/>
  <c r="N408" i="1"/>
  <c r="U407" i="1"/>
  <c r="W407" i="1" s="1"/>
  <c r="T407" i="1"/>
  <c r="R407" i="1"/>
  <c r="N407" i="1"/>
  <c r="U406" i="1"/>
  <c r="W406" i="1" s="1"/>
  <c r="T406" i="1"/>
  <c r="R406" i="1"/>
  <c r="N406" i="1"/>
  <c r="U405" i="1"/>
  <c r="W405" i="1" s="1"/>
  <c r="T405" i="1"/>
  <c r="R405" i="1"/>
  <c r="N405" i="1"/>
  <c r="U404" i="1"/>
  <c r="W404" i="1" s="1"/>
  <c r="T404" i="1"/>
  <c r="R404" i="1"/>
  <c r="N404" i="1"/>
  <c r="U403" i="1"/>
  <c r="W403" i="1" s="1"/>
  <c r="T403" i="1"/>
  <c r="R403" i="1"/>
  <c r="N403" i="1"/>
  <c r="U402" i="1"/>
  <c r="W402" i="1" s="1"/>
  <c r="T402" i="1"/>
  <c r="R402" i="1"/>
  <c r="N402" i="1"/>
  <c r="U401" i="1"/>
  <c r="W401" i="1" s="1"/>
  <c r="T401" i="1"/>
  <c r="R401" i="1"/>
  <c r="N401" i="1"/>
  <c r="U400" i="1"/>
  <c r="W400" i="1" s="1"/>
  <c r="T400" i="1"/>
  <c r="R400" i="1"/>
  <c r="N400" i="1"/>
  <c r="U399" i="1"/>
  <c r="W399" i="1" s="1"/>
  <c r="T399" i="1"/>
  <c r="R399" i="1"/>
  <c r="N399" i="1"/>
  <c r="U398" i="1"/>
  <c r="W398" i="1" s="1"/>
  <c r="T398" i="1"/>
  <c r="R398" i="1"/>
  <c r="N398" i="1"/>
  <c r="U397" i="1"/>
  <c r="W397" i="1" s="1"/>
  <c r="T397" i="1"/>
  <c r="R397" i="1"/>
  <c r="N397" i="1"/>
  <c r="U396" i="1"/>
  <c r="W396" i="1" s="1"/>
  <c r="T396" i="1"/>
  <c r="R396" i="1"/>
  <c r="N396" i="1"/>
  <c r="U395" i="1"/>
  <c r="W395" i="1" s="1"/>
  <c r="T395" i="1"/>
  <c r="R395" i="1"/>
  <c r="N395" i="1"/>
  <c r="U394" i="1"/>
  <c r="W394" i="1" s="1"/>
  <c r="T394" i="1"/>
  <c r="R394" i="1"/>
  <c r="N394" i="1"/>
  <c r="U393" i="1"/>
  <c r="W393" i="1" s="1"/>
  <c r="T393" i="1"/>
  <c r="R393" i="1"/>
  <c r="N393" i="1"/>
  <c r="U392" i="1"/>
  <c r="W392" i="1" s="1"/>
  <c r="T392" i="1"/>
  <c r="R392" i="1"/>
  <c r="N392" i="1"/>
  <c r="U391" i="1"/>
  <c r="W391" i="1" s="1"/>
  <c r="T391" i="1"/>
  <c r="R391" i="1"/>
  <c r="N391" i="1"/>
  <c r="U390" i="1"/>
  <c r="W390" i="1" s="1"/>
  <c r="T390" i="1"/>
  <c r="R390" i="1"/>
  <c r="N390" i="1"/>
  <c r="U389" i="1"/>
  <c r="W389" i="1" s="1"/>
  <c r="T389" i="1"/>
  <c r="R389" i="1"/>
  <c r="N389" i="1"/>
  <c r="U388" i="1"/>
  <c r="W388" i="1" s="1"/>
  <c r="T388" i="1"/>
  <c r="R388" i="1"/>
  <c r="N388" i="1"/>
  <c r="U387" i="1"/>
  <c r="W387" i="1" s="1"/>
  <c r="T387" i="1"/>
  <c r="R387" i="1"/>
  <c r="N387" i="1"/>
  <c r="U386" i="1"/>
  <c r="W386" i="1" s="1"/>
  <c r="T386" i="1"/>
  <c r="R386" i="1"/>
  <c r="N386" i="1"/>
  <c r="O386" i="1" s="1"/>
  <c r="U385" i="1"/>
  <c r="W385" i="1" s="1"/>
  <c r="T385" i="1"/>
  <c r="R385" i="1"/>
  <c r="N385" i="1"/>
  <c r="U384" i="1"/>
  <c r="W384" i="1" s="1"/>
  <c r="T384" i="1"/>
  <c r="R384" i="1"/>
  <c r="N384" i="1"/>
  <c r="U383" i="1"/>
  <c r="W383" i="1" s="1"/>
  <c r="T383" i="1"/>
  <c r="R383" i="1"/>
  <c r="N383" i="1"/>
  <c r="U382" i="1"/>
  <c r="W382" i="1" s="1"/>
  <c r="T382" i="1"/>
  <c r="R382" i="1"/>
  <c r="N382" i="1"/>
  <c r="U381" i="1"/>
  <c r="W381" i="1" s="1"/>
  <c r="T381" i="1"/>
  <c r="R381" i="1"/>
  <c r="N381" i="1"/>
  <c r="U380" i="1"/>
  <c r="W380" i="1" s="1"/>
  <c r="T380" i="1"/>
  <c r="R380" i="1"/>
  <c r="N380" i="1"/>
  <c r="U379" i="1"/>
  <c r="W379" i="1" s="1"/>
  <c r="T379" i="1"/>
  <c r="R379" i="1"/>
  <c r="N379" i="1"/>
  <c r="U378" i="1"/>
  <c r="W378" i="1" s="1"/>
  <c r="T378" i="1"/>
  <c r="R378" i="1"/>
  <c r="N378" i="1"/>
  <c r="U377" i="1"/>
  <c r="W377" i="1" s="1"/>
  <c r="T377" i="1"/>
  <c r="R377" i="1"/>
  <c r="N377" i="1"/>
  <c r="U376" i="1"/>
  <c r="W376" i="1" s="1"/>
  <c r="T376" i="1"/>
  <c r="R376" i="1"/>
  <c r="N376" i="1"/>
  <c r="U375" i="1"/>
  <c r="W375" i="1" s="1"/>
  <c r="T375" i="1"/>
  <c r="R375" i="1"/>
  <c r="N375" i="1"/>
  <c r="U374" i="1"/>
  <c r="W374" i="1" s="1"/>
  <c r="T374" i="1"/>
  <c r="R374" i="1"/>
  <c r="N374" i="1"/>
  <c r="U373" i="1"/>
  <c r="W373" i="1" s="1"/>
  <c r="T373" i="1"/>
  <c r="R373" i="1"/>
  <c r="N373" i="1"/>
  <c r="U372" i="1"/>
  <c r="W372" i="1" s="1"/>
  <c r="T372" i="1"/>
  <c r="R372" i="1"/>
  <c r="N372" i="1"/>
  <c r="U371" i="1"/>
  <c r="W371" i="1" s="1"/>
  <c r="T371" i="1"/>
  <c r="R371" i="1"/>
  <c r="N371" i="1"/>
  <c r="U370" i="1"/>
  <c r="W370" i="1" s="1"/>
  <c r="T370" i="1"/>
  <c r="R370" i="1"/>
  <c r="N370" i="1"/>
  <c r="U369" i="1"/>
  <c r="W369" i="1" s="1"/>
  <c r="T369" i="1"/>
  <c r="R369" i="1"/>
  <c r="N369" i="1"/>
  <c r="U368" i="1"/>
  <c r="W368" i="1" s="1"/>
  <c r="T368" i="1"/>
  <c r="R368" i="1"/>
  <c r="N368" i="1"/>
  <c r="U367" i="1"/>
  <c r="W367" i="1" s="1"/>
  <c r="T367" i="1"/>
  <c r="R367" i="1"/>
  <c r="N367" i="1"/>
  <c r="Q367" i="1" s="1"/>
  <c r="U366" i="1"/>
  <c r="W366" i="1" s="1"/>
  <c r="T366" i="1"/>
  <c r="R366" i="1"/>
  <c r="N366" i="1"/>
  <c r="U365" i="1"/>
  <c r="W365" i="1" s="1"/>
  <c r="T365" i="1"/>
  <c r="R365" i="1"/>
  <c r="N365" i="1"/>
  <c r="U364" i="1"/>
  <c r="W364" i="1" s="1"/>
  <c r="T364" i="1"/>
  <c r="R364" i="1"/>
  <c r="N364" i="1"/>
  <c r="U363" i="1"/>
  <c r="W363" i="1" s="1"/>
  <c r="T363" i="1"/>
  <c r="R363" i="1"/>
  <c r="N363" i="1"/>
  <c r="U362" i="1"/>
  <c r="W362" i="1" s="1"/>
  <c r="T362" i="1"/>
  <c r="R362" i="1"/>
  <c r="N362" i="1"/>
  <c r="U361" i="1"/>
  <c r="W361" i="1" s="1"/>
  <c r="T361" i="1"/>
  <c r="R361" i="1"/>
  <c r="N361" i="1"/>
  <c r="U360" i="1"/>
  <c r="W360" i="1" s="1"/>
  <c r="T360" i="1"/>
  <c r="R360" i="1"/>
  <c r="N360" i="1"/>
  <c r="U359" i="1"/>
  <c r="W359" i="1" s="1"/>
  <c r="T359" i="1"/>
  <c r="R359" i="1"/>
  <c r="N359" i="1"/>
  <c r="U358" i="1"/>
  <c r="W358" i="1" s="1"/>
  <c r="T358" i="1"/>
  <c r="R358" i="1"/>
  <c r="N358" i="1"/>
  <c r="U357" i="1"/>
  <c r="W357" i="1" s="1"/>
  <c r="T357" i="1"/>
  <c r="R357" i="1"/>
  <c r="N357" i="1"/>
  <c r="U356" i="1"/>
  <c r="W356" i="1" s="1"/>
  <c r="T356" i="1"/>
  <c r="R356" i="1"/>
  <c r="N356" i="1"/>
  <c r="U355" i="1"/>
  <c r="W355" i="1" s="1"/>
  <c r="T355" i="1"/>
  <c r="R355" i="1"/>
  <c r="N355" i="1"/>
  <c r="U354" i="1"/>
  <c r="W354" i="1" s="1"/>
  <c r="T354" i="1"/>
  <c r="R354" i="1"/>
  <c r="N354" i="1"/>
  <c r="U353" i="1"/>
  <c r="W353" i="1" s="1"/>
  <c r="T353" i="1"/>
  <c r="R353" i="1"/>
  <c r="N353" i="1"/>
  <c r="U352" i="1"/>
  <c r="W352" i="1" s="1"/>
  <c r="T352" i="1"/>
  <c r="R352" i="1"/>
  <c r="N352" i="1"/>
  <c r="U351" i="1"/>
  <c r="W351" i="1" s="1"/>
  <c r="T351" i="1"/>
  <c r="R351" i="1"/>
  <c r="N351" i="1"/>
  <c r="U350" i="1"/>
  <c r="W350" i="1" s="1"/>
  <c r="T350" i="1"/>
  <c r="R350" i="1"/>
  <c r="N350" i="1"/>
  <c r="U349" i="1"/>
  <c r="W349" i="1" s="1"/>
  <c r="T349" i="1"/>
  <c r="R349" i="1"/>
  <c r="N349" i="1"/>
  <c r="U348" i="1"/>
  <c r="W348" i="1" s="1"/>
  <c r="T348" i="1"/>
  <c r="R348" i="1"/>
  <c r="N348" i="1"/>
  <c r="U347" i="1"/>
  <c r="W347" i="1" s="1"/>
  <c r="T347" i="1"/>
  <c r="R347" i="1"/>
  <c r="N347" i="1"/>
  <c r="U346" i="1"/>
  <c r="W346" i="1" s="1"/>
  <c r="T346" i="1"/>
  <c r="R346" i="1"/>
  <c r="N346" i="1"/>
  <c r="U345" i="1"/>
  <c r="W345" i="1" s="1"/>
  <c r="T345" i="1"/>
  <c r="R345" i="1"/>
  <c r="N345" i="1"/>
  <c r="U344" i="1"/>
  <c r="W344" i="1" s="1"/>
  <c r="T344" i="1"/>
  <c r="R344" i="1"/>
  <c r="N344" i="1"/>
  <c r="U343" i="1"/>
  <c r="W343" i="1" s="1"/>
  <c r="T343" i="1"/>
  <c r="R343" i="1"/>
  <c r="N343" i="1"/>
  <c r="U342" i="1"/>
  <c r="W342" i="1" s="1"/>
  <c r="T342" i="1"/>
  <c r="R342" i="1"/>
  <c r="N342" i="1"/>
  <c r="U341" i="1"/>
  <c r="W341" i="1" s="1"/>
  <c r="T341" i="1"/>
  <c r="R341" i="1"/>
  <c r="N341" i="1"/>
  <c r="U340" i="1"/>
  <c r="W340" i="1" s="1"/>
  <c r="T340" i="1"/>
  <c r="R340" i="1"/>
  <c r="N340" i="1"/>
  <c r="U339" i="1"/>
  <c r="W339" i="1" s="1"/>
  <c r="T339" i="1"/>
  <c r="R339" i="1"/>
  <c r="N339" i="1"/>
  <c r="U338" i="1"/>
  <c r="W338" i="1" s="1"/>
  <c r="T338" i="1"/>
  <c r="R338" i="1"/>
  <c r="N338" i="1"/>
  <c r="U337" i="1"/>
  <c r="W337" i="1" s="1"/>
  <c r="T337" i="1"/>
  <c r="R337" i="1"/>
  <c r="N337" i="1"/>
  <c r="U336" i="1"/>
  <c r="W336" i="1" s="1"/>
  <c r="T336" i="1"/>
  <c r="R336" i="1"/>
  <c r="N336" i="1"/>
  <c r="U335" i="1"/>
  <c r="W335" i="1" s="1"/>
  <c r="T335" i="1"/>
  <c r="R335" i="1"/>
  <c r="N335" i="1"/>
  <c r="U334" i="1"/>
  <c r="W334" i="1" s="1"/>
  <c r="T334" i="1"/>
  <c r="R334" i="1"/>
  <c r="N334" i="1"/>
  <c r="U333" i="1"/>
  <c r="W333" i="1" s="1"/>
  <c r="T333" i="1"/>
  <c r="R333" i="1"/>
  <c r="N333" i="1"/>
  <c r="U332" i="1"/>
  <c r="W332" i="1" s="1"/>
  <c r="T332" i="1"/>
  <c r="R332" i="1"/>
  <c r="N332" i="1"/>
  <c r="U331" i="1"/>
  <c r="W331" i="1" s="1"/>
  <c r="T331" i="1"/>
  <c r="R331" i="1"/>
  <c r="N331" i="1"/>
  <c r="U330" i="1"/>
  <c r="W330" i="1" s="1"/>
  <c r="T330" i="1"/>
  <c r="R330" i="1"/>
  <c r="N330" i="1"/>
  <c r="U329" i="1"/>
  <c r="W329" i="1" s="1"/>
  <c r="T329" i="1"/>
  <c r="R329" i="1"/>
  <c r="N329" i="1"/>
  <c r="U328" i="1"/>
  <c r="W328" i="1" s="1"/>
  <c r="T328" i="1"/>
  <c r="R328" i="1"/>
  <c r="N328" i="1"/>
  <c r="U327" i="1"/>
  <c r="W327" i="1" s="1"/>
  <c r="T327" i="1"/>
  <c r="R327" i="1"/>
  <c r="N327" i="1"/>
  <c r="U326" i="1"/>
  <c r="W326" i="1" s="1"/>
  <c r="T326" i="1"/>
  <c r="R326" i="1"/>
  <c r="N326" i="1"/>
  <c r="U325" i="1"/>
  <c r="W325" i="1" s="1"/>
  <c r="T325" i="1"/>
  <c r="R325" i="1"/>
  <c r="N325" i="1"/>
  <c r="U324" i="1"/>
  <c r="W324" i="1" s="1"/>
  <c r="T324" i="1"/>
  <c r="R324" i="1"/>
  <c r="N324" i="1"/>
  <c r="U323" i="1"/>
  <c r="W323" i="1" s="1"/>
  <c r="T323" i="1"/>
  <c r="R323" i="1"/>
  <c r="N323" i="1"/>
  <c r="U322" i="1"/>
  <c r="W322" i="1" s="1"/>
  <c r="T322" i="1"/>
  <c r="R322" i="1"/>
  <c r="N322" i="1"/>
  <c r="U321" i="1"/>
  <c r="W321" i="1" s="1"/>
  <c r="T321" i="1"/>
  <c r="R321" i="1"/>
  <c r="N321" i="1"/>
  <c r="U320" i="1"/>
  <c r="W320" i="1" s="1"/>
  <c r="T320" i="1"/>
  <c r="R320" i="1"/>
  <c r="N320" i="1"/>
  <c r="U319" i="1"/>
  <c r="W319" i="1" s="1"/>
  <c r="T319" i="1"/>
  <c r="R319" i="1"/>
  <c r="N319" i="1"/>
  <c r="U318" i="1"/>
  <c r="W318" i="1" s="1"/>
  <c r="T318" i="1"/>
  <c r="R318" i="1"/>
  <c r="N318" i="1"/>
  <c r="U317" i="1"/>
  <c r="W317" i="1" s="1"/>
  <c r="T317" i="1"/>
  <c r="R317" i="1"/>
  <c r="N317" i="1"/>
  <c r="U316" i="1"/>
  <c r="W316" i="1" s="1"/>
  <c r="T316" i="1"/>
  <c r="R316" i="1"/>
  <c r="N316" i="1"/>
  <c r="U315" i="1"/>
  <c r="W315" i="1" s="1"/>
  <c r="T315" i="1"/>
  <c r="R315" i="1"/>
  <c r="N315" i="1"/>
  <c r="U314" i="1"/>
  <c r="W314" i="1" s="1"/>
  <c r="T314" i="1"/>
  <c r="R314" i="1"/>
  <c r="N314" i="1"/>
  <c r="U313" i="1"/>
  <c r="W313" i="1" s="1"/>
  <c r="T313" i="1"/>
  <c r="R313" i="1"/>
  <c r="N313" i="1"/>
  <c r="U312" i="1"/>
  <c r="W312" i="1" s="1"/>
  <c r="T312" i="1"/>
  <c r="R312" i="1"/>
  <c r="N312" i="1"/>
  <c r="U311" i="1"/>
  <c r="W311" i="1" s="1"/>
  <c r="T311" i="1"/>
  <c r="R311" i="1"/>
  <c r="N311" i="1"/>
  <c r="U310" i="1"/>
  <c r="W310" i="1" s="1"/>
  <c r="T310" i="1"/>
  <c r="R310" i="1"/>
  <c r="N310" i="1"/>
  <c r="U309" i="1"/>
  <c r="W309" i="1" s="1"/>
  <c r="T309" i="1"/>
  <c r="R309" i="1"/>
  <c r="N309" i="1"/>
  <c r="U308" i="1"/>
  <c r="W308" i="1" s="1"/>
  <c r="T308" i="1"/>
  <c r="R308" i="1"/>
  <c r="N308" i="1"/>
  <c r="U307" i="1"/>
  <c r="W307" i="1" s="1"/>
  <c r="T307" i="1"/>
  <c r="R307" i="1"/>
  <c r="N307" i="1"/>
  <c r="U306" i="1"/>
  <c r="W306" i="1" s="1"/>
  <c r="T306" i="1"/>
  <c r="R306" i="1"/>
  <c r="N306" i="1"/>
  <c r="U305" i="1"/>
  <c r="W305" i="1" s="1"/>
  <c r="T305" i="1"/>
  <c r="R305" i="1"/>
  <c r="N305" i="1"/>
  <c r="U304" i="1"/>
  <c r="W304" i="1" s="1"/>
  <c r="T304" i="1"/>
  <c r="R304" i="1"/>
  <c r="N304" i="1"/>
  <c r="U303" i="1"/>
  <c r="W303" i="1" s="1"/>
  <c r="T303" i="1"/>
  <c r="R303" i="1"/>
  <c r="N303" i="1"/>
  <c r="U302" i="1"/>
  <c r="W302" i="1" s="1"/>
  <c r="T302" i="1"/>
  <c r="R302" i="1"/>
  <c r="N302" i="1"/>
  <c r="U301" i="1"/>
  <c r="W301" i="1" s="1"/>
  <c r="T301" i="1"/>
  <c r="R301" i="1"/>
  <c r="N301" i="1"/>
  <c r="U300" i="1"/>
  <c r="W300" i="1" s="1"/>
  <c r="T300" i="1"/>
  <c r="R300" i="1"/>
  <c r="N300" i="1"/>
  <c r="U299" i="1"/>
  <c r="W299" i="1" s="1"/>
  <c r="T299" i="1"/>
  <c r="R299" i="1"/>
  <c r="N299" i="1"/>
  <c r="U298" i="1"/>
  <c r="W298" i="1" s="1"/>
  <c r="T298" i="1"/>
  <c r="R298" i="1"/>
  <c r="N298" i="1"/>
  <c r="U297" i="1"/>
  <c r="W297" i="1" s="1"/>
  <c r="T297" i="1"/>
  <c r="R297" i="1"/>
  <c r="N297" i="1"/>
  <c r="U296" i="1"/>
  <c r="W296" i="1" s="1"/>
  <c r="T296" i="1"/>
  <c r="R296" i="1"/>
  <c r="N296" i="1"/>
  <c r="U295" i="1"/>
  <c r="W295" i="1" s="1"/>
  <c r="T295" i="1"/>
  <c r="R295" i="1"/>
  <c r="N295" i="1"/>
  <c r="U294" i="1"/>
  <c r="W294" i="1" s="1"/>
  <c r="T294" i="1"/>
  <c r="R294" i="1"/>
  <c r="N294" i="1"/>
  <c r="U293" i="1"/>
  <c r="W293" i="1" s="1"/>
  <c r="T293" i="1"/>
  <c r="R293" i="1"/>
  <c r="N293" i="1"/>
  <c r="U292" i="1"/>
  <c r="W292" i="1" s="1"/>
  <c r="T292" i="1"/>
  <c r="R292" i="1"/>
  <c r="N292" i="1"/>
  <c r="U291" i="1"/>
  <c r="W291" i="1" s="1"/>
  <c r="T291" i="1"/>
  <c r="R291" i="1"/>
  <c r="N291" i="1"/>
  <c r="U290" i="1"/>
  <c r="W290" i="1" s="1"/>
  <c r="T290" i="1"/>
  <c r="R290" i="1"/>
  <c r="N290" i="1"/>
  <c r="U289" i="1"/>
  <c r="W289" i="1" s="1"/>
  <c r="T289" i="1"/>
  <c r="R289" i="1"/>
  <c r="N289" i="1"/>
  <c r="U288" i="1"/>
  <c r="T288" i="1"/>
  <c r="V288" i="1" s="1"/>
  <c r="R288" i="1"/>
  <c r="N288" i="1"/>
  <c r="U287" i="1"/>
  <c r="W287" i="1" s="1"/>
  <c r="T287" i="1"/>
  <c r="R287" i="1"/>
  <c r="N287" i="1"/>
  <c r="U286" i="1"/>
  <c r="W286" i="1" s="1"/>
  <c r="T286" i="1"/>
  <c r="R286" i="1"/>
  <c r="N286" i="1"/>
  <c r="U285" i="1"/>
  <c r="W285" i="1" s="1"/>
  <c r="T285" i="1"/>
  <c r="R285" i="1"/>
  <c r="N285" i="1"/>
  <c r="U284" i="1"/>
  <c r="W284" i="1" s="1"/>
  <c r="T284" i="1"/>
  <c r="R284" i="1"/>
  <c r="N284" i="1"/>
  <c r="U283" i="1"/>
  <c r="W283" i="1" s="1"/>
  <c r="T283" i="1"/>
  <c r="R283" i="1"/>
  <c r="N283" i="1"/>
  <c r="U282" i="1"/>
  <c r="W282" i="1" s="1"/>
  <c r="T282" i="1"/>
  <c r="R282" i="1"/>
  <c r="N282" i="1"/>
  <c r="U281" i="1"/>
  <c r="W281" i="1" s="1"/>
  <c r="T281" i="1"/>
  <c r="R281" i="1"/>
  <c r="N281" i="1"/>
  <c r="U280" i="1"/>
  <c r="W280" i="1" s="1"/>
  <c r="T280" i="1"/>
  <c r="R280" i="1"/>
  <c r="N280" i="1"/>
  <c r="U279" i="1"/>
  <c r="W279" i="1" s="1"/>
  <c r="T279" i="1"/>
  <c r="R279" i="1"/>
  <c r="N279" i="1"/>
  <c r="U278" i="1"/>
  <c r="W278" i="1" s="1"/>
  <c r="T278" i="1"/>
  <c r="R278" i="1"/>
  <c r="N278" i="1"/>
  <c r="U277" i="1"/>
  <c r="W277" i="1" s="1"/>
  <c r="T277" i="1"/>
  <c r="R277" i="1"/>
  <c r="N277" i="1"/>
  <c r="U276" i="1"/>
  <c r="W276" i="1" s="1"/>
  <c r="T276" i="1"/>
  <c r="R276" i="1"/>
  <c r="N276" i="1"/>
  <c r="U275" i="1"/>
  <c r="W275" i="1" s="1"/>
  <c r="T275" i="1"/>
  <c r="R275" i="1"/>
  <c r="N275" i="1"/>
  <c r="U274" i="1"/>
  <c r="W274" i="1" s="1"/>
  <c r="T274" i="1"/>
  <c r="R274" i="1"/>
  <c r="N274" i="1"/>
  <c r="U273" i="1"/>
  <c r="W273" i="1" s="1"/>
  <c r="T273" i="1"/>
  <c r="R273" i="1"/>
  <c r="N273" i="1"/>
  <c r="U272" i="1"/>
  <c r="W272" i="1" s="1"/>
  <c r="T272" i="1"/>
  <c r="R272" i="1"/>
  <c r="N272" i="1"/>
  <c r="U271" i="1"/>
  <c r="W271" i="1" s="1"/>
  <c r="T271" i="1"/>
  <c r="R271" i="1"/>
  <c r="N271" i="1"/>
  <c r="U270" i="1"/>
  <c r="W270" i="1" s="1"/>
  <c r="T270" i="1"/>
  <c r="R270" i="1"/>
  <c r="N270" i="1"/>
  <c r="U269" i="1"/>
  <c r="W269" i="1" s="1"/>
  <c r="T269" i="1"/>
  <c r="R269" i="1"/>
  <c r="N269" i="1"/>
  <c r="U268" i="1"/>
  <c r="W268" i="1" s="1"/>
  <c r="T268" i="1"/>
  <c r="R268" i="1"/>
  <c r="N268" i="1"/>
  <c r="U267" i="1"/>
  <c r="W267" i="1" s="1"/>
  <c r="T267" i="1"/>
  <c r="R267" i="1"/>
  <c r="N267" i="1"/>
  <c r="U266" i="1"/>
  <c r="W266" i="1" s="1"/>
  <c r="T266" i="1"/>
  <c r="R266" i="1"/>
  <c r="N266" i="1"/>
  <c r="U265" i="1"/>
  <c r="W265" i="1" s="1"/>
  <c r="T265" i="1"/>
  <c r="R265" i="1"/>
  <c r="N265" i="1"/>
  <c r="U264" i="1"/>
  <c r="W264" i="1" s="1"/>
  <c r="T264" i="1"/>
  <c r="R264" i="1"/>
  <c r="N264" i="1"/>
  <c r="U263" i="1"/>
  <c r="W263" i="1" s="1"/>
  <c r="T263" i="1"/>
  <c r="R263" i="1"/>
  <c r="N263" i="1"/>
  <c r="U262" i="1"/>
  <c r="W262" i="1" s="1"/>
  <c r="T262" i="1"/>
  <c r="R262" i="1"/>
  <c r="N262" i="1"/>
  <c r="U261" i="1"/>
  <c r="W261" i="1" s="1"/>
  <c r="T261" i="1"/>
  <c r="R261" i="1"/>
  <c r="N261" i="1"/>
  <c r="U260" i="1"/>
  <c r="W260" i="1" s="1"/>
  <c r="T260" i="1"/>
  <c r="R260" i="1"/>
  <c r="N260" i="1"/>
  <c r="U259" i="1"/>
  <c r="W259" i="1" s="1"/>
  <c r="T259" i="1"/>
  <c r="R259" i="1"/>
  <c r="N259" i="1"/>
  <c r="U258" i="1"/>
  <c r="W258" i="1" s="1"/>
  <c r="T258" i="1"/>
  <c r="R258" i="1"/>
  <c r="N258" i="1"/>
  <c r="U257" i="1"/>
  <c r="W257" i="1" s="1"/>
  <c r="T257" i="1"/>
  <c r="R257" i="1"/>
  <c r="N257" i="1"/>
  <c r="U256" i="1"/>
  <c r="W256" i="1" s="1"/>
  <c r="T256" i="1"/>
  <c r="R256" i="1"/>
  <c r="N256" i="1"/>
  <c r="U255" i="1"/>
  <c r="W255" i="1" s="1"/>
  <c r="T255" i="1"/>
  <c r="R255" i="1"/>
  <c r="N255" i="1"/>
  <c r="U254" i="1"/>
  <c r="W254" i="1" s="1"/>
  <c r="T254" i="1"/>
  <c r="R254" i="1"/>
  <c r="N254" i="1"/>
  <c r="U253" i="1"/>
  <c r="W253" i="1" s="1"/>
  <c r="T253" i="1"/>
  <c r="R253" i="1"/>
  <c r="N253" i="1"/>
  <c r="U252" i="1"/>
  <c r="W252" i="1" s="1"/>
  <c r="T252" i="1"/>
  <c r="R252" i="1"/>
  <c r="N252" i="1"/>
  <c r="U251" i="1"/>
  <c r="W251" i="1" s="1"/>
  <c r="T251" i="1"/>
  <c r="R251" i="1"/>
  <c r="N251" i="1"/>
  <c r="U250" i="1"/>
  <c r="W250" i="1" s="1"/>
  <c r="T250" i="1"/>
  <c r="R250" i="1"/>
  <c r="N250" i="1"/>
  <c r="U249" i="1"/>
  <c r="W249" i="1" s="1"/>
  <c r="T249" i="1"/>
  <c r="R249" i="1"/>
  <c r="N249" i="1"/>
  <c r="U248" i="1"/>
  <c r="W248" i="1" s="1"/>
  <c r="T248" i="1"/>
  <c r="R248" i="1"/>
  <c r="N248" i="1"/>
  <c r="U247" i="1"/>
  <c r="W247" i="1" s="1"/>
  <c r="T247" i="1"/>
  <c r="R247" i="1"/>
  <c r="N247" i="1"/>
  <c r="U246" i="1"/>
  <c r="W246" i="1" s="1"/>
  <c r="T246" i="1"/>
  <c r="R246" i="1"/>
  <c r="N246" i="1"/>
  <c r="U245" i="1"/>
  <c r="W245" i="1" s="1"/>
  <c r="T245" i="1"/>
  <c r="R245" i="1"/>
  <c r="N245" i="1"/>
  <c r="U244" i="1"/>
  <c r="W244" i="1" s="1"/>
  <c r="T244" i="1"/>
  <c r="R244" i="1"/>
  <c r="N244" i="1"/>
  <c r="U243" i="1"/>
  <c r="W243" i="1" s="1"/>
  <c r="T243" i="1"/>
  <c r="R243" i="1"/>
  <c r="N243" i="1"/>
  <c r="U242" i="1"/>
  <c r="W242" i="1" s="1"/>
  <c r="T242" i="1"/>
  <c r="R242" i="1"/>
  <c r="N242" i="1"/>
  <c r="U241" i="1"/>
  <c r="W241" i="1" s="1"/>
  <c r="T241" i="1"/>
  <c r="R241" i="1"/>
  <c r="N241" i="1"/>
  <c r="U240" i="1"/>
  <c r="W240" i="1" s="1"/>
  <c r="T240" i="1"/>
  <c r="R240" i="1"/>
  <c r="N240" i="1"/>
  <c r="U239" i="1"/>
  <c r="W239" i="1" s="1"/>
  <c r="T239" i="1"/>
  <c r="R239" i="1"/>
  <c r="N239" i="1"/>
  <c r="U238" i="1"/>
  <c r="W238" i="1" s="1"/>
  <c r="T238" i="1"/>
  <c r="R238" i="1"/>
  <c r="N238" i="1"/>
  <c r="U237" i="1"/>
  <c r="W237" i="1" s="1"/>
  <c r="T237" i="1"/>
  <c r="R237" i="1"/>
  <c r="N237" i="1"/>
  <c r="U236" i="1"/>
  <c r="W236" i="1" s="1"/>
  <c r="T236" i="1"/>
  <c r="R236" i="1"/>
  <c r="N236" i="1"/>
  <c r="U235" i="1"/>
  <c r="W235" i="1" s="1"/>
  <c r="T235" i="1"/>
  <c r="R235" i="1"/>
  <c r="N235" i="1"/>
  <c r="U234" i="1"/>
  <c r="W234" i="1" s="1"/>
  <c r="T234" i="1"/>
  <c r="R234" i="1"/>
  <c r="N234" i="1"/>
  <c r="U233" i="1"/>
  <c r="W233" i="1" s="1"/>
  <c r="T233" i="1"/>
  <c r="R233" i="1"/>
  <c r="N233" i="1"/>
  <c r="U232" i="1"/>
  <c r="W232" i="1" s="1"/>
  <c r="T232" i="1"/>
  <c r="R232" i="1"/>
  <c r="N232" i="1"/>
  <c r="U231" i="1"/>
  <c r="W231" i="1" s="1"/>
  <c r="T231" i="1"/>
  <c r="R231" i="1"/>
  <c r="N231" i="1"/>
  <c r="U230" i="1"/>
  <c r="W230" i="1" s="1"/>
  <c r="T230" i="1"/>
  <c r="R230" i="1"/>
  <c r="N230" i="1"/>
  <c r="U229" i="1"/>
  <c r="W229" i="1" s="1"/>
  <c r="T229" i="1"/>
  <c r="R229" i="1"/>
  <c r="N229" i="1"/>
  <c r="U228" i="1"/>
  <c r="W228" i="1" s="1"/>
  <c r="T228" i="1"/>
  <c r="R228" i="1"/>
  <c r="N228" i="1"/>
  <c r="U227" i="1"/>
  <c r="W227" i="1" s="1"/>
  <c r="T227" i="1"/>
  <c r="R227" i="1"/>
  <c r="N227" i="1"/>
  <c r="U226" i="1"/>
  <c r="W226" i="1" s="1"/>
  <c r="T226" i="1"/>
  <c r="R226" i="1"/>
  <c r="N226" i="1"/>
  <c r="U225" i="1"/>
  <c r="W225" i="1" s="1"/>
  <c r="T225" i="1"/>
  <c r="R225" i="1"/>
  <c r="N225" i="1"/>
  <c r="U224" i="1"/>
  <c r="W224" i="1" s="1"/>
  <c r="T224" i="1"/>
  <c r="R224" i="1"/>
  <c r="N224" i="1"/>
  <c r="U223" i="1"/>
  <c r="W223" i="1" s="1"/>
  <c r="T223" i="1"/>
  <c r="R223" i="1"/>
  <c r="N223" i="1"/>
  <c r="U222" i="1"/>
  <c r="W222" i="1" s="1"/>
  <c r="T222" i="1"/>
  <c r="R222" i="1"/>
  <c r="N222" i="1"/>
  <c r="U221" i="1"/>
  <c r="W221" i="1" s="1"/>
  <c r="T221" i="1"/>
  <c r="R221" i="1"/>
  <c r="N221" i="1"/>
  <c r="U220" i="1"/>
  <c r="W220" i="1" s="1"/>
  <c r="T220" i="1"/>
  <c r="R220" i="1"/>
  <c r="N220" i="1"/>
  <c r="U219" i="1"/>
  <c r="W219" i="1" s="1"/>
  <c r="T219" i="1"/>
  <c r="R219" i="1"/>
  <c r="N219" i="1"/>
  <c r="U218" i="1"/>
  <c r="W218" i="1" s="1"/>
  <c r="T218" i="1"/>
  <c r="R218" i="1"/>
  <c r="N218" i="1"/>
  <c r="U217" i="1"/>
  <c r="W217" i="1" s="1"/>
  <c r="T217" i="1"/>
  <c r="R217" i="1"/>
  <c r="N217" i="1"/>
  <c r="U216" i="1"/>
  <c r="W216" i="1" s="1"/>
  <c r="T216" i="1"/>
  <c r="R216" i="1"/>
  <c r="N216" i="1"/>
  <c r="U215" i="1"/>
  <c r="W215" i="1" s="1"/>
  <c r="T215" i="1"/>
  <c r="R215" i="1"/>
  <c r="N215" i="1"/>
  <c r="U214" i="1"/>
  <c r="W214" i="1" s="1"/>
  <c r="T214" i="1"/>
  <c r="R214" i="1"/>
  <c r="N214" i="1"/>
  <c r="U213" i="1"/>
  <c r="W213" i="1" s="1"/>
  <c r="T213" i="1"/>
  <c r="R213" i="1"/>
  <c r="N213" i="1"/>
  <c r="U212" i="1"/>
  <c r="W212" i="1" s="1"/>
  <c r="T212" i="1"/>
  <c r="R212" i="1"/>
  <c r="N212" i="1"/>
  <c r="U211" i="1"/>
  <c r="W211" i="1" s="1"/>
  <c r="T211" i="1"/>
  <c r="R211" i="1"/>
  <c r="N211" i="1"/>
  <c r="U210" i="1"/>
  <c r="W210" i="1" s="1"/>
  <c r="T210" i="1"/>
  <c r="R210" i="1"/>
  <c r="N210" i="1"/>
  <c r="U209" i="1"/>
  <c r="W209" i="1" s="1"/>
  <c r="T209" i="1"/>
  <c r="R209" i="1"/>
  <c r="N209" i="1"/>
  <c r="U208" i="1"/>
  <c r="W208" i="1" s="1"/>
  <c r="T208" i="1"/>
  <c r="R208" i="1"/>
  <c r="N208" i="1"/>
  <c r="U207" i="1"/>
  <c r="W207" i="1" s="1"/>
  <c r="T207" i="1"/>
  <c r="R207" i="1"/>
  <c r="N207" i="1"/>
  <c r="U206" i="1"/>
  <c r="W206" i="1" s="1"/>
  <c r="T206" i="1"/>
  <c r="R206" i="1"/>
  <c r="N206" i="1"/>
  <c r="U205" i="1"/>
  <c r="W205" i="1" s="1"/>
  <c r="T205" i="1"/>
  <c r="R205" i="1"/>
  <c r="N205" i="1"/>
  <c r="U204" i="1"/>
  <c r="W204" i="1" s="1"/>
  <c r="T204" i="1"/>
  <c r="R204" i="1"/>
  <c r="N204" i="1"/>
  <c r="U203" i="1"/>
  <c r="W203" i="1" s="1"/>
  <c r="T203" i="1"/>
  <c r="R203" i="1"/>
  <c r="N203" i="1"/>
  <c r="U202" i="1"/>
  <c r="W202" i="1" s="1"/>
  <c r="T202" i="1"/>
  <c r="R202" i="1"/>
  <c r="N202" i="1"/>
  <c r="U201" i="1"/>
  <c r="W201" i="1" s="1"/>
  <c r="T201" i="1"/>
  <c r="R201" i="1"/>
  <c r="N201" i="1"/>
  <c r="U200" i="1"/>
  <c r="W200" i="1" s="1"/>
  <c r="T200" i="1"/>
  <c r="R200" i="1"/>
  <c r="N200" i="1"/>
  <c r="U199" i="1"/>
  <c r="W199" i="1" s="1"/>
  <c r="T199" i="1"/>
  <c r="R199" i="1"/>
  <c r="N199" i="1"/>
  <c r="U198" i="1"/>
  <c r="W198" i="1" s="1"/>
  <c r="T198" i="1"/>
  <c r="R198" i="1"/>
  <c r="N198" i="1"/>
  <c r="U197" i="1"/>
  <c r="W197" i="1" s="1"/>
  <c r="T197" i="1"/>
  <c r="R197" i="1"/>
  <c r="N197" i="1"/>
  <c r="U196" i="1"/>
  <c r="W196" i="1" s="1"/>
  <c r="T196" i="1"/>
  <c r="R196" i="1"/>
  <c r="N196" i="1"/>
  <c r="U195" i="1"/>
  <c r="W195" i="1" s="1"/>
  <c r="T195" i="1"/>
  <c r="R195" i="1"/>
  <c r="N195" i="1"/>
  <c r="U194" i="1"/>
  <c r="W194" i="1" s="1"/>
  <c r="T194" i="1"/>
  <c r="R194" i="1"/>
  <c r="N194" i="1"/>
  <c r="U193" i="1"/>
  <c r="W193" i="1" s="1"/>
  <c r="T193" i="1"/>
  <c r="R193" i="1"/>
  <c r="N193" i="1"/>
  <c r="U192" i="1"/>
  <c r="W192" i="1" s="1"/>
  <c r="T192" i="1"/>
  <c r="R192" i="1"/>
  <c r="N192" i="1"/>
  <c r="U191" i="1"/>
  <c r="W191" i="1" s="1"/>
  <c r="T191" i="1"/>
  <c r="R191" i="1"/>
  <c r="N191" i="1"/>
  <c r="U190" i="1"/>
  <c r="W190" i="1" s="1"/>
  <c r="T190" i="1"/>
  <c r="R190" i="1"/>
  <c r="N190" i="1"/>
  <c r="U189" i="1"/>
  <c r="W189" i="1" s="1"/>
  <c r="T189" i="1"/>
  <c r="R189" i="1"/>
  <c r="N189" i="1"/>
  <c r="U188" i="1"/>
  <c r="W188" i="1" s="1"/>
  <c r="T188" i="1"/>
  <c r="R188" i="1"/>
  <c r="N188" i="1"/>
  <c r="U187" i="1"/>
  <c r="W187" i="1" s="1"/>
  <c r="T187" i="1"/>
  <c r="R187" i="1"/>
  <c r="N187" i="1"/>
  <c r="U186" i="1"/>
  <c r="W186" i="1" s="1"/>
  <c r="T186" i="1"/>
  <c r="R186" i="1"/>
  <c r="N186" i="1"/>
  <c r="U185" i="1"/>
  <c r="W185" i="1" s="1"/>
  <c r="T185" i="1"/>
  <c r="R185" i="1"/>
  <c r="N185" i="1"/>
  <c r="U184" i="1"/>
  <c r="W184" i="1" s="1"/>
  <c r="T184" i="1"/>
  <c r="R184" i="1"/>
  <c r="N184" i="1"/>
  <c r="U183" i="1"/>
  <c r="W183" i="1" s="1"/>
  <c r="T183" i="1"/>
  <c r="R183" i="1"/>
  <c r="N183" i="1"/>
  <c r="U182" i="1"/>
  <c r="W182" i="1" s="1"/>
  <c r="T182" i="1"/>
  <c r="R182" i="1"/>
  <c r="N182" i="1"/>
  <c r="U181" i="1"/>
  <c r="W181" i="1" s="1"/>
  <c r="T181" i="1"/>
  <c r="R181" i="1"/>
  <c r="N181" i="1"/>
  <c r="U180" i="1"/>
  <c r="W180" i="1" s="1"/>
  <c r="T180" i="1"/>
  <c r="R180" i="1"/>
  <c r="N180" i="1"/>
  <c r="U179" i="1"/>
  <c r="W179" i="1" s="1"/>
  <c r="T179" i="1"/>
  <c r="R179" i="1"/>
  <c r="N179" i="1"/>
  <c r="U178" i="1"/>
  <c r="W178" i="1" s="1"/>
  <c r="T178" i="1"/>
  <c r="R178" i="1"/>
  <c r="N178" i="1"/>
  <c r="U177" i="1"/>
  <c r="W177" i="1" s="1"/>
  <c r="T177" i="1"/>
  <c r="R177" i="1"/>
  <c r="N177" i="1"/>
  <c r="U176" i="1"/>
  <c r="W176" i="1" s="1"/>
  <c r="T176" i="1"/>
  <c r="R176" i="1"/>
  <c r="N176" i="1"/>
  <c r="U175" i="1"/>
  <c r="W175" i="1" s="1"/>
  <c r="T175" i="1"/>
  <c r="R175" i="1"/>
  <c r="N175" i="1"/>
  <c r="U174" i="1"/>
  <c r="W174" i="1" s="1"/>
  <c r="T174" i="1"/>
  <c r="R174" i="1"/>
  <c r="N174" i="1"/>
  <c r="U173" i="1"/>
  <c r="W173" i="1" s="1"/>
  <c r="T173" i="1"/>
  <c r="R173" i="1"/>
  <c r="N173" i="1"/>
  <c r="U172" i="1"/>
  <c r="W172" i="1" s="1"/>
  <c r="T172" i="1"/>
  <c r="R172" i="1"/>
  <c r="N172" i="1"/>
  <c r="U171" i="1"/>
  <c r="W171" i="1" s="1"/>
  <c r="T171" i="1"/>
  <c r="R171" i="1"/>
  <c r="N171" i="1"/>
  <c r="U170" i="1"/>
  <c r="W170" i="1" s="1"/>
  <c r="T170" i="1"/>
  <c r="R170" i="1"/>
  <c r="N170" i="1"/>
  <c r="U169" i="1"/>
  <c r="W169" i="1" s="1"/>
  <c r="T169" i="1"/>
  <c r="R169" i="1"/>
  <c r="N169" i="1"/>
  <c r="U168" i="1"/>
  <c r="W168" i="1" s="1"/>
  <c r="T168" i="1"/>
  <c r="R168" i="1"/>
  <c r="N168" i="1"/>
  <c r="U167" i="1"/>
  <c r="W167" i="1" s="1"/>
  <c r="T167" i="1"/>
  <c r="R167" i="1"/>
  <c r="N167" i="1"/>
  <c r="U166" i="1"/>
  <c r="W166" i="1" s="1"/>
  <c r="T166" i="1"/>
  <c r="R166" i="1"/>
  <c r="N166" i="1"/>
  <c r="U165" i="1"/>
  <c r="W165" i="1" s="1"/>
  <c r="T165" i="1"/>
  <c r="R165" i="1"/>
  <c r="N165" i="1"/>
  <c r="U164" i="1"/>
  <c r="W164" i="1" s="1"/>
  <c r="T164" i="1"/>
  <c r="R164" i="1"/>
  <c r="N164" i="1"/>
  <c r="U163" i="1"/>
  <c r="W163" i="1" s="1"/>
  <c r="T163" i="1"/>
  <c r="R163" i="1"/>
  <c r="N163" i="1"/>
  <c r="U162" i="1"/>
  <c r="W162" i="1" s="1"/>
  <c r="T162" i="1"/>
  <c r="R162" i="1"/>
  <c r="N162" i="1"/>
  <c r="U161" i="1"/>
  <c r="W161" i="1" s="1"/>
  <c r="T161" i="1"/>
  <c r="R161" i="1"/>
  <c r="N161" i="1"/>
  <c r="U160" i="1"/>
  <c r="W160" i="1" s="1"/>
  <c r="T160" i="1"/>
  <c r="R160" i="1"/>
  <c r="N160" i="1"/>
  <c r="U159" i="1"/>
  <c r="W159" i="1" s="1"/>
  <c r="T159" i="1"/>
  <c r="R159" i="1"/>
  <c r="N159" i="1"/>
  <c r="U158" i="1"/>
  <c r="W158" i="1" s="1"/>
  <c r="T158" i="1"/>
  <c r="R158" i="1"/>
  <c r="N158" i="1"/>
  <c r="U157" i="1"/>
  <c r="W157" i="1" s="1"/>
  <c r="T157" i="1"/>
  <c r="R157" i="1"/>
  <c r="N157" i="1"/>
  <c r="U156" i="1"/>
  <c r="W156" i="1" s="1"/>
  <c r="T156" i="1"/>
  <c r="R156" i="1"/>
  <c r="N156" i="1"/>
  <c r="U155" i="1"/>
  <c r="W155" i="1" s="1"/>
  <c r="T155" i="1"/>
  <c r="R155" i="1"/>
  <c r="N155" i="1"/>
  <c r="U154" i="1"/>
  <c r="W154" i="1" s="1"/>
  <c r="T154" i="1"/>
  <c r="R154" i="1"/>
  <c r="N154" i="1"/>
  <c r="U153" i="1"/>
  <c r="W153" i="1" s="1"/>
  <c r="T153" i="1"/>
  <c r="R153" i="1"/>
  <c r="N153" i="1"/>
  <c r="U152" i="1"/>
  <c r="W152" i="1" s="1"/>
  <c r="T152" i="1"/>
  <c r="R152" i="1"/>
  <c r="N152" i="1"/>
  <c r="U151" i="1"/>
  <c r="W151" i="1" s="1"/>
  <c r="T151" i="1"/>
  <c r="R151" i="1"/>
  <c r="N151" i="1"/>
  <c r="U150" i="1"/>
  <c r="W150" i="1" s="1"/>
  <c r="T150" i="1"/>
  <c r="R150" i="1"/>
  <c r="N150" i="1"/>
  <c r="U149" i="1"/>
  <c r="W149" i="1" s="1"/>
  <c r="T149" i="1"/>
  <c r="R149" i="1"/>
  <c r="N149" i="1"/>
  <c r="U148" i="1"/>
  <c r="W148" i="1" s="1"/>
  <c r="T148" i="1"/>
  <c r="R148" i="1"/>
  <c r="N148" i="1"/>
  <c r="U147" i="1"/>
  <c r="W147" i="1" s="1"/>
  <c r="T147" i="1"/>
  <c r="R147" i="1"/>
  <c r="N147" i="1"/>
  <c r="U146" i="1"/>
  <c r="W146" i="1" s="1"/>
  <c r="T146" i="1"/>
  <c r="R146" i="1"/>
  <c r="N146" i="1"/>
  <c r="U145" i="1"/>
  <c r="W145" i="1" s="1"/>
  <c r="T145" i="1"/>
  <c r="R145" i="1"/>
  <c r="N145" i="1"/>
  <c r="U144" i="1"/>
  <c r="W144" i="1" s="1"/>
  <c r="T144" i="1"/>
  <c r="R144" i="1"/>
  <c r="N144" i="1"/>
  <c r="U143" i="1"/>
  <c r="W143" i="1" s="1"/>
  <c r="T143" i="1"/>
  <c r="R143" i="1"/>
  <c r="N143" i="1"/>
  <c r="U142" i="1"/>
  <c r="W142" i="1" s="1"/>
  <c r="T142" i="1"/>
  <c r="R142" i="1"/>
  <c r="N142" i="1"/>
  <c r="U141" i="1"/>
  <c r="W141" i="1" s="1"/>
  <c r="T141" i="1"/>
  <c r="R141" i="1"/>
  <c r="N141" i="1"/>
  <c r="U140" i="1"/>
  <c r="W140" i="1" s="1"/>
  <c r="T140" i="1"/>
  <c r="R140" i="1"/>
  <c r="N140" i="1"/>
  <c r="U139" i="1"/>
  <c r="W139" i="1" s="1"/>
  <c r="T139" i="1"/>
  <c r="R139" i="1"/>
  <c r="N139" i="1"/>
  <c r="U138" i="1"/>
  <c r="W138" i="1" s="1"/>
  <c r="T138" i="1"/>
  <c r="R138" i="1"/>
  <c r="N138" i="1"/>
  <c r="U137" i="1"/>
  <c r="W137" i="1" s="1"/>
  <c r="T137" i="1"/>
  <c r="R137" i="1"/>
  <c r="N137" i="1"/>
  <c r="U136" i="1"/>
  <c r="W136" i="1" s="1"/>
  <c r="T136" i="1"/>
  <c r="R136" i="1"/>
  <c r="N136" i="1"/>
  <c r="U135" i="1"/>
  <c r="W135" i="1" s="1"/>
  <c r="T135" i="1"/>
  <c r="R135" i="1"/>
  <c r="N135" i="1"/>
  <c r="U134" i="1"/>
  <c r="W134" i="1" s="1"/>
  <c r="T134" i="1"/>
  <c r="R134" i="1"/>
  <c r="N134" i="1"/>
  <c r="U133" i="1"/>
  <c r="W133" i="1" s="1"/>
  <c r="T133" i="1"/>
  <c r="R133" i="1"/>
  <c r="N133" i="1"/>
  <c r="U132" i="1"/>
  <c r="W132" i="1" s="1"/>
  <c r="T132" i="1"/>
  <c r="R132" i="1"/>
  <c r="N132" i="1"/>
  <c r="U131" i="1"/>
  <c r="W131" i="1" s="1"/>
  <c r="T131" i="1"/>
  <c r="R131" i="1"/>
  <c r="N131" i="1"/>
  <c r="U130" i="1"/>
  <c r="W130" i="1" s="1"/>
  <c r="T130" i="1"/>
  <c r="R130" i="1"/>
  <c r="N130" i="1"/>
  <c r="U129" i="1"/>
  <c r="W129" i="1" s="1"/>
  <c r="T129" i="1"/>
  <c r="R129" i="1"/>
  <c r="N129" i="1"/>
  <c r="U128" i="1"/>
  <c r="W128" i="1" s="1"/>
  <c r="T128" i="1"/>
  <c r="R128" i="1"/>
  <c r="N128" i="1"/>
  <c r="U127" i="1"/>
  <c r="W127" i="1" s="1"/>
  <c r="T127" i="1"/>
  <c r="R127" i="1"/>
  <c r="N127" i="1"/>
  <c r="U126" i="1"/>
  <c r="W126" i="1" s="1"/>
  <c r="T126" i="1"/>
  <c r="R126" i="1"/>
  <c r="N126" i="1"/>
  <c r="U125" i="1"/>
  <c r="W125" i="1" s="1"/>
  <c r="T125" i="1"/>
  <c r="R125" i="1"/>
  <c r="N125" i="1"/>
  <c r="U124" i="1"/>
  <c r="W124" i="1" s="1"/>
  <c r="T124" i="1"/>
  <c r="R124" i="1"/>
  <c r="N124" i="1"/>
  <c r="U123" i="1"/>
  <c r="W123" i="1" s="1"/>
  <c r="T123" i="1"/>
  <c r="R123" i="1"/>
  <c r="N123" i="1"/>
  <c r="U122" i="1"/>
  <c r="W122" i="1" s="1"/>
  <c r="T122" i="1"/>
  <c r="R122" i="1"/>
  <c r="N122" i="1"/>
  <c r="U121" i="1"/>
  <c r="W121" i="1" s="1"/>
  <c r="T121" i="1"/>
  <c r="R121" i="1"/>
  <c r="N121" i="1"/>
  <c r="U120" i="1"/>
  <c r="W120" i="1" s="1"/>
  <c r="T120" i="1"/>
  <c r="R120" i="1"/>
  <c r="N120" i="1"/>
  <c r="U119" i="1"/>
  <c r="W119" i="1" s="1"/>
  <c r="T119" i="1"/>
  <c r="R119" i="1"/>
  <c r="N119" i="1"/>
  <c r="U118" i="1"/>
  <c r="W118" i="1" s="1"/>
  <c r="T118" i="1"/>
  <c r="R118" i="1"/>
  <c r="N118" i="1"/>
  <c r="U117" i="1"/>
  <c r="W117" i="1" s="1"/>
  <c r="T117" i="1"/>
  <c r="R117" i="1"/>
  <c r="N117" i="1"/>
  <c r="U116" i="1"/>
  <c r="W116" i="1" s="1"/>
  <c r="T116" i="1"/>
  <c r="R116" i="1"/>
  <c r="N116" i="1"/>
  <c r="U115" i="1"/>
  <c r="W115" i="1" s="1"/>
  <c r="T115" i="1"/>
  <c r="R115" i="1"/>
  <c r="N115" i="1"/>
  <c r="U114" i="1"/>
  <c r="W114" i="1" s="1"/>
  <c r="T114" i="1"/>
  <c r="R114" i="1"/>
  <c r="N114" i="1"/>
  <c r="U113" i="1"/>
  <c r="W113" i="1" s="1"/>
  <c r="T113" i="1"/>
  <c r="R113" i="1"/>
  <c r="N113" i="1"/>
  <c r="U112" i="1"/>
  <c r="W112" i="1" s="1"/>
  <c r="T112" i="1"/>
  <c r="R112" i="1"/>
  <c r="N112" i="1"/>
  <c r="U111" i="1"/>
  <c r="W111" i="1" s="1"/>
  <c r="T111" i="1"/>
  <c r="R111" i="1"/>
  <c r="N111" i="1"/>
  <c r="U110" i="1"/>
  <c r="W110" i="1" s="1"/>
  <c r="T110" i="1"/>
  <c r="R110" i="1"/>
  <c r="N110" i="1"/>
  <c r="U109" i="1"/>
  <c r="W109" i="1" s="1"/>
  <c r="T109" i="1"/>
  <c r="R109" i="1"/>
  <c r="N109" i="1"/>
  <c r="U108" i="1"/>
  <c r="W108" i="1" s="1"/>
  <c r="T108" i="1"/>
  <c r="R108" i="1"/>
  <c r="N108" i="1"/>
  <c r="U107" i="1"/>
  <c r="W107" i="1" s="1"/>
  <c r="T107" i="1"/>
  <c r="R107" i="1"/>
  <c r="N107" i="1"/>
  <c r="U106" i="1"/>
  <c r="W106" i="1" s="1"/>
  <c r="T106" i="1"/>
  <c r="R106" i="1"/>
  <c r="N106" i="1"/>
  <c r="U105" i="1"/>
  <c r="W105" i="1" s="1"/>
  <c r="T105" i="1"/>
  <c r="R105" i="1"/>
  <c r="N105" i="1"/>
  <c r="U104" i="1"/>
  <c r="W104" i="1" s="1"/>
  <c r="T104" i="1"/>
  <c r="R104" i="1"/>
  <c r="N104" i="1"/>
  <c r="U103" i="1"/>
  <c r="W103" i="1" s="1"/>
  <c r="T103" i="1"/>
  <c r="R103" i="1"/>
  <c r="N103" i="1"/>
  <c r="U102" i="1"/>
  <c r="W102" i="1" s="1"/>
  <c r="T102" i="1"/>
  <c r="R102" i="1"/>
  <c r="N102" i="1"/>
  <c r="U101" i="1"/>
  <c r="W101" i="1" s="1"/>
  <c r="T101" i="1"/>
  <c r="R101" i="1"/>
  <c r="N101" i="1"/>
  <c r="U100" i="1"/>
  <c r="W100" i="1" s="1"/>
  <c r="T100" i="1"/>
  <c r="R100" i="1"/>
  <c r="N100" i="1"/>
  <c r="U99" i="1"/>
  <c r="W99" i="1" s="1"/>
  <c r="T99" i="1"/>
  <c r="R99" i="1"/>
  <c r="N99" i="1"/>
  <c r="U98" i="1"/>
  <c r="W98" i="1" s="1"/>
  <c r="T98" i="1"/>
  <c r="R98" i="1"/>
  <c r="N98" i="1"/>
  <c r="U97" i="1"/>
  <c r="W97" i="1" s="1"/>
  <c r="T97" i="1"/>
  <c r="R97" i="1"/>
  <c r="N97" i="1"/>
  <c r="U96" i="1"/>
  <c r="W96" i="1" s="1"/>
  <c r="T96" i="1"/>
  <c r="R96" i="1"/>
  <c r="N96" i="1"/>
  <c r="U95" i="1"/>
  <c r="W95" i="1" s="1"/>
  <c r="T95" i="1"/>
  <c r="R95" i="1"/>
  <c r="N95" i="1"/>
  <c r="U94" i="1"/>
  <c r="W94" i="1" s="1"/>
  <c r="T94" i="1"/>
  <c r="R94" i="1"/>
  <c r="N94" i="1"/>
  <c r="U93" i="1"/>
  <c r="W93" i="1" s="1"/>
  <c r="T93" i="1"/>
  <c r="R93" i="1"/>
  <c r="N93" i="1"/>
  <c r="U92" i="1"/>
  <c r="W92" i="1" s="1"/>
  <c r="T92" i="1"/>
  <c r="R92" i="1"/>
  <c r="N92" i="1"/>
  <c r="U91" i="1"/>
  <c r="W91" i="1" s="1"/>
  <c r="T91" i="1"/>
  <c r="R91" i="1"/>
  <c r="N91" i="1"/>
  <c r="U90" i="1"/>
  <c r="W90" i="1" s="1"/>
  <c r="T90" i="1"/>
  <c r="R90" i="1"/>
  <c r="N90" i="1"/>
  <c r="U89" i="1"/>
  <c r="W89" i="1" s="1"/>
  <c r="T89" i="1"/>
  <c r="R89" i="1"/>
  <c r="N89" i="1"/>
  <c r="U88" i="1"/>
  <c r="W88" i="1" s="1"/>
  <c r="T88" i="1"/>
  <c r="R88" i="1"/>
  <c r="N88" i="1"/>
  <c r="U87" i="1"/>
  <c r="W87" i="1" s="1"/>
  <c r="T87" i="1"/>
  <c r="R87" i="1"/>
  <c r="N87" i="1"/>
  <c r="U86" i="1"/>
  <c r="W86" i="1" s="1"/>
  <c r="T86" i="1"/>
  <c r="R86" i="1"/>
  <c r="N86" i="1"/>
  <c r="U85" i="1"/>
  <c r="W85" i="1" s="1"/>
  <c r="T85" i="1"/>
  <c r="R85" i="1"/>
  <c r="N85" i="1"/>
  <c r="U84" i="1"/>
  <c r="W84" i="1" s="1"/>
  <c r="T84" i="1"/>
  <c r="R84" i="1"/>
  <c r="N84" i="1"/>
  <c r="U83" i="1"/>
  <c r="W83" i="1" s="1"/>
  <c r="T83" i="1"/>
  <c r="R83" i="1"/>
  <c r="N83" i="1"/>
  <c r="U82" i="1"/>
  <c r="W82" i="1" s="1"/>
  <c r="T82" i="1"/>
  <c r="R82" i="1"/>
  <c r="N82" i="1"/>
  <c r="U81" i="1"/>
  <c r="W81" i="1" s="1"/>
  <c r="T81" i="1"/>
  <c r="R81" i="1"/>
  <c r="N81" i="1"/>
  <c r="U80" i="1"/>
  <c r="W80" i="1" s="1"/>
  <c r="T80" i="1"/>
  <c r="R80" i="1"/>
  <c r="N80" i="1"/>
  <c r="U79" i="1"/>
  <c r="W79" i="1" s="1"/>
  <c r="T79" i="1"/>
  <c r="R79" i="1"/>
  <c r="N79" i="1"/>
  <c r="U78" i="1"/>
  <c r="W78" i="1" s="1"/>
  <c r="T78" i="1"/>
  <c r="R78" i="1"/>
  <c r="N78" i="1"/>
  <c r="U77" i="1"/>
  <c r="W77" i="1" s="1"/>
  <c r="T77" i="1"/>
  <c r="R77" i="1"/>
  <c r="N77" i="1"/>
  <c r="U76" i="1"/>
  <c r="W76" i="1" s="1"/>
  <c r="T76" i="1"/>
  <c r="R76" i="1"/>
  <c r="N76" i="1"/>
  <c r="U75" i="1"/>
  <c r="W75" i="1" s="1"/>
  <c r="T75" i="1"/>
  <c r="R75" i="1"/>
  <c r="N75" i="1"/>
  <c r="U74" i="1"/>
  <c r="W74" i="1" s="1"/>
  <c r="T74" i="1"/>
  <c r="R74" i="1"/>
  <c r="N74" i="1"/>
  <c r="U73" i="1"/>
  <c r="W73" i="1" s="1"/>
  <c r="T73" i="1"/>
  <c r="R73" i="1"/>
  <c r="N73" i="1"/>
  <c r="U72" i="1"/>
  <c r="W72" i="1" s="1"/>
  <c r="T72" i="1"/>
  <c r="R72" i="1"/>
  <c r="N72" i="1"/>
  <c r="U71" i="1"/>
  <c r="W71" i="1" s="1"/>
  <c r="T71" i="1"/>
  <c r="R71" i="1"/>
  <c r="N71" i="1"/>
  <c r="U70" i="1"/>
  <c r="W70" i="1" s="1"/>
  <c r="T70" i="1"/>
  <c r="R70" i="1"/>
  <c r="N70" i="1"/>
  <c r="U69" i="1"/>
  <c r="W69" i="1" s="1"/>
  <c r="T69" i="1"/>
  <c r="R69" i="1"/>
  <c r="N69" i="1"/>
  <c r="U68" i="1"/>
  <c r="W68" i="1" s="1"/>
  <c r="T68" i="1"/>
  <c r="R68" i="1"/>
  <c r="N68" i="1"/>
  <c r="U67" i="1"/>
  <c r="W67" i="1" s="1"/>
  <c r="T67" i="1"/>
  <c r="R67" i="1"/>
  <c r="N67" i="1"/>
  <c r="U66" i="1"/>
  <c r="W66" i="1" s="1"/>
  <c r="T66" i="1"/>
  <c r="R66" i="1"/>
  <c r="N66" i="1"/>
  <c r="U65" i="1"/>
  <c r="W65" i="1" s="1"/>
  <c r="T65" i="1"/>
  <c r="R65" i="1"/>
  <c r="N65" i="1"/>
  <c r="U64" i="1"/>
  <c r="W64" i="1" s="1"/>
  <c r="T64" i="1"/>
  <c r="R64" i="1"/>
  <c r="N64" i="1"/>
  <c r="U63" i="1"/>
  <c r="W63" i="1" s="1"/>
  <c r="T63" i="1"/>
  <c r="R63" i="1"/>
  <c r="N63" i="1"/>
  <c r="U62" i="1"/>
  <c r="W62" i="1" s="1"/>
  <c r="T62" i="1"/>
  <c r="R62" i="1"/>
  <c r="N62" i="1"/>
  <c r="U61" i="1"/>
  <c r="W61" i="1" s="1"/>
  <c r="T61" i="1"/>
  <c r="R61" i="1"/>
  <c r="N61" i="1"/>
  <c r="U60" i="1"/>
  <c r="W60" i="1" s="1"/>
  <c r="T60" i="1"/>
  <c r="R60" i="1"/>
  <c r="N60" i="1"/>
  <c r="U59" i="1"/>
  <c r="W59" i="1" s="1"/>
  <c r="T59" i="1"/>
  <c r="R59" i="1"/>
  <c r="N59" i="1"/>
  <c r="U58" i="1"/>
  <c r="W58" i="1" s="1"/>
  <c r="T58" i="1"/>
  <c r="R58" i="1"/>
  <c r="N58" i="1"/>
  <c r="U57" i="1"/>
  <c r="W57" i="1" s="1"/>
  <c r="T57" i="1"/>
  <c r="R57" i="1"/>
  <c r="N57" i="1"/>
  <c r="U56" i="1"/>
  <c r="W56" i="1" s="1"/>
  <c r="T56" i="1"/>
  <c r="R56" i="1"/>
  <c r="N56" i="1"/>
  <c r="U55" i="1"/>
  <c r="W55" i="1" s="1"/>
  <c r="T55" i="1"/>
  <c r="R55" i="1"/>
  <c r="N55" i="1"/>
  <c r="U54" i="1"/>
  <c r="W54" i="1" s="1"/>
  <c r="T54" i="1"/>
  <c r="R54" i="1"/>
  <c r="N54" i="1"/>
  <c r="U53" i="1"/>
  <c r="W53" i="1" s="1"/>
  <c r="T53" i="1"/>
  <c r="R53" i="1"/>
  <c r="N53" i="1"/>
  <c r="U52" i="1"/>
  <c r="W52" i="1" s="1"/>
  <c r="T52" i="1"/>
  <c r="R52" i="1"/>
  <c r="N52" i="1"/>
  <c r="U51" i="1"/>
  <c r="W51" i="1" s="1"/>
  <c r="T51" i="1"/>
  <c r="R51" i="1"/>
  <c r="N51" i="1"/>
  <c r="U50" i="1"/>
  <c r="W50" i="1" s="1"/>
  <c r="T50" i="1"/>
  <c r="R50" i="1"/>
  <c r="N50" i="1"/>
  <c r="U49" i="1"/>
  <c r="W49" i="1" s="1"/>
  <c r="T49" i="1"/>
  <c r="R49" i="1"/>
  <c r="N49" i="1"/>
  <c r="U48" i="1"/>
  <c r="W48" i="1" s="1"/>
  <c r="T48" i="1"/>
  <c r="R48" i="1"/>
  <c r="N48" i="1"/>
  <c r="U47" i="1"/>
  <c r="W47" i="1" s="1"/>
  <c r="T47" i="1"/>
  <c r="R47" i="1"/>
  <c r="N47" i="1"/>
  <c r="U46" i="1"/>
  <c r="W46" i="1" s="1"/>
  <c r="T46" i="1"/>
  <c r="R46" i="1"/>
  <c r="N46" i="1"/>
  <c r="U45" i="1"/>
  <c r="W45" i="1" s="1"/>
  <c r="T45" i="1"/>
  <c r="R45" i="1"/>
  <c r="N45" i="1"/>
  <c r="U44" i="1"/>
  <c r="W44" i="1" s="1"/>
  <c r="T44" i="1"/>
  <c r="R44" i="1"/>
  <c r="N44" i="1"/>
  <c r="U43" i="1"/>
  <c r="W43" i="1" s="1"/>
  <c r="T43" i="1"/>
  <c r="R43" i="1"/>
  <c r="N43" i="1"/>
  <c r="U42" i="1"/>
  <c r="W42" i="1" s="1"/>
  <c r="T42" i="1"/>
  <c r="R42" i="1"/>
  <c r="N42" i="1"/>
  <c r="U41" i="1"/>
  <c r="W41" i="1" s="1"/>
  <c r="T41" i="1"/>
  <c r="R41" i="1"/>
  <c r="N41" i="1"/>
  <c r="U40" i="1"/>
  <c r="W40" i="1" s="1"/>
  <c r="T40" i="1"/>
  <c r="R40" i="1"/>
  <c r="N40" i="1"/>
  <c r="U39" i="1"/>
  <c r="W39" i="1" s="1"/>
  <c r="T39" i="1"/>
  <c r="R39" i="1"/>
  <c r="N39" i="1"/>
  <c r="U38" i="1"/>
  <c r="W38" i="1" s="1"/>
  <c r="T38" i="1"/>
  <c r="R38" i="1"/>
  <c r="N38" i="1"/>
  <c r="U37" i="1"/>
  <c r="W37" i="1" s="1"/>
  <c r="T37" i="1"/>
  <c r="R37" i="1"/>
  <c r="N37" i="1"/>
  <c r="U36" i="1"/>
  <c r="W36" i="1" s="1"/>
  <c r="T36" i="1"/>
  <c r="R36" i="1"/>
  <c r="N36" i="1"/>
  <c r="U35" i="1"/>
  <c r="W35" i="1" s="1"/>
  <c r="T35" i="1"/>
  <c r="R35" i="1"/>
  <c r="N35" i="1"/>
  <c r="U34" i="1"/>
  <c r="W34" i="1" s="1"/>
  <c r="T34" i="1"/>
  <c r="R34" i="1"/>
  <c r="N34" i="1"/>
  <c r="U33" i="1"/>
  <c r="W33" i="1" s="1"/>
  <c r="T33" i="1"/>
  <c r="R33" i="1"/>
  <c r="N33" i="1"/>
  <c r="U32" i="1"/>
  <c r="W32" i="1" s="1"/>
  <c r="T32" i="1"/>
  <c r="R32" i="1"/>
  <c r="N32" i="1"/>
  <c r="U31" i="1"/>
  <c r="W31" i="1" s="1"/>
  <c r="T31" i="1"/>
  <c r="R31" i="1"/>
  <c r="N31" i="1"/>
  <c r="U30" i="1"/>
  <c r="W30" i="1" s="1"/>
  <c r="T30" i="1"/>
  <c r="R30" i="1"/>
  <c r="N30" i="1"/>
  <c r="U29" i="1"/>
  <c r="W29" i="1" s="1"/>
  <c r="T29" i="1"/>
  <c r="R29" i="1"/>
  <c r="N29" i="1"/>
  <c r="U28" i="1"/>
  <c r="W28" i="1" s="1"/>
  <c r="T28" i="1"/>
  <c r="R28" i="1"/>
  <c r="N28" i="1"/>
  <c r="U27" i="1"/>
  <c r="W27" i="1" s="1"/>
  <c r="T27" i="1"/>
  <c r="R27" i="1"/>
  <c r="N27" i="1"/>
  <c r="U26" i="1"/>
  <c r="W26" i="1" s="1"/>
  <c r="T26" i="1"/>
  <c r="R26" i="1"/>
  <c r="N26" i="1"/>
  <c r="U25" i="1"/>
  <c r="W25" i="1" s="1"/>
  <c r="T25" i="1"/>
  <c r="R25" i="1"/>
  <c r="N25" i="1"/>
  <c r="U24" i="1"/>
  <c r="W24" i="1" s="1"/>
  <c r="T24" i="1"/>
  <c r="R24" i="1"/>
  <c r="N24" i="1"/>
  <c r="U23" i="1"/>
  <c r="W23" i="1" s="1"/>
  <c r="T23" i="1"/>
  <c r="R23" i="1"/>
  <c r="N23" i="1"/>
  <c r="U22" i="1"/>
  <c r="W22" i="1" s="1"/>
  <c r="T22" i="1"/>
  <c r="R22" i="1"/>
  <c r="N22" i="1"/>
  <c r="U21" i="1"/>
  <c r="W21" i="1" s="1"/>
  <c r="T21" i="1"/>
  <c r="R21" i="1"/>
  <c r="N21" i="1"/>
  <c r="U20" i="1"/>
  <c r="W20" i="1" s="1"/>
  <c r="T20" i="1"/>
  <c r="R20" i="1"/>
  <c r="N20" i="1"/>
  <c r="U19" i="1"/>
  <c r="W19" i="1" s="1"/>
  <c r="T19" i="1"/>
  <c r="R19" i="1"/>
  <c r="N19" i="1"/>
  <c r="U18" i="1"/>
  <c r="W18" i="1" s="1"/>
  <c r="T18" i="1"/>
  <c r="R18" i="1"/>
  <c r="N18" i="1"/>
  <c r="U17" i="1"/>
  <c r="W17" i="1" s="1"/>
  <c r="T17" i="1"/>
  <c r="R17" i="1"/>
  <c r="N17" i="1"/>
  <c r="U16" i="1"/>
  <c r="W16" i="1" s="1"/>
  <c r="T16" i="1"/>
  <c r="R16" i="1"/>
  <c r="N16" i="1"/>
  <c r="U15" i="1"/>
  <c r="W15" i="1" s="1"/>
  <c r="T15" i="1"/>
  <c r="R15" i="1"/>
  <c r="N15" i="1"/>
  <c r="U14" i="1"/>
  <c r="W14" i="1" s="1"/>
  <c r="T14" i="1"/>
  <c r="R14" i="1"/>
  <c r="N14" i="1"/>
  <c r="U13" i="1"/>
  <c r="W13" i="1" s="1"/>
  <c r="T13" i="1"/>
  <c r="R13" i="1"/>
  <c r="N13" i="1"/>
  <c r="U12" i="1"/>
  <c r="W12" i="1" s="1"/>
  <c r="T12" i="1"/>
  <c r="R12" i="1"/>
  <c r="N12" i="1"/>
  <c r="U11" i="1"/>
  <c r="W11" i="1" s="1"/>
  <c r="T11" i="1"/>
  <c r="R11" i="1"/>
  <c r="N11" i="1"/>
  <c r="U10" i="1"/>
  <c r="W10" i="1" s="1"/>
  <c r="T10" i="1"/>
  <c r="R10" i="1"/>
  <c r="N10" i="1"/>
  <c r="U9" i="1"/>
  <c r="W9" i="1" s="1"/>
  <c r="T9" i="1"/>
  <c r="R9" i="1"/>
  <c r="N9" i="1"/>
  <c r="U8" i="1"/>
  <c r="W8" i="1" s="1"/>
  <c r="T8" i="1"/>
  <c r="R8" i="1"/>
  <c r="N8" i="1"/>
  <c r="U7" i="1"/>
  <c r="W7" i="1" s="1"/>
  <c r="T7" i="1"/>
  <c r="R7" i="1"/>
  <c r="N7" i="1"/>
  <c r="U6" i="1"/>
  <c r="W6" i="1" s="1"/>
  <c r="T6" i="1"/>
  <c r="R6" i="1"/>
  <c r="N6" i="1"/>
  <c r="U5" i="1"/>
  <c r="W5" i="1" s="1"/>
  <c r="T5" i="1"/>
  <c r="R5" i="1"/>
  <c r="N5" i="1"/>
  <c r="U4" i="1"/>
  <c r="W4" i="1" s="1"/>
  <c r="T4" i="1"/>
  <c r="R4" i="1"/>
  <c r="N4" i="1"/>
  <c r="U3" i="1"/>
  <c r="W3" i="1" s="1"/>
  <c r="T3" i="1"/>
  <c r="R3" i="1"/>
  <c r="N3" i="1"/>
  <c r="U2" i="1"/>
  <c r="W2" i="1" s="1"/>
  <c r="T2" i="1"/>
  <c r="R2" i="1"/>
  <c r="N2" i="1"/>
  <c r="X1553" i="1" l="1"/>
  <c r="Y1553" i="1" s="1"/>
  <c r="V1553" i="1"/>
  <c r="V1430" i="1"/>
  <c r="X1430" i="1"/>
  <c r="Y1430" i="1" s="1"/>
  <c r="V1011" i="1"/>
  <c r="X1011" i="1"/>
  <c r="Y1011" i="1" s="1"/>
  <c r="V918" i="1"/>
  <c r="X918" i="1"/>
  <c r="Y918" i="1" s="1"/>
  <c r="V633" i="1"/>
  <c r="X633" i="1"/>
  <c r="Y633" i="1" s="1"/>
  <c r="X480" i="1"/>
  <c r="Y480" i="1" s="1"/>
  <c r="V480" i="1"/>
  <c r="V463" i="1"/>
  <c r="X463" i="1"/>
  <c r="Y463" i="1" s="1"/>
  <c r="V431" i="1"/>
  <c r="X431" i="1"/>
  <c r="Y431" i="1" s="1"/>
  <c r="X405" i="1"/>
  <c r="Y405" i="1" s="1"/>
  <c r="V405" i="1"/>
  <c r="V383" i="1"/>
  <c r="X383" i="1"/>
  <c r="Y383" i="1" s="1"/>
  <c r="V382" i="1"/>
  <c r="X382" i="1"/>
  <c r="Y382" i="1" s="1"/>
  <c r="V371" i="1"/>
  <c r="X371" i="1"/>
  <c r="Y371" i="1" s="1"/>
  <c r="X369" i="1"/>
  <c r="Y369" i="1" s="1"/>
  <c r="V369" i="1"/>
  <c r="X348" i="1"/>
  <c r="Y348" i="1" s="1"/>
  <c r="V348" i="1"/>
  <c r="V337" i="1"/>
  <c r="X337" i="1"/>
  <c r="Y337" i="1" s="1"/>
  <c r="V334" i="1"/>
  <c r="X334" i="1"/>
  <c r="Y334" i="1" s="1"/>
  <c r="V325" i="1"/>
  <c r="X325" i="1"/>
  <c r="Y325" i="1" s="1"/>
  <c r="X302" i="1"/>
  <c r="Y302" i="1" s="1"/>
  <c r="V302" i="1"/>
  <c r="V283" i="1"/>
  <c r="X283" i="1"/>
  <c r="Y283" i="1" s="1"/>
  <c r="V1561" i="1"/>
  <c r="X1561" i="1"/>
  <c r="Y1561" i="1" s="1"/>
  <c r="Q1561" i="1"/>
  <c r="P1561" i="1"/>
  <c r="O1561" i="1"/>
  <c r="V1560" i="1"/>
  <c r="X1560" i="1"/>
  <c r="Y1560" i="1" s="1"/>
  <c r="P1560" i="1"/>
  <c r="Q1560" i="1"/>
  <c r="O1560" i="1"/>
  <c r="X1559" i="1"/>
  <c r="Y1559" i="1" s="1"/>
  <c r="V1559" i="1"/>
  <c r="Q1559" i="1"/>
  <c r="P1559" i="1"/>
  <c r="O1559" i="1"/>
  <c r="X1558" i="1"/>
  <c r="Y1558" i="1" s="1"/>
  <c r="V1558" i="1"/>
  <c r="O1558" i="1"/>
  <c r="P1558" i="1"/>
  <c r="Q1558" i="1"/>
  <c r="V1557" i="1"/>
  <c r="X1557" i="1"/>
  <c r="Y1557" i="1" s="1"/>
  <c r="O1557" i="1"/>
  <c r="Q1557" i="1"/>
  <c r="P1557" i="1"/>
  <c r="X1556" i="1"/>
  <c r="Y1556" i="1" s="1"/>
  <c r="V1556" i="1"/>
  <c r="Q1556" i="1"/>
  <c r="O1556" i="1"/>
  <c r="P1556" i="1"/>
  <c r="V1555" i="1"/>
  <c r="X1555" i="1"/>
  <c r="Y1555" i="1" s="1"/>
  <c r="O1555" i="1"/>
  <c r="Q1555" i="1"/>
  <c r="P1555" i="1"/>
  <c r="X1554" i="1"/>
  <c r="Y1554" i="1" s="1"/>
  <c r="V1554" i="1"/>
  <c r="P1554" i="1"/>
  <c r="O1554" i="1"/>
  <c r="Q1554" i="1"/>
  <c r="Q1553" i="1"/>
  <c r="O1553" i="1"/>
  <c r="P1553" i="1"/>
  <c r="V1552" i="1"/>
  <c r="X1552" i="1"/>
  <c r="Y1552" i="1" s="1"/>
  <c r="Q1552" i="1"/>
  <c r="P1552" i="1"/>
  <c r="O1552" i="1"/>
  <c r="V1551" i="1"/>
  <c r="X1551" i="1"/>
  <c r="Y1551" i="1" s="1"/>
  <c r="O1551" i="1"/>
  <c r="P1551" i="1"/>
  <c r="Q1551" i="1"/>
  <c r="V1550" i="1"/>
  <c r="X1550" i="1"/>
  <c r="Y1550" i="1" s="1"/>
  <c r="Q1550" i="1"/>
  <c r="O1550" i="1"/>
  <c r="P1550" i="1"/>
  <c r="X1549" i="1"/>
  <c r="Y1549" i="1" s="1"/>
  <c r="V1549" i="1"/>
  <c r="Q1549" i="1"/>
  <c r="P1549" i="1"/>
  <c r="O1549" i="1"/>
  <c r="X1548" i="1"/>
  <c r="Y1548" i="1" s="1"/>
  <c r="V1548" i="1"/>
  <c r="O1548" i="1"/>
  <c r="Q1548" i="1"/>
  <c r="P1548" i="1"/>
  <c r="V1547" i="1"/>
  <c r="X1547" i="1"/>
  <c r="Y1547" i="1" s="1"/>
  <c r="O1547" i="1"/>
  <c r="P1547" i="1"/>
  <c r="Q1547" i="1"/>
  <c r="X1546" i="1"/>
  <c r="Y1546" i="1" s="1"/>
  <c r="V1546" i="1"/>
  <c r="Q1546" i="1"/>
  <c r="O1546" i="1"/>
  <c r="P1546" i="1"/>
  <c r="V1545" i="1"/>
  <c r="X1545" i="1"/>
  <c r="Y1545" i="1" s="1"/>
  <c r="O1545" i="1"/>
  <c r="P1545" i="1"/>
  <c r="Q1545" i="1"/>
  <c r="X1544" i="1"/>
  <c r="Y1544" i="1" s="1"/>
  <c r="V1544" i="1"/>
  <c r="Q1544" i="1"/>
  <c r="P1544" i="1"/>
  <c r="O1544" i="1"/>
  <c r="X1543" i="1"/>
  <c r="Y1543" i="1" s="1"/>
  <c r="V1543" i="1"/>
  <c r="Q1543" i="1"/>
  <c r="O1543" i="1"/>
  <c r="P1543" i="1"/>
  <c r="X1542" i="1"/>
  <c r="Y1542" i="1" s="1"/>
  <c r="V1542" i="1"/>
  <c r="Q1542" i="1"/>
  <c r="P1542" i="1"/>
  <c r="O1542" i="1"/>
  <c r="X1541" i="1"/>
  <c r="Y1541" i="1" s="1"/>
  <c r="V1541" i="1"/>
  <c r="Q1541" i="1"/>
  <c r="O1541" i="1"/>
  <c r="P1541" i="1"/>
  <c r="V1540" i="1"/>
  <c r="X1540" i="1"/>
  <c r="Y1540" i="1" s="1"/>
  <c r="Q1540" i="1"/>
  <c r="O1540" i="1"/>
  <c r="P1540" i="1"/>
  <c r="V1539" i="1"/>
  <c r="X1539" i="1"/>
  <c r="Y1539" i="1" s="1"/>
  <c r="O1539" i="1"/>
  <c r="P1539" i="1"/>
  <c r="Q1539" i="1"/>
  <c r="X1538" i="1"/>
  <c r="Y1538" i="1" s="1"/>
  <c r="V1538" i="1"/>
  <c r="Q1538" i="1"/>
  <c r="O1538" i="1"/>
  <c r="P1538" i="1"/>
  <c r="V1537" i="1"/>
  <c r="X1537" i="1"/>
  <c r="Y1537" i="1" s="1"/>
  <c r="Q1537" i="1"/>
  <c r="P1537" i="1"/>
  <c r="O1537" i="1"/>
  <c r="X1536" i="1"/>
  <c r="Y1536" i="1" s="1"/>
  <c r="V1536" i="1"/>
  <c r="O1536" i="1"/>
  <c r="Q1536" i="1"/>
  <c r="P1536" i="1"/>
  <c r="X1535" i="1"/>
  <c r="Y1535" i="1" s="1"/>
  <c r="V1535" i="1"/>
  <c r="Q1535" i="1"/>
  <c r="P1535" i="1"/>
  <c r="O1535" i="1"/>
  <c r="X1534" i="1"/>
  <c r="Y1534" i="1" s="1"/>
  <c r="V1534" i="1"/>
  <c r="P1534" i="1"/>
  <c r="O1534" i="1"/>
  <c r="Q1534" i="1"/>
  <c r="X1533" i="1"/>
  <c r="Y1533" i="1" s="1"/>
  <c r="V1533" i="1"/>
  <c r="Q1533" i="1"/>
  <c r="P1533" i="1"/>
  <c r="O1533" i="1"/>
  <c r="X1532" i="1"/>
  <c r="Y1532" i="1" s="1"/>
  <c r="V1532" i="1"/>
  <c r="Q1532" i="1"/>
  <c r="P1532" i="1"/>
  <c r="O1532" i="1"/>
  <c r="X1531" i="1"/>
  <c r="Y1531" i="1" s="1"/>
  <c r="V1531" i="1"/>
  <c r="Q1531" i="1"/>
  <c r="O1531" i="1"/>
  <c r="P1531" i="1"/>
  <c r="V1530" i="1"/>
  <c r="X1530" i="1"/>
  <c r="Y1530" i="1" s="1"/>
  <c r="O1530" i="1"/>
  <c r="P1530" i="1"/>
  <c r="Q1530" i="1"/>
  <c r="V1529" i="1"/>
  <c r="X1529" i="1"/>
  <c r="Y1529" i="1" s="1"/>
  <c r="Q1529" i="1"/>
  <c r="P1529" i="1"/>
  <c r="O1529" i="1"/>
  <c r="X1528" i="1"/>
  <c r="Y1528" i="1" s="1"/>
  <c r="V1528" i="1"/>
  <c r="Q1528" i="1"/>
  <c r="O1528" i="1"/>
  <c r="P1528" i="1"/>
  <c r="V1527" i="1"/>
  <c r="X1527" i="1"/>
  <c r="Y1527" i="1" s="1"/>
  <c r="O1527" i="1"/>
  <c r="P1527" i="1"/>
  <c r="Q1527" i="1"/>
  <c r="V1526" i="1"/>
  <c r="X1526" i="1"/>
  <c r="Y1526" i="1" s="1"/>
  <c r="Q1526" i="1"/>
  <c r="P1526" i="1"/>
  <c r="O1526" i="1"/>
  <c r="X1525" i="1"/>
  <c r="Y1525" i="1" s="1"/>
  <c r="V1525" i="1"/>
  <c r="Q1525" i="1"/>
  <c r="O1525" i="1"/>
  <c r="P1525" i="1"/>
  <c r="X1524" i="1"/>
  <c r="Y1524" i="1" s="1"/>
  <c r="V1524" i="1"/>
  <c r="O1524" i="1"/>
  <c r="P1524" i="1"/>
  <c r="Q1524" i="1"/>
  <c r="X1523" i="1"/>
  <c r="Y1523" i="1" s="1"/>
  <c r="V1523" i="1"/>
  <c r="P1523" i="1"/>
  <c r="Q1523" i="1"/>
  <c r="O1523" i="1"/>
  <c r="V1522" i="1"/>
  <c r="X1522" i="1"/>
  <c r="Y1522" i="1" s="1"/>
  <c r="O1522" i="1"/>
  <c r="Q1522" i="1"/>
  <c r="P1522" i="1"/>
  <c r="V1521" i="1"/>
  <c r="X1521" i="1"/>
  <c r="Y1521" i="1" s="1"/>
  <c r="O1521" i="1"/>
  <c r="P1521" i="1"/>
  <c r="Q1521" i="1"/>
  <c r="X1520" i="1"/>
  <c r="Y1520" i="1" s="1"/>
  <c r="V1520" i="1"/>
  <c r="Q1520" i="1"/>
  <c r="P1520" i="1"/>
  <c r="O1520" i="1"/>
  <c r="V1519" i="1"/>
  <c r="X1519" i="1"/>
  <c r="Y1519" i="1" s="1"/>
  <c r="Q1519" i="1"/>
  <c r="P1519" i="1"/>
  <c r="O1519" i="1"/>
  <c r="V1518" i="1"/>
  <c r="X1518" i="1"/>
  <c r="Y1518" i="1" s="1"/>
  <c r="O1518" i="1"/>
  <c r="P1518" i="1"/>
  <c r="Q1518" i="1"/>
  <c r="V1517" i="1"/>
  <c r="X1517" i="1"/>
  <c r="Y1517" i="1" s="1"/>
  <c r="Q1517" i="1"/>
  <c r="O1517" i="1"/>
  <c r="P1517" i="1"/>
  <c r="X1516" i="1"/>
  <c r="Y1516" i="1" s="1"/>
  <c r="V1516" i="1"/>
  <c r="P1516" i="1"/>
  <c r="Q1516" i="1"/>
  <c r="O1516" i="1"/>
  <c r="X1515" i="1"/>
  <c r="Y1515" i="1" s="1"/>
  <c r="V1515" i="1"/>
  <c r="P1515" i="1"/>
  <c r="O1515" i="1"/>
  <c r="Q1515" i="1"/>
  <c r="X1514" i="1"/>
  <c r="Y1514" i="1" s="1"/>
  <c r="V1514" i="1"/>
  <c r="Q1514" i="1"/>
  <c r="O1514" i="1"/>
  <c r="P1514" i="1"/>
  <c r="X1513" i="1"/>
  <c r="Y1513" i="1" s="1"/>
  <c r="V1513" i="1"/>
  <c r="Q1513" i="1"/>
  <c r="P1513" i="1"/>
  <c r="O1513" i="1"/>
  <c r="V1512" i="1"/>
  <c r="X1512" i="1"/>
  <c r="Y1512" i="1" s="1"/>
  <c r="P1512" i="1"/>
  <c r="O1512" i="1"/>
  <c r="Q1512" i="1"/>
  <c r="X1511" i="1"/>
  <c r="Y1511" i="1" s="1"/>
  <c r="V1511" i="1"/>
  <c r="O1511" i="1"/>
  <c r="P1511" i="1"/>
  <c r="Q1511" i="1"/>
  <c r="V1510" i="1"/>
  <c r="X1510" i="1"/>
  <c r="Y1510" i="1" s="1"/>
  <c r="O1510" i="1"/>
  <c r="P1510" i="1"/>
  <c r="Q1510" i="1"/>
  <c r="X1509" i="1"/>
  <c r="Y1509" i="1" s="1"/>
  <c r="V1509" i="1"/>
  <c r="Q1509" i="1"/>
  <c r="O1509" i="1"/>
  <c r="P1509" i="1"/>
  <c r="X1508" i="1"/>
  <c r="Y1508" i="1" s="1"/>
  <c r="V1508" i="1"/>
  <c r="Q1508" i="1"/>
  <c r="P1508" i="1"/>
  <c r="O1508" i="1"/>
  <c r="V1507" i="1"/>
  <c r="X1507" i="1"/>
  <c r="Y1507" i="1" s="1"/>
  <c r="P1507" i="1"/>
  <c r="O1507" i="1"/>
  <c r="Q1507" i="1"/>
  <c r="V1506" i="1"/>
  <c r="X1506" i="1"/>
  <c r="Y1506" i="1" s="1"/>
  <c r="O1506" i="1"/>
  <c r="P1506" i="1"/>
  <c r="Q1506" i="1"/>
  <c r="X1505" i="1"/>
  <c r="Y1505" i="1" s="1"/>
  <c r="V1505" i="1"/>
  <c r="Q1505" i="1"/>
  <c r="P1505" i="1"/>
  <c r="O1505" i="1"/>
  <c r="X1504" i="1"/>
  <c r="Y1504" i="1" s="1"/>
  <c r="V1504" i="1"/>
  <c r="O1504" i="1"/>
  <c r="Q1504" i="1"/>
  <c r="P1504" i="1"/>
  <c r="V1503" i="1"/>
  <c r="X1503" i="1"/>
  <c r="Y1503" i="1" s="1"/>
  <c r="P1503" i="1"/>
  <c r="O1503" i="1"/>
  <c r="Q1503" i="1"/>
  <c r="V1502" i="1"/>
  <c r="X1502" i="1"/>
  <c r="Y1502" i="1" s="1"/>
  <c r="O1502" i="1"/>
  <c r="P1502" i="1"/>
  <c r="Q1502" i="1"/>
  <c r="X1501" i="1"/>
  <c r="Y1501" i="1" s="1"/>
  <c r="V1501" i="1"/>
  <c r="P1501" i="1"/>
  <c r="O1501" i="1"/>
  <c r="Q1501" i="1"/>
  <c r="V1500" i="1"/>
  <c r="X1500" i="1"/>
  <c r="Y1500" i="1" s="1"/>
  <c r="O1500" i="1"/>
  <c r="P1500" i="1"/>
  <c r="Q1500" i="1"/>
  <c r="V1499" i="1"/>
  <c r="X1499" i="1"/>
  <c r="Y1499" i="1" s="1"/>
  <c r="O1499" i="1"/>
  <c r="Q1499" i="1"/>
  <c r="P1499" i="1"/>
  <c r="V1498" i="1"/>
  <c r="X1498" i="1"/>
  <c r="Y1498" i="1" s="1"/>
  <c r="Q1498" i="1"/>
  <c r="P1498" i="1"/>
  <c r="O1498" i="1"/>
  <c r="X1497" i="1"/>
  <c r="Y1497" i="1" s="1"/>
  <c r="V1497" i="1"/>
  <c r="P1497" i="1"/>
  <c r="O1497" i="1"/>
  <c r="Q1497" i="1"/>
  <c r="X1496" i="1"/>
  <c r="Y1496" i="1" s="1"/>
  <c r="V1496" i="1"/>
  <c r="Q1496" i="1"/>
  <c r="P1496" i="1"/>
  <c r="O1496" i="1"/>
  <c r="V1495" i="1"/>
  <c r="X1495" i="1"/>
  <c r="Y1495" i="1" s="1"/>
  <c r="Q1495" i="1"/>
  <c r="P1495" i="1"/>
  <c r="O1495" i="1"/>
  <c r="X1494" i="1"/>
  <c r="Y1494" i="1" s="1"/>
  <c r="V1494" i="1"/>
  <c r="Q1494" i="1"/>
  <c r="P1494" i="1"/>
  <c r="O1494" i="1"/>
  <c r="V1493" i="1"/>
  <c r="X1493" i="1"/>
  <c r="Y1493" i="1" s="1"/>
  <c r="Q1493" i="1"/>
  <c r="P1493" i="1"/>
  <c r="O1493" i="1"/>
  <c r="X1492" i="1"/>
  <c r="Y1492" i="1" s="1"/>
  <c r="V1492" i="1"/>
  <c r="O1492" i="1"/>
  <c r="P1492" i="1"/>
  <c r="Q1492" i="1"/>
  <c r="V1491" i="1"/>
  <c r="X1491" i="1"/>
  <c r="Y1491" i="1" s="1"/>
  <c r="Q1491" i="1"/>
  <c r="P1491" i="1"/>
  <c r="O1491" i="1"/>
  <c r="V1490" i="1"/>
  <c r="X1490" i="1"/>
  <c r="Y1490" i="1" s="1"/>
  <c r="Q1490" i="1"/>
  <c r="P1490" i="1"/>
  <c r="O1490" i="1"/>
  <c r="X1489" i="1"/>
  <c r="Y1489" i="1" s="1"/>
  <c r="V1489" i="1"/>
  <c r="O1489" i="1"/>
  <c r="P1489" i="1"/>
  <c r="Q1489" i="1"/>
  <c r="X1488" i="1"/>
  <c r="Y1488" i="1" s="1"/>
  <c r="V1488" i="1"/>
  <c r="Q1488" i="1"/>
  <c r="O1488" i="1"/>
  <c r="P1488" i="1"/>
  <c r="V1487" i="1"/>
  <c r="X1487" i="1"/>
  <c r="Y1487" i="1" s="1"/>
  <c r="O1487" i="1"/>
  <c r="P1487" i="1"/>
  <c r="Q1487" i="1"/>
  <c r="V1486" i="1"/>
  <c r="X1486" i="1"/>
  <c r="Y1486" i="1" s="1"/>
  <c r="P1486" i="1"/>
  <c r="O1486" i="1"/>
  <c r="Q1486" i="1"/>
  <c r="V1485" i="1"/>
  <c r="X1485" i="1"/>
  <c r="Y1485" i="1" s="1"/>
  <c r="O1485" i="1"/>
  <c r="P1485" i="1"/>
  <c r="Q1485" i="1"/>
  <c r="V1484" i="1"/>
  <c r="X1484" i="1"/>
  <c r="Y1484" i="1" s="1"/>
  <c r="Q1484" i="1"/>
  <c r="O1484" i="1"/>
  <c r="P1484" i="1"/>
  <c r="V1483" i="1"/>
  <c r="X1483" i="1"/>
  <c r="Y1483" i="1" s="1"/>
  <c r="Q1483" i="1"/>
  <c r="P1483" i="1"/>
  <c r="O1483" i="1"/>
  <c r="X1482" i="1"/>
  <c r="Y1482" i="1" s="1"/>
  <c r="V1482" i="1"/>
  <c r="Q1482" i="1"/>
  <c r="P1482" i="1"/>
  <c r="O1482" i="1"/>
  <c r="X1481" i="1"/>
  <c r="Y1481" i="1" s="1"/>
  <c r="V1481" i="1"/>
  <c r="O1481" i="1"/>
  <c r="P1481" i="1"/>
  <c r="Q1481" i="1"/>
  <c r="X1480" i="1"/>
  <c r="Y1480" i="1" s="1"/>
  <c r="V1480" i="1"/>
  <c r="Q1480" i="1"/>
  <c r="P1480" i="1"/>
  <c r="O1480" i="1"/>
  <c r="X1479" i="1"/>
  <c r="Y1479" i="1" s="1"/>
  <c r="V1479" i="1"/>
  <c r="P1479" i="1"/>
  <c r="Q1479" i="1"/>
  <c r="O1479" i="1"/>
  <c r="X1478" i="1"/>
  <c r="Y1478" i="1" s="1"/>
  <c r="V1478" i="1"/>
  <c r="O1478" i="1"/>
  <c r="P1478" i="1"/>
  <c r="Q1478" i="1"/>
  <c r="V1477" i="1"/>
  <c r="X1477" i="1"/>
  <c r="Y1477" i="1" s="1"/>
  <c r="O1477" i="1"/>
  <c r="P1477" i="1"/>
  <c r="Q1477" i="1"/>
  <c r="X1476" i="1"/>
  <c r="Y1476" i="1" s="1"/>
  <c r="V1476" i="1"/>
  <c r="Q1476" i="1"/>
  <c r="P1476" i="1"/>
  <c r="O1476" i="1"/>
  <c r="V1475" i="1"/>
  <c r="X1475" i="1"/>
  <c r="Y1475" i="1" s="1"/>
  <c r="O1475" i="1"/>
  <c r="Q1475" i="1"/>
  <c r="P1475" i="1"/>
  <c r="V1474" i="1"/>
  <c r="X1474" i="1"/>
  <c r="Y1474" i="1" s="1"/>
  <c r="Q1474" i="1"/>
  <c r="P1474" i="1"/>
  <c r="O1474" i="1"/>
  <c r="V1473" i="1"/>
  <c r="X1473" i="1"/>
  <c r="Y1473" i="1" s="1"/>
  <c r="P1473" i="1"/>
  <c r="Q1473" i="1"/>
  <c r="O1473" i="1"/>
  <c r="X1472" i="1"/>
  <c r="Y1472" i="1" s="1"/>
  <c r="V1472" i="1"/>
  <c r="Q1472" i="1"/>
  <c r="P1472" i="1"/>
  <c r="O1472" i="1"/>
  <c r="V1471" i="1"/>
  <c r="X1471" i="1"/>
  <c r="Y1471" i="1" s="1"/>
  <c r="Q1471" i="1"/>
  <c r="P1471" i="1"/>
  <c r="O1471" i="1"/>
  <c r="V1470" i="1"/>
  <c r="X1470" i="1"/>
  <c r="Y1470" i="1" s="1"/>
  <c r="Q1470" i="1"/>
  <c r="P1470" i="1"/>
  <c r="O1470" i="1"/>
  <c r="V1469" i="1"/>
  <c r="X1469" i="1"/>
  <c r="Y1469" i="1" s="1"/>
  <c r="O1469" i="1"/>
  <c r="P1469" i="1"/>
  <c r="Q1469" i="1"/>
  <c r="X1468" i="1"/>
  <c r="Y1468" i="1" s="1"/>
  <c r="V1468" i="1"/>
  <c r="O1468" i="1"/>
  <c r="Q1468" i="1"/>
  <c r="P1468" i="1"/>
  <c r="V1467" i="1"/>
  <c r="X1467" i="1"/>
  <c r="Y1467" i="1" s="1"/>
  <c r="O1467" i="1"/>
  <c r="P1467" i="1"/>
  <c r="Q1467" i="1"/>
  <c r="V1466" i="1"/>
  <c r="X1466" i="1"/>
  <c r="Y1466" i="1" s="1"/>
  <c r="O1466" i="1"/>
  <c r="Q1466" i="1"/>
  <c r="P1466" i="1"/>
  <c r="V1465" i="1"/>
  <c r="X1465" i="1"/>
  <c r="Y1465" i="1" s="1"/>
  <c r="O1465" i="1"/>
  <c r="P1465" i="1"/>
  <c r="Q1465" i="1"/>
  <c r="V1464" i="1"/>
  <c r="X1464" i="1"/>
  <c r="Y1464" i="1" s="1"/>
  <c r="O1464" i="1"/>
  <c r="Q1464" i="1"/>
  <c r="P1464" i="1"/>
  <c r="V1463" i="1"/>
  <c r="X1463" i="1"/>
  <c r="Y1463" i="1" s="1"/>
  <c r="Q1463" i="1"/>
  <c r="P1463" i="1"/>
  <c r="O1463" i="1"/>
  <c r="X1462" i="1"/>
  <c r="Y1462" i="1" s="1"/>
  <c r="V1462" i="1"/>
  <c r="P1462" i="1"/>
  <c r="Q1462" i="1"/>
  <c r="O1462" i="1"/>
  <c r="V1461" i="1"/>
  <c r="X1461" i="1"/>
  <c r="Y1461" i="1" s="1"/>
  <c r="O1461" i="1"/>
  <c r="P1461" i="1"/>
  <c r="Q1461" i="1"/>
  <c r="X1460" i="1"/>
  <c r="Y1460" i="1" s="1"/>
  <c r="V1460" i="1"/>
  <c r="Q1460" i="1"/>
  <c r="P1460" i="1"/>
  <c r="O1460" i="1"/>
  <c r="V1459" i="1"/>
  <c r="X1459" i="1"/>
  <c r="Y1459" i="1" s="1"/>
  <c r="P1459" i="1"/>
  <c r="O1459" i="1"/>
  <c r="Q1459" i="1"/>
  <c r="X1458" i="1"/>
  <c r="Y1458" i="1" s="1"/>
  <c r="V1458" i="1"/>
  <c r="Q1458" i="1"/>
  <c r="P1458" i="1"/>
  <c r="O1458" i="1"/>
  <c r="V1457" i="1"/>
  <c r="X1457" i="1"/>
  <c r="Y1457" i="1" s="1"/>
  <c r="O1457" i="1"/>
  <c r="Q1457" i="1"/>
  <c r="P1457" i="1"/>
  <c r="X1456" i="1"/>
  <c r="Y1456" i="1" s="1"/>
  <c r="V1456" i="1"/>
  <c r="O1456" i="1"/>
  <c r="Q1456" i="1"/>
  <c r="P1456" i="1"/>
  <c r="V1455" i="1"/>
  <c r="X1455" i="1"/>
  <c r="Y1455" i="1" s="1"/>
  <c r="O1455" i="1"/>
  <c r="P1455" i="1"/>
  <c r="Q1455" i="1"/>
  <c r="V1454" i="1"/>
  <c r="X1454" i="1"/>
  <c r="Y1454" i="1" s="1"/>
  <c r="Q1454" i="1"/>
  <c r="O1454" i="1"/>
  <c r="P1454" i="1"/>
  <c r="V1453" i="1"/>
  <c r="X1453" i="1"/>
  <c r="Y1453" i="1" s="1"/>
  <c r="O1453" i="1"/>
  <c r="P1453" i="1"/>
  <c r="Q1453" i="1"/>
  <c r="V1452" i="1"/>
  <c r="X1452" i="1"/>
  <c r="Y1452" i="1" s="1"/>
  <c r="P1452" i="1"/>
  <c r="O1452" i="1"/>
  <c r="Q1452" i="1"/>
  <c r="V1451" i="1"/>
  <c r="X1451" i="1"/>
  <c r="Y1451" i="1" s="1"/>
  <c r="O1451" i="1"/>
  <c r="Q1451" i="1"/>
  <c r="P1451" i="1"/>
  <c r="V1450" i="1"/>
  <c r="X1450" i="1"/>
  <c r="Y1450" i="1" s="1"/>
  <c r="Q1450" i="1"/>
  <c r="P1450" i="1"/>
  <c r="O1450" i="1"/>
  <c r="V1449" i="1"/>
  <c r="X1449" i="1"/>
  <c r="Y1449" i="1" s="1"/>
  <c r="Q1449" i="1"/>
  <c r="P1449" i="1"/>
  <c r="O1449" i="1"/>
  <c r="X1448" i="1"/>
  <c r="Y1448" i="1" s="1"/>
  <c r="V1448" i="1"/>
  <c r="Q1448" i="1"/>
  <c r="P1448" i="1"/>
  <c r="O1448" i="1"/>
  <c r="V1447" i="1"/>
  <c r="X1447" i="1"/>
  <c r="Y1447" i="1" s="1"/>
  <c r="Q1447" i="1"/>
  <c r="P1447" i="1"/>
  <c r="O1447" i="1"/>
  <c r="V1446" i="1"/>
  <c r="X1446" i="1"/>
  <c r="Y1446" i="1" s="1"/>
  <c r="P1446" i="1"/>
  <c r="O1446" i="1"/>
  <c r="Q1446" i="1"/>
  <c r="V1445" i="1"/>
  <c r="X1445" i="1"/>
  <c r="Y1445" i="1" s="1"/>
  <c r="O1445" i="1"/>
  <c r="Q1445" i="1"/>
  <c r="P1445" i="1"/>
  <c r="X1444" i="1"/>
  <c r="Y1444" i="1" s="1"/>
  <c r="V1444" i="1"/>
  <c r="P1444" i="1"/>
  <c r="O1444" i="1"/>
  <c r="Q1444" i="1"/>
  <c r="X1443" i="1"/>
  <c r="Y1443" i="1" s="1"/>
  <c r="V1443" i="1"/>
  <c r="P1443" i="1"/>
  <c r="Q1443" i="1"/>
  <c r="O1443" i="1"/>
  <c r="X1442" i="1"/>
  <c r="Y1442" i="1" s="1"/>
  <c r="V1442" i="1"/>
  <c r="Q1442" i="1"/>
  <c r="O1442" i="1"/>
  <c r="P1442" i="1"/>
  <c r="V1441" i="1"/>
  <c r="X1441" i="1"/>
  <c r="Y1441" i="1" s="1"/>
  <c r="Q1441" i="1"/>
  <c r="P1441" i="1"/>
  <c r="O1441" i="1"/>
  <c r="X1440" i="1"/>
  <c r="Y1440" i="1" s="1"/>
  <c r="V1440" i="1"/>
  <c r="O1440" i="1"/>
  <c r="Q1440" i="1"/>
  <c r="P1440" i="1"/>
  <c r="X1439" i="1"/>
  <c r="Y1439" i="1" s="1"/>
  <c r="V1439" i="1"/>
  <c r="Q1439" i="1"/>
  <c r="P1439" i="1"/>
  <c r="O1439" i="1"/>
  <c r="X1438" i="1"/>
  <c r="Y1438" i="1" s="1"/>
  <c r="V1438" i="1"/>
  <c r="Q1438" i="1"/>
  <c r="P1438" i="1"/>
  <c r="O1438" i="1"/>
  <c r="V1437" i="1"/>
  <c r="X1437" i="1"/>
  <c r="Y1437" i="1" s="1"/>
  <c r="O1437" i="1"/>
  <c r="P1437" i="1"/>
  <c r="Q1437" i="1"/>
  <c r="X1436" i="1"/>
  <c r="Y1436" i="1" s="1"/>
  <c r="V1436" i="1"/>
  <c r="P1436" i="1"/>
  <c r="O1436" i="1"/>
  <c r="Q1436" i="1"/>
  <c r="X1435" i="1"/>
  <c r="Y1435" i="1" s="1"/>
  <c r="V1435" i="1"/>
  <c r="O1435" i="1"/>
  <c r="Q1435" i="1"/>
  <c r="P1435" i="1"/>
  <c r="X1434" i="1"/>
  <c r="Y1434" i="1" s="1"/>
  <c r="V1434" i="1"/>
  <c r="P1434" i="1"/>
  <c r="O1434" i="1"/>
  <c r="Q1434" i="1"/>
  <c r="V1433" i="1"/>
  <c r="X1433" i="1"/>
  <c r="Y1433" i="1" s="1"/>
  <c r="Q1433" i="1"/>
  <c r="O1433" i="1"/>
  <c r="P1433" i="1"/>
  <c r="X1432" i="1"/>
  <c r="Y1432" i="1" s="1"/>
  <c r="V1432" i="1"/>
  <c r="Q1432" i="1"/>
  <c r="P1432" i="1"/>
  <c r="O1432" i="1"/>
  <c r="X1431" i="1"/>
  <c r="Y1431" i="1" s="1"/>
  <c r="V1431" i="1"/>
  <c r="Q1431" i="1"/>
  <c r="P1431" i="1"/>
  <c r="O1431" i="1"/>
  <c r="P1430" i="1"/>
  <c r="O1430" i="1"/>
  <c r="Q1430" i="1"/>
  <c r="V1429" i="1"/>
  <c r="X1429" i="1"/>
  <c r="Y1429" i="1" s="1"/>
  <c r="P1429" i="1"/>
  <c r="Q1429" i="1"/>
  <c r="O1429" i="1"/>
  <c r="V1428" i="1"/>
  <c r="X1428" i="1"/>
  <c r="Y1428" i="1" s="1"/>
  <c r="O1428" i="1"/>
  <c r="P1428" i="1"/>
  <c r="Q1428" i="1"/>
  <c r="V1427" i="1"/>
  <c r="X1427" i="1"/>
  <c r="Y1427" i="1" s="1"/>
  <c r="Q1427" i="1"/>
  <c r="O1427" i="1"/>
  <c r="P1427" i="1"/>
  <c r="X1426" i="1"/>
  <c r="Y1426" i="1" s="1"/>
  <c r="V1426" i="1"/>
  <c r="P1426" i="1"/>
  <c r="O1426" i="1"/>
  <c r="Q1426" i="1"/>
  <c r="V1425" i="1"/>
  <c r="X1425" i="1"/>
  <c r="Y1425" i="1" s="1"/>
  <c r="O1425" i="1"/>
  <c r="P1425" i="1"/>
  <c r="Q1425" i="1"/>
  <c r="X1424" i="1"/>
  <c r="Y1424" i="1" s="1"/>
  <c r="V1424" i="1"/>
  <c r="O1424" i="1"/>
  <c r="Q1424" i="1"/>
  <c r="P1424" i="1"/>
  <c r="X1423" i="1"/>
  <c r="Y1423" i="1" s="1"/>
  <c r="V1423" i="1"/>
  <c r="P1423" i="1"/>
  <c r="O1423" i="1"/>
  <c r="Q1423" i="1"/>
  <c r="X1422" i="1"/>
  <c r="Y1422" i="1" s="1"/>
  <c r="V1422" i="1"/>
  <c r="O1422" i="1"/>
  <c r="P1422" i="1"/>
  <c r="Q1422" i="1"/>
  <c r="X1421" i="1"/>
  <c r="Y1421" i="1" s="1"/>
  <c r="V1421" i="1"/>
  <c r="Q1421" i="1"/>
  <c r="P1421" i="1"/>
  <c r="O1421" i="1"/>
  <c r="X1420" i="1"/>
  <c r="Y1420" i="1" s="1"/>
  <c r="V1420" i="1"/>
  <c r="P1420" i="1"/>
  <c r="Q1420" i="1"/>
  <c r="O1420" i="1"/>
  <c r="V1419" i="1"/>
  <c r="X1419" i="1"/>
  <c r="Y1419" i="1" s="1"/>
  <c r="Q1419" i="1"/>
  <c r="P1419" i="1"/>
  <c r="O1419" i="1"/>
  <c r="V1418" i="1"/>
  <c r="X1418" i="1"/>
  <c r="Y1418" i="1" s="1"/>
  <c r="O1418" i="1"/>
  <c r="Q1418" i="1"/>
  <c r="P1418" i="1"/>
  <c r="V1417" i="1"/>
  <c r="X1417" i="1"/>
  <c r="Y1417" i="1" s="1"/>
  <c r="P1417" i="1"/>
  <c r="Q1417" i="1"/>
  <c r="O1417" i="1"/>
  <c r="X1416" i="1"/>
  <c r="Y1416" i="1" s="1"/>
  <c r="V1416" i="1"/>
  <c r="Q1416" i="1"/>
  <c r="P1416" i="1"/>
  <c r="O1416" i="1"/>
  <c r="V1415" i="1"/>
  <c r="X1415" i="1"/>
  <c r="Y1415" i="1" s="1"/>
  <c r="O1415" i="1"/>
  <c r="P1415" i="1"/>
  <c r="Q1415" i="1"/>
  <c r="V1414" i="1"/>
  <c r="X1414" i="1"/>
  <c r="Y1414" i="1" s="1"/>
  <c r="P1414" i="1"/>
  <c r="O1414" i="1"/>
  <c r="Q1414" i="1"/>
  <c r="V1413" i="1"/>
  <c r="X1413" i="1"/>
  <c r="Y1413" i="1" s="1"/>
  <c r="O1413" i="1"/>
  <c r="P1413" i="1"/>
  <c r="Q1413" i="1"/>
  <c r="V1412" i="1"/>
  <c r="X1412" i="1"/>
  <c r="Y1412" i="1" s="1"/>
  <c r="Q1412" i="1"/>
  <c r="P1412" i="1"/>
  <c r="O1412" i="1"/>
  <c r="V1411" i="1"/>
  <c r="X1411" i="1"/>
  <c r="Y1411" i="1" s="1"/>
  <c r="O1411" i="1"/>
  <c r="P1411" i="1"/>
  <c r="Q1411" i="1"/>
  <c r="V1410" i="1"/>
  <c r="X1410" i="1"/>
  <c r="Y1410" i="1" s="1"/>
  <c r="O1410" i="1"/>
  <c r="Q1410" i="1"/>
  <c r="P1410" i="1"/>
  <c r="X1409" i="1"/>
  <c r="Y1409" i="1" s="1"/>
  <c r="V1409" i="1"/>
  <c r="O1409" i="1"/>
  <c r="P1409" i="1"/>
  <c r="Q1409" i="1"/>
  <c r="X1408" i="1"/>
  <c r="Y1408" i="1" s="1"/>
  <c r="V1408" i="1"/>
  <c r="O1408" i="1"/>
  <c r="P1408" i="1"/>
  <c r="Q1408" i="1"/>
  <c r="X1407" i="1"/>
  <c r="Y1407" i="1" s="1"/>
  <c r="V1407" i="1"/>
  <c r="O1407" i="1"/>
  <c r="P1407" i="1"/>
  <c r="Q1407" i="1"/>
  <c r="V1406" i="1"/>
  <c r="X1406" i="1"/>
  <c r="Y1406" i="1" s="1"/>
  <c r="P1406" i="1"/>
  <c r="Q1406" i="1"/>
  <c r="O1406" i="1"/>
  <c r="X1405" i="1"/>
  <c r="Y1405" i="1" s="1"/>
  <c r="V1405" i="1"/>
  <c r="O1405" i="1"/>
  <c r="P1405" i="1"/>
  <c r="Q1405" i="1"/>
  <c r="V1404" i="1"/>
  <c r="X1404" i="1"/>
  <c r="Y1404" i="1" s="1"/>
  <c r="Q1404" i="1"/>
  <c r="P1404" i="1"/>
  <c r="O1404" i="1"/>
  <c r="V1403" i="1"/>
  <c r="X1403" i="1"/>
  <c r="Y1403" i="1" s="1"/>
  <c r="O1403" i="1"/>
  <c r="P1403" i="1"/>
  <c r="Q1403" i="1"/>
  <c r="V1402" i="1"/>
  <c r="X1402" i="1"/>
  <c r="Y1402" i="1" s="1"/>
  <c r="O1402" i="1"/>
  <c r="Q1402" i="1"/>
  <c r="P1402" i="1"/>
  <c r="V1401" i="1"/>
  <c r="X1401" i="1"/>
  <c r="Y1401" i="1" s="1"/>
  <c r="O1401" i="1"/>
  <c r="P1401" i="1"/>
  <c r="Q1401" i="1"/>
  <c r="X1400" i="1"/>
  <c r="Y1400" i="1" s="1"/>
  <c r="V1400" i="1"/>
  <c r="Q1400" i="1"/>
  <c r="P1400" i="1"/>
  <c r="O1400" i="1"/>
  <c r="X1399" i="1"/>
  <c r="Y1399" i="1" s="1"/>
  <c r="V1399" i="1"/>
  <c r="Q1399" i="1"/>
  <c r="P1399" i="1"/>
  <c r="O1399" i="1"/>
  <c r="V1398" i="1"/>
  <c r="X1398" i="1"/>
  <c r="Y1398" i="1" s="1"/>
  <c r="O1398" i="1"/>
  <c r="P1398" i="1"/>
  <c r="Q1398" i="1"/>
  <c r="X1397" i="1"/>
  <c r="Y1397" i="1" s="1"/>
  <c r="V1397" i="1"/>
  <c r="O1397" i="1"/>
  <c r="P1397" i="1"/>
  <c r="Q1397" i="1"/>
  <c r="X1396" i="1"/>
  <c r="Y1396" i="1" s="1"/>
  <c r="V1396" i="1"/>
  <c r="Q1396" i="1"/>
  <c r="P1396" i="1"/>
  <c r="O1396" i="1"/>
  <c r="V1395" i="1"/>
  <c r="X1395" i="1"/>
  <c r="Y1395" i="1" s="1"/>
  <c r="O1395" i="1"/>
  <c r="P1395" i="1"/>
  <c r="Q1395" i="1"/>
  <c r="V1394" i="1"/>
  <c r="X1394" i="1"/>
  <c r="Y1394" i="1" s="1"/>
  <c r="O1394" i="1"/>
  <c r="P1394" i="1"/>
  <c r="Q1394" i="1"/>
  <c r="V1393" i="1"/>
  <c r="X1393" i="1"/>
  <c r="Y1393" i="1" s="1"/>
  <c r="O1393" i="1"/>
  <c r="Q1393" i="1"/>
  <c r="P1393" i="1"/>
  <c r="X1392" i="1"/>
  <c r="Y1392" i="1" s="1"/>
  <c r="V1392" i="1"/>
  <c r="O1392" i="1"/>
  <c r="P1392" i="1"/>
  <c r="Q1392" i="1"/>
  <c r="V1391" i="1"/>
  <c r="X1391" i="1"/>
  <c r="Y1391" i="1" s="1"/>
  <c r="O1391" i="1"/>
  <c r="Q1391" i="1"/>
  <c r="P1391" i="1"/>
  <c r="X1390" i="1"/>
  <c r="Y1390" i="1" s="1"/>
  <c r="V1390" i="1"/>
  <c r="Q1390" i="1"/>
  <c r="P1390" i="1"/>
  <c r="O1390" i="1"/>
  <c r="V1389" i="1"/>
  <c r="X1389" i="1"/>
  <c r="Y1389" i="1" s="1"/>
  <c r="Q1389" i="1"/>
  <c r="P1389" i="1"/>
  <c r="O1389" i="1"/>
  <c r="X1388" i="1"/>
  <c r="Y1388" i="1" s="1"/>
  <c r="V1388" i="1"/>
  <c r="Q1388" i="1"/>
  <c r="P1388" i="1"/>
  <c r="O1388" i="1"/>
  <c r="V1387" i="1"/>
  <c r="X1387" i="1"/>
  <c r="Y1387" i="1" s="1"/>
  <c r="O1387" i="1"/>
  <c r="P1387" i="1"/>
  <c r="Q1387" i="1"/>
  <c r="X1386" i="1"/>
  <c r="Y1386" i="1" s="1"/>
  <c r="V1386" i="1"/>
  <c r="P1386" i="1"/>
  <c r="O1386" i="1"/>
  <c r="Q1386" i="1"/>
  <c r="V1385" i="1"/>
  <c r="X1385" i="1"/>
  <c r="Y1385" i="1" s="1"/>
  <c r="P1385" i="1"/>
  <c r="O1385" i="1"/>
  <c r="Q1385" i="1"/>
  <c r="X1384" i="1"/>
  <c r="Y1384" i="1" s="1"/>
  <c r="V1384" i="1"/>
  <c r="Q1384" i="1"/>
  <c r="P1384" i="1"/>
  <c r="O1384" i="1"/>
  <c r="X1383" i="1"/>
  <c r="Y1383" i="1" s="1"/>
  <c r="V1383" i="1"/>
  <c r="P1383" i="1"/>
  <c r="Q1383" i="1"/>
  <c r="O1383" i="1"/>
  <c r="V1382" i="1"/>
  <c r="X1382" i="1"/>
  <c r="Y1382" i="1" s="1"/>
  <c r="O1382" i="1"/>
  <c r="Q1382" i="1"/>
  <c r="P1382" i="1"/>
  <c r="V1381" i="1"/>
  <c r="X1381" i="1"/>
  <c r="Y1381" i="1" s="1"/>
  <c r="Q1381" i="1"/>
  <c r="O1381" i="1"/>
  <c r="P1381" i="1"/>
  <c r="X1380" i="1"/>
  <c r="Y1380" i="1" s="1"/>
  <c r="V1380" i="1"/>
  <c r="Q1380" i="1"/>
  <c r="P1380" i="1"/>
  <c r="O1380" i="1"/>
  <c r="V1379" i="1"/>
  <c r="X1379" i="1"/>
  <c r="Y1379" i="1" s="1"/>
  <c r="P1379" i="1"/>
  <c r="Q1379" i="1"/>
  <c r="O1379" i="1"/>
  <c r="X1378" i="1"/>
  <c r="Y1378" i="1" s="1"/>
  <c r="V1378" i="1"/>
  <c r="Q1378" i="1"/>
  <c r="P1378" i="1"/>
  <c r="O1378" i="1"/>
  <c r="V1377" i="1"/>
  <c r="X1377" i="1"/>
  <c r="Y1377" i="1" s="1"/>
  <c r="P1377" i="1"/>
  <c r="O1377" i="1"/>
  <c r="Q1377" i="1"/>
  <c r="V1376" i="1"/>
  <c r="X1376" i="1"/>
  <c r="Y1376" i="1" s="1"/>
  <c r="O1376" i="1"/>
  <c r="Q1376" i="1"/>
  <c r="P1376" i="1"/>
  <c r="X1375" i="1"/>
  <c r="Y1375" i="1" s="1"/>
  <c r="V1375" i="1"/>
  <c r="O1375" i="1"/>
  <c r="Q1375" i="1"/>
  <c r="P1375" i="1"/>
  <c r="V1374" i="1"/>
  <c r="X1374" i="1"/>
  <c r="Y1374" i="1" s="1"/>
  <c r="O1374" i="1"/>
  <c r="P1374" i="1"/>
  <c r="Q1374" i="1"/>
  <c r="V1373" i="1"/>
  <c r="X1373" i="1"/>
  <c r="Y1373" i="1" s="1"/>
  <c r="P1373" i="1"/>
  <c r="Q1373" i="1"/>
  <c r="O1373" i="1"/>
  <c r="X1372" i="1"/>
  <c r="Y1372" i="1" s="1"/>
  <c r="V1372" i="1"/>
  <c r="Q1372" i="1"/>
  <c r="P1372" i="1"/>
  <c r="O1372" i="1"/>
  <c r="X1371" i="1"/>
  <c r="Y1371" i="1" s="1"/>
  <c r="V1371" i="1"/>
  <c r="O1371" i="1"/>
  <c r="Q1371" i="1"/>
  <c r="P1371" i="1"/>
  <c r="X1370" i="1"/>
  <c r="Y1370" i="1" s="1"/>
  <c r="V1370" i="1"/>
  <c r="O1370" i="1"/>
  <c r="P1370" i="1"/>
  <c r="Q1370" i="1"/>
  <c r="V1369" i="1"/>
  <c r="X1369" i="1"/>
  <c r="Y1369" i="1" s="1"/>
  <c r="O1369" i="1"/>
  <c r="P1369" i="1"/>
  <c r="Q1369" i="1"/>
  <c r="V1368" i="1"/>
  <c r="X1368" i="1"/>
  <c r="Y1368" i="1" s="1"/>
  <c r="P1368" i="1"/>
  <c r="Q1368" i="1"/>
  <c r="O1368" i="1"/>
  <c r="X1367" i="1"/>
  <c r="Y1367" i="1" s="1"/>
  <c r="V1367" i="1"/>
  <c r="P1367" i="1"/>
  <c r="Q1367" i="1"/>
  <c r="O1367" i="1"/>
  <c r="X1366" i="1"/>
  <c r="Y1366" i="1" s="1"/>
  <c r="V1366" i="1"/>
  <c r="Q1366" i="1"/>
  <c r="P1366" i="1"/>
  <c r="O1366" i="1"/>
  <c r="X1365" i="1"/>
  <c r="Y1365" i="1" s="1"/>
  <c r="V1365" i="1"/>
  <c r="O1365" i="1"/>
  <c r="P1365" i="1"/>
  <c r="Q1365" i="1"/>
  <c r="V1364" i="1"/>
  <c r="X1364" i="1"/>
  <c r="Y1364" i="1" s="1"/>
  <c r="O1364" i="1"/>
  <c r="P1364" i="1"/>
  <c r="Q1364" i="1"/>
  <c r="X1363" i="1"/>
  <c r="Y1363" i="1" s="1"/>
  <c r="V1363" i="1"/>
  <c r="Q1363" i="1"/>
  <c r="P1363" i="1"/>
  <c r="O1363" i="1"/>
  <c r="V1362" i="1"/>
  <c r="X1362" i="1"/>
  <c r="Y1362" i="1" s="1"/>
  <c r="O1362" i="1"/>
  <c r="P1362" i="1"/>
  <c r="Q1362" i="1"/>
  <c r="X1361" i="1"/>
  <c r="Y1361" i="1" s="1"/>
  <c r="V1361" i="1"/>
  <c r="Q1361" i="1"/>
  <c r="P1361" i="1"/>
  <c r="O1361" i="1"/>
  <c r="X1360" i="1"/>
  <c r="Y1360" i="1" s="1"/>
  <c r="V1360" i="1"/>
  <c r="Q1360" i="1"/>
  <c r="P1360" i="1"/>
  <c r="O1360" i="1"/>
  <c r="X1359" i="1"/>
  <c r="Y1359" i="1" s="1"/>
  <c r="V1359" i="1"/>
  <c r="P1359" i="1"/>
  <c r="Q1359" i="1"/>
  <c r="O1359" i="1"/>
  <c r="V1358" i="1"/>
  <c r="X1358" i="1"/>
  <c r="Y1358" i="1" s="1"/>
  <c r="O1358" i="1"/>
  <c r="Q1358" i="1"/>
  <c r="P1358" i="1"/>
  <c r="V1357" i="1"/>
  <c r="X1357" i="1"/>
  <c r="Y1357" i="1" s="1"/>
  <c r="O1357" i="1"/>
  <c r="Q1357" i="1"/>
  <c r="P1357" i="1"/>
  <c r="X1356" i="1"/>
  <c r="Y1356" i="1" s="1"/>
  <c r="V1356" i="1"/>
  <c r="Q1356" i="1"/>
  <c r="P1356" i="1"/>
  <c r="O1356" i="1"/>
  <c r="V1355" i="1"/>
  <c r="X1355" i="1"/>
  <c r="Y1355" i="1" s="1"/>
  <c r="O1355" i="1"/>
  <c r="P1355" i="1"/>
  <c r="Q1355" i="1"/>
  <c r="X1354" i="1"/>
  <c r="Y1354" i="1" s="1"/>
  <c r="V1354" i="1"/>
  <c r="O1354" i="1"/>
  <c r="Q1354" i="1"/>
  <c r="P1354" i="1"/>
  <c r="V1353" i="1"/>
  <c r="X1353" i="1"/>
  <c r="Y1353" i="1" s="1"/>
  <c r="Q1353" i="1"/>
  <c r="P1353" i="1"/>
  <c r="O1353" i="1"/>
  <c r="X1352" i="1"/>
  <c r="Y1352" i="1" s="1"/>
  <c r="V1352" i="1"/>
  <c r="P1352" i="1"/>
  <c r="O1352" i="1"/>
  <c r="Q1352" i="1"/>
  <c r="V1351" i="1"/>
  <c r="X1351" i="1"/>
  <c r="Y1351" i="1" s="1"/>
  <c r="P1351" i="1"/>
  <c r="Q1351" i="1"/>
  <c r="O1351" i="1"/>
  <c r="V1350" i="1"/>
  <c r="X1350" i="1"/>
  <c r="Y1350" i="1" s="1"/>
  <c r="Q1350" i="1"/>
  <c r="P1350" i="1"/>
  <c r="O1350" i="1"/>
  <c r="X1349" i="1"/>
  <c r="Y1349" i="1" s="1"/>
  <c r="V1349" i="1"/>
  <c r="Q1349" i="1"/>
  <c r="P1349" i="1"/>
  <c r="O1349" i="1"/>
  <c r="X1348" i="1"/>
  <c r="Y1348" i="1" s="1"/>
  <c r="V1348" i="1"/>
  <c r="Q1348" i="1"/>
  <c r="O1348" i="1"/>
  <c r="P1348" i="1"/>
  <c r="X1347" i="1"/>
  <c r="Y1347" i="1" s="1"/>
  <c r="V1347" i="1"/>
  <c r="O1347" i="1"/>
  <c r="P1347" i="1"/>
  <c r="Q1347" i="1"/>
  <c r="V1346" i="1"/>
  <c r="X1346" i="1"/>
  <c r="Y1346" i="1" s="1"/>
  <c r="Q1346" i="1"/>
  <c r="O1346" i="1"/>
  <c r="P1346" i="1"/>
  <c r="X1345" i="1"/>
  <c r="Y1345" i="1" s="1"/>
  <c r="V1345" i="1"/>
  <c r="O1345" i="1"/>
  <c r="Q1345" i="1"/>
  <c r="P1345" i="1"/>
  <c r="V1344" i="1"/>
  <c r="X1344" i="1"/>
  <c r="Y1344" i="1" s="1"/>
  <c r="P1344" i="1"/>
  <c r="Q1344" i="1"/>
  <c r="O1344" i="1"/>
  <c r="X1343" i="1"/>
  <c r="Y1343" i="1" s="1"/>
  <c r="V1343" i="1"/>
  <c r="P1343" i="1"/>
  <c r="Q1343" i="1"/>
  <c r="O1343" i="1"/>
  <c r="X1342" i="1"/>
  <c r="Y1342" i="1" s="1"/>
  <c r="V1342" i="1"/>
  <c r="P1342" i="1"/>
  <c r="O1342" i="1"/>
  <c r="Q1342" i="1"/>
  <c r="V1341" i="1"/>
  <c r="X1341" i="1"/>
  <c r="Y1341" i="1" s="1"/>
  <c r="P1341" i="1"/>
  <c r="Q1341" i="1"/>
  <c r="O1341" i="1"/>
  <c r="V1340" i="1"/>
  <c r="X1340" i="1"/>
  <c r="Y1340" i="1" s="1"/>
  <c r="O1340" i="1"/>
  <c r="Q1340" i="1"/>
  <c r="P1340" i="1"/>
  <c r="V1339" i="1"/>
  <c r="X1339" i="1"/>
  <c r="Y1339" i="1" s="1"/>
  <c r="O1339" i="1"/>
  <c r="P1339" i="1"/>
  <c r="Q1339" i="1"/>
  <c r="V1338" i="1"/>
  <c r="X1338" i="1"/>
  <c r="Y1338" i="1" s="1"/>
  <c r="P1338" i="1"/>
  <c r="Q1338" i="1"/>
  <c r="O1338" i="1"/>
  <c r="X1337" i="1"/>
  <c r="Y1337" i="1" s="1"/>
  <c r="V1337" i="1"/>
  <c r="P1337" i="1"/>
  <c r="Q1337" i="1"/>
  <c r="O1337" i="1"/>
  <c r="X1336" i="1"/>
  <c r="Y1336" i="1" s="1"/>
  <c r="V1336" i="1"/>
  <c r="O1336" i="1"/>
  <c r="P1336" i="1"/>
  <c r="Q1336" i="1"/>
  <c r="X1335" i="1"/>
  <c r="Y1335" i="1" s="1"/>
  <c r="V1335" i="1"/>
  <c r="Q1335" i="1"/>
  <c r="P1335" i="1"/>
  <c r="O1335" i="1"/>
  <c r="V1334" i="1"/>
  <c r="X1334" i="1"/>
  <c r="Y1334" i="1" s="1"/>
  <c r="O1334" i="1"/>
  <c r="Q1334" i="1"/>
  <c r="P1334" i="1"/>
  <c r="X1333" i="1"/>
  <c r="Y1333" i="1" s="1"/>
  <c r="V1333" i="1"/>
  <c r="O1333" i="1"/>
  <c r="Q1333" i="1"/>
  <c r="P1333" i="1"/>
  <c r="V1332" i="1"/>
  <c r="X1332" i="1"/>
  <c r="Y1332" i="1" s="1"/>
  <c r="O1332" i="1"/>
  <c r="P1332" i="1"/>
  <c r="Q1332" i="1"/>
  <c r="X1331" i="1"/>
  <c r="Y1331" i="1" s="1"/>
  <c r="V1331" i="1"/>
  <c r="O1331" i="1"/>
  <c r="Q1331" i="1"/>
  <c r="P1331" i="1"/>
  <c r="V1330" i="1"/>
  <c r="X1330" i="1"/>
  <c r="Y1330" i="1" s="1"/>
  <c r="Q1330" i="1"/>
  <c r="P1330" i="1"/>
  <c r="O1330" i="1"/>
  <c r="V1329" i="1"/>
  <c r="X1329" i="1"/>
  <c r="Y1329" i="1" s="1"/>
  <c r="O1329" i="1"/>
  <c r="P1329" i="1"/>
  <c r="Q1329" i="1"/>
  <c r="X1328" i="1"/>
  <c r="Y1328" i="1" s="1"/>
  <c r="V1328" i="1"/>
  <c r="Q1328" i="1"/>
  <c r="P1328" i="1"/>
  <c r="O1328" i="1"/>
  <c r="X1327" i="1"/>
  <c r="Y1327" i="1" s="1"/>
  <c r="V1327" i="1"/>
  <c r="P1327" i="1"/>
  <c r="O1327" i="1"/>
  <c r="Q1327" i="1"/>
  <c r="X1326" i="1"/>
  <c r="Y1326" i="1" s="1"/>
  <c r="V1326" i="1"/>
  <c r="Q1326" i="1"/>
  <c r="P1326" i="1"/>
  <c r="O1326" i="1"/>
  <c r="V1325" i="1"/>
  <c r="X1325" i="1"/>
  <c r="Y1325" i="1" s="1"/>
  <c r="P1325" i="1"/>
  <c r="O1325" i="1"/>
  <c r="Q1325" i="1"/>
  <c r="X1324" i="1"/>
  <c r="Y1324" i="1" s="1"/>
  <c r="V1324" i="1"/>
  <c r="Q1324" i="1"/>
  <c r="P1324" i="1"/>
  <c r="O1324" i="1"/>
  <c r="X1323" i="1"/>
  <c r="Y1323" i="1" s="1"/>
  <c r="V1323" i="1"/>
  <c r="O1323" i="1"/>
  <c r="Q1323" i="1"/>
  <c r="P1323" i="1"/>
  <c r="V1322" i="1"/>
  <c r="X1322" i="1"/>
  <c r="Y1322" i="1" s="1"/>
  <c r="P1322" i="1"/>
  <c r="O1322" i="1"/>
  <c r="Q1322" i="1"/>
  <c r="V1321" i="1"/>
  <c r="X1321" i="1"/>
  <c r="Y1321" i="1" s="1"/>
  <c r="O1321" i="1"/>
  <c r="P1321" i="1"/>
  <c r="Q1321" i="1"/>
  <c r="X1320" i="1"/>
  <c r="Y1320" i="1" s="1"/>
  <c r="V1320" i="1"/>
  <c r="O1320" i="1"/>
  <c r="P1320" i="1"/>
  <c r="Q1320" i="1"/>
  <c r="X1319" i="1"/>
  <c r="Y1319" i="1" s="1"/>
  <c r="V1319" i="1"/>
  <c r="O1319" i="1"/>
  <c r="Q1319" i="1"/>
  <c r="P1319" i="1"/>
  <c r="V1318" i="1"/>
  <c r="X1318" i="1"/>
  <c r="Y1318" i="1" s="1"/>
  <c r="Q1318" i="1"/>
  <c r="P1318" i="1"/>
  <c r="O1318" i="1"/>
  <c r="V1317" i="1"/>
  <c r="X1317" i="1"/>
  <c r="Y1317" i="1" s="1"/>
  <c r="Q1317" i="1"/>
  <c r="O1317" i="1"/>
  <c r="P1317" i="1"/>
  <c r="V1316" i="1"/>
  <c r="X1316" i="1"/>
  <c r="Y1316" i="1" s="1"/>
  <c r="O1316" i="1"/>
  <c r="Q1316" i="1"/>
  <c r="P1316" i="1"/>
  <c r="V1315" i="1"/>
  <c r="X1315" i="1"/>
  <c r="Y1315" i="1" s="1"/>
  <c r="Q1315" i="1"/>
  <c r="P1315" i="1"/>
  <c r="O1315" i="1"/>
  <c r="V1314" i="1"/>
  <c r="X1314" i="1"/>
  <c r="Y1314" i="1" s="1"/>
  <c r="Q1314" i="1"/>
  <c r="O1314" i="1"/>
  <c r="P1314" i="1"/>
  <c r="X1313" i="1"/>
  <c r="Y1313" i="1" s="1"/>
  <c r="V1313" i="1"/>
  <c r="O1313" i="1"/>
  <c r="Q1313" i="1"/>
  <c r="P1313" i="1"/>
  <c r="V1312" i="1"/>
  <c r="X1312" i="1"/>
  <c r="Y1312" i="1" s="1"/>
  <c r="O1312" i="1"/>
  <c r="P1312" i="1"/>
  <c r="Q1312" i="1"/>
  <c r="V1311" i="1"/>
  <c r="X1311" i="1"/>
  <c r="Y1311" i="1" s="1"/>
  <c r="O1311" i="1"/>
  <c r="P1311" i="1"/>
  <c r="Q1311" i="1"/>
  <c r="X1310" i="1"/>
  <c r="Y1310" i="1" s="1"/>
  <c r="V1310" i="1"/>
  <c r="O1310" i="1"/>
  <c r="P1310" i="1"/>
  <c r="Q1310" i="1"/>
  <c r="V1309" i="1"/>
  <c r="X1309" i="1"/>
  <c r="Y1309" i="1" s="1"/>
  <c r="O1309" i="1"/>
  <c r="P1309" i="1"/>
  <c r="Q1309" i="1"/>
  <c r="V1308" i="1"/>
  <c r="X1308" i="1"/>
  <c r="Y1308" i="1" s="1"/>
  <c r="P1308" i="1"/>
  <c r="Q1308" i="1"/>
  <c r="O1308" i="1"/>
  <c r="X1307" i="1"/>
  <c r="Y1307" i="1" s="1"/>
  <c r="V1307" i="1"/>
  <c r="Q1307" i="1"/>
  <c r="O1307" i="1"/>
  <c r="P1307" i="1"/>
  <c r="X1306" i="1"/>
  <c r="Y1306" i="1" s="1"/>
  <c r="V1306" i="1"/>
  <c r="O1306" i="1"/>
  <c r="Q1306" i="1"/>
  <c r="P1306" i="1"/>
  <c r="X1305" i="1"/>
  <c r="Y1305" i="1" s="1"/>
  <c r="V1305" i="1"/>
  <c r="Q1305" i="1"/>
  <c r="P1305" i="1"/>
  <c r="O1305" i="1"/>
  <c r="X1304" i="1"/>
  <c r="Y1304" i="1" s="1"/>
  <c r="V1304" i="1"/>
  <c r="P1304" i="1"/>
  <c r="Q1304" i="1"/>
  <c r="O1304" i="1"/>
  <c r="V1303" i="1"/>
  <c r="X1303" i="1"/>
  <c r="Y1303" i="1" s="1"/>
  <c r="Q1303" i="1"/>
  <c r="P1303" i="1"/>
  <c r="O1303" i="1"/>
  <c r="V1302" i="1"/>
  <c r="X1302" i="1"/>
  <c r="Y1302" i="1" s="1"/>
  <c r="Q1302" i="1"/>
  <c r="P1302" i="1"/>
  <c r="O1302" i="1"/>
  <c r="X1301" i="1"/>
  <c r="Y1301" i="1" s="1"/>
  <c r="V1301" i="1"/>
  <c r="Q1301" i="1"/>
  <c r="O1301" i="1"/>
  <c r="P1301" i="1"/>
  <c r="V1300" i="1"/>
  <c r="X1300" i="1"/>
  <c r="Y1300" i="1" s="1"/>
  <c r="O1300" i="1"/>
  <c r="P1300" i="1"/>
  <c r="Q1300" i="1"/>
  <c r="V1299" i="1"/>
  <c r="X1299" i="1"/>
  <c r="Y1299" i="1" s="1"/>
  <c r="O1299" i="1"/>
  <c r="Q1299" i="1"/>
  <c r="P1299" i="1"/>
  <c r="X1298" i="1"/>
  <c r="Y1298" i="1" s="1"/>
  <c r="V1298" i="1"/>
  <c r="O1298" i="1"/>
  <c r="P1298" i="1"/>
  <c r="Q1298" i="1"/>
  <c r="V1297" i="1"/>
  <c r="X1297" i="1"/>
  <c r="Y1297" i="1" s="1"/>
  <c r="P1297" i="1"/>
  <c r="Q1297" i="1"/>
  <c r="O1297" i="1"/>
  <c r="X1296" i="1"/>
  <c r="Y1296" i="1" s="1"/>
  <c r="V1296" i="1"/>
  <c r="Q1296" i="1"/>
  <c r="P1296" i="1"/>
  <c r="O1296" i="1"/>
  <c r="X1295" i="1"/>
  <c r="Y1295" i="1" s="1"/>
  <c r="V1295" i="1"/>
  <c r="P1295" i="1"/>
  <c r="Q1295" i="1"/>
  <c r="O1295" i="1"/>
  <c r="V1294" i="1"/>
  <c r="X1294" i="1"/>
  <c r="Y1294" i="1" s="1"/>
  <c r="O1294" i="1"/>
  <c r="P1294" i="1"/>
  <c r="Q1294" i="1"/>
  <c r="X1293" i="1"/>
  <c r="Y1293" i="1" s="1"/>
  <c r="V1293" i="1"/>
  <c r="Q1293" i="1"/>
  <c r="P1293" i="1"/>
  <c r="O1293" i="1"/>
  <c r="V1292" i="1"/>
  <c r="X1292" i="1"/>
  <c r="Y1292" i="1" s="1"/>
  <c r="O1292" i="1"/>
  <c r="P1292" i="1"/>
  <c r="Q1292" i="1"/>
  <c r="X1291" i="1"/>
  <c r="Y1291" i="1" s="1"/>
  <c r="V1291" i="1"/>
  <c r="O1291" i="1"/>
  <c r="Q1291" i="1"/>
  <c r="P1291" i="1"/>
  <c r="X1290" i="1"/>
  <c r="Y1290" i="1" s="1"/>
  <c r="V1290" i="1"/>
  <c r="P1290" i="1"/>
  <c r="O1290" i="1"/>
  <c r="Q1290" i="1"/>
  <c r="X1289" i="1"/>
  <c r="Y1289" i="1" s="1"/>
  <c r="V1289" i="1"/>
  <c r="O1289" i="1"/>
  <c r="Q1289" i="1"/>
  <c r="P1289" i="1"/>
  <c r="X1288" i="1"/>
  <c r="Y1288" i="1" s="1"/>
  <c r="V1288" i="1"/>
  <c r="P1288" i="1"/>
  <c r="Q1288" i="1"/>
  <c r="O1288" i="1"/>
  <c r="V1287" i="1"/>
  <c r="X1287" i="1"/>
  <c r="Y1287" i="1" s="1"/>
  <c r="O1287" i="1"/>
  <c r="P1287" i="1"/>
  <c r="Q1287" i="1"/>
  <c r="X1286" i="1"/>
  <c r="Y1286" i="1" s="1"/>
  <c r="V1286" i="1"/>
  <c r="O1286" i="1"/>
  <c r="P1286" i="1"/>
  <c r="Q1286" i="1"/>
  <c r="V1285" i="1"/>
  <c r="X1285" i="1"/>
  <c r="Y1285" i="1" s="1"/>
  <c r="P1285" i="1"/>
  <c r="Q1285" i="1"/>
  <c r="O1285" i="1"/>
  <c r="X1284" i="1"/>
  <c r="Y1284" i="1" s="1"/>
  <c r="V1284" i="1"/>
  <c r="O1284" i="1"/>
  <c r="P1284" i="1"/>
  <c r="Q1284" i="1"/>
  <c r="V1283" i="1"/>
  <c r="X1283" i="1"/>
  <c r="Y1283" i="1" s="1"/>
  <c r="O1283" i="1"/>
  <c r="Q1283" i="1"/>
  <c r="P1283" i="1"/>
  <c r="X1282" i="1"/>
  <c r="Y1282" i="1" s="1"/>
  <c r="V1282" i="1"/>
  <c r="Q1282" i="1"/>
  <c r="P1282" i="1"/>
  <c r="O1282" i="1"/>
  <c r="V1281" i="1"/>
  <c r="X1281" i="1"/>
  <c r="Y1281" i="1" s="1"/>
  <c r="Q1281" i="1"/>
  <c r="P1281" i="1"/>
  <c r="O1281" i="1"/>
  <c r="X1280" i="1"/>
  <c r="Y1280" i="1" s="1"/>
  <c r="V1280" i="1"/>
  <c r="O1280" i="1"/>
  <c r="P1280" i="1"/>
  <c r="Q1280" i="1"/>
  <c r="V1279" i="1"/>
  <c r="X1279" i="1"/>
  <c r="Y1279" i="1" s="1"/>
  <c r="O1279" i="1"/>
  <c r="Q1279" i="1"/>
  <c r="P1279" i="1"/>
  <c r="V1278" i="1"/>
  <c r="X1278" i="1"/>
  <c r="Y1278" i="1" s="1"/>
  <c r="P1278" i="1"/>
  <c r="Q1278" i="1"/>
  <c r="O1278" i="1"/>
  <c r="V1277" i="1"/>
  <c r="X1277" i="1"/>
  <c r="Y1277" i="1" s="1"/>
  <c r="Q1277" i="1"/>
  <c r="P1277" i="1"/>
  <c r="O1277" i="1"/>
  <c r="V1276" i="1"/>
  <c r="X1276" i="1"/>
  <c r="Y1276" i="1" s="1"/>
  <c r="O1276" i="1"/>
  <c r="P1276" i="1"/>
  <c r="Q1276" i="1"/>
  <c r="V1275" i="1"/>
  <c r="X1275" i="1"/>
  <c r="Y1275" i="1" s="1"/>
  <c r="O1275" i="1"/>
  <c r="P1275" i="1"/>
  <c r="Q1275" i="1"/>
  <c r="X1274" i="1"/>
  <c r="Y1274" i="1" s="1"/>
  <c r="V1274" i="1"/>
  <c r="Q1274" i="1"/>
  <c r="P1274" i="1"/>
  <c r="O1274" i="1"/>
  <c r="X1273" i="1"/>
  <c r="Y1273" i="1" s="1"/>
  <c r="V1273" i="1"/>
  <c r="Q1273" i="1"/>
  <c r="O1273" i="1"/>
  <c r="P1273" i="1"/>
  <c r="V1272" i="1"/>
  <c r="X1272" i="1"/>
  <c r="Y1272" i="1" s="1"/>
  <c r="O1272" i="1"/>
  <c r="P1272" i="1"/>
  <c r="Q1272" i="1"/>
  <c r="X1271" i="1"/>
  <c r="Y1271" i="1" s="1"/>
  <c r="V1271" i="1"/>
  <c r="Q1271" i="1"/>
  <c r="O1271" i="1"/>
  <c r="P1271" i="1"/>
  <c r="X1270" i="1"/>
  <c r="Y1270" i="1" s="1"/>
  <c r="V1270" i="1"/>
  <c r="Q1270" i="1"/>
  <c r="P1270" i="1"/>
  <c r="O1270" i="1"/>
  <c r="X1269" i="1"/>
  <c r="Y1269" i="1" s="1"/>
  <c r="V1269" i="1"/>
  <c r="P1269" i="1"/>
  <c r="O1269" i="1"/>
  <c r="Q1269" i="1"/>
  <c r="V1268" i="1"/>
  <c r="X1268" i="1"/>
  <c r="Y1268" i="1" s="1"/>
  <c r="O1268" i="1"/>
  <c r="P1268" i="1"/>
  <c r="Q1268" i="1"/>
  <c r="X1267" i="1"/>
  <c r="Y1267" i="1" s="1"/>
  <c r="V1267" i="1"/>
  <c r="O1267" i="1"/>
  <c r="P1267" i="1"/>
  <c r="Q1267" i="1"/>
  <c r="X1266" i="1"/>
  <c r="Y1266" i="1" s="1"/>
  <c r="V1266" i="1"/>
  <c r="Q1266" i="1"/>
  <c r="P1266" i="1"/>
  <c r="O1266" i="1"/>
  <c r="X1265" i="1"/>
  <c r="Y1265" i="1" s="1"/>
  <c r="V1265" i="1"/>
  <c r="Q1265" i="1"/>
  <c r="O1265" i="1"/>
  <c r="P1265" i="1"/>
  <c r="V1264" i="1"/>
  <c r="X1264" i="1"/>
  <c r="Y1264" i="1" s="1"/>
  <c r="O1264" i="1"/>
  <c r="P1264" i="1"/>
  <c r="Q1264" i="1"/>
  <c r="X1263" i="1"/>
  <c r="Y1263" i="1" s="1"/>
  <c r="V1263" i="1"/>
  <c r="Q1263" i="1"/>
  <c r="P1263" i="1"/>
  <c r="O1263" i="1"/>
  <c r="V1262" i="1"/>
  <c r="X1262" i="1"/>
  <c r="Y1262" i="1" s="1"/>
  <c r="P1262" i="1"/>
  <c r="Q1262" i="1"/>
  <c r="O1262" i="1"/>
  <c r="V1261" i="1"/>
  <c r="X1261" i="1"/>
  <c r="Y1261" i="1" s="1"/>
  <c r="O1261" i="1"/>
  <c r="P1261" i="1"/>
  <c r="Q1261" i="1"/>
  <c r="X1260" i="1"/>
  <c r="Y1260" i="1" s="1"/>
  <c r="V1260" i="1"/>
  <c r="Q1260" i="1"/>
  <c r="O1260" i="1"/>
  <c r="P1260" i="1"/>
  <c r="V1259" i="1"/>
  <c r="X1259" i="1"/>
  <c r="Y1259" i="1" s="1"/>
  <c r="Q1259" i="1"/>
  <c r="P1259" i="1"/>
  <c r="O1259" i="1"/>
  <c r="V1258" i="1"/>
  <c r="X1258" i="1"/>
  <c r="Y1258" i="1" s="1"/>
  <c r="P1258" i="1"/>
  <c r="O1258" i="1"/>
  <c r="Q1258" i="1"/>
  <c r="X1257" i="1"/>
  <c r="Y1257" i="1" s="1"/>
  <c r="V1257" i="1"/>
  <c r="O1257" i="1"/>
  <c r="Q1257" i="1"/>
  <c r="P1257" i="1"/>
  <c r="X1256" i="1"/>
  <c r="Y1256" i="1" s="1"/>
  <c r="V1256" i="1"/>
  <c r="Q1256" i="1"/>
  <c r="O1256" i="1"/>
  <c r="P1256" i="1"/>
  <c r="V1255" i="1"/>
  <c r="X1255" i="1"/>
  <c r="Y1255" i="1" s="1"/>
  <c r="Q1255" i="1"/>
  <c r="P1255" i="1"/>
  <c r="O1255" i="1"/>
  <c r="V1254" i="1"/>
  <c r="X1254" i="1"/>
  <c r="Y1254" i="1" s="1"/>
  <c r="O1254" i="1"/>
  <c r="Q1254" i="1"/>
  <c r="P1254" i="1"/>
  <c r="X1253" i="1"/>
  <c r="Y1253" i="1" s="1"/>
  <c r="V1253" i="1"/>
  <c r="Q1253" i="1"/>
  <c r="O1253" i="1"/>
  <c r="P1253" i="1"/>
  <c r="X1252" i="1"/>
  <c r="Y1252" i="1" s="1"/>
  <c r="V1252" i="1"/>
  <c r="Q1252" i="1"/>
  <c r="P1252" i="1"/>
  <c r="O1252" i="1"/>
  <c r="X1251" i="1"/>
  <c r="Y1251" i="1" s="1"/>
  <c r="V1251" i="1"/>
  <c r="O1251" i="1"/>
  <c r="P1251" i="1"/>
  <c r="Q1251" i="1"/>
  <c r="V1250" i="1"/>
  <c r="X1250" i="1"/>
  <c r="Y1250" i="1" s="1"/>
  <c r="O1250" i="1"/>
  <c r="Q1250" i="1"/>
  <c r="P1250" i="1"/>
  <c r="X1249" i="1"/>
  <c r="Y1249" i="1" s="1"/>
  <c r="V1249" i="1"/>
  <c r="Q1249" i="1"/>
  <c r="O1249" i="1"/>
  <c r="P1249" i="1"/>
  <c r="V1248" i="1"/>
  <c r="X1248" i="1"/>
  <c r="Y1248" i="1" s="1"/>
  <c r="O1248" i="1"/>
  <c r="Q1248" i="1"/>
  <c r="P1248" i="1"/>
  <c r="X1247" i="1"/>
  <c r="Y1247" i="1" s="1"/>
  <c r="V1247" i="1"/>
  <c r="O1247" i="1"/>
  <c r="Q1247" i="1"/>
  <c r="P1247" i="1"/>
  <c r="V1246" i="1"/>
  <c r="X1246" i="1"/>
  <c r="Y1246" i="1" s="1"/>
  <c r="O1246" i="1"/>
  <c r="P1246" i="1"/>
  <c r="Q1246" i="1"/>
  <c r="X1245" i="1"/>
  <c r="Y1245" i="1" s="1"/>
  <c r="V1245" i="1"/>
  <c r="Q1245" i="1"/>
  <c r="P1245" i="1"/>
  <c r="O1245" i="1"/>
  <c r="V1244" i="1"/>
  <c r="X1244" i="1"/>
  <c r="Y1244" i="1" s="1"/>
  <c r="Q1244" i="1"/>
  <c r="O1244" i="1"/>
  <c r="P1244" i="1"/>
  <c r="V1243" i="1"/>
  <c r="X1243" i="1"/>
  <c r="Y1243" i="1" s="1"/>
  <c r="Q1243" i="1"/>
  <c r="P1243" i="1"/>
  <c r="O1243" i="1"/>
  <c r="V1242" i="1"/>
  <c r="X1242" i="1"/>
  <c r="Y1242" i="1" s="1"/>
  <c r="O1242" i="1"/>
  <c r="P1242" i="1"/>
  <c r="Q1242" i="1"/>
  <c r="V1241" i="1"/>
  <c r="X1241" i="1"/>
  <c r="Y1241" i="1" s="1"/>
  <c r="O1241" i="1"/>
  <c r="P1241" i="1"/>
  <c r="Q1241" i="1"/>
  <c r="X1240" i="1"/>
  <c r="Y1240" i="1" s="1"/>
  <c r="V1240" i="1"/>
  <c r="Q1240" i="1"/>
  <c r="O1240" i="1"/>
  <c r="P1240" i="1"/>
  <c r="V1239" i="1"/>
  <c r="X1239" i="1"/>
  <c r="Y1239" i="1" s="1"/>
  <c r="Q1239" i="1"/>
  <c r="P1239" i="1"/>
  <c r="O1239" i="1"/>
  <c r="X1238" i="1"/>
  <c r="Y1238" i="1" s="1"/>
  <c r="V1238" i="1"/>
  <c r="Q1238" i="1"/>
  <c r="P1238" i="1"/>
  <c r="O1238" i="1"/>
  <c r="X1237" i="1"/>
  <c r="Y1237" i="1" s="1"/>
  <c r="V1237" i="1"/>
  <c r="O1237" i="1"/>
  <c r="P1237" i="1"/>
  <c r="Q1237" i="1"/>
  <c r="V1236" i="1"/>
  <c r="X1236" i="1"/>
  <c r="Y1236" i="1" s="1"/>
  <c r="P1236" i="1"/>
  <c r="O1236" i="1"/>
  <c r="Q1236" i="1"/>
  <c r="X1235" i="1"/>
  <c r="Y1235" i="1" s="1"/>
  <c r="V1235" i="1"/>
  <c r="Q1235" i="1"/>
  <c r="P1235" i="1"/>
  <c r="O1235" i="1"/>
  <c r="X1234" i="1"/>
  <c r="Y1234" i="1" s="1"/>
  <c r="V1234" i="1"/>
  <c r="O1234" i="1"/>
  <c r="P1234" i="1"/>
  <c r="Q1234" i="1"/>
  <c r="V1233" i="1"/>
  <c r="X1233" i="1"/>
  <c r="Y1233" i="1" s="1"/>
  <c r="Q1233" i="1"/>
  <c r="P1233" i="1"/>
  <c r="O1233" i="1"/>
  <c r="X1232" i="1"/>
  <c r="Y1232" i="1" s="1"/>
  <c r="V1232" i="1"/>
  <c r="Q1232" i="1"/>
  <c r="P1232" i="1"/>
  <c r="O1232" i="1"/>
  <c r="X1231" i="1"/>
  <c r="Y1231" i="1" s="1"/>
  <c r="V1231" i="1"/>
  <c r="Q1231" i="1"/>
  <c r="P1231" i="1"/>
  <c r="O1231" i="1"/>
  <c r="V1230" i="1"/>
  <c r="X1230" i="1"/>
  <c r="Y1230" i="1" s="1"/>
  <c r="P1230" i="1"/>
  <c r="Q1230" i="1"/>
  <c r="O1230" i="1"/>
  <c r="V1229" i="1"/>
  <c r="X1229" i="1"/>
  <c r="Y1229" i="1" s="1"/>
  <c r="Q1229" i="1"/>
  <c r="P1229" i="1"/>
  <c r="O1229" i="1"/>
  <c r="X1228" i="1"/>
  <c r="Y1228" i="1" s="1"/>
  <c r="V1228" i="1"/>
  <c r="Q1228" i="1"/>
  <c r="P1228" i="1"/>
  <c r="O1228" i="1"/>
  <c r="X1227" i="1"/>
  <c r="Y1227" i="1" s="1"/>
  <c r="V1227" i="1"/>
  <c r="Q1227" i="1"/>
  <c r="P1227" i="1"/>
  <c r="O1227" i="1"/>
  <c r="X1226" i="1"/>
  <c r="Y1226" i="1" s="1"/>
  <c r="V1226" i="1"/>
  <c r="Q1226" i="1"/>
  <c r="P1226" i="1"/>
  <c r="O1226" i="1"/>
  <c r="X1225" i="1"/>
  <c r="Y1225" i="1" s="1"/>
  <c r="V1225" i="1"/>
  <c r="Q1225" i="1"/>
  <c r="P1225" i="1"/>
  <c r="O1225" i="1"/>
  <c r="X1224" i="1"/>
  <c r="Y1224" i="1" s="1"/>
  <c r="V1224" i="1"/>
  <c r="Q1224" i="1"/>
  <c r="P1224" i="1"/>
  <c r="O1224" i="1"/>
  <c r="X1223" i="1"/>
  <c r="Y1223" i="1" s="1"/>
  <c r="V1223" i="1"/>
  <c r="Q1223" i="1"/>
  <c r="P1223" i="1"/>
  <c r="O1223" i="1"/>
  <c r="X1222" i="1"/>
  <c r="Y1222" i="1" s="1"/>
  <c r="V1222" i="1"/>
  <c r="Q1222" i="1"/>
  <c r="P1222" i="1"/>
  <c r="O1222" i="1"/>
  <c r="V1221" i="1"/>
  <c r="X1221" i="1"/>
  <c r="Y1221" i="1" s="1"/>
  <c r="Q1221" i="1"/>
  <c r="P1221" i="1"/>
  <c r="O1221" i="1"/>
  <c r="X1220" i="1"/>
  <c r="Y1220" i="1" s="1"/>
  <c r="V1220" i="1"/>
  <c r="Q1220" i="1"/>
  <c r="P1220" i="1"/>
  <c r="O1220" i="1"/>
  <c r="V1219" i="1"/>
  <c r="X1219" i="1"/>
  <c r="Y1219" i="1" s="1"/>
  <c r="Q1219" i="1"/>
  <c r="P1219" i="1"/>
  <c r="O1219" i="1"/>
  <c r="X1218" i="1"/>
  <c r="Y1218" i="1" s="1"/>
  <c r="V1218" i="1"/>
  <c r="Q1218" i="1"/>
  <c r="P1218" i="1"/>
  <c r="O1218" i="1"/>
  <c r="X1217" i="1"/>
  <c r="Y1217" i="1" s="1"/>
  <c r="V1217" i="1"/>
  <c r="O1217" i="1"/>
  <c r="P1217" i="1"/>
  <c r="Q1217" i="1"/>
  <c r="X1216" i="1"/>
  <c r="Y1216" i="1" s="1"/>
  <c r="V1216" i="1"/>
  <c r="Q1216" i="1"/>
  <c r="P1216" i="1"/>
  <c r="O1216" i="1"/>
  <c r="X1215" i="1"/>
  <c r="Y1215" i="1" s="1"/>
  <c r="V1215" i="1"/>
  <c r="Q1215" i="1"/>
  <c r="P1215" i="1"/>
  <c r="O1215" i="1"/>
  <c r="X1214" i="1"/>
  <c r="Y1214" i="1" s="1"/>
  <c r="V1214" i="1"/>
  <c r="Q1214" i="1"/>
  <c r="P1214" i="1"/>
  <c r="O1214" i="1"/>
  <c r="X1213" i="1"/>
  <c r="Y1213" i="1" s="1"/>
  <c r="V1213" i="1"/>
  <c r="O1213" i="1"/>
  <c r="P1213" i="1"/>
  <c r="Q1213" i="1"/>
  <c r="X1212" i="1"/>
  <c r="Y1212" i="1" s="1"/>
  <c r="V1212" i="1"/>
  <c r="Q1212" i="1"/>
  <c r="P1212" i="1"/>
  <c r="O1212" i="1"/>
  <c r="X1211" i="1"/>
  <c r="Y1211" i="1" s="1"/>
  <c r="V1211" i="1"/>
  <c r="O1211" i="1"/>
  <c r="P1211" i="1"/>
  <c r="Q1211" i="1"/>
  <c r="X1210" i="1"/>
  <c r="Y1210" i="1" s="1"/>
  <c r="V1210" i="1"/>
  <c r="Q1210" i="1"/>
  <c r="P1210" i="1"/>
  <c r="O1210" i="1"/>
  <c r="X1209" i="1"/>
  <c r="Y1209" i="1" s="1"/>
  <c r="V1209" i="1"/>
  <c r="Q1209" i="1"/>
  <c r="P1209" i="1"/>
  <c r="O1209" i="1"/>
  <c r="V1208" i="1"/>
  <c r="X1208" i="1"/>
  <c r="Y1208" i="1" s="1"/>
  <c r="Q1208" i="1"/>
  <c r="P1208" i="1"/>
  <c r="O1208" i="1"/>
  <c r="X1207" i="1"/>
  <c r="Y1207" i="1" s="1"/>
  <c r="V1207" i="1"/>
  <c r="Q1207" i="1"/>
  <c r="P1207" i="1"/>
  <c r="O1207" i="1"/>
  <c r="V1206" i="1"/>
  <c r="X1206" i="1"/>
  <c r="Y1206" i="1" s="1"/>
  <c r="Q1206" i="1"/>
  <c r="P1206" i="1"/>
  <c r="O1206" i="1"/>
  <c r="X1205" i="1"/>
  <c r="Y1205" i="1" s="1"/>
  <c r="V1205" i="1"/>
  <c r="Q1205" i="1"/>
  <c r="P1205" i="1"/>
  <c r="O1205" i="1"/>
  <c r="X1204" i="1"/>
  <c r="Y1204" i="1" s="1"/>
  <c r="V1204" i="1"/>
  <c r="P1204" i="1"/>
  <c r="Q1204" i="1"/>
  <c r="O1204" i="1"/>
  <c r="X1203" i="1"/>
  <c r="Y1203" i="1" s="1"/>
  <c r="V1203" i="1"/>
  <c r="Q1203" i="1"/>
  <c r="P1203" i="1"/>
  <c r="O1203" i="1"/>
  <c r="X1202" i="1"/>
  <c r="Y1202" i="1" s="1"/>
  <c r="V1202" i="1"/>
  <c r="O1202" i="1"/>
  <c r="P1202" i="1"/>
  <c r="Q1202" i="1"/>
  <c r="X1201" i="1"/>
  <c r="Y1201" i="1" s="1"/>
  <c r="V1201" i="1"/>
  <c r="Q1201" i="1"/>
  <c r="P1201" i="1"/>
  <c r="O1201" i="1"/>
  <c r="X1200" i="1"/>
  <c r="Y1200" i="1" s="1"/>
  <c r="V1200" i="1"/>
  <c r="Q1200" i="1"/>
  <c r="P1200" i="1"/>
  <c r="O1200" i="1"/>
  <c r="V1199" i="1"/>
  <c r="X1199" i="1"/>
  <c r="Y1199" i="1" s="1"/>
  <c r="Q1199" i="1"/>
  <c r="P1199" i="1"/>
  <c r="O1199" i="1"/>
  <c r="X1198" i="1"/>
  <c r="Y1198" i="1" s="1"/>
  <c r="V1198" i="1"/>
  <c r="Q1198" i="1"/>
  <c r="P1198" i="1"/>
  <c r="O1198" i="1"/>
  <c r="X1197" i="1"/>
  <c r="Y1197" i="1" s="1"/>
  <c r="V1197" i="1"/>
  <c r="Q1197" i="1"/>
  <c r="P1197" i="1"/>
  <c r="O1197" i="1"/>
  <c r="X1196" i="1"/>
  <c r="Y1196" i="1" s="1"/>
  <c r="V1196" i="1"/>
  <c r="Q1196" i="1"/>
  <c r="P1196" i="1"/>
  <c r="O1196" i="1"/>
  <c r="V1195" i="1"/>
  <c r="X1195" i="1"/>
  <c r="Y1195" i="1" s="1"/>
  <c r="Q1195" i="1"/>
  <c r="P1195" i="1"/>
  <c r="O1195" i="1"/>
  <c r="X1194" i="1"/>
  <c r="Y1194" i="1" s="1"/>
  <c r="V1194" i="1"/>
  <c r="Q1194" i="1"/>
  <c r="P1194" i="1"/>
  <c r="O1194" i="1"/>
  <c r="V1193" i="1"/>
  <c r="X1193" i="1"/>
  <c r="Y1193" i="1" s="1"/>
  <c r="Q1193" i="1"/>
  <c r="P1193" i="1"/>
  <c r="O1193" i="1"/>
  <c r="X1192" i="1"/>
  <c r="Y1192" i="1" s="1"/>
  <c r="V1192" i="1"/>
  <c r="Q1192" i="1"/>
  <c r="P1192" i="1"/>
  <c r="O1192" i="1"/>
  <c r="X1191" i="1"/>
  <c r="Y1191" i="1" s="1"/>
  <c r="V1191" i="1"/>
  <c r="O1191" i="1"/>
  <c r="Q1191" i="1"/>
  <c r="P1191" i="1"/>
  <c r="V1190" i="1"/>
  <c r="X1190" i="1"/>
  <c r="Y1190" i="1" s="1"/>
  <c r="Q1190" i="1"/>
  <c r="P1190" i="1"/>
  <c r="O1190" i="1"/>
  <c r="X1189" i="1"/>
  <c r="Y1189" i="1" s="1"/>
  <c r="V1189" i="1"/>
  <c r="O1189" i="1"/>
  <c r="P1189" i="1"/>
  <c r="Q1189" i="1"/>
  <c r="V1188" i="1"/>
  <c r="X1188" i="1"/>
  <c r="Y1188" i="1" s="1"/>
  <c r="Q1188" i="1"/>
  <c r="P1188" i="1"/>
  <c r="O1188" i="1"/>
  <c r="X1187" i="1"/>
  <c r="Y1187" i="1" s="1"/>
  <c r="V1187" i="1"/>
  <c r="Q1187" i="1"/>
  <c r="P1187" i="1"/>
  <c r="O1187" i="1"/>
  <c r="X1186" i="1"/>
  <c r="Y1186" i="1" s="1"/>
  <c r="V1186" i="1"/>
  <c r="Q1186" i="1"/>
  <c r="P1186" i="1"/>
  <c r="O1186" i="1"/>
  <c r="X1185" i="1"/>
  <c r="Y1185" i="1" s="1"/>
  <c r="V1185" i="1"/>
  <c r="Q1185" i="1"/>
  <c r="P1185" i="1"/>
  <c r="O1185" i="1"/>
  <c r="X1184" i="1"/>
  <c r="Y1184" i="1" s="1"/>
  <c r="V1184" i="1"/>
  <c r="Q1184" i="1"/>
  <c r="P1184" i="1"/>
  <c r="O1184" i="1"/>
  <c r="X1183" i="1"/>
  <c r="Y1183" i="1" s="1"/>
  <c r="V1183" i="1"/>
  <c r="Q1183" i="1"/>
  <c r="P1183" i="1"/>
  <c r="O1183" i="1"/>
  <c r="X1182" i="1"/>
  <c r="Y1182" i="1" s="1"/>
  <c r="V1182" i="1"/>
  <c r="P1182" i="1"/>
  <c r="Q1182" i="1"/>
  <c r="O1182" i="1"/>
  <c r="X1181" i="1"/>
  <c r="Y1181" i="1" s="1"/>
  <c r="V1181" i="1"/>
  <c r="Q1181" i="1"/>
  <c r="P1181" i="1"/>
  <c r="O1181" i="1"/>
  <c r="X1180" i="1"/>
  <c r="Y1180" i="1" s="1"/>
  <c r="V1180" i="1"/>
  <c r="Q1180" i="1"/>
  <c r="P1180" i="1"/>
  <c r="O1180" i="1"/>
  <c r="X1179" i="1"/>
  <c r="Y1179" i="1" s="1"/>
  <c r="V1179" i="1"/>
  <c r="Q1179" i="1"/>
  <c r="P1179" i="1"/>
  <c r="O1179" i="1"/>
  <c r="X1178" i="1"/>
  <c r="Y1178" i="1" s="1"/>
  <c r="V1178" i="1"/>
  <c r="O1178" i="1"/>
  <c r="P1178" i="1"/>
  <c r="Q1178" i="1"/>
  <c r="X1177" i="1"/>
  <c r="Y1177" i="1" s="1"/>
  <c r="V1177" i="1"/>
  <c r="Q1177" i="1"/>
  <c r="P1177" i="1"/>
  <c r="O1177" i="1"/>
  <c r="X1176" i="1"/>
  <c r="Y1176" i="1" s="1"/>
  <c r="V1176" i="1"/>
  <c r="O1176" i="1"/>
  <c r="P1176" i="1"/>
  <c r="Q1176" i="1"/>
  <c r="X1175" i="1"/>
  <c r="Y1175" i="1" s="1"/>
  <c r="V1175" i="1"/>
  <c r="Q1175" i="1"/>
  <c r="P1175" i="1"/>
  <c r="O1175" i="1"/>
  <c r="X1174" i="1"/>
  <c r="Y1174" i="1" s="1"/>
  <c r="V1174" i="1"/>
  <c r="Q1174" i="1"/>
  <c r="P1174" i="1"/>
  <c r="O1174" i="1"/>
  <c r="V1173" i="1"/>
  <c r="X1173" i="1"/>
  <c r="Y1173" i="1" s="1"/>
  <c r="Q1173" i="1"/>
  <c r="P1173" i="1"/>
  <c r="O1173" i="1"/>
  <c r="X1172" i="1"/>
  <c r="Y1172" i="1" s="1"/>
  <c r="V1172" i="1"/>
  <c r="Q1172" i="1"/>
  <c r="P1172" i="1"/>
  <c r="O1172" i="1"/>
  <c r="V1171" i="1"/>
  <c r="X1171" i="1"/>
  <c r="Y1171" i="1" s="1"/>
  <c r="Q1171" i="1"/>
  <c r="P1171" i="1"/>
  <c r="O1171" i="1"/>
  <c r="X1170" i="1"/>
  <c r="Y1170" i="1" s="1"/>
  <c r="V1170" i="1"/>
  <c r="Q1170" i="1"/>
  <c r="P1170" i="1"/>
  <c r="O1170" i="1"/>
  <c r="X1169" i="1"/>
  <c r="Y1169" i="1" s="1"/>
  <c r="V1169" i="1"/>
  <c r="P1169" i="1"/>
  <c r="Q1169" i="1"/>
  <c r="O1169" i="1"/>
  <c r="X1168" i="1"/>
  <c r="Y1168" i="1" s="1"/>
  <c r="V1168" i="1"/>
  <c r="Q1168" i="1"/>
  <c r="P1168" i="1"/>
  <c r="O1168" i="1"/>
  <c r="X1167" i="1"/>
  <c r="Y1167" i="1" s="1"/>
  <c r="V1167" i="1"/>
  <c r="O1167" i="1"/>
  <c r="P1167" i="1"/>
  <c r="Q1167" i="1"/>
  <c r="X1166" i="1"/>
  <c r="Y1166" i="1" s="1"/>
  <c r="V1166" i="1"/>
  <c r="Q1166" i="1"/>
  <c r="P1166" i="1"/>
  <c r="O1166" i="1"/>
  <c r="X1165" i="1"/>
  <c r="Y1165" i="1" s="1"/>
  <c r="V1165" i="1"/>
  <c r="Q1165" i="1"/>
  <c r="P1165" i="1"/>
  <c r="O1165" i="1"/>
  <c r="V1164" i="1"/>
  <c r="X1164" i="1"/>
  <c r="Y1164" i="1" s="1"/>
  <c r="P1164" i="1"/>
  <c r="Q1164" i="1"/>
  <c r="O1164" i="1"/>
  <c r="X1163" i="1"/>
  <c r="Y1163" i="1" s="1"/>
  <c r="V1163" i="1"/>
  <c r="Q1163" i="1"/>
  <c r="P1163" i="1"/>
  <c r="O1163" i="1"/>
  <c r="X1162" i="1"/>
  <c r="Y1162" i="1" s="1"/>
  <c r="V1162" i="1"/>
  <c r="Q1162" i="1"/>
  <c r="P1162" i="1"/>
  <c r="O1162" i="1"/>
  <c r="X1161" i="1"/>
  <c r="Y1161" i="1" s="1"/>
  <c r="V1161" i="1"/>
  <c r="Q1161" i="1"/>
  <c r="P1161" i="1"/>
  <c r="O1161" i="1"/>
  <c r="X1160" i="1"/>
  <c r="Y1160" i="1" s="1"/>
  <c r="V1160" i="1"/>
  <c r="Q1160" i="1"/>
  <c r="P1160" i="1"/>
  <c r="O1160" i="1"/>
  <c r="X1159" i="1"/>
  <c r="Y1159" i="1" s="1"/>
  <c r="V1159" i="1"/>
  <c r="Q1159" i="1"/>
  <c r="P1159" i="1"/>
  <c r="O1159" i="1"/>
  <c r="X1158" i="1"/>
  <c r="Y1158" i="1" s="1"/>
  <c r="V1158" i="1"/>
  <c r="Q1158" i="1"/>
  <c r="P1158" i="1"/>
  <c r="O1158" i="1"/>
  <c r="X1157" i="1"/>
  <c r="Y1157" i="1" s="1"/>
  <c r="V1157" i="1"/>
  <c r="Q1157" i="1"/>
  <c r="P1157" i="1"/>
  <c r="O1157" i="1"/>
  <c r="X1156" i="1"/>
  <c r="Y1156" i="1" s="1"/>
  <c r="V1156" i="1"/>
  <c r="Q1156" i="1"/>
  <c r="P1156" i="1"/>
  <c r="O1156" i="1"/>
  <c r="X1155" i="1"/>
  <c r="Y1155" i="1" s="1"/>
  <c r="V1155" i="1"/>
  <c r="Q1155" i="1"/>
  <c r="P1155" i="1"/>
  <c r="O1155" i="1"/>
  <c r="X1154" i="1"/>
  <c r="Y1154" i="1" s="1"/>
  <c r="V1154" i="1"/>
  <c r="Q1154" i="1"/>
  <c r="P1154" i="1"/>
  <c r="O1154" i="1"/>
  <c r="X1153" i="1"/>
  <c r="Y1153" i="1" s="1"/>
  <c r="V1153" i="1"/>
  <c r="Q1153" i="1"/>
  <c r="P1153" i="1"/>
  <c r="O1153" i="1"/>
  <c r="V1152" i="1"/>
  <c r="X1152" i="1"/>
  <c r="Y1152" i="1" s="1"/>
  <c r="Q1152" i="1"/>
  <c r="P1152" i="1"/>
  <c r="O1152" i="1"/>
  <c r="X1151" i="1"/>
  <c r="Y1151" i="1" s="1"/>
  <c r="V1151" i="1"/>
  <c r="Q1151" i="1"/>
  <c r="P1151" i="1"/>
  <c r="O1151" i="1"/>
  <c r="X1150" i="1"/>
  <c r="Y1150" i="1" s="1"/>
  <c r="V1150" i="1"/>
  <c r="Q1150" i="1"/>
  <c r="P1150" i="1"/>
  <c r="O1150" i="1"/>
  <c r="X1149" i="1"/>
  <c r="Y1149" i="1" s="1"/>
  <c r="V1149" i="1"/>
  <c r="Q1149" i="1"/>
  <c r="P1149" i="1"/>
  <c r="O1149" i="1"/>
  <c r="X1148" i="1"/>
  <c r="Y1148" i="1" s="1"/>
  <c r="V1148" i="1"/>
  <c r="Q1148" i="1"/>
  <c r="P1148" i="1"/>
  <c r="O1148" i="1"/>
  <c r="X1147" i="1"/>
  <c r="Y1147" i="1" s="1"/>
  <c r="V1147" i="1"/>
  <c r="Q1147" i="1"/>
  <c r="P1147" i="1"/>
  <c r="O1147" i="1"/>
  <c r="V1146" i="1"/>
  <c r="X1146" i="1"/>
  <c r="Y1146" i="1" s="1"/>
  <c r="Q1146" i="1"/>
  <c r="P1146" i="1"/>
  <c r="O1146" i="1"/>
  <c r="X1145" i="1"/>
  <c r="Y1145" i="1" s="1"/>
  <c r="V1145" i="1"/>
  <c r="Q1145" i="1"/>
  <c r="P1145" i="1"/>
  <c r="O1145" i="1"/>
  <c r="X1144" i="1"/>
  <c r="Y1144" i="1" s="1"/>
  <c r="V1144" i="1"/>
  <c r="Q1144" i="1"/>
  <c r="P1144" i="1"/>
  <c r="O1144" i="1"/>
  <c r="V1143" i="1"/>
  <c r="X1143" i="1"/>
  <c r="Y1143" i="1" s="1"/>
  <c r="Q1143" i="1"/>
  <c r="P1143" i="1"/>
  <c r="O1143" i="1"/>
  <c r="X1142" i="1"/>
  <c r="Y1142" i="1" s="1"/>
  <c r="V1142" i="1"/>
  <c r="Q1142" i="1"/>
  <c r="P1142" i="1"/>
  <c r="O1142" i="1"/>
  <c r="X1141" i="1"/>
  <c r="Y1141" i="1" s="1"/>
  <c r="V1141" i="1"/>
  <c r="Q1141" i="1"/>
  <c r="P1141" i="1"/>
  <c r="O1141" i="1"/>
  <c r="X1140" i="1"/>
  <c r="Y1140" i="1" s="1"/>
  <c r="V1140" i="1"/>
  <c r="P1140" i="1"/>
  <c r="Q1140" i="1"/>
  <c r="O1140" i="1"/>
  <c r="X1139" i="1"/>
  <c r="Y1139" i="1" s="1"/>
  <c r="V1139" i="1"/>
  <c r="Q1139" i="1"/>
  <c r="P1139" i="1"/>
  <c r="O1139" i="1"/>
  <c r="X1138" i="1"/>
  <c r="Y1138" i="1" s="1"/>
  <c r="V1138" i="1"/>
  <c r="Q1138" i="1"/>
  <c r="P1138" i="1"/>
  <c r="O1138" i="1"/>
  <c r="X1137" i="1"/>
  <c r="Y1137" i="1" s="1"/>
  <c r="V1137" i="1"/>
  <c r="Q1137" i="1"/>
  <c r="P1137" i="1"/>
  <c r="O1137" i="1"/>
  <c r="X1136" i="1"/>
  <c r="Y1136" i="1" s="1"/>
  <c r="V1136" i="1"/>
  <c r="Q1136" i="1"/>
  <c r="P1136" i="1"/>
  <c r="O1136" i="1"/>
  <c r="X1135" i="1"/>
  <c r="Y1135" i="1" s="1"/>
  <c r="V1135" i="1"/>
  <c r="O1135" i="1"/>
  <c r="Q1135" i="1"/>
  <c r="P1135" i="1"/>
  <c r="X1134" i="1"/>
  <c r="Y1134" i="1" s="1"/>
  <c r="V1134" i="1"/>
  <c r="Q1134" i="1"/>
  <c r="P1134" i="1"/>
  <c r="O1134" i="1"/>
  <c r="X1133" i="1"/>
  <c r="Y1133" i="1" s="1"/>
  <c r="V1133" i="1"/>
  <c r="Q1133" i="1"/>
  <c r="P1133" i="1"/>
  <c r="O1133" i="1"/>
  <c r="V1132" i="1"/>
  <c r="X1132" i="1"/>
  <c r="Y1132" i="1" s="1"/>
  <c r="Q1132" i="1"/>
  <c r="P1132" i="1"/>
  <c r="O1132" i="1"/>
  <c r="X1131" i="1"/>
  <c r="Y1131" i="1" s="1"/>
  <c r="V1131" i="1"/>
  <c r="Q1131" i="1"/>
  <c r="P1131" i="1"/>
  <c r="O1131" i="1"/>
  <c r="X1130" i="1"/>
  <c r="Y1130" i="1" s="1"/>
  <c r="V1130" i="1"/>
  <c r="Q1130" i="1"/>
  <c r="P1130" i="1"/>
  <c r="O1130" i="1"/>
  <c r="X1129" i="1"/>
  <c r="Y1129" i="1" s="1"/>
  <c r="V1129" i="1"/>
  <c r="P1129" i="1"/>
  <c r="Q1129" i="1"/>
  <c r="O1129" i="1"/>
  <c r="X1128" i="1"/>
  <c r="Y1128" i="1" s="1"/>
  <c r="V1128" i="1"/>
  <c r="O1128" i="1"/>
  <c r="P1128" i="1"/>
  <c r="Q1128" i="1"/>
  <c r="V1127" i="1"/>
  <c r="X1127" i="1"/>
  <c r="Y1127" i="1" s="1"/>
  <c r="Q1127" i="1"/>
  <c r="P1127" i="1"/>
  <c r="O1127" i="1"/>
  <c r="X1126" i="1"/>
  <c r="Y1126" i="1" s="1"/>
  <c r="V1126" i="1"/>
  <c r="Q1126" i="1"/>
  <c r="P1126" i="1"/>
  <c r="O1126" i="1"/>
  <c r="X1125" i="1"/>
  <c r="Y1125" i="1" s="1"/>
  <c r="V1125" i="1"/>
  <c r="P1125" i="1"/>
  <c r="O1125" i="1"/>
  <c r="Q1125" i="1"/>
  <c r="X1124" i="1"/>
  <c r="Y1124" i="1" s="1"/>
  <c r="V1124" i="1"/>
  <c r="Q1124" i="1"/>
  <c r="P1124" i="1"/>
  <c r="O1124" i="1"/>
  <c r="X1123" i="1"/>
  <c r="Y1123" i="1" s="1"/>
  <c r="V1123" i="1"/>
  <c r="Q1123" i="1"/>
  <c r="P1123" i="1"/>
  <c r="O1123" i="1"/>
  <c r="X1122" i="1"/>
  <c r="Y1122" i="1" s="1"/>
  <c r="V1122" i="1"/>
  <c r="Q1122" i="1"/>
  <c r="P1122" i="1"/>
  <c r="O1122" i="1"/>
  <c r="X1121" i="1"/>
  <c r="Y1121" i="1" s="1"/>
  <c r="V1121" i="1"/>
  <c r="Q1121" i="1"/>
  <c r="P1121" i="1"/>
  <c r="O1121" i="1"/>
  <c r="X1120" i="1"/>
  <c r="Y1120" i="1" s="1"/>
  <c r="V1120" i="1"/>
  <c r="Q1120" i="1"/>
  <c r="P1120" i="1"/>
  <c r="O1120" i="1"/>
  <c r="X1119" i="1"/>
  <c r="Y1119" i="1" s="1"/>
  <c r="V1119" i="1"/>
  <c r="Q1119" i="1"/>
  <c r="P1119" i="1"/>
  <c r="O1119" i="1"/>
  <c r="X1118" i="1"/>
  <c r="Y1118" i="1" s="1"/>
  <c r="V1118" i="1"/>
  <c r="Q1118" i="1"/>
  <c r="P1118" i="1"/>
  <c r="O1118" i="1"/>
  <c r="V1117" i="1"/>
  <c r="X1117" i="1"/>
  <c r="Y1117" i="1" s="1"/>
  <c r="Q1117" i="1"/>
  <c r="P1117" i="1"/>
  <c r="O1117" i="1"/>
  <c r="X1116" i="1"/>
  <c r="Y1116" i="1" s="1"/>
  <c r="V1116" i="1"/>
  <c r="Q1116" i="1"/>
  <c r="P1116" i="1"/>
  <c r="O1116" i="1"/>
  <c r="X1115" i="1"/>
  <c r="Y1115" i="1" s="1"/>
  <c r="V1115" i="1"/>
  <c r="Q1115" i="1"/>
  <c r="P1115" i="1"/>
  <c r="O1115" i="1"/>
  <c r="X1114" i="1"/>
  <c r="Y1114" i="1" s="1"/>
  <c r="V1114" i="1"/>
  <c r="Q1114" i="1"/>
  <c r="P1114" i="1"/>
  <c r="O1114" i="1"/>
  <c r="X1113" i="1"/>
  <c r="Y1113" i="1" s="1"/>
  <c r="V1113" i="1"/>
  <c r="Q1113" i="1"/>
  <c r="P1113" i="1"/>
  <c r="O1113" i="1"/>
  <c r="X1112" i="1"/>
  <c r="Y1112" i="1" s="1"/>
  <c r="V1112" i="1"/>
  <c r="Q1112" i="1"/>
  <c r="O1112" i="1"/>
  <c r="P1112" i="1"/>
  <c r="X1111" i="1"/>
  <c r="Y1111" i="1" s="1"/>
  <c r="V1111" i="1"/>
  <c r="P1111" i="1"/>
  <c r="Q1111" i="1"/>
  <c r="O1111" i="1"/>
  <c r="X1110" i="1"/>
  <c r="Y1110" i="1" s="1"/>
  <c r="V1110" i="1"/>
  <c r="Q1110" i="1"/>
  <c r="P1110" i="1"/>
  <c r="O1110" i="1"/>
  <c r="X1109" i="1"/>
  <c r="Y1109" i="1" s="1"/>
  <c r="V1109" i="1"/>
  <c r="Q1109" i="1"/>
  <c r="P1109" i="1"/>
  <c r="O1109" i="1"/>
  <c r="X1108" i="1"/>
  <c r="Y1108" i="1" s="1"/>
  <c r="V1108" i="1"/>
  <c r="O1108" i="1"/>
  <c r="P1108" i="1"/>
  <c r="Q1108" i="1"/>
  <c r="X1107" i="1"/>
  <c r="Y1107" i="1" s="1"/>
  <c r="V1107" i="1"/>
  <c r="Q1107" i="1"/>
  <c r="P1107" i="1"/>
  <c r="O1107" i="1"/>
  <c r="X1106" i="1"/>
  <c r="Y1106" i="1" s="1"/>
  <c r="V1106" i="1"/>
  <c r="Q1106" i="1"/>
  <c r="P1106" i="1"/>
  <c r="O1106" i="1"/>
  <c r="X1105" i="1"/>
  <c r="Y1105" i="1" s="1"/>
  <c r="V1105" i="1"/>
  <c r="P1105" i="1"/>
  <c r="O1105" i="1"/>
  <c r="Q1105" i="1"/>
  <c r="X1104" i="1"/>
  <c r="Y1104" i="1" s="1"/>
  <c r="V1104" i="1"/>
  <c r="Q1104" i="1"/>
  <c r="P1104" i="1"/>
  <c r="O1104" i="1"/>
  <c r="X1103" i="1"/>
  <c r="Y1103" i="1" s="1"/>
  <c r="V1103" i="1"/>
  <c r="Q1103" i="1"/>
  <c r="P1103" i="1"/>
  <c r="O1103" i="1"/>
  <c r="X1102" i="1"/>
  <c r="Y1102" i="1" s="1"/>
  <c r="V1102" i="1"/>
  <c r="Q1102" i="1"/>
  <c r="P1102" i="1"/>
  <c r="O1102" i="1"/>
  <c r="X1101" i="1"/>
  <c r="Y1101" i="1" s="1"/>
  <c r="V1101" i="1"/>
  <c r="Q1101" i="1"/>
  <c r="P1101" i="1"/>
  <c r="O1101" i="1"/>
  <c r="X1100" i="1"/>
  <c r="Y1100" i="1" s="1"/>
  <c r="V1100" i="1"/>
  <c r="O1100" i="1"/>
  <c r="Q1100" i="1"/>
  <c r="P1100" i="1"/>
  <c r="X1099" i="1"/>
  <c r="Y1099" i="1" s="1"/>
  <c r="V1099" i="1"/>
  <c r="Q1099" i="1"/>
  <c r="P1099" i="1"/>
  <c r="O1099" i="1"/>
  <c r="X1098" i="1"/>
  <c r="Y1098" i="1" s="1"/>
  <c r="V1098" i="1"/>
  <c r="Q1098" i="1"/>
  <c r="P1098" i="1"/>
  <c r="O1098" i="1"/>
  <c r="V1097" i="1"/>
  <c r="X1097" i="1"/>
  <c r="Y1097" i="1" s="1"/>
  <c r="Q1097" i="1"/>
  <c r="P1097" i="1"/>
  <c r="O1097" i="1"/>
  <c r="X1096" i="1"/>
  <c r="Y1096" i="1" s="1"/>
  <c r="V1096" i="1"/>
  <c r="Q1096" i="1"/>
  <c r="P1096" i="1"/>
  <c r="O1096" i="1"/>
  <c r="X1095" i="1"/>
  <c r="Y1095" i="1" s="1"/>
  <c r="V1095" i="1"/>
  <c r="Q1095" i="1"/>
  <c r="P1095" i="1"/>
  <c r="O1095" i="1"/>
  <c r="X1094" i="1"/>
  <c r="Y1094" i="1" s="1"/>
  <c r="V1094" i="1"/>
  <c r="Q1094" i="1"/>
  <c r="P1094" i="1"/>
  <c r="O1094" i="1"/>
  <c r="X1093" i="1"/>
  <c r="Y1093" i="1" s="1"/>
  <c r="V1093" i="1"/>
  <c r="Q1093" i="1"/>
  <c r="P1093" i="1"/>
  <c r="O1093" i="1"/>
  <c r="X1092" i="1"/>
  <c r="Y1092" i="1" s="1"/>
  <c r="V1092" i="1"/>
  <c r="Q1092" i="1"/>
  <c r="P1092" i="1"/>
  <c r="O1092" i="1"/>
  <c r="V1091" i="1"/>
  <c r="X1091" i="1"/>
  <c r="Y1091" i="1" s="1"/>
  <c r="P1091" i="1"/>
  <c r="Q1091" i="1"/>
  <c r="O1091" i="1"/>
  <c r="X1090" i="1"/>
  <c r="Y1090" i="1" s="1"/>
  <c r="V1090" i="1"/>
  <c r="Q1090" i="1"/>
  <c r="P1090" i="1"/>
  <c r="O1090" i="1"/>
  <c r="X1089" i="1"/>
  <c r="Y1089" i="1" s="1"/>
  <c r="V1089" i="1"/>
  <c r="Q1089" i="1"/>
  <c r="P1089" i="1"/>
  <c r="O1089" i="1"/>
  <c r="V1088" i="1"/>
  <c r="X1088" i="1"/>
  <c r="Y1088" i="1" s="1"/>
  <c r="P1088" i="1"/>
  <c r="Q1088" i="1"/>
  <c r="O1088" i="1"/>
  <c r="X1087" i="1"/>
  <c r="Y1087" i="1" s="1"/>
  <c r="V1087" i="1"/>
  <c r="O1087" i="1"/>
  <c r="Q1087" i="1"/>
  <c r="P1087" i="1"/>
  <c r="X1086" i="1"/>
  <c r="Y1086" i="1" s="1"/>
  <c r="V1086" i="1"/>
  <c r="O1086" i="1"/>
  <c r="P1086" i="1"/>
  <c r="Q1086" i="1"/>
  <c r="V1085" i="1"/>
  <c r="X1085" i="1"/>
  <c r="Y1085" i="1" s="1"/>
  <c r="P1085" i="1"/>
  <c r="Q1085" i="1"/>
  <c r="O1085" i="1"/>
  <c r="V1084" i="1"/>
  <c r="X1084" i="1"/>
  <c r="Y1084" i="1" s="1"/>
  <c r="P1084" i="1"/>
  <c r="Q1084" i="1"/>
  <c r="O1084" i="1"/>
  <c r="X1083" i="1"/>
  <c r="Y1083" i="1" s="1"/>
  <c r="V1083" i="1"/>
  <c r="O1083" i="1"/>
  <c r="P1083" i="1"/>
  <c r="Q1083" i="1"/>
  <c r="V1082" i="1"/>
  <c r="X1082" i="1"/>
  <c r="Y1082" i="1" s="1"/>
  <c r="Q1082" i="1"/>
  <c r="P1082" i="1"/>
  <c r="O1082" i="1"/>
  <c r="X1081" i="1"/>
  <c r="Y1081" i="1" s="1"/>
  <c r="V1081" i="1"/>
  <c r="P1081" i="1"/>
  <c r="Q1081" i="1"/>
  <c r="O1081" i="1"/>
  <c r="V1080" i="1"/>
  <c r="X1080" i="1"/>
  <c r="Y1080" i="1" s="1"/>
  <c r="P1080" i="1"/>
  <c r="Q1080" i="1"/>
  <c r="O1080" i="1"/>
  <c r="V1079" i="1"/>
  <c r="X1079" i="1"/>
  <c r="Y1079" i="1" s="1"/>
  <c r="O1079" i="1"/>
  <c r="Q1079" i="1"/>
  <c r="P1079" i="1"/>
  <c r="V1078" i="1"/>
  <c r="X1078" i="1"/>
  <c r="Y1078" i="1" s="1"/>
  <c r="P1078" i="1"/>
  <c r="O1078" i="1"/>
  <c r="Q1078" i="1"/>
  <c r="X1077" i="1"/>
  <c r="Y1077" i="1" s="1"/>
  <c r="V1077" i="1"/>
  <c r="P1077" i="1"/>
  <c r="Q1077" i="1"/>
  <c r="O1077" i="1"/>
  <c r="X1076" i="1"/>
  <c r="Y1076" i="1" s="1"/>
  <c r="V1076" i="1"/>
  <c r="P1076" i="1"/>
  <c r="Q1076" i="1"/>
  <c r="O1076" i="1"/>
  <c r="X1075" i="1"/>
  <c r="Y1075" i="1" s="1"/>
  <c r="V1075" i="1"/>
  <c r="Q1075" i="1"/>
  <c r="P1075" i="1"/>
  <c r="O1075" i="1"/>
  <c r="X1074" i="1"/>
  <c r="Y1074" i="1" s="1"/>
  <c r="V1074" i="1"/>
  <c r="P1074" i="1"/>
  <c r="O1074" i="1"/>
  <c r="Q1074" i="1"/>
  <c r="V1073" i="1"/>
  <c r="X1073" i="1"/>
  <c r="Y1073" i="1" s="1"/>
  <c r="O1073" i="1"/>
  <c r="P1073" i="1"/>
  <c r="Q1073" i="1"/>
  <c r="V1072" i="1"/>
  <c r="X1072" i="1"/>
  <c r="Y1072" i="1" s="1"/>
  <c r="P1072" i="1"/>
  <c r="Q1072" i="1"/>
  <c r="O1072" i="1"/>
  <c r="X1071" i="1"/>
  <c r="Y1071" i="1" s="1"/>
  <c r="V1071" i="1"/>
  <c r="Q1071" i="1"/>
  <c r="P1071" i="1"/>
  <c r="O1071" i="1"/>
  <c r="X1070" i="1"/>
  <c r="Y1070" i="1" s="1"/>
  <c r="V1070" i="1"/>
  <c r="O1070" i="1"/>
  <c r="P1070" i="1"/>
  <c r="Q1070" i="1"/>
  <c r="V1069" i="1"/>
  <c r="X1069" i="1"/>
  <c r="Y1069" i="1" s="1"/>
  <c r="O1069" i="1"/>
  <c r="P1069" i="1"/>
  <c r="Q1069" i="1"/>
  <c r="V1068" i="1"/>
  <c r="X1068" i="1"/>
  <c r="Y1068" i="1" s="1"/>
  <c r="O1068" i="1"/>
  <c r="P1068" i="1"/>
  <c r="Q1068" i="1"/>
  <c r="V1067" i="1"/>
  <c r="X1067" i="1"/>
  <c r="Y1067" i="1" s="1"/>
  <c r="Q1067" i="1"/>
  <c r="O1067" i="1"/>
  <c r="P1067" i="1"/>
  <c r="X1066" i="1"/>
  <c r="Y1066" i="1" s="1"/>
  <c r="V1066" i="1"/>
  <c r="Q1066" i="1"/>
  <c r="P1066" i="1"/>
  <c r="O1066" i="1"/>
  <c r="V1065" i="1"/>
  <c r="X1065" i="1"/>
  <c r="Y1065" i="1" s="1"/>
  <c r="O1065" i="1"/>
  <c r="P1065" i="1"/>
  <c r="Q1065" i="1"/>
  <c r="X1064" i="1"/>
  <c r="Y1064" i="1" s="1"/>
  <c r="V1064" i="1"/>
  <c r="Q1064" i="1"/>
  <c r="P1064" i="1"/>
  <c r="O1064" i="1"/>
  <c r="V1063" i="1"/>
  <c r="X1063" i="1"/>
  <c r="Y1063" i="1" s="1"/>
  <c r="Q1063" i="1"/>
  <c r="P1063" i="1"/>
  <c r="O1063" i="1"/>
  <c r="X1062" i="1"/>
  <c r="Y1062" i="1" s="1"/>
  <c r="V1062" i="1"/>
  <c r="P1062" i="1"/>
  <c r="Q1062" i="1"/>
  <c r="O1062" i="1"/>
  <c r="X1061" i="1"/>
  <c r="Y1061" i="1" s="1"/>
  <c r="V1061" i="1"/>
  <c r="Q1061" i="1"/>
  <c r="O1061" i="1"/>
  <c r="P1061" i="1"/>
  <c r="X1060" i="1"/>
  <c r="Y1060" i="1" s="1"/>
  <c r="V1060" i="1"/>
  <c r="Q1060" i="1"/>
  <c r="P1060" i="1"/>
  <c r="O1060" i="1"/>
  <c r="V1059" i="1"/>
  <c r="X1059" i="1"/>
  <c r="Y1059" i="1" s="1"/>
  <c r="P1059" i="1"/>
  <c r="Q1059" i="1"/>
  <c r="O1059" i="1"/>
  <c r="V1058" i="1"/>
  <c r="X1058" i="1"/>
  <c r="Y1058" i="1" s="1"/>
  <c r="P1058" i="1"/>
  <c r="Q1058" i="1"/>
  <c r="O1058" i="1"/>
  <c r="V1057" i="1"/>
  <c r="X1057" i="1"/>
  <c r="Y1057" i="1" s="1"/>
  <c r="Q1057" i="1"/>
  <c r="O1057" i="1"/>
  <c r="P1057" i="1"/>
  <c r="X1056" i="1"/>
  <c r="Y1056" i="1" s="1"/>
  <c r="V1056" i="1"/>
  <c r="Q1056" i="1"/>
  <c r="P1056" i="1"/>
  <c r="O1056" i="1"/>
  <c r="V1055" i="1"/>
  <c r="X1055" i="1"/>
  <c r="Y1055" i="1" s="1"/>
  <c r="O1055" i="1"/>
  <c r="Q1055" i="1"/>
  <c r="P1055" i="1"/>
  <c r="V1054" i="1"/>
  <c r="X1054" i="1"/>
  <c r="Y1054" i="1" s="1"/>
  <c r="Q1054" i="1"/>
  <c r="O1054" i="1"/>
  <c r="P1054" i="1"/>
  <c r="X1053" i="1"/>
  <c r="Y1053" i="1" s="1"/>
  <c r="V1053" i="1"/>
  <c r="O1053" i="1"/>
  <c r="Q1053" i="1"/>
  <c r="P1053" i="1"/>
  <c r="V1052" i="1"/>
  <c r="X1052" i="1"/>
  <c r="Y1052" i="1" s="1"/>
  <c r="Q1052" i="1"/>
  <c r="P1052" i="1"/>
  <c r="O1052" i="1"/>
  <c r="V1051" i="1"/>
  <c r="X1051" i="1"/>
  <c r="Y1051" i="1" s="1"/>
  <c r="Q1051" i="1"/>
  <c r="P1051" i="1"/>
  <c r="O1051" i="1"/>
  <c r="V1050" i="1"/>
  <c r="X1050" i="1"/>
  <c r="Y1050" i="1" s="1"/>
  <c r="O1050" i="1"/>
  <c r="Q1050" i="1"/>
  <c r="P1050" i="1"/>
  <c r="V1049" i="1"/>
  <c r="X1049" i="1"/>
  <c r="Y1049" i="1" s="1"/>
  <c r="O1049" i="1"/>
  <c r="P1049" i="1"/>
  <c r="Q1049" i="1"/>
  <c r="X1048" i="1"/>
  <c r="Y1048" i="1" s="1"/>
  <c r="V1048" i="1"/>
  <c r="O1048" i="1"/>
  <c r="Q1048" i="1"/>
  <c r="P1048" i="1"/>
  <c r="X1047" i="1"/>
  <c r="Y1047" i="1" s="1"/>
  <c r="V1047" i="1"/>
  <c r="Q1047" i="1"/>
  <c r="P1047" i="1"/>
  <c r="O1047" i="1"/>
  <c r="X1046" i="1"/>
  <c r="Y1046" i="1" s="1"/>
  <c r="V1046" i="1"/>
  <c r="O1046" i="1"/>
  <c r="P1046" i="1"/>
  <c r="Q1046" i="1"/>
  <c r="V1045" i="1"/>
  <c r="X1045" i="1"/>
  <c r="Y1045" i="1" s="1"/>
  <c r="P1045" i="1"/>
  <c r="O1045" i="1"/>
  <c r="Q1045" i="1"/>
  <c r="X1044" i="1"/>
  <c r="Y1044" i="1" s="1"/>
  <c r="V1044" i="1"/>
  <c r="Q1044" i="1"/>
  <c r="P1044" i="1"/>
  <c r="O1044" i="1"/>
  <c r="V1043" i="1"/>
  <c r="X1043" i="1"/>
  <c r="Y1043" i="1" s="1"/>
  <c r="P1043" i="1"/>
  <c r="O1043" i="1"/>
  <c r="Q1043" i="1"/>
  <c r="X1042" i="1"/>
  <c r="Y1042" i="1" s="1"/>
  <c r="V1042" i="1"/>
  <c r="P1042" i="1"/>
  <c r="O1042" i="1"/>
  <c r="Q1042" i="1"/>
  <c r="V1041" i="1"/>
  <c r="X1041" i="1"/>
  <c r="Y1041" i="1" s="1"/>
  <c r="Q1041" i="1"/>
  <c r="P1041" i="1"/>
  <c r="O1041" i="1"/>
  <c r="V1040" i="1"/>
  <c r="X1040" i="1"/>
  <c r="Y1040" i="1" s="1"/>
  <c r="Q1040" i="1"/>
  <c r="P1040" i="1"/>
  <c r="O1040" i="1"/>
  <c r="X1039" i="1"/>
  <c r="Y1039" i="1" s="1"/>
  <c r="V1039" i="1"/>
  <c r="P1039" i="1"/>
  <c r="Q1039" i="1"/>
  <c r="O1039" i="1"/>
  <c r="V1038" i="1"/>
  <c r="X1038" i="1"/>
  <c r="Y1038" i="1" s="1"/>
  <c r="P1038" i="1"/>
  <c r="O1038" i="1"/>
  <c r="Q1038" i="1"/>
  <c r="V1037" i="1"/>
  <c r="X1037" i="1"/>
  <c r="Y1037" i="1" s="1"/>
  <c r="O1037" i="1"/>
  <c r="P1037" i="1"/>
  <c r="Q1037" i="1"/>
  <c r="X1036" i="1"/>
  <c r="Y1036" i="1" s="1"/>
  <c r="V1036" i="1"/>
  <c r="O1036" i="1"/>
  <c r="Q1036" i="1"/>
  <c r="P1036" i="1"/>
  <c r="V1035" i="1"/>
  <c r="X1035" i="1"/>
  <c r="Y1035" i="1" s="1"/>
  <c r="O1035" i="1"/>
  <c r="P1035" i="1"/>
  <c r="Q1035" i="1"/>
  <c r="V1034" i="1"/>
  <c r="X1034" i="1"/>
  <c r="Y1034" i="1" s="1"/>
  <c r="P1034" i="1"/>
  <c r="Q1034" i="1"/>
  <c r="O1034" i="1"/>
  <c r="V1033" i="1"/>
  <c r="X1033" i="1"/>
  <c r="Y1033" i="1" s="1"/>
  <c r="P1033" i="1"/>
  <c r="Q1033" i="1"/>
  <c r="O1033" i="1"/>
  <c r="X1032" i="1"/>
  <c r="Y1032" i="1" s="1"/>
  <c r="V1032" i="1"/>
  <c r="P1032" i="1"/>
  <c r="O1032" i="1"/>
  <c r="Q1032" i="1"/>
  <c r="X1031" i="1"/>
  <c r="Y1031" i="1" s="1"/>
  <c r="V1031" i="1"/>
  <c r="P1031" i="1"/>
  <c r="O1031" i="1"/>
  <c r="Q1031" i="1"/>
  <c r="V1030" i="1"/>
  <c r="X1030" i="1"/>
  <c r="Y1030" i="1" s="1"/>
  <c r="O1030" i="1"/>
  <c r="Q1030" i="1"/>
  <c r="P1030" i="1"/>
  <c r="V1029" i="1"/>
  <c r="X1029" i="1"/>
  <c r="Y1029" i="1" s="1"/>
  <c r="O1029" i="1"/>
  <c r="P1029" i="1"/>
  <c r="Q1029" i="1"/>
  <c r="X1028" i="1"/>
  <c r="Y1028" i="1" s="1"/>
  <c r="V1028" i="1"/>
  <c r="O1028" i="1"/>
  <c r="Q1028" i="1"/>
  <c r="P1028" i="1"/>
  <c r="X1027" i="1"/>
  <c r="Y1027" i="1" s="1"/>
  <c r="V1027" i="1"/>
  <c r="Q1027" i="1"/>
  <c r="P1027" i="1"/>
  <c r="O1027" i="1"/>
  <c r="V1026" i="1"/>
  <c r="X1026" i="1"/>
  <c r="Y1026" i="1" s="1"/>
  <c r="O1026" i="1"/>
  <c r="P1026" i="1"/>
  <c r="Q1026" i="1"/>
  <c r="V1025" i="1"/>
  <c r="X1025" i="1"/>
  <c r="Y1025" i="1" s="1"/>
  <c r="O1025" i="1"/>
  <c r="P1025" i="1"/>
  <c r="Q1025" i="1"/>
  <c r="X1024" i="1"/>
  <c r="Y1024" i="1" s="1"/>
  <c r="V1024" i="1"/>
  <c r="O1024" i="1"/>
  <c r="P1024" i="1"/>
  <c r="Q1024" i="1"/>
  <c r="X1023" i="1"/>
  <c r="Y1023" i="1" s="1"/>
  <c r="V1023" i="1"/>
  <c r="P1023" i="1"/>
  <c r="O1023" i="1"/>
  <c r="Q1023" i="1"/>
  <c r="X1022" i="1"/>
  <c r="Y1022" i="1" s="1"/>
  <c r="V1022" i="1"/>
  <c r="Q1022" i="1"/>
  <c r="O1022" i="1"/>
  <c r="P1022" i="1"/>
  <c r="V1021" i="1"/>
  <c r="X1021" i="1"/>
  <c r="Y1021" i="1" s="1"/>
  <c r="O1021" i="1"/>
  <c r="Q1021" i="1"/>
  <c r="P1021" i="1"/>
  <c r="V1020" i="1"/>
  <c r="X1020" i="1"/>
  <c r="Y1020" i="1" s="1"/>
  <c r="P1020" i="1"/>
  <c r="Q1020" i="1"/>
  <c r="O1020" i="1"/>
  <c r="X1019" i="1"/>
  <c r="Y1019" i="1" s="1"/>
  <c r="V1019" i="1"/>
  <c r="O1019" i="1"/>
  <c r="Q1019" i="1"/>
  <c r="P1019" i="1"/>
  <c r="X1018" i="1"/>
  <c r="Y1018" i="1" s="1"/>
  <c r="V1018" i="1"/>
  <c r="O1018" i="1"/>
  <c r="Q1018" i="1"/>
  <c r="P1018" i="1"/>
  <c r="V1017" i="1"/>
  <c r="X1017" i="1"/>
  <c r="Y1017" i="1" s="1"/>
  <c r="Q1017" i="1"/>
  <c r="P1017" i="1"/>
  <c r="O1017" i="1"/>
  <c r="V1016" i="1"/>
  <c r="X1016" i="1"/>
  <c r="Y1016" i="1" s="1"/>
  <c r="O1016" i="1"/>
  <c r="P1016" i="1"/>
  <c r="Q1016" i="1"/>
  <c r="V1015" i="1"/>
  <c r="X1015" i="1"/>
  <c r="Y1015" i="1" s="1"/>
  <c r="P1015" i="1"/>
  <c r="O1015" i="1"/>
  <c r="Q1015" i="1"/>
  <c r="X1014" i="1"/>
  <c r="Y1014" i="1" s="1"/>
  <c r="V1014" i="1"/>
  <c r="O1014" i="1"/>
  <c r="Q1014" i="1"/>
  <c r="P1014" i="1"/>
  <c r="V1013" i="1"/>
  <c r="X1013" i="1"/>
  <c r="Y1013" i="1" s="1"/>
  <c r="P1013" i="1"/>
  <c r="O1013" i="1"/>
  <c r="Q1013" i="1"/>
  <c r="X1012" i="1"/>
  <c r="Y1012" i="1" s="1"/>
  <c r="V1012" i="1"/>
  <c r="P1012" i="1"/>
  <c r="Q1012" i="1"/>
  <c r="O1012" i="1"/>
  <c r="P1011" i="1"/>
  <c r="O1011" i="1"/>
  <c r="Q1011" i="1"/>
  <c r="V1010" i="1"/>
  <c r="X1010" i="1"/>
  <c r="Y1010" i="1" s="1"/>
  <c r="P1010" i="1"/>
  <c r="Q1010" i="1"/>
  <c r="O1010" i="1"/>
  <c r="X1009" i="1"/>
  <c r="Y1009" i="1" s="1"/>
  <c r="V1009" i="1"/>
  <c r="P1009" i="1"/>
  <c r="O1009" i="1"/>
  <c r="Q1009" i="1"/>
  <c r="V1008" i="1"/>
  <c r="X1008" i="1"/>
  <c r="Y1008" i="1" s="1"/>
  <c r="Q1008" i="1"/>
  <c r="O1008" i="1"/>
  <c r="P1008" i="1"/>
  <c r="V1007" i="1"/>
  <c r="X1007" i="1"/>
  <c r="Y1007" i="1" s="1"/>
  <c r="Q1007" i="1"/>
  <c r="P1007" i="1"/>
  <c r="O1007" i="1"/>
  <c r="X1006" i="1"/>
  <c r="Y1006" i="1" s="1"/>
  <c r="V1006" i="1"/>
  <c r="Q1006" i="1"/>
  <c r="P1006" i="1"/>
  <c r="O1006" i="1"/>
  <c r="V1005" i="1"/>
  <c r="X1005" i="1"/>
  <c r="Y1005" i="1" s="1"/>
  <c r="P1005" i="1"/>
  <c r="O1005" i="1"/>
  <c r="Q1005" i="1"/>
  <c r="X1004" i="1"/>
  <c r="Y1004" i="1" s="1"/>
  <c r="V1004" i="1"/>
  <c r="Q1004" i="1"/>
  <c r="P1004" i="1"/>
  <c r="O1004" i="1"/>
  <c r="X1003" i="1"/>
  <c r="Y1003" i="1" s="1"/>
  <c r="V1003" i="1"/>
  <c r="Q1003" i="1"/>
  <c r="P1003" i="1"/>
  <c r="O1003" i="1"/>
  <c r="X1002" i="1"/>
  <c r="Y1002" i="1" s="1"/>
  <c r="V1002" i="1"/>
  <c r="P1002" i="1"/>
  <c r="O1002" i="1"/>
  <c r="Q1002" i="1"/>
  <c r="V1001" i="1"/>
  <c r="X1001" i="1"/>
  <c r="Y1001" i="1" s="1"/>
  <c r="O1001" i="1"/>
  <c r="P1001" i="1"/>
  <c r="Q1001" i="1"/>
  <c r="X1000" i="1"/>
  <c r="Y1000" i="1" s="1"/>
  <c r="V1000" i="1"/>
  <c r="P1000" i="1"/>
  <c r="O1000" i="1"/>
  <c r="Q1000" i="1"/>
  <c r="V999" i="1"/>
  <c r="X999" i="1"/>
  <c r="Y999" i="1" s="1"/>
  <c r="P999" i="1"/>
  <c r="Q999" i="1"/>
  <c r="O999" i="1"/>
  <c r="X998" i="1"/>
  <c r="Y998" i="1" s="1"/>
  <c r="V998" i="1"/>
  <c r="O998" i="1"/>
  <c r="P998" i="1"/>
  <c r="Q998" i="1"/>
  <c r="X997" i="1"/>
  <c r="Y997" i="1" s="1"/>
  <c r="V997" i="1"/>
  <c r="O997" i="1"/>
  <c r="Q997" i="1"/>
  <c r="P997" i="1"/>
  <c r="X996" i="1"/>
  <c r="Y996" i="1" s="1"/>
  <c r="V996" i="1"/>
  <c r="Q996" i="1"/>
  <c r="P996" i="1"/>
  <c r="O996" i="1"/>
  <c r="X995" i="1"/>
  <c r="Y995" i="1" s="1"/>
  <c r="V995" i="1"/>
  <c r="Q995" i="1"/>
  <c r="O995" i="1"/>
  <c r="P995" i="1"/>
  <c r="V994" i="1"/>
  <c r="X994" i="1"/>
  <c r="Y994" i="1" s="1"/>
  <c r="Q994" i="1"/>
  <c r="P994" i="1"/>
  <c r="O994" i="1"/>
  <c r="X993" i="1"/>
  <c r="Y993" i="1" s="1"/>
  <c r="V993" i="1"/>
  <c r="O993" i="1"/>
  <c r="P993" i="1"/>
  <c r="Q993" i="1"/>
  <c r="X992" i="1"/>
  <c r="Y992" i="1" s="1"/>
  <c r="V992" i="1"/>
  <c r="P992" i="1"/>
  <c r="Q992" i="1"/>
  <c r="O992" i="1"/>
  <c r="X991" i="1"/>
  <c r="Y991" i="1" s="1"/>
  <c r="V991" i="1"/>
  <c r="Q991" i="1"/>
  <c r="P991" i="1"/>
  <c r="O991" i="1"/>
  <c r="X990" i="1"/>
  <c r="Y990" i="1" s="1"/>
  <c r="V990" i="1"/>
  <c r="Q990" i="1"/>
  <c r="P990" i="1"/>
  <c r="O990" i="1"/>
  <c r="X989" i="1"/>
  <c r="Y989" i="1" s="1"/>
  <c r="V989" i="1"/>
  <c r="P989" i="1"/>
  <c r="O989" i="1"/>
  <c r="Q989" i="1"/>
  <c r="X988" i="1"/>
  <c r="Y988" i="1" s="1"/>
  <c r="V988" i="1"/>
  <c r="Q988" i="1"/>
  <c r="P988" i="1"/>
  <c r="O988" i="1"/>
  <c r="V987" i="1"/>
  <c r="X987" i="1"/>
  <c r="Y987" i="1" s="1"/>
  <c r="P987" i="1"/>
  <c r="Q987" i="1"/>
  <c r="O987" i="1"/>
  <c r="X986" i="1"/>
  <c r="Y986" i="1" s="1"/>
  <c r="V986" i="1"/>
  <c r="O986" i="1"/>
  <c r="P986" i="1"/>
  <c r="Q986" i="1"/>
  <c r="X985" i="1"/>
  <c r="Y985" i="1" s="1"/>
  <c r="V985" i="1"/>
  <c r="P985" i="1"/>
  <c r="Q985" i="1"/>
  <c r="O985" i="1"/>
  <c r="V984" i="1"/>
  <c r="X984" i="1"/>
  <c r="Y984" i="1" s="1"/>
  <c r="Q984" i="1"/>
  <c r="O984" i="1"/>
  <c r="P984" i="1"/>
  <c r="X983" i="1"/>
  <c r="Y983" i="1" s="1"/>
  <c r="V983" i="1"/>
  <c r="Q983" i="1"/>
  <c r="O983" i="1"/>
  <c r="P983" i="1"/>
  <c r="V982" i="1"/>
  <c r="X982" i="1"/>
  <c r="Y982" i="1" s="1"/>
  <c r="O982" i="1"/>
  <c r="P982" i="1"/>
  <c r="Q982" i="1"/>
  <c r="V981" i="1"/>
  <c r="X981" i="1"/>
  <c r="Y981" i="1" s="1"/>
  <c r="O981" i="1"/>
  <c r="Q981" i="1"/>
  <c r="P981" i="1"/>
  <c r="V980" i="1"/>
  <c r="X980" i="1"/>
  <c r="Y980" i="1" s="1"/>
  <c r="O980" i="1"/>
  <c r="Q980" i="1"/>
  <c r="P980" i="1"/>
  <c r="X979" i="1"/>
  <c r="Y979" i="1" s="1"/>
  <c r="V979" i="1"/>
  <c r="Q979" i="1"/>
  <c r="P979" i="1"/>
  <c r="O979" i="1"/>
  <c r="X978" i="1"/>
  <c r="Y978" i="1" s="1"/>
  <c r="V978" i="1"/>
  <c r="Q978" i="1"/>
  <c r="P978" i="1"/>
  <c r="O978" i="1"/>
  <c r="V977" i="1"/>
  <c r="X977" i="1"/>
  <c r="Y977" i="1" s="1"/>
  <c r="O977" i="1"/>
  <c r="P977" i="1"/>
  <c r="Q977" i="1"/>
  <c r="X976" i="1"/>
  <c r="Y976" i="1" s="1"/>
  <c r="V976" i="1"/>
  <c r="Q976" i="1"/>
  <c r="P976" i="1"/>
  <c r="O976" i="1"/>
  <c r="V975" i="1"/>
  <c r="X975" i="1"/>
  <c r="Y975" i="1" s="1"/>
  <c r="P975" i="1"/>
  <c r="O975" i="1"/>
  <c r="Q975" i="1"/>
  <c r="V974" i="1"/>
  <c r="X974" i="1"/>
  <c r="Y974" i="1" s="1"/>
  <c r="O974" i="1"/>
  <c r="P974" i="1"/>
  <c r="Q974" i="1"/>
  <c r="V973" i="1"/>
  <c r="X973" i="1"/>
  <c r="Y973" i="1" s="1"/>
  <c r="O973" i="1"/>
  <c r="P973" i="1"/>
  <c r="Q973" i="1"/>
  <c r="X972" i="1"/>
  <c r="Y972" i="1" s="1"/>
  <c r="V972" i="1"/>
  <c r="Q972" i="1"/>
  <c r="P972" i="1"/>
  <c r="O972" i="1"/>
  <c r="X971" i="1"/>
  <c r="Y971" i="1" s="1"/>
  <c r="V971" i="1"/>
  <c r="P971" i="1"/>
  <c r="O971" i="1"/>
  <c r="Q971" i="1"/>
  <c r="X970" i="1"/>
  <c r="Y970" i="1" s="1"/>
  <c r="V970" i="1"/>
  <c r="Q970" i="1"/>
  <c r="O970" i="1"/>
  <c r="P970" i="1"/>
  <c r="X969" i="1"/>
  <c r="Y969" i="1" s="1"/>
  <c r="V969" i="1"/>
  <c r="P969" i="1"/>
  <c r="O969" i="1"/>
  <c r="Q969" i="1"/>
  <c r="V968" i="1"/>
  <c r="X968" i="1"/>
  <c r="Y968" i="1" s="1"/>
  <c r="Q968" i="1"/>
  <c r="P968" i="1"/>
  <c r="O968" i="1"/>
  <c r="V967" i="1"/>
  <c r="X967" i="1"/>
  <c r="Y967" i="1" s="1"/>
  <c r="O967" i="1"/>
  <c r="P967" i="1"/>
  <c r="Q967" i="1"/>
  <c r="V966" i="1"/>
  <c r="X966" i="1"/>
  <c r="Y966" i="1" s="1"/>
  <c r="O966" i="1"/>
  <c r="Q966" i="1"/>
  <c r="P966" i="1"/>
  <c r="V965" i="1"/>
  <c r="X965" i="1"/>
  <c r="Y965" i="1" s="1"/>
  <c r="O965" i="1"/>
  <c r="P965" i="1"/>
  <c r="Q965" i="1"/>
  <c r="V964" i="1"/>
  <c r="X964" i="1"/>
  <c r="Y964" i="1" s="1"/>
  <c r="Q964" i="1"/>
  <c r="P964" i="1"/>
  <c r="O964" i="1"/>
  <c r="X963" i="1"/>
  <c r="Y963" i="1" s="1"/>
  <c r="V963" i="1"/>
  <c r="P963" i="1"/>
  <c r="Q963" i="1"/>
  <c r="O963" i="1"/>
  <c r="X962" i="1"/>
  <c r="Y962" i="1" s="1"/>
  <c r="V962" i="1"/>
  <c r="Q962" i="1"/>
  <c r="O962" i="1"/>
  <c r="P962" i="1"/>
  <c r="X961" i="1"/>
  <c r="Y961" i="1" s="1"/>
  <c r="V961" i="1"/>
  <c r="O961" i="1"/>
  <c r="P961" i="1"/>
  <c r="Q961" i="1"/>
  <c r="X960" i="1"/>
  <c r="Y960" i="1" s="1"/>
  <c r="V960" i="1"/>
  <c r="Q960" i="1"/>
  <c r="P960" i="1"/>
  <c r="O960" i="1"/>
  <c r="V959" i="1"/>
  <c r="X959" i="1"/>
  <c r="Y959" i="1" s="1"/>
  <c r="P959" i="1"/>
  <c r="Q959" i="1"/>
  <c r="O959" i="1"/>
  <c r="X958" i="1"/>
  <c r="Y958" i="1" s="1"/>
  <c r="V958" i="1"/>
  <c r="O958" i="1"/>
  <c r="Q958" i="1"/>
  <c r="P958" i="1"/>
  <c r="V957" i="1"/>
  <c r="X957" i="1"/>
  <c r="Y957" i="1" s="1"/>
  <c r="O957" i="1"/>
  <c r="P957" i="1"/>
  <c r="Q957" i="1"/>
  <c r="X956" i="1"/>
  <c r="Y956" i="1" s="1"/>
  <c r="V956" i="1"/>
  <c r="O956" i="1"/>
  <c r="P956" i="1"/>
  <c r="Q956" i="1"/>
  <c r="V955" i="1"/>
  <c r="X955" i="1"/>
  <c r="Y955" i="1" s="1"/>
  <c r="Q955" i="1"/>
  <c r="O955" i="1"/>
  <c r="P955" i="1"/>
  <c r="X954" i="1"/>
  <c r="Y954" i="1" s="1"/>
  <c r="V954" i="1"/>
  <c r="O954" i="1"/>
  <c r="P954" i="1"/>
  <c r="Q954" i="1"/>
  <c r="X953" i="1"/>
  <c r="Y953" i="1" s="1"/>
  <c r="V953" i="1"/>
  <c r="O953" i="1"/>
  <c r="P953" i="1"/>
  <c r="Q953" i="1"/>
  <c r="V952" i="1"/>
  <c r="X952" i="1"/>
  <c r="Y952" i="1" s="1"/>
  <c r="Q952" i="1"/>
  <c r="O952" i="1"/>
  <c r="P952" i="1"/>
  <c r="V951" i="1"/>
  <c r="X951" i="1"/>
  <c r="Y951" i="1" s="1"/>
  <c r="Q951" i="1"/>
  <c r="P951" i="1"/>
  <c r="O951" i="1"/>
  <c r="V950" i="1"/>
  <c r="X950" i="1"/>
  <c r="Y950" i="1" s="1"/>
  <c r="Q950" i="1"/>
  <c r="P950" i="1"/>
  <c r="O950" i="1"/>
  <c r="V949" i="1"/>
  <c r="X949" i="1"/>
  <c r="Y949" i="1" s="1"/>
  <c r="O949" i="1"/>
  <c r="Q949" i="1"/>
  <c r="P949" i="1"/>
  <c r="X948" i="1"/>
  <c r="Y948" i="1" s="1"/>
  <c r="V948" i="1"/>
  <c r="Q948" i="1"/>
  <c r="P948" i="1"/>
  <c r="O948" i="1"/>
  <c r="V947" i="1"/>
  <c r="X947" i="1"/>
  <c r="Y947" i="1" s="1"/>
  <c r="O947" i="1"/>
  <c r="P947" i="1"/>
  <c r="Q947" i="1"/>
  <c r="X946" i="1"/>
  <c r="Y946" i="1" s="1"/>
  <c r="V946" i="1"/>
  <c r="Q946" i="1"/>
  <c r="O946" i="1"/>
  <c r="P946" i="1"/>
  <c r="V945" i="1"/>
  <c r="X945" i="1"/>
  <c r="Y945" i="1" s="1"/>
  <c r="P945" i="1"/>
  <c r="Q945" i="1"/>
  <c r="O945" i="1"/>
  <c r="X944" i="1"/>
  <c r="Y944" i="1" s="1"/>
  <c r="V944" i="1"/>
  <c r="Q944" i="1"/>
  <c r="P944" i="1"/>
  <c r="O944" i="1"/>
  <c r="X943" i="1"/>
  <c r="Y943" i="1" s="1"/>
  <c r="V943" i="1"/>
  <c r="Q943" i="1"/>
  <c r="P943" i="1"/>
  <c r="O943" i="1"/>
  <c r="X942" i="1"/>
  <c r="Y942" i="1" s="1"/>
  <c r="V942" i="1"/>
  <c r="P942" i="1"/>
  <c r="Q942" i="1"/>
  <c r="O942" i="1"/>
  <c r="V941" i="1"/>
  <c r="X941" i="1"/>
  <c r="Y941" i="1" s="1"/>
  <c r="P941" i="1"/>
  <c r="O941" i="1"/>
  <c r="Q941" i="1"/>
  <c r="V940" i="1"/>
  <c r="X940" i="1"/>
  <c r="Y940" i="1" s="1"/>
  <c r="Q940" i="1"/>
  <c r="P940" i="1"/>
  <c r="O940" i="1"/>
  <c r="V939" i="1"/>
  <c r="X939" i="1"/>
  <c r="Y939" i="1" s="1"/>
  <c r="P939" i="1"/>
  <c r="O939" i="1"/>
  <c r="Q939" i="1"/>
  <c r="X938" i="1"/>
  <c r="Y938" i="1" s="1"/>
  <c r="V938" i="1"/>
  <c r="Q938" i="1"/>
  <c r="P938" i="1"/>
  <c r="O938" i="1"/>
  <c r="X937" i="1"/>
  <c r="Y937" i="1" s="1"/>
  <c r="V937" i="1"/>
  <c r="Q937" i="1"/>
  <c r="P937" i="1"/>
  <c r="O937" i="1"/>
  <c r="X936" i="1"/>
  <c r="Y936" i="1" s="1"/>
  <c r="V936" i="1"/>
  <c r="Q936" i="1"/>
  <c r="O936" i="1"/>
  <c r="P936" i="1"/>
  <c r="V935" i="1"/>
  <c r="X935" i="1"/>
  <c r="Y935" i="1" s="1"/>
  <c r="O935" i="1"/>
  <c r="P935" i="1"/>
  <c r="Q935" i="1"/>
  <c r="V934" i="1"/>
  <c r="X934" i="1"/>
  <c r="Y934" i="1" s="1"/>
  <c r="Q934" i="1"/>
  <c r="P934" i="1"/>
  <c r="O934" i="1"/>
  <c r="V933" i="1"/>
  <c r="X933" i="1"/>
  <c r="Y933" i="1" s="1"/>
  <c r="P933" i="1"/>
  <c r="O933" i="1"/>
  <c r="Q933" i="1"/>
  <c r="X932" i="1"/>
  <c r="Y932" i="1" s="1"/>
  <c r="V932" i="1"/>
  <c r="P932" i="1"/>
  <c r="Q932" i="1"/>
  <c r="O932" i="1"/>
  <c r="V931" i="1"/>
  <c r="X931" i="1"/>
  <c r="Y931" i="1" s="1"/>
  <c r="P931" i="1"/>
  <c r="O931" i="1"/>
  <c r="Q931" i="1"/>
  <c r="V930" i="1"/>
  <c r="X930" i="1"/>
  <c r="Y930" i="1" s="1"/>
  <c r="O930" i="1"/>
  <c r="Q930" i="1"/>
  <c r="P930" i="1"/>
  <c r="V929" i="1"/>
  <c r="X929" i="1"/>
  <c r="Y929" i="1" s="1"/>
  <c r="O929" i="1"/>
  <c r="P929" i="1"/>
  <c r="Q929" i="1"/>
  <c r="V928" i="1"/>
  <c r="X928" i="1"/>
  <c r="Y928" i="1" s="1"/>
  <c r="O928" i="1"/>
  <c r="P928" i="1"/>
  <c r="Q928" i="1"/>
  <c r="X927" i="1"/>
  <c r="Y927" i="1" s="1"/>
  <c r="V927" i="1"/>
  <c r="Q927" i="1"/>
  <c r="O927" i="1"/>
  <c r="P927" i="1"/>
  <c r="X926" i="1"/>
  <c r="Y926" i="1" s="1"/>
  <c r="V926" i="1"/>
  <c r="Q926" i="1"/>
  <c r="O926" i="1"/>
  <c r="P926" i="1"/>
  <c r="V925" i="1"/>
  <c r="X925" i="1"/>
  <c r="Y925" i="1" s="1"/>
  <c r="Q925" i="1"/>
  <c r="O925" i="1"/>
  <c r="P925" i="1"/>
  <c r="X924" i="1"/>
  <c r="Y924" i="1" s="1"/>
  <c r="V924" i="1"/>
  <c r="O924" i="1"/>
  <c r="P924" i="1"/>
  <c r="Q924" i="1"/>
  <c r="X923" i="1"/>
  <c r="Y923" i="1" s="1"/>
  <c r="V923" i="1"/>
  <c r="O923" i="1"/>
  <c r="Q923" i="1"/>
  <c r="P923" i="1"/>
  <c r="X922" i="1"/>
  <c r="Y922" i="1" s="1"/>
  <c r="V922" i="1"/>
  <c r="O922" i="1"/>
  <c r="Q922" i="1"/>
  <c r="P922" i="1"/>
  <c r="X921" i="1"/>
  <c r="Y921" i="1" s="1"/>
  <c r="V921" i="1"/>
  <c r="O921" i="1"/>
  <c r="Q921" i="1"/>
  <c r="P921" i="1"/>
  <c r="V920" i="1"/>
  <c r="X920" i="1"/>
  <c r="Y920" i="1" s="1"/>
  <c r="Q920" i="1"/>
  <c r="P920" i="1"/>
  <c r="O920" i="1"/>
  <c r="X919" i="1"/>
  <c r="Y919" i="1" s="1"/>
  <c r="V919" i="1"/>
  <c r="Q919" i="1"/>
  <c r="P919" i="1"/>
  <c r="O919" i="1"/>
  <c r="Q918" i="1"/>
  <c r="O918" i="1"/>
  <c r="P918" i="1"/>
  <c r="V917" i="1"/>
  <c r="X917" i="1"/>
  <c r="Y917" i="1" s="1"/>
  <c r="Q917" i="1"/>
  <c r="O917" i="1"/>
  <c r="P917" i="1"/>
  <c r="V916" i="1"/>
  <c r="X916" i="1"/>
  <c r="Y916" i="1" s="1"/>
  <c r="P916" i="1"/>
  <c r="Q916" i="1"/>
  <c r="O916" i="1"/>
  <c r="V915" i="1"/>
  <c r="X915" i="1"/>
  <c r="Y915" i="1" s="1"/>
  <c r="O915" i="1"/>
  <c r="P915" i="1"/>
  <c r="Q915" i="1"/>
  <c r="V914" i="1"/>
  <c r="X914" i="1"/>
  <c r="Y914" i="1" s="1"/>
  <c r="Q914" i="1"/>
  <c r="P914" i="1"/>
  <c r="O914" i="1"/>
  <c r="V913" i="1"/>
  <c r="X913" i="1"/>
  <c r="Y913" i="1" s="1"/>
  <c r="Q913" i="1"/>
  <c r="O913" i="1"/>
  <c r="P913" i="1"/>
  <c r="V912" i="1"/>
  <c r="X912" i="1"/>
  <c r="Y912" i="1" s="1"/>
  <c r="Q912" i="1"/>
  <c r="P912" i="1"/>
  <c r="O912" i="1"/>
  <c r="V911" i="1"/>
  <c r="X911" i="1"/>
  <c r="Y911" i="1" s="1"/>
  <c r="O911" i="1"/>
  <c r="P911" i="1"/>
  <c r="Q911" i="1"/>
  <c r="V910" i="1"/>
  <c r="X910" i="1"/>
  <c r="Y910" i="1" s="1"/>
  <c r="P910" i="1"/>
  <c r="Q910" i="1"/>
  <c r="O910" i="1"/>
  <c r="V909" i="1"/>
  <c r="X909" i="1"/>
  <c r="Y909" i="1" s="1"/>
  <c r="Q909" i="1"/>
  <c r="P909" i="1"/>
  <c r="O909" i="1"/>
  <c r="X908" i="1"/>
  <c r="Y908" i="1" s="1"/>
  <c r="V908" i="1"/>
  <c r="Q908" i="1"/>
  <c r="P908" i="1"/>
  <c r="O908" i="1"/>
  <c r="X907" i="1"/>
  <c r="Y907" i="1" s="1"/>
  <c r="V907" i="1"/>
  <c r="P907" i="1"/>
  <c r="Q907" i="1"/>
  <c r="O907" i="1"/>
  <c r="X906" i="1"/>
  <c r="Y906" i="1" s="1"/>
  <c r="V906" i="1"/>
  <c r="Q906" i="1"/>
  <c r="P906" i="1"/>
  <c r="O906" i="1"/>
  <c r="X905" i="1"/>
  <c r="Y905" i="1" s="1"/>
  <c r="V905" i="1"/>
  <c r="Q905" i="1"/>
  <c r="P905" i="1"/>
  <c r="O905" i="1"/>
  <c r="X904" i="1"/>
  <c r="Y904" i="1" s="1"/>
  <c r="V904" i="1"/>
  <c r="O904" i="1"/>
  <c r="Q904" i="1"/>
  <c r="P904" i="1"/>
  <c r="X903" i="1"/>
  <c r="Y903" i="1" s="1"/>
  <c r="V903" i="1"/>
  <c r="Q903" i="1"/>
  <c r="P903" i="1"/>
  <c r="O903" i="1"/>
  <c r="X902" i="1"/>
  <c r="Y902" i="1" s="1"/>
  <c r="V902" i="1"/>
  <c r="Q902" i="1"/>
  <c r="P902" i="1"/>
  <c r="O902" i="1"/>
  <c r="X901" i="1"/>
  <c r="Y901" i="1" s="1"/>
  <c r="V901" i="1"/>
  <c r="O901" i="1"/>
  <c r="P901" i="1"/>
  <c r="Q901" i="1"/>
  <c r="X900" i="1"/>
  <c r="Y900" i="1" s="1"/>
  <c r="V900" i="1"/>
  <c r="Q900" i="1"/>
  <c r="P900" i="1"/>
  <c r="O900" i="1"/>
  <c r="X899" i="1"/>
  <c r="Y899" i="1" s="1"/>
  <c r="V899" i="1"/>
  <c r="Q899" i="1"/>
  <c r="P899" i="1"/>
  <c r="O899" i="1"/>
  <c r="X898" i="1"/>
  <c r="Y898" i="1" s="1"/>
  <c r="V898" i="1"/>
  <c r="Q898" i="1"/>
  <c r="P898" i="1"/>
  <c r="O898" i="1"/>
  <c r="V897" i="1"/>
  <c r="X897" i="1"/>
  <c r="Y897" i="1" s="1"/>
  <c r="Q897" i="1"/>
  <c r="O897" i="1"/>
  <c r="P897" i="1"/>
  <c r="X896" i="1"/>
  <c r="Y896" i="1" s="1"/>
  <c r="V896" i="1"/>
  <c r="Q896" i="1"/>
  <c r="P896" i="1"/>
  <c r="O896" i="1"/>
  <c r="X895" i="1"/>
  <c r="Y895" i="1" s="1"/>
  <c r="V895" i="1"/>
  <c r="Q895" i="1"/>
  <c r="P895" i="1"/>
  <c r="O895" i="1"/>
  <c r="V894" i="1"/>
  <c r="X894" i="1"/>
  <c r="Y894" i="1" s="1"/>
  <c r="Q894" i="1"/>
  <c r="P894" i="1"/>
  <c r="O894" i="1"/>
  <c r="X893" i="1"/>
  <c r="Y893" i="1" s="1"/>
  <c r="V893" i="1"/>
  <c r="Q893" i="1"/>
  <c r="P893" i="1"/>
  <c r="O893" i="1"/>
  <c r="X892" i="1"/>
  <c r="Y892" i="1" s="1"/>
  <c r="V892" i="1"/>
  <c r="Q892" i="1"/>
  <c r="P892" i="1"/>
  <c r="O892" i="1"/>
  <c r="X891" i="1"/>
  <c r="Y891" i="1" s="1"/>
  <c r="V891" i="1"/>
  <c r="Q891" i="1"/>
  <c r="P891" i="1"/>
  <c r="O891" i="1"/>
  <c r="X890" i="1"/>
  <c r="Y890" i="1" s="1"/>
  <c r="V890" i="1"/>
  <c r="Q890" i="1"/>
  <c r="P890" i="1"/>
  <c r="O890" i="1"/>
  <c r="X889" i="1"/>
  <c r="Y889" i="1" s="1"/>
  <c r="V889" i="1"/>
  <c r="Q889" i="1"/>
  <c r="P889" i="1"/>
  <c r="O889" i="1"/>
  <c r="X888" i="1"/>
  <c r="Y888" i="1" s="1"/>
  <c r="V888" i="1"/>
  <c r="Q888" i="1"/>
  <c r="P888" i="1"/>
  <c r="O888" i="1"/>
  <c r="X887" i="1"/>
  <c r="Y887" i="1" s="1"/>
  <c r="V887" i="1"/>
  <c r="Q887" i="1"/>
  <c r="P887" i="1"/>
  <c r="O887" i="1"/>
  <c r="X886" i="1"/>
  <c r="Y886" i="1" s="1"/>
  <c r="V886" i="1"/>
  <c r="Q886" i="1"/>
  <c r="O886" i="1"/>
  <c r="P886" i="1"/>
  <c r="X885" i="1"/>
  <c r="Y885" i="1" s="1"/>
  <c r="V885" i="1"/>
  <c r="Q885" i="1"/>
  <c r="P885" i="1"/>
  <c r="O885" i="1"/>
  <c r="X884" i="1"/>
  <c r="Y884" i="1" s="1"/>
  <c r="V884" i="1"/>
  <c r="Q884" i="1"/>
  <c r="P884" i="1"/>
  <c r="O884" i="1"/>
  <c r="X883" i="1"/>
  <c r="Y883" i="1" s="1"/>
  <c r="V883" i="1"/>
  <c r="P883" i="1"/>
  <c r="O883" i="1"/>
  <c r="Q883" i="1"/>
  <c r="X882" i="1"/>
  <c r="Y882" i="1" s="1"/>
  <c r="V882" i="1"/>
  <c r="Q882" i="1"/>
  <c r="P882" i="1"/>
  <c r="O882" i="1"/>
  <c r="X881" i="1"/>
  <c r="Y881" i="1" s="1"/>
  <c r="V881" i="1"/>
  <c r="Q881" i="1"/>
  <c r="P881" i="1"/>
  <c r="O881" i="1"/>
  <c r="X880" i="1"/>
  <c r="Y880" i="1" s="1"/>
  <c r="V880" i="1"/>
  <c r="O880" i="1"/>
  <c r="Q880" i="1"/>
  <c r="P880" i="1"/>
  <c r="V879" i="1"/>
  <c r="X879" i="1"/>
  <c r="Y879" i="1" s="1"/>
  <c r="O879" i="1"/>
  <c r="P879" i="1"/>
  <c r="Q879" i="1"/>
  <c r="V878" i="1"/>
  <c r="X878" i="1"/>
  <c r="Y878" i="1" s="1"/>
  <c r="O878" i="1"/>
  <c r="P878" i="1"/>
  <c r="Q878" i="1"/>
  <c r="X877" i="1"/>
  <c r="Y877" i="1" s="1"/>
  <c r="V877" i="1"/>
  <c r="Q877" i="1"/>
  <c r="P877" i="1"/>
  <c r="O877" i="1"/>
  <c r="X876" i="1"/>
  <c r="Y876" i="1" s="1"/>
  <c r="V876" i="1"/>
  <c r="Q876" i="1"/>
  <c r="P876" i="1"/>
  <c r="O876" i="1"/>
  <c r="X875" i="1"/>
  <c r="Y875" i="1" s="1"/>
  <c r="V875" i="1"/>
  <c r="Q875" i="1"/>
  <c r="P875" i="1"/>
  <c r="O875" i="1"/>
  <c r="X874" i="1"/>
  <c r="Y874" i="1" s="1"/>
  <c r="V874" i="1"/>
  <c r="Q874" i="1"/>
  <c r="P874" i="1"/>
  <c r="O874" i="1"/>
  <c r="X873" i="1"/>
  <c r="Y873" i="1" s="1"/>
  <c r="V873" i="1"/>
  <c r="Q873" i="1"/>
  <c r="P873" i="1"/>
  <c r="O873" i="1"/>
  <c r="X872" i="1"/>
  <c r="Y872" i="1" s="1"/>
  <c r="V872" i="1"/>
  <c r="Q872" i="1"/>
  <c r="P872" i="1"/>
  <c r="O872" i="1"/>
  <c r="V871" i="1"/>
  <c r="X871" i="1"/>
  <c r="Y871" i="1" s="1"/>
  <c r="P871" i="1"/>
  <c r="Q871" i="1"/>
  <c r="O871" i="1"/>
  <c r="X870" i="1"/>
  <c r="Y870" i="1" s="1"/>
  <c r="V870" i="1"/>
  <c r="Q870" i="1"/>
  <c r="P870" i="1"/>
  <c r="O870" i="1"/>
  <c r="X869" i="1"/>
  <c r="Y869" i="1" s="1"/>
  <c r="V869" i="1"/>
  <c r="Q869" i="1"/>
  <c r="P869" i="1"/>
  <c r="O869" i="1"/>
  <c r="X868" i="1"/>
  <c r="Y868" i="1" s="1"/>
  <c r="V868" i="1"/>
  <c r="O868" i="1"/>
  <c r="Q868" i="1"/>
  <c r="P868" i="1"/>
  <c r="X867" i="1"/>
  <c r="Y867" i="1" s="1"/>
  <c r="V867" i="1"/>
  <c r="O867" i="1"/>
  <c r="P867" i="1"/>
  <c r="Q867" i="1"/>
  <c r="X866" i="1"/>
  <c r="Y866" i="1" s="1"/>
  <c r="V866" i="1"/>
  <c r="Q866" i="1"/>
  <c r="P866" i="1"/>
  <c r="O866" i="1"/>
  <c r="X865" i="1"/>
  <c r="Y865" i="1" s="1"/>
  <c r="V865" i="1"/>
  <c r="Q865" i="1"/>
  <c r="P865" i="1"/>
  <c r="O865" i="1"/>
  <c r="X864" i="1"/>
  <c r="Y864" i="1" s="1"/>
  <c r="V864" i="1"/>
  <c r="Q864" i="1"/>
  <c r="P864" i="1"/>
  <c r="O864" i="1"/>
  <c r="V863" i="1"/>
  <c r="X863" i="1"/>
  <c r="Y863" i="1" s="1"/>
  <c r="Q863" i="1"/>
  <c r="P863" i="1"/>
  <c r="O863" i="1"/>
  <c r="X862" i="1"/>
  <c r="Y862" i="1" s="1"/>
  <c r="V862" i="1"/>
  <c r="O862" i="1"/>
  <c r="Q862" i="1"/>
  <c r="P862" i="1"/>
  <c r="X861" i="1"/>
  <c r="Y861" i="1" s="1"/>
  <c r="V861" i="1"/>
  <c r="O861" i="1"/>
  <c r="P861" i="1"/>
  <c r="Q861" i="1"/>
  <c r="X860" i="1"/>
  <c r="Y860" i="1" s="1"/>
  <c r="V860" i="1"/>
  <c r="Q860" i="1"/>
  <c r="P860" i="1"/>
  <c r="O860" i="1"/>
  <c r="X859" i="1"/>
  <c r="Y859" i="1" s="1"/>
  <c r="V859" i="1"/>
  <c r="Q859" i="1"/>
  <c r="O859" i="1"/>
  <c r="P859" i="1"/>
  <c r="X858" i="1"/>
  <c r="Y858" i="1" s="1"/>
  <c r="V858" i="1"/>
  <c r="Q858" i="1"/>
  <c r="P858" i="1"/>
  <c r="O858" i="1"/>
  <c r="X857" i="1"/>
  <c r="Y857" i="1" s="1"/>
  <c r="V857" i="1"/>
  <c r="Q857" i="1"/>
  <c r="P857" i="1"/>
  <c r="O857" i="1"/>
  <c r="V856" i="1"/>
  <c r="X856" i="1"/>
  <c r="Y856" i="1" s="1"/>
  <c r="Q856" i="1"/>
  <c r="P856" i="1"/>
  <c r="O856" i="1"/>
  <c r="X855" i="1"/>
  <c r="Y855" i="1" s="1"/>
  <c r="V855" i="1"/>
  <c r="Q855" i="1"/>
  <c r="P855" i="1"/>
  <c r="O855" i="1"/>
  <c r="X854" i="1"/>
  <c r="Y854" i="1" s="1"/>
  <c r="V854" i="1"/>
  <c r="Q854" i="1"/>
  <c r="P854" i="1"/>
  <c r="O854" i="1"/>
  <c r="X853" i="1"/>
  <c r="Y853" i="1" s="1"/>
  <c r="V853" i="1"/>
  <c r="O853" i="1"/>
  <c r="P853" i="1"/>
  <c r="Q853" i="1"/>
  <c r="V852" i="1"/>
  <c r="X852" i="1"/>
  <c r="Y852" i="1" s="1"/>
  <c r="O852" i="1"/>
  <c r="P852" i="1"/>
  <c r="Q852" i="1"/>
  <c r="V851" i="1"/>
  <c r="X851" i="1"/>
  <c r="Y851" i="1" s="1"/>
  <c r="O851" i="1"/>
  <c r="P851" i="1"/>
  <c r="Q851" i="1"/>
  <c r="X850" i="1"/>
  <c r="Y850" i="1" s="1"/>
  <c r="V850" i="1"/>
  <c r="Q850" i="1"/>
  <c r="P850" i="1"/>
  <c r="O850" i="1"/>
  <c r="X849" i="1"/>
  <c r="Y849" i="1" s="1"/>
  <c r="V849" i="1"/>
  <c r="Q849" i="1"/>
  <c r="P849" i="1"/>
  <c r="O849" i="1"/>
  <c r="X848" i="1"/>
  <c r="Y848" i="1" s="1"/>
  <c r="V848" i="1"/>
  <c r="O848" i="1"/>
  <c r="Q848" i="1"/>
  <c r="P848" i="1"/>
  <c r="X847" i="1"/>
  <c r="Y847" i="1" s="1"/>
  <c r="V847" i="1"/>
  <c r="Q847" i="1"/>
  <c r="P847" i="1"/>
  <c r="O847" i="1"/>
  <c r="X846" i="1"/>
  <c r="Y846" i="1" s="1"/>
  <c r="V846" i="1"/>
  <c r="Q846" i="1"/>
  <c r="P846" i="1"/>
  <c r="O846" i="1"/>
  <c r="X845" i="1"/>
  <c r="Y845" i="1" s="1"/>
  <c r="V845" i="1"/>
  <c r="Q845" i="1"/>
  <c r="P845" i="1"/>
  <c r="O845" i="1"/>
  <c r="X844" i="1"/>
  <c r="Y844" i="1" s="1"/>
  <c r="V844" i="1"/>
  <c r="Q844" i="1"/>
  <c r="P844" i="1"/>
  <c r="O844" i="1"/>
  <c r="V843" i="1"/>
  <c r="X843" i="1"/>
  <c r="Y843" i="1" s="1"/>
  <c r="O843" i="1"/>
  <c r="Q843" i="1"/>
  <c r="P843" i="1"/>
  <c r="V842" i="1"/>
  <c r="X842" i="1"/>
  <c r="Y842" i="1" s="1"/>
  <c r="O842" i="1"/>
  <c r="P842" i="1"/>
  <c r="Q842" i="1"/>
  <c r="X841" i="1"/>
  <c r="Y841" i="1" s="1"/>
  <c r="V841" i="1"/>
  <c r="O841" i="1"/>
  <c r="P841" i="1"/>
  <c r="Q841" i="1"/>
  <c r="V840" i="1"/>
  <c r="X840" i="1"/>
  <c r="Y840" i="1" s="1"/>
  <c r="O840" i="1"/>
  <c r="P840" i="1"/>
  <c r="Q840" i="1"/>
  <c r="V839" i="1"/>
  <c r="X839" i="1"/>
  <c r="Y839" i="1" s="1"/>
  <c r="O839" i="1"/>
  <c r="P839" i="1"/>
  <c r="Q839" i="1"/>
  <c r="V838" i="1"/>
  <c r="X838" i="1"/>
  <c r="Y838" i="1" s="1"/>
  <c r="O838" i="1"/>
  <c r="Q838" i="1"/>
  <c r="P838" i="1"/>
  <c r="X837" i="1"/>
  <c r="Y837" i="1" s="1"/>
  <c r="V837" i="1"/>
  <c r="O837" i="1"/>
  <c r="Q837" i="1"/>
  <c r="P837" i="1"/>
  <c r="X836" i="1"/>
  <c r="Y836" i="1" s="1"/>
  <c r="V836" i="1"/>
  <c r="O836" i="1"/>
  <c r="Q836" i="1"/>
  <c r="P836" i="1"/>
  <c r="X835" i="1"/>
  <c r="Y835" i="1" s="1"/>
  <c r="V835" i="1"/>
  <c r="Q835" i="1"/>
  <c r="P835" i="1"/>
  <c r="O835" i="1"/>
  <c r="X834" i="1"/>
  <c r="Y834" i="1" s="1"/>
  <c r="V834" i="1"/>
  <c r="O834" i="1"/>
  <c r="Q834" i="1"/>
  <c r="P834" i="1"/>
  <c r="X833" i="1"/>
  <c r="Y833" i="1" s="1"/>
  <c r="V833" i="1"/>
  <c r="Q833" i="1"/>
  <c r="P833" i="1"/>
  <c r="O833" i="1"/>
  <c r="X832" i="1"/>
  <c r="Y832" i="1" s="1"/>
  <c r="V832" i="1"/>
  <c r="Q832" i="1"/>
  <c r="P832" i="1"/>
  <c r="O832" i="1"/>
  <c r="X831" i="1"/>
  <c r="Y831" i="1" s="1"/>
  <c r="V831" i="1"/>
  <c r="Q831" i="1"/>
  <c r="P831" i="1"/>
  <c r="O831" i="1"/>
  <c r="X830" i="1"/>
  <c r="Y830" i="1" s="1"/>
  <c r="V830" i="1"/>
  <c r="Q830" i="1"/>
  <c r="P830" i="1"/>
  <c r="O830" i="1"/>
  <c r="X829" i="1"/>
  <c r="Y829" i="1" s="1"/>
  <c r="V829" i="1"/>
  <c r="O829" i="1"/>
  <c r="P829" i="1"/>
  <c r="Q829" i="1"/>
  <c r="V828" i="1"/>
  <c r="X828" i="1"/>
  <c r="Y828" i="1" s="1"/>
  <c r="O828" i="1"/>
  <c r="P828" i="1"/>
  <c r="Q828" i="1"/>
  <c r="V827" i="1"/>
  <c r="X827" i="1"/>
  <c r="Y827" i="1" s="1"/>
  <c r="O827" i="1"/>
  <c r="P827" i="1"/>
  <c r="Q827" i="1"/>
  <c r="V826" i="1"/>
  <c r="X826" i="1"/>
  <c r="Y826" i="1" s="1"/>
  <c r="O826" i="1"/>
  <c r="Q826" i="1"/>
  <c r="P826" i="1"/>
  <c r="X825" i="1"/>
  <c r="Y825" i="1" s="1"/>
  <c r="V825" i="1"/>
  <c r="O825" i="1"/>
  <c r="P825" i="1"/>
  <c r="Q825" i="1"/>
  <c r="X824" i="1"/>
  <c r="Y824" i="1" s="1"/>
  <c r="V824" i="1"/>
  <c r="Q824" i="1"/>
  <c r="P824" i="1"/>
  <c r="O824" i="1"/>
  <c r="X823" i="1"/>
  <c r="Y823" i="1" s="1"/>
  <c r="V823" i="1"/>
  <c r="Q823" i="1"/>
  <c r="O823" i="1"/>
  <c r="P823" i="1"/>
  <c r="X822" i="1"/>
  <c r="Y822" i="1" s="1"/>
  <c r="V822" i="1"/>
  <c r="Q822" i="1"/>
  <c r="P822" i="1"/>
  <c r="O822" i="1"/>
  <c r="X821" i="1"/>
  <c r="Y821" i="1" s="1"/>
  <c r="V821" i="1"/>
  <c r="O821" i="1"/>
  <c r="Q821" i="1"/>
  <c r="P821" i="1"/>
  <c r="X820" i="1"/>
  <c r="Y820" i="1" s="1"/>
  <c r="V820" i="1"/>
  <c r="Q820" i="1"/>
  <c r="P820" i="1"/>
  <c r="O820" i="1"/>
  <c r="X819" i="1"/>
  <c r="Y819" i="1" s="1"/>
  <c r="V819" i="1"/>
  <c r="P819" i="1"/>
  <c r="Q819" i="1"/>
  <c r="O819" i="1"/>
  <c r="V818" i="1"/>
  <c r="X818" i="1"/>
  <c r="Y818" i="1" s="1"/>
  <c r="O818" i="1"/>
  <c r="P818" i="1"/>
  <c r="Q818" i="1"/>
  <c r="V817" i="1"/>
  <c r="X817" i="1"/>
  <c r="Y817" i="1" s="1"/>
  <c r="P817" i="1"/>
  <c r="O817" i="1"/>
  <c r="Q817" i="1"/>
  <c r="X816" i="1"/>
  <c r="Y816" i="1" s="1"/>
  <c r="V816" i="1"/>
  <c r="Q816" i="1"/>
  <c r="P816" i="1"/>
  <c r="O816" i="1"/>
  <c r="X815" i="1"/>
  <c r="Y815" i="1" s="1"/>
  <c r="V815" i="1"/>
  <c r="Q815" i="1"/>
  <c r="P815" i="1"/>
  <c r="O815" i="1"/>
  <c r="X814" i="1"/>
  <c r="Y814" i="1" s="1"/>
  <c r="V814" i="1"/>
  <c r="Q814" i="1"/>
  <c r="P814" i="1"/>
  <c r="O814" i="1"/>
  <c r="X813" i="1"/>
  <c r="Y813" i="1" s="1"/>
  <c r="V813" i="1"/>
  <c r="Q813" i="1"/>
  <c r="P813" i="1"/>
  <c r="O813" i="1"/>
  <c r="X812" i="1"/>
  <c r="Y812" i="1" s="1"/>
  <c r="V812" i="1"/>
  <c r="Q812" i="1"/>
  <c r="P812" i="1"/>
  <c r="O812" i="1"/>
  <c r="X811" i="1"/>
  <c r="Y811" i="1" s="1"/>
  <c r="V811" i="1"/>
  <c r="O811" i="1"/>
  <c r="Q811" i="1"/>
  <c r="P811" i="1"/>
  <c r="V810" i="1"/>
  <c r="X810" i="1"/>
  <c r="Y810" i="1" s="1"/>
  <c r="O810" i="1"/>
  <c r="Q810" i="1"/>
  <c r="P810" i="1"/>
  <c r="V809" i="1"/>
  <c r="X809" i="1"/>
  <c r="Y809" i="1" s="1"/>
  <c r="O809" i="1"/>
  <c r="Q809" i="1"/>
  <c r="P809" i="1"/>
  <c r="V808" i="1"/>
  <c r="X808" i="1"/>
  <c r="Y808" i="1" s="1"/>
  <c r="O808" i="1"/>
  <c r="Q808" i="1"/>
  <c r="P808" i="1"/>
  <c r="V807" i="1"/>
  <c r="X807" i="1"/>
  <c r="Y807" i="1" s="1"/>
  <c r="O807" i="1"/>
  <c r="Q807" i="1"/>
  <c r="P807" i="1"/>
  <c r="V806" i="1"/>
  <c r="X806" i="1"/>
  <c r="Y806" i="1" s="1"/>
  <c r="O806" i="1"/>
  <c r="Q806" i="1"/>
  <c r="P806" i="1"/>
  <c r="V805" i="1"/>
  <c r="X805" i="1"/>
  <c r="Y805" i="1" s="1"/>
  <c r="O805" i="1"/>
  <c r="Q805" i="1"/>
  <c r="P805" i="1"/>
  <c r="V804" i="1"/>
  <c r="X804" i="1"/>
  <c r="Y804" i="1" s="1"/>
  <c r="O804" i="1"/>
  <c r="Q804" i="1"/>
  <c r="P804" i="1"/>
  <c r="V803" i="1"/>
  <c r="X803" i="1"/>
  <c r="Y803" i="1" s="1"/>
  <c r="O803" i="1"/>
  <c r="Q803" i="1"/>
  <c r="P803" i="1"/>
  <c r="V802" i="1"/>
  <c r="X802" i="1"/>
  <c r="Y802" i="1" s="1"/>
  <c r="O802" i="1"/>
  <c r="Q802" i="1"/>
  <c r="P802" i="1"/>
  <c r="V801" i="1"/>
  <c r="X801" i="1"/>
  <c r="Y801" i="1" s="1"/>
  <c r="O801" i="1"/>
  <c r="P801" i="1"/>
  <c r="Q801" i="1"/>
  <c r="X800" i="1"/>
  <c r="Y800" i="1" s="1"/>
  <c r="V800" i="1"/>
  <c r="O800" i="1"/>
  <c r="Q800" i="1"/>
  <c r="P800" i="1"/>
  <c r="V799" i="1"/>
  <c r="X799" i="1"/>
  <c r="Y799" i="1" s="1"/>
  <c r="P799" i="1"/>
  <c r="O799" i="1"/>
  <c r="Q799" i="1"/>
  <c r="V798" i="1"/>
  <c r="X798" i="1"/>
  <c r="Y798" i="1" s="1"/>
  <c r="P798" i="1"/>
  <c r="O798" i="1"/>
  <c r="Q798" i="1"/>
  <c r="X797" i="1"/>
  <c r="Y797" i="1" s="1"/>
  <c r="V797" i="1"/>
  <c r="Q797" i="1"/>
  <c r="P797" i="1"/>
  <c r="O797" i="1"/>
  <c r="X796" i="1"/>
  <c r="Y796" i="1" s="1"/>
  <c r="V796" i="1"/>
  <c r="Q796" i="1"/>
  <c r="P796" i="1"/>
  <c r="O796" i="1"/>
  <c r="X795" i="1"/>
  <c r="Y795" i="1" s="1"/>
  <c r="V795" i="1"/>
  <c r="Q795" i="1"/>
  <c r="P795" i="1"/>
  <c r="O795" i="1"/>
  <c r="X794" i="1"/>
  <c r="Y794" i="1" s="1"/>
  <c r="V794" i="1"/>
  <c r="O794" i="1"/>
  <c r="Q794" i="1"/>
  <c r="P794" i="1"/>
  <c r="V793" i="1"/>
  <c r="X793" i="1"/>
  <c r="Y793" i="1" s="1"/>
  <c r="O793" i="1"/>
  <c r="Q793" i="1"/>
  <c r="P793" i="1"/>
  <c r="V792" i="1"/>
  <c r="X792" i="1"/>
  <c r="Y792" i="1" s="1"/>
  <c r="O792" i="1"/>
  <c r="Q792" i="1"/>
  <c r="P792" i="1"/>
  <c r="V791" i="1"/>
  <c r="X791" i="1"/>
  <c r="Y791" i="1" s="1"/>
  <c r="O791" i="1"/>
  <c r="Q791" i="1"/>
  <c r="P791" i="1"/>
  <c r="V790" i="1"/>
  <c r="X790" i="1"/>
  <c r="Y790" i="1" s="1"/>
  <c r="O790" i="1"/>
  <c r="Q790" i="1"/>
  <c r="P790" i="1"/>
  <c r="V789" i="1"/>
  <c r="X789" i="1"/>
  <c r="Y789" i="1" s="1"/>
  <c r="O789" i="1"/>
  <c r="Q789" i="1"/>
  <c r="P789" i="1"/>
  <c r="V788" i="1"/>
  <c r="X788" i="1"/>
  <c r="Y788" i="1" s="1"/>
  <c r="O788" i="1"/>
  <c r="Q788" i="1"/>
  <c r="P788" i="1"/>
  <c r="V787" i="1"/>
  <c r="X787" i="1"/>
  <c r="Y787" i="1" s="1"/>
  <c r="P787" i="1"/>
  <c r="O787" i="1"/>
  <c r="Q787" i="1"/>
  <c r="V786" i="1"/>
  <c r="X786" i="1"/>
  <c r="Y786" i="1" s="1"/>
  <c r="P786" i="1"/>
  <c r="O786" i="1"/>
  <c r="Q786" i="1"/>
  <c r="X785" i="1"/>
  <c r="Y785" i="1" s="1"/>
  <c r="V785" i="1"/>
  <c r="P785" i="1"/>
  <c r="O785" i="1"/>
  <c r="Q785" i="1"/>
  <c r="X784" i="1"/>
  <c r="Y784" i="1" s="1"/>
  <c r="V784" i="1"/>
  <c r="Q784" i="1"/>
  <c r="P784" i="1"/>
  <c r="O784" i="1"/>
  <c r="X783" i="1"/>
  <c r="Y783" i="1" s="1"/>
  <c r="V783" i="1"/>
  <c r="Q783" i="1"/>
  <c r="P783" i="1"/>
  <c r="O783" i="1"/>
  <c r="X782" i="1"/>
  <c r="Y782" i="1" s="1"/>
  <c r="V782" i="1"/>
  <c r="Q782" i="1"/>
  <c r="O782" i="1"/>
  <c r="P782" i="1"/>
  <c r="X781" i="1"/>
  <c r="Y781" i="1" s="1"/>
  <c r="V781" i="1"/>
  <c r="Q781" i="1"/>
  <c r="P781" i="1"/>
  <c r="O781" i="1"/>
  <c r="X780" i="1"/>
  <c r="Y780" i="1" s="1"/>
  <c r="V780" i="1"/>
  <c r="Q780" i="1"/>
  <c r="P780" i="1"/>
  <c r="O780" i="1"/>
  <c r="V779" i="1"/>
  <c r="X779" i="1"/>
  <c r="Y779" i="1" s="1"/>
  <c r="P779" i="1"/>
  <c r="Q779" i="1"/>
  <c r="O779" i="1"/>
  <c r="X778" i="1"/>
  <c r="Y778" i="1" s="1"/>
  <c r="V778" i="1"/>
  <c r="Q778" i="1"/>
  <c r="O778" i="1"/>
  <c r="P778" i="1"/>
  <c r="X777" i="1"/>
  <c r="Y777" i="1" s="1"/>
  <c r="V777" i="1"/>
  <c r="Q777" i="1"/>
  <c r="P777" i="1"/>
  <c r="O777" i="1"/>
  <c r="X776" i="1"/>
  <c r="Y776" i="1" s="1"/>
  <c r="V776" i="1"/>
  <c r="O776" i="1"/>
  <c r="Q776" i="1"/>
  <c r="P776" i="1"/>
  <c r="V775" i="1"/>
  <c r="X775" i="1"/>
  <c r="Y775" i="1" s="1"/>
  <c r="Q775" i="1"/>
  <c r="P775" i="1"/>
  <c r="O775" i="1"/>
  <c r="X774" i="1"/>
  <c r="Y774" i="1" s="1"/>
  <c r="V774" i="1"/>
  <c r="Q774" i="1"/>
  <c r="P774" i="1"/>
  <c r="O774" i="1"/>
  <c r="X773" i="1"/>
  <c r="Y773" i="1" s="1"/>
  <c r="V773" i="1"/>
  <c r="Q773" i="1"/>
  <c r="P773" i="1"/>
  <c r="O773" i="1"/>
  <c r="V772" i="1"/>
  <c r="X772" i="1"/>
  <c r="Y772" i="1" s="1"/>
  <c r="O772" i="1"/>
  <c r="Q772" i="1"/>
  <c r="P772" i="1"/>
  <c r="V771" i="1"/>
  <c r="X771" i="1"/>
  <c r="Y771" i="1" s="1"/>
  <c r="Q771" i="1"/>
  <c r="P771" i="1"/>
  <c r="O771" i="1"/>
  <c r="X770" i="1"/>
  <c r="Y770" i="1" s="1"/>
  <c r="V770" i="1"/>
  <c r="Q770" i="1"/>
  <c r="P770" i="1"/>
  <c r="O770" i="1"/>
  <c r="X769" i="1"/>
  <c r="Y769" i="1" s="1"/>
  <c r="V769" i="1"/>
  <c r="Q769" i="1"/>
  <c r="P769" i="1"/>
  <c r="O769" i="1"/>
  <c r="X768" i="1"/>
  <c r="Y768" i="1" s="1"/>
  <c r="V768" i="1"/>
  <c r="Q768" i="1"/>
  <c r="P768" i="1"/>
  <c r="O768" i="1"/>
  <c r="X767" i="1"/>
  <c r="Y767" i="1" s="1"/>
  <c r="V767" i="1"/>
  <c r="O767" i="1"/>
  <c r="Q767" i="1"/>
  <c r="P767" i="1"/>
  <c r="V766" i="1"/>
  <c r="X766" i="1"/>
  <c r="Y766" i="1" s="1"/>
  <c r="P766" i="1"/>
  <c r="O766" i="1"/>
  <c r="Q766" i="1"/>
  <c r="V765" i="1"/>
  <c r="X765" i="1"/>
  <c r="Y765" i="1" s="1"/>
  <c r="Q765" i="1"/>
  <c r="P765" i="1"/>
  <c r="O765" i="1"/>
  <c r="X764" i="1"/>
  <c r="Y764" i="1" s="1"/>
  <c r="V764" i="1"/>
  <c r="Q764" i="1"/>
  <c r="O764" i="1"/>
  <c r="P764" i="1"/>
  <c r="V763" i="1"/>
  <c r="X763" i="1"/>
  <c r="Y763" i="1" s="1"/>
  <c r="O763" i="1"/>
  <c r="P763" i="1"/>
  <c r="Q763" i="1"/>
  <c r="X762" i="1"/>
  <c r="Y762" i="1" s="1"/>
  <c r="V762" i="1"/>
  <c r="O762" i="1"/>
  <c r="P762" i="1"/>
  <c r="Q762" i="1"/>
  <c r="V761" i="1"/>
  <c r="X761" i="1"/>
  <c r="Y761" i="1" s="1"/>
  <c r="O761" i="1"/>
  <c r="P761" i="1"/>
  <c r="Q761" i="1"/>
  <c r="X760" i="1"/>
  <c r="Y760" i="1" s="1"/>
  <c r="V760" i="1"/>
  <c r="O760" i="1"/>
  <c r="Q760" i="1"/>
  <c r="P760" i="1"/>
  <c r="X759" i="1"/>
  <c r="Y759" i="1" s="1"/>
  <c r="V759" i="1"/>
  <c r="Q759" i="1"/>
  <c r="P759" i="1"/>
  <c r="O759" i="1"/>
  <c r="X758" i="1"/>
  <c r="Y758" i="1" s="1"/>
  <c r="V758" i="1"/>
  <c r="Q758" i="1"/>
  <c r="P758" i="1"/>
  <c r="O758" i="1"/>
  <c r="V757" i="1"/>
  <c r="X757" i="1"/>
  <c r="Y757" i="1" s="1"/>
  <c r="O757" i="1"/>
  <c r="P757" i="1"/>
  <c r="Q757" i="1"/>
  <c r="V756" i="1"/>
  <c r="X756" i="1"/>
  <c r="Y756" i="1" s="1"/>
  <c r="O756" i="1"/>
  <c r="P756" i="1"/>
  <c r="Q756" i="1"/>
  <c r="X755" i="1"/>
  <c r="Y755" i="1" s="1"/>
  <c r="V755" i="1"/>
  <c r="Q755" i="1"/>
  <c r="P755" i="1"/>
  <c r="O755" i="1"/>
  <c r="X754" i="1"/>
  <c r="Y754" i="1" s="1"/>
  <c r="V754" i="1"/>
  <c r="P754" i="1"/>
  <c r="O754" i="1"/>
  <c r="Q754" i="1"/>
  <c r="X753" i="1"/>
  <c r="Y753" i="1" s="1"/>
  <c r="V753" i="1"/>
  <c r="Q753" i="1"/>
  <c r="P753" i="1"/>
  <c r="O753" i="1"/>
  <c r="V752" i="1"/>
  <c r="X752" i="1"/>
  <c r="Y752" i="1" s="1"/>
  <c r="P752" i="1"/>
  <c r="O752" i="1"/>
  <c r="Q752" i="1"/>
  <c r="X751" i="1"/>
  <c r="Y751" i="1" s="1"/>
  <c r="V751" i="1"/>
  <c r="Q751" i="1"/>
  <c r="P751" i="1"/>
  <c r="O751" i="1"/>
  <c r="X750" i="1"/>
  <c r="Y750" i="1" s="1"/>
  <c r="V750" i="1"/>
  <c r="O750" i="1"/>
  <c r="Q750" i="1"/>
  <c r="P750" i="1"/>
  <c r="X749" i="1"/>
  <c r="Y749" i="1" s="1"/>
  <c r="V749" i="1"/>
  <c r="Q749" i="1"/>
  <c r="P749" i="1"/>
  <c r="O749" i="1"/>
  <c r="X748" i="1"/>
  <c r="Y748" i="1" s="1"/>
  <c r="V748" i="1"/>
  <c r="Q748" i="1"/>
  <c r="P748" i="1"/>
  <c r="O748" i="1"/>
  <c r="X747" i="1"/>
  <c r="Y747" i="1" s="1"/>
  <c r="V747" i="1"/>
  <c r="Q747" i="1"/>
  <c r="P747" i="1"/>
  <c r="O747" i="1"/>
  <c r="X746" i="1"/>
  <c r="Y746" i="1" s="1"/>
  <c r="V746" i="1"/>
  <c r="Q746" i="1"/>
  <c r="P746" i="1"/>
  <c r="O746" i="1"/>
  <c r="X745" i="1"/>
  <c r="Y745" i="1" s="1"/>
  <c r="V745" i="1"/>
  <c r="P745" i="1"/>
  <c r="O745" i="1"/>
  <c r="Q745" i="1"/>
  <c r="V744" i="1"/>
  <c r="X744" i="1"/>
  <c r="Y744" i="1" s="1"/>
  <c r="Q744" i="1"/>
  <c r="P744" i="1"/>
  <c r="O744" i="1"/>
  <c r="V743" i="1"/>
  <c r="X743" i="1"/>
  <c r="Y743" i="1" s="1"/>
  <c r="Q743" i="1"/>
  <c r="P743" i="1"/>
  <c r="O743" i="1"/>
  <c r="X742" i="1"/>
  <c r="Y742" i="1" s="1"/>
  <c r="V742" i="1"/>
  <c r="Q742" i="1"/>
  <c r="P742" i="1"/>
  <c r="O742" i="1"/>
  <c r="X741" i="1"/>
  <c r="Y741" i="1" s="1"/>
  <c r="V741" i="1"/>
  <c r="P741" i="1"/>
  <c r="O741" i="1"/>
  <c r="Q741" i="1"/>
  <c r="X740" i="1"/>
  <c r="Y740" i="1" s="1"/>
  <c r="V740" i="1"/>
  <c r="Q740" i="1"/>
  <c r="P740" i="1"/>
  <c r="O740" i="1"/>
  <c r="V739" i="1"/>
  <c r="X739" i="1"/>
  <c r="Y739" i="1" s="1"/>
  <c r="O739" i="1"/>
  <c r="P739" i="1"/>
  <c r="Q739" i="1"/>
  <c r="V738" i="1"/>
  <c r="X738" i="1"/>
  <c r="Y738" i="1" s="1"/>
  <c r="Q738" i="1"/>
  <c r="P738" i="1"/>
  <c r="O738" i="1"/>
  <c r="X737" i="1"/>
  <c r="Y737" i="1" s="1"/>
  <c r="V737" i="1"/>
  <c r="Q737" i="1"/>
  <c r="P737" i="1"/>
  <c r="O737" i="1"/>
  <c r="X736" i="1"/>
  <c r="Y736" i="1" s="1"/>
  <c r="V736" i="1"/>
  <c r="Q736" i="1"/>
  <c r="P736" i="1"/>
  <c r="O736" i="1"/>
  <c r="X735" i="1"/>
  <c r="Y735" i="1" s="1"/>
  <c r="V735" i="1"/>
  <c r="P735" i="1"/>
  <c r="O735" i="1"/>
  <c r="Q735" i="1"/>
  <c r="V734" i="1"/>
  <c r="X734" i="1"/>
  <c r="Y734" i="1" s="1"/>
  <c r="P734" i="1"/>
  <c r="O734" i="1"/>
  <c r="Q734" i="1"/>
  <c r="X733" i="1"/>
  <c r="Y733" i="1" s="1"/>
  <c r="V733" i="1"/>
  <c r="Q733" i="1"/>
  <c r="P733" i="1"/>
  <c r="O733" i="1"/>
  <c r="V732" i="1"/>
  <c r="X732" i="1"/>
  <c r="Y732" i="1" s="1"/>
  <c r="Q732" i="1"/>
  <c r="P732" i="1"/>
  <c r="O732" i="1"/>
  <c r="X731" i="1"/>
  <c r="Y731" i="1" s="1"/>
  <c r="V731" i="1"/>
  <c r="Q731" i="1"/>
  <c r="O731" i="1"/>
  <c r="P731" i="1"/>
  <c r="V730" i="1"/>
  <c r="X730" i="1"/>
  <c r="Y730" i="1" s="1"/>
  <c r="Q730" i="1"/>
  <c r="P730" i="1"/>
  <c r="O730" i="1"/>
  <c r="X729" i="1"/>
  <c r="Y729" i="1" s="1"/>
  <c r="V729" i="1"/>
  <c r="Q729" i="1"/>
  <c r="P729" i="1"/>
  <c r="O729" i="1"/>
  <c r="X728" i="1"/>
  <c r="Y728" i="1" s="1"/>
  <c r="V728" i="1"/>
  <c r="Q728" i="1"/>
  <c r="P728" i="1"/>
  <c r="O728" i="1"/>
  <c r="X727" i="1"/>
  <c r="Y727" i="1" s="1"/>
  <c r="V727" i="1"/>
  <c r="P727" i="1"/>
  <c r="Q727" i="1"/>
  <c r="O727" i="1"/>
  <c r="X726" i="1"/>
  <c r="Y726" i="1" s="1"/>
  <c r="V726" i="1"/>
  <c r="O726" i="1"/>
  <c r="P726" i="1"/>
  <c r="Q726" i="1"/>
  <c r="X725" i="1"/>
  <c r="Y725" i="1" s="1"/>
  <c r="V725" i="1"/>
  <c r="Q725" i="1"/>
  <c r="P725" i="1"/>
  <c r="O725" i="1"/>
  <c r="X724" i="1"/>
  <c r="Y724" i="1" s="1"/>
  <c r="V724" i="1"/>
  <c r="Q724" i="1"/>
  <c r="P724" i="1"/>
  <c r="O724" i="1"/>
  <c r="X723" i="1"/>
  <c r="Y723" i="1" s="1"/>
  <c r="V723" i="1"/>
  <c r="Q723" i="1"/>
  <c r="P723" i="1"/>
  <c r="O723" i="1"/>
  <c r="X722" i="1"/>
  <c r="Y722" i="1" s="1"/>
  <c r="V722" i="1"/>
  <c r="O722" i="1"/>
  <c r="P722" i="1"/>
  <c r="Q722" i="1"/>
  <c r="V721" i="1"/>
  <c r="X721" i="1"/>
  <c r="Y721" i="1" s="1"/>
  <c r="Q721" i="1"/>
  <c r="P721" i="1"/>
  <c r="O721" i="1"/>
  <c r="X720" i="1"/>
  <c r="Y720" i="1" s="1"/>
  <c r="V720" i="1"/>
  <c r="Q720" i="1"/>
  <c r="P720" i="1"/>
  <c r="O720" i="1"/>
  <c r="X719" i="1"/>
  <c r="Y719" i="1" s="1"/>
  <c r="V719" i="1"/>
  <c r="Q719" i="1"/>
  <c r="P719" i="1"/>
  <c r="O719" i="1"/>
  <c r="X718" i="1"/>
  <c r="Y718" i="1" s="1"/>
  <c r="V718" i="1"/>
  <c r="P718" i="1"/>
  <c r="O718" i="1"/>
  <c r="Q718" i="1"/>
  <c r="X717" i="1"/>
  <c r="Y717" i="1" s="1"/>
  <c r="V717" i="1"/>
  <c r="Q717" i="1"/>
  <c r="P717" i="1"/>
  <c r="O717" i="1"/>
  <c r="V716" i="1"/>
  <c r="X716" i="1"/>
  <c r="Y716" i="1" s="1"/>
  <c r="O716" i="1"/>
  <c r="Q716" i="1"/>
  <c r="P716" i="1"/>
  <c r="V715" i="1"/>
  <c r="X715" i="1"/>
  <c r="Y715" i="1" s="1"/>
  <c r="Q715" i="1"/>
  <c r="P715" i="1"/>
  <c r="O715" i="1"/>
  <c r="X714" i="1"/>
  <c r="Y714" i="1" s="1"/>
  <c r="V714" i="1"/>
  <c r="Q714" i="1"/>
  <c r="P714" i="1"/>
  <c r="O714" i="1"/>
  <c r="V713" i="1"/>
  <c r="X713" i="1"/>
  <c r="Y713" i="1" s="1"/>
  <c r="O713" i="1"/>
  <c r="P713" i="1"/>
  <c r="Q713" i="1"/>
  <c r="X712" i="1"/>
  <c r="Y712" i="1" s="1"/>
  <c r="V712" i="1"/>
  <c r="Q712" i="1"/>
  <c r="P712" i="1"/>
  <c r="O712" i="1"/>
  <c r="X711" i="1"/>
  <c r="Y711" i="1" s="1"/>
  <c r="V711" i="1"/>
  <c r="Q711" i="1"/>
  <c r="P711" i="1"/>
  <c r="O711" i="1"/>
  <c r="X710" i="1"/>
  <c r="Y710" i="1" s="1"/>
  <c r="V710" i="1"/>
  <c r="Q710" i="1"/>
  <c r="P710" i="1"/>
  <c r="O710" i="1"/>
  <c r="X709" i="1"/>
  <c r="Y709" i="1" s="1"/>
  <c r="V709" i="1"/>
  <c r="Q709" i="1"/>
  <c r="P709" i="1"/>
  <c r="O709" i="1"/>
  <c r="X708" i="1"/>
  <c r="Y708" i="1" s="1"/>
  <c r="V708" i="1"/>
  <c r="Q708" i="1"/>
  <c r="P708" i="1"/>
  <c r="O708" i="1"/>
  <c r="V707" i="1"/>
  <c r="X707" i="1"/>
  <c r="Y707" i="1" s="1"/>
  <c r="Q707" i="1"/>
  <c r="P707" i="1"/>
  <c r="O707" i="1"/>
  <c r="X706" i="1"/>
  <c r="Y706" i="1" s="1"/>
  <c r="V706" i="1"/>
  <c r="Q706" i="1"/>
  <c r="P706" i="1"/>
  <c r="O706" i="1"/>
  <c r="X705" i="1"/>
  <c r="Y705" i="1" s="1"/>
  <c r="V705" i="1"/>
  <c r="Q705" i="1"/>
  <c r="P705" i="1"/>
  <c r="O705" i="1"/>
  <c r="X704" i="1"/>
  <c r="Y704" i="1" s="1"/>
  <c r="V704" i="1"/>
  <c r="O704" i="1"/>
  <c r="Q704" i="1"/>
  <c r="P704" i="1"/>
  <c r="V703" i="1"/>
  <c r="X703" i="1"/>
  <c r="Y703" i="1" s="1"/>
  <c r="Q703" i="1"/>
  <c r="P703" i="1"/>
  <c r="O703" i="1"/>
  <c r="X702" i="1"/>
  <c r="Y702" i="1" s="1"/>
  <c r="V702" i="1"/>
  <c r="P702" i="1"/>
  <c r="O702" i="1"/>
  <c r="Q702" i="1"/>
  <c r="X701" i="1"/>
  <c r="Y701" i="1" s="1"/>
  <c r="V701" i="1"/>
  <c r="Q701" i="1"/>
  <c r="P701" i="1"/>
  <c r="O701" i="1"/>
  <c r="X700" i="1"/>
  <c r="Y700" i="1" s="1"/>
  <c r="V700" i="1"/>
  <c r="Q700" i="1"/>
  <c r="P700" i="1"/>
  <c r="O700" i="1"/>
  <c r="V699" i="1"/>
  <c r="X699" i="1"/>
  <c r="Y699" i="1" s="1"/>
  <c r="P699" i="1"/>
  <c r="O699" i="1"/>
  <c r="Q699" i="1"/>
  <c r="X698" i="1"/>
  <c r="Y698" i="1" s="1"/>
  <c r="V698" i="1"/>
  <c r="Q698" i="1"/>
  <c r="P698" i="1"/>
  <c r="O698" i="1"/>
  <c r="X697" i="1"/>
  <c r="Y697" i="1" s="1"/>
  <c r="V697" i="1"/>
  <c r="Q697" i="1"/>
  <c r="P697" i="1"/>
  <c r="O697" i="1"/>
  <c r="X696" i="1"/>
  <c r="Y696" i="1" s="1"/>
  <c r="V696" i="1"/>
  <c r="O696" i="1"/>
  <c r="Q696" i="1"/>
  <c r="P696" i="1"/>
  <c r="X695" i="1"/>
  <c r="Y695" i="1" s="1"/>
  <c r="V695" i="1"/>
  <c r="O695" i="1"/>
  <c r="Q695" i="1"/>
  <c r="P695" i="1"/>
  <c r="X694" i="1"/>
  <c r="Y694" i="1" s="1"/>
  <c r="V694" i="1"/>
  <c r="Q694" i="1"/>
  <c r="P694" i="1"/>
  <c r="O694" i="1"/>
  <c r="X693" i="1"/>
  <c r="Y693" i="1" s="1"/>
  <c r="V693" i="1"/>
  <c r="Q693" i="1"/>
  <c r="P693" i="1"/>
  <c r="O693" i="1"/>
  <c r="X692" i="1"/>
  <c r="Y692" i="1" s="1"/>
  <c r="V692" i="1"/>
  <c r="Q692" i="1"/>
  <c r="P692" i="1"/>
  <c r="O692" i="1"/>
  <c r="V691" i="1"/>
  <c r="X691" i="1"/>
  <c r="Y691" i="1" s="1"/>
  <c r="P691" i="1"/>
  <c r="O691" i="1"/>
  <c r="Q691" i="1"/>
  <c r="X690" i="1"/>
  <c r="Y690" i="1" s="1"/>
  <c r="V690" i="1"/>
  <c r="Q690" i="1"/>
  <c r="P690" i="1"/>
  <c r="O690" i="1"/>
  <c r="X689" i="1"/>
  <c r="Y689" i="1" s="1"/>
  <c r="V689" i="1"/>
  <c r="Q689" i="1"/>
  <c r="P689" i="1"/>
  <c r="O689" i="1"/>
  <c r="V688" i="1"/>
  <c r="X688" i="1"/>
  <c r="Y688" i="1" s="1"/>
  <c r="P688" i="1"/>
  <c r="Q688" i="1"/>
  <c r="O688" i="1"/>
  <c r="V687" i="1"/>
  <c r="X687" i="1"/>
  <c r="Y687" i="1" s="1"/>
  <c r="P687" i="1"/>
  <c r="O687" i="1"/>
  <c r="Q687" i="1"/>
  <c r="V686" i="1"/>
  <c r="X686" i="1"/>
  <c r="Y686" i="1" s="1"/>
  <c r="Q686" i="1"/>
  <c r="P686" i="1"/>
  <c r="O686" i="1"/>
  <c r="X685" i="1"/>
  <c r="Y685" i="1" s="1"/>
  <c r="V685" i="1"/>
  <c r="P685" i="1"/>
  <c r="O685" i="1"/>
  <c r="Q685" i="1"/>
  <c r="V684" i="1"/>
  <c r="X684" i="1"/>
  <c r="Y684" i="1" s="1"/>
  <c r="Q684" i="1"/>
  <c r="P684" i="1"/>
  <c r="O684" i="1"/>
  <c r="X683" i="1"/>
  <c r="Y683" i="1" s="1"/>
  <c r="V683" i="1"/>
  <c r="Q683" i="1"/>
  <c r="O683" i="1"/>
  <c r="P683" i="1"/>
  <c r="X682" i="1"/>
  <c r="Y682" i="1" s="1"/>
  <c r="V682" i="1"/>
  <c r="Q682" i="1"/>
  <c r="P682" i="1"/>
  <c r="O682" i="1"/>
  <c r="X681" i="1"/>
  <c r="Y681" i="1" s="1"/>
  <c r="V681" i="1"/>
  <c r="Q681" i="1"/>
  <c r="P681" i="1"/>
  <c r="O681" i="1"/>
  <c r="X680" i="1"/>
  <c r="Y680" i="1" s="1"/>
  <c r="V680" i="1"/>
  <c r="Q680" i="1"/>
  <c r="P680" i="1"/>
  <c r="O680" i="1"/>
  <c r="X679" i="1"/>
  <c r="Y679" i="1" s="1"/>
  <c r="V679" i="1"/>
  <c r="Q679" i="1"/>
  <c r="P679" i="1"/>
  <c r="O679" i="1"/>
  <c r="X678" i="1"/>
  <c r="Y678" i="1" s="1"/>
  <c r="V678" i="1"/>
  <c r="Q678" i="1"/>
  <c r="P678" i="1"/>
  <c r="O678" i="1"/>
  <c r="V677" i="1"/>
  <c r="X677" i="1"/>
  <c r="Y677" i="1" s="1"/>
  <c r="P677" i="1"/>
  <c r="O677" i="1"/>
  <c r="Q677" i="1"/>
  <c r="X676" i="1"/>
  <c r="Y676" i="1" s="1"/>
  <c r="V676" i="1"/>
  <c r="Q676" i="1"/>
  <c r="P676" i="1"/>
  <c r="O676" i="1"/>
  <c r="V675" i="1"/>
  <c r="X675" i="1"/>
  <c r="Y675" i="1" s="1"/>
  <c r="Q675" i="1"/>
  <c r="P675" i="1"/>
  <c r="O675" i="1"/>
  <c r="X674" i="1"/>
  <c r="Y674" i="1" s="1"/>
  <c r="V674" i="1"/>
  <c r="Q674" i="1"/>
  <c r="P674" i="1"/>
  <c r="O674" i="1"/>
  <c r="X673" i="1"/>
  <c r="Y673" i="1" s="1"/>
  <c r="V673" i="1"/>
  <c r="Q673" i="1"/>
  <c r="P673" i="1"/>
  <c r="O673" i="1"/>
  <c r="X672" i="1"/>
  <c r="Y672" i="1" s="1"/>
  <c r="V672" i="1"/>
  <c r="Q672" i="1"/>
  <c r="P672" i="1"/>
  <c r="O672" i="1"/>
  <c r="V671" i="1"/>
  <c r="X671" i="1"/>
  <c r="Y671" i="1" s="1"/>
  <c r="O671" i="1"/>
  <c r="Q671" i="1"/>
  <c r="P671" i="1"/>
  <c r="X670" i="1"/>
  <c r="Y670" i="1" s="1"/>
  <c r="V670" i="1"/>
  <c r="Q670" i="1"/>
  <c r="P670" i="1"/>
  <c r="O670" i="1"/>
  <c r="X669" i="1"/>
  <c r="Y669" i="1" s="1"/>
  <c r="V669" i="1"/>
  <c r="Q669" i="1"/>
  <c r="P669" i="1"/>
  <c r="O669" i="1"/>
  <c r="X668" i="1"/>
  <c r="Y668" i="1" s="1"/>
  <c r="V668" i="1"/>
  <c r="Q668" i="1"/>
  <c r="P668" i="1"/>
  <c r="O668" i="1"/>
  <c r="X667" i="1"/>
  <c r="Y667" i="1" s="1"/>
  <c r="V667" i="1"/>
  <c r="Q667" i="1"/>
  <c r="P667" i="1"/>
  <c r="O667" i="1"/>
  <c r="X666" i="1"/>
  <c r="Y666" i="1" s="1"/>
  <c r="V666" i="1"/>
  <c r="P666" i="1"/>
  <c r="Q666" i="1"/>
  <c r="O666" i="1"/>
  <c r="X665" i="1"/>
  <c r="Y665" i="1" s="1"/>
  <c r="V665" i="1"/>
  <c r="Q665" i="1"/>
  <c r="P665" i="1"/>
  <c r="O665" i="1"/>
  <c r="X664" i="1"/>
  <c r="Y664" i="1" s="1"/>
  <c r="V664" i="1"/>
  <c r="Q664" i="1"/>
  <c r="P664" i="1"/>
  <c r="O664" i="1"/>
  <c r="X663" i="1"/>
  <c r="Y663" i="1" s="1"/>
  <c r="V663" i="1"/>
  <c r="P663" i="1"/>
  <c r="O663" i="1"/>
  <c r="Q663" i="1"/>
  <c r="V662" i="1"/>
  <c r="X662" i="1"/>
  <c r="Y662" i="1" s="1"/>
  <c r="Q662" i="1"/>
  <c r="P662" i="1"/>
  <c r="O662" i="1"/>
  <c r="X661" i="1"/>
  <c r="Y661" i="1" s="1"/>
  <c r="V661" i="1"/>
  <c r="Q661" i="1"/>
  <c r="P661" i="1"/>
  <c r="O661" i="1"/>
  <c r="X660" i="1"/>
  <c r="Y660" i="1" s="1"/>
  <c r="V660" i="1"/>
  <c r="O660" i="1"/>
  <c r="Q660" i="1"/>
  <c r="P660" i="1"/>
  <c r="X659" i="1"/>
  <c r="Y659" i="1" s="1"/>
  <c r="V659" i="1"/>
  <c r="P659" i="1"/>
  <c r="O659" i="1"/>
  <c r="Q659" i="1"/>
  <c r="X658" i="1"/>
  <c r="Y658" i="1" s="1"/>
  <c r="V658" i="1"/>
  <c r="Q658" i="1"/>
  <c r="P658" i="1"/>
  <c r="O658" i="1"/>
  <c r="X657" i="1"/>
  <c r="Y657" i="1" s="1"/>
  <c r="V657" i="1"/>
  <c r="O657" i="1"/>
  <c r="P657" i="1"/>
  <c r="Q657" i="1"/>
  <c r="V656" i="1"/>
  <c r="X656" i="1"/>
  <c r="Y656" i="1" s="1"/>
  <c r="Q656" i="1"/>
  <c r="P656" i="1"/>
  <c r="O656" i="1"/>
  <c r="X655" i="1"/>
  <c r="Y655" i="1" s="1"/>
  <c r="V655" i="1"/>
  <c r="Q655" i="1"/>
  <c r="P655" i="1"/>
  <c r="O655" i="1"/>
  <c r="X654" i="1"/>
  <c r="Y654" i="1" s="1"/>
  <c r="V654" i="1"/>
  <c r="O654" i="1"/>
  <c r="Q654" i="1"/>
  <c r="P654" i="1"/>
  <c r="X653" i="1"/>
  <c r="Y653" i="1" s="1"/>
  <c r="V653" i="1"/>
  <c r="Q653" i="1"/>
  <c r="P653" i="1"/>
  <c r="O653" i="1"/>
  <c r="X652" i="1"/>
  <c r="Y652" i="1" s="1"/>
  <c r="V652" i="1"/>
  <c r="Q652" i="1"/>
  <c r="P652" i="1"/>
  <c r="O652" i="1"/>
  <c r="X651" i="1"/>
  <c r="Y651" i="1" s="1"/>
  <c r="V651" i="1"/>
  <c r="O651" i="1"/>
  <c r="Q651" i="1"/>
  <c r="P651" i="1"/>
  <c r="X650" i="1"/>
  <c r="Y650" i="1" s="1"/>
  <c r="V650" i="1"/>
  <c r="Q650" i="1"/>
  <c r="P650" i="1"/>
  <c r="O650" i="1"/>
  <c r="X649" i="1"/>
  <c r="Y649" i="1" s="1"/>
  <c r="V649" i="1"/>
  <c r="Q649" i="1"/>
  <c r="P649" i="1"/>
  <c r="O649" i="1"/>
  <c r="X648" i="1"/>
  <c r="Y648" i="1" s="1"/>
  <c r="V648" i="1"/>
  <c r="Q648" i="1"/>
  <c r="O648" i="1"/>
  <c r="P648" i="1"/>
  <c r="X647" i="1"/>
  <c r="Y647" i="1" s="1"/>
  <c r="V647" i="1"/>
  <c r="Q647" i="1"/>
  <c r="P647" i="1"/>
  <c r="O647" i="1"/>
  <c r="X646" i="1"/>
  <c r="Y646" i="1" s="1"/>
  <c r="V646" i="1"/>
  <c r="O646" i="1"/>
  <c r="P646" i="1"/>
  <c r="Q646" i="1"/>
  <c r="V645" i="1"/>
  <c r="X645" i="1"/>
  <c r="Y645" i="1" s="1"/>
  <c r="O645" i="1"/>
  <c r="P645" i="1"/>
  <c r="Q645" i="1"/>
  <c r="V644" i="1"/>
  <c r="X644" i="1"/>
  <c r="Y644" i="1" s="1"/>
  <c r="O644" i="1"/>
  <c r="P644" i="1"/>
  <c r="Q644" i="1"/>
  <c r="V643" i="1"/>
  <c r="X643" i="1"/>
  <c r="Y643" i="1" s="1"/>
  <c r="O643" i="1"/>
  <c r="P643" i="1"/>
  <c r="Q643" i="1"/>
  <c r="V642" i="1"/>
  <c r="X642" i="1"/>
  <c r="Y642" i="1" s="1"/>
  <c r="P642" i="1"/>
  <c r="O642" i="1"/>
  <c r="Q642" i="1"/>
  <c r="X641" i="1"/>
  <c r="Y641" i="1" s="1"/>
  <c r="V641" i="1"/>
  <c r="P641" i="1"/>
  <c r="Q641" i="1"/>
  <c r="O641" i="1"/>
  <c r="X640" i="1"/>
  <c r="Y640" i="1" s="1"/>
  <c r="V640" i="1"/>
  <c r="Q640" i="1"/>
  <c r="P640" i="1"/>
  <c r="O640" i="1"/>
  <c r="V639" i="1"/>
  <c r="X639" i="1"/>
  <c r="Y639" i="1" s="1"/>
  <c r="Q639" i="1"/>
  <c r="P639" i="1"/>
  <c r="O639" i="1"/>
  <c r="X638" i="1"/>
  <c r="Y638" i="1" s="1"/>
  <c r="V638" i="1"/>
  <c r="P638" i="1"/>
  <c r="O638" i="1"/>
  <c r="Q638" i="1"/>
  <c r="V637" i="1"/>
  <c r="X637" i="1"/>
  <c r="Y637" i="1" s="1"/>
  <c r="Q637" i="1"/>
  <c r="P637" i="1"/>
  <c r="O637" i="1"/>
  <c r="V636" i="1"/>
  <c r="X636" i="1"/>
  <c r="Y636" i="1" s="1"/>
  <c r="O636" i="1"/>
  <c r="P636" i="1"/>
  <c r="Q636" i="1"/>
  <c r="X635" i="1"/>
  <c r="Y635" i="1" s="1"/>
  <c r="V635" i="1"/>
  <c r="Q635" i="1"/>
  <c r="P635" i="1"/>
  <c r="O635" i="1"/>
  <c r="V634" i="1"/>
  <c r="X634" i="1"/>
  <c r="Y634" i="1" s="1"/>
  <c r="O634" i="1"/>
  <c r="P634" i="1"/>
  <c r="Q634" i="1"/>
  <c r="Q633" i="1"/>
  <c r="O633" i="1"/>
  <c r="P633" i="1"/>
  <c r="V632" i="1"/>
  <c r="X632" i="1"/>
  <c r="Y632" i="1" s="1"/>
  <c r="P632" i="1"/>
  <c r="O632" i="1"/>
  <c r="Q632" i="1"/>
  <c r="X631" i="1"/>
  <c r="Y631" i="1" s="1"/>
  <c r="V631" i="1"/>
  <c r="Q631" i="1"/>
  <c r="P631" i="1"/>
  <c r="O631" i="1"/>
  <c r="V630" i="1"/>
  <c r="X630" i="1"/>
  <c r="Y630" i="1" s="1"/>
  <c r="O630" i="1"/>
  <c r="Q630" i="1"/>
  <c r="P630" i="1"/>
  <c r="X629" i="1"/>
  <c r="Y629" i="1" s="1"/>
  <c r="V629" i="1"/>
  <c r="P629" i="1"/>
  <c r="Q629" i="1"/>
  <c r="O629" i="1"/>
  <c r="X628" i="1"/>
  <c r="Y628" i="1" s="1"/>
  <c r="V628" i="1"/>
  <c r="Q628" i="1"/>
  <c r="O628" i="1"/>
  <c r="P628" i="1"/>
  <c r="X627" i="1"/>
  <c r="Y627" i="1" s="1"/>
  <c r="V627" i="1"/>
  <c r="Q627" i="1"/>
  <c r="P627" i="1"/>
  <c r="O627" i="1"/>
  <c r="X626" i="1"/>
  <c r="Y626" i="1" s="1"/>
  <c r="V626" i="1"/>
  <c r="P626" i="1"/>
  <c r="Q626" i="1"/>
  <c r="O626" i="1"/>
  <c r="X625" i="1"/>
  <c r="Y625" i="1" s="1"/>
  <c r="V625" i="1"/>
  <c r="Q625" i="1"/>
  <c r="O625" i="1"/>
  <c r="P625" i="1"/>
  <c r="X624" i="1"/>
  <c r="Y624" i="1" s="1"/>
  <c r="V624" i="1"/>
  <c r="P624" i="1"/>
  <c r="O624" i="1"/>
  <c r="Q624" i="1"/>
  <c r="X623" i="1"/>
  <c r="Y623" i="1" s="1"/>
  <c r="V623" i="1"/>
  <c r="O623" i="1"/>
  <c r="Q623" i="1"/>
  <c r="P623" i="1"/>
  <c r="V622" i="1"/>
  <c r="X622" i="1"/>
  <c r="Y622" i="1" s="1"/>
  <c r="Q622" i="1"/>
  <c r="O622" i="1"/>
  <c r="P622" i="1"/>
  <c r="X621" i="1"/>
  <c r="Y621" i="1" s="1"/>
  <c r="V621" i="1"/>
  <c r="P621" i="1"/>
  <c r="Q621" i="1"/>
  <c r="O621" i="1"/>
  <c r="V620" i="1"/>
  <c r="X620" i="1"/>
  <c r="Y620" i="1" s="1"/>
  <c r="Q620" i="1"/>
  <c r="O620" i="1"/>
  <c r="P620" i="1"/>
  <c r="V619" i="1"/>
  <c r="X619" i="1"/>
  <c r="Y619" i="1" s="1"/>
  <c r="O619" i="1"/>
  <c r="P619" i="1"/>
  <c r="Q619" i="1"/>
  <c r="V618" i="1"/>
  <c r="X618" i="1"/>
  <c r="Y618" i="1" s="1"/>
  <c r="Q618" i="1"/>
  <c r="P618" i="1"/>
  <c r="O618" i="1"/>
  <c r="V617" i="1"/>
  <c r="X617" i="1"/>
  <c r="Y617" i="1" s="1"/>
  <c r="O617" i="1"/>
  <c r="P617" i="1"/>
  <c r="Q617" i="1"/>
  <c r="V616" i="1"/>
  <c r="X616" i="1"/>
  <c r="Y616" i="1" s="1"/>
  <c r="O616" i="1"/>
  <c r="P616" i="1"/>
  <c r="Q616" i="1"/>
  <c r="V615" i="1"/>
  <c r="X615" i="1"/>
  <c r="Y615" i="1" s="1"/>
  <c r="Q615" i="1"/>
  <c r="O615" i="1"/>
  <c r="P615" i="1"/>
  <c r="V614" i="1"/>
  <c r="X614" i="1"/>
  <c r="Y614" i="1" s="1"/>
  <c r="P614" i="1"/>
  <c r="Q614" i="1"/>
  <c r="O614" i="1"/>
  <c r="V613" i="1"/>
  <c r="X613" i="1"/>
  <c r="Y613" i="1" s="1"/>
  <c r="P613" i="1"/>
  <c r="Q613" i="1"/>
  <c r="O613" i="1"/>
  <c r="V612" i="1"/>
  <c r="X612" i="1"/>
  <c r="Y612" i="1" s="1"/>
  <c r="Q612" i="1"/>
  <c r="O612" i="1"/>
  <c r="P612" i="1"/>
  <c r="V611" i="1"/>
  <c r="X611" i="1"/>
  <c r="Y611" i="1" s="1"/>
  <c r="Q611" i="1"/>
  <c r="O611" i="1"/>
  <c r="P611" i="1"/>
  <c r="X610" i="1"/>
  <c r="Y610" i="1" s="1"/>
  <c r="V610" i="1"/>
  <c r="Q610" i="1"/>
  <c r="O610" i="1"/>
  <c r="P610" i="1"/>
  <c r="X609" i="1"/>
  <c r="Y609" i="1" s="1"/>
  <c r="V609" i="1"/>
  <c r="P609" i="1"/>
  <c r="O609" i="1"/>
  <c r="Q609" i="1"/>
  <c r="X608" i="1"/>
  <c r="Y608" i="1" s="1"/>
  <c r="V608" i="1"/>
  <c r="O608" i="1"/>
  <c r="P608" i="1"/>
  <c r="Q608" i="1"/>
  <c r="X607" i="1"/>
  <c r="Y607" i="1" s="1"/>
  <c r="V607" i="1"/>
  <c r="O607" i="1"/>
  <c r="Q607" i="1"/>
  <c r="P607" i="1"/>
  <c r="V606" i="1"/>
  <c r="X606" i="1"/>
  <c r="Y606" i="1" s="1"/>
  <c r="P606" i="1"/>
  <c r="O606" i="1"/>
  <c r="Q606" i="1"/>
  <c r="V605" i="1"/>
  <c r="X605" i="1"/>
  <c r="Y605" i="1" s="1"/>
  <c r="P605" i="1"/>
  <c r="O605" i="1"/>
  <c r="Q605" i="1"/>
  <c r="V604" i="1"/>
  <c r="X604" i="1"/>
  <c r="Y604" i="1" s="1"/>
  <c r="O604" i="1"/>
  <c r="Q604" i="1"/>
  <c r="P604" i="1"/>
  <c r="X603" i="1"/>
  <c r="Y603" i="1" s="1"/>
  <c r="V603" i="1"/>
  <c r="O603" i="1"/>
  <c r="P603" i="1"/>
  <c r="Q603" i="1"/>
  <c r="X602" i="1"/>
  <c r="Y602" i="1" s="1"/>
  <c r="V602" i="1"/>
  <c r="P602" i="1"/>
  <c r="Q602" i="1"/>
  <c r="O602" i="1"/>
  <c r="X601" i="1"/>
  <c r="Y601" i="1" s="1"/>
  <c r="V601" i="1"/>
  <c r="Q601" i="1"/>
  <c r="P601" i="1"/>
  <c r="O601" i="1"/>
  <c r="X600" i="1"/>
  <c r="Y600" i="1" s="1"/>
  <c r="V600" i="1"/>
  <c r="P600" i="1"/>
  <c r="Q600" i="1"/>
  <c r="O600" i="1"/>
  <c r="X599" i="1"/>
  <c r="Y599" i="1" s="1"/>
  <c r="V599" i="1"/>
  <c r="P599" i="1"/>
  <c r="O599" i="1"/>
  <c r="Q599" i="1"/>
  <c r="V598" i="1"/>
  <c r="X598" i="1"/>
  <c r="Y598" i="1" s="1"/>
  <c r="O598" i="1"/>
  <c r="P598" i="1"/>
  <c r="Q598" i="1"/>
  <c r="V597" i="1"/>
  <c r="X597" i="1"/>
  <c r="Y597" i="1" s="1"/>
  <c r="Q597" i="1"/>
  <c r="O597" i="1"/>
  <c r="P597" i="1"/>
  <c r="X596" i="1"/>
  <c r="Y596" i="1" s="1"/>
  <c r="V596" i="1"/>
  <c r="O596" i="1"/>
  <c r="Q596" i="1"/>
  <c r="P596" i="1"/>
  <c r="V595" i="1"/>
  <c r="X595" i="1"/>
  <c r="Y595" i="1" s="1"/>
  <c r="O595" i="1"/>
  <c r="P595" i="1"/>
  <c r="Q595" i="1"/>
  <c r="V594" i="1"/>
  <c r="X594" i="1"/>
  <c r="Y594" i="1" s="1"/>
  <c r="P594" i="1"/>
  <c r="O594" i="1"/>
  <c r="Q594" i="1"/>
  <c r="V593" i="1"/>
  <c r="X593" i="1"/>
  <c r="Y593" i="1" s="1"/>
  <c r="Q593" i="1"/>
  <c r="P593" i="1"/>
  <c r="O593" i="1"/>
  <c r="X592" i="1"/>
  <c r="Y592" i="1" s="1"/>
  <c r="V592" i="1"/>
  <c r="O592" i="1"/>
  <c r="P592" i="1"/>
  <c r="Q592" i="1"/>
  <c r="V591" i="1"/>
  <c r="X591" i="1"/>
  <c r="Y591" i="1" s="1"/>
  <c r="Q591" i="1"/>
  <c r="P591" i="1"/>
  <c r="O591" i="1"/>
  <c r="X590" i="1"/>
  <c r="Y590" i="1" s="1"/>
  <c r="V590" i="1"/>
  <c r="O590" i="1"/>
  <c r="P590" i="1"/>
  <c r="Q590" i="1"/>
  <c r="V589" i="1"/>
  <c r="X589" i="1"/>
  <c r="Y589" i="1" s="1"/>
  <c r="P589" i="1"/>
  <c r="Q589" i="1"/>
  <c r="O589" i="1"/>
  <c r="V588" i="1"/>
  <c r="X588" i="1"/>
  <c r="Y588" i="1" s="1"/>
  <c r="O588" i="1"/>
  <c r="Q588" i="1"/>
  <c r="P588" i="1"/>
  <c r="X587" i="1"/>
  <c r="Y587" i="1" s="1"/>
  <c r="V587" i="1"/>
  <c r="O587" i="1"/>
  <c r="Q587" i="1"/>
  <c r="P587" i="1"/>
  <c r="X586" i="1"/>
  <c r="Y586" i="1" s="1"/>
  <c r="V586" i="1"/>
  <c r="Q586" i="1"/>
  <c r="P586" i="1"/>
  <c r="O586" i="1"/>
  <c r="X585" i="1"/>
  <c r="Y585" i="1" s="1"/>
  <c r="V585" i="1"/>
  <c r="O585" i="1"/>
  <c r="P585" i="1"/>
  <c r="Q585" i="1"/>
  <c r="V584" i="1"/>
  <c r="X584" i="1"/>
  <c r="Y584" i="1" s="1"/>
  <c r="O584" i="1"/>
  <c r="P584" i="1"/>
  <c r="Q584" i="1"/>
  <c r="V583" i="1"/>
  <c r="X583" i="1"/>
  <c r="Y583" i="1" s="1"/>
  <c r="P583" i="1"/>
  <c r="Q583" i="1"/>
  <c r="O583" i="1"/>
  <c r="X582" i="1"/>
  <c r="Y582" i="1" s="1"/>
  <c r="V582" i="1"/>
  <c r="Q582" i="1"/>
  <c r="P582" i="1"/>
  <c r="O582" i="1"/>
  <c r="X581" i="1"/>
  <c r="Y581" i="1" s="1"/>
  <c r="V581" i="1"/>
  <c r="Q581" i="1"/>
  <c r="P581" i="1"/>
  <c r="O581" i="1"/>
  <c r="X580" i="1"/>
  <c r="Y580" i="1" s="1"/>
  <c r="V580" i="1"/>
  <c r="Q580" i="1"/>
  <c r="P580" i="1"/>
  <c r="O580" i="1"/>
  <c r="X579" i="1"/>
  <c r="Y579" i="1" s="1"/>
  <c r="V579" i="1"/>
  <c r="Q579" i="1"/>
  <c r="P579" i="1"/>
  <c r="O579" i="1"/>
  <c r="V578" i="1"/>
  <c r="X578" i="1"/>
  <c r="Y578" i="1" s="1"/>
  <c r="O578" i="1"/>
  <c r="P578" i="1"/>
  <c r="Q578" i="1"/>
  <c r="V577" i="1"/>
  <c r="X577" i="1"/>
  <c r="Y577" i="1" s="1"/>
  <c r="O577" i="1"/>
  <c r="P577" i="1"/>
  <c r="Q577" i="1"/>
  <c r="V576" i="1"/>
  <c r="X576" i="1"/>
  <c r="Y576" i="1" s="1"/>
  <c r="O576" i="1"/>
  <c r="P576" i="1"/>
  <c r="Q576" i="1"/>
  <c r="X575" i="1"/>
  <c r="Y575" i="1" s="1"/>
  <c r="V575" i="1"/>
  <c r="Q575" i="1"/>
  <c r="P575" i="1"/>
  <c r="O575" i="1"/>
  <c r="V574" i="1"/>
  <c r="X574" i="1"/>
  <c r="Y574" i="1" s="1"/>
  <c r="O574" i="1"/>
  <c r="P574" i="1"/>
  <c r="Q574" i="1"/>
  <c r="X573" i="1"/>
  <c r="Y573" i="1" s="1"/>
  <c r="V573" i="1"/>
  <c r="O573" i="1"/>
  <c r="P573" i="1"/>
  <c r="Q573" i="1"/>
  <c r="V572" i="1"/>
  <c r="X572" i="1"/>
  <c r="Y572" i="1" s="1"/>
  <c r="Q572" i="1"/>
  <c r="O572" i="1"/>
  <c r="P572" i="1"/>
  <c r="X571" i="1"/>
  <c r="Y571" i="1" s="1"/>
  <c r="V571" i="1"/>
  <c r="Q571" i="1"/>
  <c r="P571" i="1"/>
  <c r="O571" i="1"/>
  <c r="V570" i="1"/>
  <c r="X570" i="1"/>
  <c r="Y570" i="1" s="1"/>
  <c r="P570" i="1"/>
  <c r="O570" i="1"/>
  <c r="Q570" i="1"/>
  <c r="X569" i="1"/>
  <c r="Y569" i="1" s="1"/>
  <c r="V569" i="1"/>
  <c r="Q569" i="1"/>
  <c r="P569" i="1"/>
  <c r="O569" i="1"/>
  <c r="X568" i="1"/>
  <c r="Y568" i="1" s="1"/>
  <c r="V568" i="1"/>
  <c r="Q568" i="1"/>
  <c r="P568" i="1"/>
  <c r="O568" i="1"/>
  <c r="X567" i="1"/>
  <c r="Y567" i="1" s="1"/>
  <c r="V567" i="1"/>
  <c r="P567" i="1"/>
  <c r="O567" i="1"/>
  <c r="Q567" i="1"/>
  <c r="X566" i="1"/>
  <c r="Y566" i="1" s="1"/>
  <c r="V566" i="1"/>
  <c r="O566" i="1"/>
  <c r="P566" i="1"/>
  <c r="Q566" i="1"/>
  <c r="X565" i="1"/>
  <c r="Y565" i="1" s="1"/>
  <c r="V565" i="1"/>
  <c r="P565" i="1"/>
  <c r="O565" i="1"/>
  <c r="Q565" i="1"/>
  <c r="X564" i="1"/>
  <c r="Y564" i="1" s="1"/>
  <c r="V564" i="1"/>
  <c r="Q564" i="1"/>
  <c r="P564" i="1"/>
  <c r="O564" i="1"/>
  <c r="X563" i="1"/>
  <c r="Y563" i="1" s="1"/>
  <c r="V563" i="1"/>
  <c r="Q563" i="1"/>
  <c r="P563" i="1"/>
  <c r="O563" i="1"/>
  <c r="X562" i="1"/>
  <c r="Y562" i="1" s="1"/>
  <c r="V562" i="1"/>
  <c r="Q562" i="1"/>
  <c r="P562" i="1"/>
  <c r="O562" i="1"/>
  <c r="X561" i="1"/>
  <c r="Y561" i="1" s="1"/>
  <c r="V561" i="1"/>
  <c r="Q561" i="1"/>
  <c r="P561" i="1"/>
  <c r="O561" i="1"/>
  <c r="V560" i="1"/>
  <c r="X560" i="1"/>
  <c r="Y560" i="1" s="1"/>
  <c r="O560" i="1"/>
  <c r="P560" i="1"/>
  <c r="Q560" i="1"/>
  <c r="V559" i="1"/>
  <c r="X559" i="1"/>
  <c r="Y559" i="1" s="1"/>
  <c r="Q559" i="1"/>
  <c r="P559" i="1"/>
  <c r="O559" i="1"/>
  <c r="X558" i="1"/>
  <c r="Y558" i="1" s="1"/>
  <c r="V558" i="1"/>
  <c r="Q558" i="1"/>
  <c r="P558" i="1"/>
  <c r="O558" i="1"/>
  <c r="X557" i="1"/>
  <c r="Y557" i="1" s="1"/>
  <c r="V557" i="1"/>
  <c r="O557" i="1"/>
  <c r="Q557" i="1"/>
  <c r="P557" i="1"/>
  <c r="V556" i="1"/>
  <c r="X556" i="1"/>
  <c r="Y556" i="1" s="1"/>
  <c r="O556" i="1"/>
  <c r="P556" i="1"/>
  <c r="Q556" i="1"/>
  <c r="X555" i="1"/>
  <c r="Y555" i="1" s="1"/>
  <c r="V555" i="1"/>
  <c r="Q555" i="1"/>
  <c r="P555" i="1"/>
  <c r="O555" i="1"/>
  <c r="X554" i="1"/>
  <c r="Y554" i="1" s="1"/>
  <c r="V554" i="1"/>
  <c r="Q554" i="1"/>
  <c r="P554" i="1"/>
  <c r="O554" i="1"/>
  <c r="V553" i="1"/>
  <c r="X553" i="1"/>
  <c r="Y553" i="1" s="1"/>
  <c r="O553" i="1"/>
  <c r="P553" i="1"/>
  <c r="Q553" i="1"/>
  <c r="V552" i="1"/>
  <c r="X552" i="1"/>
  <c r="Y552" i="1" s="1"/>
  <c r="O552" i="1"/>
  <c r="Q552" i="1"/>
  <c r="P552" i="1"/>
  <c r="X551" i="1"/>
  <c r="Y551" i="1" s="1"/>
  <c r="V551" i="1"/>
  <c r="Q551" i="1"/>
  <c r="P551" i="1"/>
  <c r="O551" i="1"/>
  <c r="X550" i="1"/>
  <c r="Y550" i="1" s="1"/>
  <c r="V550" i="1"/>
  <c r="O550" i="1"/>
  <c r="P550" i="1"/>
  <c r="Q550" i="1"/>
  <c r="V549" i="1"/>
  <c r="X549" i="1"/>
  <c r="Y549" i="1" s="1"/>
  <c r="O549" i="1"/>
  <c r="P549" i="1"/>
  <c r="Q549" i="1"/>
  <c r="V548" i="1"/>
  <c r="X548" i="1"/>
  <c r="Y548" i="1" s="1"/>
  <c r="Q548" i="1"/>
  <c r="O548" i="1"/>
  <c r="P548" i="1"/>
  <c r="X547" i="1"/>
  <c r="Y547" i="1" s="1"/>
  <c r="V547" i="1"/>
  <c r="Q547" i="1"/>
  <c r="P547" i="1"/>
  <c r="O547" i="1"/>
  <c r="V546" i="1"/>
  <c r="X546" i="1"/>
  <c r="Y546" i="1" s="1"/>
  <c r="O546" i="1"/>
  <c r="Q546" i="1"/>
  <c r="P546" i="1"/>
  <c r="X545" i="1"/>
  <c r="Y545" i="1" s="1"/>
  <c r="V545" i="1"/>
  <c r="Q545" i="1"/>
  <c r="P545" i="1"/>
  <c r="O545" i="1"/>
  <c r="X544" i="1"/>
  <c r="Y544" i="1" s="1"/>
  <c r="V544" i="1"/>
  <c r="Q544" i="1"/>
  <c r="P544" i="1"/>
  <c r="O544" i="1"/>
  <c r="V543" i="1"/>
  <c r="X543" i="1"/>
  <c r="Y543" i="1" s="1"/>
  <c r="Q543" i="1"/>
  <c r="P543" i="1"/>
  <c r="O543" i="1"/>
  <c r="X542" i="1"/>
  <c r="Y542" i="1" s="1"/>
  <c r="V542" i="1"/>
  <c r="Q542" i="1"/>
  <c r="P542" i="1"/>
  <c r="O542" i="1"/>
  <c r="X541" i="1"/>
  <c r="Y541" i="1" s="1"/>
  <c r="V541" i="1"/>
  <c r="O541" i="1"/>
  <c r="P541" i="1"/>
  <c r="Q541" i="1"/>
  <c r="V540" i="1"/>
  <c r="X540" i="1"/>
  <c r="Y540" i="1" s="1"/>
  <c r="O540" i="1"/>
  <c r="P540" i="1"/>
  <c r="Q540" i="1"/>
  <c r="V539" i="1"/>
  <c r="X539" i="1"/>
  <c r="Y539" i="1" s="1"/>
  <c r="O539" i="1"/>
  <c r="P539" i="1"/>
  <c r="Q539" i="1"/>
  <c r="V538" i="1"/>
  <c r="X538" i="1"/>
  <c r="Y538" i="1" s="1"/>
  <c r="P538" i="1"/>
  <c r="Q538" i="1"/>
  <c r="O538" i="1"/>
  <c r="X537" i="1"/>
  <c r="Y537" i="1" s="1"/>
  <c r="V537" i="1"/>
  <c r="O537" i="1"/>
  <c r="P537" i="1"/>
  <c r="Q537" i="1"/>
  <c r="V536" i="1"/>
  <c r="X536" i="1"/>
  <c r="Y536" i="1" s="1"/>
  <c r="Q536" i="1"/>
  <c r="O536" i="1"/>
  <c r="P536" i="1"/>
  <c r="V535" i="1"/>
  <c r="X535" i="1"/>
  <c r="Y535" i="1" s="1"/>
  <c r="Q535" i="1"/>
  <c r="P535" i="1"/>
  <c r="O535" i="1"/>
  <c r="X534" i="1"/>
  <c r="Y534" i="1" s="1"/>
  <c r="V534" i="1"/>
  <c r="Q534" i="1"/>
  <c r="P534" i="1"/>
  <c r="O534" i="1"/>
  <c r="X533" i="1"/>
  <c r="Y533" i="1" s="1"/>
  <c r="V533" i="1"/>
  <c r="Q533" i="1"/>
  <c r="P533" i="1"/>
  <c r="O533" i="1"/>
  <c r="V532" i="1"/>
  <c r="X532" i="1"/>
  <c r="Y532" i="1" s="1"/>
  <c r="O532" i="1"/>
  <c r="P532" i="1"/>
  <c r="Q532" i="1"/>
  <c r="V531" i="1"/>
  <c r="X531" i="1"/>
  <c r="Y531" i="1" s="1"/>
  <c r="Q531" i="1"/>
  <c r="P531" i="1"/>
  <c r="O531" i="1"/>
  <c r="X530" i="1"/>
  <c r="Y530" i="1" s="1"/>
  <c r="V530" i="1"/>
  <c r="Q530" i="1"/>
  <c r="P530" i="1"/>
  <c r="O530" i="1"/>
  <c r="X529" i="1"/>
  <c r="Y529" i="1" s="1"/>
  <c r="V529" i="1"/>
  <c r="Q529" i="1"/>
  <c r="P529" i="1"/>
  <c r="O529" i="1"/>
  <c r="V528" i="1"/>
  <c r="X528" i="1"/>
  <c r="Y528" i="1" s="1"/>
  <c r="Q528" i="1"/>
  <c r="P528" i="1"/>
  <c r="O528" i="1"/>
  <c r="X527" i="1"/>
  <c r="Y527" i="1" s="1"/>
  <c r="V527" i="1"/>
  <c r="Q527" i="1"/>
  <c r="P527" i="1"/>
  <c r="O527" i="1"/>
  <c r="X526" i="1"/>
  <c r="Y526" i="1" s="1"/>
  <c r="V526" i="1"/>
  <c r="Q526" i="1"/>
  <c r="P526" i="1"/>
  <c r="O526" i="1"/>
  <c r="V525" i="1"/>
  <c r="X525" i="1"/>
  <c r="Y525" i="1" s="1"/>
  <c r="Q525" i="1"/>
  <c r="P525" i="1"/>
  <c r="O525" i="1"/>
  <c r="X524" i="1"/>
  <c r="Y524" i="1" s="1"/>
  <c r="V524" i="1"/>
  <c r="Q524" i="1"/>
  <c r="P524" i="1"/>
  <c r="O524" i="1"/>
  <c r="X523" i="1"/>
  <c r="Y523" i="1" s="1"/>
  <c r="V523" i="1"/>
  <c r="P523" i="1"/>
  <c r="O523" i="1"/>
  <c r="Q523" i="1"/>
  <c r="X522" i="1"/>
  <c r="Y522" i="1" s="1"/>
  <c r="V522" i="1"/>
  <c r="Q522" i="1"/>
  <c r="P522" i="1"/>
  <c r="O522" i="1"/>
  <c r="X521" i="1"/>
  <c r="Y521" i="1" s="1"/>
  <c r="V521" i="1"/>
  <c r="Q521" i="1"/>
  <c r="P521" i="1"/>
  <c r="O521" i="1"/>
  <c r="X520" i="1"/>
  <c r="Y520" i="1" s="1"/>
  <c r="V520" i="1"/>
  <c r="Q520" i="1"/>
  <c r="P520" i="1"/>
  <c r="O520" i="1"/>
  <c r="X519" i="1"/>
  <c r="Y519" i="1" s="1"/>
  <c r="V519" i="1"/>
  <c r="Q519" i="1"/>
  <c r="P519" i="1"/>
  <c r="O519" i="1"/>
  <c r="X518" i="1"/>
  <c r="Y518" i="1" s="1"/>
  <c r="V518" i="1"/>
  <c r="Q518" i="1"/>
  <c r="P518" i="1"/>
  <c r="O518" i="1"/>
  <c r="V517" i="1"/>
  <c r="X517" i="1"/>
  <c r="Y517" i="1" s="1"/>
  <c r="Q517" i="1"/>
  <c r="P517" i="1"/>
  <c r="O517" i="1"/>
  <c r="X516" i="1"/>
  <c r="Y516" i="1" s="1"/>
  <c r="V516" i="1"/>
  <c r="Q516" i="1"/>
  <c r="P516" i="1"/>
  <c r="O516" i="1"/>
  <c r="V515" i="1"/>
  <c r="X515" i="1"/>
  <c r="Y515" i="1" s="1"/>
  <c r="Q515" i="1"/>
  <c r="P515" i="1"/>
  <c r="O515" i="1"/>
  <c r="X514" i="1"/>
  <c r="Y514" i="1" s="1"/>
  <c r="V514" i="1"/>
  <c r="Q514" i="1"/>
  <c r="P514" i="1"/>
  <c r="O514" i="1"/>
  <c r="V513" i="1"/>
  <c r="X513" i="1"/>
  <c r="Y513" i="1" s="1"/>
  <c r="Q513" i="1"/>
  <c r="P513" i="1"/>
  <c r="O513" i="1"/>
  <c r="X512" i="1"/>
  <c r="Y512" i="1" s="1"/>
  <c r="V512" i="1"/>
  <c r="Q512" i="1"/>
  <c r="P512" i="1"/>
  <c r="O512" i="1"/>
  <c r="X511" i="1"/>
  <c r="Y511" i="1" s="1"/>
  <c r="V511" i="1"/>
  <c r="O511" i="1"/>
  <c r="P511" i="1"/>
  <c r="Q511" i="1"/>
  <c r="X510" i="1"/>
  <c r="Y510" i="1" s="1"/>
  <c r="V510" i="1"/>
  <c r="Q510" i="1"/>
  <c r="P510" i="1"/>
  <c r="O510" i="1"/>
  <c r="X509" i="1"/>
  <c r="Y509" i="1" s="1"/>
  <c r="V509" i="1"/>
  <c r="O509" i="1"/>
  <c r="Q509" i="1"/>
  <c r="P509" i="1"/>
  <c r="X508" i="1"/>
  <c r="Y508" i="1" s="1"/>
  <c r="V508" i="1"/>
  <c r="O508" i="1"/>
  <c r="Q508" i="1"/>
  <c r="P508" i="1"/>
  <c r="X507" i="1"/>
  <c r="Y507" i="1" s="1"/>
  <c r="V507" i="1"/>
  <c r="Q507" i="1"/>
  <c r="P507" i="1"/>
  <c r="O507" i="1"/>
  <c r="X506" i="1"/>
  <c r="Y506" i="1" s="1"/>
  <c r="V506" i="1"/>
  <c r="Q506" i="1"/>
  <c r="P506" i="1"/>
  <c r="O506" i="1"/>
  <c r="X505" i="1"/>
  <c r="Y505" i="1" s="1"/>
  <c r="V505" i="1"/>
  <c r="P505" i="1"/>
  <c r="Q505" i="1"/>
  <c r="O505" i="1"/>
  <c r="X504" i="1"/>
  <c r="Y504" i="1" s="1"/>
  <c r="V504" i="1"/>
  <c r="Q504" i="1"/>
  <c r="P504" i="1"/>
  <c r="O504" i="1"/>
  <c r="V503" i="1"/>
  <c r="X503" i="1"/>
  <c r="Y503" i="1" s="1"/>
  <c r="P503" i="1"/>
  <c r="Q503" i="1"/>
  <c r="O503" i="1"/>
  <c r="X502" i="1"/>
  <c r="Y502" i="1" s="1"/>
  <c r="V502" i="1"/>
  <c r="Q502" i="1"/>
  <c r="P502" i="1"/>
  <c r="O502" i="1"/>
  <c r="V501" i="1"/>
  <c r="X501" i="1"/>
  <c r="Y501" i="1" s="1"/>
  <c r="Q501" i="1"/>
  <c r="P501" i="1"/>
  <c r="O501" i="1"/>
  <c r="X500" i="1"/>
  <c r="Y500" i="1" s="1"/>
  <c r="V500" i="1"/>
  <c r="P500" i="1"/>
  <c r="O500" i="1"/>
  <c r="Q500" i="1"/>
  <c r="X499" i="1"/>
  <c r="Y499" i="1" s="1"/>
  <c r="V499" i="1"/>
  <c r="Q499" i="1"/>
  <c r="P499" i="1"/>
  <c r="O499" i="1"/>
  <c r="V498" i="1"/>
  <c r="X498" i="1"/>
  <c r="Y498" i="1" s="1"/>
  <c r="Q498" i="1"/>
  <c r="P498" i="1"/>
  <c r="O498" i="1"/>
  <c r="X497" i="1"/>
  <c r="Y497" i="1" s="1"/>
  <c r="V497" i="1"/>
  <c r="Q497" i="1"/>
  <c r="P497" i="1"/>
  <c r="O497" i="1"/>
  <c r="V496" i="1"/>
  <c r="X496" i="1"/>
  <c r="Y496" i="1" s="1"/>
  <c r="O496" i="1"/>
  <c r="P496" i="1"/>
  <c r="Q496" i="1"/>
  <c r="V495" i="1"/>
  <c r="X495" i="1"/>
  <c r="Y495" i="1" s="1"/>
  <c r="O495" i="1"/>
  <c r="Q495" i="1"/>
  <c r="P495" i="1"/>
  <c r="V494" i="1"/>
  <c r="X494" i="1"/>
  <c r="Y494" i="1" s="1"/>
  <c r="O494" i="1"/>
  <c r="P494" i="1"/>
  <c r="Q494" i="1"/>
  <c r="V493" i="1"/>
  <c r="X493" i="1"/>
  <c r="Y493" i="1" s="1"/>
  <c r="O493" i="1"/>
  <c r="P493" i="1"/>
  <c r="Q493" i="1"/>
  <c r="V492" i="1"/>
  <c r="X492" i="1"/>
  <c r="Y492" i="1" s="1"/>
  <c r="Q492" i="1"/>
  <c r="P492" i="1"/>
  <c r="O492" i="1"/>
  <c r="V491" i="1"/>
  <c r="X491" i="1"/>
  <c r="Y491" i="1" s="1"/>
  <c r="O491" i="1"/>
  <c r="P491" i="1"/>
  <c r="Q491" i="1"/>
  <c r="X490" i="1"/>
  <c r="Y490" i="1" s="1"/>
  <c r="V490" i="1"/>
  <c r="Q490" i="1"/>
  <c r="P490" i="1"/>
  <c r="O490" i="1"/>
  <c r="X489" i="1"/>
  <c r="Y489" i="1" s="1"/>
  <c r="V489" i="1"/>
  <c r="Q489" i="1"/>
  <c r="P489" i="1"/>
  <c r="O489" i="1"/>
  <c r="X488" i="1"/>
  <c r="Y488" i="1" s="1"/>
  <c r="V488" i="1"/>
  <c r="O488" i="1"/>
  <c r="P488" i="1"/>
  <c r="Q488" i="1"/>
  <c r="X487" i="1"/>
  <c r="Y487" i="1" s="1"/>
  <c r="V487" i="1"/>
  <c r="P487" i="1"/>
  <c r="O487" i="1"/>
  <c r="Q487" i="1"/>
  <c r="V486" i="1"/>
  <c r="X486" i="1"/>
  <c r="Y486" i="1" s="1"/>
  <c r="O486" i="1"/>
  <c r="Q486" i="1"/>
  <c r="P486" i="1"/>
  <c r="V485" i="1"/>
  <c r="X485" i="1"/>
  <c r="Y485" i="1" s="1"/>
  <c r="O485" i="1"/>
  <c r="Q485" i="1"/>
  <c r="P485" i="1"/>
  <c r="X484" i="1"/>
  <c r="Y484" i="1" s="1"/>
  <c r="V484" i="1"/>
  <c r="Q484" i="1"/>
  <c r="O484" i="1"/>
  <c r="P484" i="1"/>
  <c r="V483" i="1"/>
  <c r="X483" i="1"/>
  <c r="Y483" i="1" s="1"/>
  <c r="Q483" i="1"/>
  <c r="O483" i="1"/>
  <c r="P483" i="1"/>
  <c r="V482" i="1"/>
  <c r="X482" i="1"/>
  <c r="Y482" i="1" s="1"/>
  <c r="Q482" i="1"/>
  <c r="P482" i="1"/>
  <c r="O482" i="1"/>
  <c r="X481" i="1"/>
  <c r="Y481" i="1" s="1"/>
  <c r="V481" i="1"/>
  <c r="P481" i="1"/>
  <c r="Q481" i="1"/>
  <c r="O481" i="1"/>
  <c r="P480" i="1"/>
  <c r="O480" i="1"/>
  <c r="Q480" i="1"/>
  <c r="V479" i="1"/>
  <c r="X479" i="1"/>
  <c r="Y479" i="1" s="1"/>
  <c r="Q479" i="1"/>
  <c r="P479" i="1"/>
  <c r="O479" i="1"/>
  <c r="X478" i="1"/>
  <c r="Y478" i="1" s="1"/>
  <c r="V478" i="1"/>
  <c r="Q478" i="1"/>
  <c r="P478" i="1"/>
  <c r="O478" i="1"/>
  <c r="V477" i="1"/>
  <c r="X477" i="1"/>
  <c r="Y477" i="1" s="1"/>
  <c r="O477" i="1"/>
  <c r="P477" i="1"/>
  <c r="Q477" i="1"/>
  <c r="X476" i="1"/>
  <c r="Y476" i="1" s="1"/>
  <c r="V476" i="1"/>
  <c r="P476" i="1"/>
  <c r="O476" i="1"/>
  <c r="Q476" i="1"/>
  <c r="X475" i="1"/>
  <c r="Y475" i="1" s="1"/>
  <c r="V475" i="1"/>
  <c r="P475" i="1"/>
  <c r="Q475" i="1"/>
  <c r="O475" i="1"/>
  <c r="X474" i="1"/>
  <c r="Y474" i="1" s="1"/>
  <c r="V474" i="1"/>
  <c r="Q474" i="1"/>
  <c r="O474" i="1"/>
  <c r="P474" i="1"/>
  <c r="X473" i="1"/>
  <c r="Y473" i="1" s="1"/>
  <c r="V473" i="1"/>
  <c r="Q473" i="1"/>
  <c r="O473" i="1"/>
  <c r="P473" i="1"/>
  <c r="V472" i="1"/>
  <c r="X472" i="1"/>
  <c r="Y472" i="1" s="1"/>
  <c r="Q472" i="1"/>
  <c r="P472" i="1"/>
  <c r="O472" i="1"/>
  <c r="X471" i="1"/>
  <c r="Y471" i="1" s="1"/>
  <c r="V471" i="1"/>
  <c r="O471" i="1"/>
  <c r="P471" i="1"/>
  <c r="Q471" i="1"/>
  <c r="V470" i="1"/>
  <c r="X470" i="1"/>
  <c r="Y470" i="1" s="1"/>
  <c r="Q470" i="1"/>
  <c r="O470" i="1"/>
  <c r="P470" i="1"/>
  <c r="X469" i="1"/>
  <c r="Y469" i="1" s="1"/>
  <c r="V469" i="1"/>
  <c r="P469" i="1"/>
  <c r="O469" i="1"/>
  <c r="Q469" i="1"/>
  <c r="V468" i="1"/>
  <c r="X468" i="1"/>
  <c r="Y468" i="1" s="1"/>
  <c r="Q468" i="1"/>
  <c r="P468" i="1"/>
  <c r="O468" i="1"/>
  <c r="V467" i="1"/>
  <c r="X467" i="1"/>
  <c r="Y467" i="1" s="1"/>
  <c r="P467" i="1"/>
  <c r="Q467" i="1"/>
  <c r="O467" i="1"/>
  <c r="X466" i="1"/>
  <c r="Y466" i="1" s="1"/>
  <c r="V466" i="1"/>
  <c r="Q466" i="1"/>
  <c r="O466" i="1"/>
  <c r="P466" i="1"/>
  <c r="X465" i="1"/>
  <c r="Y465" i="1" s="1"/>
  <c r="V465" i="1"/>
  <c r="P465" i="1"/>
  <c r="O465" i="1"/>
  <c r="Q465" i="1"/>
  <c r="X464" i="1"/>
  <c r="Y464" i="1" s="1"/>
  <c r="V464" i="1"/>
  <c r="O464" i="1"/>
  <c r="Q464" i="1"/>
  <c r="P464" i="1"/>
  <c r="O463" i="1"/>
  <c r="P463" i="1"/>
  <c r="Q463" i="1"/>
  <c r="X462" i="1"/>
  <c r="Y462" i="1" s="1"/>
  <c r="V462" i="1"/>
  <c r="O462" i="1"/>
  <c r="Q462" i="1"/>
  <c r="P462" i="1"/>
  <c r="V461" i="1"/>
  <c r="X461" i="1"/>
  <c r="Y461" i="1" s="1"/>
  <c r="P461" i="1"/>
  <c r="Q461" i="1"/>
  <c r="O461" i="1"/>
  <c r="X460" i="1"/>
  <c r="Y460" i="1" s="1"/>
  <c r="V460" i="1"/>
  <c r="O460" i="1"/>
  <c r="P460" i="1"/>
  <c r="Q460" i="1"/>
  <c r="X459" i="1"/>
  <c r="Y459" i="1" s="1"/>
  <c r="V459" i="1"/>
  <c r="P459" i="1"/>
  <c r="O459" i="1"/>
  <c r="Q459" i="1"/>
  <c r="V458" i="1"/>
  <c r="X458" i="1"/>
  <c r="Y458" i="1" s="1"/>
  <c r="O458" i="1"/>
  <c r="Q458" i="1"/>
  <c r="P458" i="1"/>
  <c r="V457" i="1"/>
  <c r="X457" i="1"/>
  <c r="Y457" i="1" s="1"/>
  <c r="P457" i="1"/>
  <c r="O457" i="1"/>
  <c r="Q457" i="1"/>
  <c r="V456" i="1"/>
  <c r="X456" i="1"/>
  <c r="Y456" i="1" s="1"/>
  <c r="P456" i="1"/>
  <c r="O456" i="1"/>
  <c r="Q456" i="1"/>
  <c r="X455" i="1"/>
  <c r="Y455" i="1" s="1"/>
  <c r="V455" i="1"/>
  <c r="P455" i="1"/>
  <c r="Q455" i="1"/>
  <c r="O455" i="1"/>
  <c r="V454" i="1"/>
  <c r="X454" i="1"/>
  <c r="Y454" i="1" s="1"/>
  <c r="O454" i="1"/>
  <c r="Q454" i="1"/>
  <c r="P454" i="1"/>
  <c r="V453" i="1"/>
  <c r="X453" i="1"/>
  <c r="Y453" i="1" s="1"/>
  <c r="O453" i="1"/>
  <c r="P453" i="1"/>
  <c r="Q453" i="1"/>
  <c r="X452" i="1"/>
  <c r="Y452" i="1" s="1"/>
  <c r="V452" i="1"/>
  <c r="O452" i="1"/>
  <c r="Q452" i="1"/>
  <c r="P452" i="1"/>
  <c r="X451" i="1"/>
  <c r="Y451" i="1" s="1"/>
  <c r="V451" i="1"/>
  <c r="P451" i="1"/>
  <c r="Q451" i="1"/>
  <c r="O451" i="1"/>
  <c r="X450" i="1"/>
  <c r="Y450" i="1" s="1"/>
  <c r="V450" i="1"/>
  <c r="P450" i="1"/>
  <c r="Q450" i="1"/>
  <c r="O450" i="1"/>
  <c r="V449" i="1"/>
  <c r="X449" i="1"/>
  <c r="Y449" i="1" s="1"/>
  <c r="O449" i="1"/>
  <c r="P449" i="1"/>
  <c r="Q449" i="1"/>
  <c r="X448" i="1"/>
  <c r="Y448" i="1" s="1"/>
  <c r="V448" i="1"/>
  <c r="Q448" i="1"/>
  <c r="P448" i="1"/>
  <c r="O448" i="1"/>
  <c r="V447" i="1"/>
  <c r="X447" i="1"/>
  <c r="Y447" i="1" s="1"/>
  <c r="P447" i="1"/>
  <c r="O447" i="1"/>
  <c r="Q447" i="1"/>
  <c r="X446" i="1"/>
  <c r="Y446" i="1" s="1"/>
  <c r="V446" i="1"/>
  <c r="P446" i="1"/>
  <c r="Q446" i="1"/>
  <c r="O446" i="1"/>
  <c r="V445" i="1"/>
  <c r="X445" i="1"/>
  <c r="Y445" i="1" s="1"/>
  <c r="O445" i="1"/>
  <c r="P445" i="1"/>
  <c r="Q445" i="1"/>
  <c r="V444" i="1"/>
  <c r="X444" i="1"/>
  <c r="Y444" i="1" s="1"/>
  <c r="O444" i="1"/>
  <c r="Q444" i="1"/>
  <c r="P444" i="1"/>
  <c r="X443" i="1"/>
  <c r="Y443" i="1" s="1"/>
  <c r="V443" i="1"/>
  <c r="P443" i="1"/>
  <c r="Q443" i="1"/>
  <c r="O443" i="1"/>
  <c r="V442" i="1"/>
  <c r="X442" i="1"/>
  <c r="Y442" i="1" s="1"/>
  <c r="P442" i="1"/>
  <c r="O442" i="1"/>
  <c r="Q442" i="1"/>
  <c r="V441" i="1"/>
  <c r="X441" i="1"/>
  <c r="Y441" i="1" s="1"/>
  <c r="P441" i="1"/>
  <c r="Q441" i="1"/>
  <c r="O441" i="1"/>
  <c r="X440" i="1"/>
  <c r="Y440" i="1" s="1"/>
  <c r="V440" i="1"/>
  <c r="P440" i="1"/>
  <c r="O440" i="1"/>
  <c r="Q440" i="1"/>
  <c r="V439" i="1"/>
  <c r="X439" i="1"/>
  <c r="Y439" i="1" s="1"/>
  <c r="P439" i="1"/>
  <c r="Q439" i="1"/>
  <c r="O439" i="1"/>
  <c r="V438" i="1"/>
  <c r="X438" i="1"/>
  <c r="Y438" i="1" s="1"/>
  <c r="Q438" i="1"/>
  <c r="P438" i="1"/>
  <c r="O438" i="1"/>
  <c r="V437" i="1"/>
  <c r="X437" i="1"/>
  <c r="Y437" i="1" s="1"/>
  <c r="O437" i="1"/>
  <c r="P437" i="1"/>
  <c r="Q437" i="1"/>
  <c r="V436" i="1"/>
  <c r="X436" i="1"/>
  <c r="Y436" i="1" s="1"/>
  <c r="Q436" i="1"/>
  <c r="O436" i="1"/>
  <c r="P436" i="1"/>
  <c r="X435" i="1"/>
  <c r="Y435" i="1" s="1"/>
  <c r="V435" i="1"/>
  <c r="P435" i="1"/>
  <c r="O435" i="1"/>
  <c r="Q435" i="1"/>
  <c r="X434" i="1"/>
  <c r="Y434" i="1" s="1"/>
  <c r="V434" i="1"/>
  <c r="P434" i="1"/>
  <c r="O434" i="1"/>
  <c r="Q434" i="1"/>
  <c r="V433" i="1"/>
  <c r="X433" i="1"/>
  <c r="Y433" i="1" s="1"/>
  <c r="Q433" i="1"/>
  <c r="O433" i="1"/>
  <c r="P433" i="1"/>
  <c r="V432" i="1"/>
  <c r="X432" i="1"/>
  <c r="Y432" i="1" s="1"/>
  <c r="P432" i="1"/>
  <c r="O432" i="1"/>
  <c r="Q432" i="1"/>
  <c r="P431" i="1"/>
  <c r="Q431" i="1"/>
  <c r="O431" i="1"/>
  <c r="V430" i="1"/>
  <c r="X430" i="1"/>
  <c r="Y430" i="1" s="1"/>
  <c r="P430" i="1"/>
  <c r="O430" i="1"/>
  <c r="Q430" i="1"/>
  <c r="V429" i="1"/>
  <c r="X429" i="1"/>
  <c r="Y429" i="1" s="1"/>
  <c r="P429" i="1"/>
  <c r="O429" i="1"/>
  <c r="Q429" i="1"/>
  <c r="V428" i="1"/>
  <c r="X428" i="1"/>
  <c r="Y428" i="1" s="1"/>
  <c r="P428" i="1"/>
  <c r="Q428" i="1"/>
  <c r="O428" i="1"/>
  <c r="X427" i="1"/>
  <c r="Y427" i="1" s="1"/>
  <c r="V427" i="1"/>
  <c r="P427" i="1"/>
  <c r="O427" i="1"/>
  <c r="Q427" i="1"/>
  <c r="V426" i="1"/>
  <c r="X426" i="1"/>
  <c r="Y426" i="1" s="1"/>
  <c r="O426" i="1"/>
  <c r="Q426" i="1"/>
  <c r="P426" i="1"/>
  <c r="V425" i="1"/>
  <c r="X425" i="1"/>
  <c r="Y425" i="1" s="1"/>
  <c r="P425" i="1"/>
  <c r="O425" i="1"/>
  <c r="Q425" i="1"/>
  <c r="V424" i="1"/>
  <c r="X424" i="1"/>
  <c r="Y424" i="1" s="1"/>
  <c r="Q424" i="1"/>
  <c r="P424" i="1"/>
  <c r="O424" i="1"/>
  <c r="V423" i="1"/>
  <c r="X423" i="1"/>
  <c r="Y423" i="1" s="1"/>
  <c r="P423" i="1"/>
  <c r="Q423" i="1"/>
  <c r="O423" i="1"/>
  <c r="X422" i="1"/>
  <c r="Y422" i="1" s="1"/>
  <c r="V422" i="1"/>
  <c r="O422" i="1"/>
  <c r="Q422" i="1"/>
  <c r="P422" i="1"/>
  <c r="X421" i="1"/>
  <c r="Y421" i="1" s="1"/>
  <c r="V421" i="1"/>
  <c r="O421" i="1"/>
  <c r="Q421" i="1"/>
  <c r="P421" i="1"/>
  <c r="V420" i="1"/>
  <c r="X420" i="1"/>
  <c r="Y420" i="1" s="1"/>
  <c r="Q420" i="1"/>
  <c r="O420" i="1"/>
  <c r="P420" i="1"/>
  <c r="V419" i="1"/>
  <c r="X419" i="1"/>
  <c r="Y419" i="1" s="1"/>
  <c r="P419" i="1"/>
  <c r="Q419" i="1"/>
  <c r="O419" i="1"/>
  <c r="V418" i="1"/>
  <c r="X418" i="1"/>
  <c r="Y418" i="1" s="1"/>
  <c r="P418" i="1"/>
  <c r="O418" i="1"/>
  <c r="Q418" i="1"/>
  <c r="X417" i="1"/>
  <c r="Y417" i="1" s="1"/>
  <c r="V417" i="1"/>
  <c r="Q417" i="1"/>
  <c r="O417" i="1"/>
  <c r="P417" i="1"/>
  <c r="V416" i="1"/>
  <c r="X416" i="1"/>
  <c r="Y416" i="1" s="1"/>
  <c r="P416" i="1"/>
  <c r="Q416" i="1"/>
  <c r="O416" i="1"/>
  <c r="X415" i="1"/>
  <c r="Y415" i="1" s="1"/>
  <c r="V415" i="1"/>
  <c r="Q415" i="1"/>
  <c r="P415" i="1"/>
  <c r="O415" i="1"/>
  <c r="V414" i="1"/>
  <c r="X414" i="1"/>
  <c r="Y414" i="1" s="1"/>
  <c r="P414" i="1"/>
  <c r="O414" i="1"/>
  <c r="Q414" i="1"/>
  <c r="X413" i="1"/>
  <c r="Y413" i="1" s="1"/>
  <c r="V413" i="1"/>
  <c r="Q413" i="1"/>
  <c r="P413" i="1"/>
  <c r="O413" i="1"/>
  <c r="V412" i="1"/>
  <c r="X412" i="1"/>
  <c r="Y412" i="1" s="1"/>
  <c r="O412" i="1"/>
  <c r="P412" i="1"/>
  <c r="Q412" i="1"/>
  <c r="V411" i="1"/>
  <c r="X411" i="1"/>
  <c r="Y411" i="1" s="1"/>
  <c r="P411" i="1"/>
  <c r="Q411" i="1"/>
  <c r="O411" i="1"/>
  <c r="V410" i="1"/>
  <c r="X410" i="1"/>
  <c r="Y410" i="1" s="1"/>
  <c r="P410" i="1"/>
  <c r="Q410" i="1"/>
  <c r="O410" i="1"/>
  <c r="X409" i="1"/>
  <c r="Y409" i="1" s="1"/>
  <c r="V409" i="1"/>
  <c r="Q409" i="1"/>
  <c r="O409" i="1"/>
  <c r="P409" i="1"/>
  <c r="V408" i="1"/>
  <c r="X408" i="1"/>
  <c r="Y408" i="1" s="1"/>
  <c r="Q408" i="1"/>
  <c r="P408" i="1"/>
  <c r="O408" i="1"/>
  <c r="V407" i="1"/>
  <c r="X407" i="1"/>
  <c r="Y407" i="1" s="1"/>
  <c r="O407" i="1"/>
  <c r="Q407" i="1"/>
  <c r="P407" i="1"/>
  <c r="V406" i="1"/>
  <c r="X406" i="1"/>
  <c r="Y406" i="1" s="1"/>
  <c r="P406" i="1"/>
  <c r="O406" i="1"/>
  <c r="Q406" i="1"/>
  <c r="O405" i="1"/>
  <c r="Q405" i="1"/>
  <c r="P405" i="1"/>
  <c r="V404" i="1"/>
  <c r="X404" i="1"/>
  <c r="Y404" i="1" s="1"/>
  <c r="Q404" i="1"/>
  <c r="O404" i="1"/>
  <c r="P404" i="1"/>
  <c r="V403" i="1"/>
  <c r="X403" i="1"/>
  <c r="Y403" i="1" s="1"/>
  <c r="P403" i="1"/>
  <c r="O403" i="1"/>
  <c r="Q403" i="1"/>
  <c r="X402" i="1"/>
  <c r="Y402" i="1" s="1"/>
  <c r="V402" i="1"/>
  <c r="O402" i="1"/>
  <c r="Q402" i="1"/>
  <c r="P402" i="1"/>
  <c r="V401" i="1"/>
  <c r="X401" i="1"/>
  <c r="Y401" i="1" s="1"/>
  <c r="Q401" i="1"/>
  <c r="O401" i="1"/>
  <c r="P401" i="1"/>
  <c r="X400" i="1"/>
  <c r="Y400" i="1" s="1"/>
  <c r="V400" i="1"/>
  <c r="O400" i="1"/>
  <c r="P400" i="1"/>
  <c r="Q400" i="1"/>
  <c r="V399" i="1"/>
  <c r="X399" i="1"/>
  <c r="Y399" i="1" s="1"/>
  <c r="Q399" i="1"/>
  <c r="P399" i="1"/>
  <c r="O399" i="1"/>
  <c r="V398" i="1"/>
  <c r="X398" i="1"/>
  <c r="Y398" i="1" s="1"/>
  <c r="P398" i="1"/>
  <c r="Q398" i="1"/>
  <c r="O398" i="1"/>
  <c r="X397" i="1"/>
  <c r="Y397" i="1" s="1"/>
  <c r="V397" i="1"/>
  <c r="P397" i="1"/>
  <c r="Q397" i="1"/>
  <c r="O397" i="1"/>
  <c r="V396" i="1"/>
  <c r="X396" i="1"/>
  <c r="Y396" i="1" s="1"/>
  <c r="P396" i="1"/>
  <c r="O396" i="1"/>
  <c r="Q396" i="1"/>
  <c r="X395" i="1"/>
  <c r="Y395" i="1" s="1"/>
  <c r="V395" i="1"/>
  <c r="O395" i="1"/>
  <c r="P395" i="1"/>
  <c r="Q395" i="1"/>
  <c r="V394" i="1"/>
  <c r="X394" i="1"/>
  <c r="Y394" i="1" s="1"/>
  <c r="O394" i="1"/>
  <c r="Q394" i="1"/>
  <c r="P394" i="1"/>
  <c r="X393" i="1"/>
  <c r="Y393" i="1" s="1"/>
  <c r="V393" i="1"/>
  <c r="P393" i="1"/>
  <c r="O393" i="1"/>
  <c r="Q393" i="1"/>
  <c r="V392" i="1"/>
  <c r="X392" i="1"/>
  <c r="Y392" i="1" s="1"/>
  <c r="Q392" i="1"/>
  <c r="P392" i="1"/>
  <c r="O392" i="1"/>
  <c r="V391" i="1"/>
  <c r="X391" i="1"/>
  <c r="Y391" i="1" s="1"/>
  <c r="P391" i="1"/>
  <c r="Q391" i="1"/>
  <c r="O391" i="1"/>
  <c r="X390" i="1"/>
  <c r="Y390" i="1" s="1"/>
  <c r="V390" i="1"/>
  <c r="P390" i="1"/>
  <c r="O390" i="1"/>
  <c r="Q390" i="1"/>
  <c r="X389" i="1"/>
  <c r="Y389" i="1" s="1"/>
  <c r="V389" i="1"/>
  <c r="O389" i="1"/>
  <c r="Q389" i="1"/>
  <c r="P389" i="1"/>
  <c r="V388" i="1"/>
  <c r="X388" i="1"/>
  <c r="Y388" i="1" s="1"/>
  <c r="P388" i="1"/>
  <c r="O388" i="1"/>
  <c r="Q388" i="1"/>
  <c r="V387" i="1"/>
  <c r="X387" i="1"/>
  <c r="Y387" i="1" s="1"/>
  <c r="Q387" i="1"/>
  <c r="P387" i="1"/>
  <c r="O387" i="1"/>
  <c r="X386" i="1"/>
  <c r="Y386" i="1" s="1"/>
  <c r="V386" i="1"/>
  <c r="P386" i="1"/>
  <c r="Q386" i="1"/>
  <c r="X385" i="1"/>
  <c r="Y385" i="1" s="1"/>
  <c r="V385" i="1"/>
  <c r="Q385" i="1"/>
  <c r="O385" i="1"/>
  <c r="P385" i="1"/>
  <c r="V384" i="1"/>
  <c r="X384" i="1"/>
  <c r="Y384" i="1" s="1"/>
  <c r="O384" i="1"/>
  <c r="P384" i="1"/>
  <c r="Q384" i="1"/>
  <c r="Q383" i="1"/>
  <c r="P383" i="1"/>
  <c r="O383" i="1"/>
  <c r="P382" i="1"/>
  <c r="Q382" i="1"/>
  <c r="O382" i="1"/>
  <c r="X381" i="1"/>
  <c r="Y381" i="1" s="1"/>
  <c r="V381" i="1"/>
  <c r="Q381" i="1"/>
  <c r="O381" i="1"/>
  <c r="P381" i="1"/>
  <c r="X380" i="1"/>
  <c r="Y380" i="1" s="1"/>
  <c r="V380" i="1"/>
  <c r="Q380" i="1"/>
  <c r="P380" i="1"/>
  <c r="O380" i="1"/>
  <c r="X379" i="1"/>
  <c r="Y379" i="1" s="1"/>
  <c r="V379" i="1"/>
  <c r="Q379" i="1"/>
  <c r="P379" i="1"/>
  <c r="O379" i="1"/>
  <c r="X378" i="1"/>
  <c r="Y378" i="1" s="1"/>
  <c r="V378" i="1"/>
  <c r="P378" i="1"/>
  <c r="Q378" i="1"/>
  <c r="O378" i="1"/>
  <c r="X377" i="1"/>
  <c r="Y377" i="1" s="1"/>
  <c r="V377" i="1"/>
  <c r="Q377" i="1"/>
  <c r="P377" i="1"/>
  <c r="O377" i="1"/>
  <c r="X376" i="1"/>
  <c r="Y376" i="1" s="1"/>
  <c r="V376" i="1"/>
  <c r="Q376" i="1"/>
  <c r="O376" i="1"/>
  <c r="P376" i="1"/>
  <c r="V375" i="1"/>
  <c r="X375" i="1"/>
  <c r="Y375" i="1" s="1"/>
  <c r="O375" i="1"/>
  <c r="Q375" i="1"/>
  <c r="P375" i="1"/>
  <c r="V374" i="1"/>
  <c r="X374" i="1"/>
  <c r="Y374" i="1" s="1"/>
  <c r="P374" i="1"/>
  <c r="Q374" i="1"/>
  <c r="O374" i="1"/>
  <c r="V373" i="1"/>
  <c r="X373" i="1"/>
  <c r="Y373" i="1" s="1"/>
  <c r="Q373" i="1"/>
  <c r="O373" i="1"/>
  <c r="P373" i="1"/>
  <c r="X372" i="1"/>
  <c r="Y372" i="1" s="1"/>
  <c r="V372" i="1"/>
  <c r="P372" i="1"/>
  <c r="O372" i="1"/>
  <c r="Q372" i="1"/>
  <c r="P371" i="1"/>
  <c r="Q371" i="1"/>
  <c r="O371" i="1"/>
  <c r="V370" i="1"/>
  <c r="X370" i="1"/>
  <c r="Y370" i="1" s="1"/>
  <c r="Q370" i="1"/>
  <c r="O370" i="1"/>
  <c r="P370" i="1"/>
  <c r="P369" i="1"/>
  <c r="Q369" i="1"/>
  <c r="O369" i="1"/>
  <c r="V368" i="1"/>
  <c r="X368" i="1"/>
  <c r="Y368" i="1" s="1"/>
  <c r="P368" i="1"/>
  <c r="Q368" i="1"/>
  <c r="O368" i="1"/>
  <c r="V367" i="1"/>
  <c r="X367" i="1"/>
  <c r="Y367" i="1" s="1"/>
  <c r="P367" i="1"/>
  <c r="O367" i="1"/>
  <c r="V366" i="1"/>
  <c r="X366" i="1"/>
  <c r="Y366" i="1" s="1"/>
  <c r="Q366" i="1"/>
  <c r="O366" i="1"/>
  <c r="P366" i="1"/>
  <c r="V365" i="1"/>
  <c r="X365" i="1"/>
  <c r="Y365" i="1" s="1"/>
  <c r="O365" i="1"/>
  <c r="P365" i="1"/>
  <c r="Q365" i="1"/>
  <c r="X364" i="1"/>
  <c r="Y364" i="1" s="1"/>
  <c r="V364" i="1"/>
  <c r="P364" i="1"/>
  <c r="Q364" i="1"/>
  <c r="O364" i="1"/>
  <c r="X363" i="1"/>
  <c r="Y363" i="1" s="1"/>
  <c r="V363" i="1"/>
  <c r="Q363" i="1"/>
  <c r="P363" i="1"/>
  <c r="O363" i="1"/>
  <c r="V362" i="1"/>
  <c r="X362" i="1"/>
  <c r="Y362" i="1" s="1"/>
  <c r="Q362" i="1"/>
  <c r="O362" i="1"/>
  <c r="P362" i="1"/>
  <c r="V361" i="1"/>
  <c r="X361" i="1"/>
  <c r="Y361" i="1" s="1"/>
  <c r="Q361" i="1"/>
  <c r="O361" i="1"/>
  <c r="P361" i="1"/>
  <c r="X360" i="1"/>
  <c r="Y360" i="1" s="1"/>
  <c r="V360" i="1"/>
  <c r="Q360" i="1"/>
  <c r="O360" i="1"/>
  <c r="P360" i="1"/>
  <c r="X359" i="1"/>
  <c r="Y359" i="1" s="1"/>
  <c r="V359" i="1"/>
  <c r="P359" i="1"/>
  <c r="Q359" i="1"/>
  <c r="O359" i="1"/>
  <c r="V358" i="1"/>
  <c r="X358" i="1"/>
  <c r="Y358" i="1" s="1"/>
  <c r="O358" i="1"/>
  <c r="Q358" i="1"/>
  <c r="P358" i="1"/>
  <c r="X357" i="1"/>
  <c r="Y357" i="1" s="1"/>
  <c r="V357" i="1"/>
  <c r="P357" i="1"/>
  <c r="O357" i="1"/>
  <c r="Q357" i="1"/>
  <c r="X356" i="1"/>
  <c r="Y356" i="1" s="1"/>
  <c r="V356" i="1"/>
  <c r="P356" i="1"/>
  <c r="Q356" i="1"/>
  <c r="O356" i="1"/>
  <c r="X355" i="1"/>
  <c r="Y355" i="1" s="1"/>
  <c r="V355" i="1"/>
  <c r="P355" i="1"/>
  <c r="O355" i="1"/>
  <c r="Q355" i="1"/>
  <c r="X354" i="1"/>
  <c r="Y354" i="1" s="1"/>
  <c r="V354" i="1"/>
  <c r="O354" i="1"/>
  <c r="P354" i="1"/>
  <c r="Q354" i="1"/>
  <c r="X353" i="1"/>
  <c r="Y353" i="1" s="1"/>
  <c r="V353" i="1"/>
  <c r="Q353" i="1"/>
  <c r="P353" i="1"/>
  <c r="O353" i="1"/>
  <c r="X352" i="1"/>
  <c r="Y352" i="1" s="1"/>
  <c r="V352" i="1"/>
  <c r="Q352" i="1"/>
  <c r="P352" i="1"/>
  <c r="O352" i="1"/>
  <c r="V351" i="1"/>
  <c r="X351" i="1"/>
  <c r="Y351" i="1" s="1"/>
  <c r="P351" i="1"/>
  <c r="Q351" i="1"/>
  <c r="O351" i="1"/>
  <c r="V350" i="1"/>
  <c r="X350" i="1"/>
  <c r="Y350" i="1" s="1"/>
  <c r="Q350" i="1"/>
  <c r="O350" i="1"/>
  <c r="P350" i="1"/>
  <c r="X349" i="1"/>
  <c r="Y349" i="1" s="1"/>
  <c r="V349" i="1"/>
  <c r="Q349" i="1"/>
  <c r="O349" i="1"/>
  <c r="P349" i="1"/>
  <c r="P348" i="1"/>
  <c r="Q348" i="1"/>
  <c r="O348" i="1"/>
  <c r="V347" i="1"/>
  <c r="X347" i="1"/>
  <c r="Y347" i="1" s="1"/>
  <c r="P347" i="1"/>
  <c r="O347" i="1"/>
  <c r="Q347" i="1"/>
  <c r="X346" i="1"/>
  <c r="Y346" i="1" s="1"/>
  <c r="V346" i="1"/>
  <c r="Q346" i="1"/>
  <c r="P346" i="1"/>
  <c r="O346" i="1"/>
  <c r="X345" i="1"/>
  <c r="Y345" i="1" s="1"/>
  <c r="V345" i="1"/>
  <c r="O345" i="1"/>
  <c r="Q345" i="1"/>
  <c r="P345" i="1"/>
  <c r="V344" i="1"/>
  <c r="X344" i="1"/>
  <c r="Y344" i="1" s="1"/>
  <c r="O344" i="1"/>
  <c r="P344" i="1"/>
  <c r="Q344" i="1"/>
  <c r="X343" i="1"/>
  <c r="Y343" i="1" s="1"/>
  <c r="V343" i="1"/>
  <c r="O343" i="1"/>
  <c r="P343" i="1"/>
  <c r="Q343" i="1"/>
  <c r="V342" i="1"/>
  <c r="X342" i="1"/>
  <c r="Y342" i="1" s="1"/>
  <c r="O342" i="1"/>
  <c r="P342" i="1"/>
  <c r="Q342" i="1"/>
  <c r="V341" i="1"/>
  <c r="X341" i="1"/>
  <c r="Y341" i="1" s="1"/>
  <c r="Q341" i="1"/>
  <c r="O341" i="1"/>
  <c r="P341" i="1"/>
  <c r="X340" i="1"/>
  <c r="Y340" i="1" s="1"/>
  <c r="V340" i="1"/>
  <c r="P340" i="1"/>
  <c r="O340" i="1"/>
  <c r="Q340" i="1"/>
  <c r="X339" i="1"/>
  <c r="Y339" i="1" s="1"/>
  <c r="V339" i="1"/>
  <c r="P339" i="1"/>
  <c r="Q339" i="1"/>
  <c r="O339" i="1"/>
  <c r="V338" i="1"/>
  <c r="X338" i="1"/>
  <c r="Y338" i="1" s="1"/>
  <c r="Q338" i="1"/>
  <c r="P338" i="1"/>
  <c r="O338" i="1"/>
  <c r="Q337" i="1"/>
  <c r="P337" i="1"/>
  <c r="O337" i="1"/>
  <c r="X336" i="1"/>
  <c r="Y336" i="1" s="1"/>
  <c r="V336" i="1"/>
  <c r="O336" i="1"/>
  <c r="P336" i="1"/>
  <c r="Q336" i="1"/>
  <c r="V335" i="1"/>
  <c r="X335" i="1"/>
  <c r="Y335" i="1" s="1"/>
  <c r="P335" i="1"/>
  <c r="O335" i="1"/>
  <c r="Q335" i="1"/>
  <c r="P334" i="1"/>
  <c r="Q334" i="1"/>
  <c r="O334" i="1"/>
  <c r="V333" i="1"/>
  <c r="X333" i="1"/>
  <c r="Y333" i="1" s="1"/>
  <c r="O333" i="1"/>
  <c r="P333" i="1"/>
  <c r="Q333" i="1"/>
  <c r="X332" i="1"/>
  <c r="Y332" i="1" s="1"/>
  <c r="V332" i="1"/>
  <c r="O332" i="1"/>
  <c r="P332" i="1"/>
  <c r="Q332" i="1"/>
  <c r="V331" i="1"/>
  <c r="X331" i="1"/>
  <c r="Y331" i="1" s="1"/>
  <c r="O331" i="1"/>
  <c r="P331" i="1"/>
  <c r="Q331" i="1"/>
  <c r="X330" i="1"/>
  <c r="Y330" i="1" s="1"/>
  <c r="V330" i="1"/>
  <c r="Q330" i="1"/>
  <c r="P330" i="1"/>
  <c r="O330" i="1"/>
  <c r="V329" i="1"/>
  <c r="X329" i="1"/>
  <c r="Y329" i="1" s="1"/>
  <c r="Q329" i="1"/>
  <c r="P329" i="1"/>
  <c r="O329" i="1"/>
  <c r="V328" i="1"/>
  <c r="X328" i="1"/>
  <c r="Y328" i="1" s="1"/>
  <c r="P328" i="1"/>
  <c r="O328" i="1"/>
  <c r="Q328" i="1"/>
  <c r="X327" i="1"/>
  <c r="Y327" i="1" s="1"/>
  <c r="V327" i="1"/>
  <c r="Q327" i="1"/>
  <c r="P327" i="1"/>
  <c r="O327" i="1"/>
  <c r="X326" i="1"/>
  <c r="Y326" i="1" s="1"/>
  <c r="V326" i="1"/>
  <c r="O326" i="1"/>
  <c r="Q326" i="1"/>
  <c r="P326" i="1"/>
  <c r="Q325" i="1"/>
  <c r="P325" i="1"/>
  <c r="O325" i="1"/>
  <c r="V324" i="1"/>
  <c r="X324" i="1"/>
  <c r="Y324" i="1" s="1"/>
  <c r="O324" i="1"/>
  <c r="P324" i="1"/>
  <c r="Q324" i="1"/>
  <c r="V323" i="1"/>
  <c r="X323" i="1"/>
  <c r="Y323" i="1" s="1"/>
  <c r="Q323" i="1"/>
  <c r="P323" i="1"/>
  <c r="O323" i="1"/>
  <c r="X322" i="1"/>
  <c r="Y322" i="1" s="1"/>
  <c r="V322" i="1"/>
  <c r="Q322" i="1"/>
  <c r="O322" i="1"/>
  <c r="P322" i="1"/>
  <c r="V321" i="1"/>
  <c r="X321" i="1"/>
  <c r="Y321" i="1" s="1"/>
  <c r="P321" i="1"/>
  <c r="O321" i="1"/>
  <c r="Q321" i="1"/>
  <c r="V320" i="1"/>
  <c r="X320" i="1"/>
  <c r="Y320" i="1" s="1"/>
  <c r="P320" i="1"/>
  <c r="O320" i="1"/>
  <c r="Q320" i="1"/>
  <c r="X319" i="1"/>
  <c r="Y319" i="1" s="1"/>
  <c r="V319" i="1"/>
  <c r="Q319" i="1"/>
  <c r="O319" i="1"/>
  <c r="P319" i="1"/>
  <c r="X318" i="1"/>
  <c r="Y318" i="1" s="1"/>
  <c r="V318" i="1"/>
  <c r="P318" i="1"/>
  <c r="O318" i="1"/>
  <c r="Q318" i="1"/>
  <c r="X317" i="1"/>
  <c r="Y317" i="1" s="1"/>
  <c r="V317" i="1"/>
  <c r="P317" i="1"/>
  <c r="Q317" i="1"/>
  <c r="O317" i="1"/>
  <c r="X316" i="1"/>
  <c r="Y316" i="1" s="1"/>
  <c r="V316" i="1"/>
  <c r="P316" i="1"/>
  <c r="Q316" i="1"/>
  <c r="O316" i="1"/>
  <c r="X315" i="1"/>
  <c r="Y315" i="1" s="1"/>
  <c r="V315" i="1"/>
  <c r="Q315" i="1"/>
  <c r="O315" i="1"/>
  <c r="P315" i="1"/>
  <c r="V314" i="1"/>
  <c r="X314" i="1"/>
  <c r="Y314" i="1" s="1"/>
  <c r="P314" i="1"/>
  <c r="Q314" i="1"/>
  <c r="O314" i="1"/>
  <c r="X313" i="1"/>
  <c r="Y313" i="1" s="1"/>
  <c r="V313" i="1"/>
  <c r="O313" i="1"/>
  <c r="P313" i="1"/>
  <c r="Q313" i="1"/>
  <c r="X312" i="1"/>
  <c r="Y312" i="1" s="1"/>
  <c r="V312" i="1"/>
  <c r="Q312" i="1"/>
  <c r="O312" i="1"/>
  <c r="P312" i="1"/>
  <c r="X311" i="1"/>
  <c r="Y311" i="1" s="1"/>
  <c r="V311" i="1"/>
  <c r="Q311" i="1"/>
  <c r="P311" i="1"/>
  <c r="O311" i="1"/>
  <c r="V310" i="1"/>
  <c r="X310" i="1"/>
  <c r="Y310" i="1" s="1"/>
  <c r="P310" i="1"/>
  <c r="Q310" i="1"/>
  <c r="O310" i="1"/>
  <c r="X309" i="1"/>
  <c r="Y309" i="1" s="1"/>
  <c r="V309" i="1"/>
  <c r="Q309" i="1"/>
  <c r="O309" i="1"/>
  <c r="P309" i="1"/>
  <c r="X308" i="1"/>
  <c r="Y308" i="1" s="1"/>
  <c r="V308" i="1"/>
  <c r="O308" i="1"/>
  <c r="Q308" i="1"/>
  <c r="P308" i="1"/>
  <c r="X307" i="1"/>
  <c r="Y307" i="1" s="1"/>
  <c r="V307" i="1"/>
  <c r="Q307" i="1"/>
  <c r="P307" i="1"/>
  <c r="O307" i="1"/>
  <c r="V306" i="1"/>
  <c r="X306" i="1"/>
  <c r="Y306" i="1" s="1"/>
  <c r="Q306" i="1"/>
  <c r="P306" i="1"/>
  <c r="O306" i="1"/>
  <c r="X305" i="1"/>
  <c r="Y305" i="1" s="1"/>
  <c r="V305" i="1"/>
  <c r="Q305" i="1"/>
  <c r="O305" i="1"/>
  <c r="P305" i="1"/>
  <c r="V304" i="1"/>
  <c r="X304" i="1"/>
  <c r="Y304" i="1" s="1"/>
  <c r="O304" i="1"/>
  <c r="Q304" i="1"/>
  <c r="P304" i="1"/>
  <c r="X303" i="1"/>
  <c r="Y303" i="1" s="1"/>
  <c r="V303" i="1"/>
  <c r="O303" i="1"/>
  <c r="Q303" i="1"/>
  <c r="P303" i="1"/>
  <c r="O302" i="1"/>
  <c r="Q302" i="1"/>
  <c r="P302" i="1"/>
  <c r="X301" i="1"/>
  <c r="Y301" i="1" s="1"/>
  <c r="V301" i="1"/>
  <c r="O301" i="1"/>
  <c r="Q301" i="1"/>
  <c r="P301" i="1"/>
  <c r="V300" i="1"/>
  <c r="X300" i="1"/>
  <c r="Y300" i="1" s="1"/>
  <c r="P300" i="1"/>
  <c r="Q300" i="1"/>
  <c r="O300" i="1"/>
  <c r="X299" i="1"/>
  <c r="Y299" i="1" s="1"/>
  <c r="V299" i="1"/>
  <c r="Q299" i="1"/>
  <c r="O299" i="1"/>
  <c r="P299" i="1"/>
  <c r="V298" i="1"/>
  <c r="X298" i="1"/>
  <c r="Y298" i="1" s="1"/>
  <c r="Q298" i="1"/>
  <c r="O298" i="1"/>
  <c r="P298" i="1"/>
  <c r="X297" i="1"/>
  <c r="Y297" i="1" s="1"/>
  <c r="V297" i="1"/>
  <c r="O297" i="1"/>
  <c r="P297" i="1"/>
  <c r="Q297" i="1"/>
  <c r="X296" i="1"/>
  <c r="Y296" i="1" s="1"/>
  <c r="V296" i="1"/>
  <c r="O296" i="1"/>
  <c r="Q296" i="1"/>
  <c r="P296" i="1"/>
  <c r="V295" i="1"/>
  <c r="X295" i="1"/>
  <c r="Y295" i="1" s="1"/>
  <c r="O295" i="1"/>
  <c r="Q295" i="1"/>
  <c r="P295" i="1"/>
  <c r="V294" i="1"/>
  <c r="X294" i="1"/>
  <c r="Y294" i="1" s="1"/>
  <c r="O294" i="1"/>
  <c r="Q294" i="1"/>
  <c r="P294" i="1"/>
  <c r="X293" i="1"/>
  <c r="Y293" i="1" s="1"/>
  <c r="V293" i="1"/>
  <c r="P293" i="1"/>
  <c r="Q293" i="1"/>
  <c r="O293" i="1"/>
  <c r="V292" i="1"/>
  <c r="X292" i="1"/>
  <c r="Y292" i="1" s="1"/>
  <c r="P292" i="1"/>
  <c r="Q292" i="1"/>
  <c r="O292" i="1"/>
  <c r="X291" i="1"/>
  <c r="Y291" i="1" s="1"/>
  <c r="V291" i="1"/>
  <c r="P291" i="1"/>
  <c r="Q291" i="1"/>
  <c r="O291" i="1"/>
  <c r="V290" i="1"/>
  <c r="X290" i="1"/>
  <c r="Y290" i="1" s="1"/>
  <c r="Q290" i="1"/>
  <c r="O290" i="1"/>
  <c r="P290" i="1"/>
  <c r="V289" i="1"/>
  <c r="X289" i="1"/>
  <c r="Y289" i="1" s="1"/>
  <c r="O289" i="1"/>
  <c r="P289" i="1"/>
  <c r="Q289" i="1"/>
  <c r="W288" i="1"/>
  <c r="X288" i="1"/>
  <c r="Y288" i="1" s="1"/>
  <c r="O288" i="1"/>
  <c r="P288" i="1"/>
  <c r="Q288" i="1"/>
  <c r="X287" i="1"/>
  <c r="Y287" i="1" s="1"/>
  <c r="V287" i="1"/>
  <c r="O287" i="1"/>
  <c r="P287" i="1"/>
  <c r="Q287" i="1"/>
  <c r="V286" i="1"/>
  <c r="X286" i="1"/>
  <c r="Y286" i="1" s="1"/>
  <c r="O286" i="1"/>
  <c r="Q286" i="1"/>
  <c r="P286" i="1"/>
  <c r="X285" i="1"/>
  <c r="Y285" i="1" s="1"/>
  <c r="V285" i="1"/>
  <c r="O285" i="1"/>
  <c r="P285" i="1"/>
  <c r="Q285" i="1"/>
  <c r="V284" i="1"/>
  <c r="X284" i="1"/>
  <c r="Y284" i="1" s="1"/>
  <c r="P284" i="1"/>
  <c r="Q284" i="1"/>
  <c r="O284" i="1"/>
  <c r="O283" i="1"/>
  <c r="Q283" i="1"/>
  <c r="P283" i="1"/>
  <c r="X282" i="1"/>
  <c r="Y282" i="1" s="1"/>
  <c r="V282" i="1"/>
  <c r="Q282" i="1"/>
  <c r="P282" i="1"/>
  <c r="O282" i="1"/>
  <c r="V281" i="1"/>
  <c r="X281" i="1"/>
  <c r="Y281" i="1" s="1"/>
  <c r="O281" i="1"/>
  <c r="P281" i="1"/>
  <c r="Q281" i="1"/>
  <c r="X280" i="1"/>
  <c r="Y280" i="1" s="1"/>
  <c r="V280" i="1"/>
  <c r="O280" i="1"/>
  <c r="P280" i="1"/>
  <c r="Q280" i="1"/>
  <c r="V279" i="1"/>
  <c r="X279" i="1"/>
  <c r="Y279" i="1" s="1"/>
  <c r="Q279" i="1"/>
  <c r="O279" i="1"/>
  <c r="P279" i="1"/>
  <c r="V278" i="1"/>
  <c r="X278" i="1"/>
  <c r="Y278" i="1" s="1"/>
  <c r="O278" i="1"/>
  <c r="Q278" i="1"/>
  <c r="P278" i="1"/>
  <c r="X277" i="1"/>
  <c r="Y277" i="1" s="1"/>
  <c r="V277" i="1"/>
  <c r="O277" i="1"/>
  <c r="P277" i="1"/>
  <c r="Q277" i="1"/>
  <c r="X276" i="1"/>
  <c r="Y276" i="1" s="1"/>
  <c r="V276" i="1"/>
  <c r="O276" i="1"/>
  <c r="Q276" i="1"/>
  <c r="P276" i="1"/>
  <c r="X275" i="1"/>
  <c r="Y275" i="1" s="1"/>
  <c r="V275" i="1"/>
  <c r="P275" i="1"/>
  <c r="Q275" i="1"/>
  <c r="O275" i="1"/>
  <c r="X274" i="1"/>
  <c r="Y274" i="1" s="1"/>
  <c r="V274" i="1"/>
  <c r="O274" i="1"/>
  <c r="P274" i="1"/>
  <c r="Q274" i="1"/>
  <c r="V273" i="1"/>
  <c r="X273" i="1"/>
  <c r="Y273" i="1" s="1"/>
  <c r="O273" i="1"/>
  <c r="P273" i="1"/>
  <c r="Q273" i="1"/>
  <c r="V272" i="1"/>
  <c r="X272" i="1"/>
  <c r="Y272" i="1" s="1"/>
  <c r="O272" i="1"/>
  <c r="Q272" i="1"/>
  <c r="P272" i="1"/>
  <c r="X271" i="1"/>
  <c r="Y271" i="1" s="1"/>
  <c r="V271" i="1"/>
  <c r="Q271" i="1"/>
  <c r="P271" i="1"/>
  <c r="O271" i="1"/>
  <c r="X270" i="1"/>
  <c r="Y270" i="1" s="1"/>
  <c r="V270" i="1"/>
  <c r="Q270" i="1"/>
  <c r="P270" i="1"/>
  <c r="O270" i="1"/>
  <c r="X269" i="1"/>
  <c r="Y269" i="1" s="1"/>
  <c r="V269" i="1"/>
  <c r="Q269" i="1"/>
  <c r="P269" i="1"/>
  <c r="O269" i="1"/>
  <c r="X268" i="1"/>
  <c r="Y268" i="1" s="1"/>
  <c r="V268" i="1"/>
  <c r="P268" i="1"/>
  <c r="O268" i="1"/>
  <c r="Q268" i="1"/>
  <c r="V267" i="1"/>
  <c r="X267" i="1"/>
  <c r="Y267" i="1" s="1"/>
  <c r="O267" i="1"/>
  <c r="P267" i="1"/>
  <c r="Q267" i="1"/>
  <c r="V266" i="1"/>
  <c r="X266" i="1"/>
  <c r="Y266" i="1" s="1"/>
  <c r="O266" i="1"/>
  <c r="P266" i="1"/>
  <c r="Q266" i="1"/>
  <c r="V265" i="1"/>
  <c r="X265" i="1"/>
  <c r="Y265" i="1" s="1"/>
  <c r="O265" i="1"/>
  <c r="P265" i="1"/>
  <c r="Q265" i="1"/>
  <c r="V264" i="1"/>
  <c r="X264" i="1"/>
  <c r="Y264" i="1" s="1"/>
  <c r="Q264" i="1"/>
  <c r="O264" i="1"/>
  <c r="P264" i="1"/>
  <c r="V263" i="1"/>
  <c r="X263" i="1"/>
  <c r="Y263" i="1" s="1"/>
  <c r="O263" i="1"/>
  <c r="P263" i="1"/>
  <c r="Q263" i="1"/>
  <c r="V262" i="1"/>
  <c r="X262" i="1"/>
  <c r="Y262" i="1" s="1"/>
  <c r="P262" i="1"/>
  <c r="Q262" i="1"/>
  <c r="O262" i="1"/>
  <c r="V261" i="1"/>
  <c r="X261" i="1"/>
  <c r="Y261" i="1" s="1"/>
  <c r="O261" i="1"/>
  <c r="P261" i="1"/>
  <c r="Q261" i="1"/>
  <c r="V260" i="1"/>
  <c r="X260" i="1"/>
  <c r="Y260" i="1" s="1"/>
  <c r="O260" i="1"/>
  <c r="P260" i="1"/>
  <c r="Q260" i="1"/>
  <c r="V259" i="1"/>
  <c r="X259" i="1"/>
  <c r="Y259" i="1" s="1"/>
  <c r="O259" i="1"/>
  <c r="P259" i="1"/>
  <c r="Q259" i="1"/>
  <c r="V258" i="1"/>
  <c r="X258" i="1"/>
  <c r="Y258" i="1" s="1"/>
  <c r="O258" i="1"/>
  <c r="P258" i="1"/>
  <c r="Q258" i="1"/>
  <c r="V257" i="1"/>
  <c r="X257" i="1"/>
  <c r="Y257" i="1" s="1"/>
  <c r="P257" i="1"/>
  <c r="Q257" i="1"/>
  <c r="O257" i="1"/>
  <c r="X256" i="1"/>
  <c r="Y256" i="1" s="1"/>
  <c r="V256" i="1"/>
  <c r="O256" i="1"/>
  <c r="P256" i="1"/>
  <c r="Q256" i="1"/>
  <c r="V255" i="1"/>
  <c r="X255" i="1"/>
  <c r="Y255" i="1" s="1"/>
  <c r="P255" i="1"/>
  <c r="O255" i="1"/>
  <c r="Q255" i="1"/>
  <c r="V254" i="1"/>
  <c r="X254" i="1"/>
  <c r="Y254" i="1" s="1"/>
  <c r="O254" i="1"/>
  <c r="P254" i="1"/>
  <c r="Q254" i="1"/>
  <c r="V253" i="1"/>
  <c r="X253" i="1"/>
  <c r="Y253" i="1" s="1"/>
  <c r="O253" i="1"/>
  <c r="P253" i="1"/>
  <c r="Q253" i="1"/>
  <c r="V252" i="1"/>
  <c r="X252" i="1"/>
  <c r="Y252" i="1" s="1"/>
  <c r="P252" i="1"/>
  <c r="O252" i="1"/>
  <c r="Q252" i="1"/>
  <c r="X251" i="1"/>
  <c r="Y251" i="1" s="1"/>
  <c r="V251" i="1"/>
  <c r="Q251" i="1"/>
  <c r="P251" i="1"/>
  <c r="O251" i="1"/>
  <c r="X250" i="1"/>
  <c r="Y250" i="1" s="1"/>
  <c r="V250" i="1"/>
  <c r="P250" i="1"/>
  <c r="Q250" i="1"/>
  <c r="O250" i="1"/>
  <c r="V249" i="1"/>
  <c r="X249" i="1"/>
  <c r="Y249" i="1" s="1"/>
  <c r="P249" i="1"/>
  <c r="Q249" i="1"/>
  <c r="O249" i="1"/>
  <c r="X248" i="1"/>
  <c r="Y248" i="1" s="1"/>
  <c r="V248" i="1"/>
  <c r="Q248" i="1"/>
  <c r="P248" i="1"/>
  <c r="O248" i="1"/>
  <c r="X247" i="1"/>
  <c r="Y247" i="1" s="1"/>
  <c r="V247" i="1"/>
  <c r="Q247" i="1"/>
  <c r="P247" i="1"/>
  <c r="O247" i="1"/>
  <c r="X246" i="1"/>
  <c r="Y246" i="1" s="1"/>
  <c r="V246" i="1"/>
  <c r="Q246" i="1"/>
  <c r="P246" i="1"/>
  <c r="O246" i="1"/>
  <c r="X245" i="1"/>
  <c r="Y245" i="1" s="1"/>
  <c r="V245" i="1"/>
  <c r="O245" i="1"/>
  <c r="Q245" i="1"/>
  <c r="P245" i="1"/>
  <c r="V244" i="1"/>
  <c r="X244" i="1"/>
  <c r="Y244" i="1" s="1"/>
  <c r="O244" i="1"/>
  <c r="P244" i="1"/>
  <c r="Q244" i="1"/>
  <c r="V243" i="1"/>
  <c r="X243" i="1"/>
  <c r="Y243" i="1" s="1"/>
  <c r="O243" i="1"/>
  <c r="P243" i="1"/>
  <c r="Q243" i="1"/>
  <c r="V242" i="1"/>
  <c r="X242" i="1"/>
  <c r="Y242" i="1" s="1"/>
  <c r="Q242" i="1"/>
  <c r="P242" i="1"/>
  <c r="O242" i="1"/>
  <c r="X241" i="1"/>
  <c r="Y241" i="1" s="1"/>
  <c r="V241" i="1"/>
  <c r="O241" i="1"/>
  <c r="Q241" i="1"/>
  <c r="P241" i="1"/>
  <c r="V240" i="1"/>
  <c r="X240" i="1"/>
  <c r="Y240" i="1" s="1"/>
  <c r="O240" i="1"/>
  <c r="P240" i="1"/>
  <c r="Q240" i="1"/>
  <c r="V239" i="1"/>
  <c r="X239" i="1"/>
  <c r="Y239" i="1" s="1"/>
  <c r="P239" i="1"/>
  <c r="O239" i="1"/>
  <c r="Q239" i="1"/>
  <c r="X238" i="1"/>
  <c r="Y238" i="1" s="1"/>
  <c r="V238" i="1"/>
  <c r="O238" i="1"/>
  <c r="P238" i="1"/>
  <c r="Q238" i="1"/>
  <c r="V237" i="1"/>
  <c r="X237" i="1"/>
  <c r="Y237" i="1" s="1"/>
  <c r="O237" i="1"/>
  <c r="Q237" i="1"/>
  <c r="P237" i="1"/>
  <c r="V236" i="1"/>
  <c r="X236" i="1"/>
  <c r="Y236" i="1" s="1"/>
  <c r="O236" i="1"/>
  <c r="P236" i="1"/>
  <c r="Q236" i="1"/>
  <c r="V235" i="1"/>
  <c r="X235" i="1"/>
  <c r="Y235" i="1" s="1"/>
  <c r="O235" i="1"/>
  <c r="P235" i="1"/>
  <c r="Q235" i="1"/>
  <c r="V234" i="1"/>
  <c r="X234" i="1"/>
  <c r="Y234" i="1" s="1"/>
  <c r="O234" i="1"/>
  <c r="P234" i="1"/>
  <c r="Q234" i="1"/>
  <c r="X233" i="1"/>
  <c r="Y233" i="1" s="1"/>
  <c r="V233" i="1"/>
  <c r="Q233" i="1"/>
  <c r="P233" i="1"/>
  <c r="O233" i="1"/>
  <c r="V232" i="1"/>
  <c r="X232" i="1"/>
  <c r="Y232" i="1" s="1"/>
  <c r="O232" i="1"/>
  <c r="P232" i="1"/>
  <c r="Q232" i="1"/>
  <c r="V231" i="1"/>
  <c r="X231" i="1"/>
  <c r="Y231" i="1" s="1"/>
  <c r="O231" i="1"/>
  <c r="P231" i="1"/>
  <c r="Q231" i="1"/>
  <c r="V230" i="1"/>
  <c r="X230" i="1"/>
  <c r="Y230" i="1" s="1"/>
  <c r="O230" i="1"/>
  <c r="Q230" i="1"/>
  <c r="P230" i="1"/>
  <c r="X229" i="1"/>
  <c r="Y229" i="1" s="1"/>
  <c r="V229" i="1"/>
  <c r="Q229" i="1"/>
  <c r="P229" i="1"/>
  <c r="O229" i="1"/>
  <c r="V228" i="1"/>
  <c r="X228" i="1"/>
  <c r="Y228" i="1" s="1"/>
  <c r="O228" i="1"/>
  <c r="P228" i="1"/>
  <c r="Q228" i="1"/>
  <c r="V227" i="1"/>
  <c r="X227" i="1"/>
  <c r="Y227" i="1" s="1"/>
  <c r="Q227" i="1"/>
  <c r="P227" i="1"/>
  <c r="O227" i="1"/>
  <c r="X226" i="1"/>
  <c r="Y226" i="1" s="1"/>
  <c r="V226" i="1"/>
  <c r="Q226" i="1"/>
  <c r="O226" i="1"/>
  <c r="P226" i="1"/>
  <c r="V225" i="1"/>
  <c r="X225" i="1"/>
  <c r="Y225" i="1" s="1"/>
  <c r="P225" i="1"/>
  <c r="O225" i="1"/>
  <c r="Q225" i="1"/>
  <c r="V224" i="1"/>
  <c r="X224" i="1"/>
  <c r="Y224" i="1" s="1"/>
  <c r="O224" i="1"/>
  <c r="P224" i="1"/>
  <c r="Q224" i="1"/>
  <c r="V223" i="1"/>
  <c r="X223" i="1"/>
  <c r="Y223" i="1" s="1"/>
  <c r="O223" i="1"/>
  <c r="P223" i="1"/>
  <c r="Q223" i="1"/>
  <c r="V222" i="1"/>
  <c r="X222" i="1"/>
  <c r="Y222" i="1" s="1"/>
  <c r="O222" i="1"/>
  <c r="P222" i="1"/>
  <c r="Q222" i="1"/>
  <c r="V221" i="1"/>
  <c r="X221" i="1"/>
  <c r="Y221" i="1" s="1"/>
  <c r="Q221" i="1"/>
  <c r="P221" i="1"/>
  <c r="O221" i="1"/>
  <c r="V220" i="1"/>
  <c r="X220" i="1"/>
  <c r="Y220" i="1" s="1"/>
  <c r="O220" i="1"/>
  <c r="P220" i="1"/>
  <c r="Q220" i="1"/>
  <c r="V219" i="1"/>
  <c r="X219" i="1"/>
  <c r="Y219" i="1" s="1"/>
  <c r="O219" i="1"/>
  <c r="P219" i="1"/>
  <c r="Q219" i="1"/>
  <c r="V218" i="1"/>
  <c r="X218" i="1"/>
  <c r="Y218" i="1" s="1"/>
  <c r="O218" i="1"/>
  <c r="P218" i="1"/>
  <c r="Q218" i="1"/>
  <c r="V217" i="1"/>
  <c r="X217" i="1"/>
  <c r="Y217" i="1" s="1"/>
  <c r="O217" i="1"/>
  <c r="Q217" i="1"/>
  <c r="P217" i="1"/>
  <c r="V216" i="1"/>
  <c r="X216" i="1"/>
  <c r="Y216" i="1" s="1"/>
  <c r="O216" i="1"/>
  <c r="P216" i="1"/>
  <c r="Q216" i="1"/>
  <c r="V215" i="1"/>
  <c r="X215" i="1"/>
  <c r="Y215" i="1" s="1"/>
  <c r="O215" i="1"/>
  <c r="Q215" i="1"/>
  <c r="P215" i="1"/>
  <c r="V214" i="1"/>
  <c r="X214" i="1"/>
  <c r="Y214" i="1" s="1"/>
  <c r="O214" i="1"/>
  <c r="P214" i="1"/>
  <c r="Q214" i="1"/>
  <c r="V213" i="1"/>
  <c r="X213" i="1"/>
  <c r="Y213" i="1" s="1"/>
  <c r="O213" i="1"/>
  <c r="P213" i="1"/>
  <c r="Q213" i="1"/>
  <c r="V212" i="1"/>
  <c r="X212" i="1"/>
  <c r="Y212" i="1" s="1"/>
  <c r="O212" i="1"/>
  <c r="P212" i="1"/>
  <c r="Q212" i="1"/>
  <c r="V211" i="1"/>
  <c r="X211" i="1"/>
  <c r="Y211" i="1" s="1"/>
  <c r="O211" i="1"/>
  <c r="P211" i="1"/>
  <c r="Q211" i="1"/>
  <c r="V210" i="1"/>
  <c r="X210" i="1"/>
  <c r="Y210" i="1" s="1"/>
  <c r="O210" i="1"/>
  <c r="P210" i="1"/>
  <c r="Q210" i="1"/>
  <c r="V209" i="1"/>
  <c r="X209" i="1"/>
  <c r="Y209" i="1" s="1"/>
  <c r="O209" i="1"/>
  <c r="Q209" i="1"/>
  <c r="P209" i="1"/>
  <c r="X208" i="1"/>
  <c r="Y208" i="1" s="1"/>
  <c r="V208" i="1"/>
  <c r="Q208" i="1"/>
  <c r="P208" i="1"/>
  <c r="O208" i="1"/>
  <c r="X207" i="1"/>
  <c r="Y207" i="1" s="1"/>
  <c r="V207" i="1"/>
  <c r="Q207" i="1"/>
  <c r="P207" i="1"/>
  <c r="O207" i="1"/>
  <c r="X206" i="1"/>
  <c r="Y206" i="1" s="1"/>
  <c r="V206" i="1"/>
  <c r="Q206" i="1"/>
  <c r="P206" i="1"/>
  <c r="O206" i="1"/>
  <c r="X205" i="1"/>
  <c r="Y205" i="1" s="1"/>
  <c r="V205" i="1"/>
  <c r="Q205" i="1"/>
  <c r="P205" i="1"/>
  <c r="O205" i="1"/>
  <c r="V204" i="1"/>
  <c r="X204" i="1"/>
  <c r="Y204" i="1" s="1"/>
  <c r="P204" i="1"/>
  <c r="Q204" i="1"/>
  <c r="O204" i="1"/>
  <c r="V203" i="1"/>
  <c r="X203" i="1"/>
  <c r="Y203" i="1" s="1"/>
  <c r="O203" i="1"/>
  <c r="P203" i="1"/>
  <c r="Q203" i="1"/>
  <c r="V202" i="1"/>
  <c r="X202" i="1"/>
  <c r="Y202" i="1" s="1"/>
  <c r="O202" i="1"/>
  <c r="P202" i="1"/>
  <c r="Q202" i="1"/>
  <c r="V201" i="1"/>
  <c r="X201" i="1"/>
  <c r="Y201" i="1" s="1"/>
  <c r="O201" i="1"/>
  <c r="P201" i="1"/>
  <c r="Q201" i="1"/>
  <c r="X200" i="1"/>
  <c r="Y200" i="1" s="1"/>
  <c r="V200" i="1"/>
  <c r="O200" i="1"/>
  <c r="Q200" i="1"/>
  <c r="P200" i="1"/>
  <c r="X199" i="1"/>
  <c r="Y199" i="1" s="1"/>
  <c r="V199" i="1"/>
  <c r="Q199" i="1"/>
  <c r="P199" i="1"/>
  <c r="O199" i="1"/>
  <c r="X198" i="1"/>
  <c r="Y198" i="1" s="1"/>
  <c r="V198" i="1"/>
  <c r="Q198" i="1"/>
  <c r="P198" i="1"/>
  <c r="O198" i="1"/>
  <c r="X197" i="1"/>
  <c r="Y197" i="1" s="1"/>
  <c r="V197" i="1"/>
  <c r="Q197" i="1"/>
  <c r="O197" i="1"/>
  <c r="P197" i="1"/>
  <c r="V196" i="1"/>
  <c r="X196" i="1"/>
  <c r="Y196" i="1" s="1"/>
  <c r="Q196" i="1"/>
  <c r="O196" i="1"/>
  <c r="P196" i="1"/>
  <c r="V195" i="1"/>
  <c r="X195" i="1"/>
  <c r="Y195" i="1" s="1"/>
  <c r="Q195" i="1"/>
  <c r="P195" i="1"/>
  <c r="O195" i="1"/>
  <c r="X194" i="1"/>
  <c r="Y194" i="1" s="1"/>
  <c r="V194" i="1"/>
  <c r="Q194" i="1"/>
  <c r="P194" i="1"/>
  <c r="O194" i="1"/>
  <c r="X193" i="1"/>
  <c r="Y193" i="1" s="1"/>
  <c r="V193" i="1"/>
  <c r="Q193" i="1"/>
  <c r="P193" i="1"/>
  <c r="O193" i="1"/>
  <c r="X192" i="1"/>
  <c r="Y192" i="1" s="1"/>
  <c r="V192" i="1"/>
  <c r="O192" i="1"/>
  <c r="Q192" i="1"/>
  <c r="P192" i="1"/>
  <c r="X191" i="1"/>
  <c r="Y191" i="1" s="1"/>
  <c r="V191" i="1"/>
  <c r="O191" i="1"/>
  <c r="Q191" i="1"/>
  <c r="P191" i="1"/>
  <c r="X190" i="1"/>
  <c r="Y190" i="1" s="1"/>
  <c r="V190" i="1"/>
  <c r="Q190" i="1"/>
  <c r="P190" i="1"/>
  <c r="O190" i="1"/>
  <c r="X189" i="1"/>
  <c r="Y189" i="1" s="1"/>
  <c r="V189" i="1"/>
  <c r="Q189" i="1"/>
  <c r="O189" i="1"/>
  <c r="P189" i="1"/>
  <c r="V188" i="1"/>
  <c r="X188" i="1"/>
  <c r="Y188" i="1" s="1"/>
  <c r="O188" i="1"/>
  <c r="P188" i="1"/>
  <c r="Q188" i="1"/>
  <c r="V187" i="1"/>
  <c r="X187" i="1"/>
  <c r="Y187" i="1" s="1"/>
  <c r="O187" i="1"/>
  <c r="P187" i="1"/>
  <c r="Q187" i="1"/>
  <c r="X186" i="1"/>
  <c r="Y186" i="1" s="1"/>
  <c r="V186" i="1"/>
  <c r="Q186" i="1"/>
  <c r="P186" i="1"/>
  <c r="O186" i="1"/>
  <c r="V185" i="1"/>
  <c r="X185" i="1"/>
  <c r="Y185" i="1" s="1"/>
  <c r="O185" i="1"/>
  <c r="P185" i="1"/>
  <c r="Q185" i="1"/>
  <c r="V184" i="1"/>
  <c r="X184" i="1"/>
  <c r="Y184" i="1" s="1"/>
  <c r="O184" i="1"/>
  <c r="P184" i="1"/>
  <c r="Q184" i="1"/>
  <c r="V183" i="1"/>
  <c r="X183" i="1"/>
  <c r="Y183" i="1" s="1"/>
  <c r="O183" i="1"/>
  <c r="P183" i="1"/>
  <c r="Q183" i="1"/>
  <c r="X182" i="1"/>
  <c r="Y182" i="1" s="1"/>
  <c r="V182" i="1"/>
  <c r="Q182" i="1"/>
  <c r="P182" i="1"/>
  <c r="O182" i="1"/>
  <c r="X181" i="1"/>
  <c r="Y181" i="1" s="1"/>
  <c r="V181" i="1"/>
  <c r="Q181" i="1"/>
  <c r="P181" i="1"/>
  <c r="O181" i="1"/>
  <c r="X180" i="1"/>
  <c r="Y180" i="1" s="1"/>
  <c r="V180" i="1"/>
  <c r="O180" i="1"/>
  <c r="P180" i="1"/>
  <c r="Q180" i="1"/>
  <c r="X179" i="1"/>
  <c r="Y179" i="1" s="1"/>
  <c r="V179" i="1"/>
  <c r="Q179" i="1"/>
  <c r="P179" i="1"/>
  <c r="O179" i="1"/>
  <c r="X178" i="1"/>
  <c r="Y178" i="1" s="1"/>
  <c r="V178" i="1"/>
  <c r="Q178" i="1"/>
  <c r="P178" i="1"/>
  <c r="O178" i="1"/>
  <c r="X177" i="1"/>
  <c r="Y177" i="1" s="1"/>
  <c r="V177" i="1"/>
  <c r="P177" i="1"/>
  <c r="Q177" i="1"/>
  <c r="O177" i="1"/>
  <c r="X176" i="1"/>
  <c r="Y176" i="1" s="1"/>
  <c r="V176" i="1"/>
  <c r="Q176" i="1"/>
  <c r="P176" i="1"/>
  <c r="O176" i="1"/>
  <c r="X175" i="1"/>
  <c r="Y175" i="1" s="1"/>
  <c r="V175" i="1"/>
  <c r="Q175" i="1"/>
  <c r="P175" i="1"/>
  <c r="O175" i="1"/>
  <c r="V174" i="1"/>
  <c r="X174" i="1"/>
  <c r="Y174" i="1" s="1"/>
  <c r="Q174" i="1"/>
  <c r="P174" i="1"/>
  <c r="O174" i="1"/>
  <c r="X173" i="1"/>
  <c r="Y173" i="1" s="1"/>
  <c r="V173" i="1"/>
  <c r="Q173" i="1"/>
  <c r="P173" i="1"/>
  <c r="O173" i="1"/>
  <c r="X172" i="1"/>
  <c r="Y172" i="1" s="1"/>
  <c r="V172" i="1"/>
  <c r="Q172" i="1"/>
  <c r="P172" i="1"/>
  <c r="O172" i="1"/>
  <c r="V171" i="1"/>
  <c r="X171" i="1"/>
  <c r="Y171" i="1" s="1"/>
  <c r="Q171" i="1"/>
  <c r="P171" i="1"/>
  <c r="O171" i="1"/>
  <c r="X170" i="1"/>
  <c r="Y170" i="1" s="1"/>
  <c r="V170" i="1"/>
  <c r="Q170" i="1"/>
  <c r="P170" i="1"/>
  <c r="O170" i="1"/>
  <c r="X169" i="1"/>
  <c r="Y169" i="1" s="1"/>
  <c r="V169" i="1"/>
  <c r="O169" i="1"/>
  <c r="P169" i="1"/>
  <c r="Q169" i="1"/>
  <c r="X168" i="1"/>
  <c r="Y168" i="1" s="1"/>
  <c r="V168" i="1"/>
  <c r="Q168" i="1"/>
  <c r="P168" i="1"/>
  <c r="O168" i="1"/>
  <c r="X167" i="1"/>
  <c r="Y167" i="1" s="1"/>
  <c r="V167" i="1"/>
  <c r="Q167" i="1"/>
  <c r="P167" i="1"/>
  <c r="O167" i="1"/>
  <c r="X166" i="1"/>
  <c r="Y166" i="1" s="1"/>
  <c r="V166" i="1"/>
  <c r="O166" i="1"/>
  <c r="P166" i="1"/>
  <c r="Q166" i="1"/>
  <c r="X165" i="1"/>
  <c r="Y165" i="1" s="1"/>
  <c r="V165" i="1"/>
  <c r="Q165" i="1"/>
  <c r="P165" i="1"/>
  <c r="O165" i="1"/>
  <c r="X164" i="1"/>
  <c r="Y164" i="1" s="1"/>
  <c r="V164" i="1"/>
  <c r="Q164" i="1"/>
  <c r="P164" i="1"/>
  <c r="O164" i="1"/>
  <c r="X163" i="1"/>
  <c r="Y163" i="1" s="1"/>
  <c r="V163" i="1"/>
  <c r="Q163" i="1"/>
  <c r="P163" i="1"/>
  <c r="O163" i="1"/>
  <c r="X162" i="1"/>
  <c r="Y162" i="1" s="1"/>
  <c r="V162" i="1"/>
  <c r="Q162" i="1"/>
  <c r="P162" i="1"/>
  <c r="O162" i="1"/>
  <c r="X161" i="1"/>
  <c r="Y161" i="1" s="1"/>
  <c r="V161" i="1"/>
  <c r="Q161" i="1"/>
  <c r="P161" i="1"/>
  <c r="O161" i="1"/>
  <c r="X160" i="1"/>
  <c r="Y160" i="1" s="1"/>
  <c r="V160" i="1"/>
  <c r="P160" i="1"/>
  <c r="O160" i="1"/>
  <c r="Q160" i="1"/>
  <c r="V159" i="1"/>
  <c r="X159" i="1"/>
  <c r="Y159" i="1" s="1"/>
  <c r="Q159" i="1"/>
  <c r="P159" i="1"/>
  <c r="O159" i="1"/>
  <c r="X158" i="1"/>
  <c r="Y158" i="1" s="1"/>
  <c r="V158" i="1"/>
  <c r="Q158" i="1"/>
  <c r="P158" i="1"/>
  <c r="O158" i="1"/>
  <c r="V157" i="1"/>
  <c r="X157" i="1"/>
  <c r="Y157" i="1" s="1"/>
  <c r="P157" i="1"/>
  <c r="O157" i="1"/>
  <c r="Q157" i="1"/>
  <c r="X156" i="1"/>
  <c r="Y156" i="1" s="1"/>
  <c r="V156" i="1"/>
  <c r="Q156" i="1"/>
  <c r="P156" i="1"/>
  <c r="O156" i="1"/>
  <c r="X155" i="1"/>
  <c r="Y155" i="1" s="1"/>
  <c r="V155" i="1"/>
  <c r="Q155" i="1"/>
  <c r="P155" i="1"/>
  <c r="O155" i="1"/>
  <c r="X154" i="1"/>
  <c r="Y154" i="1" s="1"/>
  <c r="V154" i="1"/>
  <c r="Q154" i="1"/>
  <c r="P154" i="1"/>
  <c r="O154" i="1"/>
  <c r="X153" i="1"/>
  <c r="Y153" i="1" s="1"/>
  <c r="V153" i="1"/>
  <c r="Q153" i="1"/>
  <c r="P153" i="1"/>
  <c r="O153" i="1"/>
  <c r="X152" i="1"/>
  <c r="Y152" i="1" s="1"/>
  <c r="V152" i="1"/>
  <c r="Q152" i="1"/>
  <c r="P152" i="1"/>
  <c r="O152" i="1"/>
  <c r="X151" i="1"/>
  <c r="Y151" i="1" s="1"/>
  <c r="V151" i="1"/>
  <c r="Q151" i="1"/>
  <c r="P151" i="1"/>
  <c r="O151" i="1"/>
  <c r="X150" i="1"/>
  <c r="Y150" i="1" s="1"/>
  <c r="V150" i="1"/>
  <c r="Q150" i="1"/>
  <c r="P150" i="1"/>
  <c r="O150" i="1"/>
  <c r="X149" i="1"/>
  <c r="Y149" i="1" s="1"/>
  <c r="V149" i="1"/>
  <c r="O149" i="1"/>
  <c r="Q149" i="1"/>
  <c r="P149" i="1"/>
  <c r="X148" i="1"/>
  <c r="Y148" i="1" s="1"/>
  <c r="V148" i="1"/>
  <c r="Q148" i="1"/>
  <c r="P148" i="1"/>
  <c r="O148" i="1"/>
  <c r="X147" i="1"/>
  <c r="Y147" i="1" s="1"/>
  <c r="V147" i="1"/>
  <c r="Q147" i="1"/>
  <c r="P147" i="1"/>
  <c r="O147" i="1"/>
  <c r="V146" i="1"/>
  <c r="X146" i="1"/>
  <c r="Y146" i="1" s="1"/>
  <c r="Q146" i="1"/>
  <c r="P146" i="1"/>
  <c r="O146" i="1"/>
  <c r="X145" i="1"/>
  <c r="Y145" i="1" s="1"/>
  <c r="V145" i="1"/>
  <c r="Q145" i="1"/>
  <c r="P145" i="1"/>
  <c r="O145" i="1"/>
  <c r="X144" i="1"/>
  <c r="Y144" i="1" s="1"/>
  <c r="V144" i="1"/>
  <c r="Q144" i="1"/>
  <c r="P144" i="1"/>
  <c r="O144" i="1"/>
  <c r="V143" i="1"/>
  <c r="X143" i="1"/>
  <c r="Y143" i="1" s="1"/>
  <c r="Q143" i="1"/>
  <c r="P143" i="1"/>
  <c r="O143" i="1"/>
  <c r="X142" i="1"/>
  <c r="Y142" i="1" s="1"/>
  <c r="V142" i="1"/>
  <c r="Q142" i="1"/>
  <c r="P142" i="1"/>
  <c r="O142" i="1"/>
  <c r="X141" i="1"/>
  <c r="Y141" i="1" s="1"/>
  <c r="V141" i="1"/>
  <c r="Q141" i="1"/>
  <c r="P141" i="1"/>
  <c r="O141" i="1"/>
  <c r="X140" i="1"/>
  <c r="Y140" i="1" s="1"/>
  <c r="V140" i="1"/>
  <c r="Q140" i="1"/>
  <c r="P140" i="1"/>
  <c r="O140" i="1"/>
  <c r="X139" i="1"/>
  <c r="Y139" i="1" s="1"/>
  <c r="V139" i="1"/>
  <c r="Q139" i="1"/>
  <c r="P139" i="1"/>
  <c r="O139" i="1"/>
  <c r="X138" i="1"/>
  <c r="Y138" i="1" s="1"/>
  <c r="V138" i="1"/>
  <c r="Q138" i="1"/>
  <c r="P138" i="1"/>
  <c r="O138" i="1"/>
  <c r="V137" i="1"/>
  <c r="X137" i="1"/>
  <c r="Y137" i="1" s="1"/>
  <c r="Q137" i="1"/>
  <c r="P137" i="1"/>
  <c r="O137" i="1"/>
  <c r="X136" i="1"/>
  <c r="Y136" i="1" s="1"/>
  <c r="V136" i="1"/>
  <c r="Q136" i="1"/>
  <c r="P136" i="1"/>
  <c r="O136" i="1"/>
  <c r="X135" i="1"/>
  <c r="Y135" i="1" s="1"/>
  <c r="V135" i="1"/>
  <c r="O135" i="1"/>
  <c r="P135" i="1"/>
  <c r="Q135" i="1"/>
  <c r="X134" i="1"/>
  <c r="Y134" i="1" s="1"/>
  <c r="V134" i="1"/>
  <c r="Q134" i="1"/>
  <c r="P134" i="1"/>
  <c r="O134" i="1"/>
  <c r="X133" i="1"/>
  <c r="Y133" i="1" s="1"/>
  <c r="V133" i="1"/>
  <c r="Q133" i="1"/>
  <c r="P133" i="1"/>
  <c r="O133" i="1"/>
  <c r="X132" i="1"/>
  <c r="Y132" i="1" s="1"/>
  <c r="V132" i="1"/>
  <c r="P132" i="1"/>
  <c r="O132" i="1"/>
  <c r="Q132" i="1"/>
  <c r="X131" i="1"/>
  <c r="Y131" i="1" s="1"/>
  <c r="V131" i="1"/>
  <c r="Q131" i="1"/>
  <c r="P131" i="1"/>
  <c r="O131" i="1"/>
  <c r="X130" i="1"/>
  <c r="Y130" i="1" s="1"/>
  <c r="V130" i="1"/>
  <c r="Q130" i="1"/>
  <c r="P130" i="1"/>
  <c r="O130" i="1"/>
  <c r="V129" i="1"/>
  <c r="X129" i="1"/>
  <c r="Y129" i="1" s="1"/>
  <c r="Q129" i="1"/>
  <c r="P129" i="1"/>
  <c r="O129" i="1"/>
  <c r="X128" i="1"/>
  <c r="Y128" i="1" s="1"/>
  <c r="V128" i="1"/>
  <c r="Q128" i="1"/>
  <c r="P128" i="1"/>
  <c r="O128" i="1"/>
  <c r="X127" i="1"/>
  <c r="Y127" i="1" s="1"/>
  <c r="V127" i="1"/>
  <c r="Q127" i="1"/>
  <c r="P127" i="1"/>
  <c r="O127" i="1"/>
  <c r="V126" i="1"/>
  <c r="X126" i="1"/>
  <c r="Y126" i="1" s="1"/>
  <c r="Q126" i="1"/>
  <c r="P126" i="1"/>
  <c r="O126" i="1"/>
  <c r="X125" i="1"/>
  <c r="Y125" i="1" s="1"/>
  <c r="V125" i="1"/>
  <c r="Q125" i="1"/>
  <c r="P125" i="1"/>
  <c r="O125" i="1"/>
  <c r="X124" i="1"/>
  <c r="Y124" i="1" s="1"/>
  <c r="V124" i="1"/>
  <c r="O124" i="1"/>
  <c r="P124" i="1"/>
  <c r="Q124" i="1"/>
  <c r="X123" i="1"/>
  <c r="Y123" i="1" s="1"/>
  <c r="V123" i="1"/>
  <c r="Q123" i="1"/>
  <c r="P123" i="1"/>
  <c r="O123" i="1"/>
  <c r="X122" i="1"/>
  <c r="Y122" i="1" s="1"/>
  <c r="V122" i="1"/>
  <c r="Q122" i="1"/>
  <c r="P122" i="1"/>
  <c r="O122" i="1"/>
  <c r="X121" i="1"/>
  <c r="Y121" i="1" s="1"/>
  <c r="V121" i="1"/>
  <c r="O121" i="1"/>
  <c r="P121" i="1"/>
  <c r="Q121" i="1"/>
  <c r="X120" i="1"/>
  <c r="Y120" i="1" s="1"/>
  <c r="V120" i="1"/>
  <c r="Q120" i="1"/>
  <c r="P120" i="1"/>
  <c r="O120" i="1"/>
  <c r="X119" i="1"/>
  <c r="Y119" i="1" s="1"/>
  <c r="V119" i="1"/>
  <c r="Q119" i="1"/>
  <c r="P119" i="1"/>
  <c r="O119" i="1"/>
  <c r="X118" i="1"/>
  <c r="Y118" i="1" s="1"/>
  <c r="V118" i="1"/>
  <c r="Q118" i="1"/>
  <c r="P118" i="1"/>
  <c r="O118" i="1"/>
  <c r="X117" i="1"/>
  <c r="Y117" i="1" s="1"/>
  <c r="V117" i="1"/>
  <c r="Q117" i="1"/>
  <c r="P117" i="1"/>
  <c r="O117" i="1"/>
  <c r="X116" i="1"/>
  <c r="Y116" i="1" s="1"/>
  <c r="V116" i="1"/>
  <c r="Q116" i="1"/>
  <c r="P116" i="1"/>
  <c r="O116" i="1"/>
  <c r="X115" i="1"/>
  <c r="Y115" i="1" s="1"/>
  <c r="V115" i="1"/>
  <c r="O115" i="1"/>
  <c r="P115" i="1"/>
  <c r="Q115" i="1"/>
  <c r="X114" i="1"/>
  <c r="Y114" i="1" s="1"/>
  <c r="V114" i="1"/>
  <c r="Q114" i="1"/>
  <c r="P114" i="1"/>
  <c r="O114" i="1"/>
  <c r="X113" i="1"/>
  <c r="Y113" i="1" s="1"/>
  <c r="V113" i="1"/>
  <c r="Q113" i="1"/>
  <c r="P113" i="1"/>
  <c r="O113" i="1"/>
  <c r="V112" i="1"/>
  <c r="X112" i="1"/>
  <c r="Y112" i="1" s="1"/>
  <c r="Q112" i="1"/>
  <c r="P112" i="1"/>
  <c r="O112" i="1"/>
  <c r="X111" i="1"/>
  <c r="Y111" i="1" s="1"/>
  <c r="V111" i="1"/>
  <c r="Q111" i="1"/>
  <c r="P111" i="1"/>
  <c r="O111" i="1"/>
  <c r="X110" i="1"/>
  <c r="Y110" i="1" s="1"/>
  <c r="V110" i="1"/>
  <c r="Q110" i="1"/>
  <c r="P110" i="1"/>
  <c r="O110" i="1"/>
  <c r="V109" i="1"/>
  <c r="X109" i="1"/>
  <c r="Y109" i="1" s="1"/>
  <c r="Q109" i="1"/>
  <c r="P109" i="1"/>
  <c r="O109" i="1"/>
  <c r="X108" i="1"/>
  <c r="Y108" i="1" s="1"/>
  <c r="V108" i="1"/>
  <c r="Q108" i="1"/>
  <c r="P108" i="1"/>
  <c r="O108" i="1"/>
  <c r="X107" i="1"/>
  <c r="Y107" i="1" s="1"/>
  <c r="V107" i="1"/>
  <c r="Q107" i="1"/>
  <c r="P107" i="1"/>
  <c r="O107" i="1"/>
  <c r="X106" i="1"/>
  <c r="Y106" i="1" s="1"/>
  <c r="V106" i="1"/>
  <c r="Q106" i="1"/>
  <c r="P106" i="1"/>
  <c r="O106" i="1"/>
  <c r="X105" i="1"/>
  <c r="Y105" i="1" s="1"/>
  <c r="V105" i="1"/>
  <c r="Q105" i="1"/>
  <c r="P105" i="1"/>
  <c r="O105" i="1"/>
  <c r="X104" i="1"/>
  <c r="Y104" i="1" s="1"/>
  <c r="V104" i="1"/>
  <c r="Q104" i="1"/>
  <c r="P104" i="1"/>
  <c r="O104" i="1"/>
  <c r="X103" i="1"/>
  <c r="Y103" i="1" s="1"/>
  <c r="V103" i="1"/>
  <c r="Q103" i="1"/>
  <c r="P103" i="1"/>
  <c r="O103" i="1"/>
  <c r="X102" i="1"/>
  <c r="Y102" i="1" s="1"/>
  <c r="V102" i="1"/>
  <c r="Q102" i="1"/>
  <c r="P102" i="1"/>
  <c r="O102" i="1"/>
  <c r="X101" i="1"/>
  <c r="Y101" i="1" s="1"/>
  <c r="V101" i="1"/>
  <c r="O101" i="1"/>
  <c r="P101" i="1"/>
  <c r="Q101" i="1"/>
  <c r="X100" i="1"/>
  <c r="Y100" i="1" s="1"/>
  <c r="V100" i="1"/>
  <c r="Q100" i="1"/>
  <c r="P100" i="1"/>
  <c r="O100" i="1"/>
  <c r="X99" i="1"/>
  <c r="Y99" i="1" s="1"/>
  <c r="V99" i="1"/>
  <c r="Q99" i="1"/>
  <c r="P99" i="1"/>
  <c r="O99" i="1"/>
  <c r="X98" i="1"/>
  <c r="Y98" i="1" s="1"/>
  <c r="V98" i="1"/>
  <c r="O98" i="1"/>
  <c r="P98" i="1"/>
  <c r="Q98" i="1"/>
  <c r="X97" i="1"/>
  <c r="Y97" i="1" s="1"/>
  <c r="V97" i="1"/>
  <c r="Q97" i="1"/>
  <c r="P97" i="1"/>
  <c r="O97" i="1"/>
  <c r="X96" i="1"/>
  <c r="Y96" i="1" s="1"/>
  <c r="V96" i="1"/>
  <c r="Q96" i="1"/>
  <c r="P96" i="1"/>
  <c r="O96" i="1"/>
  <c r="X95" i="1"/>
  <c r="Y95" i="1" s="1"/>
  <c r="V95" i="1"/>
  <c r="Q95" i="1"/>
  <c r="P95" i="1"/>
  <c r="O95" i="1"/>
  <c r="X94" i="1"/>
  <c r="Y94" i="1" s="1"/>
  <c r="V94" i="1"/>
  <c r="Q94" i="1"/>
  <c r="P94" i="1"/>
  <c r="O94" i="1"/>
  <c r="X93" i="1"/>
  <c r="Y93" i="1" s="1"/>
  <c r="V93" i="1"/>
  <c r="Q93" i="1"/>
  <c r="P93" i="1"/>
  <c r="O93" i="1"/>
  <c r="X92" i="1"/>
  <c r="Y92" i="1" s="1"/>
  <c r="V92" i="1"/>
  <c r="Q92" i="1"/>
  <c r="P92" i="1"/>
  <c r="O92" i="1"/>
  <c r="X91" i="1"/>
  <c r="Y91" i="1" s="1"/>
  <c r="V91" i="1"/>
  <c r="Q91" i="1"/>
  <c r="P91" i="1"/>
  <c r="O91" i="1"/>
  <c r="X90" i="1"/>
  <c r="Y90" i="1" s="1"/>
  <c r="V90" i="1"/>
  <c r="Q90" i="1"/>
  <c r="P90" i="1"/>
  <c r="O90" i="1"/>
  <c r="X89" i="1"/>
  <c r="Y89" i="1" s="1"/>
  <c r="V89" i="1"/>
  <c r="Q89" i="1"/>
  <c r="P89" i="1"/>
  <c r="O89" i="1"/>
  <c r="X88" i="1"/>
  <c r="Y88" i="1" s="1"/>
  <c r="V88" i="1"/>
  <c r="Q88" i="1"/>
  <c r="P88" i="1"/>
  <c r="O88" i="1"/>
  <c r="X87" i="1"/>
  <c r="Y87" i="1" s="1"/>
  <c r="V87" i="1"/>
  <c r="Q87" i="1"/>
  <c r="P87" i="1"/>
  <c r="O87" i="1"/>
  <c r="X86" i="1"/>
  <c r="Y86" i="1" s="1"/>
  <c r="V86" i="1"/>
  <c r="Q86" i="1"/>
  <c r="P86" i="1"/>
  <c r="O86" i="1"/>
  <c r="X85" i="1"/>
  <c r="Y85" i="1" s="1"/>
  <c r="V85" i="1"/>
  <c r="Q85" i="1"/>
  <c r="P85" i="1"/>
  <c r="O85" i="1"/>
  <c r="X84" i="1"/>
  <c r="Y84" i="1" s="1"/>
  <c r="V84" i="1"/>
  <c r="Q84" i="1"/>
  <c r="P84" i="1"/>
  <c r="O84" i="1"/>
  <c r="X83" i="1"/>
  <c r="Y83" i="1" s="1"/>
  <c r="V83" i="1"/>
  <c r="Q83" i="1"/>
  <c r="P83" i="1"/>
  <c r="O83" i="1"/>
  <c r="X82" i="1"/>
  <c r="Y82" i="1" s="1"/>
  <c r="V82" i="1"/>
  <c r="Q82" i="1"/>
  <c r="P82" i="1"/>
  <c r="O82" i="1"/>
  <c r="X81" i="1"/>
  <c r="Y81" i="1" s="1"/>
  <c r="V81" i="1"/>
  <c r="O81" i="1"/>
  <c r="P81" i="1"/>
  <c r="Q81" i="1"/>
  <c r="X80" i="1"/>
  <c r="Y80" i="1" s="1"/>
  <c r="V80" i="1"/>
  <c r="Q80" i="1"/>
  <c r="P80" i="1"/>
  <c r="O80" i="1"/>
  <c r="X79" i="1"/>
  <c r="Y79" i="1" s="1"/>
  <c r="V79" i="1"/>
  <c r="Q79" i="1"/>
  <c r="P79" i="1"/>
  <c r="O79" i="1"/>
  <c r="V78" i="1"/>
  <c r="X78" i="1"/>
  <c r="Y78" i="1" s="1"/>
  <c r="Q78" i="1"/>
  <c r="P78" i="1"/>
  <c r="O78" i="1"/>
  <c r="X77" i="1"/>
  <c r="Y77" i="1" s="1"/>
  <c r="V77" i="1"/>
  <c r="Q77" i="1"/>
  <c r="P77" i="1"/>
  <c r="O77" i="1"/>
  <c r="X76" i="1"/>
  <c r="Y76" i="1" s="1"/>
  <c r="V76" i="1"/>
  <c r="Q76" i="1"/>
  <c r="P76" i="1"/>
  <c r="O76" i="1"/>
  <c r="V75" i="1"/>
  <c r="X75" i="1"/>
  <c r="Y75" i="1" s="1"/>
  <c r="Q75" i="1"/>
  <c r="P75" i="1"/>
  <c r="O75" i="1"/>
  <c r="X74" i="1"/>
  <c r="Y74" i="1" s="1"/>
  <c r="V74" i="1"/>
  <c r="Q74" i="1"/>
  <c r="P74" i="1"/>
  <c r="O74" i="1"/>
  <c r="X73" i="1"/>
  <c r="Y73" i="1" s="1"/>
  <c r="V73" i="1"/>
  <c r="Q73" i="1"/>
  <c r="P73" i="1"/>
  <c r="O73" i="1"/>
  <c r="X72" i="1"/>
  <c r="Y72" i="1" s="1"/>
  <c r="V72" i="1"/>
  <c r="Q72" i="1"/>
  <c r="P72" i="1"/>
  <c r="O72" i="1"/>
  <c r="X71" i="1"/>
  <c r="Y71" i="1" s="1"/>
  <c r="V71" i="1"/>
  <c r="Q71" i="1"/>
  <c r="P71" i="1"/>
  <c r="O71" i="1"/>
  <c r="X70" i="1"/>
  <c r="Y70" i="1" s="1"/>
  <c r="V70" i="1"/>
  <c r="Q70" i="1"/>
  <c r="P70" i="1"/>
  <c r="O70" i="1"/>
  <c r="X69" i="1"/>
  <c r="Y69" i="1" s="1"/>
  <c r="V69" i="1"/>
  <c r="Q69" i="1"/>
  <c r="P69" i="1"/>
  <c r="O69" i="1"/>
  <c r="X68" i="1"/>
  <c r="Y68" i="1" s="1"/>
  <c r="V68" i="1"/>
  <c r="Q68" i="1"/>
  <c r="P68" i="1"/>
  <c r="O68" i="1"/>
  <c r="X67" i="1"/>
  <c r="Y67" i="1" s="1"/>
  <c r="V67" i="1"/>
  <c r="O67" i="1"/>
  <c r="P67" i="1"/>
  <c r="Q67" i="1"/>
  <c r="X66" i="1"/>
  <c r="Y66" i="1" s="1"/>
  <c r="V66" i="1"/>
  <c r="Q66" i="1"/>
  <c r="P66" i="1"/>
  <c r="O66" i="1"/>
  <c r="X65" i="1"/>
  <c r="Y65" i="1" s="1"/>
  <c r="V65" i="1"/>
  <c r="Q65" i="1"/>
  <c r="P65" i="1"/>
  <c r="O65" i="1"/>
  <c r="X64" i="1"/>
  <c r="Y64" i="1" s="1"/>
  <c r="V64" i="1"/>
  <c r="P64" i="1"/>
  <c r="Q64" i="1"/>
  <c r="O64" i="1"/>
  <c r="X63" i="1"/>
  <c r="Y63" i="1" s="1"/>
  <c r="V63" i="1"/>
  <c r="Q63" i="1"/>
  <c r="P63" i="1"/>
  <c r="O63" i="1"/>
  <c r="X62" i="1"/>
  <c r="Y62" i="1" s="1"/>
  <c r="V62" i="1"/>
  <c r="Q62" i="1"/>
  <c r="P62" i="1"/>
  <c r="O62" i="1"/>
  <c r="V61" i="1"/>
  <c r="X61" i="1"/>
  <c r="Y61" i="1" s="1"/>
  <c r="Q61" i="1"/>
  <c r="P61" i="1"/>
  <c r="O61" i="1"/>
  <c r="X60" i="1"/>
  <c r="Y60" i="1" s="1"/>
  <c r="V60" i="1"/>
  <c r="Q60" i="1"/>
  <c r="P60" i="1"/>
  <c r="O60" i="1"/>
  <c r="X59" i="1"/>
  <c r="Y59" i="1" s="1"/>
  <c r="V59" i="1"/>
  <c r="Q59" i="1"/>
  <c r="P59" i="1"/>
  <c r="O59" i="1"/>
  <c r="V58" i="1"/>
  <c r="X58" i="1"/>
  <c r="Y58" i="1" s="1"/>
  <c r="Q58" i="1"/>
  <c r="P58" i="1"/>
  <c r="O58" i="1"/>
  <c r="X57" i="1"/>
  <c r="Y57" i="1" s="1"/>
  <c r="V57" i="1"/>
  <c r="Q57" i="1"/>
  <c r="P57" i="1"/>
  <c r="O57" i="1"/>
  <c r="X56" i="1"/>
  <c r="Y56" i="1" s="1"/>
  <c r="V56" i="1"/>
  <c r="O56" i="1"/>
  <c r="P56" i="1"/>
  <c r="Q56" i="1"/>
  <c r="X55" i="1"/>
  <c r="Y55" i="1" s="1"/>
  <c r="V55" i="1"/>
  <c r="Q55" i="1"/>
  <c r="P55" i="1"/>
  <c r="O55" i="1"/>
  <c r="X54" i="1"/>
  <c r="Y54" i="1" s="1"/>
  <c r="V54" i="1"/>
  <c r="Q54" i="1"/>
  <c r="P54" i="1"/>
  <c r="O54" i="1"/>
  <c r="X53" i="1"/>
  <c r="Y53" i="1" s="1"/>
  <c r="V53" i="1"/>
  <c r="O53" i="1"/>
  <c r="P53" i="1"/>
  <c r="Q53" i="1"/>
  <c r="X52" i="1"/>
  <c r="Y52" i="1" s="1"/>
  <c r="V52" i="1"/>
  <c r="Q52" i="1"/>
  <c r="P52" i="1"/>
  <c r="O52" i="1"/>
  <c r="X51" i="1"/>
  <c r="Y51" i="1" s="1"/>
  <c r="V51" i="1"/>
  <c r="Q51" i="1"/>
  <c r="P51" i="1"/>
  <c r="O51" i="1"/>
  <c r="X50" i="1"/>
  <c r="Y50" i="1" s="1"/>
  <c r="V50" i="1"/>
  <c r="Q50" i="1"/>
  <c r="P50" i="1"/>
  <c r="O50" i="1"/>
  <c r="X49" i="1"/>
  <c r="Y49" i="1" s="1"/>
  <c r="V49" i="1"/>
  <c r="Q49" i="1"/>
  <c r="P49" i="1"/>
  <c r="O49" i="1"/>
  <c r="X48" i="1"/>
  <c r="Y48" i="1" s="1"/>
  <c r="V48" i="1"/>
  <c r="Q48" i="1"/>
  <c r="P48" i="1"/>
  <c r="O48" i="1"/>
  <c r="X47" i="1"/>
  <c r="Y47" i="1" s="1"/>
  <c r="V47" i="1"/>
  <c r="O47" i="1"/>
  <c r="Q47" i="1"/>
  <c r="P47" i="1"/>
  <c r="X46" i="1"/>
  <c r="Y46" i="1" s="1"/>
  <c r="V46" i="1"/>
  <c r="Q46" i="1"/>
  <c r="P46" i="1"/>
  <c r="O46" i="1"/>
  <c r="X45" i="1"/>
  <c r="Y45" i="1" s="1"/>
  <c r="V45" i="1"/>
  <c r="Q45" i="1"/>
  <c r="P45" i="1"/>
  <c r="O45" i="1"/>
  <c r="V44" i="1"/>
  <c r="X44" i="1"/>
  <c r="Y44" i="1" s="1"/>
  <c r="Q44" i="1"/>
  <c r="P44" i="1"/>
  <c r="O44" i="1"/>
  <c r="X43" i="1"/>
  <c r="Y43" i="1" s="1"/>
  <c r="V43" i="1"/>
  <c r="Q43" i="1"/>
  <c r="P43" i="1"/>
  <c r="O43" i="1"/>
  <c r="X42" i="1"/>
  <c r="Y42" i="1" s="1"/>
  <c r="V42" i="1"/>
  <c r="Q42" i="1"/>
  <c r="P42" i="1"/>
  <c r="O42" i="1"/>
  <c r="V41" i="1"/>
  <c r="X41" i="1"/>
  <c r="Y41" i="1" s="1"/>
  <c r="Q41" i="1"/>
  <c r="P41" i="1"/>
  <c r="O41" i="1"/>
  <c r="X40" i="1"/>
  <c r="Y40" i="1" s="1"/>
  <c r="V40" i="1"/>
  <c r="Q40" i="1"/>
  <c r="P40" i="1"/>
  <c r="O40" i="1"/>
  <c r="X39" i="1"/>
  <c r="Y39" i="1" s="1"/>
  <c r="V39" i="1"/>
  <c r="Q39" i="1"/>
  <c r="P39" i="1"/>
  <c r="O39" i="1"/>
  <c r="X38" i="1"/>
  <c r="Y38" i="1" s="1"/>
  <c r="V38" i="1"/>
  <c r="Q38" i="1"/>
  <c r="P38" i="1"/>
  <c r="O38" i="1"/>
  <c r="X37" i="1"/>
  <c r="Y37" i="1" s="1"/>
  <c r="V37" i="1"/>
  <c r="Q37" i="1"/>
  <c r="P37" i="1"/>
  <c r="O37" i="1"/>
  <c r="X36" i="1"/>
  <c r="Y36" i="1" s="1"/>
  <c r="V36" i="1"/>
  <c r="Q36" i="1"/>
  <c r="P36" i="1"/>
  <c r="O36" i="1"/>
  <c r="X35" i="1"/>
  <c r="Y35" i="1" s="1"/>
  <c r="V35" i="1"/>
  <c r="Q35" i="1"/>
  <c r="P35" i="1"/>
  <c r="O35" i="1"/>
  <c r="X34" i="1"/>
  <c r="Y34" i="1" s="1"/>
  <c r="V34" i="1"/>
  <c r="Q34" i="1"/>
  <c r="P34" i="1"/>
  <c r="O34" i="1"/>
  <c r="X33" i="1"/>
  <c r="Y33" i="1" s="1"/>
  <c r="V33" i="1"/>
  <c r="Q33" i="1"/>
  <c r="P33" i="1"/>
  <c r="O33" i="1"/>
  <c r="X32" i="1"/>
  <c r="Y32" i="1" s="1"/>
  <c r="V32" i="1"/>
  <c r="P32" i="1"/>
  <c r="O32" i="1"/>
  <c r="Q32" i="1"/>
  <c r="V31" i="1"/>
  <c r="X31" i="1"/>
  <c r="Y31" i="1" s="1"/>
  <c r="O31" i="1"/>
  <c r="Q31" i="1"/>
  <c r="P31" i="1"/>
  <c r="V30" i="1"/>
  <c r="X30" i="1"/>
  <c r="Y30" i="1" s="1"/>
  <c r="Q30" i="1"/>
  <c r="P30" i="1"/>
  <c r="O30" i="1"/>
  <c r="X29" i="1"/>
  <c r="Y29" i="1" s="1"/>
  <c r="V29" i="1"/>
  <c r="Q29" i="1"/>
  <c r="P29" i="1"/>
  <c r="O29" i="1"/>
  <c r="V28" i="1"/>
  <c r="X28" i="1"/>
  <c r="Y28" i="1" s="1"/>
  <c r="O28" i="1"/>
  <c r="Q28" i="1"/>
  <c r="P28" i="1"/>
  <c r="X27" i="1"/>
  <c r="Y27" i="1" s="1"/>
  <c r="V27" i="1"/>
  <c r="Q27" i="1"/>
  <c r="P27" i="1"/>
  <c r="O27" i="1"/>
  <c r="X26" i="1"/>
  <c r="Y26" i="1" s="1"/>
  <c r="V26" i="1"/>
  <c r="Q26" i="1"/>
  <c r="P26" i="1"/>
  <c r="O26" i="1"/>
  <c r="X25" i="1"/>
  <c r="Y25" i="1" s="1"/>
  <c r="V25" i="1"/>
  <c r="P25" i="1"/>
  <c r="O25" i="1"/>
  <c r="Q25" i="1"/>
  <c r="X24" i="1"/>
  <c r="Y24" i="1" s="1"/>
  <c r="V24" i="1"/>
  <c r="P24" i="1"/>
  <c r="Q24" i="1"/>
  <c r="O24" i="1"/>
  <c r="X23" i="1"/>
  <c r="Y23" i="1" s="1"/>
  <c r="V23" i="1"/>
  <c r="P23" i="1"/>
  <c r="O23" i="1"/>
  <c r="Q23" i="1"/>
  <c r="X22" i="1"/>
  <c r="Y22" i="1" s="1"/>
  <c r="V22" i="1"/>
  <c r="Q22" i="1"/>
  <c r="P22" i="1"/>
  <c r="O22" i="1"/>
  <c r="V21" i="1"/>
  <c r="X21" i="1"/>
  <c r="Y21" i="1" s="1"/>
  <c r="Q21" i="1"/>
  <c r="O21" i="1"/>
  <c r="P21" i="1"/>
  <c r="X20" i="1"/>
  <c r="Y20" i="1" s="1"/>
  <c r="V20" i="1"/>
  <c r="Q20" i="1"/>
  <c r="P20" i="1"/>
  <c r="O20" i="1"/>
  <c r="X19" i="1"/>
  <c r="Y19" i="1" s="1"/>
  <c r="V19" i="1"/>
  <c r="Q19" i="1"/>
  <c r="P19" i="1"/>
  <c r="O19" i="1"/>
  <c r="X18" i="1"/>
  <c r="Y18" i="1" s="1"/>
  <c r="V18" i="1"/>
  <c r="P18" i="1"/>
  <c r="O18" i="1"/>
  <c r="Q18" i="1"/>
  <c r="X17" i="1"/>
  <c r="Y17" i="1" s="1"/>
  <c r="V17" i="1"/>
  <c r="Q17" i="1"/>
  <c r="P17" i="1"/>
  <c r="O17" i="1"/>
  <c r="X16" i="1"/>
  <c r="Y16" i="1" s="1"/>
  <c r="V16" i="1"/>
  <c r="P16" i="1"/>
  <c r="O16" i="1"/>
  <c r="Q16" i="1"/>
  <c r="V15" i="1"/>
  <c r="X15" i="1"/>
  <c r="Y15" i="1" s="1"/>
  <c r="Q15" i="1"/>
  <c r="P15" i="1"/>
  <c r="O15" i="1"/>
  <c r="X14" i="1"/>
  <c r="Y14" i="1" s="1"/>
  <c r="V14" i="1"/>
  <c r="Q14" i="1"/>
  <c r="P14" i="1"/>
  <c r="O14" i="1"/>
  <c r="X13" i="1"/>
  <c r="Y13" i="1" s="1"/>
  <c r="V13" i="1"/>
  <c r="P13" i="1"/>
  <c r="Q13" i="1"/>
  <c r="O13" i="1"/>
  <c r="X12" i="1"/>
  <c r="Y12" i="1" s="1"/>
  <c r="V12" i="1"/>
  <c r="Q12" i="1"/>
  <c r="P12" i="1"/>
  <c r="O12" i="1"/>
  <c r="X11" i="1"/>
  <c r="Y11" i="1" s="1"/>
  <c r="V11" i="1"/>
  <c r="Q11" i="1"/>
  <c r="P11" i="1"/>
  <c r="O11" i="1"/>
  <c r="X10" i="1"/>
  <c r="Y10" i="1" s="1"/>
  <c r="V10" i="1"/>
  <c r="Q10" i="1"/>
  <c r="P10" i="1"/>
  <c r="O10" i="1"/>
  <c r="V9" i="1"/>
  <c r="X9" i="1"/>
  <c r="Y9" i="1" s="1"/>
  <c r="P9" i="1"/>
  <c r="O9" i="1"/>
  <c r="Q9" i="1"/>
  <c r="V8" i="1"/>
  <c r="X8" i="1"/>
  <c r="Y8" i="1" s="1"/>
  <c r="O8" i="1"/>
  <c r="Q8" i="1"/>
  <c r="P8" i="1"/>
  <c r="X7" i="1"/>
  <c r="Y7" i="1" s="1"/>
  <c r="V7" i="1"/>
  <c r="Q7" i="1"/>
  <c r="P7" i="1"/>
  <c r="O7" i="1"/>
  <c r="X6" i="1"/>
  <c r="Y6" i="1" s="1"/>
  <c r="V6" i="1"/>
  <c r="Q6" i="1"/>
  <c r="P6" i="1"/>
  <c r="O6" i="1"/>
  <c r="X5" i="1"/>
  <c r="Y5" i="1" s="1"/>
  <c r="V5" i="1"/>
  <c r="Q5" i="1"/>
  <c r="P5" i="1"/>
  <c r="O5" i="1"/>
  <c r="X4" i="1"/>
  <c r="Y4" i="1" s="1"/>
  <c r="V4" i="1"/>
  <c r="P4" i="1"/>
  <c r="O4" i="1"/>
  <c r="Q4" i="1"/>
  <c r="V3" i="1"/>
  <c r="X3" i="1"/>
  <c r="Y3" i="1" s="1"/>
  <c r="P3" i="1"/>
  <c r="O3" i="1"/>
  <c r="Q3" i="1"/>
  <c r="V2" i="1"/>
  <c r="X2" i="1"/>
  <c r="Y2" i="1" s="1"/>
  <c r="P2" i="1"/>
  <c r="O2" i="1"/>
  <c r="Q2" i="1"/>
</calcChain>
</file>

<file path=xl/sharedStrings.xml><?xml version="1.0" encoding="utf-8"?>
<sst xmlns="http://schemas.openxmlformats.org/spreadsheetml/2006/main" count="9385" uniqueCount="1806">
  <si>
    <t>Production_Record_ID</t>
  </si>
  <si>
    <t>Production_Order_ID</t>
  </si>
  <si>
    <t>Date</t>
  </si>
  <si>
    <t>Shift_ID</t>
  </si>
  <si>
    <t>Machine_ID</t>
  </si>
  <si>
    <t>Product_ID</t>
  </si>
  <si>
    <t>Operator_ID</t>
  </si>
  <si>
    <t>Actual_Qty</t>
  </si>
  <si>
    <t>Good_Qty</t>
  </si>
  <si>
    <t>Reject_Qty</t>
  </si>
  <si>
    <t>Ideal_Cycle_Time_sec</t>
  </si>
  <si>
    <t>Cycle_Time_sec</t>
  </si>
  <si>
    <t>Running_Time_min</t>
  </si>
  <si>
    <t>Planned_Production</t>
  </si>
  <si>
    <t>Production Achievement %</t>
  </si>
  <si>
    <t>ProductionCheck</t>
  </si>
  <si>
    <t>Production Loss</t>
  </si>
  <si>
    <t>Reject_rate%</t>
  </si>
  <si>
    <t>Operational_Time_min</t>
  </si>
  <si>
    <t>Performance_%</t>
  </si>
  <si>
    <t>Quality_%</t>
  </si>
  <si>
    <t>Check_Performance</t>
  </si>
  <si>
    <t>Check_Quality</t>
  </si>
  <si>
    <t>OEE_%</t>
  </si>
  <si>
    <t>OEE_Check</t>
  </si>
  <si>
    <t>PR000001</t>
  </si>
  <si>
    <t>PO10001</t>
  </si>
  <si>
    <t>S03</t>
  </si>
  <si>
    <t>M001</t>
  </si>
  <si>
    <t>P002</t>
  </si>
  <si>
    <t>OP007</t>
  </si>
  <si>
    <t>PR000002</t>
  </si>
  <si>
    <t>M002</t>
  </si>
  <si>
    <t>OP002</t>
  </si>
  <si>
    <t>PR000003</t>
  </si>
  <si>
    <t>M003</t>
  </si>
  <si>
    <t>OP005</t>
  </si>
  <si>
    <t>PR000004</t>
  </si>
  <si>
    <t>M004</t>
  </si>
  <si>
    <t>OP003</t>
  </si>
  <si>
    <t>PR000005</t>
  </si>
  <si>
    <t>M005</t>
  </si>
  <si>
    <t>PR000006</t>
  </si>
  <si>
    <t>M006</t>
  </si>
  <si>
    <t>OP012</t>
  </si>
  <si>
    <t>PR000007</t>
  </si>
  <si>
    <t>M007</t>
  </si>
  <si>
    <t>OP006</t>
  </si>
  <si>
    <t>PR000008</t>
  </si>
  <si>
    <t>M008</t>
  </si>
  <si>
    <t>OP001</t>
  </si>
  <si>
    <t>PR000009</t>
  </si>
  <si>
    <t>PO10002</t>
  </si>
  <si>
    <t>S01</t>
  </si>
  <si>
    <t>P001</t>
  </si>
  <si>
    <t>OP004</t>
  </si>
  <si>
    <t>PR000010</t>
  </si>
  <si>
    <t>OP011</t>
  </si>
  <si>
    <t>PR000011</t>
  </si>
  <si>
    <t>PR000012</t>
  </si>
  <si>
    <t>PR000013</t>
  </si>
  <si>
    <t>OP010</t>
  </si>
  <si>
    <t>PR000014</t>
  </si>
  <si>
    <t>PR000015</t>
  </si>
  <si>
    <t>PR000016</t>
  </si>
  <si>
    <t>PR000017</t>
  </si>
  <si>
    <t>PO10003</t>
  </si>
  <si>
    <t>S02</t>
  </si>
  <si>
    <t>PR000018</t>
  </si>
  <si>
    <t>PR000019</t>
  </si>
  <si>
    <t>PR000020</t>
  </si>
  <si>
    <t>OP009</t>
  </si>
  <si>
    <t>PR000021</t>
  </si>
  <si>
    <t>PR000022</t>
  </si>
  <si>
    <t>PR000023</t>
  </si>
  <si>
    <t>OP008</t>
  </si>
  <si>
    <t>PR000024</t>
  </si>
  <si>
    <t>PR000025</t>
  </si>
  <si>
    <t>PO10004</t>
  </si>
  <si>
    <t>PR000026</t>
  </si>
  <si>
    <t>PR000027</t>
  </si>
  <si>
    <t>PR000028</t>
  </si>
  <si>
    <t>PR000029</t>
  </si>
  <si>
    <t>PR000030</t>
  </si>
  <si>
    <t>PR000031</t>
  </si>
  <si>
    <t>PR000032</t>
  </si>
  <si>
    <t>PR000033</t>
  </si>
  <si>
    <t>PO10005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</si>
  <si>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</si>
  <si>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</si>
  <si>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</si>
  <si>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</si>
  <si>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</si>
  <si>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</si>
  <si>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</si>
  <si>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</si>
  <si>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PO10006</t>
  </si>
  <si>
    <t>P003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</si>
  <si>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</si>
  <si>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</si>
  <si>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</si>
  <si>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</si>
  <si>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</si>
  <si>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</si>
  <si>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</si>
  <si>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</si>
  <si>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PO10007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</si>
  <si>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</si>
  <si>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</si>
  <si>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</si>
  <si>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</si>
  <si>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</si>
  <si>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</si>
  <si>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</si>
  <si>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</si>
  <si>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PO10008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</si>
  <si>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</si>
  <si>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</si>
  <si>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</si>
  <si>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</si>
  <si>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</si>
  <si>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</si>
  <si>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</si>
  <si>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</si>
  <si>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PO10009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</si>
  <si>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</si>
  <si>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</si>
  <si>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</si>
  <si>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</si>
  <si>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</si>
  <si>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</si>
  <si>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</si>
  <si>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</si>
  <si>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PO10010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</si>
  <si>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</si>
  <si>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</si>
  <si>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</si>
  <si>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</si>
  <si>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</si>
  <si>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</si>
  <si>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</si>
  <si>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</si>
  <si>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PO10011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</si>
  <si>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</si>
  <si>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</si>
  <si>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</si>
  <si>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</si>
  <si>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</si>
  <si>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</si>
  <si>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</si>
  <si>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</si>
  <si>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PO10012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</si>
  <si>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</si>
  <si>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</si>
  <si>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</si>
  <si>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</si>
  <si>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</si>
  <si>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</si>
  <si>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</si>
  <si>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</si>
  <si>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PO10013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</si>
  <si>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</si>
  <si>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</si>
  <si>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</si>
  <si>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</si>
  <si>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</si>
  <si>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</si>
  <si>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</si>
  <si>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</si>
  <si>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PO10014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</si>
  <si>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</si>
  <si>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</si>
  <si>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</si>
  <si>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</si>
  <si>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</si>
  <si>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</si>
  <si>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</si>
  <si>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</si>
  <si>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PO10015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</si>
  <si>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</si>
  <si>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</si>
  <si>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</si>
  <si>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</si>
  <si>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</si>
  <si>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</si>
  <si>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</si>
  <si>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</si>
  <si>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PO10016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</si>
  <si>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</si>
  <si>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</si>
  <si>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</si>
  <si>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</si>
  <si>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</si>
  <si>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</si>
  <si>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</si>
  <si>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</si>
  <si>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PO10017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</si>
  <si>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</si>
  <si>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</si>
  <si>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</si>
  <si>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</si>
  <si>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</si>
  <si>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</si>
  <si>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</si>
  <si>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</si>
  <si>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PO10018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</si>
  <si>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</si>
  <si>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</si>
  <si>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</si>
  <si>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</si>
  <si>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</si>
  <si>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</si>
  <si>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</si>
  <si>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</si>
  <si>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PO10019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</si>
  <si>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</si>
  <si>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</si>
  <si>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</si>
  <si>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</si>
  <si>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</si>
  <si>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</si>
  <si>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</si>
  <si>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</si>
  <si>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PO10020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</si>
  <si>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</si>
  <si>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</si>
  <si>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</si>
  <si>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</si>
  <si>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</si>
  <si>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</si>
  <si>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</si>
  <si>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</si>
  <si>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PO10021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</si>
  <si>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</si>
  <si>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</si>
  <si>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</si>
  <si>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</si>
  <si>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</si>
  <si>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</si>
  <si>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</si>
  <si>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</si>
  <si>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PO10022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</si>
  <si>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</si>
  <si>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</si>
  <si>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</si>
  <si>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</si>
  <si>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</si>
  <si>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</si>
  <si>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</si>
  <si>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</si>
  <si>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PO10023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</si>
  <si>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</si>
  <si>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</si>
  <si>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</si>
  <si>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</si>
  <si>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</si>
  <si>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</si>
  <si>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</si>
  <si>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</si>
  <si>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PO10024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</si>
  <si>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</si>
  <si>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</si>
  <si>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</si>
  <si>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</si>
  <si>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</si>
  <si>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</si>
  <si>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</si>
  <si>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</si>
  <si>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PO10025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</si>
  <si>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</si>
  <si>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</si>
  <si>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</si>
  <si>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</si>
  <si>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</si>
  <si>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</si>
  <si>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</si>
  <si>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</si>
  <si>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PO10026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</si>
  <si>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</si>
  <si>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</si>
  <si>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</si>
  <si>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</si>
  <si>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</si>
  <si>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</si>
  <si>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</si>
  <si>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</si>
  <si>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PO10027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</si>
  <si>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</si>
  <si>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</si>
  <si>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</si>
  <si>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</si>
  <si>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</si>
  <si>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</si>
  <si>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</si>
  <si>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</si>
  <si>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PO10028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</si>
  <si>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</si>
  <si>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</si>
  <si>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</si>
  <si>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</si>
  <si>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</si>
  <si>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</si>
  <si>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</si>
  <si>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</si>
  <si>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PO10029</t>
  </si>
  <si>
    <t>PR000226</t>
  </si>
  <si>
    <t>PR000227</t>
  </si>
  <si>
    <t>PR000228</t>
  </si>
  <si>
    <t>PR000229</t>
  </si>
  <si>
    <t>PR000230</t>
  </si>
  <si>
    <t>PR000231</t>
  </si>
  <si>
    <t>PR000232</t>
  </si>
  <si>
    <t>PR000233</t>
  </si>
  <si>
    <t>PO10030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</si>
  <si>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</si>
  <si>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</si>
  <si>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</si>
  <si>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</si>
  <si>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</si>
  <si>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</si>
  <si>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</si>
  <si>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</si>
  <si>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PO10031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</si>
  <si>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</si>
  <si>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</si>
  <si>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</si>
  <si>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</si>
  <si>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</si>
  <si>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</si>
  <si>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</si>
  <si>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</si>
  <si>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PO10032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</si>
  <si>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</si>
  <si>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</si>
  <si>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</si>
  <si>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</si>
  <si>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</si>
  <si>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</si>
  <si>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</si>
  <si>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</si>
  <si>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PO10033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</si>
  <si>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</si>
  <si>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</si>
  <si>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</si>
  <si>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</si>
  <si>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</si>
  <si>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</si>
  <si>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</si>
  <si>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</si>
  <si>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PO10034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</si>
  <si>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</si>
  <si>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</si>
  <si>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</si>
  <si>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</si>
  <si>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</si>
  <si>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</si>
  <si>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</si>
  <si>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</si>
  <si>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PO10035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</si>
  <si>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</si>
  <si>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</si>
  <si>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</si>
  <si>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</si>
  <si>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</si>
  <si>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</si>
  <si>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</si>
  <si>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</si>
  <si>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PO10036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</si>
  <si>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</si>
  <si>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</si>
  <si>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</si>
  <si>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</si>
  <si>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</si>
  <si>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</si>
  <si>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</si>
  <si>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</si>
  <si>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PO10037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</si>
  <si>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</si>
  <si>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</si>
  <si>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</si>
  <si>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</si>
  <si>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</si>
  <si>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</si>
  <si>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</si>
  <si>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</si>
  <si>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PO10038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</si>
  <si>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</si>
  <si>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</si>
  <si>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</si>
  <si>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</si>
  <si>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</si>
  <si>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</si>
  <si>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</si>
  <si>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</si>
  <si>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PO10039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</si>
  <si>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</si>
  <si>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</si>
  <si>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</si>
  <si>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</si>
  <si>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</si>
  <si>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</si>
  <si>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</si>
  <si>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</si>
  <si>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PO10040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</si>
  <si>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</si>
  <si>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</si>
  <si>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</si>
  <si>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</si>
  <si>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</si>
  <si>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</si>
  <si>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</si>
  <si>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</si>
  <si>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PO10041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</si>
  <si>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</si>
  <si>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</si>
  <si>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</si>
  <si>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</si>
  <si>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</si>
  <si>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</si>
  <si>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</si>
  <si>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</si>
  <si>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PO10042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</si>
  <si>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</si>
  <si>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</si>
  <si>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</si>
  <si>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</si>
  <si>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</si>
  <si>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</si>
  <si>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</si>
  <si>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</si>
  <si>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PO10043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</si>
  <si>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</si>
  <si>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</si>
  <si>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</si>
  <si>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</si>
  <si>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</si>
  <si>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</si>
  <si>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</si>
  <si>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</si>
  <si>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PO10044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</si>
  <si>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</si>
  <si>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</si>
  <si>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</si>
  <si>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</si>
  <si>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</si>
  <si>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</si>
  <si>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</si>
  <si>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</si>
  <si>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PO10045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</si>
  <si>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</si>
  <si>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</si>
  <si>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</si>
  <si>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</si>
  <si>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</si>
  <si>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</si>
  <si>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</si>
  <si>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</si>
  <si>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PO10046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</si>
  <si>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</si>
  <si>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</si>
  <si>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</si>
  <si>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</si>
  <si>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</si>
  <si>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</si>
  <si>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</si>
  <si>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</si>
  <si>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PO10047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</si>
  <si>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</si>
  <si>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</si>
  <si>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</si>
  <si>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</si>
  <si>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</si>
  <si>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</si>
  <si>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</si>
  <si>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</si>
  <si>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PO10048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</si>
  <si>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</si>
  <si>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</si>
  <si>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</si>
  <si>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</si>
  <si>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</si>
  <si>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</si>
  <si>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</si>
  <si>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</si>
  <si>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PO10049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</si>
  <si>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</si>
  <si>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</si>
  <si>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</si>
  <si>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</si>
  <si>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</si>
  <si>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</si>
  <si>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</si>
  <si>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</si>
  <si>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PO10050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</si>
  <si>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</si>
  <si>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</si>
  <si>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</si>
  <si>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</si>
  <si>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</si>
  <si>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</si>
  <si>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</si>
  <si>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</si>
  <si>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PO10051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</si>
  <si>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</si>
  <si>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</si>
  <si>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</si>
  <si>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</si>
  <si>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</si>
  <si>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</si>
  <si>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</si>
  <si>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</si>
  <si>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PO10052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</si>
  <si>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</si>
  <si>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</si>
  <si>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</si>
  <si>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</si>
  <si>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</si>
  <si>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</si>
  <si>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</si>
  <si>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</si>
  <si>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PO10053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</si>
  <si>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</si>
  <si>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</si>
  <si>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</si>
  <si>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</si>
  <si>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</si>
  <si>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</si>
  <si>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</si>
  <si>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</si>
  <si>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PO10054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</si>
  <si>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</si>
  <si>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</si>
  <si>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</si>
  <si>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</si>
  <si>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</si>
  <si>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</si>
  <si>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</si>
  <si>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</si>
  <si>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PO10055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</si>
  <si>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</si>
  <si>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</si>
  <si>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</si>
  <si>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</si>
  <si>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</si>
  <si>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</si>
  <si>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</si>
  <si>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</si>
  <si>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PO10056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</si>
  <si>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</si>
  <si>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</si>
  <si>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</si>
  <si>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</si>
  <si>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</si>
  <si>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</si>
  <si>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</si>
  <si>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</si>
  <si>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PO10057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</si>
  <si>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</si>
  <si>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</si>
  <si>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</si>
  <si>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</si>
  <si>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</si>
  <si>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</si>
  <si>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</si>
  <si>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</si>
  <si>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PO10058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</si>
  <si>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</si>
  <si>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</si>
  <si>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</si>
  <si>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</si>
  <si>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</si>
  <si>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</si>
  <si>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</si>
  <si>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</si>
  <si>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PO10059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</si>
  <si>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</si>
  <si>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</si>
  <si>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</si>
  <si>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</si>
  <si>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</si>
  <si>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</si>
  <si>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</si>
  <si>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</si>
  <si>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PO10060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</si>
  <si>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</si>
  <si>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</si>
  <si>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</si>
  <si>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</si>
  <si>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</si>
  <si>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</si>
  <si>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</si>
  <si>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</si>
  <si>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PO10061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</si>
  <si>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</si>
  <si>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</si>
  <si>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</si>
  <si>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</si>
  <si>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</si>
  <si>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</si>
  <si>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</si>
  <si>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</si>
  <si>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PO10062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</si>
  <si>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</si>
  <si>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</si>
  <si>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</si>
  <si>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</si>
  <si>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</si>
  <si>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</si>
  <si>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</si>
  <si>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</si>
  <si>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PO10063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</si>
  <si>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</si>
  <si>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</si>
  <si>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</si>
  <si>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</si>
  <si>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</si>
  <si>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</si>
  <si>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</si>
  <si>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</si>
  <si>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PO10064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</si>
  <si>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</si>
  <si>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</si>
  <si>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</si>
  <si>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</si>
  <si>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</si>
  <si>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</si>
  <si>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</si>
  <si>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</si>
  <si>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PO10065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</si>
  <si>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</si>
  <si>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</si>
  <si>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</si>
  <si>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</si>
  <si>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</si>
  <si>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</si>
  <si>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</si>
  <si>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</si>
  <si>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PO10066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</si>
  <si>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</si>
  <si>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</si>
  <si>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</si>
  <si>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</si>
  <si>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</si>
  <si>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</si>
  <si>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</si>
  <si>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</si>
  <si>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PO10067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</si>
  <si>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</si>
  <si>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</si>
  <si>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</si>
  <si>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</si>
  <si>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</si>
  <si>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</si>
  <si>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</si>
  <si>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</si>
  <si>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PO10068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</si>
  <si>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</si>
  <si>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</si>
  <si>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</si>
  <si>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</si>
  <si>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</si>
  <si>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</si>
  <si>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</si>
  <si>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</si>
  <si>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PO10069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</si>
  <si>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</si>
  <si>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</si>
  <si>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</si>
  <si>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</si>
  <si>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</si>
  <si>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</si>
  <si>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</si>
  <si>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</si>
  <si>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PO10070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</si>
  <si>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</si>
  <si>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</si>
  <si>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</si>
  <si>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</si>
  <si>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</si>
  <si>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</si>
  <si>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</si>
  <si>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</si>
  <si>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PO10071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</si>
  <si>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</si>
  <si>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</si>
  <si>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</si>
  <si>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</si>
  <si>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</si>
  <si>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</si>
  <si>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</si>
  <si>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</si>
  <si>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PO10072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</si>
  <si>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</si>
  <si>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</si>
  <si>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</si>
  <si>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</si>
  <si>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</si>
  <si>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</si>
  <si>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</si>
  <si>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</si>
  <si>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PO10073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</si>
  <si>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</si>
  <si>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</si>
  <si>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</si>
  <si>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</si>
  <si>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</si>
  <si>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</si>
  <si>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</si>
  <si>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</si>
  <si>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PO10074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</si>
  <si>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</si>
  <si>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</si>
  <si>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</si>
  <si>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</si>
  <si>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</si>
  <si>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</si>
  <si>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</si>
  <si>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</si>
  <si>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PO10075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</si>
  <si>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</si>
  <si>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</si>
  <si>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</si>
  <si>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</si>
  <si>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</si>
  <si>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</si>
  <si>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</si>
  <si>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</si>
  <si>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PO10076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</si>
  <si>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</si>
  <si>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</si>
  <si>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</si>
  <si>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</si>
  <si>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</si>
  <si>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</si>
  <si>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</si>
  <si>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</si>
  <si>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PO10077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</si>
  <si>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</si>
  <si>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</si>
  <si>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</si>
  <si>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</si>
  <si>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</si>
  <si>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</si>
  <si>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</si>
  <si>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</si>
  <si>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PO10078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</si>
  <si>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</si>
  <si>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</si>
  <si>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</si>
  <si>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</si>
  <si>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</si>
  <si>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</si>
  <si>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</si>
  <si>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</si>
  <si>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PO10079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</si>
  <si>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</si>
  <si>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</si>
  <si>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</si>
  <si>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</si>
  <si>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</si>
  <si>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</si>
  <si>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</si>
  <si>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</si>
  <si>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PO10080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</si>
  <si>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</si>
  <si>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</si>
  <si>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</si>
  <si>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</si>
  <si>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</si>
  <si>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</si>
  <si>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</si>
  <si>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</si>
  <si>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PO10081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</si>
  <si>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</si>
  <si>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</si>
  <si>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</si>
  <si>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</si>
  <si>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</si>
  <si>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</si>
  <si>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</si>
  <si>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</si>
  <si>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PO10082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</si>
  <si>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</si>
  <si>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</si>
  <si>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</si>
  <si>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</si>
  <si>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</si>
  <si>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</si>
  <si>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</si>
  <si>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</si>
  <si>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PO10083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</si>
  <si>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</si>
  <si>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</si>
  <si>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</si>
  <si>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</si>
  <si>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</si>
  <si>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</si>
  <si>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</si>
  <si>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</si>
  <si>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PO10084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</si>
  <si>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</si>
  <si>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</si>
  <si>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</si>
  <si>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</si>
  <si>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</si>
  <si>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</si>
  <si>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</si>
  <si>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</si>
  <si>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PO10085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</si>
  <si>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</si>
  <si>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</si>
  <si>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</si>
  <si>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</si>
  <si>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</si>
  <si>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</si>
  <si>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</si>
  <si>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</si>
  <si>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PO10086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</si>
  <si>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</si>
  <si>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</si>
  <si>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</si>
  <si>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</si>
  <si>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</si>
  <si>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</si>
  <si>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</si>
  <si>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</si>
  <si>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PO10087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</si>
  <si>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</si>
  <si>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</si>
  <si>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</si>
  <si>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</si>
  <si>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</si>
  <si>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</si>
  <si>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</si>
  <si>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</si>
  <si>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PO10088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</si>
  <si>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</si>
  <si>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</si>
  <si>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</si>
  <si>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</si>
  <si>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</si>
  <si>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</si>
  <si>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</si>
  <si>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</si>
  <si>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PO10089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</si>
  <si>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</si>
  <si>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</si>
  <si>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</si>
  <si>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</si>
  <si>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</si>
  <si>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</si>
  <si>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</si>
  <si>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</si>
  <si>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PO10090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</si>
  <si>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</si>
  <si>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</si>
  <si>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</si>
  <si>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</si>
  <si>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</si>
  <si>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</si>
  <si>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</si>
  <si>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</si>
  <si>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PO10091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</si>
  <si>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</si>
  <si>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</si>
  <si>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</si>
  <si>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</si>
  <si>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</si>
  <si>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</si>
  <si>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</si>
  <si>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</si>
  <si>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PO10092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</si>
  <si>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</si>
  <si>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</si>
  <si>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</si>
  <si>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</si>
  <si>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</si>
  <si>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</si>
  <si>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</si>
  <si>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</si>
  <si>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PO10093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</si>
  <si>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</si>
  <si>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</si>
  <si>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</si>
  <si>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</si>
  <si>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</si>
  <si>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</si>
  <si>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</si>
  <si>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</si>
  <si>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PO10094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</si>
  <si>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</si>
  <si>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</si>
  <si>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</si>
  <si>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</si>
  <si>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</si>
  <si>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</si>
  <si>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</si>
  <si>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</si>
  <si>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PO10095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</si>
  <si>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</si>
  <si>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</si>
  <si>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</si>
  <si>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</si>
  <si>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</si>
  <si>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</si>
  <si>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</si>
  <si>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</si>
  <si>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PO10096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</si>
  <si>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</si>
  <si>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</si>
  <si>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</si>
  <si>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</si>
  <si>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</si>
  <si>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</si>
  <si>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</si>
  <si>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</si>
  <si>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PO10097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</si>
  <si>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</si>
  <si>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</si>
  <si>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</si>
  <si>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</si>
  <si>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</si>
  <si>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</si>
  <si>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</si>
  <si>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</si>
  <si>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PO10098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</si>
  <si>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</si>
  <si>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</si>
  <si>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</si>
  <si>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</si>
  <si>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</si>
  <si>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</si>
  <si>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</si>
  <si>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</si>
  <si>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PO10099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</si>
  <si>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</si>
  <si>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</si>
  <si>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</si>
  <si>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</si>
  <si>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</si>
  <si>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</si>
  <si>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</si>
  <si>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</si>
  <si>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PO10100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</si>
  <si>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</si>
  <si>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</si>
  <si>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</si>
  <si>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</si>
  <si>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</si>
  <si>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</si>
  <si>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</si>
  <si>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</si>
  <si>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PO10101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</si>
  <si>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</si>
  <si>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</si>
  <si>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</si>
  <si>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</si>
  <si>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</si>
  <si>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</si>
  <si>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</si>
  <si>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</si>
  <si>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PO10102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</si>
  <si>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</si>
  <si>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</si>
  <si>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</si>
  <si>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</si>
  <si>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</si>
  <si>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</si>
  <si>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</si>
  <si>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</si>
  <si>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PO10103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</si>
  <si>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</si>
  <si>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</si>
  <si>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</si>
  <si>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</si>
  <si>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</si>
  <si>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</si>
  <si>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</si>
  <si>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</si>
  <si>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PO10104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</si>
  <si>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</si>
  <si>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</si>
  <si>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</si>
  <si>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</si>
  <si>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</si>
  <si>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</si>
  <si>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</si>
  <si>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</si>
  <si>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PO10105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</si>
  <si>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</si>
  <si>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</si>
  <si>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</si>
  <si>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</si>
  <si>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</si>
  <si>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</si>
  <si>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</si>
  <si>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</si>
  <si>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PO10106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</si>
  <si>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</si>
  <si>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</si>
  <si>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</si>
  <si>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</si>
  <si>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</si>
  <si>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</si>
  <si>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</si>
  <si>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</si>
  <si>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PO10107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</si>
  <si>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</si>
  <si>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</si>
  <si>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</si>
  <si>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</si>
  <si>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</si>
  <si>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</si>
  <si>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</si>
  <si>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</si>
  <si>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PO10108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</si>
  <si>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</si>
  <si>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</si>
  <si>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</si>
  <si>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</si>
  <si>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</si>
  <si>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</si>
  <si>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</si>
  <si>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</si>
  <si>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PO10109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</si>
  <si>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</si>
  <si>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</si>
  <si>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</si>
  <si>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</si>
  <si>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</si>
  <si>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</si>
  <si>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</si>
  <si>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</si>
  <si>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PO10110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</si>
  <si>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</si>
  <si>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</si>
  <si>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</si>
  <si>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</si>
  <si>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</si>
  <si>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</si>
  <si>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</si>
  <si>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</si>
  <si>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PO10111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</si>
  <si>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</si>
  <si>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</si>
  <si>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</si>
  <si>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</si>
  <si>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</si>
  <si>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</si>
  <si>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</si>
  <si>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</si>
  <si>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PO10112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</si>
  <si>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</si>
  <si>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</si>
  <si>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</si>
  <si>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</si>
  <si>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</si>
  <si>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</si>
  <si>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</si>
  <si>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</si>
  <si>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PO10113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</si>
  <si>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</si>
  <si>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</si>
  <si>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</si>
  <si>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</si>
  <si>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</si>
  <si>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</si>
  <si>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</si>
  <si>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</si>
  <si>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PO10114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</si>
  <si>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</si>
  <si>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</si>
  <si>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</si>
  <si>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</si>
  <si>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</si>
  <si>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</si>
  <si>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</si>
  <si>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</si>
  <si>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PO10115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</si>
  <si>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</si>
  <si>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</si>
  <si>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</si>
  <si>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</si>
  <si>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</si>
  <si>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</si>
  <si>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</si>
  <si>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</si>
  <si>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PO10116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</si>
  <si>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</si>
  <si>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</si>
  <si>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</si>
  <si>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</si>
  <si>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</si>
  <si>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</si>
  <si>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</si>
  <si>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</si>
  <si>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PO10117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</si>
  <si>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</si>
  <si>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</si>
  <si>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</si>
  <si>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</si>
  <si>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</si>
  <si>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</si>
  <si>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</si>
  <si>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</si>
  <si>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PO10118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</si>
  <si>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</si>
  <si>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</si>
  <si>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</si>
  <si>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</si>
  <si>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</si>
  <si>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</si>
  <si>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</si>
  <si>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</si>
  <si>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PO10119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</si>
  <si>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</si>
  <si>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</si>
  <si>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</si>
  <si>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</si>
  <si>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</si>
  <si>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</si>
  <si>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</si>
  <si>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</si>
  <si>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PO10120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</si>
  <si>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</si>
  <si>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</si>
  <si>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</si>
  <si>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</si>
  <si>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</si>
  <si>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</si>
  <si>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</si>
  <si>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</si>
  <si>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PO10121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</si>
  <si>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</si>
  <si>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</si>
  <si>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</si>
  <si>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</si>
  <si>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</si>
  <si>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</si>
  <si>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</si>
  <si>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</si>
  <si>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PO10122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</si>
  <si>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</si>
  <si>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</si>
  <si>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</si>
  <si>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</si>
  <si>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</si>
  <si>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</si>
  <si>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</si>
  <si>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</si>
  <si>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PO10123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</si>
  <si>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</si>
  <si>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</si>
  <si>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</si>
  <si>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</si>
  <si>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</si>
  <si>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</si>
  <si>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</si>
  <si>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</si>
  <si>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PO10124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</si>
  <si>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</si>
  <si>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</si>
  <si>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</si>
  <si>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</si>
  <si>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</si>
  <si>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</si>
  <si>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</si>
  <si>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</si>
  <si>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PO10125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</si>
  <si>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</si>
  <si>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</si>
  <si>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</si>
  <si>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</si>
  <si>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</si>
  <si>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</si>
  <si>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</si>
  <si>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</si>
  <si>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PO10126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</si>
  <si>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</si>
  <si>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</si>
  <si>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</si>
  <si>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</si>
  <si>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</si>
  <si>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</si>
  <si>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</si>
  <si>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</si>
  <si>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PO10127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</si>
  <si>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</si>
  <si>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</si>
  <si>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</si>
  <si>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</si>
  <si>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</si>
  <si>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</si>
  <si>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</si>
  <si>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</si>
  <si>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PO10128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</si>
  <si>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</si>
  <si>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</si>
  <si>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</si>
  <si>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</si>
  <si>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</si>
  <si>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</si>
  <si>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</si>
  <si>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</si>
  <si>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PO10129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</si>
  <si>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</si>
  <si>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</si>
  <si>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</si>
  <si>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</si>
  <si>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</si>
  <si>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</si>
  <si>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</si>
  <si>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</si>
  <si>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PO10130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</si>
  <si>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</si>
  <si>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</si>
  <si>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</si>
  <si>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</si>
  <si>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</si>
  <si>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</si>
  <si>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</si>
  <si>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</si>
  <si>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PO10131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</si>
  <si>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</si>
  <si>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</si>
  <si>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</si>
  <si>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</si>
  <si>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</si>
  <si>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</si>
  <si>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</si>
  <si>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</si>
  <si>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PO10132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</si>
  <si>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</si>
  <si>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</si>
  <si>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</si>
  <si>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</si>
  <si>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</si>
  <si>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</si>
  <si>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</si>
  <si>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</si>
  <si>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PO10133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</si>
  <si>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</si>
  <si>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</si>
  <si>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</si>
  <si>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</si>
  <si>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</si>
  <si>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</si>
  <si>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</si>
  <si>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</si>
  <si>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PO10134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</si>
  <si>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</si>
  <si>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</si>
  <si>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</si>
  <si>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</si>
  <si>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</si>
  <si>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</si>
  <si>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</si>
  <si>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</si>
  <si>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PO10135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</si>
  <si>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</si>
  <si>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</si>
  <si>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</si>
  <si>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</si>
  <si>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</si>
  <si>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</si>
  <si>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</si>
  <si>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</si>
  <si>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PO10136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</si>
  <si>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</si>
  <si>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</si>
  <si>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</si>
  <si>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</si>
  <si>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</si>
  <si>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</si>
  <si>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</si>
  <si>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</si>
  <si>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PO10137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</si>
  <si>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</si>
  <si>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</si>
  <si>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</si>
  <si>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</si>
  <si>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</si>
  <si>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</si>
  <si>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</si>
  <si>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</si>
  <si>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PO10138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</si>
  <si>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</si>
  <si>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</si>
  <si>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</si>
  <si>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</si>
  <si>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</si>
  <si>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</si>
  <si>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</si>
  <si>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</si>
  <si>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PO10139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</si>
  <si>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</si>
  <si>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</si>
  <si>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</si>
  <si>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</si>
  <si>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</si>
  <si>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</si>
  <si>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</si>
  <si>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</si>
  <si>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PO10140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</si>
  <si>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</si>
  <si>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</si>
  <si>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</si>
  <si>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</si>
  <si>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</si>
  <si>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</si>
  <si>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</si>
  <si>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</si>
  <si>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PO10141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</si>
  <si>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</si>
  <si>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</si>
  <si>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</si>
  <si>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</si>
  <si>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</si>
  <si>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</si>
  <si>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</si>
  <si>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</si>
  <si>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PO10142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</si>
  <si>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</si>
  <si>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</si>
  <si>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</si>
  <si>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</si>
  <si>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</si>
  <si>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</si>
  <si>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</si>
  <si>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</si>
  <si>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PO10143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</si>
  <si>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</si>
  <si>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</si>
  <si>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</si>
  <si>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</si>
  <si>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</si>
  <si>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</si>
  <si>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</si>
  <si>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</si>
  <si>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PO10144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</si>
  <si>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</si>
  <si>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</si>
  <si>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</si>
  <si>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</si>
  <si>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</si>
  <si>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</si>
  <si>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</si>
  <si>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</si>
  <si>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PO10145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</si>
  <si>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</si>
  <si>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</si>
  <si>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</si>
  <si>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</si>
  <si>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</si>
  <si>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</si>
  <si>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</si>
  <si>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</si>
  <si>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PO10146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</si>
  <si>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</si>
  <si>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</si>
  <si>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</si>
  <si>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</si>
  <si>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</si>
  <si>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</si>
  <si>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</si>
  <si>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</si>
  <si>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PO10147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</si>
  <si>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</si>
  <si>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</si>
  <si>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</si>
  <si>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</si>
  <si>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</si>
  <si>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</si>
  <si>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</si>
  <si>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</si>
  <si>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PO10148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</si>
  <si>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</si>
  <si>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</si>
  <si>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</si>
  <si>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</si>
  <si>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</si>
  <si>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</si>
  <si>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</si>
  <si>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</si>
  <si>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PO10149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</si>
  <si>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</si>
  <si>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</si>
  <si>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</si>
  <si>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</si>
  <si>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</si>
  <si>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</si>
  <si>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</si>
  <si>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</si>
  <si>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PO10150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</si>
  <si>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</si>
  <si>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</si>
  <si>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</si>
  <si>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</si>
  <si>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</si>
  <si>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</si>
  <si>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</si>
  <si>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</si>
  <si>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PO10151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</si>
  <si>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</si>
  <si>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</si>
  <si>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</si>
  <si>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</si>
  <si>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</si>
  <si>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</si>
  <si>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</si>
  <si>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</si>
  <si>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PO10152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</si>
  <si>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</si>
  <si>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</si>
  <si>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</si>
  <si>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</si>
  <si>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</si>
  <si>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</si>
  <si>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</si>
  <si>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</si>
  <si>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PO10153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</si>
  <si>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</si>
  <si>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</si>
  <si>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</si>
  <si>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</si>
  <si>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</si>
  <si>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</si>
  <si>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</si>
  <si>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</si>
  <si>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PO10154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</si>
  <si>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</si>
  <si>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</si>
  <si>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</si>
  <si>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</si>
  <si>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</si>
  <si>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</si>
  <si>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</si>
  <si>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</si>
  <si>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PO10155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</si>
  <si>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</si>
  <si>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</si>
  <si>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</si>
  <si>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</si>
  <si>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</si>
  <si>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</si>
  <si>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</si>
  <si>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</si>
  <si>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PO10156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</si>
  <si>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</si>
  <si>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</si>
  <si>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</si>
  <si>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</si>
  <si>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</si>
  <si>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</si>
  <si>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</si>
  <si>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</si>
  <si>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PO10157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</si>
  <si>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</si>
  <si>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</si>
  <si>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</si>
  <si>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</si>
  <si>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</si>
  <si>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</si>
  <si>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</si>
  <si>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</si>
  <si>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PO10158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</si>
  <si>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</si>
  <si>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</si>
  <si>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</si>
  <si>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</si>
  <si>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</si>
  <si>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</si>
  <si>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</si>
  <si>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</si>
  <si>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PO10159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</si>
  <si>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</si>
  <si>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</si>
  <si>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</si>
  <si>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</si>
  <si>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</si>
  <si>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</si>
  <si>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</si>
  <si>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</si>
  <si>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PO10160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</si>
  <si>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</si>
  <si>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</si>
  <si>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</si>
  <si>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</si>
  <si>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</si>
  <si>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</si>
  <si>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</si>
  <si>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</si>
  <si>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PO10161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</si>
  <si>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</si>
  <si>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</si>
  <si>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</si>
  <si>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</si>
  <si>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</si>
  <si>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</si>
  <si>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</si>
  <si>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</si>
  <si>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PO10162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</si>
  <si>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</si>
  <si>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</si>
  <si>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</si>
  <si>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</si>
  <si>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</si>
  <si>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</si>
  <si>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</si>
  <si>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</si>
  <si>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PO10163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</si>
  <si>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</si>
  <si>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</si>
  <si>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</si>
  <si>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</si>
  <si>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</si>
  <si>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</si>
  <si>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</si>
  <si>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</si>
  <si>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PO10164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</si>
  <si>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</si>
  <si>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</si>
  <si>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</si>
  <si>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</si>
  <si>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</si>
  <si>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</si>
  <si>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</si>
  <si>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</si>
  <si>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PO10165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</si>
  <si>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</si>
  <si>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</si>
  <si>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</si>
  <si>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</si>
  <si>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</si>
  <si>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</si>
  <si>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</si>
  <si>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</si>
  <si>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PO10166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</si>
  <si>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</si>
  <si>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</si>
  <si>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</si>
  <si>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</si>
  <si>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</si>
  <si>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</si>
  <si>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</si>
  <si>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</si>
  <si>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PO10167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</si>
  <si>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</si>
  <si>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</si>
  <si>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</si>
  <si>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</si>
  <si>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</si>
  <si>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</si>
  <si>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</si>
  <si>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</si>
  <si>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PO10168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</si>
  <si>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</si>
  <si>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</si>
  <si>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</si>
  <si>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</si>
  <si>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</si>
  <si>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</si>
  <si>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</si>
  <si>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</si>
  <si>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PO10169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</si>
  <si>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</si>
  <si>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</si>
  <si>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</si>
  <si>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</si>
  <si>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</si>
  <si>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</si>
  <si>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</si>
  <si>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</si>
  <si>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PO10170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</si>
  <si>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</si>
  <si>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</si>
  <si>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</si>
  <si>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</si>
  <si>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</si>
  <si>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</si>
  <si>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</si>
  <si>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</si>
  <si>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PO10171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</si>
  <si>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</si>
  <si>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</si>
  <si>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</si>
  <si>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</si>
  <si>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</si>
  <si>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</si>
  <si>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</si>
  <si>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</si>
  <si>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PO10172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</si>
  <si>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</si>
  <si>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</si>
  <si>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</si>
  <si>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</si>
  <si>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</si>
  <si>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</si>
  <si>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</si>
  <si>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</si>
  <si>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PO10173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</si>
  <si>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</si>
  <si>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</si>
  <si>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</si>
  <si>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</si>
  <si>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</si>
  <si>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</si>
  <si>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</si>
  <si>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</si>
  <si>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PO10174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</si>
  <si>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</si>
  <si>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</si>
  <si>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</si>
  <si>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</si>
  <si>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</si>
  <si>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</si>
  <si>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</si>
  <si>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</si>
  <si>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PO10175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</si>
  <si>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</si>
  <si>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</si>
  <si>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</si>
  <si>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</si>
  <si>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</si>
  <si>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</si>
  <si>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</si>
  <si>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</si>
  <si>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PO10176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</si>
  <si>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</si>
  <si>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</si>
  <si>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</si>
  <si>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</si>
  <si>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</si>
  <si>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</si>
  <si>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</si>
  <si>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</si>
  <si>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PO10177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</si>
  <si>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</si>
  <si>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</si>
  <si>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</si>
  <si>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</si>
  <si>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</si>
  <si>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</si>
  <si>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</si>
  <si>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</si>
  <si>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PO10178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</si>
  <si>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</si>
  <si>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</si>
  <si>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</si>
  <si>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</si>
  <si>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</si>
  <si>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</si>
  <si>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</si>
  <si>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</si>
  <si>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PO10179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</si>
  <si>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</si>
  <si>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</si>
  <si>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</si>
  <si>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</si>
  <si>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</si>
  <si>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</si>
  <si>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</si>
  <si>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</si>
  <si>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PO10180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</si>
  <si>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</si>
  <si>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</si>
  <si>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</si>
  <si>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</si>
  <si>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</si>
  <si>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</si>
  <si>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</si>
  <si>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</si>
  <si>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PO10181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</si>
  <si>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</si>
  <si>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</si>
  <si>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</si>
  <si>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</si>
  <si>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</si>
  <si>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</si>
  <si>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</si>
  <si>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</si>
  <si>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PO10182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</si>
  <si>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</si>
  <si>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</si>
  <si>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</si>
  <si>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</si>
  <si>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</si>
  <si>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</si>
  <si>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</si>
  <si>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</si>
  <si>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PO10183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</si>
  <si>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</si>
  <si>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</si>
  <si>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</si>
  <si>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</si>
  <si>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</si>
  <si>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</si>
  <si>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</si>
  <si>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</si>
  <si>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PO10184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</si>
  <si>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</si>
  <si>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</si>
  <si>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</si>
  <si>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</si>
  <si>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</si>
  <si>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</si>
  <si>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</si>
  <si>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</si>
  <si>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PO10185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</si>
  <si>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</si>
  <si>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</si>
  <si>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</si>
  <si>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</si>
  <si>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</si>
  <si>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</si>
  <si>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</si>
  <si>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</si>
  <si>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PO10186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</si>
  <si>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</si>
  <si>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</si>
  <si>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</si>
  <si>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</si>
  <si>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</si>
  <si>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</si>
  <si>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</si>
  <si>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</si>
  <si>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PO10187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</si>
  <si>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</si>
  <si>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</si>
  <si>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</si>
  <si>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</si>
  <si>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</si>
  <si>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</si>
  <si>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</si>
  <si>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</si>
  <si>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PO10188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</si>
  <si>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</si>
  <si>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</si>
  <si>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</si>
  <si>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</si>
  <si>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</si>
  <si>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</si>
  <si>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</si>
  <si>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</si>
  <si>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PO10189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</si>
  <si>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</si>
  <si>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</si>
  <si>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</si>
  <si>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</si>
  <si>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</si>
  <si>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</si>
  <si>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</si>
  <si>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</si>
  <si>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PO10190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</si>
  <si>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</si>
  <si>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</si>
  <si>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</si>
  <si>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</si>
  <si>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</si>
  <si>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</si>
  <si>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</si>
  <si>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</si>
  <si>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PO10191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</si>
  <si>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</si>
  <si>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</si>
  <si>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</si>
  <si>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</si>
  <si>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</si>
  <si>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</si>
  <si>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</si>
  <si>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</si>
  <si>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PO10192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</si>
  <si>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</si>
  <si>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</si>
  <si>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</si>
  <si>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</si>
  <si>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</si>
  <si>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</si>
  <si>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</si>
  <si>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</si>
  <si>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PO10193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</si>
  <si>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</si>
  <si>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</si>
  <si>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</si>
  <si>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</si>
  <si>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</si>
  <si>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</si>
  <si>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</si>
  <si>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</si>
  <si>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PO10194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</si>
  <si>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</si>
  <si>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</si>
  <si>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</si>
  <si>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</si>
  <si>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</si>
  <si>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</si>
  <si>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</si>
  <si>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</si>
  <si>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PO10195</t>
  </si>
  <si>
    <t>PR001554</t>
  </si>
  <si>
    <t>PR001555</t>
  </si>
  <si>
    <t>PR001556</t>
  </si>
  <si>
    <t>PR001557</t>
  </si>
  <si>
    <t>PR001558</t>
  </si>
  <si>
    <t>PR001559</t>
  </si>
  <si>
    <t>PR001560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</si>
</sst>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Pranav_SSD/Clean_Data/production_order.xlsx" TargetMode="External"/><Relationship Id="rId1" Type="http://schemas.openxmlformats.org/officeDocument/2006/relationships/externalLinkPath" Target="Clean_Data/production_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Clean_Data/production_record.xlsx" TargetMode="External"/><Relationship Id="rId1" Type="http://schemas.openxmlformats.org/officeDocument/2006/relationships/externalLinkPath" Target="Clean_Data/production_rec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PO10001</v>
          </cell>
          <cell r="F2">
            <v>540</v>
          </cell>
        </row>
        <row r="3">
          <cell r="A3" t="str">
            <v>PO10002</v>
          </cell>
          <cell r="F3">
            <v>620</v>
          </cell>
        </row>
        <row r="4">
          <cell r="A4" t="str">
            <v>PO10003</v>
          </cell>
          <cell r="F4">
            <v>500</v>
          </cell>
        </row>
        <row r="5">
          <cell r="A5" t="str">
            <v>PO10004</v>
          </cell>
          <cell r="F5">
            <v>490</v>
          </cell>
        </row>
        <row r="6">
          <cell r="A6" t="str">
            <v>PO10005</v>
          </cell>
          <cell r="F6">
            <v>400</v>
          </cell>
        </row>
        <row r="7">
          <cell r="A7" t="str">
            <v>PO10006</v>
          </cell>
          <cell r="F7">
            <v>620</v>
          </cell>
        </row>
        <row r="8">
          <cell r="A8" t="str">
            <v>PO10007</v>
          </cell>
          <cell r="F8">
            <v>520</v>
          </cell>
        </row>
        <row r="9">
          <cell r="A9" t="str">
            <v>PO10008</v>
          </cell>
          <cell r="F9">
            <v>450</v>
          </cell>
        </row>
        <row r="10">
          <cell r="A10" t="str">
            <v>PO10009</v>
          </cell>
          <cell r="F10">
            <v>510</v>
          </cell>
        </row>
        <row r="11">
          <cell r="A11" t="str">
            <v>PO10010</v>
          </cell>
          <cell r="F11">
            <v>490</v>
          </cell>
        </row>
        <row r="12">
          <cell r="A12" t="str">
            <v>PO10011</v>
          </cell>
          <cell r="F12">
            <v>590</v>
          </cell>
        </row>
        <row r="13">
          <cell r="A13" t="str">
            <v>PO10012</v>
          </cell>
          <cell r="F13">
            <v>490</v>
          </cell>
        </row>
        <row r="14">
          <cell r="A14" t="str">
            <v>PO10013</v>
          </cell>
          <cell r="F14">
            <v>510</v>
          </cell>
        </row>
        <row r="15">
          <cell r="A15" t="str">
            <v>PO10014</v>
          </cell>
          <cell r="F15">
            <v>640</v>
          </cell>
        </row>
        <row r="16">
          <cell r="A16" t="str">
            <v>PO10015</v>
          </cell>
          <cell r="F16">
            <v>560</v>
          </cell>
        </row>
        <row r="17">
          <cell r="A17" t="str">
            <v>PO10016</v>
          </cell>
          <cell r="F17">
            <v>590</v>
          </cell>
        </row>
        <row r="18">
          <cell r="A18" t="str">
            <v>PO10017</v>
          </cell>
          <cell r="F18">
            <v>500</v>
          </cell>
        </row>
        <row r="19">
          <cell r="A19" t="str">
            <v>PO10018</v>
          </cell>
          <cell r="F19">
            <v>590</v>
          </cell>
        </row>
        <row r="20">
          <cell r="A20" t="str">
            <v>PO10019</v>
          </cell>
          <cell r="F20">
            <v>540</v>
          </cell>
        </row>
        <row r="21">
          <cell r="A21" t="str">
            <v>PO10020</v>
          </cell>
          <cell r="F21">
            <v>620</v>
          </cell>
        </row>
        <row r="22">
          <cell r="A22" t="str">
            <v>PO10021</v>
          </cell>
          <cell r="F22">
            <v>470</v>
          </cell>
        </row>
        <row r="23">
          <cell r="A23" t="str">
            <v>PO10022</v>
          </cell>
          <cell r="F23">
            <v>460</v>
          </cell>
        </row>
        <row r="24">
          <cell r="A24" t="str">
            <v>PO10023</v>
          </cell>
          <cell r="F24">
            <v>420</v>
          </cell>
        </row>
        <row r="25">
          <cell r="A25" t="str">
            <v>PO10024</v>
          </cell>
          <cell r="F25">
            <v>660</v>
          </cell>
        </row>
        <row r="26">
          <cell r="A26" t="str">
            <v>PO10025</v>
          </cell>
          <cell r="F26">
            <v>480</v>
          </cell>
        </row>
        <row r="27">
          <cell r="A27" t="str">
            <v>PO10026</v>
          </cell>
          <cell r="F27">
            <v>530</v>
          </cell>
        </row>
        <row r="28">
          <cell r="A28" t="str">
            <v>PO10027</v>
          </cell>
          <cell r="F28">
            <v>410</v>
          </cell>
        </row>
        <row r="29">
          <cell r="A29" t="str">
            <v>PO10028</v>
          </cell>
          <cell r="F29">
            <v>550</v>
          </cell>
        </row>
        <row r="30">
          <cell r="A30" t="str">
            <v>PO10029</v>
          </cell>
          <cell r="F30">
            <v>480</v>
          </cell>
        </row>
        <row r="31">
          <cell r="A31" t="str">
            <v>PO10030</v>
          </cell>
          <cell r="F31">
            <v>650</v>
          </cell>
        </row>
        <row r="32">
          <cell r="A32" t="str">
            <v>PO10031</v>
          </cell>
          <cell r="F32">
            <v>500</v>
          </cell>
        </row>
        <row r="33">
          <cell r="A33" t="str">
            <v>PO10032</v>
          </cell>
          <cell r="F33">
            <v>400</v>
          </cell>
        </row>
        <row r="34">
          <cell r="A34" t="str">
            <v>PO10033</v>
          </cell>
          <cell r="F34">
            <v>500</v>
          </cell>
        </row>
        <row r="35">
          <cell r="A35" t="str">
            <v>PO10034</v>
          </cell>
          <cell r="F35">
            <v>540</v>
          </cell>
        </row>
        <row r="36">
          <cell r="A36" t="str">
            <v>PO10035</v>
          </cell>
          <cell r="F36">
            <v>400</v>
          </cell>
        </row>
        <row r="37">
          <cell r="A37" t="str">
            <v>PO10036</v>
          </cell>
          <cell r="F37">
            <v>420</v>
          </cell>
        </row>
        <row r="38">
          <cell r="A38" t="str">
            <v>PO10037</v>
          </cell>
          <cell r="F38">
            <v>470</v>
          </cell>
        </row>
        <row r="39">
          <cell r="A39" t="str">
            <v>PO10038</v>
          </cell>
          <cell r="F39">
            <v>540</v>
          </cell>
        </row>
        <row r="40">
          <cell r="A40" t="str">
            <v>PO10039</v>
          </cell>
          <cell r="F40">
            <v>550</v>
          </cell>
        </row>
        <row r="41">
          <cell r="A41" t="str">
            <v>PO10040</v>
          </cell>
          <cell r="F41">
            <v>410</v>
          </cell>
        </row>
        <row r="42">
          <cell r="A42" t="str">
            <v>PO10041</v>
          </cell>
          <cell r="F42">
            <v>480</v>
          </cell>
        </row>
        <row r="43">
          <cell r="A43" t="str">
            <v>PO10042</v>
          </cell>
          <cell r="F43">
            <v>410</v>
          </cell>
        </row>
        <row r="44">
          <cell r="A44" t="str">
            <v>PO10043</v>
          </cell>
          <cell r="F44">
            <v>420</v>
          </cell>
        </row>
        <row r="45">
          <cell r="A45" t="str">
            <v>PO10044</v>
          </cell>
          <cell r="F45">
            <v>570</v>
          </cell>
        </row>
        <row r="46">
          <cell r="A46" t="str">
            <v>PO10045</v>
          </cell>
          <cell r="F46">
            <v>580</v>
          </cell>
        </row>
        <row r="47">
          <cell r="A47" t="str">
            <v>PO10046</v>
          </cell>
          <cell r="F47">
            <v>640</v>
          </cell>
        </row>
        <row r="48">
          <cell r="A48" t="str">
            <v>PO10047</v>
          </cell>
          <cell r="F48">
            <v>650</v>
          </cell>
        </row>
        <row r="49">
          <cell r="A49" t="str">
            <v>PO10048</v>
          </cell>
          <cell r="F49">
            <v>620</v>
          </cell>
        </row>
        <row r="50">
          <cell r="A50" t="str">
            <v>PO10049</v>
          </cell>
          <cell r="F50">
            <v>460</v>
          </cell>
        </row>
        <row r="51">
          <cell r="A51" t="str">
            <v>PO10050</v>
          </cell>
          <cell r="F51">
            <v>400</v>
          </cell>
        </row>
        <row r="52">
          <cell r="A52" t="str">
            <v>PO10051</v>
          </cell>
          <cell r="F52">
            <v>420</v>
          </cell>
        </row>
        <row r="53">
          <cell r="A53" t="str">
            <v>PO10052</v>
          </cell>
          <cell r="F53">
            <v>520</v>
          </cell>
        </row>
        <row r="54">
          <cell r="A54" t="str">
            <v>PO10053</v>
          </cell>
          <cell r="F54">
            <v>630</v>
          </cell>
        </row>
        <row r="55">
          <cell r="A55" t="str">
            <v>PO10054</v>
          </cell>
          <cell r="F55">
            <v>650</v>
          </cell>
        </row>
        <row r="56">
          <cell r="A56" t="str">
            <v>PO10055</v>
          </cell>
          <cell r="F56">
            <v>440</v>
          </cell>
        </row>
        <row r="57">
          <cell r="A57" t="str">
            <v>PO10056</v>
          </cell>
          <cell r="F57">
            <v>610</v>
          </cell>
        </row>
        <row r="58">
          <cell r="A58" t="str">
            <v>PO10057</v>
          </cell>
          <cell r="F58">
            <v>630</v>
          </cell>
        </row>
        <row r="59">
          <cell r="A59" t="str">
            <v>PO10058</v>
          </cell>
          <cell r="F59">
            <v>440</v>
          </cell>
        </row>
        <row r="60">
          <cell r="A60" t="str">
            <v>PO10059</v>
          </cell>
          <cell r="F60">
            <v>670</v>
          </cell>
        </row>
        <row r="61">
          <cell r="A61" t="str">
            <v>PO10060</v>
          </cell>
          <cell r="F61">
            <v>500</v>
          </cell>
        </row>
        <row r="62">
          <cell r="A62" t="str">
            <v>PO10061</v>
          </cell>
          <cell r="F62">
            <v>640</v>
          </cell>
        </row>
        <row r="63">
          <cell r="A63" t="str">
            <v>PO10062</v>
          </cell>
          <cell r="F63">
            <v>450</v>
          </cell>
        </row>
        <row r="64">
          <cell r="A64" t="str">
            <v>PO10063</v>
          </cell>
          <cell r="F64">
            <v>490</v>
          </cell>
        </row>
        <row r="65">
          <cell r="A65" t="str">
            <v>PO10064</v>
          </cell>
          <cell r="F65">
            <v>520</v>
          </cell>
        </row>
        <row r="66">
          <cell r="A66" t="str">
            <v>PO10065</v>
          </cell>
          <cell r="F66">
            <v>520</v>
          </cell>
        </row>
        <row r="67">
          <cell r="A67" t="str">
            <v>PO10066</v>
          </cell>
          <cell r="F67">
            <v>680</v>
          </cell>
        </row>
        <row r="68">
          <cell r="A68" t="str">
            <v>PO10067</v>
          </cell>
          <cell r="F68">
            <v>490</v>
          </cell>
        </row>
        <row r="69">
          <cell r="A69" t="str">
            <v>PO10068</v>
          </cell>
          <cell r="F69">
            <v>510</v>
          </cell>
        </row>
        <row r="70">
          <cell r="A70" t="str">
            <v>PO10069</v>
          </cell>
          <cell r="F70">
            <v>500</v>
          </cell>
        </row>
        <row r="71">
          <cell r="A71" t="str">
            <v>PO10070</v>
          </cell>
          <cell r="F71">
            <v>550</v>
          </cell>
        </row>
        <row r="72">
          <cell r="A72" t="str">
            <v>PO10071</v>
          </cell>
          <cell r="F72">
            <v>630</v>
          </cell>
        </row>
        <row r="73">
          <cell r="A73" t="str">
            <v>PO10072</v>
          </cell>
          <cell r="F73">
            <v>430</v>
          </cell>
        </row>
        <row r="74">
          <cell r="A74" t="str">
            <v>PO10073</v>
          </cell>
          <cell r="F74">
            <v>510</v>
          </cell>
        </row>
        <row r="75">
          <cell r="A75" t="str">
            <v>PO10074</v>
          </cell>
          <cell r="F75">
            <v>450</v>
          </cell>
        </row>
        <row r="76">
          <cell r="A76" t="str">
            <v>PO10075</v>
          </cell>
          <cell r="F76">
            <v>520</v>
          </cell>
        </row>
        <row r="77">
          <cell r="A77" t="str">
            <v>PO10076</v>
          </cell>
          <cell r="F77">
            <v>640</v>
          </cell>
        </row>
        <row r="78">
          <cell r="A78" t="str">
            <v>PO10077</v>
          </cell>
          <cell r="F78">
            <v>500</v>
          </cell>
        </row>
        <row r="79">
          <cell r="A79" t="str">
            <v>PO10078</v>
          </cell>
          <cell r="F79">
            <v>500</v>
          </cell>
        </row>
        <row r="80">
          <cell r="A80" t="str">
            <v>PO10079</v>
          </cell>
          <cell r="F80">
            <v>460</v>
          </cell>
        </row>
        <row r="81">
          <cell r="A81" t="str">
            <v>PO10080</v>
          </cell>
          <cell r="F81">
            <v>590</v>
          </cell>
        </row>
        <row r="82">
          <cell r="A82" t="str">
            <v>PO10081</v>
          </cell>
          <cell r="F82">
            <v>500</v>
          </cell>
        </row>
        <row r="83">
          <cell r="A83" t="str">
            <v>PO10082</v>
          </cell>
          <cell r="F83">
            <v>610</v>
          </cell>
        </row>
        <row r="84">
          <cell r="A84" t="str">
            <v>PO10083</v>
          </cell>
          <cell r="F84">
            <v>570</v>
          </cell>
        </row>
        <row r="85">
          <cell r="A85" t="str">
            <v>PO10084</v>
          </cell>
          <cell r="F85">
            <v>570</v>
          </cell>
        </row>
        <row r="86">
          <cell r="A86" t="str">
            <v>PO10085</v>
          </cell>
          <cell r="F86">
            <v>680</v>
          </cell>
        </row>
        <row r="87">
          <cell r="A87" t="str">
            <v>PO10086</v>
          </cell>
          <cell r="F87">
            <v>460</v>
          </cell>
        </row>
        <row r="88">
          <cell r="A88" t="str">
            <v>PO10087</v>
          </cell>
          <cell r="F88">
            <v>410</v>
          </cell>
        </row>
        <row r="89">
          <cell r="A89" t="str">
            <v>PO10088</v>
          </cell>
          <cell r="F89">
            <v>540</v>
          </cell>
        </row>
        <row r="90">
          <cell r="A90" t="str">
            <v>PO10089</v>
          </cell>
          <cell r="F90">
            <v>670</v>
          </cell>
        </row>
        <row r="91">
          <cell r="A91" t="str">
            <v>PO10090</v>
          </cell>
          <cell r="F91">
            <v>570</v>
          </cell>
        </row>
        <row r="92">
          <cell r="A92" t="str">
            <v>PO10091</v>
          </cell>
          <cell r="F92">
            <v>440</v>
          </cell>
        </row>
        <row r="93">
          <cell r="A93" t="str">
            <v>PO10092</v>
          </cell>
          <cell r="F93">
            <v>610</v>
          </cell>
        </row>
        <row r="94">
          <cell r="A94" t="str">
            <v>PO10093</v>
          </cell>
          <cell r="F94">
            <v>610</v>
          </cell>
        </row>
        <row r="95">
          <cell r="A95" t="str">
            <v>PO10094</v>
          </cell>
          <cell r="F95">
            <v>440</v>
          </cell>
        </row>
        <row r="96">
          <cell r="A96" t="str">
            <v>PO10095</v>
          </cell>
          <cell r="F96">
            <v>500</v>
          </cell>
        </row>
        <row r="97">
          <cell r="A97" t="str">
            <v>PO10096</v>
          </cell>
          <cell r="F97">
            <v>590</v>
          </cell>
        </row>
        <row r="98">
          <cell r="A98" t="str">
            <v>PO10097</v>
          </cell>
          <cell r="F98">
            <v>520</v>
          </cell>
        </row>
        <row r="99">
          <cell r="A99" t="str">
            <v>PO10098</v>
          </cell>
          <cell r="F99">
            <v>690</v>
          </cell>
        </row>
        <row r="100">
          <cell r="A100" t="str">
            <v>PO10099</v>
          </cell>
          <cell r="F100">
            <v>490</v>
          </cell>
        </row>
        <row r="101">
          <cell r="A101" t="str">
            <v>PO10100</v>
          </cell>
          <cell r="F101">
            <v>510</v>
          </cell>
        </row>
        <row r="102">
          <cell r="A102" t="str">
            <v>PO10101</v>
          </cell>
          <cell r="F102">
            <v>630</v>
          </cell>
        </row>
        <row r="103">
          <cell r="A103" t="str">
            <v>PO10102</v>
          </cell>
          <cell r="F103">
            <v>520</v>
          </cell>
        </row>
        <row r="104">
          <cell r="A104" t="str">
            <v>PO10103</v>
          </cell>
          <cell r="F104">
            <v>540</v>
          </cell>
        </row>
        <row r="105">
          <cell r="A105" t="str">
            <v>PO10104</v>
          </cell>
          <cell r="F105">
            <v>470</v>
          </cell>
        </row>
        <row r="106">
          <cell r="A106" t="str">
            <v>PO10105</v>
          </cell>
          <cell r="F106">
            <v>500</v>
          </cell>
        </row>
        <row r="107">
          <cell r="A107" t="str">
            <v>PO10106</v>
          </cell>
          <cell r="F107">
            <v>400</v>
          </cell>
        </row>
        <row r="108">
          <cell r="A108" t="str">
            <v>PO10107</v>
          </cell>
          <cell r="F108">
            <v>400</v>
          </cell>
        </row>
        <row r="109">
          <cell r="A109" t="str">
            <v>PO10108</v>
          </cell>
          <cell r="F109">
            <v>400</v>
          </cell>
        </row>
        <row r="110">
          <cell r="A110" t="str">
            <v>PO10109</v>
          </cell>
          <cell r="F110">
            <v>440</v>
          </cell>
        </row>
        <row r="111">
          <cell r="A111" t="str">
            <v>PO10110</v>
          </cell>
          <cell r="F111">
            <v>460</v>
          </cell>
        </row>
        <row r="112">
          <cell r="A112" t="str">
            <v>PO10111</v>
          </cell>
          <cell r="F112">
            <v>520</v>
          </cell>
        </row>
        <row r="113">
          <cell r="A113" t="str">
            <v>PO10112</v>
          </cell>
          <cell r="F113">
            <v>460</v>
          </cell>
        </row>
        <row r="114">
          <cell r="A114" t="str">
            <v>PO10113</v>
          </cell>
          <cell r="F114">
            <v>560</v>
          </cell>
        </row>
        <row r="115">
          <cell r="A115" t="str">
            <v>PO10114</v>
          </cell>
          <cell r="F115">
            <v>710</v>
          </cell>
        </row>
        <row r="116">
          <cell r="A116" t="str">
            <v>PO10115</v>
          </cell>
          <cell r="F116">
            <v>570</v>
          </cell>
        </row>
        <row r="117">
          <cell r="A117" t="str">
            <v>PO10116</v>
          </cell>
          <cell r="F117">
            <v>670</v>
          </cell>
        </row>
        <row r="118">
          <cell r="A118" t="str">
            <v>PO10117</v>
          </cell>
          <cell r="F118">
            <v>640</v>
          </cell>
        </row>
        <row r="119">
          <cell r="A119" t="str">
            <v>PO10118</v>
          </cell>
          <cell r="F119">
            <v>650</v>
          </cell>
        </row>
        <row r="120">
          <cell r="A120" t="str">
            <v>PO10119</v>
          </cell>
          <cell r="F120">
            <v>600</v>
          </cell>
        </row>
        <row r="121">
          <cell r="A121" t="str">
            <v>PO10120</v>
          </cell>
          <cell r="F121">
            <v>560</v>
          </cell>
        </row>
        <row r="122">
          <cell r="A122" t="str">
            <v>PO10121</v>
          </cell>
          <cell r="F122">
            <v>610</v>
          </cell>
        </row>
        <row r="123">
          <cell r="A123" t="str">
            <v>PO10122</v>
          </cell>
          <cell r="F123">
            <v>580</v>
          </cell>
        </row>
        <row r="124">
          <cell r="A124" t="str">
            <v>PO10123</v>
          </cell>
          <cell r="F124">
            <v>440</v>
          </cell>
        </row>
        <row r="125">
          <cell r="A125" t="str">
            <v>PO10124</v>
          </cell>
          <cell r="F125">
            <v>580</v>
          </cell>
        </row>
        <row r="126">
          <cell r="A126" t="str">
            <v>PO10125</v>
          </cell>
          <cell r="F126">
            <v>420</v>
          </cell>
        </row>
        <row r="127">
          <cell r="A127" t="str">
            <v>PO10126</v>
          </cell>
          <cell r="F127">
            <v>680</v>
          </cell>
        </row>
        <row r="128">
          <cell r="A128" t="str">
            <v>PO10127</v>
          </cell>
          <cell r="F128">
            <v>420</v>
          </cell>
        </row>
        <row r="129">
          <cell r="A129" t="str">
            <v>PO10128</v>
          </cell>
          <cell r="F129">
            <v>590</v>
          </cell>
        </row>
        <row r="130">
          <cell r="A130" t="str">
            <v>PO10129</v>
          </cell>
          <cell r="F130">
            <v>440</v>
          </cell>
        </row>
        <row r="131">
          <cell r="A131" t="str">
            <v>PO10130</v>
          </cell>
          <cell r="F131">
            <v>470</v>
          </cell>
        </row>
        <row r="132">
          <cell r="A132" t="str">
            <v>PO10131</v>
          </cell>
          <cell r="F132">
            <v>430</v>
          </cell>
        </row>
        <row r="133">
          <cell r="A133" t="str">
            <v>PO10132</v>
          </cell>
          <cell r="F133">
            <v>650</v>
          </cell>
        </row>
        <row r="134">
          <cell r="A134" t="str">
            <v>PO10133</v>
          </cell>
          <cell r="F134">
            <v>640</v>
          </cell>
        </row>
        <row r="135">
          <cell r="A135" t="str">
            <v>PO10134</v>
          </cell>
          <cell r="F135">
            <v>600</v>
          </cell>
        </row>
        <row r="136">
          <cell r="A136" t="str">
            <v>PO10135</v>
          </cell>
          <cell r="F136">
            <v>630</v>
          </cell>
        </row>
        <row r="137">
          <cell r="A137" t="str">
            <v>PO10136</v>
          </cell>
          <cell r="F137">
            <v>590</v>
          </cell>
        </row>
        <row r="138">
          <cell r="A138" t="str">
            <v>PO10137</v>
          </cell>
          <cell r="F138">
            <v>470</v>
          </cell>
        </row>
        <row r="139">
          <cell r="A139" t="str">
            <v>PO10138</v>
          </cell>
          <cell r="F139">
            <v>620</v>
          </cell>
        </row>
        <row r="140">
          <cell r="A140" t="str">
            <v>PO10139</v>
          </cell>
          <cell r="F140">
            <v>440</v>
          </cell>
        </row>
        <row r="141">
          <cell r="A141" t="str">
            <v>PO10140</v>
          </cell>
          <cell r="F141">
            <v>660</v>
          </cell>
        </row>
        <row r="142">
          <cell r="A142" t="str">
            <v>PO10141</v>
          </cell>
          <cell r="F142">
            <v>550</v>
          </cell>
        </row>
        <row r="143">
          <cell r="A143" t="str">
            <v>PO10142</v>
          </cell>
          <cell r="F143">
            <v>610</v>
          </cell>
        </row>
        <row r="144">
          <cell r="A144" t="str">
            <v>PO10143</v>
          </cell>
          <cell r="F144">
            <v>580</v>
          </cell>
        </row>
        <row r="145">
          <cell r="A145" t="str">
            <v>PO10144</v>
          </cell>
          <cell r="F145">
            <v>690</v>
          </cell>
        </row>
        <row r="146">
          <cell r="A146" t="str">
            <v>PO10145</v>
          </cell>
          <cell r="F146">
            <v>460</v>
          </cell>
        </row>
        <row r="147">
          <cell r="A147" t="str">
            <v>PO10146</v>
          </cell>
          <cell r="F147">
            <v>560</v>
          </cell>
        </row>
        <row r="148">
          <cell r="A148" t="str">
            <v>PO10147</v>
          </cell>
          <cell r="F148">
            <v>590</v>
          </cell>
        </row>
        <row r="149">
          <cell r="A149" t="str">
            <v>PO10148</v>
          </cell>
          <cell r="F149">
            <v>540</v>
          </cell>
        </row>
        <row r="150">
          <cell r="A150" t="str">
            <v>PO10149</v>
          </cell>
          <cell r="F150">
            <v>580</v>
          </cell>
        </row>
        <row r="151">
          <cell r="A151" t="str">
            <v>PO10150</v>
          </cell>
          <cell r="F151">
            <v>520</v>
          </cell>
        </row>
        <row r="152">
          <cell r="A152" t="str">
            <v>PO10151</v>
          </cell>
          <cell r="F152">
            <v>490</v>
          </cell>
        </row>
        <row r="153">
          <cell r="A153" t="str">
            <v>PO10152</v>
          </cell>
          <cell r="F153">
            <v>540</v>
          </cell>
        </row>
        <row r="154">
          <cell r="A154" t="str">
            <v>PO10153</v>
          </cell>
          <cell r="F154">
            <v>610</v>
          </cell>
        </row>
        <row r="155">
          <cell r="A155" t="str">
            <v>PO10154</v>
          </cell>
          <cell r="F155">
            <v>530</v>
          </cell>
        </row>
        <row r="156">
          <cell r="A156" t="str">
            <v>PO10155</v>
          </cell>
          <cell r="F156">
            <v>620</v>
          </cell>
        </row>
        <row r="157">
          <cell r="A157" t="str">
            <v>PO10156</v>
          </cell>
          <cell r="F157">
            <v>630</v>
          </cell>
        </row>
        <row r="158">
          <cell r="A158" t="str">
            <v>PO10157</v>
          </cell>
          <cell r="F158">
            <v>650</v>
          </cell>
        </row>
        <row r="159">
          <cell r="A159" t="str">
            <v>PO10158</v>
          </cell>
          <cell r="F159">
            <v>490</v>
          </cell>
        </row>
        <row r="160">
          <cell r="A160" t="str">
            <v>PO10159</v>
          </cell>
          <cell r="F160">
            <v>540</v>
          </cell>
        </row>
        <row r="161">
          <cell r="A161" t="str">
            <v>PO10160</v>
          </cell>
          <cell r="F161">
            <v>620</v>
          </cell>
        </row>
        <row r="162">
          <cell r="A162" t="str">
            <v>PO10161</v>
          </cell>
          <cell r="F162">
            <v>550</v>
          </cell>
        </row>
        <row r="163">
          <cell r="A163" t="str">
            <v>PO10162</v>
          </cell>
          <cell r="F163">
            <v>580</v>
          </cell>
        </row>
        <row r="164">
          <cell r="A164" t="str">
            <v>PO10163</v>
          </cell>
          <cell r="F164">
            <v>610</v>
          </cell>
        </row>
        <row r="165">
          <cell r="A165" t="str">
            <v>PO10164</v>
          </cell>
          <cell r="F165">
            <v>480</v>
          </cell>
        </row>
        <row r="166">
          <cell r="A166" t="str">
            <v>PO10165</v>
          </cell>
          <cell r="F166">
            <v>680</v>
          </cell>
        </row>
        <row r="167">
          <cell r="A167" t="str">
            <v>PO10166</v>
          </cell>
          <cell r="F167">
            <v>420</v>
          </cell>
        </row>
        <row r="168">
          <cell r="A168" t="str">
            <v>PO10167</v>
          </cell>
          <cell r="F168">
            <v>630</v>
          </cell>
        </row>
        <row r="169">
          <cell r="A169" t="str">
            <v>PO10168</v>
          </cell>
          <cell r="F169">
            <v>560</v>
          </cell>
        </row>
        <row r="170">
          <cell r="A170" t="str">
            <v>PO10169</v>
          </cell>
          <cell r="F170">
            <v>420</v>
          </cell>
        </row>
        <row r="171">
          <cell r="A171" t="str">
            <v>PO10170</v>
          </cell>
          <cell r="F171">
            <v>670</v>
          </cell>
        </row>
        <row r="172">
          <cell r="A172" t="str">
            <v>PO10171</v>
          </cell>
          <cell r="F172">
            <v>470</v>
          </cell>
        </row>
        <row r="173">
          <cell r="A173" t="str">
            <v>PO10172</v>
          </cell>
          <cell r="F173">
            <v>660</v>
          </cell>
        </row>
        <row r="174">
          <cell r="A174" t="str">
            <v>PO10173</v>
          </cell>
          <cell r="F174">
            <v>540</v>
          </cell>
        </row>
        <row r="175">
          <cell r="A175" t="str">
            <v>PO10174</v>
          </cell>
          <cell r="F175">
            <v>450</v>
          </cell>
        </row>
        <row r="176">
          <cell r="A176" t="str">
            <v>PO10175</v>
          </cell>
          <cell r="F176">
            <v>570</v>
          </cell>
        </row>
        <row r="177">
          <cell r="A177" t="str">
            <v>PO10176</v>
          </cell>
          <cell r="F177">
            <v>550</v>
          </cell>
        </row>
        <row r="178">
          <cell r="A178" t="str">
            <v>PO10177</v>
          </cell>
          <cell r="F178">
            <v>460</v>
          </cell>
        </row>
        <row r="179">
          <cell r="A179" t="str">
            <v>PO10178</v>
          </cell>
          <cell r="F179">
            <v>650</v>
          </cell>
        </row>
        <row r="180">
          <cell r="A180" t="str">
            <v>PO10179</v>
          </cell>
          <cell r="F180">
            <v>560</v>
          </cell>
        </row>
        <row r="181">
          <cell r="A181" t="str">
            <v>PO10180</v>
          </cell>
          <cell r="F181">
            <v>580</v>
          </cell>
        </row>
        <row r="182">
          <cell r="A182" t="str">
            <v>PO10181</v>
          </cell>
          <cell r="F182">
            <v>520</v>
          </cell>
        </row>
        <row r="183">
          <cell r="A183" t="str">
            <v>PO10182</v>
          </cell>
          <cell r="F183">
            <v>470</v>
          </cell>
        </row>
        <row r="184">
          <cell r="A184" t="str">
            <v>PO10183</v>
          </cell>
          <cell r="F184">
            <v>510</v>
          </cell>
        </row>
        <row r="185">
          <cell r="A185" t="str">
            <v>PO10184</v>
          </cell>
          <cell r="F185">
            <v>590</v>
          </cell>
        </row>
        <row r="186">
          <cell r="A186" t="str">
            <v>PO10185</v>
          </cell>
          <cell r="F186">
            <v>580</v>
          </cell>
        </row>
        <row r="187">
          <cell r="A187" t="str">
            <v>PO10186</v>
          </cell>
          <cell r="F187">
            <v>520</v>
          </cell>
        </row>
        <row r="188">
          <cell r="A188" t="str">
            <v>PO10187</v>
          </cell>
          <cell r="F188">
            <v>550</v>
          </cell>
        </row>
        <row r="189">
          <cell r="A189" t="str">
            <v>PO10188</v>
          </cell>
          <cell r="F189">
            <v>540</v>
          </cell>
        </row>
        <row r="190">
          <cell r="A190" t="str">
            <v>PO10189</v>
          </cell>
          <cell r="F190">
            <v>580</v>
          </cell>
        </row>
        <row r="191">
          <cell r="A191" t="str">
            <v>PO10190</v>
          </cell>
          <cell r="F191">
            <v>510</v>
          </cell>
        </row>
        <row r="192">
          <cell r="A192" t="str">
            <v>PO10191</v>
          </cell>
          <cell r="F192">
            <v>600</v>
          </cell>
        </row>
        <row r="193">
          <cell r="A193" t="str">
            <v>PO10192</v>
          </cell>
          <cell r="F193">
            <v>500</v>
          </cell>
        </row>
        <row r="194">
          <cell r="A194" t="str">
            <v>PO10193</v>
          </cell>
          <cell r="F194">
            <v>450</v>
          </cell>
        </row>
        <row r="195">
          <cell r="A195" t="str">
            <v>PO10194</v>
          </cell>
          <cell r="F195">
            <v>480</v>
          </cell>
        </row>
        <row r="196">
          <cell r="A196" t="str">
            <v>PO10195</v>
          </cell>
          <cell r="F196">
            <v>560</v>
          </cell>
        </row>
        <row r="197">
          <cell r="A197" t="str">
            <v>PO10196</v>
          </cell>
          <cell r="F197">
            <v>680</v>
          </cell>
        </row>
        <row r="198">
          <cell r="A198" t="str">
            <v>PO10197</v>
          </cell>
          <cell r="F198">
            <v>410</v>
          </cell>
        </row>
        <row r="199">
          <cell r="A199" t="str">
            <v>PO10198</v>
          </cell>
          <cell r="F199">
            <v>510</v>
          </cell>
        </row>
        <row r="200">
          <cell r="A200" t="str">
            <v>PO10199</v>
          </cell>
          <cell r="F200">
            <v>560</v>
          </cell>
        </row>
        <row r="201">
          <cell r="A201" t="str">
            <v>PO10200</v>
          </cell>
          <cell r="F201">
            <v>710</v>
          </cell>
        </row>
        <row r="202">
          <cell r="A202" t="str">
            <v>PO10201</v>
          </cell>
          <cell r="F202">
            <v>400</v>
          </cell>
        </row>
        <row r="203">
          <cell r="A203" t="str">
            <v>PO10202</v>
          </cell>
          <cell r="F203">
            <v>420</v>
          </cell>
        </row>
        <row r="204">
          <cell r="A204" t="str">
            <v>PO10203</v>
          </cell>
          <cell r="F204">
            <v>470</v>
          </cell>
        </row>
        <row r="205">
          <cell r="A205" t="str">
            <v>PO10204</v>
          </cell>
          <cell r="F205">
            <v>430</v>
          </cell>
        </row>
        <row r="206">
          <cell r="A206" t="str">
            <v>PO10205</v>
          </cell>
          <cell r="F206">
            <v>470</v>
          </cell>
        </row>
        <row r="207">
          <cell r="A207" t="str">
            <v>PO10206</v>
          </cell>
          <cell r="F207">
            <v>660</v>
          </cell>
        </row>
        <row r="208">
          <cell r="A208" t="str">
            <v>PO10207</v>
          </cell>
          <cell r="F208">
            <v>500</v>
          </cell>
        </row>
        <row r="209">
          <cell r="A209" t="str">
            <v>PO10208</v>
          </cell>
          <cell r="F209">
            <v>500</v>
          </cell>
        </row>
        <row r="210">
          <cell r="A210" t="str">
            <v>PO10209</v>
          </cell>
          <cell r="F210">
            <v>550</v>
          </cell>
        </row>
        <row r="211">
          <cell r="A211" t="str">
            <v>PO10210</v>
          </cell>
          <cell r="F211">
            <v>620</v>
          </cell>
        </row>
        <row r="212">
          <cell r="A212" t="str">
            <v>PO10211</v>
          </cell>
          <cell r="F212">
            <v>570</v>
          </cell>
        </row>
        <row r="213">
          <cell r="A213" t="str">
            <v>PO10212</v>
          </cell>
          <cell r="F213">
            <v>460</v>
          </cell>
        </row>
        <row r="214">
          <cell r="A214" t="str">
            <v>PO10213</v>
          </cell>
          <cell r="F214">
            <v>520</v>
          </cell>
        </row>
        <row r="215">
          <cell r="A215" t="str">
            <v>PO10214</v>
          </cell>
          <cell r="F215">
            <v>400</v>
          </cell>
        </row>
        <row r="216">
          <cell r="A216" t="str">
            <v>PO10215</v>
          </cell>
          <cell r="F216">
            <v>580</v>
          </cell>
        </row>
        <row r="217">
          <cell r="A217" t="str">
            <v>PO10216</v>
          </cell>
          <cell r="F217">
            <v>640</v>
          </cell>
        </row>
        <row r="218">
          <cell r="A218" t="str">
            <v>PO10217</v>
          </cell>
          <cell r="F218">
            <v>590</v>
          </cell>
        </row>
        <row r="219">
          <cell r="A219" t="str">
            <v>PO10218</v>
          </cell>
          <cell r="F219">
            <v>520</v>
          </cell>
        </row>
        <row r="220">
          <cell r="A220" t="str">
            <v>PO10219</v>
          </cell>
          <cell r="F220">
            <v>400</v>
          </cell>
        </row>
        <row r="221">
          <cell r="A221" t="str">
            <v>PO10220</v>
          </cell>
          <cell r="F221">
            <v>540</v>
          </cell>
        </row>
        <row r="222">
          <cell r="A222" t="str">
            <v>PO10221</v>
          </cell>
          <cell r="F222">
            <v>610</v>
          </cell>
        </row>
        <row r="223">
          <cell r="A223" t="str">
            <v>PO10222</v>
          </cell>
          <cell r="F223">
            <v>660</v>
          </cell>
        </row>
        <row r="224">
          <cell r="A224" t="str">
            <v>PO10223</v>
          </cell>
          <cell r="F224">
            <v>590</v>
          </cell>
        </row>
        <row r="225">
          <cell r="A225" t="str">
            <v>PO10224</v>
          </cell>
          <cell r="F225">
            <v>660</v>
          </cell>
        </row>
        <row r="226">
          <cell r="A226" t="str">
            <v>PO10225</v>
          </cell>
          <cell r="F226">
            <v>450</v>
          </cell>
        </row>
        <row r="227">
          <cell r="A227" t="str">
            <v>PO10226</v>
          </cell>
          <cell r="F227">
            <v>410</v>
          </cell>
        </row>
        <row r="228">
          <cell r="A228" t="str">
            <v>PO10227</v>
          </cell>
          <cell r="F228">
            <v>500</v>
          </cell>
        </row>
        <row r="229">
          <cell r="A229" t="str">
            <v>PO10228</v>
          </cell>
          <cell r="F229">
            <v>530</v>
          </cell>
        </row>
        <row r="230">
          <cell r="A230" t="str">
            <v>PO10229</v>
          </cell>
          <cell r="F230">
            <v>580</v>
          </cell>
        </row>
        <row r="231">
          <cell r="A231" t="str">
            <v>PO10230</v>
          </cell>
          <cell r="F231">
            <v>560</v>
          </cell>
        </row>
        <row r="232">
          <cell r="A232" t="str">
            <v>PO10231</v>
          </cell>
          <cell r="F232">
            <v>440</v>
          </cell>
        </row>
        <row r="233">
          <cell r="A233" t="str">
            <v>PO10232</v>
          </cell>
          <cell r="F233">
            <v>430</v>
          </cell>
        </row>
        <row r="234">
          <cell r="A234" t="str">
            <v>PO10233</v>
          </cell>
          <cell r="F234">
            <v>640</v>
          </cell>
        </row>
        <row r="235">
          <cell r="A235" t="str">
            <v>PO10234</v>
          </cell>
          <cell r="F235">
            <v>670</v>
          </cell>
        </row>
        <row r="236">
          <cell r="A236" t="str">
            <v>PO10235</v>
          </cell>
          <cell r="F236">
            <v>590</v>
          </cell>
        </row>
        <row r="237">
          <cell r="A237" t="str">
            <v>PO10236</v>
          </cell>
          <cell r="F237">
            <v>570</v>
          </cell>
        </row>
        <row r="238">
          <cell r="A238" t="str">
            <v>PO10237</v>
          </cell>
          <cell r="F238">
            <v>640</v>
          </cell>
        </row>
        <row r="239">
          <cell r="A239" t="str">
            <v>PO10238</v>
          </cell>
          <cell r="F239">
            <v>660</v>
          </cell>
        </row>
        <row r="240">
          <cell r="A240" t="str">
            <v>PO10239</v>
          </cell>
          <cell r="F240">
            <v>490</v>
          </cell>
        </row>
        <row r="241">
          <cell r="A241" t="str">
            <v>PO10240</v>
          </cell>
          <cell r="F241">
            <v>730</v>
          </cell>
        </row>
        <row r="242">
          <cell r="A242" t="str">
            <v>PO10241</v>
          </cell>
          <cell r="F242">
            <v>440</v>
          </cell>
        </row>
        <row r="243">
          <cell r="A243" t="str">
            <v>PO10242</v>
          </cell>
          <cell r="F243">
            <v>520</v>
          </cell>
        </row>
        <row r="244">
          <cell r="A244" t="str">
            <v>PO10243</v>
          </cell>
          <cell r="F244">
            <v>500</v>
          </cell>
        </row>
        <row r="245">
          <cell r="A245" t="str">
            <v>PO10244</v>
          </cell>
          <cell r="F245">
            <v>570</v>
          </cell>
        </row>
        <row r="246">
          <cell r="A246" t="str">
            <v>PO10245</v>
          </cell>
          <cell r="F246">
            <v>570</v>
          </cell>
        </row>
        <row r="247">
          <cell r="A247" t="str">
            <v>PO10246</v>
          </cell>
          <cell r="F247">
            <v>480</v>
          </cell>
        </row>
        <row r="248">
          <cell r="A248" t="str">
            <v>PO10247</v>
          </cell>
          <cell r="F248">
            <v>650</v>
          </cell>
        </row>
        <row r="249">
          <cell r="A249" t="str">
            <v>PO10248</v>
          </cell>
          <cell r="F249">
            <v>410</v>
          </cell>
        </row>
        <row r="250">
          <cell r="A250" t="str">
            <v>PO10249</v>
          </cell>
          <cell r="F250">
            <v>590</v>
          </cell>
        </row>
        <row r="251">
          <cell r="A251" t="str">
            <v>PO10250</v>
          </cell>
          <cell r="F251">
            <v>530</v>
          </cell>
        </row>
        <row r="252">
          <cell r="A252" t="str">
            <v>PO10251</v>
          </cell>
          <cell r="F252">
            <v>480</v>
          </cell>
        </row>
        <row r="253">
          <cell r="A253" t="str">
            <v>PO10252</v>
          </cell>
          <cell r="F253">
            <v>630</v>
          </cell>
        </row>
        <row r="254">
          <cell r="A254" t="str">
            <v>PO10253</v>
          </cell>
          <cell r="F254">
            <v>540</v>
          </cell>
        </row>
        <row r="255">
          <cell r="A255" t="str">
            <v>PO10254</v>
          </cell>
          <cell r="F255">
            <v>560</v>
          </cell>
        </row>
        <row r="256">
          <cell r="A256" t="str">
            <v>PO10255</v>
          </cell>
          <cell r="F256">
            <v>630</v>
          </cell>
        </row>
        <row r="257">
          <cell r="A257" t="str">
            <v>PO10256</v>
          </cell>
          <cell r="F257">
            <v>460</v>
          </cell>
        </row>
        <row r="258">
          <cell r="A258" t="str">
            <v>PO10257</v>
          </cell>
          <cell r="F258">
            <v>480</v>
          </cell>
        </row>
        <row r="259">
          <cell r="A259" t="str">
            <v>PO10258</v>
          </cell>
          <cell r="F259">
            <v>660</v>
          </cell>
        </row>
        <row r="260">
          <cell r="A260" t="str">
            <v>PO10259</v>
          </cell>
          <cell r="F260">
            <v>530</v>
          </cell>
        </row>
        <row r="261">
          <cell r="A261" t="str">
            <v>PO10260</v>
          </cell>
          <cell r="F261">
            <v>510</v>
          </cell>
        </row>
        <row r="262">
          <cell r="A262" t="str">
            <v>PO10261</v>
          </cell>
          <cell r="F262">
            <v>560</v>
          </cell>
        </row>
        <row r="263">
          <cell r="A263" t="str">
            <v>PO10262</v>
          </cell>
          <cell r="F263">
            <v>480</v>
          </cell>
        </row>
        <row r="264">
          <cell r="A264" t="str">
            <v>PO10263</v>
          </cell>
          <cell r="F264">
            <v>480</v>
          </cell>
        </row>
        <row r="265">
          <cell r="A265" t="str">
            <v>PO10264</v>
          </cell>
          <cell r="F265">
            <v>590</v>
          </cell>
        </row>
        <row r="266">
          <cell r="A266" t="str">
            <v>PO10265</v>
          </cell>
          <cell r="F266">
            <v>540</v>
          </cell>
        </row>
        <row r="267">
          <cell r="A267" t="str">
            <v>PO10266</v>
          </cell>
          <cell r="F267">
            <v>430</v>
          </cell>
        </row>
        <row r="268">
          <cell r="A268" t="str">
            <v>PO10267</v>
          </cell>
          <cell r="F268">
            <v>480</v>
          </cell>
        </row>
        <row r="269">
          <cell r="A269" t="str">
            <v>PO10268</v>
          </cell>
          <cell r="F269">
            <v>630</v>
          </cell>
        </row>
        <row r="270">
          <cell r="A270" t="str">
            <v>PO10269</v>
          </cell>
          <cell r="F270">
            <v>730</v>
          </cell>
        </row>
        <row r="271">
          <cell r="A271" t="str">
            <v>PO10270</v>
          </cell>
          <cell r="F271">
            <v>560</v>
          </cell>
        </row>
        <row r="272">
          <cell r="A272" t="str">
            <v>PO10271</v>
          </cell>
          <cell r="F272">
            <v>610</v>
          </cell>
        </row>
        <row r="273">
          <cell r="A273" t="str">
            <v>PO10272</v>
          </cell>
          <cell r="F273">
            <v>560</v>
          </cell>
        </row>
        <row r="274">
          <cell r="A274" t="str">
            <v>PO10273</v>
          </cell>
          <cell r="F274">
            <v>460</v>
          </cell>
        </row>
        <row r="275">
          <cell r="A275" t="str">
            <v>PO10274</v>
          </cell>
          <cell r="F275">
            <v>560</v>
          </cell>
        </row>
        <row r="276">
          <cell r="A276" t="str">
            <v>PO10275</v>
          </cell>
          <cell r="F276">
            <v>500</v>
          </cell>
        </row>
        <row r="277">
          <cell r="A277" t="str">
            <v>PO10276</v>
          </cell>
          <cell r="F277">
            <v>570</v>
          </cell>
        </row>
        <row r="278">
          <cell r="A278" t="str">
            <v>PO10277</v>
          </cell>
          <cell r="F278">
            <v>640</v>
          </cell>
        </row>
        <row r="279">
          <cell r="A279" t="str">
            <v>PO10278</v>
          </cell>
          <cell r="F279">
            <v>510</v>
          </cell>
        </row>
        <row r="280">
          <cell r="A280" t="str">
            <v>PO10279</v>
          </cell>
          <cell r="F280">
            <v>570</v>
          </cell>
        </row>
        <row r="281">
          <cell r="A281" t="str">
            <v>PO10280</v>
          </cell>
          <cell r="F281">
            <v>610</v>
          </cell>
        </row>
        <row r="282">
          <cell r="A282" t="str">
            <v>PO10281</v>
          </cell>
          <cell r="F282">
            <v>400</v>
          </cell>
        </row>
        <row r="283">
          <cell r="A283" t="str">
            <v>PO10282</v>
          </cell>
          <cell r="F283">
            <v>480</v>
          </cell>
        </row>
        <row r="284">
          <cell r="A284" t="str">
            <v>PO10283</v>
          </cell>
          <cell r="F284">
            <v>480</v>
          </cell>
        </row>
        <row r="285">
          <cell r="A285" t="str">
            <v>PO10284</v>
          </cell>
          <cell r="F285">
            <v>540</v>
          </cell>
        </row>
        <row r="286">
          <cell r="A286" t="str">
            <v>PO10285</v>
          </cell>
          <cell r="F286">
            <v>400</v>
          </cell>
        </row>
        <row r="287">
          <cell r="A287" t="str">
            <v>PO10286</v>
          </cell>
          <cell r="F287">
            <v>560</v>
          </cell>
        </row>
        <row r="288">
          <cell r="A288" t="str">
            <v>PO10287</v>
          </cell>
          <cell r="F288">
            <v>560</v>
          </cell>
        </row>
        <row r="289">
          <cell r="A289" t="str">
            <v>PO10288</v>
          </cell>
          <cell r="F289">
            <v>440</v>
          </cell>
        </row>
        <row r="290">
          <cell r="A290" t="str">
            <v>PO10289</v>
          </cell>
          <cell r="F290">
            <v>590</v>
          </cell>
        </row>
        <row r="291">
          <cell r="A291" t="str">
            <v>PO10290</v>
          </cell>
          <cell r="F291">
            <v>410</v>
          </cell>
        </row>
        <row r="292">
          <cell r="A292" t="str">
            <v>PO10291</v>
          </cell>
          <cell r="F292">
            <v>640</v>
          </cell>
        </row>
        <row r="293">
          <cell r="A293" t="str">
            <v>PO10292</v>
          </cell>
          <cell r="F293">
            <v>470</v>
          </cell>
        </row>
        <row r="294">
          <cell r="A294" t="str">
            <v>PO10293</v>
          </cell>
          <cell r="F294">
            <v>650</v>
          </cell>
        </row>
        <row r="295">
          <cell r="A295" t="str">
            <v>PO10294</v>
          </cell>
          <cell r="F295">
            <v>490</v>
          </cell>
        </row>
        <row r="296">
          <cell r="A296" t="str">
            <v>PO10295</v>
          </cell>
          <cell r="F296">
            <v>450</v>
          </cell>
        </row>
        <row r="297">
          <cell r="A297" t="str">
            <v>PO10296</v>
          </cell>
          <cell r="F297">
            <v>560</v>
          </cell>
        </row>
        <row r="298">
          <cell r="A298" t="str">
            <v>PO10297</v>
          </cell>
          <cell r="F298">
            <v>450</v>
          </cell>
        </row>
        <row r="299">
          <cell r="A299" t="str">
            <v>PO10298</v>
          </cell>
          <cell r="F299">
            <v>420</v>
          </cell>
        </row>
        <row r="300">
          <cell r="A300" t="str">
            <v>PO10299</v>
          </cell>
          <cell r="F300">
            <v>580</v>
          </cell>
        </row>
        <row r="301">
          <cell r="A301" t="str">
            <v>PO10300</v>
          </cell>
          <cell r="F301">
            <v>520</v>
          </cell>
        </row>
        <row r="302">
          <cell r="A302" t="str">
            <v>PO10301</v>
          </cell>
          <cell r="F302">
            <v>620</v>
          </cell>
        </row>
        <row r="303">
          <cell r="A303" t="str">
            <v>PO10302</v>
          </cell>
          <cell r="F303">
            <v>400</v>
          </cell>
        </row>
        <row r="304">
          <cell r="A304" t="str">
            <v>PO10303</v>
          </cell>
          <cell r="F304">
            <v>650</v>
          </cell>
        </row>
        <row r="305">
          <cell r="A305" t="str">
            <v>PO10304</v>
          </cell>
          <cell r="F305">
            <v>430</v>
          </cell>
        </row>
        <row r="306">
          <cell r="A306" t="str">
            <v>PO10305</v>
          </cell>
          <cell r="F306">
            <v>520</v>
          </cell>
        </row>
        <row r="307">
          <cell r="A307" t="str">
            <v>PO10306</v>
          </cell>
          <cell r="F307">
            <v>450</v>
          </cell>
        </row>
        <row r="308">
          <cell r="A308" t="str">
            <v>PO10307</v>
          </cell>
          <cell r="F308">
            <v>540</v>
          </cell>
        </row>
        <row r="309">
          <cell r="A309" t="str">
            <v>PO10308</v>
          </cell>
          <cell r="F309">
            <v>580</v>
          </cell>
        </row>
        <row r="310">
          <cell r="A310" t="str">
            <v>PO10309</v>
          </cell>
          <cell r="F310">
            <v>580</v>
          </cell>
        </row>
        <row r="311">
          <cell r="A311" t="str">
            <v>PO10310</v>
          </cell>
          <cell r="F311">
            <v>400</v>
          </cell>
        </row>
        <row r="312">
          <cell r="A312" t="str">
            <v>PO10311</v>
          </cell>
          <cell r="F312">
            <v>450</v>
          </cell>
        </row>
        <row r="313">
          <cell r="A313" t="str">
            <v>PO10312</v>
          </cell>
          <cell r="F313">
            <v>510</v>
          </cell>
        </row>
        <row r="314">
          <cell r="A314" t="str">
            <v>PO10313</v>
          </cell>
          <cell r="F314">
            <v>660</v>
          </cell>
        </row>
        <row r="315">
          <cell r="A315" t="str">
            <v>PO10314</v>
          </cell>
          <cell r="F315">
            <v>500</v>
          </cell>
        </row>
        <row r="316">
          <cell r="A316" t="str">
            <v>PO10315</v>
          </cell>
          <cell r="F316">
            <v>680</v>
          </cell>
        </row>
        <row r="317">
          <cell r="A317" t="str">
            <v>PO10316</v>
          </cell>
          <cell r="F317">
            <v>560</v>
          </cell>
        </row>
        <row r="318">
          <cell r="A318" t="str">
            <v>PO10317</v>
          </cell>
          <cell r="F318">
            <v>480</v>
          </cell>
        </row>
        <row r="319">
          <cell r="A319" t="str">
            <v>PO10318</v>
          </cell>
          <cell r="F319">
            <v>580</v>
          </cell>
        </row>
        <row r="320">
          <cell r="A320" t="str">
            <v>PO10319</v>
          </cell>
          <cell r="F320">
            <v>500</v>
          </cell>
        </row>
        <row r="321">
          <cell r="A321" t="str">
            <v>PO10320</v>
          </cell>
          <cell r="F321">
            <v>580</v>
          </cell>
        </row>
        <row r="322">
          <cell r="A322" t="str">
            <v>PO10321</v>
          </cell>
          <cell r="F322">
            <v>660</v>
          </cell>
        </row>
        <row r="323">
          <cell r="A323" t="str">
            <v>PO10322</v>
          </cell>
          <cell r="F323">
            <v>640</v>
          </cell>
        </row>
        <row r="324">
          <cell r="A324" t="str">
            <v>PO10323</v>
          </cell>
          <cell r="F324">
            <v>650</v>
          </cell>
        </row>
        <row r="325">
          <cell r="A325" t="str">
            <v>PO10324</v>
          </cell>
          <cell r="F325">
            <v>560</v>
          </cell>
        </row>
        <row r="326">
          <cell r="A326" t="str">
            <v>PO10325</v>
          </cell>
          <cell r="F326">
            <v>540</v>
          </cell>
        </row>
        <row r="327">
          <cell r="A327" t="str">
            <v>PO10326</v>
          </cell>
          <cell r="F327">
            <v>560</v>
          </cell>
        </row>
        <row r="328">
          <cell r="A328" t="str">
            <v>PO10327</v>
          </cell>
          <cell r="F328">
            <v>500</v>
          </cell>
        </row>
        <row r="329">
          <cell r="A329" t="str">
            <v>PO10328</v>
          </cell>
          <cell r="F329">
            <v>640</v>
          </cell>
        </row>
        <row r="330">
          <cell r="A330" t="str">
            <v>PO10329</v>
          </cell>
          <cell r="F330">
            <v>500</v>
          </cell>
        </row>
        <row r="331">
          <cell r="A331" t="str">
            <v>PO10330</v>
          </cell>
          <cell r="F331">
            <v>530</v>
          </cell>
        </row>
        <row r="332">
          <cell r="A332" t="str">
            <v>PO10331</v>
          </cell>
          <cell r="F332">
            <v>430</v>
          </cell>
        </row>
        <row r="333">
          <cell r="A333" t="str">
            <v>PO10332</v>
          </cell>
          <cell r="F333">
            <v>520</v>
          </cell>
        </row>
        <row r="334">
          <cell r="A334" t="str">
            <v>PO10333</v>
          </cell>
          <cell r="F334">
            <v>560</v>
          </cell>
        </row>
        <row r="335">
          <cell r="A335" t="str">
            <v>PO10334</v>
          </cell>
          <cell r="F335">
            <v>400</v>
          </cell>
        </row>
        <row r="336">
          <cell r="A336" t="str">
            <v>PO10335</v>
          </cell>
          <cell r="F336">
            <v>570</v>
          </cell>
        </row>
        <row r="337">
          <cell r="A337" t="str">
            <v>PO10336</v>
          </cell>
          <cell r="F337">
            <v>560</v>
          </cell>
        </row>
        <row r="338">
          <cell r="A338" t="str">
            <v>PO10337</v>
          </cell>
          <cell r="F338">
            <v>500</v>
          </cell>
        </row>
        <row r="339">
          <cell r="A339" t="str">
            <v>PO10338</v>
          </cell>
          <cell r="F339">
            <v>590</v>
          </cell>
        </row>
        <row r="340">
          <cell r="A340" t="str">
            <v>PO10339</v>
          </cell>
          <cell r="F340">
            <v>470</v>
          </cell>
        </row>
        <row r="341">
          <cell r="A341" t="str">
            <v>PO10340</v>
          </cell>
          <cell r="F341">
            <v>570</v>
          </cell>
        </row>
        <row r="342">
          <cell r="A342" t="str">
            <v>PO10341</v>
          </cell>
          <cell r="F342">
            <v>550</v>
          </cell>
        </row>
        <row r="343">
          <cell r="A343" t="str">
            <v>PO10342</v>
          </cell>
          <cell r="F343">
            <v>400</v>
          </cell>
        </row>
        <row r="344">
          <cell r="A344" t="str">
            <v>PO10343</v>
          </cell>
          <cell r="F344">
            <v>410</v>
          </cell>
        </row>
        <row r="345">
          <cell r="A345" t="str">
            <v>PO10344</v>
          </cell>
          <cell r="F345">
            <v>630</v>
          </cell>
        </row>
        <row r="346">
          <cell r="A346" t="str">
            <v>PO10345</v>
          </cell>
          <cell r="F346">
            <v>700</v>
          </cell>
        </row>
        <row r="347">
          <cell r="A347" t="str">
            <v>PO10346</v>
          </cell>
          <cell r="F347">
            <v>660</v>
          </cell>
        </row>
        <row r="348">
          <cell r="A348" t="str">
            <v>PO10347</v>
          </cell>
          <cell r="F348">
            <v>500</v>
          </cell>
        </row>
        <row r="349">
          <cell r="A349" t="str">
            <v>PO10348</v>
          </cell>
          <cell r="F349">
            <v>450</v>
          </cell>
        </row>
        <row r="350">
          <cell r="A350" t="str">
            <v>PO10349</v>
          </cell>
          <cell r="F350">
            <v>620</v>
          </cell>
        </row>
        <row r="351">
          <cell r="A351" t="str">
            <v>PO10350</v>
          </cell>
          <cell r="F351">
            <v>420</v>
          </cell>
        </row>
        <row r="352">
          <cell r="A352" t="str">
            <v>PO10351</v>
          </cell>
          <cell r="F352">
            <v>600</v>
          </cell>
        </row>
        <row r="353">
          <cell r="A353" t="str">
            <v>PO10352</v>
          </cell>
          <cell r="F353">
            <v>510</v>
          </cell>
        </row>
        <row r="354">
          <cell r="A354" t="str">
            <v>PO10353</v>
          </cell>
          <cell r="F354">
            <v>680</v>
          </cell>
        </row>
        <row r="355">
          <cell r="A355" t="str">
            <v>PO10354</v>
          </cell>
          <cell r="F355">
            <v>590</v>
          </cell>
        </row>
        <row r="356">
          <cell r="A356" t="str">
            <v>PO10355</v>
          </cell>
          <cell r="F356">
            <v>400</v>
          </cell>
        </row>
        <row r="357">
          <cell r="A357" t="str">
            <v>PO10356</v>
          </cell>
          <cell r="F357">
            <v>470</v>
          </cell>
        </row>
        <row r="358">
          <cell r="A358" t="str">
            <v>PO10357</v>
          </cell>
          <cell r="F358">
            <v>670</v>
          </cell>
        </row>
        <row r="359">
          <cell r="A359" t="str">
            <v>PO10358</v>
          </cell>
          <cell r="F359">
            <v>620</v>
          </cell>
        </row>
        <row r="360">
          <cell r="A360" t="str">
            <v>PO10359</v>
          </cell>
          <cell r="F360">
            <v>520</v>
          </cell>
        </row>
        <row r="361">
          <cell r="A361" t="str">
            <v>PO10360</v>
          </cell>
          <cell r="F361">
            <v>540</v>
          </cell>
        </row>
        <row r="362">
          <cell r="A362" t="str">
            <v>PO10361</v>
          </cell>
          <cell r="F362">
            <v>570</v>
          </cell>
        </row>
        <row r="363">
          <cell r="A363" t="str">
            <v>PO10362</v>
          </cell>
          <cell r="F363">
            <v>420</v>
          </cell>
        </row>
        <row r="364">
          <cell r="A364" t="str">
            <v>PO10363</v>
          </cell>
          <cell r="F364">
            <v>580</v>
          </cell>
        </row>
        <row r="365">
          <cell r="A365" t="str">
            <v>PO10364</v>
          </cell>
          <cell r="F365">
            <v>600</v>
          </cell>
        </row>
        <row r="366">
          <cell r="A366" t="str">
            <v>PO10365</v>
          </cell>
          <cell r="F366">
            <v>590</v>
          </cell>
        </row>
        <row r="367">
          <cell r="A367" t="str">
            <v>PO10366</v>
          </cell>
          <cell r="F367">
            <v>480</v>
          </cell>
        </row>
        <row r="368">
          <cell r="A368" t="str">
            <v>PO10367</v>
          </cell>
          <cell r="F368">
            <v>450</v>
          </cell>
        </row>
        <row r="369">
          <cell r="A369" t="str">
            <v>PO10368</v>
          </cell>
          <cell r="F369">
            <v>580</v>
          </cell>
        </row>
        <row r="370">
          <cell r="A370" t="str">
            <v>PO10369</v>
          </cell>
          <cell r="F370">
            <v>680</v>
          </cell>
        </row>
        <row r="371">
          <cell r="A371" t="str">
            <v>PO10370</v>
          </cell>
          <cell r="F371">
            <v>500</v>
          </cell>
        </row>
        <row r="372">
          <cell r="A372" t="str">
            <v>PO10371</v>
          </cell>
          <cell r="F372">
            <v>500</v>
          </cell>
        </row>
        <row r="373">
          <cell r="A373" t="str">
            <v>PO10372</v>
          </cell>
          <cell r="F373">
            <v>630</v>
          </cell>
        </row>
        <row r="374">
          <cell r="A374" t="str">
            <v>PO10373</v>
          </cell>
          <cell r="F374">
            <v>610</v>
          </cell>
        </row>
        <row r="375">
          <cell r="A375" t="str">
            <v>PO10374</v>
          </cell>
          <cell r="F375">
            <v>640</v>
          </cell>
        </row>
        <row r="376">
          <cell r="A376" t="str">
            <v>PO10375</v>
          </cell>
          <cell r="F376">
            <v>620</v>
          </cell>
        </row>
        <row r="377">
          <cell r="A377" t="str">
            <v>PO10376</v>
          </cell>
          <cell r="F377">
            <v>550</v>
          </cell>
        </row>
        <row r="378">
          <cell r="A378" t="str">
            <v>PO10377</v>
          </cell>
          <cell r="F378">
            <v>540</v>
          </cell>
        </row>
        <row r="379">
          <cell r="A379" t="str">
            <v>PO10378</v>
          </cell>
          <cell r="F379">
            <v>400</v>
          </cell>
        </row>
        <row r="380">
          <cell r="A380" t="str">
            <v>PO10379</v>
          </cell>
          <cell r="F380">
            <v>590</v>
          </cell>
        </row>
        <row r="381">
          <cell r="A381" t="str">
            <v>PO10380</v>
          </cell>
          <cell r="F381">
            <v>420</v>
          </cell>
        </row>
        <row r="382">
          <cell r="A382" t="str">
            <v>PO10381</v>
          </cell>
          <cell r="F382">
            <v>620</v>
          </cell>
        </row>
        <row r="383">
          <cell r="A383" t="str">
            <v>PO10382</v>
          </cell>
          <cell r="F383">
            <v>400</v>
          </cell>
        </row>
        <row r="384">
          <cell r="A384" t="str">
            <v>PO10383</v>
          </cell>
          <cell r="F384">
            <v>500</v>
          </cell>
        </row>
        <row r="385">
          <cell r="A385" t="str">
            <v>PO10384</v>
          </cell>
          <cell r="F385">
            <v>550</v>
          </cell>
        </row>
        <row r="386">
          <cell r="A386" t="str">
            <v>PO10385</v>
          </cell>
          <cell r="F386">
            <v>730</v>
          </cell>
        </row>
        <row r="387">
          <cell r="A387" t="str">
            <v>PO10386</v>
          </cell>
          <cell r="F387">
            <v>490</v>
          </cell>
        </row>
        <row r="388">
          <cell r="A388" t="str">
            <v>PO10387</v>
          </cell>
          <cell r="F388">
            <v>720</v>
          </cell>
        </row>
        <row r="389">
          <cell r="A389" t="str">
            <v>PO10388</v>
          </cell>
          <cell r="F389">
            <v>590</v>
          </cell>
        </row>
        <row r="390">
          <cell r="A390" t="str">
            <v>PO10389</v>
          </cell>
          <cell r="F390">
            <v>600</v>
          </cell>
        </row>
        <row r="391">
          <cell r="A391" t="str">
            <v>PO10390</v>
          </cell>
          <cell r="F391">
            <v>580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vailability_KPI"/>
      <sheetName val="VSM_Analysis_Result"/>
      <sheetName val="Production_KPIs"/>
      <sheetName val="Performance_Analysis_Product"/>
      <sheetName val="OEE_Analysis"/>
      <sheetName val="Process_Analysis"/>
    </sheetNames>
    <sheetDataSet>
      <sheetData sheetId="0"/>
      <sheetData sheetId="1">
        <row r="2">
          <cell r="K2">
            <v>0.97891111111111107</v>
          </cell>
        </row>
        <row r="3">
          <cell r="K3">
            <v>0.97404444444444438</v>
          </cell>
        </row>
        <row r="4">
          <cell r="K4">
            <v>0.96071111111111107</v>
          </cell>
        </row>
        <row r="5">
          <cell r="K5">
            <v>0.96788888888888891</v>
          </cell>
        </row>
        <row r="6">
          <cell r="K6">
            <v>0.97720000000000007</v>
          </cell>
        </row>
        <row r="7">
          <cell r="K7">
            <v>0.90768888888888888</v>
          </cell>
        </row>
        <row r="8">
          <cell r="K8">
            <v>0.92588888888888887</v>
          </cell>
        </row>
        <row r="9">
          <cell r="K9">
            <v>0.98124444444444447</v>
          </cell>
        </row>
        <row r="10">
          <cell r="K10">
            <v>0.98022222222222233</v>
          </cell>
        </row>
        <row r="11">
          <cell r="K11">
            <v>0.96899999999999997</v>
          </cell>
        </row>
        <row r="12">
          <cell r="K12">
            <v>0.96353333333333324</v>
          </cell>
        </row>
        <row r="13">
          <cell r="K13">
            <v>0.97624444444444447</v>
          </cell>
        </row>
        <row r="14">
          <cell r="K14">
            <v>0.97217777777777781</v>
          </cell>
        </row>
        <row r="15">
          <cell r="K15">
            <v>0.88871111111111112</v>
          </cell>
        </row>
        <row r="16">
          <cell r="K16">
            <v>0.96273333333333333</v>
          </cell>
        </row>
        <row r="17">
          <cell r="K17">
            <v>0.98331111111111114</v>
          </cell>
        </row>
        <row r="18">
          <cell r="K18">
            <v>0.98311111111111105</v>
          </cell>
        </row>
        <row r="19">
          <cell r="K19">
            <v>0.96677777777777785</v>
          </cell>
        </row>
        <row r="20">
          <cell r="K20">
            <v>0.96239999999999992</v>
          </cell>
        </row>
        <row r="21">
          <cell r="K21">
            <v>0.96822222222222221</v>
          </cell>
        </row>
        <row r="22">
          <cell r="K22">
            <v>0.97588888888888881</v>
          </cell>
        </row>
        <row r="23">
          <cell r="K23">
            <v>0.92666666666666664</v>
          </cell>
        </row>
        <row r="24">
          <cell r="K24">
            <v>0.95071111111111106</v>
          </cell>
        </row>
        <row r="25">
          <cell r="K25">
            <v>0.98019999999999996</v>
          </cell>
        </row>
        <row r="26">
          <cell r="K26">
            <v>0.97471111111111108</v>
          </cell>
        </row>
        <row r="27">
          <cell r="K27">
            <v>0.97788888888888892</v>
          </cell>
        </row>
        <row r="28">
          <cell r="K28">
            <v>0.96071111111111107</v>
          </cell>
        </row>
        <row r="29">
          <cell r="K29">
            <v>0.97764444444444443</v>
          </cell>
        </row>
        <row r="30">
          <cell r="K30">
            <v>0.96331111111111112</v>
          </cell>
        </row>
        <row r="31">
          <cell r="K31">
            <v>0.92388888888888887</v>
          </cell>
        </row>
        <row r="32">
          <cell r="K32">
            <v>0.95128888888888885</v>
          </cell>
        </row>
        <row r="33">
          <cell r="K33">
            <v>0.9758444444444444</v>
          </cell>
        </row>
        <row r="34">
          <cell r="K34">
            <v>0.97495555555555558</v>
          </cell>
        </row>
        <row r="35">
          <cell r="K35">
            <v>0.96531111111111112</v>
          </cell>
        </row>
        <row r="36">
          <cell r="K36">
            <v>0.95575555555555547</v>
          </cell>
        </row>
        <row r="37">
          <cell r="K37">
            <v>0.9761333333333333</v>
          </cell>
        </row>
        <row r="38">
          <cell r="K38">
            <v>0.96282222222222213</v>
          </cell>
        </row>
        <row r="39">
          <cell r="K39">
            <v>0.90795555555555552</v>
          </cell>
        </row>
        <row r="40">
          <cell r="K40">
            <v>0.94162222222222225</v>
          </cell>
        </row>
        <row r="41">
          <cell r="K41">
            <v>0.97828888888888887</v>
          </cell>
        </row>
        <row r="42">
          <cell r="K42">
            <v>0.97751111111111111</v>
          </cell>
        </row>
        <row r="43">
          <cell r="K43">
            <v>0.9658888888888888</v>
          </cell>
        </row>
        <row r="44">
          <cell r="K44">
            <v>0.96208888888888888</v>
          </cell>
        </row>
        <row r="45">
          <cell r="K45">
            <v>0.96679999999999999</v>
          </cell>
        </row>
        <row r="46">
          <cell r="K46">
            <v>0.9675555555555555</v>
          </cell>
        </row>
        <row r="47">
          <cell r="K47">
            <v>0.91895555555555553</v>
          </cell>
        </row>
        <row r="48">
          <cell r="K48">
            <v>0.95646666666666658</v>
          </cell>
        </row>
        <row r="49">
          <cell r="K49">
            <v>0.97406666666666664</v>
          </cell>
        </row>
        <row r="50">
          <cell r="K50">
            <v>0.98124444444444447</v>
          </cell>
        </row>
        <row r="51">
          <cell r="K51">
            <v>0.97220000000000006</v>
          </cell>
        </row>
        <row r="52">
          <cell r="K52">
            <v>0.97099999999999997</v>
          </cell>
        </row>
        <row r="53">
          <cell r="K53">
            <v>0.97220000000000006</v>
          </cell>
        </row>
        <row r="54">
          <cell r="K54">
            <v>0.97486666666666666</v>
          </cell>
        </row>
        <row r="55">
          <cell r="K55">
            <v>0.91413333333333335</v>
          </cell>
        </row>
        <row r="56">
          <cell r="K56">
            <v>0.94704444444444447</v>
          </cell>
        </row>
        <row r="57">
          <cell r="K57">
            <v>0.97271111111111119</v>
          </cell>
        </row>
        <row r="58">
          <cell r="K58">
            <v>0.97628888888888887</v>
          </cell>
        </row>
        <row r="59">
          <cell r="K59">
            <v>0.96419999999999995</v>
          </cell>
        </row>
        <row r="60">
          <cell r="K60">
            <v>0.97008888888888889</v>
          </cell>
        </row>
        <row r="61">
          <cell r="K61">
            <v>0.97</v>
          </cell>
        </row>
        <row r="62">
          <cell r="K62">
            <v>0.96426666666666672</v>
          </cell>
        </row>
        <row r="63">
          <cell r="K63">
            <v>0.91795555555555552</v>
          </cell>
        </row>
        <row r="64">
          <cell r="K64">
            <v>0.94557777777777774</v>
          </cell>
        </row>
        <row r="65">
          <cell r="K65">
            <v>1</v>
          </cell>
        </row>
        <row r="66">
          <cell r="K66">
            <v>0.98186666666666667</v>
          </cell>
        </row>
        <row r="67">
          <cell r="K67">
            <v>0.96488888888888891</v>
          </cell>
        </row>
        <row r="68">
          <cell r="K68">
            <v>0.95068888888888892</v>
          </cell>
        </row>
        <row r="69">
          <cell r="K69">
            <v>0.96695555555555557</v>
          </cell>
        </row>
        <row r="70">
          <cell r="K70">
            <v>0.96444444444444444</v>
          </cell>
        </row>
        <row r="71">
          <cell r="K71">
            <v>0.91231111111111118</v>
          </cell>
        </row>
        <row r="72">
          <cell r="K72">
            <v>0.95739999999999992</v>
          </cell>
        </row>
        <row r="73">
          <cell r="K73">
            <v>0.97504444444444438</v>
          </cell>
        </row>
        <row r="74">
          <cell r="K74">
            <v>0.97940000000000005</v>
          </cell>
        </row>
        <row r="75">
          <cell r="K75">
            <v>0.97557777777777777</v>
          </cell>
        </row>
        <row r="76">
          <cell r="K76">
            <v>0.9658888888888888</v>
          </cell>
        </row>
        <row r="77">
          <cell r="K77">
            <v>0.96748888888888895</v>
          </cell>
        </row>
        <row r="78">
          <cell r="K78">
            <v>0.97011111111111115</v>
          </cell>
        </row>
        <row r="79">
          <cell r="K79">
            <v>0.91039999999999999</v>
          </cell>
        </row>
        <row r="80">
          <cell r="K80">
            <v>0.94037777777777787</v>
          </cell>
        </row>
        <row r="81">
          <cell r="K81">
            <v>0.97622222222222221</v>
          </cell>
        </row>
        <row r="82">
          <cell r="K82">
            <v>0.97522222222222232</v>
          </cell>
        </row>
        <row r="83">
          <cell r="K83">
            <v>0.96702222222222223</v>
          </cell>
        </row>
        <row r="84">
          <cell r="K84">
            <v>0.96113333333333328</v>
          </cell>
        </row>
        <row r="85">
          <cell r="K85">
            <v>0.97975555555555549</v>
          </cell>
        </row>
        <row r="86">
          <cell r="K86">
            <v>0.97433333333333327</v>
          </cell>
        </row>
        <row r="87">
          <cell r="K87">
            <v>0.91211111111111109</v>
          </cell>
        </row>
        <row r="88">
          <cell r="K88">
            <v>0.95015555555555553</v>
          </cell>
        </row>
        <row r="89">
          <cell r="K89">
            <v>0.98377777777777775</v>
          </cell>
        </row>
        <row r="90">
          <cell r="K90">
            <v>0.9800888888888889</v>
          </cell>
        </row>
        <row r="91">
          <cell r="K91">
            <v>0.97333333333333338</v>
          </cell>
        </row>
        <row r="92">
          <cell r="K92">
            <v>0.97191111111111117</v>
          </cell>
        </row>
        <row r="93">
          <cell r="K93">
            <v>0.97964444444444443</v>
          </cell>
        </row>
        <row r="94">
          <cell r="K94">
            <v>0.97331111111111113</v>
          </cell>
        </row>
        <row r="95">
          <cell r="K95">
            <v>0.92028888888888893</v>
          </cell>
        </row>
        <row r="96">
          <cell r="K96">
            <v>0.96157777777777775</v>
          </cell>
        </row>
        <row r="97">
          <cell r="K97">
            <v>0.98044444444444445</v>
          </cell>
        </row>
        <row r="98">
          <cell r="K98">
            <v>0.98399999999999999</v>
          </cell>
        </row>
        <row r="99">
          <cell r="K99">
            <v>0.9801333333333333</v>
          </cell>
        </row>
        <row r="100">
          <cell r="K100">
            <v>0.97104444444444449</v>
          </cell>
        </row>
        <row r="101">
          <cell r="K101">
            <v>0.97997777777777784</v>
          </cell>
        </row>
        <row r="102">
          <cell r="K102">
            <v>0.97593333333333332</v>
          </cell>
        </row>
        <row r="103">
          <cell r="K103">
            <v>0.93804444444444446</v>
          </cell>
        </row>
        <row r="104">
          <cell r="K104">
            <v>0.94551111111111119</v>
          </cell>
        </row>
        <row r="105">
          <cell r="K105">
            <v>0.98562222222222218</v>
          </cell>
        </row>
        <row r="106">
          <cell r="K106">
            <v>0.9801777777777777</v>
          </cell>
        </row>
        <row r="107">
          <cell r="K107">
            <v>0.97004444444444438</v>
          </cell>
        </row>
        <row r="108">
          <cell r="K108">
            <v>0.97104444444444449</v>
          </cell>
        </row>
        <row r="109">
          <cell r="K109">
            <v>0.97955555555555562</v>
          </cell>
        </row>
        <row r="110">
          <cell r="K110">
            <v>0.97802222222222224</v>
          </cell>
        </row>
        <row r="111">
          <cell r="K111">
            <v>0.90726666666666667</v>
          </cell>
        </row>
        <row r="112">
          <cell r="K112">
            <v>0.96524444444444446</v>
          </cell>
        </row>
        <row r="113">
          <cell r="K113">
            <v>0.9794666666666666</v>
          </cell>
        </row>
        <row r="114">
          <cell r="K114">
            <v>0.98273333333333335</v>
          </cell>
        </row>
        <row r="115">
          <cell r="K115">
            <v>0.97122222222222221</v>
          </cell>
        </row>
        <row r="116">
          <cell r="K116">
            <v>0.96984444444444451</v>
          </cell>
        </row>
        <row r="117">
          <cell r="K117">
            <v>0.97148888888888896</v>
          </cell>
        </row>
        <row r="118">
          <cell r="K118">
            <v>0.97835555555555553</v>
          </cell>
        </row>
        <row r="119">
          <cell r="K119">
            <v>0.9128222222222222</v>
          </cell>
        </row>
        <row r="120">
          <cell r="K120">
            <v>0.94611111111111112</v>
          </cell>
        </row>
        <row r="121">
          <cell r="K121">
            <v>0.97919999999999996</v>
          </cell>
        </row>
        <row r="122">
          <cell r="K122">
            <v>0.97671111111111109</v>
          </cell>
        </row>
        <row r="123">
          <cell r="K123">
            <v>0.97742222222222219</v>
          </cell>
        </row>
        <row r="124">
          <cell r="K124">
            <v>0.95753333333333335</v>
          </cell>
        </row>
        <row r="125">
          <cell r="K125">
            <v>0.98059999999999992</v>
          </cell>
        </row>
        <row r="126">
          <cell r="K126">
            <v>0.96908888888888889</v>
          </cell>
        </row>
        <row r="127">
          <cell r="K127">
            <v>0.91213333333333324</v>
          </cell>
        </row>
        <row r="128">
          <cell r="K128">
            <v>0.94651111111111108</v>
          </cell>
        </row>
        <row r="129">
          <cell r="K129">
            <v>0.97788888888888892</v>
          </cell>
        </row>
        <row r="130">
          <cell r="K130">
            <v>0.98406666666666665</v>
          </cell>
        </row>
        <row r="131">
          <cell r="K131">
            <v>0.96855555555555561</v>
          </cell>
        </row>
        <row r="132">
          <cell r="K132">
            <v>0.9578888888888889</v>
          </cell>
        </row>
        <row r="133">
          <cell r="K133">
            <v>0.97462222222222217</v>
          </cell>
        </row>
        <row r="134">
          <cell r="K134">
            <v>0.97522222222222232</v>
          </cell>
        </row>
        <row r="135">
          <cell r="K135">
            <v>0.89668888888888887</v>
          </cell>
        </row>
        <row r="136">
          <cell r="K136">
            <v>0.9598888888888889</v>
          </cell>
        </row>
        <row r="137">
          <cell r="K137">
            <v>0.97575555555555549</v>
          </cell>
        </row>
        <row r="138">
          <cell r="K138">
            <v>0.97046666666666659</v>
          </cell>
        </row>
        <row r="139">
          <cell r="K139">
            <v>0.96973333333333334</v>
          </cell>
        </row>
        <row r="140">
          <cell r="K140">
            <v>0.95864444444444441</v>
          </cell>
        </row>
        <row r="141">
          <cell r="K141">
            <v>0.97371111111111119</v>
          </cell>
        </row>
        <row r="142">
          <cell r="K142">
            <v>0.9738</v>
          </cell>
        </row>
        <row r="143">
          <cell r="K143">
            <v>0.92900000000000005</v>
          </cell>
        </row>
        <row r="144">
          <cell r="K144">
            <v>0.95368888888888892</v>
          </cell>
        </row>
        <row r="145">
          <cell r="K145">
            <v>0.97919999999999996</v>
          </cell>
        </row>
        <row r="146">
          <cell r="K146">
            <v>0.97839999999999994</v>
          </cell>
        </row>
        <row r="147">
          <cell r="K147">
            <v>0.96522222222222231</v>
          </cell>
        </row>
        <row r="148">
          <cell r="K148">
            <v>0.96211111111111114</v>
          </cell>
        </row>
        <row r="149">
          <cell r="K149">
            <v>0.97602222222222212</v>
          </cell>
        </row>
        <row r="150">
          <cell r="K150">
            <v>0.97815555555555556</v>
          </cell>
        </row>
        <row r="151">
          <cell r="K151">
            <v>0.89144444444444437</v>
          </cell>
        </row>
        <row r="152">
          <cell r="K152">
            <v>0.9618888888888889</v>
          </cell>
        </row>
        <row r="153">
          <cell r="K153">
            <v>0.98188888888888892</v>
          </cell>
        </row>
        <row r="154">
          <cell r="K154">
            <v>0.98468888888888895</v>
          </cell>
        </row>
        <row r="155">
          <cell r="K155">
            <v>0.98022222222222233</v>
          </cell>
        </row>
        <row r="156">
          <cell r="K156">
            <v>0.96693333333333331</v>
          </cell>
        </row>
        <row r="157">
          <cell r="K157">
            <v>0.97228888888888887</v>
          </cell>
        </row>
        <row r="158">
          <cell r="K158">
            <v>0.97335555555555553</v>
          </cell>
        </row>
        <row r="159">
          <cell r="K159">
            <v>0.95457777777777775</v>
          </cell>
        </row>
        <row r="160">
          <cell r="K160">
            <v>0.96008888888888888</v>
          </cell>
        </row>
        <row r="161">
          <cell r="K161">
            <v>0.98440000000000005</v>
          </cell>
        </row>
        <row r="162">
          <cell r="K162">
            <v>0.98019999999999996</v>
          </cell>
        </row>
        <row r="163">
          <cell r="K163">
            <v>0.97455555555555562</v>
          </cell>
        </row>
        <row r="164">
          <cell r="K164">
            <v>0.95739999999999992</v>
          </cell>
        </row>
        <row r="165">
          <cell r="K165">
            <v>0.97448888888888885</v>
          </cell>
        </row>
        <row r="166">
          <cell r="K166">
            <v>0.97006666666666663</v>
          </cell>
        </row>
        <row r="167">
          <cell r="K167">
            <v>0.93986666666666663</v>
          </cell>
        </row>
        <row r="168">
          <cell r="K168">
            <v>0.96499999999999997</v>
          </cell>
        </row>
        <row r="169">
          <cell r="K169">
            <v>0.98395555555555547</v>
          </cell>
        </row>
        <row r="170">
          <cell r="K170">
            <v>0.97795555555555547</v>
          </cell>
        </row>
        <row r="171">
          <cell r="K171">
            <v>0.97300000000000009</v>
          </cell>
        </row>
        <row r="172">
          <cell r="K172">
            <v>0.96711111111111103</v>
          </cell>
        </row>
        <row r="173">
          <cell r="K173">
            <v>0.97362222222222217</v>
          </cell>
        </row>
        <row r="174">
          <cell r="K174">
            <v>0.9767555555555556</v>
          </cell>
        </row>
        <row r="175">
          <cell r="K175">
            <v>0.92575555555555566</v>
          </cell>
        </row>
        <row r="176">
          <cell r="K176">
            <v>0.96468888888888893</v>
          </cell>
        </row>
        <row r="177">
          <cell r="K177">
            <v>0.97393333333333332</v>
          </cell>
        </row>
        <row r="178">
          <cell r="K178">
            <v>0.97800000000000009</v>
          </cell>
        </row>
        <row r="179">
          <cell r="K179">
            <v>0.97355555555555562</v>
          </cell>
        </row>
        <row r="180">
          <cell r="K180">
            <v>0.95364444444444441</v>
          </cell>
        </row>
        <row r="181">
          <cell r="K181">
            <v>0.97446666666666659</v>
          </cell>
        </row>
        <row r="182">
          <cell r="K182">
            <v>0.96793333333333331</v>
          </cell>
        </row>
        <row r="183">
          <cell r="K183">
            <v>0.90277777777777779</v>
          </cell>
        </row>
        <row r="184">
          <cell r="K184">
            <v>0.94393333333333329</v>
          </cell>
        </row>
        <row r="185">
          <cell r="K185">
            <v>0.97848888888888885</v>
          </cell>
        </row>
        <row r="186">
          <cell r="K186">
            <v>0.9830000000000001</v>
          </cell>
        </row>
        <row r="187">
          <cell r="K187">
            <v>0.97853333333333326</v>
          </cell>
        </row>
        <row r="188">
          <cell r="K188">
            <v>0.96286666666666676</v>
          </cell>
        </row>
        <row r="189">
          <cell r="K189">
            <v>0.9777111111111112</v>
          </cell>
        </row>
        <row r="190">
          <cell r="K190">
            <v>0.97815555555555556</v>
          </cell>
        </row>
        <row r="191">
          <cell r="K191">
            <v>0.92904444444444445</v>
          </cell>
        </row>
        <row r="192">
          <cell r="K192">
            <v>0.94908888888888887</v>
          </cell>
        </row>
        <row r="193">
          <cell r="K193">
            <v>0.99164444444444444</v>
          </cell>
        </row>
        <row r="194">
          <cell r="K194">
            <v>0.98071111111111109</v>
          </cell>
        </row>
        <row r="195">
          <cell r="K195">
            <v>0.97186666666666666</v>
          </cell>
        </row>
        <row r="196">
          <cell r="K196">
            <v>0.95982222222222224</v>
          </cell>
        </row>
        <row r="197">
          <cell r="K197">
            <v>0.97833333333333339</v>
          </cell>
        </row>
        <row r="198">
          <cell r="K198">
            <v>0.9641777777777778</v>
          </cell>
        </row>
        <row r="199">
          <cell r="K199">
            <v>0.9390222222222222</v>
          </cell>
        </row>
        <row r="200">
          <cell r="K200">
            <v>0.95686666666666664</v>
          </cell>
        </row>
        <row r="201">
          <cell r="K201">
            <v>0.97591111111111117</v>
          </cell>
        </row>
        <row r="202">
          <cell r="K202">
            <v>0.98602222222222213</v>
          </cell>
        </row>
        <row r="203">
          <cell r="K203">
            <v>0.97373333333333334</v>
          </cell>
        </row>
        <row r="204">
          <cell r="K204">
            <v>0.95764444444444441</v>
          </cell>
        </row>
        <row r="205">
          <cell r="K205">
            <v>0.9820444444444445</v>
          </cell>
        </row>
        <row r="206">
          <cell r="K206">
            <v>0.9780888888888889</v>
          </cell>
        </row>
        <row r="207">
          <cell r="K207">
            <v>0.91308888888888884</v>
          </cell>
        </row>
        <row r="208">
          <cell r="K208">
            <v>0.95033333333333325</v>
          </cell>
        </row>
        <row r="209">
          <cell r="K209">
            <v>0.98402222222222224</v>
          </cell>
        </row>
        <row r="210">
          <cell r="K210">
            <v>0.98428888888888888</v>
          </cell>
        </row>
        <row r="211">
          <cell r="K211">
            <v>0.97559999999999991</v>
          </cell>
        </row>
        <row r="212">
          <cell r="K212">
            <v>0.9648000000000001</v>
          </cell>
        </row>
        <row r="213">
          <cell r="K213">
            <v>0.97135555555555564</v>
          </cell>
        </row>
        <row r="214">
          <cell r="K214">
            <v>0.97048888888888896</v>
          </cell>
        </row>
        <row r="215">
          <cell r="K215">
            <v>0.90364444444444436</v>
          </cell>
        </row>
        <row r="216">
          <cell r="K216">
            <v>0.94575555555555546</v>
          </cell>
        </row>
        <row r="217">
          <cell r="K217">
            <v>0.97717777777777781</v>
          </cell>
        </row>
        <row r="218">
          <cell r="K218">
            <v>0.98464444444444443</v>
          </cell>
        </row>
        <row r="219">
          <cell r="K219">
            <v>0.96862222222222216</v>
          </cell>
        </row>
        <row r="220">
          <cell r="K220">
            <v>0.97126666666666661</v>
          </cell>
        </row>
        <row r="221">
          <cell r="K221">
            <v>0.97655555555555551</v>
          </cell>
        </row>
        <row r="222">
          <cell r="K222">
            <v>0.9724666666666667</v>
          </cell>
        </row>
        <row r="223">
          <cell r="K223">
            <v>0.92695555555555553</v>
          </cell>
        </row>
        <row r="224">
          <cell r="K224">
            <v>0.9588444444444445</v>
          </cell>
        </row>
        <row r="225">
          <cell r="K225">
            <v>0.98306666666666664</v>
          </cell>
        </row>
        <row r="226">
          <cell r="K226">
            <v>0.98573333333333335</v>
          </cell>
        </row>
        <row r="227">
          <cell r="K227">
            <v>0.97888888888888892</v>
          </cell>
        </row>
        <row r="228">
          <cell r="K228">
            <v>0.96560000000000001</v>
          </cell>
        </row>
        <row r="229">
          <cell r="K229">
            <v>0.97726666666666662</v>
          </cell>
        </row>
        <row r="230">
          <cell r="K230">
            <v>0.97811111111111104</v>
          </cell>
        </row>
        <row r="231">
          <cell r="K231">
            <v>0.92757777777777772</v>
          </cell>
        </row>
        <row r="232">
          <cell r="K232">
            <v>0.96822222222222221</v>
          </cell>
        </row>
        <row r="233">
          <cell r="K233">
            <v>0.97957777777777777</v>
          </cell>
        </row>
        <row r="234">
          <cell r="K234">
            <v>0.9847555555555555</v>
          </cell>
        </row>
        <row r="235">
          <cell r="K235">
            <v>0.96397777777777782</v>
          </cell>
        </row>
        <row r="236">
          <cell r="K236">
            <v>0.97328888888888898</v>
          </cell>
        </row>
        <row r="237">
          <cell r="K237">
            <v>0.97293333333333332</v>
          </cell>
        </row>
        <row r="238">
          <cell r="K238">
            <v>0.96826666666666672</v>
          </cell>
        </row>
        <row r="239">
          <cell r="K239">
            <v>0.91562222222222212</v>
          </cell>
        </row>
        <row r="240">
          <cell r="K240">
            <v>0.95217777777777779</v>
          </cell>
        </row>
        <row r="241">
          <cell r="K241">
            <v>0.9843777777777778</v>
          </cell>
        </row>
        <row r="242">
          <cell r="K242">
            <v>0.98044444444444445</v>
          </cell>
        </row>
        <row r="243">
          <cell r="K243">
            <v>0.97277777777777774</v>
          </cell>
        </row>
        <row r="244">
          <cell r="K244">
            <v>0.95946666666666669</v>
          </cell>
        </row>
        <row r="245">
          <cell r="K245">
            <v>0.97315555555555555</v>
          </cell>
        </row>
        <row r="246">
          <cell r="K246">
            <v>0.97242222222222219</v>
          </cell>
        </row>
        <row r="247">
          <cell r="K247">
            <v>0.91937777777777785</v>
          </cell>
        </row>
        <row r="248">
          <cell r="K248">
            <v>0.96593333333333342</v>
          </cell>
        </row>
        <row r="249">
          <cell r="K249">
            <v>0.98128888888888888</v>
          </cell>
        </row>
        <row r="250">
          <cell r="K250">
            <v>0.9843777777777778</v>
          </cell>
        </row>
        <row r="251">
          <cell r="K251">
            <v>0.97260000000000002</v>
          </cell>
        </row>
        <row r="252">
          <cell r="K252">
            <v>0.95942222222222229</v>
          </cell>
        </row>
        <row r="253">
          <cell r="K253">
            <v>0.97686666666666666</v>
          </cell>
        </row>
        <row r="254">
          <cell r="K254">
            <v>0.97911111111111115</v>
          </cell>
        </row>
        <row r="255">
          <cell r="K255">
            <v>0.92462222222222223</v>
          </cell>
        </row>
        <row r="256">
          <cell r="K256">
            <v>0.96400000000000008</v>
          </cell>
        </row>
        <row r="257">
          <cell r="K257">
            <v>0.97693333333333332</v>
          </cell>
        </row>
        <row r="258">
          <cell r="K258">
            <v>0.99184444444444442</v>
          </cell>
        </row>
        <row r="259">
          <cell r="K259">
            <v>0.9784222222222223</v>
          </cell>
        </row>
        <row r="260">
          <cell r="K260">
            <v>0.96379999999999999</v>
          </cell>
        </row>
        <row r="261">
          <cell r="K261">
            <v>0.97813333333333341</v>
          </cell>
        </row>
        <row r="262">
          <cell r="K262">
            <v>0.97068888888888893</v>
          </cell>
        </row>
        <row r="263">
          <cell r="K263">
            <v>0.89848888888888889</v>
          </cell>
        </row>
        <row r="264">
          <cell r="K264">
            <v>0.96344444444444444</v>
          </cell>
        </row>
        <row r="265">
          <cell r="K265">
            <v>0.98080000000000001</v>
          </cell>
        </row>
        <row r="266">
          <cell r="K266">
            <v>0.97748888888888885</v>
          </cell>
        </row>
        <row r="267">
          <cell r="K267">
            <v>0.97819999999999996</v>
          </cell>
        </row>
        <row r="268">
          <cell r="K268">
            <v>0.9718444444444444</v>
          </cell>
        </row>
        <row r="269">
          <cell r="K269">
            <v>0.97926666666666673</v>
          </cell>
        </row>
        <row r="270">
          <cell r="K270">
            <v>0.9728</v>
          </cell>
        </row>
        <row r="271">
          <cell r="K271">
            <v>0.93628888888888884</v>
          </cell>
        </row>
        <row r="272">
          <cell r="K272">
            <v>0.96057777777777775</v>
          </cell>
        </row>
        <row r="273">
          <cell r="K273">
            <v>0.97706666666666664</v>
          </cell>
        </row>
        <row r="274">
          <cell r="K274">
            <v>0.97391111111111106</v>
          </cell>
        </row>
        <row r="275">
          <cell r="K275">
            <v>0.97102222222222223</v>
          </cell>
        </row>
        <row r="276">
          <cell r="K276">
            <v>0.95900000000000007</v>
          </cell>
        </row>
        <row r="277">
          <cell r="K277">
            <v>0.96931111111111112</v>
          </cell>
        </row>
        <row r="278">
          <cell r="K278">
            <v>0.96371111111111118</v>
          </cell>
        </row>
        <row r="279">
          <cell r="K279">
            <v>0.89906666666666668</v>
          </cell>
        </row>
        <row r="280">
          <cell r="K280">
            <v>0.93682222222222222</v>
          </cell>
        </row>
        <row r="281">
          <cell r="K281">
            <v>0.97926666666666673</v>
          </cell>
        </row>
        <row r="282">
          <cell r="K282">
            <v>0.97806666666666664</v>
          </cell>
        </row>
        <row r="283">
          <cell r="K283">
            <v>0.97288888888888891</v>
          </cell>
        </row>
        <row r="284">
          <cell r="K284">
            <v>0.95771111111111118</v>
          </cell>
        </row>
        <row r="285">
          <cell r="K285">
            <v>0.97464444444444442</v>
          </cell>
        </row>
        <row r="286">
          <cell r="K286">
            <v>0.9684222222222223</v>
          </cell>
        </row>
        <row r="287">
          <cell r="K287">
            <v>0.90786666666666671</v>
          </cell>
        </row>
        <row r="288">
          <cell r="K288">
            <v>0.9502222222222223</v>
          </cell>
        </row>
        <row r="289">
          <cell r="K289">
            <v>0.9758444444444444</v>
          </cell>
        </row>
        <row r="290">
          <cell r="K290">
            <v>0.97671111111111109</v>
          </cell>
        </row>
        <row r="291">
          <cell r="K291">
            <v>0.96899999999999997</v>
          </cell>
        </row>
        <row r="292">
          <cell r="K292">
            <v>0.95348888888888883</v>
          </cell>
        </row>
        <row r="293">
          <cell r="K293">
            <v>0.97728888888888887</v>
          </cell>
        </row>
        <row r="294">
          <cell r="K294">
            <v>0.97066666666666668</v>
          </cell>
        </row>
        <row r="295">
          <cell r="K295">
            <v>0.91528888888888893</v>
          </cell>
        </row>
        <row r="296">
          <cell r="K296">
            <v>0.94228888888888884</v>
          </cell>
        </row>
        <row r="297">
          <cell r="K297">
            <v>0.98422222222222222</v>
          </cell>
        </row>
        <row r="298">
          <cell r="K298">
            <v>0.97948888888888885</v>
          </cell>
        </row>
        <row r="299">
          <cell r="K299">
            <v>0.97753333333333325</v>
          </cell>
        </row>
        <row r="300">
          <cell r="K300">
            <v>0.96517777777777769</v>
          </cell>
        </row>
        <row r="301">
          <cell r="K301">
            <v>0.97499999999999998</v>
          </cell>
        </row>
        <row r="302">
          <cell r="K302">
            <v>0.97331111111111113</v>
          </cell>
        </row>
        <row r="303">
          <cell r="K303">
            <v>0.92426666666666668</v>
          </cell>
        </row>
        <row r="304">
          <cell r="K304">
            <v>0.96426666666666672</v>
          </cell>
        </row>
        <row r="305">
          <cell r="K305">
            <v>0.98413333333333342</v>
          </cell>
        </row>
        <row r="306">
          <cell r="K306">
            <v>0.97960000000000003</v>
          </cell>
        </row>
        <row r="307">
          <cell r="K307">
            <v>0.97595555555555558</v>
          </cell>
        </row>
        <row r="308">
          <cell r="K308">
            <v>0.95924444444444446</v>
          </cell>
        </row>
        <row r="309">
          <cell r="K309">
            <v>0.97993333333333343</v>
          </cell>
        </row>
        <row r="310">
          <cell r="K310">
            <v>0.97268888888888883</v>
          </cell>
        </row>
        <row r="311">
          <cell r="K311">
            <v>0.92046666666666666</v>
          </cell>
        </row>
        <row r="312">
          <cell r="K312">
            <v>0.9489333333333333</v>
          </cell>
        </row>
        <row r="313">
          <cell r="K313">
            <v>0.98188888888888892</v>
          </cell>
        </row>
        <row r="314">
          <cell r="K314">
            <v>0.9814222222222222</v>
          </cell>
        </row>
        <row r="315">
          <cell r="K315">
            <v>0.97624444444444447</v>
          </cell>
        </row>
        <row r="316">
          <cell r="K316">
            <v>0.95471111111111107</v>
          </cell>
        </row>
        <row r="317">
          <cell r="K317">
            <v>0.97468888888888894</v>
          </cell>
        </row>
        <row r="318">
          <cell r="K318">
            <v>0.97886666666666666</v>
          </cell>
        </row>
        <row r="319">
          <cell r="K319">
            <v>0.89208888888888893</v>
          </cell>
        </row>
        <row r="320">
          <cell r="K320">
            <v>0.95682222222222224</v>
          </cell>
        </row>
        <row r="321">
          <cell r="K321">
            <v>0.98457777777777777</v>
          </cell>
        </row>
        <row r="322">
          <cell r="K322">
            <v>0.98226666666666662</v>
          </cell>
        </row>
        <row r="323">
          <cell r="K323">
            <v>0.96906666666666663</v>
          </cell>
        </row>
        <row r="324">
          <cell r="K324">
            <v>0.9588444444444445</v>
          </cell>
        </row>
        <row r="325">
          <cell r="K325">
            <v>0.97813333333333341</v>
          </cell>
        </row>
        <row r="326">
          <cell r="K326">
            <v>0.97784444444444441</v>
          </cell>
        </row>
        <row r="327">
          <cell r="K327">
            <v>0.91166666666666663</v>
          </cell>
        </row>
        <row r="328">
          <cell r="K328">
            <v>0.96508888888888889</v>
          </cell>
        </row>
        <row r="329">
          <cell r="K329">
            <v>0.98473333333333335</v>
          </cell>
        </row>
        <row r="330">
          <cell r="K330">
            <v>0.97457777777777777</v>
          </cell>
        </row>
        <row r="331">
          <cell r="K331">
            <v>0.97208888888888889</v>
          </cell>
        </row>
        <row r="332">
          <cell r="K332">
            <v>0.95699999999999996</v>
          </cell>
        </row>
        <row r="333">
          <cell r="K333">
            <v>0.96804444444444449</v>
          </cell>
        </row>
        <row r="334">
          <cell r="K334">
            <v>0.96720000000000006</v>
          </cell>
        </row>
        <row r="335">
          <cell r="K335">
            <v>0.92102222222222219</v>
          </cell>
        </row>
        <row r="336">
          <cell r="K336">
            <v>0.94313333333333338</v>
          </cell>
        </row>
        <row r="337">
          <cell r="K337">
            <v>0.97473333333333334</v>
          </cell>
        </row>
        <row r="338">
          <cell r="K338">
            <v>0.98468888888888895</v>
          </cell>
        </row>
        <row r="339">
          <cell r="K339">
            <v>0.97757777777777788</v>
          </cell>
        </row>
        <row r="340">
          <cell r="K340">
            <v>0.97308888888888889</v>
          </cell>
        </row>
        <row r="341">
          <cell r="K341">
            <v>0.97371111111111119</v>
          </cell>
        </row>
        <row r="342">
          <cell r="K342">
            <v>0.97642222222222219</v>
          </cell>
        </row>
        <row r="343">
          <cell r="K343">
            <v>0.93428888888888895</v>
          </cell>
        </row>
        <row r="344">
          <cell r="K344">
            <v>0.96768888888888882</v>
          </cell>
        </row>
        <row r="345">
          <cell r="K345">
            <v>0.98480000000000001</v>
          </cell>
        </row>
        <row r="346">
          <cell r="K346">
            <v>0.97739999999999994</v>
          </cell>
        </row>
        <row r="347">
          <cell r="K347">
            <v>0.96971111111111108</v>
          </cell>
        </row>
        <row r="348">
          <cell r="K348">
            <v>0.9635111111111111</v>
          </cell>
        </row>
        <row r="349">
          <cell r="K349">
            <v>0.97908888888888879</v>
          </cell>
        </row>
        <row r="350">
          <cell r="K350">
            <v>0.96531111111111112</v>
          </cell>
        </row>
        <row r="351">
          <cell r="K351">
            <v>0.91595555555555552</v>
          </cell>
        </row>
        <row r="352">
          <cell r="K352">
            <v>0.94495555555555555</v>
          </cell>
        </row>
        <row r="353">
          <cell r="K353">
            <v>0.97353333333333325</v>
          </cell>
        </row>
        <row r="354">
          <cell r="K354">
            <v>0.98062222222222217</v>
          </cell>
        </row>
        <row r="355">
          <cell r="K355">
            <v>0.96411111111111114</v>
          </cell>
        </row>
        <row r="356">
          <cell r="K356">
            <v>0.97</v>
          </cell>
        </row>
        <row r="357">
          <cell r="K357">
            <v>0.97831111111111113</v>
          </cell>
        </row>
        <row r="358">
          <cell r="K358">
            <v>0.97717777777777781</v>
          </cell>
        </row>
        <row r="359">
          <cell r="K359">
            <v>0.90615555555555549</v>
          </cell>
        </row>
        <row r="360">
          <cell r="K360">
            <v>0.95406666666666662</v>
          </cell>
        </row>
        <row r="361">
          <cell r="K361">
            <v>0.97388888888888892</v>
          </cell>
        </row>
        <row r="362">
          <cell r="K362">
            <v>0.9794666666666666</v>
          </cell>
        </row>
        <row r="363">
          <cell r="K363">
            <v>0.97326666666666672</v>
          </cell>
        </row>
        <row r="364">
          <cell r="K364">
            <v>0.97082222222222225</v>
          </cell>
        </row>
        <row r="365">
          <cell r="K365">
            <v>0.98062222222222217</v>
          </cell>
        </row>
        <row r="366">
          <cell r="K366">
            <v>0.97757777777777788</v>
          </cell>
        </row>
        <row r="367">
          <cell r="K367">
            <v>0.91075555555555565</v>
          </cell>
        </row>
        <row r="368">
          <cell r="K368">
            <v>0.96062222222222216</v>
          </cell>
        </row>
        <row r="369">
          <cell r="K369">
            <v>0.97864444444444443</v>
          </cell>
        </row>
        <row r="370">
          <cell r="K370">
            <v>0.98202222222222224</v>
          </cell>
        </row>
        <row r="371">
          <cell r="K371">
            <v>0.97671111111111109</v>
          </cell>
        </row>
        <row r="372">
          <cell r="K372">
            <v>0.96375555555555559</v>
          </cell>
        </row>
        <row r="373">
          <cell r="K373">
            <v>0.97595555555555558</v>
          </cell>
        </row>
        <row r="374">
          <cell r="K374">
            <v>0.97044444444444444</v>
          </cell>
        </row>
        <row r="375">
          <cell r="K375">
            <v>0.91608888888888895</v>
          </cell>
        </row>
        <row r="376">
          <cell r="K376">
            <v>0.95137777777777777</v>
          </cell>
        </row>
        <row r="377">
          <cell r="K377">
            <v>0.97795555555555547</v>
          </cell>
        </row>
        <row r="378">
          <cell r="K378">
            <v>0.97913333333333341</v>
          </cell>
        </row>
        <row r="379">
          <cell r="K379">
            <v>0.97177777777777785</v>
          </cell>
        </row>
        <row r="380">
          <cell r="K380">
            <v>0.96882222222222225</v>
          </cell>
        </row>
        <row r="381">
          <cell r="K381">
            <v>0.97444444444444445</v>
          </cell>
        </row>
        <row r="382">
          <cell r="K382">
            <v>0.9771333333333333</v>
          </cell>
        </row>
        <row r="383">
          <cell r="K383">
            <v>0.91051111111111116</v>
          </cell>
        </row>
        <row r="384">
          <cell r="K384">
            <v>0.9548444444444445</v>
          </cell>
        </row>
        <row r="385">
          <cell r="K385">
            <v>0.98375555555555561</v>
          </cell>
        </row>
        <row r="386">
          <cell r="K386">
            <v>0.98346666666666671</v>
          </cell>
        </row>
        <row r="387">
          <cell r="K387">
            <v>0.97306666666666664</v>
          </cell>
        </row>
        <row r="388">
          <cell r="K388">
            <v>0.96428888888888886</v>
          </cell>
        </row>
        <row r="389">
          <cell r="K389">
            <v>0.97908888888888879</v>
          </cell>
        </row>
        <row r="390">
          <cell r="K390">
            <v>0.97846666666666671</v>
          </cell>
        </row>
        <row r="391">
          <cell r="K391">
            <v>0.93313333333333337</v>
          </cell>
        </row>
        <row r="392">
          <cell r="K392">
            <v>0.96406666666666663</v>
          </cell>
        </row>
        <row r="393">
          <cell r="K393">
            <v>0.97897777777777784</v>
          </cell>
        </row>
        <row r="394">
          <cell r="K394">
            <v>0.98002222222222224</v>
          </cell>
        </row>
        <row r="395">
          <cell r="K395">
            <v>0.97473333333333334</v>
          </cell>
        </row>
        <row r="396">
          <cell r="K396">
            <v>0.96060000000000001</v>
          </cell>
        </row>
        <row r="397">
          <cell r="K397">
            <v>0.97417777777777781</v>
          </cell>
        </row>
        <row r="398">
          <cell r="K398">
            <v>0.97677777777777786</v>
          </cell>
        </row>
        <row r="399">
          <cell r="K399">
            <v>0.94437777777777787</v>
          </cell>
        </row>
        <row r="400">
          <cell r="K400">
            <v>0.95204444444444447</v>
          </cell>
        </row>
        <row r="401">
          <cell r="K401">
            <v>0.98582222222222227</v>
          </cell>
        </row>
        <row r="402">
          <cell r="K402">
            <v>0.97913333333333341</v>
          </cell>
        </row>
        <row r="403">
          <cell r="K403">
            <v>0.97282222222222214</v>
          </cell>
        </row>
        <row r="404">
          <cell r="K404">
            <v>0.97682222222222226</v>
          </cell>
        </row>
        <row r="405">
          <cell r="K405">
            <v>0.97737777777777779</v>
          </cell>
        </row>
        <row r="406">
          <cell r="K406">
            <v>0.97331111111111113</v>
          </cell>
        </row>
        <row r="407">
          <cell r="K407">
            <v>0.95428888888888885</v>
          </cell>
        </row>
        <row r="408">
          <cell r="K408">
            <v>0.95757777777777786</v>
          </cell>
        </row>
        <row r="409">
          <cell r="K409">
            <v>0.97846666666666671</v>
          </cell>
        </row>
        <row r="410">
          <cell r="K410">
            <v>0.98199999999999998</v>
          </cell>
        </row>
        <row r="411">
          <cell r="K411">
            <v>0.97255555555555551</v>
          </cell>
        </row>
        <row r="412">
          <cell r="K412">
            <v>0.96242222222222218</v>
          </cell>
        </row>
        <row r="413">
          <cell r="K413">
            <v>0.97317777777777781</v>
          </cell>
        </row>
        <row r="414">
          <cell r="K414">
            <v>0.97104444444444449</v>
          </cell>
        </row>
        <row r="415">
          <cell r="K415">
            <v>0.91080000000000005</v>
          </cell>
        </row>
        <row r="416">
          <cell r="K416">
            <v>0.93886666666666674</v>
          </cell>
        </row>
        <row r="417">
          <cell r="K417">
            <v>0.9767555555555556</v>
          </cell>
        </row>
        <row r="418">
          <cell r="K418">
            <v>0.97591111111111117</v>
          </cell>
        </row>
        <row r="419">
          <cell r="K419">
            <v>0.96802222222222223</v>
          </cell>
        </row>
        <row r="420">
          <cell r="K420">
            <v>0.96573333333333333</v>
          </cell>
        </row>
        <row r="421">
          <cell r="K421">
            <v>0.97480000000000011</v>
          </cell>
        </row>
        <row r="422">
          <cell r="K422">
            <v>0.97984444444444441</v>
          </cell>
        </row>
        <row r="423">
          <cell r="K423">
            <v>0.91626666666666667</v>
          </cell>
        </row>
        <row r="424">
          <cell r="K424">
            <v>0.95746666666666669</v>
          </cell>
        </row>
        <row r="425">
          <cell r="K425">
            <v>0.97697777777777772</v>
          </cell>
        </row>
        <row r="426">
          <cell r="K426">
            <v>0.98468888888888895</v>
          </cell>
        </row>
        <row r="427">
          <cell r="K427">
            <v>0.97033333333333327</v>
          </cell>
        </row>
        <row r="428">
          <cell r="K428">
            <v>0.97382222222222226</v>
          </cell>
        </row>
        <row r="429">
          <cell r="K429">
            <v>0.9810444444444445</v>
          </cell>
        </row>
        <row r="430">
          <cell r="K430">
            <v>0.97162222222222228</v>
          </cell>
        </row>
        <row r="431">
          <cell r="K431">
            <v>0.93822222222222218</v>
          </cell>
        </row>
        <row r="432">
          <cell r="K432">
            <v>0.95966666666666667</v>
          </cell>
        </row>
        <row r="433">
          <cell r="K433">
            <v>0.98091111111111118</v>
          </cell>
        </row>
        <row r="434">
          <cell r="K434">
            <v>0.98257777777777788</v>
          </cell>
        </row>
        <row r="435">
          <cell r="K435">
            <v>0.97442222222222219</v>
          </cell>
        </row>
        <row r="436">
          <cell r="K436">
            <v>0.97355555555555562</v>
          </cell>
        </row>
        <row r="437">
          <cell r="K437">
            <v>0.98251111111111111</v>
          </cell>
        </row>
        <row r="438">
          <cell r="K438">
            <v>0.97099999999999997</v>
          </cell>
        </row>
        <row r="439">
          <cell r="K439">
            <v>0.90462222222222222</v>
          </cell>
        </row>
        <row r="440">
          <cell r="K440">
            <v>0.95255555555555549</v>
          </cell>
        </row>
        <row r="441">
          <cell r="K441">
            <v>0.98244444444444445</v>
          </cell>
        </row>
        <row r="442">
          <cell r="K442">
            <v>0.98075555555555549</v>
          </cell>
        </row>
        <row r="443">
          <cell r="K443">
            <v>0.96379999999999999</v>
          </cell>
        </row>
        <row r="444">
          <cell r="K444">
            <v>0.96728888888888886</v>
          </cell>
        </row>
        <row r="445">
          <cell r="K445">
            <v>0.96564444444444453</v>
          </cell>
        </row>
        <row r="446">
          <cell r="K446">
            <v>0.96679999999999999</v>
          </cell>
        </row>
        <row r="447">
          <cell r="K447">
            <v>0.89660000000000006</v>
          </cell>
        </row>
        <row r="448">
          <cell r="K448">
            <v>0.96013333333333328</v>
          </cell>
        </row>
        <row r="449">
          <cell r="K449">
            <v>0.98080000000000001</v>
          </cell>
        </row>
        <row r="450">
          <cell r="K450">
            <v>0.97397777777777783</v>
          </cell>
        </row>
        <row r="451">
          <cell r="K451">
            <v>0.96793333333333331</v>
          </cell>
        </row>
        <row r="452">
          <cell r="K452">
            <v>0.95548888888888894</v>
          </cell>
        </row>
        <row r="453">
          <cell r="K453">
            <v>0.97126666666666661</v>
          </cell>
        </row>
        <row r="454">
          <cell r="K454">
            <v>0.96906666666666663</v>
          </cell>
        </row>
        <row r="455">
          <cell r="K455">
            <v>0.92626666666666668</v>
          </cell>
        </row>
        <row r="456">
          <cell r="K456">
            <v>0.95679999999999998</v>
          </cell>
        </row>
        <row r="457">
          <cell r="K457">
            <v>0.97977777777777775</v>
          </cell>
        </row>
        <row r="458">
          <cell r="K458">
            <v>0.97695555555555558</v>
          </cell>
        </row>
        <row r="459">
          <cell r="K459">
            <v>0.97126666666666661</v>
          </cell>
        </row>
        <row r="460">
          <cell r="K460">
            <v>0.9598444444444445</v>
          </cell>
        </row>
        <row r="461">
          <cell r="K461">
            <v>0.96615555555555555</v>
          </cell>
        </row>
        <row r="462">
          <cell r="K462">
            <v>0.97566666666666668</v>
          </cell>
        </row>
        <row r="463">
          <cell r="K463">
            <v>0.91735555555555559</v>
          </cell>
        </row>
        <row r="464">
          <cell r="K464">
            <v>0.93666666666666665</v>
          </cell>
        </row>
        <row r="465">
          <cell r="K465">
            <v>0.9758444444444444</v>
          </cell>
        </row>
        <row r="466">
          <cell r="K466">
            <v>0.98244444444444445</v>
          </cell>
        </row>
        <row r="467">
          <cell r="K467">
            <v>0.97522222222222232</v>
          </cell>
        </row>
        <row r="468">
          <cell r="K468">
            <v>0.9598888888888889</v>
          </cell>
        </row>
        <row r="469">
          <cell r="K469">
            <v>0.97762222222222228</v>
          </cell>
        </row>
        <row r="470">
          <cell r="K470">
            <v>0.97620000000000007</v>
          </cell>
        </row>
        <row r="471">
          <cell r="K471">
            <v>0.93546666666666667</v>
          </cell>
        </row>
        <row r="472">
          <cell r="K472">
            <v>0.96706666666666663</v>
          </cell>
        </row>
        <row r="473">
          <cell r="K473">
            <v>0.97826666666666673</v>
          </cell>
        </row>
        <row r="474">
          <cell r="K474">
            <v>0.97757777777777788</v>
          </cell>
        </row>
        <row r="475">
          <cell r="K475">
            <v>0.97024444444444446</v>
          </cell>
        </row>
        <row r="476">
          <cell r="K476">
            <v>0.95544444444444443</v>
          </cell>
        </row>
        <row r="477">
          <cell r="K477">
            <v>0.97795555555555547</v>
          </cell>
        </row>
        <row r="478">
          <cell r="K478">
            <v>0.97266666666666668</v>
          </cell>
        </row>
        <row r="479">
          <cell r="K479">
            <v>0.90022222222222226</v>
          </cell>
        </row>
        <row r="480">
          <cell r="K480">
            <v>0.95448888888888883</v>
          </cell>
        </row>
        <row r="481">
          <cell r="K481">
            <v>0.97551111111111111</v>
          </cell>
        </row>
        <row r="482">
          <cell r="K482">
            <v>0.98055555555555551</v>
          </cell>
        </row>
        <row r="483">
          <cell r="K483">
            <v>0.9787111111111112</v>
          </cell>
        </row>
        <row r="484">
          <cell r="K484">
            <v>0.96428888888888886</v>
          </cell>
        </row>
        <row r="485">
          <cell r="K485">
            <v>0.97622222222222221</v>
          </cell>
        </row>
        <row r="486">
          <cell r="K486">
            <v>0.97339999999999993</v>
          </cell>
        </row>
        <row r="487">
          <cell r="K487">
            <v>0.92904444444444445</v>
          </cell>
        </row>
        <row r="488">
          <cell r="K488">
            <v>0.96182222222222225</v>
          </cell>
        </row>
        <row r="489">
          <cell r="K489">
            <v>0.98182222222222215</v>
          </cell>
        </row>
        <row r="490">
          <cell r="K490">
            <v>0.98255555555555552</v>
          </cell>
        </row>
        <row r="491">
          <cell r="K491">
            <v>0.97766666666666668</v>
          </cell>
        </row>
        <row r="492">
          <cell r="K492">
            <v>0.96457777777777776</v>
          </cell>
        </row>
        <row r="493">
          <cell r="K493">
            <v>0.97671111111111109</v>
          </cell>
        </row>
        <row r="494">
          <cell r="K494">
            <v>0.97008888888888889</v>
          </cell>
        </row>
        <row r="495">
          <cell r="K495">
            <v>0.92737777777777775</v>
          </cell>
        </row>
        <row r="496">
          <cell r="K496">
            <v>0.95637777777777777</v>
          </cell>
        </row>
        <row r="497">
          <cell r="K497">
            <v>0.98413333333333342</v>
          </cell>
        </row>
        <row r="498">
          <cell r="K498">
            <v>0.97588888888888881</v>
          </cell>
        </row>
        <row r="499">
          <cell r="K499">
            <v>0.96677777777777785</v>
          </cell>
        </row>
        <row r="500">
          <cell r="K500">
            <v>0.95155555555555549</v>
          </cell>
        </row>
        <row r="501">
          <cell r="K501">
            <v>0.96935555555555553</v>
          </cell>
        </row>
        <row r="502">
          <cell r="K502">
            <v>0.97264444444444442</v>
          </cell>
        </row>
        <row r="503">
          <cell r="K503">
            <v>0.91039999999999999</v>
          </cell>
        </row>
        <row r="504">
          <cell r="K504">
            <v>0.93804444444444446</v>
          </cell>
        </row>
        <row r="505">
          <cell r="K505">
            <v>0.97704444444444449</v>
          </cell>
        </row>
        <row r="506">
          <cell r="K506">
            <v>0.9784222222222223</v>
          </cell>
        </row>
        <row r="507">
          <cell r="K507">
            <v>0.9724666666666667</v>
          </cell>
        </row>
        <row r="508">
          <cell r="K508">
            <v>0.96431111111111112</v>
          </cell>
        </row>
        <row r="509">
          <cell r="K509">
            <v>0.97300000000000009</v>
          </cell>
        </row>
        <row r="510">
          <cell r="K510">
            <v>0.96668888888888882</v>
          </cell>
        </row>
        <row r="511">
          <cell r="K511">
            <v>0.89564444444444447</v>
          </cell>
        </row>
        <row r="512">
          <cell r="K512">
            <v>0.94824444444444445</v>
          </cell>
        </row>
        <row r="513">
          <cell r="K513">
            <v>0.97831111111111113</v>
          </cell>
        </row>
        <row r="514">
          <cell r="K514">
            <v>0.97315555555555555</v>
          </cell>
        </row>
        <row r="515">
          <cell r="K515">
            <v>0.9758</v>
          </cell>
        </row>
        <row r="516">
          <cell r="K516">
            <v>0.95708888888888888</v>
          </cell>
        </row>
        <row r="517">
          <cell r="K517">
            <v>0.96957777777777776</v>
          </cell>
        </row>
        <row r="518">
          <cell r="K518">
            <v>0.97986666666666666</v>
          </cell>
        </row>
        <row r="519">
          <cell r="K519">
            <v>0.93359999999999999</v>
          </cell>
        </row>
        <row r="520">
          <cell r="K520">
            <v>0.96066666666666667</v>
          </cell>
        </row>
        <row r="521">
          <cell r="K521">
            <v>0.98151111111111111</v>
          </cell>
        </row>
        <row r="522">
          <cell r="K522">
            <v>0.9860888888888889</v>
          </cell>
        </row>
        <row r="523">
          <cell r="K523">
            <v>0.97059999999999991</v>
          </cell>
        </row>
        <row r="524">
          <cell r="K524">
            <v>0.96766666666666667</v>
          </cell>
        </row>
        <row r="525">
          <cell r="K525">
            <v>0.97986666666666666</v>
          </cell>
        </row>
        <row r="526">
          <cell r="K526">
            <v>0.98211111111111105</v>
          </cell>
        </row>
        <row r="527">
          <cell r="K527">
            <v>0.93202222222222231</v>
          </cell>
        </row>
        <row r="528">
          <cell r="K528">
            <v>0.95331111111111111</v>
          </cell>
        </row>
        <row r="529">
          <cell r="K529">
            <v>0.98624444444444448</v>
          </cell>
        </row>
        <row r="530">
          <cell r="K530">
            <v>0.97486666666666666</v>
          </cell>
        </row>
        <row r="531">
          <cell r="K531">
            <v>0.96748888888888895</v>
          </cell>
        </row>
        <row r="532">
          <cell r="K532">
            <v>0.96597777777777782</v>
          </cell>
        </row>
        <row r="533">
          <cell r="K533">
            <v>0.97735555555555553</v>
          </cell>
        </row>
        <row r="534">
          <cell r="K534">
            <v>0.97542222222222219</v>
          </cell>
        </row>
        <row r="535">
          <cell r="K535">
            <v>0.9220666666666667</v>
          </cell>
        </row>
        <row r="536">
          <cell r="K536">
            <v>0.94646666666666668</v>
          </cell>
        </row>
        <row r="537">
          <cell r="K537">
            <v>0.98288888888888892</v>
          </cell>
        </row>
        <row r="538">
          <cell r="K538">
            <v>0.97371111111111119</v>
          </cell>
        </row>
        <row r="539">
          <cell r="K539">
            <v>0.96771111111111119</v>
          </cell>
        </row>
        <row r="540">
          <cell r="K540">
            <v>0.95568888888888892</v>
          </cell>
        </row>
        <row r="541">
          <cell r="K541">
            <v>0.97059999999999991</v>
          </cell>
        </row>
        <row r="542">
          <cell r="K542">
            <v>0.97546666666666659</v>
          </cell>
        </row>
        <row r="543">
          <cell r="K543">
            <v>0.91175555555555565</v>
          </cell>
        </row>
        <row r="544">
          <cell r="K544">
            <v>0.9383999999999999</v>
          </cell>
        </row>
        <row r="545">
          <cell r="K545">
            <v>0.97964444444444443</v>
          </cell>
        </row>
        <row r="546">
          <cell r="K546">
            <v>0.97919999999999996</v>
          </cell>
        </row>
        <row r="547">
          <cell r="K547">
            <v>0.9708444444444444</v>
          </cell>
        </row>
        <row r="548">
          <cell r="K548">
            <v>0.95042222222222217</v>
          </cell>
        </row>
        <row r="549">
          <cell r="K549">
            <v>0.97037777777777778</v>
          </cell>
        </row>
        <row r="550">
          <cell r="K550">
            <v>0.96282222222222213</v>
          </cell>
        </row>
        <row r="551">
          <cell r="K551">
            <v>0.92046666666666666</v>
          </cell>
        </row>
        <row r="552">
          <cell r="K552">
            <v>0.93704444444444446</v>
          </cell>
        </row>
        <row r="553">
          <cell r="K553">
            <v>0.97768888888888883</v>
          </cell>
        </row>
        <row r="554">
          <cell r="K554">
            <v>0.97595555555555558</v>
          </cell>
        </row>
        <row r="555">
          <cell r="K555">
            <v>0.97673333333333323</v>
          </cell>
        </row>
        <row r="556">
          <cell r="K556">
            <v>0.95517777777777779</v>
          </cell>
        </row>
        <row r="557">
          <cell r="K557">
            <v>0.97224444444444447</v>
          </cell>
        </row>
        <row r="558">
          <cell r="K558">
            <v>0.96419999999999995</v>
          </cell>
        </row>
        <row r="559">
          <cell r="K559">
            <v>0.91459999999999997</v>
          </cell>
        </row>
        <row r="560">
          <cell r="K560">
            <v>0.95777777777777773</v>
          </cell>
        </row>
        <row r="561">
          <cell r="K561">
            <v>0.97793333333333332</v>
          </cell>
        </row>
        <row r="562">
          <cell r="K562">
            <v>0.97800000000000009</v>
          </cell>
        </row>
        <row r="563">
          <cell r="K563">
            <v>0.97344444444444445</v>
          </cell>
        </row>
        <row r="564">
          <cell r="K564">
            <v>0.96328888888888897</v>
          </cell>
        </row>
        <row r="565">
          <cell r="K565">
            <v>0.98031111111111113</v>
          </cell>
        </row>
        <row r="566">
          <cell r="K566">
            <v>0.96982222222222225</v>
          </cell>
        </row>
        <row r="567">
          <cell r="K567">
            <v>0.93322222222222218</v>
          </cell>
        </row>
        <row r="568">
          <cell r="K568">
            <v>0.96331111111111112</v>
          </cell>
        </row>
        <row r="569">
          <cell r="K569">
            <v>0.98417777777777782</v>
          </cell>
        </row>
        <row r="570">
          <cell r="K570">
            <v>0.97817777777777781</v>
          </cell>
        </row>
        <row r="571">
          <cell r="K571">
            <v>0.98044444444444445</v>
          </cell>
        </row>
        <row r="572">
          <cell r="K572">
            <v>0.96891111111111106</v>
          </cell>
        </row>
        <row r="573">
          <cell r="K573">
            <v>0.97324444444444436</v>
          </cell>
        </row>
        <row r="574">
          <cell r="K574">
            <v>0.98168888888888883</v>
          </cell>
        </row>
        <row r="575">
          <cell r="K575">
            <v>0.91553333333333331</v>
          </cell>
        </row>
        <row r="576">
          <cell r="K576">
            <v>0.95144444444444443</v>
          </cell>
        </row>
        <row r="577">
          <cell r="K577">
            <v>0.98353333333333326</v>
          </cell>
        </row>
        <row r="578">
          <cell r="K578">
            <v>0.9854666666666666</v>
          </cell>
        </row>
        <row r="579">
          <cell r="K579">
            <v>0.97548888888888896</v>
          </cell>
        </row>
        <row r="580">
          <cell r="K580">
            <v>0.9684222222222223</v>
          </cell>
        </row>
        <row r="581">
          <cell r="K581">
            <v>0.97782222222222215</v>
          </cell>
        </row>
        <row r="582">
          <cell r="K582">
            <v>0.9758</v>
          </cell>
        </row>
        <row r="583">
          <cell r="K583">
            <v>0.92033333333333334</v>
          </cell>
        </row>
        <row r="584">
          <cell r="K584">
            <v>0.95244444444444454</v>
          </cell>
        </row>
        <row r="585">
          <cell r="K585">
            <v>0.97495555555555558</v>
          </cell>
        </row>
        <row r="586">
          <cell r="K586">
            <v>0.98193333333333332</v>
          </cell>
        </row>
        <row r="587">
          <cell r="K587">
            <v>0.97835555555555553</v>
          </cell>
        </row>
        <row r="588">
          <cell r="K588">
            <v>0.95397777777777781</v>
          </cell>
        </row>
        <row r="589">
          <cell r="K589">
            <v>0.97197777777777772</v>
          </cell>
        </row>
        <row r="590">
          <cell r="K590">
            <v>0.97393333333333332</v>
          </cell>
        </row>
        <row r="591">
          <cell r="K591">
            <v>0.90695555555555551</v>
          </cell>
        </row>
        <row r="592">
          <cell r="K592">
            <v>0.95235555555555551</v>
          </cell>
        </row>
        <row r="593">
          <cell r="K593">
            <v>0.98519999999999996</v>
          </cell>
        </row>
        <row r="594">
          <cell r="K594">
            <v>0.9764666666666667</v>
          </cell>
        </row>
        <row r="595">
          <cell r="K595">
            <v>0.97073333333333334</v>
          </cell>
        </row>
        <row r="596">
          <cell r="K596">
            <v>0.96453333333333335</v>
          </cell>
        </row>
        <row r="597">
          <cell r="K597">
            <v>0.97531111111111113</v>
          </cell>
        </row>
        <row r="598">
          <cell r="K598">
            <v>0.9662222222222222</v>
          </cell>
        </row>
        <row r="599">
          <cell r="K599">
            <v>0.9131111111111111</v>
          </cell>
        </row>
        <row r="600">
          <cell r="K600">
            <v>0.95819999999999994</v>
          </cell>
        </row>
        <row r="601">
          <cell r="K601">
            <v>0.98073333333333335</v>
          </cell>
        </row>
        <row r="602">
          <cell r="K602">
            <v>0.97555555555555551</v>
          </cell>
        </row>
        <row r="603">
          <cell r="K603">
            <v>0.97695555555555558</v>
          </cell>
        </row>
        <row r="604">
          <cell r="K604">
            <v>0.96635555555555563</v>
          </cell>
        </row>
        <row r="605">
          <cell r="K605">
            <v>0.96591111111111116</v>
          </cell>
        </row>
        <row r="606">
          <cell r="K606">
            <v>0.97155555555555551</v>
          </cell>
        </row>
        <row r="607">
          <cell r="K607">
            <v>0.9015777777777777</v>
          </cell>
        </row>
        <row r="608">
          <cell r="K608">
            <v>0.9416000000000001</v>
          </cell>
        </row>
        <row r="609">
          <cell r="K609">
            <v>0.97426666666666673</v>
          </cell>
        </row>
        <row r="610">
          <cell r="K610">
            <v>0.98064444444444454</v>
          </cell>
        </row>
        <row r="611">
          <cell r="K611">
            <v>0.96604444444444448</v>
          </cell>
        </row>
        <row r="612">
          <cell r="K612">
            <v>0.96686666666666665</v>
          </cell>
        </row>
        <row r="613">
          <cell r="K613">
            <v>0.98253333333333326</v>
          </cell>
        </row>
        <row r="614">
          <cell r="K614">
            <v>0.97282222222222214</v>
          </cell>
        </row>
        <row r="615">
          <cell r="K615">
            <v>0.91762222222222223</v>
          </cell>
        </row>
        <row r="616">
          <cell r="K616">
            <v>0.95284444444444438</v>
          </cell>
        </row>
        <row r="617">
          <cell r="K617">
            <v>0.97688888888888892</v>
          </cell>
        </row>
        <row r="618">
          <cell r="K618">
            <v>0.97575555555555549</v>
          </cell>
        </row>
        <row r="619">
          <cell r="K619">
            <v>0.96688888888888891</v>
          </cell>
        </row>
        <row r="620">
          <cell r="K620">
            <v>0.97102222222222223</v>
          </cell>
        </row>
        <row r="621">
          <cell r="K621">
            <v>0.96722222222222221</v>
          </cell>
        </row>
        <row r="622">
          <cell r="K622">
            <v>0.97788888888888892</v>
          </cell>
        </row>
        <row r="623">
          <cell r="K623">
            <v>0.91293333333333326</v>
          </cell>
        </row>
        <row r="624">
          <cell r="K624">
            <v>0.94991111111111104</v>
          </cell>
        </row>
        <row r="625">
          <cell r="K625">
            <v>0.97622222222222221</v>
          </cell>
        </row>
        <row r="626">
          <cell r="K626">
            <v>0.98120000000000007</v>
          </cell>
        </row>
        <row r="627">
          <cell r="K627">
            <v>0.96606666666666674</v>
          </cell>
        </row>
        <row r="628">
          <cell r="K628">
            <v>0.9665111111111111</v>
          </cell>
        </row>
        <row r="629">
          <cell r="K629">
            <v>0.9751333333333333</v>
          </cell>
        </row>
        <row r="630">
          <cell r="K630">
            <v>0.96926666666666672</v>
          </cell>
        </row>
        <row r="631">
          <cell r="K631">
            <v>0.92193333333333338</v>
          </cell>
        </row>
        <row r="632">
          <cell r="K632">
            <v>0.94648888888888894</v>
          </cell>
        </row>
        <row r="633">
          <cell r="K633">
            <v>0.97668888888888883</v>
          </cell>
        </row>
        <row r="634">
          <cell r="K634">
            <v>0.98391111111111107</v>
          </cell>
        </row>
        <row r="635">
          <cell r="K635">
            <v>0.9798</v>
          </cell>
        </row>
        <row r="636">
          <cell r="K636">
            <v>0.97480000000000011</v>
          </cell>
        </row>
        <row r="637">
          <cell r="K637">
            <v>0.98071111111111109</v>
          </cell>
        </row>
        <row r="638">
          <cell r="K638">
            <v>0.97526666666666673</v>
          </cell>
        </row>
        <row r="639">
          <cell r="K639">
            <v>0.91635555555555559</v>
          </cell>
        </row>
        <row r="640">
          <cell r="K640">
            <v>0.9526444444444444</v>
          </cell>
        </row>
        <row r="641">
          <cell r="K641">
            <v>0.97868888888888894</v>
          </cell>
        </row>
        <row r="642">
          <cell r="K642">
            <v>0.98066666666666669</v>
          </cell>
        </row>
        <row r="643">
          <cell r="K643">
            <v>0.96626666666666661</v>
          </cell>
        </row>
        <row r="644">
          <cell r="K644">
            <v>0.96044444444444443</v>
          </cell>
        </row>
        <row r="645">
          <cell r="K645">
            <v>0.97048888888888896</v>
          </cell>
        </row>
        <row r="646">
          <cell r="K646">
            <v>0.96640000000000004</v>
          </cell>
        </row>
        <row r="647">
          <cell r="K647">
            <v>0.89462222222222221</v>
          </cell>
        </row>
        <row r="648">
          <cell r="K648">
            <v>0.94206666666666672</v>
          </cell>
        </row>
        <row r="649">
          <cell r="K649">
            <v>0.97577777777777785</v>
          </cell>
        </row>
        <row r="650">
          <cell r="K650">
            <v>0.98059999999999992</v>
          </cell>
        </row>
        <row r="651">
          <cell r="K651">
            <v>0.97228888888888887</v>
          </cell>
        </row>
        <row r="652">
          <cell r="K652">
            <v>0.95582222222222224</v>
          </cell>
        </row>
        <row r="653">
          <cell r="K653">
            <v>0.9734666666666667</v>
          </cell>
        </row>
        <row r="654">
          <cell r="K654">
            <v>0.97377777777777774</v>
          </cell>
        </row>
        <row r="655">
          <cell r="K655">
            <v>0.91362222222222222</v>
          </cell>
        </row>
        <row r="656">
          <cell r="K656">
            <v>0.96102222222222222</v>
          </cell>
        </row>
        <row r="657">
          <cell r="K657">
            <v>0.98164444444444443</v>
          </cell>
        </row>
        <row r="658">
          <cell r="K658">
            <v>0.98002222222222224</v>
          </cell>
        </row>
        <row r="659">
          <cell r="K659">
            <v>0.97495555555555558</v>
          </cell>
        </row>
        <row r="660">
          <cell r="K660">
            <v>0.97733333333333339</v>
          </cell>
        </row>
        <row r="661">
          <cell r="K661">
            <v>0.9784222222222223</v>
          </cell>
        </row>
        <row r="662">
          <cell r="K662">
            <v>0.97737777777777779</v>
          </cell>
        </row>
        <row r="663">
          <cell r="K663">
            <v>0.94417777777777778</v>
          </cell>
        </row>
        <row r="664">
          <cell r="K664">
            <v>0.95160000000000011</v>
          </cell>
        </row>
        <row r="665">
          <cell r="K665">
            <v>0.98688888888888893</v>
          </cell>
        </row>
        <row r="666">
          <cell r="K666">
            <v>0.97599999999999998</v>
          </cell>
        </row>
        <row r="667">
          <cell r="K667">
            <v>0.96715555555555566</v>
          </cell>
        </row>
        <row r="668">
          <cell r="K668">
            <v>0.97040000000000004</v>
          </cell>
        </row>
        <row r="669">
          <cell r="K669">
            <v>0.97748888888888885</v>
          </cell>
        </row>
        <row r="670">
          <cell r="K670">
            <v>0.97653333333333336</v>
          </cell>
        </row>
        <row r="671">
          <cell r="K671">
            <v>0.89959999999999996</v>
          </cell>
        </row>
        <row r="672">
          <cell r="K672">
            <v>0.95226666666666659</v>
          </cell>
        </row>
        <row r="673">
          <cell r="K673">
            <v>0.97455555555555562</v>
          </cell>
        </row>
        <row r="674">
          <cell r="K674">
            <v>0.9751777777777777</v>
          </cell>
        </row>
        <row r="675">
          <cell r="K675">
            <v>0.97608888888888889</v>
          </cell>
        </row>
        <row r="676">
          <cell r="K676">
            <v>0.95757777777777786</v>
          </cell>
        </row>
        <row r="677">
          <cell r="K677">
            <v>0.98015555555555556</v>
          </cell>
        </row>
        <row r="678">
          <cell r="K678">
            <v>0.96935555555555553</v>
          </cell>
        </row>
        <row r="679">
          <cell r="K679">
            <v>0.88711111111111107</v>
          </cell>
        </row>
        <row r="680">
          <cell r="K680">
            <v>0.96173333333333322</v>
          </cell>
        </row>
        <row r="681">
          <cell r="K681">
            <v>0.98239999999999994</v>
          </cell>
        </row>
        <row r="682">
          <cell r="K682">
            <v>0.9843777777777778</v>
          </cell>
        </row>
        <row r="683">
          <cell r="K683">
            <v>0.97462222222222217</v>
          </cell>
        </row>
        <row r="684">
          <cell r="K684">
            <v>0.96582222222222225</v>
          </cell>
        </row>
        <row r="685">
          <cell r="K685">
            <v>0.97533333333333327</v>
          </cell>
        </row>
        <row r="686">
          <cell r="K686">
            <v>0.97639999999999993</v>
          </cell>
        </row>
        <row r="687">
          <cell r="K687">
            <v>0.92486666666666661</v>
          </cell>
        </row>
        <row r="688">
          <cell r="K688">
            <v>0.9665111111111111</v>
          </cell>
        </row>
        <row r="689">
          <cell r="K689">
            <v>0.98097777777777773</v>
          </cell>
        </row>
        <row r="690">
          <cell r="K690">
            <v>0.97597777777777772</v>
          </cell>
        </row>
        <row r="691">
          <cell r="K691">
            <v>0.96631111111111101</v>
          </cell>
        </row>
        <row r="692">
          <cell r="K692">
            <v>0.96933333333333327</v>
          </cell>
        </row>
        <row r="693">
          <cell r="K693">
            <v>0.9694666666666667</v>
          </cell>
        </row>
        <row r="694">
          <cell r="K694">
            <v>0.97177777777777785</v>
          </cell>
        </row>
        <row r="695">
          <cell r="K695">
            <v>0.90371111111111113</v>
          </cell>
        </row>
        <row r="696">
          <cell r="K696">
            <v>0.94233333333333336</v>
          </cell>
        </row>
        <row r="697">
          <cell r="K697">
            <v>0.98319999999999996</v>
          </cell>
        </row>
        <row r="698">
          <cell r="K698">
            <v>0.98144444444444434</v>
          </cell>
        </row>
        <row r="699">
          <cell r="K699">
            <v>0.97417777777777781</v>
          </cell>
        </row>
        <row r="700">
          <cell r="K700">
            <v>0.96179999999999999</v>
          </cell>
        </row>
        <row r="701">
          <cell r="K701">
            <v>0.96964444444444442</v>
          </cell>
        </row>
        <row r="702">
          <cell r="K702">
            <v>0.97588888888888881</v>
          </cell>
        </row>
        <row r="703">
          <cell r="K703">
            <v>0.9247333333333333</v>
          </cell>
        </row>
        <row r="704">
          <cell r="K704">
            <v>0.94502222222222221</v>
          </cell>
        </row>
        <row r="705">
          <cell r="K705">
            <v>0.98128888888888888</v>
          </cell>
        </row>
        <row r="706">
          <cell r="K706">
            <v>0.98033333333333328</v>
          </cell>
        </row>
        <row r="707">
          <cell r="K707">
            <v>0.9777111111111112</v>
          </cell>
        </row>
        <row r="708">
          <cell r="K708">
            <v>0.95924444444444446</v>
          </cell>
        </row>
        <row r="709">
          <cell r="K709">
            <v>0.96848888888888884</v>
          </cell>
        </row>
        <row r="710">
          <cell r="K710">
            <v>0.96891111111111106</v>
          </cell>
        </row>
        <row r="711">
          <cell r="K711">
            <v>0.88684444444444444</v>
          </cell>
        </row>
        <row r="712">
          <cell r="K712">
            <v>0.95628888888888885</v>
          </cell>
        </row>
        <row r="713">
          <cell r="K713">
            <v>0.98464444444444443</v>
          </cell>
        </row>
        <row r="714">
          <cell r="K714">
            <v>0.97451111111111111</v>
          </cell>
        </row>
        <row r="715">
          <cell r="K715">
            <v>0.96988888888888891</v>
          </cell>
        </row>
        <row r="716">
          <cell r="K716">
            <v>0.96591111111111116</v>
          </cell>
        </row>
        <row r="717">
          <cell r="K717">
            <v>0.97844444444444445</v>
          </cell>
        </row>
        <row r="718">
          <cell r="K718">
            <v>0.97753333333333325</v>
          </cell>
        </row>
        <row r="719">
          <cell r="K719">
            <v>0.90537777777777784</v>
          </cell>
        </row>
        <row r="720">
          <cell r="K720">
            <v>0.96031111111111112</v>
          </cell>
        </row>
        <row r="721">
          <cell r="K721">
            <v>0.97724444444444447</v>
          </cell>
        </row>
        <row r="722">
          <cell r="K722">
            <v>0.98082222222222226</v>
          </cell>
        </row>
        <row r="723">
          <cell r="K723">
            <v>0.97642222222222219</v>
          </cell>
        </row>
        <row r="724">
          <cell r="K724">
            <v>0.9737555555555556</v>
          </cell>
        </row>
        <row r="725">
          <cell r="K725">
            <v>0.96733333333333338</v>
          </cell>
        </row>
        <row r="726">
          <cell r="K726">
            <v>0.96424444444444446</v>
          </cell>
        </row>
        <row r="727">
          <cell r="K727">
            <v>0.89608888888888893</v>
          </cell>
        </row>
        <row r="728">
          <cell r="K728">
            <v>0.95017777777777779</v>
          </cell>
        </row>
        <row r="729">
          <cell r="K729">
            <v>0.97824444444444436</v>
          </cell>
        </row>
        <row r="730">
          <cell r="K730">
            <v>0.98231111111111113</v>
          </cell>
        </row>
        <row r="731">
          <cell r="K731">
            <v>0.9664666666666667</v>
          </cell>
        </row>
        <row r="732">
          <cell r="K732">
            <v>0.96526666666666672</v>
          </cell>
        </row>
        <row r="733">
          <cell r="K733">
            <v>0.97691111111111117</v>
          </cell>
        </row>
        <row r="734">
          <cell r="K734">
            <v>0.96564444444444453</v>
          </cell>
        </row>
        <row r="735">
          <cell r="K735">
            <v>0.88786666666666669</v>
          </cell>
        </row>
        <row r="736">
          <cell r="K736">
            <v>0.93764444444444439</v>
          </cell>
        </row>
        <row r="737">
          <cell r="K737">
            <v>0.97919999999999996</v>
          </cell>
        </row>
        <row r="738">
          <cell r="K738">
            <v>0.98182222222222215</v>
          </cell>
        </row>
        <row r="739">
          <cell r="K739">
            <v>0.97691111111111117</v>
          </cell>
        </row>
        <row r="740">
          <cell r="K740">
            <v>0.96324444444444435</v>
          </cell>
        </row>
        <row r="741">
          <cell r="K741">
            <v>0.98157777777777777</v>
          </cell>
        </row>
        <row r="742">
          <cell r="K742">
            <v>0.97091111111111117</v>
          </cell>
        </row>
        <row r="743">
          <cell r="K743">
            <v>0.91680000000000006</v>
          </cell>
        </row>
        <row r="744">
          <cell r="K744">
            <v>0.96326666666666672</v>
          </cell>
        </row>
        <row r="745">
          <cell r="K745">
            <v>0.98306666666666664</v>
          </cell>
        </row>
        <row r="746">
          <cell r="K746">
            <v>0.97924444444444447</v>
          </cell>
        </row>
        <row r="747">
          <cell r="K747">
            <v>0.97042222222222219</v>
          </cell>
        </row>
        <row r="748">
          <cell r="K748">
            <v>0.96446666666666669</v>
          </cell>
        </row>
        <row r="749">
          <cell r="K749">
            <v>0.97568888888888894</v>
          </cell>
        </row>
        <row r="750">
          <cell r="K750">
            <v>0.97857777777777777</v>
          </cell>
        </row>
        <row r="751">
          <cell r="K751">
            <v>0.9194</v>
          </cell>
        </row>
        <row r="752">
          <cell r="K752">
            <v>0.94928888888888885</v>
          </cell>
        </row>
        <row r="753">
          <cell r="K753">
            <v>0.97697777777777772</v>
          </cell>
        </row>
        <row r="754">
          <cell r="K754">
            <v>0.97977777777777775</v>
          </cell>
        </row>
        <row r="755">
          <cell r="K755">
            <v>0.97237777777777779</v>
          </cell>
        </row>
        <row r="756">
          <cell r="K756">
            <v>0.96282222222222213</v>
          </cell>
        </row>
        <row r="757">
          <cell r="K757">
            <v>0.98177777777777775</v>
          </cell>
        </row>
        <row r="758">
          <cell r="K758">
            <v>0.96835555555555552</v>
          </cell>
        </row>
        <row r="759">
          <cell r="K759">
            <v>0.90833333333333333</v>
          </cell>
        </row>
        <row r="760">
          <cell r="K760">
            <v>0.94266666666666665</v>
          </cell>
        </row>
        <row r="761">
          <cell r="K761">
            <v>0.97942222222222219</v>
          </cell>
        </row>
        <row r="762">
          <cell r="K762">
            <v>0.97948888888888885</v>
          </cell>
        </row>
        <row r="763">
          <cell r="K763">
            <v>0.97391111111111106</v>
          </cell>
        </row>
        <row r="764">
          <cell r="K764">
            <v>0.96353333333333324</v>
          </cell>
        </row>
        <row r="765">
          <cell r="K765">
            <v>0.96608888888888889</v>
          </cell>
        </row>
        <row r="766">
          <cell r="K766">
            <v>0.97322222222222221</v>
          </cell>
        </row>
        <row r="767">
          <cell r="K767">
            <v>0.92113333333333336</v>
          </cell>
        </row>
        <row r="768">
          <cell r="K768">
            <v>0.95402222222222222</v>
          </cell>
        </row>
        <row r="769">
          <cell r="K769">
            <v>0.97666666666666668</v>
          </cell>
        </row>
        <row r="770">
          <cell r="K770">
            <v>0.97733333333333339</v>
          </cell>
        </row>
        <row r="771">
          <cell r="K771">
            <v>0.97277777777777774</v>
          </cell>
        </row>
        <row r="772">
          <cell r="K772">
            <v>0.97488888888888892</v>
          </cell>
        </row>
        <row r="773">
          <cell r="K773">
            <v>0.97966666666666669</v>
          </cell>
        </row>
        <row r="774">
          <cell r="K774">
            <v>0.97806666666666664</v>
          </cell>
        </row>
        <row r="775">
          <cell r="K775">
            <v>0.93493333333333339</v>
          </cell>
        </row>
        <row r="776">
          <cell r="K776">
            <v>0.95373333333333332</v>
          </cell>
        </row>
        <row r="777">
          <cell r="K777">
            <v>0.98180000000000001</v>
          </cell>
        </row>
        <row r="778">
          <cell r="K778">
            <v>0.97335555555555553</v>
          </cell>
        </row>
        <row r="779">
          <cell r="K779">
            <v>0.97428888888888887</v>
          </cell>
        </row>
        <row r="780">
          <cell r="K780">
            <v>0.95642222222222217</v>
          </cell>
        </row>
        <row r="781">
          <cell r="K781">
            <v>0.97995555555555558</v>
          </cell>
        </row>
        <row r="782">
          <cell r="K782">
            <v>0.97882222222222226</v>
          </cell>
        </row>
        <row r="783">
          <cell r="K783">
            <v>0.91699999999999993</v>
          </cell>
        </row>
        <row r="784">
          <cell r="K784">
            <v>0.94108888888888886</v>
          </cell>
        </row>
        <row r="785">
          <cell r="K785">
            <v>0.98004444444444438</v>
          </cell>
        </row>
        <row r="786">
          <cell r="K786">
            <v>0.98357777777777777</v>
          </cell>
        </row>
        <row r="787">
          <cell r="K787">
            <v>0.96786666666666676</v>
          </cell>
        </row>
        <row r="788">
          <cell r="K788">
            <v>0.96513333333333329</v>
          </cell>
        </row>
        <row r="789">
          <cell r="K789">
            <v>0.97213333333333329</v>
          </cell>
        </row>
        <row r="790">
          <cell r="K790">
            <v>0.97548888888888896</v>
          </cell>
        </row>
        <row r="791">
          <cell r="K791">
            <v>0.91735555555555559</v>
          </cell>
        </row>
        <row r="792">
          <cell r="K792">
            <v>0.95993333333333342</v>
          </cell>
        </row>
        <row r="793">
          <cell r="K793">
            <v>0.98375555555555561</v>
          </cell>
        </row>
        <row r="794">
          <cell r="K794">
            <v>0.98486666666666667</v>
          </cell>
        </row>
        <row r="795">
          <cell r="K795">
            <v>0.97137777777777778</v>
          </cell>
        </row>
        <row r="796">
          <cell r="K796">
            <v>0.9708888888888888</v>
          </cell>
        </row>
        <row r="797">
          <cell r="K797">
            <v>0.97686666666666666</v>
          </cell>
        </row>
        <row r="798">
          <cell r="K798">
            <v>0.98120000000000007</v>
          </cell>
        </row>
        <row r="799">
          <cell r="K799">
            <v>0.93293333333333328</v>
          </cell>
        </row>
        <row r="800">
          <cell r="K800">
            <v>0.96082222222222224</v>
          </cell>
        </row>
        <row r="801">
          <cell r="K801">
            <v>0.98195555555555558</v>
          </cell>
        </row>
        <row r="802">
          <cell r="K802">
            <v>0.97564444444444454</v>
          </cell>
        </row>
        <row r="803">
          <cell r="K803">
            <v>0.97502222222222223</v>
          </cell>
        </row>
        <row r="804">
          <cell r="K804">
            <v>0.95715555555555565</v>
          </cell>
        </row>
        <row r="805">
          <cell r="K805">
            <v>0.9771333333333333</v>
          </cell>
        </row>
        <row r="806">
          <cell r="K806">
            <v>0.97851111111111111</v>
          </cell>
        </row>
        <row r="807">
          <cell r="K807">
            <v>0.89822222222222214</v>
          </cell>
        </row>
        <row r="808">
          <cell r="K808">
            <v>0.95477777777777773</v>
          </cell>
        </row>
        <row r="809">
          <cell r="K809">
            <v>0.98315555555555556</v>
          </cell>
        </row>
        <row r="810">
          <cell r="K810">
            <v>0.98248888888888886</v>
          </cell>
        </row>
        <row r="811">
          <cell r="K811">
            <v>0.97524444444444447</v>
          </cell>
        </row>
        <row r="812">
          <cell r="K812">
            <v>0.96733333333333338</v>
          </cell>
        </row>
        <row r="813">
          <cell r="K813">
            <v>0.97411111111111115</v>
          </cell>
        </row>
        <row r="814">
          <cell r="K814">
            <v>0.97739999999999994</v>
          </cell>
        </row>
        <row r="815">
          <cell r="K815">
            <v>0.92331111111111108</v>
          </cell>
        </row>
        <row r="816">
          <cell r="K816">
            <v>0.96179999999999999</v>
          </cell>
        </row>
        <row r="817">
          <cell r="K817">
            <v>0.9820444444444445</v>
          </cell>
        </row>
        <row r="818">
          <cell r="K818">
            <v>0.97928888888888888</v>
          </cell>
        </row>
        <row r="819">
          <cell r="K819">
            <v>0.96699999999999997</v>
          </cell>
        </row>
        <row r="820">
          <cell r="K820">
            <v>0.95480000000000009</v>
          </cell>
        </row>
        <row r="821">
          <cell r="K821">
            <v>0.9708</v>
          </cell>
        </row>
        <row r="822">
          <cell r="K822">
            <v>0.97231111111111113</v>
          </cell>
        </row>
        <row r="823">
          <cell r="K823">
            <v>0.89177777777777778</v>
          </cell>
        </row>
        <row r="824">
          <cell r="K824">
            <v>0.95753333333333335</v>
          </cell>
        </row>
        <row r="825">
          <cell r="K825">
            <v>0.9843777777777778</v>
          </cell>
        </row>
        <row r="826">
          <cell r="K826">
            <v>0.97793333333333332</v>
          </cell>
        </row>
        <row r="827">
          <cell r="K827">
            <v>0.96980000000000011</v>
          </cell>
        </row>
        <row r="828">
          <cell r="K828">
            <v>0.97204444444444449</v>
          </cell>
        </row>
        <row r="829">
          <cell r="K829">
            <v>0.97220000000000006</v>
          </cell>
        </row>
        <row r="830">
          <cell r="K830">
            <v>0.96866666666666656</v>
          </cell>
        </row>
        <row r="831">
          <cell r="K831">
            <v>0.91891111111111112</v>
          </cell>
        </row>
        <row r="832">
          <cell r="K832">
            <v>0.94508888888888898</v>
          </cell>
        </row>
        <row r="833">
          <cell r="K833">
            <v>0.9751777777777777</v>
          </cell>
        </row>
        <row r="834">
          <cell r="K834">
            <v>0.98368888888888895</v>
          </cell>
        </row>
        <row r="835">
          <cell r="K835">
            <v>0.97597777777777772</v>
          </cell>
        </row>
        <row r="836">
          <cell r="K836">
            <v>0.96940000000000004</v>
          </cell>
        </row>
        <row r="837">
          <cell r="K837">
            <v>0.97568888888888894</v>
          </cell>
        </row>
        <row r="838">
          <cell r="K838">
            <v>0.97506666666666664</v>
          </cell>
        </row>
        <row r="839">
          <cell r="K839">
            <v>0.89839999999999998</v>
          </cell>
        </row>
        <row r="840">
          <cell r="K840">
            <v>0.95173333333333332</v>
          </cell>
        </row>
        <row r="841">
          <cell r="K841">
            <v>0.98277777777777775</v>
          </cell>
        </row>
        <row r="842">
          <cell r="K842">
            <v>0.97733333333333339</v>
          </cell>
        </row>
        <row r="843">
          <cell r="K843">
            <v>0.97053333333333336</v>
          </cell>
        </row>
        <row r="844">
          <cell r="K844">
            <v>0.96997777777777783</v>
          </cell>
        </row>
        <row r="845">
          <cell r="K845">
            <v>0.97099999999999997</v>
          </cell>
        </row>
        <row r="846">
          <cell r="K846">
            <v>0.96919999999999995</v>
          </cell>
        </row>
        <row r="847">
          <cell r="K847">
            <v>0.89155555555555555</v>
          </cell>
        </row>
        <row r="848">
          <cell r="K848">
            <v>0.96353333333333324</v>
          </cell>
        </row>
        <row r="849">
          <cell r="K849">
            <v>0.98075555555555549</v>
          </cell>
        </row>
        <row r="850">
          <cell r="K850">
            <v>0.97548888888888896</v>
          </cell>
        </row>
        <row r="851">
          <cell r="K851">
            <v>0.979511111111111</v>
          </cell>
        </row>
        <row r="852">
          <cell r="K852">
            <v>0.96535555555555563</v>
          </cell>
        </row>
        <row r="853">
          <cell r="K853">
            <v>0.97326666666666672</v>
          </cell>
        </row>
        <row r="854">
          <cell r="K854">
            <v>0.97191111111111117</v>
          </cell>
        </row>
        <row r="855">
          <cell r="K855">
            <v>0.89111111111111108</v>
          </cell>
        </row>
        <row r="856">
          <cell r="K856">
            <v>0.95528888888888885</v>
          </cell>
        </row>
        <row r="857">
          <cell r="K857">
            <v>0.97926666666666673</v>
          </cell>
        </row>
        <row r="858">
          <cell r="K858">
            <v>0.98137777777777779</v>
          </cell>
        </row>
        <row r="859">
          <cell r="K859">
            <v>0.97191111111111117</v>
          </cell>
        </row>
        <row r="860">
          <cell r="K860">
            <v>0.96657777777777776</v>
          </cell>
        </row>
        <row r="861">
          <cell r="K861">
            <v>0.97373333333333334</v>
          </cell>
        </row>
        <row r="862">
          <cell r="K862">
            <v>0.97102222222222223</v>
          </cell>
        </row>
        <row r="863">
          <cell r="K863">
            <v>0.91968888888888889</v>
          </cell>
        </row>
        <row r="864">
          <cell r="K864">
            <v>0.96199999999999997</v>
          </cell>
        </row>
        <row r="865">
          <cell r="K865">
            <v>0.98395555555555547</v>
          </cell>
        </row>
        <row r="866">
          <cell r="K866">
            <v>0.97851111111111111</v>
          </cell>
        </row>
        <row r="867">
          <cell r="K867">
            <v>0.97033333333333327</v>
          </cell>
        </row>
        <row r="868">
          <cell r="K868">
            <v>0.96124444444444446</v>
          </cell>
        </row>
        <row r="869">
          <cell r="K869">
            <v>0.97504444444444438</v>
          </cell>
        </row>
        <row r="870">
          <cell r="K870">
            <v>0.96973333333333334</v>
          </cell>
        </row>
        <row r="871">
          <cell r="K871">
            <v>0.90757777777777771</v>
          </cell>
        </row>
        <row r="872">
          <cell r="K872">
            <v>0.95611111111111113</v>
          </cell>
        </row>
        <row r="873">
          <cell r="K873">
            <v>0.98195555555555558</v>
          </cell>
        </row>
        <row r="874">
          <cell r="K874">
            <v>0.97697777777777772</v>
          </cell>
        </row>
        <row r="875">
          <cell r="K875">
            <v>0.96893333333333331</v>
          </cell>
        </row>
        <row r="876">
          <cell r="K876">
            <v>0.9598888888888889</v>
          </cell>
        </row>
        <row r="877">
          <cell r="K877">
            <v>0.97648888888888896</v>
          </cell>
        </row>
        <row r="878">
          <cell r="K878">
            <v>0.97015555555555555</v>
          </cell>
        </row>
        <row r="879">
          <cell r="K879">
            <v>0.92737777777777775</v>
          </cell>
        </row>
        <row r="880">
          <cell r="K880">
            <v>0.95157777777777774</v>
          </cell>
        </row>
        <row r="881">
          <cell r="K881">
            <v>0.97862222222222217</v>
          </cell>
        </row>
        <row r="882">
          <cell r="K882">
            <v>0.98342222222222231</v>
          </cell>
        </row>
        <row r="883">
          <cell r="K883">
            <v>0.96933333333333327</v>
          </cell>
        </row>
        <row r="884">
          <cell r="K884">
            <v>0.96091111111111116</v>
          </cell>
        </row>
        <row r="885">
          <cell r="K885">
            <v>0.97728888888888887</v>
          </cell>
        </row>
        <row r="886">
          <cell r="K886">
            <v>0.97371111111111119</v>
          </cell>
        </row>
        <row r="887">
          <cell r="K887">
            <v>0.91891111111111112</v>
          </cell>
        </row>
        <row r="888">
          <cell r="K888">
            <v>0.96091111111111116</v>
          </cell>
        </row>
        <row r="889">
          <cell r="K889">
            <v>0.9770888888888889</v>
          </cell>
        </row>
        <row r="890">
          <cell r="K890">
            <v>0.98217777777777782</v>
          </cell>
        </row>
        <row r="891">
          <cell r="K891">
            <v>0.96568888888888893</v>
          </cell>
        </row>
        <row r="892">
          <cell r="K892">
            <v>0.96128888888888886</v>
          </cell>
        </row>
        <row r="893">
          <cell r="K893">
            <v>0.9800888888888889</v>
          </cell>
        </row>
        <row r="894">
          <cell r="K894">
            <v>0.96673333333333322</v>
          </cell>
        </row>
        <row r="895">
          <cell r="K895">
            <v>0.91651111111111117</v>
          </cell>
        </row>
        <row r="896">
          <cell r="K896">
            <v>0.95504444444444436</v>
          </cell>
        </row>
        <row r="897">
          <cell r="K897">
            <v>0.98257777777777788</v>
          </cell>
        </row>
        <row r="898">
          <cell r="K898">
            <v>0.97731111111111113</v>
          </cell>
        </row>
        <row r="899">
          <cell r="K899">
            <v>0.97133333333333338</v>
          </cell>
        </row>
        <row r="900">
          <cell r="K900">
            <v>0.96055555555555561</v>
          </cell>
        </row>
        <row r="901">
          <cell r="K901">
            <v>0.97366666666666657</v>
          </cell>
        </row>
        <row r="902">
          <cell r="K902">
            <v>0.97762222222222228</v>
          </cell>
        </row>
        <row r="903">
          <cell r="K903">
            <v>0.905911111111111</v>
          </cell>
        </row>
        <row r="904">
          <cell r="K904">
            <v>0.96153333333333335</v>
          </cell>
        </row>
        <row r="905">
          <cell r="K905">
            <v>0.97593333333333332</v>
          </cell>
        </row>
        <row r="906">
          <cell r="K906">
            <v>0.98351111111111111</v>
          </cell>
        </row>
        <row r="907">
          <cell r="K907">
            <v>0.97557777777777777</v>
          </cell>
        </row>
        <row r="908">
          <cell r="K908">
            <v>0.95737777777777777</v>
          </cell>
        </row>
        <row r="909">
          <cell r="K909">
            <v>0.97215555555555566</v>
          </cell>
        </row>
        <row r="910">
          <cell r="K910">
            <v>0.97153333333333336</v>
          </cell>
        </row>
        <row r="911">
          <cell r="K911">
            <v>0.9307333333333333</v>
          </cell>
        </row>
        <row r="912">
          <cell r="K912">
            <v>0.95311111111111102</v>
          </cell>
        </row>
        <row r="913">
          <cell r="K913">
            <v>0.97699999999999998</v>
          </cell>
        </row>
        <row r="914">
          <cell r="K914">
            <v>0.97482222222222226</v>
          </cell>
        </row>
        <row r="915">
          <cell r="K915">
            <v>0.96982222222222225</v>
          </cell>
        </row>
        <row r="916">
          <cell r="K916">
            <v>0.96362222222222216</v>
          </cell>
        </row>
        <row r="917">
          <cell r="K917">
            <v>0.9718444444444444</v>
          </cell>
        </row>
        <row r="918">
          <cell r="K918">
            <v>0.96666666666666667</v>
          </cell>
        </row>
        <row r="919">
          <cell r="K919">
            <v>0.89348888888888889</v>
          </cell>
        </row>
        <row r="920">
          <cell r="K920">
            <v>0.94048888888888893</v>
          </cell>
        </row>
        <row r="921">
          <cell r="K921">
            <v>0.97531111111111113</v>
          </cell>
        </row>
        <row r="922">
          <cell r="K922">
            <v>0.97822222222222222</v>
          </cell>
        </row>
        <row r="923">
          <cell r="K923">
            <v>0.97882222222222226</v>
          </cell>
        </row>
        <row r="924">
          <cell r="K924">
            <v>0.96106666666666674</v>
          </cell>
        </row>
        <row r="925">
          <cell r="K925">
            <v>0.97171111111111108</v>
          </cell>
        </row>
        <row r="926">
          <cell r="K926">
            <v>0.9728</v>
          </cell>
        </row>
        <row r="927">
          <cell r="K927">
            <v>0.9220666666666667</v>
          </cell>
        </row>
        <row r="928">
          <cell r="K928">
            <v>0.95746666666666669</v>
          </cell>
        </row>
        <row r="929">
          <cell r="K929">
            <v>0.98186666666666667</v>
          </cell>
        </row>
        <row r="930">
          <cell r="K930">
            <v>0.98593333333333333</v>
          </cell>
        </row>
        <row r="931">
          <cell r="K931">
            <v>0.97446666666666659</v>
          </cell>
        </row>
        <row r="932">
          <cell r="K932">
            <v>0.96706666666666663</v>
          </cell>
        </row>
        <row r="933">
          <cell r="K933">
            <v>0.97997777777777784</v>
          </cell>
        </row>
        <row r="934">
          <cell r="K934">
            <v>0.97908888888888879</v>
          </cell>
        </row>
        <row r="935">
          <cell r="K935">
            <v>0.93220000000000003</v>
          </cell>
        </row>
        <row r="936">
          <cell r="K936">
            <v>0.9684222222222223</v>
          </cell>
        </row>
        <row r="937">
          <cell r="K937">
            <v>0.98224444444444448</v>
          </cell>
        </row>
        <row r="938">
          <cell r="K938">
            <v>0.97704444444444449</v>
          </cell>
        </row>
        <row r="939">
          <cell r="K939">
            <v>0.9708888888888888</v>
          </cell>
        </row>
        <row r="940">
          <cell r="K940">
            <v>0.95533333333333326</v>
          </cell>
        </row>
        <row r="941">
          <cell r="K941">
            <v>0.97591111111111117</v>
          </cell>
        </row>
        <row r="942">
          <cell r="K942">
            <v>0.97042222222222219</v>
          </cell>
        </row>
        <row r="943">
          <cell r="K943">
            <v>0.90739999999999998</v>
          </cell>
        </row>
        <row r="944">
          <cell r="K944">
            <v>0.94064444444444451</v>
          </cell>
        </row>
        <row r="945">
          <cell r="K945">
            <v>0.97926666666666673</v>
          </cell>
        </row>
        <row r="946">
          <cell r="K946">
            <v>0.97966666666666669</v>
          </cell>
        </row>
        <row r="947">
          <cell r="K947">
            <v>0.97919999999999996</v>
          </cell>
        </row>
        <row r="948">
          <cell r="K948">
            <v>0.96386666666666665</v>
          </cell>
        </row>
        <row r="949">
          <cell r="K949">
            <v>0.97586666666666666</v>
          </cell>
        </row>
        <row r="950">
          <cell r="K950">
            <v>0.96837777777777778</v>
          </cell>
        </row>
        <row r="951">
          <cell r="K951">
            <v>0.92997777777777779</v>
          </cell>
        </row>
        <row r="952">
          <cell r="K952">
            <v>0.96306666666666663</v>
          </cell>
        </row>
        <row r="953">
          <cell r="K953">
            <v>0.98502222222222224</v>
          </cell>
        </row>
        <row r="954">
          <cell r="K954">
            <v>0.97828888888888887</v>
          </cell>
        </row>
        <row r="955">
          <cell r="K955">
            <v>0.97073333333333334</v>
          </cell>
        </row>
        <row r="956">
          <cell r="K956">
            <v>0.96231111111111112</v>
          </cell>
        </row>
        <row r="957">
          <cell r="K957">
            <v>0.97546666666666659</v>
          </cell>
        </row>
        <row r="958">
          <cell r="K958">
            <v>0.96902222222222223</v>
          </cell>
        </row>
        <row r="959">
          <cell r="K959">
            <v>0.9294</v>
          </cell>
        </row>
        <row r="960">
          <cell r="K960">
            <v>0.96475555555555548</v>
          </cell>
        </row>
        <row r="961">
          <cell r="K961">
            <v>0.97860000000000003</v>
          </cell>
        </row>
        <row r="962">
          <cell r="K962">
            <v>0.9798</v>
          </cell>
        </row>
        <row r="963">
          <cell r="K963">
            <v>0.97475555555555549</v>
          </cell>
        </row>
        <row r="964">
          <cell r="K964">
            <v>0.96111111111111114</v>
          </cell>
        </row>
        <row r="965">
          <cell r="K965">
            <v>0.97595555555555558</v>
          </cell>
        </row>
        <row r="966">
          <cell r="K966">
            <v>0.97442222222222219</v>
          </cell>
        </row>
        <row r="967">
          <cell r="K967">
            <v>0.92446666666666666</v>
          </cell>
        </row>
        <row r="968">
          <cell r="K968">
            <v>0.95513333333333339</v>
          </cell>
        </row>
        <row r="969">
          <cell r="K969">
            <v>0.97817777777777781</v>
          </cell>
        </row>
        <row r="970">
          <cell r="K970">
            <v>0.98231111111111113</v>
          </cell>
        </row>
        <row r="971">
          <cell r="K971">
            <v>0.9761333333333333</v>
          </cell>
        </row>
        <row r="972">
          <cell r="K972">
            <v>0.95777777777777773</v>
          </cell>
        </row>
        <row r="973">
          <cell r="K973">
            <v>0.97911111111111115</v>
          </cell>
        </row>
        <row r="974">
          <cell r="K974">
            <v>0.96797777777777771</v>
          </cell>
        </row>
        <row r="975">
          <cell r="K975">
            <v>0.90228888888888881</v>
          </cell>
        </row>
        <row r="976">
          <cell r="K976">
            <v>0.94195555555555555</v>
          </cell>
        </row>
        <row r="977">
          <cell r="K977">
            <v>0.9761333333333333</v>
          </cell>
        </row>
        <row r="978">
          <cell r="K978">
            <v>0.98002222222222224</v>
          </cell>
        </row>
        <row r="979">
          <cell r="K979">
            <v>0.97882222222222226</v>
          </cell>
        </row>
        <row r="980">
          <cell r="K980">
            <v>0.96386666666666665</v>
          </cell>
        </row>
        <row r="981">
          <cell r="K981">
            <v>0.97577777777777785</v>
          </cell>
        </row>
        <row r="982">
          <cell r="K982">
            <v>0.97564444444444454</v>
          </cell>
        </row>
        <row r="983">
          <cell r="K983">
            <v>0.92288888888888887</v>
          </cell>
        </row>
        <row r="984">
          <cell r="K984">
            <v>0.96302222222222222</v>
          </cell>
        </row>
        <row r="985">
          <cell r="K985">
            <v>0.98313333333333341</v>
          </cell>
        </row>
        <row r="986">
          <cell r="K986">
            <v>0.9768444444444444</v>
          </cell>
        </row>
        <row r="987">
          <cell r="K987">
            <v>0.96660000000000001</v>
          </cell>
        </row>
        <row r="988">
          <cell r="K988">
            <v>0.95815555555555554</v>
          </cell>
        </row>
        <row r="989">
          <cell r="K989">
            <v>0.97444444444444445</v>
          </cell>
        </row>
        <row r="990">
          <cell r="K990">
            <v>0.97508888888888889</v>
          </cell>
        </row>
        <row r="991">
          <cell r="K991">
            <v>0.91966666666666674</v>
          </cell>
        </row>
        <row r="992">
          <cell r="K992">
            <v>0.93904444444444446</v>
          </cell>
        </row>
        <row r="993">
          <cell r="K993">
            <v>0.97848888888888885</v>
          </cell>
        </row>
        <row r="994">
          <cell r="K994">
            <v>0.98053333333333337</v>
          </cell>
        </row>
        <row r="995">
          <cell r="K995">
            <v>0.97220000000000006</v>
          </cell>
        </row>
        <row r="996">
          <cell r="K996">
            <v>0.96882222222222225</v>
          </cell>
        </row>
        <row r="997">
          <cell r="K997">
            <v>0.97437777777777779</v>
          </cell>
        </row>
        <row r="998">
          <cell r="K998">
            <v>0.9770888888888889</v>
          </cell>
        </row>
        <row r="999">
          <cell r="K999">
            <v>0.93715555555555563</v>
          </cell>
        </row>
        <row r="1000">
          <cell r="K1000">
            <v>0.96444444444444444</v>
          </cell>
        </row>
        <row r="1001">
          <cell r="K1001">
            <v>0.9844666666666666</v>
          </cell>
        </row>
        <row r="1002">
          <cell r="K1002">
            <v>0.98368888888888895</v>
          </cell>
        </row>
        <row r="1003">
          <cell r="K1003">
            <v>0.98053333333333337</v>
          </cell>
        </row>
        <row r="1004">
          <cell r="K1004">
            <v>0.97037777777777778</v>
          </cell>
        </row>
        <row r="1005">
          <cell r="K1005">
            <v>0.97142222222222219</v>
          </cell>
        </row>
        <row r="1006">
          <cell r="K1006">
            <v>0.96862222222222216</v>
          </cell>
        </row>
        <row r="1007">
          <cell r="K1007">
            <v>0.93622222222222229</v>
          </cell>
        </row>
        <row r="1008">
          <cell r="K1008">
            <v>0.96537777777777778</v>
          </cell>
        </row>
        <row r="1009">
          <cell r="K1009">
            <v>0.98033333333333328</v>
          </cell>
        </row>
        <row r="1010">
          <cell r="K1010">
            <v>0.97682222222222226</v>
          </cell>
        </row>
        <row r="1011">
          <cell r="K1011">
            <v>0.96868888888888893</v>
          </cell>
        </row>
        <row r="1012">
          <cell r="K1012">
            <v>0.96648888888888895</v>
          </cell>
        </row>
        <row r="1013">
          <cell r="K1013">
            <v>0.97333333333333338</v>
          </cell>
        </row>
        <row r="1014">
          <cell r="K1014">
            <v>0.97231111111111113</v>
          </cell>
        </row>
        <row r="1015">
          <cell r="K1015">
            <v>0.88402222222222226</v>
          </cell>
        </row>
        <row r="1016">
          <cell r="K1016">
            <v>0.9555555555555556</v>
          </cell>
        </row>
        <row r="1017">
          <cell r="K1017">
            <v>0.9801777777777777</v>
          </cell>
        </row>
        <row r="1018">
          <cell r="K1018">
            <v>0.9735111111111111</v>
          </cell>
        </row>
        <row r="1019">
          <cell r="K1019">
            <v>0.96419999999999995</v>
          </cell>
        </row>
        <row r="1020">
          <cell r="K1020">
            <v>0.95597777777777782</v>
          </cell>
        </row>
        <row r="1021">
          <cell r="K1021">
            <v>0.97831111111111113</v>
          </cell>
        </row>
        <row r="1022">
          <cell r="K1022">
            <v>0.96279999999999999</v>
          </cell>
        </row>
        <row r="1023">
          <cell r="K1023">
            <v>0.92546666666666666</v>
          </cell>
        </row>
        <row r="1024">
          <cell r="K1024">
            <v>0.94048888888888893</v>
          </cell>
        </row>
        <row r="1025">
          <cell r="K1025">
            <v>0.97331111111111113</v>
          </cell>
        </row>
        <row r="1026">
          <cell r="K1026">
            <v>0.98335555555555554</v>
          </cell>
        </row>
        <row r="1027">
          <cell r="K1027">
            <v>0.97848888888888885</v>
          </cell>
        </row>
        <row r="1028">
          <cell r="K1028">
            <v>0.96253333333333335</v>
          </cell>
        </row>
        <row r="1029">
          <cell r="K1029">
            <v>0.97973333333333334</v>
          </cell>
        </row>
        <row r="1030">
          <cell r="K1030">
            <v>0.9758</v>
          </cell>
        </row>
        <row r="1031">
          <cell r="K1031">
            <v>0.91397777777777778</v>
          </cell>
        </row>
        <row r="1032">
          <cell r="K1032">
            <v>0.94966666666666677</v>
          </cell>
        </row>
        <row r="1033">
          <cell r="K1033">
            <v>0.98417777777777782</v>
          </cell>
        </row>
        <row r="1034">
          <cell r="K1034">
            <v>0.97793333333333332</v>
          </cell>
        </row>
        <row r="1035">
          <cell r="K1035">
            <v>0.96922222222222221</v>
          </cell>
        </row>
        <row r="1036">
          <cell r="K1036">
            <v>0.97262222222222228</v>
          </cell>
        </row>
        <row r="1037">
          <cell r="K1037">
            <v>0.97571111111111108</v>
          </cell>
        </row>
        <row r="1038">
          <cell r="K1038">
            <v>0.98022222222222233</v>
          </cell>
        </row>
        <row r="1039">
          <cell r="K1039">
            <v>0.90515555555555549</v>
          </cell>
        </row>
        <row r="1040">
          <cell r="K1040">
            <v>0.94980000000000009</v>
          </cell>
        </row>
        <row r="1041">
          <cell r="K1041">
            <v>0.98435555555555554</v>
          </cell>
        </row>
        <row r="1042">
          <cell r="K1042">
            <v>0.97331111111111113</v>
          </cell>
        </row>
        <row r="1043">
          <cell r="K1043">
            <v>0.97506666666666664</v>
          </cell>
        </row>
        <row r="1044">
          <cell r="K1044">
            <v>0.95155555555555549</v>
          </cell>
        </row>
        <row r="1045">
          <cell r="K1045">
            <v>0.97411111111111115</v>
          </cell>
        </row>
        <row r="1046">
          <cell r="K1046">
            <v>0.97653333333333336</v>
          </cell>
        </row>
        <row r="1047">
          <cell r="K1047">
            <v>0.91635555555555559</v>
          </cell>
        </row>
        <row r="1048">
          <cell r="K1048">
            <v>0.95453333333333334</v>
          </cell>
        </row>
        <row r="1049">
          <cell r="K1049">
            <v>0.97806666666666664</v>
          </cell>
        </row>
        <row r="1050">
          <cell r="K1050">
            <v>0.98128888888888888</v>
          </cell>
        </row>
        <row r="1051">
          <cell r="K1051">
            <v>0.96737777777777778</v>
          </cell>
        </row>
        <row r="1052">
          <cell r="K1052">
            <v>0.95526666666666671</v>
          </cell>
        </row>
        <row r="1053">
          <cell r="K1053">
            <v>0.96904444444444438</v>
          </cell>
        </row>
        <row r="1054">
          <cell r="K1054">
            <v>0.9691333333333334</v>
          </cell>
        </row>
        <row r="1055">
          <cell r="K1055">
            <v>0.9266888888888889</v>
          </cell>
        </row>
        <row r="1056">
          <cell r="K1056">
            <v>0.95682222222222224</v>
          </cell>
        </row>
        <row r="1057">
          <cell r="K1057">
            <v>0.97451111111111111</v>
          </cell>
        </row>
        <row r="1058">
          <cell r="K1058">
            <v>0.98</v>
          </cell>
        </row>
        <row r="1059">
          <cell r="K1059">
            <v>0.97297777777777772</v>
          </cell>
        </row>
        <row r="1060">
          <cell r="K1060">
            <v>0.96257777777777787</v>
          </cell>
        </row>
        <row r="1061">
          <cell r="K1061">
            <v>0.9777111111111112</v>
          </cell>
        </row>
        <row r="1062">
          <cell r="K1062">
            <v>0.97468888888888894</v>
          </cell>
        </row>
        <row r="1063">
          <cell r="K1063">
            <v>0.91404444444444444</v>
          </cell>
        </row>
        <row r="1064">
          <cell r="K1064">
            <v>0.95373333333333332</v>
          </cell>
        </row>
        <row r="1065">
          <cell r="K1065">
            <v>0.97813333333333341</v>
          </cell>
        </row>
        <row r="1066">
          <cell r="K1066">
            <v>0.97977777777777775</v>
          </cell>
        </row>
        <row r="1067">
          <cell r="K1067">
            <v>0.97271111111111119</v>
          </cell>
        </row>
        <row r="1068">
          <cell r="K1068">
            <v>0.96884444444444451</v>
          </cell>
        </row>
        <row r="1069">
          <cell r="K1069">
            <v>0.9728</v>
          </cell>
        </row>
        <row r="1070">
          <cell r="K1070">
            <v>0.97239999999999993</v>
          </cell>
        </row>
        <row r="1071">
          <cell r="K1071">
            <v>0.94451111111111108</v>
          </cell>
        </row>
        <row r="1072">
          <cell r="K1072">
            <v>0.96486666666666665</v>
          </cell>
        </row>
        <row r="1073">
          <cell r="K1073">
            <v>0.97788888888888892</v>
          </cell>
        </row>
        <row r="1074">
          <cell r="K1074">
            <v>0.97984444444444441</v>
          </cell>
        </row>
        <row r="1075">
          <cell r="K1075">
            <v>0.96724444444444446</v>
          </cell>
        </row>
        <row r="1076">
          <cell r="K1076">
            <v>0.95682222222222224</v>
          </cell>
        </row>
        <row r="1077">
          <cell r="K1077">
            <v>0.9810888888888889</v>
          </cell>
        </row>
        <row r="1078">
          <cell r="K1078">
            <v>0.96471111111111107</v>
          </cell>
        </row>
        <row r="1079">
          <cell r="K1079">
            <v>0.9055333333333333</v>
          </cell>
        </row>
        <row r="1080">
          <cell r="K1080">
            <v>0.94251111111111108</v>
          </cell>
        </row>
        <row r="1081">
          <cell r="K1081">
            <v>0.9777111111111112</v>
          </cell>
        </row>
        <row r="1082">
          <cell r="K1082">
            <v>0.98453333333333337</v>
          </cell>
        </row>
        <row r="1083">
          <cell r="K1083">
            <v>0.97904444444444438</v>
          </cell>
        </row>
        <row r="1084">
          <cell r="K1084">
            <v>0.97353333333333325</v>
          </cell>
        </row>
        <row r="1085">
          <cell r="K1085">
            <v>0.97648888888888896</v>
          </cell>
        </row>
        <row r="1086">
          <cell r="K1086">
            <v>0.9770888888888889</v>
          </cell>
        </row>
        <row r="1087">
          <cell r="K1087">
            <v>0.94028888888888884</v>
          </cell>
        </row>
        <row r="1088">
          <cell r="K1088">
            <v>0.95311111111111102</v>
          </cell>
        </row>
        <row r="1089">
          <cell r="K1089">
            <v>0.97844444444444445</v>
          </cell>
        </row>
        <row r="1090">
          <cell r="K1090">
            <v>0.97957777777777777</v>
          </cell>
        </row>
        <row r="1091">
          <cell r="K1091">
            <v>0.96440000000000003</v>
          </cell>
        </row>
        <row r="1092">
          <cell r="K1092">
            <v>0.9662222222222222</v>
          </cell>
        </row>
        <row r="1093">
          <cell r="K1093">
            <v>0.96893333333333331</v>
          </cell>
        </row>
        <row r="1094">
          <cell r="K1094">
            <v>0.97537777777777779</v>
          </cell>
        </row>
        <row r="1095">
          <cell r="K1095">
            <v>0.91933333333333334</v>
          </cell>
        </row>
        <row r="1096">
          <cell r="K1096">
            <v>0.95871111111111118</v>
          </cell>
        </row>
        <row r="1097">
          <cell r="K1097">
            <v>0.98128888888888888</v>
          </cell>
        </row>
        <row r="1098">
          <cell r="K1098">
            <v>0.97908888888888879</v>
          </cell>
        </row>
        <row r="1099">
          <cell r="K1099">
            <v>0.9767555555555556</v>
          </cell>
        </row>
        <row r="1100">
          <cell r="K1100">
            <v>0.96311111111111103</v>
          </cell>
        </row>
        <row r="1101">
          <cell r="K1101">
            <v>0.9780888888888889</v>
          </cell>
        </row>
        <row r="1102">
          <cell r="K1102">
            <v>0.97846666666666671</v>
          </cell>
        </row>
        <row r="1103">
          <cell r="K1103">
            <v>0.90633333333333344</v>
          </cell>
        </row>
        <row r="1104">
          <cell r="K1104">
            <v>0.96108888888888888</v>
          </cell>
        </row>
        <row r="1105">
          <cell r="K1105">
            <v>0.97893333333333332</v>
          </cell>
        </row>
        <row r="1106">
          <cell r="K1106">
            <v>0.98284444444444441</v>
          </cell>
        </row>
        <row r="1107">
          <cell r="K1107">
            <v>0.9767555555555556</v>
          </cell>
        </row>
        <row r="1108">
          <cell r="K1108">
            <v>0.96066666666666667</v>
          </cell>
        </row>
        <row r="1109">
          <cell r="K1109">
            <v>0.97526666666666673</v>
          </cell>
        </row>
        <row r="1110">
          <cell r="K1110">
            <v>0.97122222222222221</v>
          </cell>
        </row>
        <row r="1111">
          <cell r="K1111">
            <v>0.92426666666666668</v>
          </cell>
        </row>
        <row r="1112">
          <cell r="K1112">
            <v>0.95877777777777773</v>
          </cell>
        </row>
        <row r="1113">
          <cell r="K1113">
            <v>0.9811777777777777</v>
          </cell>
        </row>
        <row r="1114">
          <cell r="K1114">
            <v>0.9830888888888889</v>
          </cell>
        </row>
        <row r="1115">
          <cell r="K1115">
            <v>0.98088888888888881</v>
          </cell>
        </row>
        <row r="1116">
          <cell r="K1116">
            <v>0.96739999999999993</v>
          </cell>
        </row>
        <row r="1117">
          <cell r="K1117">
            <v>0.9734222222222223</v>
          </cell>
        </row>
        <row r="1118">
          <cell r="K1118">
            <v>0.9751777777777777</v>
          </cell>
        </row>
        <row r="1119">
          <cell r="K1119">
            <v>0.94468888888888891</v>
          </cell>
        </row>
        <row r="1120">
          <cell r="K1120">
            <v>0.94953333333333334</v>
          </cell>
        </row>
        <row r="1121">
          <cell r="K1121">
            <v>0.98719999999999997</v>
          </cell>
        </row>
        <row r="1122">
          <cell r="K1122">
            <v>0.98139999999999994</v>
          </cell>
        </row>
        <row r="1123">
          <cell r="K1123">
            <v>0.97557777777777777</v>
          </cell>
        </row>
        <row r="1124">
          <cell r="K1124">
            <v>0.97040000000000004</v>
          </cell>
        </row>
        <row r="1125">
          <cell r="K1125">
            <v>0.96879999999999999</v>
          </cell>
        </row>
        <row r="1126">
          <cell r="K1126">
            <v>0.96826666666666672</v>
          </cell>
        </row>
        <row r="1127">
          <cell r="K1127">
            <v>0.89364444444444446</v>
          </cell>
        </row>
        <row r="1128">
          <cell r="K1128">
            <v>0.95642222222222217</v>
          </cell>
        </row>
        <row r="1129">
          <cell r="K1129">
            <v>0.97884444444444452</v>
          </cell>
        </row>
        <row r="1130">
          <cell r="K1130">
            <v>0.97768888888888883</v>
          </cell>
        </row>
        <row r="1131">
          <cell r="K1131">
            <v>0.9674666666666667</v>
          </cell>
        </row>
        <row r="1132">
          <cell r="K1132">
            <v>0.9631333333333334</v>
          </cell>
        </row>
        <row r="1133">
          <cell r="K1133">
            <v>0.97577777777777785</v>
          </cell>
        </row>
        <row r="1134">
          <cell r="K1134">
            <v>0.96331111111111112</v>
          </cell>
        </row>
        <row r="1135">
          <cell r="K1135">
            <v>0.92353333333333343</v>
          </cell>
        </row>
        <row r="1136">
          <cell r="K1136">
            <v>0.93848888888888893</v>
          </cell>
        </row>
        <row r="1137">
          <cell r="K1137">
            <v>0.97615555555555555</v>
          </cell>
        </row>
        <row r="1138">
          <cell r="K1138">
            <v>0.97906666666666664</v>
          </cell>
        </row>
        <row r="1139">
          <cell r="K1139">
            <v>0.9665111111111111</v>
          </cell>
        </row>
        <row r="1140">
          <cell r="K1140">
            <v>0.95751111111111109</v>
          </cell>
        </row>
        <row r="1141">
          <cell r="K1141">
            <v>0.98022222222222233</v>
          </cell>
        </row>
        <row r="1142">
          <cell r="K1142">
            <v>0.97362222222222217</v>
          </cell>
        </row>
        <row r="1143">
          <cell r="K1143">
            <v>0.90822222222222215</v>
          </cell>
        </row>
        <row r="1144">
          <cell r="K1144">
            <v>0.95811111111111102</v>
          </cell>
        </row>
        <row r="1145">
          <cell r="K1145">
            <v>0.98519999999999996</v>
          </cell>
        </row>
        <row r="1146">
          <cell r="K1146">
            <v>0.97993333333333343</v>
          </cell>
        </row>
        <row r="1147">
          <cell r="K1147">
            <v>0.96346666666666669</v>
          </cell>
        </row>
        <row r="1148">
          <cell r="K1148">
            <v>0.95464444444444441</v>
          </cell>
        </row>
        <row r="1149">
          <cell r="K1149">
            <v>0.97631111111111102</v>
          </cell>
        </row>
        <row r="1150">
          <cell r="K1150">
            <v>0.96402222222222222</v>
          </cell>
        </row>
        <row r="1151">
          <cell r="K1151">
            <v>0.92048888888888891</v>
          </cell>
        </row>
        <row r="1152">
          <cell r="K1152">
            <v>0.94377777777777772</v>
          </cell>
        </row>
        <row r="1153">
          <cell r="K1153">
            <v>0.97899999999999998</v>
          </cell>
        </row>
        <row r="1154">
          <cell r="K1154">
            <v>0.98531111111111103</v>
          </cell>
        </row>
        <row r="1155">
          <cell r="K1155">
            <v>0.97595555555555558</v>
          </cell>
        </row>
        <row r="1156">
          <cell r="K1156">
            <v>0.96128888888888886</v>
          </cell>
        </row>
        <row r="1157">
          <cell r="K1157">
            <v>0.9820444444444445</v>
          </cell>
        </row>
        <row r="1158">
          <cell r="K1158">
            <v>0.97480000000000011</v>
          </cell>
        </row>
        <row r="1159">
          <cell r="K1159">
            <v>0.92220000000000002</v>
          </cell>
        </row>
        <row r="1160">
          <cell r="K1160">
            <v>0.94704444444444447</v>
          </cell>
        </row>
        <row r="1161">
          <cell r="K1161">
            <v>0.97786666666666666</v>
          </cell>
        </row>
        <row r="1162">
          <cell r="K1162">
            <v>0.9801333333333333</v>
          </cell>
        </row>
        <row r="1163">
          <cell r="K1163">
            <v>0.9728</v>
          </cell>
        </row>
        <row r="1164">
          <cell r="K1164">
            <v>0.96477777777777773</v>
          </cell>
        </row>
        <row r="1165">
          <cell r="K1165">
            <v>0.97402222222222223</v>
          </cell>
        </row>
        <row r="1166">
          <cell r="K1166">
            <v>0.97751111111111111</v>
          </cell>
        </row>
        <row r="1167">
          <cell r="K1167">
            <v>0.94308888888888887</v>
          </cell>
        </row>
        <row r="1168">
          <cell r="K1168">
            <v>0.96811111111111103</v>
          </cell>
        </row>
        <row r="1169">
          <cell r="K1169">
            <v>0.98324444444444437</v>
          </cell>
        </row>
        <row r="1170">
          <cell r="K1170">
            <v>0.9751777777777777</v>
          </cell>
        </row>
        <row r="1171">
          <cell r="K1171">
            <v>0.96911111111111115</v>
          </cell>
        </row>
        <row r="1172">
          <cell r="K1172">
            <v>0.9528888888888889</v>
          </cell>
        </row>
        <row r="1173">
          <cell r="K1173">
            <v>0.97860000000000003</v>
          </cell>
        </row>
        <row r="1174">
          <cell r="K1174">
            <v>0.97542222222222219</v>
          </cell>
        </row>
        <row r="1175">
          <cell r="K1175">
            <v>0.90986666666666671</v>
          </cell>
        </row>
        <row r="1176">
          <cell r="K1176">
            <v>0.96142222222222218</v>
          </cell>
        </row>
        <row r="1177">
          <cell r="K1177">
            <v>0.97746666666666671</v>
          </cell>
        </row>
        <row r="1178">
          <cell r="K1178">
            <v>0.97457777777777777</v>
          </cell>
        </row>
        <row r="1179">
          <cell r="K1179">
            <v>0.97793333333333332</v>
          </cell>
        </row>
        <row r="1180">
          <cell r="K1180">
            <v>0.95548888888888894</v>
          </cell>
        </row>
        <row r="1181">
          <cell r="K1181">
            <v>0.97328888888888898</v>
          </cell>
        </row>
        <row r="1182">
          <cell r="K1182">
            <v>0.96944444444444444</v>
          </cell>
        </row>
        <row r="1183">
          <cell r="K1183">
            <v>0.90080000000000005</v>
          </cell>
        </row>
        <row r="1184">
          <cell r="K1184">
            <v>0.94437777777777787</v>
          </cell>
        </row>
        <row r="1185">
          <cell r="K1185">
            <v>0.97486666666666666</v>
          </cell>
        </row>
        <row r="1186">
          <cell r="K1186">
            <v>0.97480000000000011</v>
          </cell>
        </row>
        <row r="1187">
          <cell r="K1187">
            <v>0.9665555555555555</v>
          </cell>
        </row>
        <row r="1188">
          <cell r="K1188">
            <v>0.9691333333333334</v>
          </cell>
        </row>
        <row r="1189">
          <cell r="K1189">
            <v>0.9681777777777778</v>
          </cell>
        </row>
        <row r="1190">
          <cell r="K1190">
            <v>0.96935555555555553</v>
          </cell>
        </row>
        <row r="1191">
          <cell r="K1191">
            <v>0.9230222222222223</v>
          </cell>
        </row>
        <row r="1192">
          <cell r="K1192">
            <v>0.95699999999999996</v>
          </cell>
        </row>
        <row r="1193">
          <cell r="K1193">
            <v>0.98322222222222222</v>
          </cell>
        </row>
        <row r="1194">
          <cell r="K1194">
            <v>0.97857777777777777</v>
          </cell>
        </row>
        <row r="1195">
          <cell r="K1195">
            <v>0.97855555555555562</v>
          </cell>
        </row>
        <row r="1196">
          <cell r="K1196">
            <v>0.95895555555555545</v>
          </cell>
        </row>
        <row r="1197">
          <cell r="K1197">
            <v>0.97322222222222221</v>
          </cell>
        </row>
        <row r="1198">
          <cell r="K1198">
            <v>0.96637777777777778</v>
          </cell>
        </row>
        <row r="1199">
          <cell r="K1199">
            <v>0.93746666666666667</v>
          </cell>
        </row>
        <row r="1200">
          <cell r="K1200">
            <v>0.95928888888888886</v>
          </cell>
        </row>
        <row r="1201">
          <cell r="K1201">
            <v>0.97868888888888894</v>
          </cell>
        </row>
        <row r="1202">
          <cell r="K1202">
            <v>0.97991111111111107</v>
          </cell>
        </row>
        <row r="1203">
          <cell r="K1203">
            <v>0.96868888888888893</v>
          </cell>
        </row>
        <row r="1204">
          <cell r="K1204">
            <v>0.96593333333333342</v>
          </cell>
        </row>
        <row r="1205">
          <cell r="K1205">
            <v>0.9761333333333333</v>
          </cell>
        </row>
        <row r="1206">
          <cell r="K1206">
            <v>0.97368888888888894</v>
          </cell>
        </row>
        <row r="1207">
          <cell r="K1207">
            <v>0.93177777777777782</v>
          </cell>
        </row>
        <row r="1208">
          <cell r="K1208">
            <v>0.95073333333333332</v>
          </cell>
        </row>
        <row r="1209">
          <cell r="K1209">
            <v>0.97664444444444443</v>
          </cell>
        </row>
        <row r="1210">
          <cell r="K1210">
            <v>0.97844444444444445</v>
          </cell>
        </row>
        <row r="1211">
          <cell r="K1211">
            <v>0.9678444444444444</v>
          </cell>
        </row>
        <row r="1212">
          <cell r="K1212">
            <v>0.95779999999999998</v>
          </cell>
        </row>
        <row r="1213">
          <cell r="K1213">
            <v>0.96797777777777771</v>
          </cell>
        </row>
        <row r="1214">
          <cell r="K1214">
            <v>0.97315555555555555</v>
          </cell>
        </row>
        <row r="1215">
          <cell r="K1215">
            <v>0.89851111111111104</v>
          </cell>
        </row>
        <row r="1216">
          <cell r="K1216">
            <v>0.93933333333333335</v>
          </cell>
        </row>
        <row r="1217">
          <cell r="K1217">
            <v>0.98028888888888888</v>
          </cell>
        </row>
        <row r="1218">
          <cell r="K1218">
            <v>0.97611111111111115</v>
          </cell>
        </row>
        <row r="1219">
          <cell r="K1219">
            <v>0.96973333333333334</v>
          </cell>
        </row>
        <row r="1220">
          <cell r="K1220">
            <v>0.97122222222222221</v>
          </cell>
        </row>
        <row r="1221">
          <cell r="K1221">
            <v>0.97864444444444443</v>
          </cell>
        </row>
        <row r="1222">
          <cell r="K1222">
            <v>0.96977777777777774</v>
          </cell>
        </row>
        <row r="1223">
          <cell r="K1223">
            <v>0.91402222222222218</v>
          </cell>
        </row>
        <row r="1224">
          <cell r="K1224">
            <v>0.9403555555555555</v>
          </cell>
        </row>
        <row r="1225">
          <cell r="K1225">
            <v>0.97760000000000002</v>
          </cell>
        </row>
        <row r="1226">
          <cell r="K1226">
            <v>0.97542222222222219</v>
          </cell>
        </row>
        <row r="1227">
          <cell r="K1227">
            <v>0.97731111111111113</v>
          </cell>
        </row>
        <row r="1228">
          <cell r="K1228">
            <v>0.97059999999999991</v>
          </cell>
        </row>
        <row r="1229">
          <cell r="K1229">
            <v>0.97186666666666666</v>
          </cell>
        </row>
        <row r="1230">
          <cell r="K1230">
            <v>0.97031111111111112</v>
          </cell>
        </row>
        <row r="1231">
          <cell r="K1231">
            <v>0.93046666666666666</v>
          </cell>
        </row>
        <row r="1232">
          <cell r="K1232">
            <v>0.96128888888888886</v>
          </cell>
        </row>
        <row r="1233">
          <cell r="K1233">
            <v>0.98226666666666662</v>
          </cell>
        </row>
        <row r="1234">
          <cell r="K1234">
            <v>0.9794666666666666</v>
          </cell>
        </row>
        <row r="1235">
          <cell r="K1235">
            <v>0.96695555555555557</v>
          </cell>
        </row>
        <row r="1236">
          <cell r="K1236">
            <v>0.95875555555555558</v>
          </cell>
        </row>
        <row r="1237">
          <cell r="K1237">
            <v>0.96884444444444451</v>
          </cell>
        </row>
        <row r="1238">
          <cell r="K1238">
            <v>0.96824444444444435</v>
          </cell>
        </row>
        <row r="1239">
          <cell r="K1239">
            <v>0.89344444444444449</v>
          </cell>
        </row>
        <row r="1240">
          <cell r="K1240">
            <v>0.95400000000000007</v>
          </cell>
        </row>
        <row r="1241">
          <cell r="K1241">
            <v>0.97411111111111115</v>
          </cell>
        </row>
        <row r="1242">
          <cell r="K1242">
            <v>0.97720000000000007</v>
          </cell>
        </row>
        <row r="1243">
          <cell r="K1243">
            <v>0.96822222222222221</v>
          </cell>
        </row>
        <row r="1244">
          <cell r="K1244">
            <v>0.97004444444444438</v>
          </cell>
        </row>
        <row r="1245">
          <cell r="K1245">
            <v>0.97926666666666673</v>
          </cell>
        </row>
        <row r="1246">
          <cell r="K1246">
            <v>0.97717777777777781</v>
          </cell>
        </row>
        <row r="1247">
          <cell r="K1247">
            <v>0.91915555555555561</v>
          </cell>
        </row>
        <row r="1248">
          <cell r="K1248">
            <v>0.95751111111111109</v>
          </cell>
        </row>
        <row r="1249">
          <cell r="K1249">
            <v>0.98568888888888895</v>
          </cell>
        </row>
        <row r="1250">
          <cell r="K1250">
            <v>0.9787555555555556</v>
          </cell>
        </row>
        <row r="1251">
          <cell r="K1251">
            <v>0.96966666666666668</v>
          </cell>
        </row>
        <row r="1252">
          <cell r="K1252">
            <v>0.9728</v>
          </cell>
        </row>
        <row r="1253">
          <cell r="K1253">
            <v>0.97040000000000004</v>
          </cell>
        </row>
        <row r="1254">
          <cell r="K1254">
            <v>0.97333333333333338</v>
          </cell>
        </row>
        <row r="1255">
          <cell r="K1255">
            <v>0.92764444444444449</v>
          </cell>
        </row>
        <row r="1256">
          <cell r="K1256">
            <v>0.94502222222222221</v>
          </cell>
        </row>
        <row r="1257">
          <cell r="K1257">
            <v>0.98399999999999999</v>
          </cell>
        </row>
        <row r="1258">
          <cell r="K1258">
            <v>0.97866666666666657</v>
          </cell>
        </row>
        <row r="1259">
          <cell r="K1259">
            <v>0.97031111111111112</v>
          </cell>
        </row>
        <row r="1260">
          <cell r="K1260">
            <v>0.95446666666666669</v>
          </cell>
        </row>
        <row r="1261">
          <cell r="K1261">
            <v>0.96931111111111112</v>
          </cell>
        </row>
        <row r="1262">
          <cell r="K1262">
            <v>0.9684222222222223</v>
          </cell>
        </row>
        <row r="1263">
          <cell r="K1263">
            <v>0.90891111111111111</v>
          </cell>
        </row>
        <row r="1264">
          <cell r="K1264">
            <v>0.94368888888888891</v>
          </cell>
        </row>
        <row r="1265">
          <cell r="K1265">
            <v>0.97864444444444443</v>
          </cell>
        </row>
        <row r="1266">
          <cell r="K1266">
            <v>0.9767555555555556</v>
          </cell>
        </row>
        <row r="1267">
          <cell r="K1267">
            <v>0.97777777777777775</v>
          </cell>
        </row>
        <row r="1268">
          <cell r="K1268">
            <v>0.96344444444444444</v>
          </cell>
        </row>
        <row r="1269">
          <cell r="K1269">
            <v>0.97533333333333327</v>
          </cell>
        </row>
        <row r="1270">
          <cell r="K1270">
            <v>0.97624444444444447</v>
          </cell>
        </row>
        <row r="1271">
          <cell r="K1271">
            <v>0.92688888888888898</v>
          </cell>
        </row>
        <row r="1272">
          <cell r="K1272">
            <v>0.95553333333333335</v>
          </cell>
        </row>
        <row r="1273">
          <cell r="K1273">
            <v>0.97991111111111107</v>
          </cell>
        </row>
        <row r="1274">
          <cell r="K1274">
            <v>0.97997777777777784</v>
          </cell>
        </row>
        <row r="1275">
          <cell r="K1275">
            <v>0.9724666666666667</v>
          </cell>
        </row>
        <row r="1276">
          <cell r="K1276">
            <v>0.96982222222222225</v>
          </cell>
        </row>
        <row r="1277">
          <cell r="K1277">
            <v>0.97413333333333341</v>
          </cell>
        </row>
        <row r="1278">
          <cell r="K1278">
            <v>0.96986666666666665</v>
          </cell>
        </row>
        <row r="1279">
          <cell r="K1279">
            <v>0.88788888888888895</v>
          </cell>
        </row>
        <row r="1280">
          <cell r="K1280">
            <v>0.94915555555555553</v>
          </cell>
        </row>
        <row r="1281">
          <cell r="K1281">
            <v>0.98</v>
          </cell>
        </row>
        <row r="1282">
          <cell r="K1282">
            <v>0.97766666666666668</v>
          </cell>
        </row>
        <row r="1283">
          <cell r="K1283">
            <v>0.97011111111111115</v>
          </cell>
        </row>
        <row r="1284">
          <cell r="K1284">
            <v>0.9694666666666667</v>
          </cell>
        </row>
        <row r="1285">
          <cell r="K1285">
            <v>0.97344444444444445</v>
          </cell>
        </row>
        <row r="1286">
          <cell r="K1286">
            <v>0.96948888888888884</v>
          </cell>
        </row>
        <row r="1287">
          <cell r="K1287">
            <v>0.92008888888888896</v>
          </cell>
        </row>
        <row r="1288">
          <cell r="K1288">
            <v>0.94646666666666668</v>
          </cell>
        </row>
        <row r="1289">
          <cell r="K1289">
            <v>0.98364444444444443</v>
          </cell>
        </row>
        <row r="1290">
          <cell r="K1290">
            <v>0.97633333333333339</v>
          </cell>
        </row>
        <row r="1291">
          <cell r="K1291">
            <v>0.96777777777777774</v>
          </cell>
        </row>
        <row r="1292">
          <cell r="K1292">
            <v>0.95542222222222217</v>
          </cell>
        </row>
        <row r="1293">
          <cell r="K1293">
            <v>0.97751111111111111</v>
          </cell>
        </row>
        <row r="1294">
          <cell r="K1294">
            <v>0.96677777777777785</v>
          </cell>
        </row>
        <row r="1295">
          <cell r="K1295">
            <v>0.91471111111111114</v>
          </cell>
        </row>
        <row r="1296">
          <cell r="K1296">
            <v>0.94224444444444444</v>
          </cell>
        </row>
        <row r="1297">
          <cell r="K1297">
            <v>0.98244444444444445</v>
          </cell>
        </row>
        <row r="1298">
          <cell r="K1298">
            <v>0.97762222222222228</v>
          </cell>
        </row>
        <row r="1299">
          <cell r="K1299">
            <v>0.96831111111111112</v>
          </cell>
        </row>
        <row r="1300">
          <cell r="K1300">
            <v>0.96882222222222225</v>
          </cell>
        </row>
        <row r="1301">
          <cell r="K1301">
            <v>0.97242222222222219</v>
          </cell>
        </row>
        <row r="1302">
          <cell r="K1302">
            <v>0.97113333333333329</v>
          </cell>
        </row>
        <row r="1303">
          <cell r="K1303">
            <v>0.90368888888888876</v>
          </cell>
        </row>
        <row r="1304">
          <cell r="K1304">
            <v>0.96491111111111105</v>
          </cell>
        </row>
        <row r="1305">
          <cell r="K1305">
            <v>0.98115555555555556</v>
          </cell>
        </row>
        <row r="1306">
          <cell r="K1306">
            <v>0.9863333333333334</v>
          </cell>
        </row>
        <row r="1307">
          <cell r="K1307">
            <v>0.96924444444444446</v>
          </cell>
        </row>
        <row r="1308">
          <cell r="K1308">
            <v>0.96871111111111119</v>
          </cell>
        </row>
        <row r="1309">
          <cell r="K1309">
            <v>0.9821333333333333</v>
          </cell>
        </row>
        <row r="1310">
          <cell r="K1310">
            <v>0.98077777777777786</v>
          </cell>
        </row>
        <row r="1311">
          <cell r="K1311">
            <v>0.92695555555555553</v>
          </cell>
        </row>
        <row r="1312">
          <cell r="K1312">
            <v>0.95833333333333337</v>
          </cell>
        </row>
        <row r="1313">
          <cell r="K1313">
            <v>0.97757777777777788</v>
          </cell>
        </row>
        <row r="1314">
          <cell r="K1314">
            <v>0.98260000000000003</v>
          </cell>
        </row>
        <row r="1315">
          <cell r="K1315">
            <v>0.97493333333333343</v>
          </cell>
        </row>
        <row r="1316">
          <cell r="K1316">
            <v>0.96064444444444452</v>
          </cell>
        </row>
        <row r="1317">
          <cell r="K1317">
            <v>0.97593333333333332</v>
          </cell>
        </row>
        <row r="1318">
          <cell r="K1318">
            <v>0.97531111111111113</v>
          </cell>
        </row>
        <row r="1319">
          <cell r="K1319">
            <v>0.92160000000000009</v>
          </cell>
        </row>
        <row r="1320">
          <cell r="K1320">
            <v>0.95006666666666661</v>
          </cell>
        </row>
        <row r="1321">
          <cell r="K1321">
            <v>0.97960000000000003</v>
          </cell>
        </row>
        <row r="1322">
          <cell r="K1322">
            <v>0.97724444444444447</v>
          </cell>
        </row>
        <row r="1323">
          <cell r="K1323">
            <v>0.97822222222222222</v>
          </cell>
        </row>
        <row r="1324">
          <cell r="K1324">
            <v>0.96875555555555559</v>
          </cell>
        </row>
        <row r="1325">
          <cell r="K1325">
            <v>0.98153333333333337</v>
          </cell>
        </row>
        <row r="1326">
          <cell r="K1326">
            <v>0.98124444444444447</v>
          </cell>
        </row>
        <row r="1327">
          <cell r="K1327">
            <v>0.9339777777777778</v>
          </cell>
        </row>
        <row r="1328">
          <cell r="K1328">
            <v>0.96586666666666665</v>
          </cell>
        </row>
        <row r="1329">
          <cell r="K1329">
            <v>0.98148888888888897</v>
          </cell>
        </row>
        <row r="1330">
          <cell r="K1330">
            <v>0.97924444444444447</v>
          </cell>
        </row>
        <row r="1331">
          <cell r="K1331">
            <v>0.97606666666666675</v>
          </cell>
        </row>
        <row r="1332">
          <cell r="K1332">
            <v>0.95648888888888894</v>
          </cell>
        </row>
        <row r="1333">
          <cell r="K1333">
            <v>0.96788888888888891</v>
          </cell>
        </row>
        <row r="1334">
          <cell r="K1334">
            <v>0.97364444444444442</v>
          </cell>
        </row>
        <row r="1335">
          <cell r="K1335">
            <v>0.92133333333333334</v>
          </cell>
        </row>
        <row r="1336">
          <cell r="K1336">
            <v>0.96124444444444446</v>
          </cell>
        </row>
        <row r="1337">
          <cell r="K1337">
            <v>0.98368888888888895</v>
          </cell>
        </row>
        <row r="1338">
          <cell r="K1338">
            <v>0.97644444444444445</v>
          </cell>
        </row>
        <row r="1339">
          <cell r="K1339">
            <v>0.96235555555555552</v>
          </cell>
        </row>
        <row r="1340">
          <cell r="K1340">
            <v>0.97011111111111115</v>
          </cell>
        </row>
        <row r="1341">
          <cell r="K1341">
            <v>0.97682222222222226</v>
          </cell>
        </row>
        <row r="1342">
          <cell r="K1342">
            <v>0.97384444444444451</v>
          </cell>
        </row>
        <row r="1343">
          <cell r="K1343">
            <v>0.92964444444444438</v>
          </cell>
        </row>
        <row r="1344">
          <cell r="K1344">
            <v>0.9453111111111111</v>
          </cell>
        </row>
        <row r="1345">
          <cell r="K1345">
            <v>0.98415555555555556</v>
          </cell>
        </row>
        <row r="1346">
          <cell r="K1346">
            <v>0.97862222222222217</v>
          </cell>
        </row>
        <row r="1347">
          <cell r="K1347">
            <v>0.96533333333333327</v>
          </cell>
        </row>
        <row r="1348">
          <cell r="K1348">
            <v>0.96339999999999992</v>
          </cell>
        </row>
        <row r="1349">
          <cell r="K1349">
            <v>0.9648000000000001</v>
          </cell>
        </row>
        <row r="1350">
          <cell r="K1350">
            <v>0.97433333333333327</v>
          </cell>
        </row>
        <row r="1351">
          <cell r="K1351">
            <v>0.90046666666666664</v>
          </cell>
        </row>
        <row r="1352">
          <cell r="K1352">
            <v>0.95008888888888898</v>
          </cell>
        </row>
        <row r="1353">
          <cell r="K1353">
            <v>0.97264444444444442</v>
          </cell>
        </row>
        <row r="1354">
          <cell r="K1354">
            <v>0.97733333333333339</v>
          </cell>
        </row>
        <row r="1355">
          <cell r="K1355">
            <v>0.97555555555555551</v>
          </cell>
        </row>
        <row r="1356">
          <cell r="K1356">
            <v>0.96328888888888897</v>
          </cell>
        </row>
        <row r="1357">
          <cell r="K1357">
            <v>0.97800000000000009</v>
          </cell>
        </row>
        <row r="1358">
          <cell r="K1358">
            <v>0.96495555555555557</v>
          </cell>
        </row>
        <row r="1359">
          <cell r="K1359">
            <v>0.92775555555555556</v>
          </cell>
        </row>
        <row r="1360">
          <cell r="K1360">
            <v>0.9526</v>
          </cell>
        </row>
        <row r="1361">
          <cell r="K1361">
            <v>0.97508888888888889</v>
          </cell>
        </row>
        <row r="1362">
          <cell r="K1362">
            <v>0.98233333333333339</v>
          </cell>
        </row>
        <row r="1363">
          <cell r="K1363">
            <v>0.96088888888888879</v>
          </cell>
        </row>
        <row r="1364">
          <cell r="K1364">
            <v>0.95673333333333332</v>
          </cell>
        </row>
        <row r="1365">
          <cell r="K1365">
            <v>0.96982222222222225</v>
          </cell>
        </row>
        <row r="1366">
          <cell r="K1366">
            <v>0.96668888888888882</v>
          </cell>
        </row>
        <row r="1367">
          <cell r="K1367">
            <v>0.89213333333333333</v>
          </cell>
        </row>
        <row r="1368">
          <cell r="K1368">
            <v>0.94391111111111115</v>
          </cell>
        </row>
        <row r="1369">
          <cell r="K1369">
            <v>0.98315555555555556</v>
          </cell>
        </row>
        <row r="1370">
          <cell r="K1370">
            <v>0.97519999999999996</v>
          </cell>
        </row>
        <row r="1371">
          <cell r="K1371">
            <v>0.97440000000000004</v>
          </cell>
        </row>
        <row r="1372">
          <cell r="K1372">
            <v>0.9681777777777778</v>
          </cell>
        </row>
        <row r="1373">
          <cell r="K1373">
            <v>0.97026666666666672</v>
          </cell>
        </row>
        <row r="1374">
          <cell r="K1374">
            <v>0.9715111111111111</v>
          </cell>
        </row>
        <row r="1375">
          <cell r="K1375">
            <v>0.93913333333333338</v>
          </cell>
        </row>
        <row r="1376">
          <cell r="K1376">
            <v>0.95584444444444439</v>
          </cell>
        </row>
        <row r="1377">
          <cell r="K1377">
            <v>0.97922222222222222</v>
          </cell>
        </row>
        <row r="1378">
          <cell r="K1378">
            <v>0.9801333333333333</v>
          </cell>
        </row>
        <row r="1379">
          <cell r="K1379">
            <v>0.97068888888888893</v>
          </cell>
        </row>
        <row r="1380">
          <cell r="K1380">
            <v>0.96897777777777783</v>
          </cell>
        </row>
        <row r="1381">
          <cell r="K1381">
            <v>0.97542222222222219</v>
          </cell>
        </row>
        <row r="1382">
          <cell r="K1382">
            <v>0.97262222222222228</v>
          </cell>
        </row>
        <row r="1383">
          <cell r="K1383">
            <v>0.90115555555555549</v>
          </cell>
        </row>
        <row r="1384">
          <cell r="K1384">
            <v>0.94466666666666677</v>
          </cell>
        </row>
        <row r="1385">
          <cell r="K1385">
            <v>0.98326666666666673</v>
          </cell>
        </row>
        <row r="1386">
          <cell r="K1386">
            <v>0.98262222222222229</v>
          </cell>
        </row>
        <row r="1387">
          <cell r="K1387">
            <v>0.96948888888888884</v>
          </cell>
        </row>
        <row r="1388">
          <cell r="K1388">
            <v>0.97491111111111106</v>
          </cell>
        </row>
        <row r="1389">
          <cell r="K1389">
            <v>0.97491111111111106</v>
          </cell>
        </row>
        <row r="1390">
          <cell r="K1390">
            <v>0.97462222222222217</v>
          </cell>
        </row>
        <row r="1391">
          <cell r="K1391">
            <v>0.93271111111111116</v>
          </cell>
        </row>
        <row r="1392">
          <cell r="K1392">
            <v>0.9456</v>
          </cell>
        </row>
        <row r="1393">
          <cell r="K1393">
            <v>0.98028888888888888</v>
          </cell>
        </row>
        <row r="1394">
          <cell r="K1394">
            <v>0.98335555555555554</v>
          </cell>
        </row>
        <row r="1395">
          <cell r="K1395">
            <v>0.97833333333333339</v>
          </cell>
        </row>
        <row r="1396">
          <cell r="K1396">
            <v>0.96257777777777787</v>
          </cell>
        </row>
        <row r="1397">
          <cell r="K1397">
            <v>0.97533333333333327</v>
          </cell>
        </row>
        <row r="1398">
          <cell r="K1398">
            <v>0.97642222222222219</v>
          </cell>
        </row>
        <row r="1399">
          <cell r="K1399">
            <v>0.91804444444444444</v>
          </cell>
        </row>
        <row r="1400">
          <cell r="K1400">
            <v>0.95635555555555563</v>
          </cell>
        </row>
        <row r="1401">
          <cell r="K1401">
            <v>0.97748888888888885</v>
          </cell>
        </row>
        <row r="1402">
          <cell r="K1402">
            <v>0.97528888888888887</v>
          </cell>
        </row>
        <row r="1403">
          <cell r="K1403">
            <v>0.96640000000000004</v>
          </cell>
        </row>
        <row r="1404">
          <cell r="K1404">
            <v>0.96211111111111114</v>
          </cell>
        </row>
        <row r="1405">
          <cell r="K1405">
            <v>0.97499999999999998</v>
          </cell>
        </row>
        <row r="1406">
          <cell r="K1406">
            <v>0.96468888888888893</v>
          </cell>
        </row>
        <row r="1407">
          <cell r="K1407">
            <v>0.90602222222222217</v>
          </cell>
        </row>
        <row r="1408">
          <cell r="K1408">
            <v>0.9399777777777778</v>
          </cell>
        </row>
        <row r="1409">
          <cell r="K1409">
            <v>0.97968888888888894</v>
          </cell>
        </row>
        <row r="1410">
          <cell r="K1410">
            <v>0.97988888888888881</v>
          </cell>
        </row>
        <row r="1411">
          <cell r="K1411">
            <v>0.9784222222222223</v>
          </cell>
        </row>
        <row r="1412">
          <cell r="K1412">
            <v>0.97220000000000006</v>
          </cell>
        </row>
        <row r="1413">
          <cell r="K1413">
            <v>0.97522222222222232</v>
          </cell>
        </row>
        <row r="1414">
          <cell r="K1414">
            <v>0.96926666666666672</v>
          </cell>
        </row>
        <row r="1415">
          <cell r="K1415">
            <v>0.93313333333333337</v>
          </cell>
        </row>
        <row r="1416">
          <cell r="K1416">
            <v>0.95179999999999998</v>
          </cell>
        </row>
        <row r="1417">
          <cell r="K1417">
            <v>0.97957777777777777</v>
          </cell>
        </row>
        <row r="1418">
          <cell r="K1418">
            <v>0.97971111111111109</v>
          </cell>
        </row>
        <row r="1419">
          <cell r="K1419">
            <v>0.9675555555555555</v>
          </cell>
        </row>
        <row r="1420">
          <cell r="K1420">
            <v>0.96220000000000006</v>
          </cell>
        </row>
        <row r="1421">
          <cell r="K1421">
            <v>0.97515555555555555</v>
          </cell>
        </row>
        <row r="1422">
          <cell r="K1422">
            <v>0.96937777777777789</v>
          </cell>
        </row>
        <row r="1423">
          <cell r="K1423">
            <v>0.90435555555555547</v>
          </cell>
        </row>
        <row r="1424">
          <cell r="K1424">
            <v>0.96113333333333328</v>
          </cell>
        </row>
        <row r="1425">
          <cell r="K1425">
            <v>0.97424444444444447</v>
          </cell>
        </row>
        <row r="1426">
          <cell r="K1426">
            <v>0.98222222222222222</v>
          </cell>
        </row>
        <row r="1427">
          <cell r="K1427">
            <v>0.97766666666666668</v>
          </cell>
        </row>
        <row r="1428">
          <cell r="K1428">
            <v>0.96033333333333326</v>
          </cell>
        </row>
        <row r="1429">
          <cell r="K1429">
            <v>0.98139999999999994</v>
          </cell>
        </row>
        <row r="1430">
          <cell r="K1430">
            <v>0.97137777777777778</v>
          </cell>
        </row>
        <row r="1431">
          <cell r="K1431">
            <v>0.93562222222222213</v>
          </cell>
        </row>
        <row r="1432">
          <cell r="K1432">
            <v>0.9635111111111111</v>
          </cell>
        </row>
        <row r="1433">
          <cell r="K1433">
            <v>0.98422222222222222</v>
          </cell>
        </row>
        <row r="1434">
          <cell r="K1434">
            <v>0.98191111111111118</v>
          </cell>
        </row>
        <row r="1435">
          <cell r="K1435">
            <v>0.97777777777777775</v>
          </cell>
        </row>
        <row r="1436">
          <cell r="K1436">
            <v>0.96471111111111107</v>
          </cell>
        </row>
        <row r="1437">
          <cell r="K1437">
            <v>0.9780888888888889</v>
          </cell>
        </row>
        <row r="1438">
          <cell r="K1438">
            <v>0.97666666666666668</v>
          </cell>
        </row>
        <row r="1439">
          <cell r="K1439">
            <v>0.90806666666666669</v>
          </cell>
        </row>
        <row r="1440">
          <cell r="K1440">
            <v>0.95433333333333326</v>
          </cell>
        </row>
        <row r="1441">
          <cell r="K1441">
            <v>0.97919999999999996</v>
          </cell>
        </row>
        <row r="1442">
          <cell r="K1442">
            <v>0.98342222222222231</v>
          </cell>
        </row>
        <row r="1443">
          <cell r="K1443">
            <v>0.9810444444444445</v>
          </cell>
        </row>
        <row r="1444">
          <cell r="K1444">
            <v>0.96857777777777776</v>
          </cell>
        </row>
        <row r="1445">
          <cell r="K1445">
            <v>0.97297777777777772</v>
          </cell>
        </row>
        <row r="1446">
          <cell r="K1446">
            <v>0.97651111111111111</v>
          </cell>
        </row>
        <row r="1447">
          <cell r="K1447">
            <v>0.95655555555555549</v>
          </cell>
        </row>
        <row r="1448">
          <cell r="K1448">
            <v>0.96035555555555563</v>
          </cell>
        </row>
        <row r="1449">
          <cell r="K1449">
            <v>0.98295555555555547</v>
          </cell>
        </row>
        <row r="1450">
          <cell r="K1450">
            <v>0.98391111111111107</v>
          </cell>
        </row>
        <row r="1451">
          <cell r="K1451">
            <v>0.96922222222222221</v>
          </cell>
        </row>
        <row r="1452">
          <cell r="K1452">
            <v>0.95540000000000003</v>
          </cell>
        </row>
        <row r="1453">
          <cell r="K1453">
            <v>0.97802222222222224</v>
          </cell>
        </row>
        <row r="1454">
          <cell r="K1454">
            <v>0.97</v>
          </cell>
        </row>
        <row r="1455">
          <cell r="K1455">
            <v>0.91839999999999999</v>
          </cell>
        </row>
        <row r="1456">
          <cell r="K1456">
            <v>0.94371111111111117</v>
          </cell>
        </row>
        <row r="1457">
          <cell r="K1457">
            <v>0.97546666666666659</v>
          </cell>
        </row>
        <row r="1458">
          <cell r="K1458">
            <v>0.98422222222222222</v>
          </cell>
        </row>
        <row r="1459">
          <cell r="K1459">
            <v>0.96837777777777778</v>
          </cell>
        </row>
        <row r="1460">
          <cell r="K1460">
            <v>0.95911111111111114</v>
          </cell>
        </row>
        <row r="1461">
          <cell r="K1461">
            <v>0.9738</v>
          </cell>
        </row>
        <row r="1462">
          <cell r="K1462">
            <v>0.96708888888888889</v>
          </cell>
        </row>
        <row r="1463">
          <cell r="K1463">
            <v>0.91639999999999999</v>
          </cell>
        </row>
        <row r="1464">
          <cell r="K1464">
            <v>0.96146666666666669</v>
          </cell>
        </row>
        <row r="1465">
          <cell r="K1465">
            <v>0.9830000000000001</v>
          </cell>
        </row>
        <row r="1466">
          <cell r="K1466">
            <v>0.98462222222222218</v>
          </cell>
        </row>
        <row r="1467">
          <cell r="K1467">
            <v>0.97942222222222219</v>
          </cell>
        </row>
        <row r="1468">
          <cell r="K1468">
            <v>0.96357777777777776</v>
          </cell>
        </row>
        <row r="1469">
          <cell r="K1469">
            <v>0.97599999999999998</v>
          </cell>
        </row>
        <row r="1470">
          <cell r="K1470">
            <v>0.97393333333333332</v>
          </cell>
        </row>
        <row r="1471">
          <cell r="K1471">
            <v>0.9310222222222222</v>
          </cell>
        </row>
        <row r="1472">
          <cell r="K1472">
            <v>0.96742222222222218</v>
          </cell>
        </row>
        <row r="1473">
          <cell r="K1473">
            <v>0.98431111111111114</v>
          </cell>
        </row>
        <row r="1474">
          <cell r="K1474">
            <v>0.98355555555555563</v>
          </cell>
        </row>
        <row r="1475">
          <cell r="K1475">
            <v>0.9770888888888889</v>
          </cell>
        </row>
        <row r="1476">
          <cell r="K1476">
            <v>0.96786666666666676</v>
          </cell>
        </row>
        <row r="1477">
          <cell r="K1477">
            <v>0.97660000000000002</v>
          </cell>
        </row>
        <row r="1478">
          <cell r="K1478">
            <v>0.96957777777777776</v>
          </cell>
        </row>
        <row r="1479">
          <cell r="K1479">
            <v>0.8992</v>
          </cell>
        </row>
        <row r="1480">
          <cell r="K1480">
            <v>0.95286666666666675</v>
          </cell>
        </row>
        <row r="1481">
          <cell r="K1481">
            <v>0.98199999999999998</v>
          </cell>
        </row>
        <row r="1482">
          <cell r="K1482">
            <v>0.98388888888888892</v>
          </cell>
        </row>
        <row r="1483">
          <cell r="K1483">
            <v>0.96737777777777778</v>
          </cell>
        </row>
        <row r="1484">
          <cell r="K1484">
            <v>0.97264444444444442</v>
          </cell>
        </row>
        <row r="1485">
          <cell r="K1485">
            <v>0.98168888888888883</v>
          </cell>
        </row>
        <row r="1486">
          <cell r="K1486">
            <v>0.98088888888888881</v>
          </cell>
        </row>
        <row r="1487">
          <cell r="K1487">
            <v>0.91768888888888889</v>
          </cell>
        </row>
        <row r="1488">
          <cell r="K1488">
            <v>0.96457777777777776</v>
          </cell>
        </row>
        <row r="1489">
          <cell r="K1489">
            <v>0.97853333333333326</v>
          </cell>
        </row>
        <row r="1490">
          <cell r="K1490">
            <v>0.98222222222222222</v>
          </cell>
        </row>
        <row r="1491">
          <cell r="K1491">
            <v>0.97053333333333336</v>
          </cell>
        </row>
        <row r="1492">
          <cell r="K1492">
            <v>0.96800000000000008</v>
          </cell>
        </row>
        <row r="1493">
          <cell r="K1493">
            <v>0.97824444444444436</v>
          </cell>
        </row>
        <row r="1494">
          <cell r="K1494">
            <v>0.9728444444444444</v>
          </cell>
        </row>
        <row r="1495">
          <cell r="K1495">
            <v>0.9108222222222222</v>
          </cell>
        </row>
        <row r="1496">
          <cell r="K1496">
            <v>0.95602222222222222</v>
          </cell>
        </row>
        <row r="1497">
          <cell r="K1497">
            <v>0.98080000000000001</v>
          </cell>
        </row>
        <row r="1498">
          <cell r="K1498">
            <v>0.98231111111111113</v>
          </cell>
        </row>
        <row r="1499">
          <cell r="K1499">
            <v>0.96822222222222221</v>
          </cell>
        </row>
        <row r="1500">
          <cell r="K1500">
            <v>0.95442222222222228</v>
          </cell>
        </row>
        <row r="1501">
          <cell r="K1501">
            <v>0.97075555555555548</v>
          </cell>
        </row>
        <row r="1502">
          <cell r="K1502">
            <v>0.96944444444444444</v>
          </cell>
        </row>
        <row r="1503">
          <cell r="K1503">
            <v>0.93226666666666658</v>
          </cell>
        </row>
        <row r="1504">
          <cell r="K1504">
            <v>0.96128888888888886</v>
          </cell>
        </row>
        <row r="1505">
          <cell r="K1505">
            <v>0.9830444444444445</v>
          </cell>
        </row>
        <row r="1506">
          <cell r="K1506">
            <v>0.97451111111111111</v>
          </cell>
        </row>
        <row r="1507">
          <cell r="K1507">
            <v>0.96062222222222216</v>
          </cell>
        </row>
        <row r="1508">
          <cell r="K1508">
            <v>0.9675555555555555</v>
          </cell>
        </row>
        <row r="1509">
          <cell r="K1509">
            <v>0.96735555555555552</v>
          </cell>
        </row>
        <row r="1510">
          <cell r="K1510">
            <v>0.96737777777777778</v>
          </cell>
        </row>
        <row r="1511">
          <cell r="K1511">
            <v>0.90904444444444443</v>
          </cell>
        </row>
        <row r="1512">
          <cell r="K1512">
            <v>0.94724444444444444</v>
          </cell>
        </row>
        <row r="1513">
          <cell r="K1513">
            <v>0.97099999999999997</v>
          </cell>
        </row>
        <row r="1514">
          <cell r="K1514">
            <v>0.97208888888888889</v>
          </cell>
        </row>
        <row r="1515">
          <cell r="K1515">
            <v>0.96220000000000006</v>
          </cell>
        </row>
        <row r="1516">
          <cell r="K1516">
            <v>0.95217777777777779</v>
          </cell>
        </row>
        <row r="1517">
          <cell r="K1517">
            <v>0.9780888888888889</v>
          </cell>
        </row>
        <row r="1518">
          <cell r="K1518">
            <v>0.96904444444444438</v>
          </cell>
        </row>
        <row r="1519">
          <cell r="K1519">
            <v>0.90062222222222221</v>
          </cell>
        </row>
        <row r="1520">
          <cell r="K1520">
            <v>0.95255555555555549</v>
          </cell>
        </row>
        <row r="1521">
          <cell r="K1521">
            <v>0.97782222222222215</v>
          </cell>
        </row>
        <row r="1522">
          <cell r="K1522">
            <v>0.98335555555555554</v>
          </cell>
        </row>
        <row r="1523">
          <cell r="K1523">
            <v>0.97277777777777774</v>
          </cell>
        </row>
        <row r="1524">
          <cell r="K1524">
            <v>0.96980000000000011</v>
          </cell>
        </row>
        <row r="1525">
          <cell r="K1525">
            <v>0.97426666666666673</v>
          </cell>
        </row>
        <row r="1526">
          <cell r="K1526">
            <v>0.97699999999999998</v>
          </cell>
        </row>
        <row r="1527">
          <cell r="K1527">
            <v>0.91953333333333342</v>
          </cell>
        </row>
        <row r="1528">
          <cell r="K1528">
            <v>0.95224444444444445</v>
          </cell>
        </row>
        <row r="1529">
          <cell r="K1529">
            <v>0.98473333333333335</v>
          </cell>
        </row>
        <row r="1530">
          <cell r="K1530">
            <v>0.98517777777777771</v>
          </cell>
        </row>
        <row r="1531">
          <cell r="K1531">
            <v>0.97268888888888883</v>
          </cell>
        </row>
        <row r="1532">
          <cell r="K1532">
            <v>0.95913333333333339</v>
          </cell>
        </row>
        <row r="1533">
          <cell r="K1533">
            <v>0.9734666666666667</v>
          </cell>
        </row>
        <row r="1534">
          <cell r="K1534">
            <v>0.97573333333333334</v>
          </cell>
        </row>
        <row r="1535">
          <cell r="K1535">
            <v>0.93631111111111109</v>
          </cell>
        </row>
        <row r="1536">
          <cell r="K1536">
            <v>0.95117777777777768</v>
          </cell>
        </row>
        <row r="1537">
          <cell r="K1537">
            <v>0.97895555555555547</v>
          </cell>
        </row>
        <row r="1538">
          <cell r="K1538">
            <v>0.98431111111111114</v>
          </cell>
        </row>
        <row r="1539">
          <cell r="K1539">
            <v>0.96762222222222227</v>
          </cell>
        </row>
        <row r="1540">
          <cell r="K1540">
            <v>0.95873333333333333</v>
          </cell>
        </row>
        <row r="1541">
          <cell r="K1541">
            <v>0.9735111111111111</v>
          </cell>
        </row>
        <row r="1542">
          <cell r="K1542">
            <v>0.97555555555555551</v>
          </cell>
        </row>
        <row r="1543">
          <cell r="K1543">
            <v>0.91555555555555557</v>
          </cell>
        </row>
        <row r="1544">
          <cell r="K1544">
            <v>0.94168888888888891</v>
          </cell>
        </row>
        <row r="1545">
          <cell r="K1545">
            <v>0.97893333333333332</v>
          </cell>
        </row>
        <row r="1546">
          <cell r="K1546">
            <v>0.97768888888888883</v>
          </cell>
        </row>
        <row r="1547">
          <cell r="K1547">
            <v>0.97228888888888887</v>
          </cell>
        </row>
        <row r="1548">
          <cell r="K1548">
            <v>0.95744444444444454</v>
          </cell>
        </row>
        <row r="1549">
          <cell r="K1549">
            <v>0.97391111111111106</v>
          </cell>
        </row>
        <row r="1550">
          <cell r="K1550">
            <v>0.97215555555555566</v>
          </cell>
        </row>
        <row r="1551">
          <cell r="K1551">
            <v>0.90631111111111118</v>
          </cell>
        </row>
        <row r="1552">
          <cell r="K1552">
            <v>0.96482222222222225</v>
          </cell>
        </row>
        <row r="1553">
          <cell r="K1553">
            <v>0.98291111111111107</v>
          </cell>
        </row>
        <row r="1554">
          <cell r="K1554">
            <v>0.97846666666666671</v>
          </cell>
        </row>
        <row r="1555">
          <cell r="K1555">
            <v>0.97235555555555553</v>
          </cell>
        </row>
        <row r="1556">
          <cell r="K1556">
            <v>0.95971111111111107</v>
          </cell>
        </row>
        <row r="1557">
          <cell r="K1557">
            <v>0.97357777777777776</v>
          </cell>
        </row>
        <row r="1558">
          <cell r="K1558">
            <v>0.97366666666666657</v>
          </cell>
        </row>
        <row r="1559">
          <cell r="K1559">
            <v>0.91093333333333337</v>
          </cell>
        </row>
        <row r="1560">
          <cell r="K1560">
            <v>0.96253333333333335</v>
          </cell>
        </row>
        <row r="1561">
          <cell r="K1561">
            <v>0.98266666666666669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54AB5-6C18-A246-B67E-6362AD689BFB}" name="Table13" displayName="Table13" ref="A1:Y1561" totalsRowShown="0" headerRowDxfId="16" headerRowBorderDxfId="15" tableBorderDxfId="14">
  <autoFilter ref="A1:Y1561" xr:uid="{DAA54AB5-6C18-A246-B67E-6362AD689BFB}"/>
  <tableColumns count="25">
    <tableColumn id="1" xr3:uid="{69466351-A966-254D-B027-353871664F87}" name="Production_Record_ID"/>
    <tableColumn id="2" xr3:uid="{B126FFC4-F990-A147-BD6D-66FCFF925C08}" name="Production_Order_ID"/>
    <tableColumn id="3" xr3:uid="{92148DA8-6EAC-5647-923F-2607C8C16A9C}" name="Date" dataDxfId="13"/>
    <tableColumn id="4" xr3:uid="{0AE27989-F45B-E248-B500-A0E7AA176FA3}" name="Shift_ID"/>
    <tableColumn id="5" xr3:uid="{A75C0BAE-65FA-B344-B264-4CF08CF7FE63}" name="Machine_ID"/>
    <tableColumn id="6" xr3:uid="{916034B5-3AF2-CB40-BC92-7E49DA46D717}" name="Product_ID"/>
    <tableColumn id="7" xr3:uid="{22221085-7DDD-B84C-BA74-7019AF199147}" name="Operator_ID"/>
    <tableColumn id="8" xr3:uid="{3AC1C334-54F8-944A-BB14-CB6CD6D2259B}" name="Actual_Qty"/>
    <tableColumn id="9" xr3:uid="{61EF4343-8B13-1542-BE78-C20D651A6ABE}" name="Good_Qty"/>
    <tableColumn id="10" xr3:uid="{DA97F8D7-6E4F-084D-8725-78D7EA4A4863}" name="Reject_Qty"/>
    <tableColumn id="11" xr3:uid="{35953DD1-E29A-E04F-9F67-59B0F492C5C6}" name="Ideal_Cycle_Time_sec"/>
    <tableColumn id="12" xr3:uid="{40D4C127-D56F-F04E-A003-A0B235C85E94}" name="Cycle_Time_sec"/>
    <tableColumn id="13" xr3:uid="{7499FF35-64B4-AC4E-BD31-C57EE9419C23}" name="Running_Time_min"/>
    <tableColumn id="14" xr3:uid="{ECD73874-F3FE-4D4B-87AC-28890367E11E}" name="Planned_Production" dataDxfId="12">
      <calculatedColumnFormula>_xlfn.XLOOKUP(Table13[[#This Row],[Production_Order_ID]],[1]Sheet1!$A$2:$A$391,[1]Sheet1!$F$2:$F$391,"No Match")</calculatedColumnFormula>
    </tableColumn>
    <tableColumn id="15" xr3:uid="{295AB63B-D1F0-5B4E-883E-C7EB48ABC097}" name="Production Achievement %" dataDxfId="11">
      <calculatedColumnFormula>Table13[[#This Row],[Good_Qty]]/Table13[[#This Row],[Planned_Production]]</calculatedColumnFormula>
    </tableColumn>
    <tableColumn id="16" xr3:uid="{3E339414-4982-584D-A80C-8CCD9894B333}" name="ProductionCheck" dataDxfId="10">
      <calculatedColumnFormula>IF(Table13[[#This Row],[Good_Qty]]&gt;=Table13[[#This Row],[Planned_Production]],"Met","Not Met")</calculatedColumnFormula>
    </tableColumn>
    <tableColumn id="17" xr3:uid="{FF119C12-DE38-5045-8CEA-97064931B208}" name="Production Loss" dataDxfId="9">
      <calculatedColumnFormula>Table13[[#This Row],[Good_Qty]]-Table13[[#This Row],[Planned_Production]]</calculatedColumnFormula>
    </tableColumn>
    <tableColumn id="18" xr3:uid="{DA292EEE-7496-2F4A-B261-23D2A981ED05}" name="Reject_rate%" dataDxfId="8">
      <calculatedColumnFormula>IF(Table13[[#This Row],[Actual_Qty]]=0,0,Table13[[#This Row],[Reject_Qty]]/Table13[[#This Row],[Actual_Qty]])</calculatedColumnFormula>
    </tableColumn>
    <tableColumn id="19" xr3:uid="{4ABAFC0D-8671-D947-A286-D07EF0B9B277}" name="Operational_Time_min" dataDxfId="7"/>
    <tableColumn id="20" xr3:uid="{0FE7B4AF-FDFD-DB42-99B9-DBBAB6C32AB9}" name="Performance_%" dataDxfId="6">
      <calculatedColumnFormula>(Table13[[#This Row],[Ideal_Cycle_Time_sec]]*Table13[[#This Row],[Actual_Qty]])/(Table13[[#This Row],[Operational_Time_min]]*60)</calculatedColumnFormula>
    </tableColumn>
    <tableColumn id="21" xr3:uid="{A5D55C94-2DFB-0043-BFC1-E1DD9B6A0BF1}" name="Quality_%" dataDxfId="5">
      <calculatedColumnFormula>Table13[[#This Row],[Good_Qty]]/Table13[[#This Row],[Actual_Qty]]</calculatedColumnFormula>
    </tableColumn>
    <tableColumn id="22" xr3:uid="{36F29BA3-171C-3745-A212-BBDC7AAAEE42}" name="Check_Performance" dataDxfId="4">
      <calculatedColumnFormula>IF(OR(Table13[[#This Row],[Performance_%]]&gt;=1,Table13[[#This Row],[Performance_%]]&lt;=0),"Error","OK")</calculatedColumnFormula>
    </tableColumn>
    <tableColumn id="23" xr3:uid="{E0B63B4E-6BF5-1343-A39F-AE4AE024041F}" name="Check_Quality" dataDxfId="3">
      <calculatedColumnFormula>IF(OR(Table13[[#This Row],[Quality_%]]&gt;=1,Table13[[#This Row],[Quality_%]]&lt;=0),"Error","OK")</calculatedColumnFormula>
    </tableColumn>
    <tableColumn id="24" xr3:uid="{FB4F2266-47B9-1645-B371-A68B582460BE}" name="OEE_%" dataDxfId="2">
      <calculatedColumnFormula>Table13[[#This Row],[Performance_%]]*Table13[[#This Row],[Quality_%]]*[2]Availability_KPI!K2</calculatedColumnFormula>
    </tableColumn>
    <tableColumn id="25" xr3:uid="{C22F3CD0-E072-9447-9031-3BB8BE3F869C}" name="OEE_Check" dataDxfId="1">
      <calculatedColumnFormula>IF(OR(Table13[[#This Row],[OEE_%]]&gt;1,Table13[[#This Row],[OEE_%]]&lt;0),"Error","OK")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B830-0DA1-F840-AA7A-DDBC6A17DCF7}">
  <dimension ref="A1:Y1561"/>
  <sheetViews>
    <sheetView tabSelected="1" topLeftCell="F1" workbookViewId="0">
      <selection activeCell="G11" sqref="G11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s="2">
        <v>46237</v>
      </c>
      <c r="D2" t="s">
        <v>27</v>
      </c>
      <c r="E2" t="s">
        <v>28</v>
      </c>
      <c r="F2" t="s">
        <v>29</v>
      </c>
      <c r="G2" t="s">
        <v>30</v>
      </c>
      <c r="H2">
        <v>595</v>
      </c>
      <c r="I2">
        <v>593</v>
      </c>
      <c r="J2">
        <v>2</v>
      </c>
      <c r="K2">
        <v>19.8</v>
      </c>
      <c r="L2">
        <v>19.8</v>
      </c>
      <c r="M2">
        <v>196.35</v>
      </c>
      <c r="N2">
        <f>_xlfn.XLOOKUP(Table13[[#This Row],[Production_Order_ID]],[1]Sheet1!$A$2:$A$391,[1]Sheet1!$F$2:$F$391,"No Match")</f>
        <v>540</v>
      </c>
      <c r="O2" s="3">
        <f>Table13[[#This Row],[Good_Qty]]/Table13[[#This Row],[Planned_Production]]</f>
        <v>1.0981481481481481</v>
      </c>
      <c r="P2" t="str">
        <f>IF(Table13[[#This Row],[Good_Qty]]&gt;=Table13[[#This Row],[Planned_Production]],"Met","Not Met")</f>
        <v>Met</v>
      </c>
      <c r="Q2">
        <f>Table13[[#This Row],[Good_Qty]]-Table13[[#This Row],[Planned_Production]]</f>
        <v>53</v>
      </c>
      <c r="R2" s="3">
        <f>IF(Table13[[#This Row],[Actual_Qty]]=0,0,Table13[[#This Row],[Reject_Qty]]/Table13[[#This Row],[Actual_Qty]])</f>
        <v>3.3613445378151263E-3</v>
      </c>
      <c r="S2">
        <v>440.51</v>
      </c>
      <c r="T2">
        <f>(Table13[[#This Row],[Ideal_Cycle_Time_sec]]*Table13[[#This Row],[Actual_Qty]])/(Table13[[#This Row],[Operational_Time_min]]*60)</f>
        <v>0.44573335452089624</v>
      </c>
      <c r="U2">
        <f>Table13[[#This Row],[Good_Qty]]/Table13[[#This Row],[Actual_Qty]]</f>
        <v>0.99663865546218489</v>
      </c>
      <c r="V2" t="str">
        <f>IF(OR(Table13[[#This Row],[Performance_%]]&gt;=1,Table13[[#This Row],[Performance_%]]&lt;=0),"Error","OK")</f>
        <v>OK</v>
      </c>
      <c r="W2" t="str">
        <f>IF(OR(Table13[[#This Row],[Quality_%]]&gt;=1,Table13[[#This Row],[Quality_%]]&lt;=0),"Error","OK")</f>
        <v>OK</v>
      </c>
      <c r="X2">
        <f>Table13[[#This Row],[Performance_%]]*Table13[[#This Row],[Quality_%]]*[2]Availability_KPI!K2</f>
        <v>0.43486666666666668</v>
      </c>
      <c r="Y2" t="str">
        <f>IF(OR(Table13[[#This Row],[OEE_%]]&gt;1,Table13[[#This Row],[OEE_%]]&lt;0),"Error","OK")</f>
        <v>OK</v>
      </c>
    </row>
    <row r="3" spans="1:25" x14ac:dyDescent="0.2">
      <c r="A3" t="s">
        <v>31</v>
      </c>
      <c r="B3" t="s">
        <v>26</v>
      </c>
      <c r="C3" s="2">
        <v>46237</v>
      </c>
      <c r="D3" t="s">
        <v>27</v>
      </c>
      <c r="E3" t="s">
        <v>32</v>
      </c>
      <c r="F3" t="s">
        <v>29</v>
      </c>
      <c r="G3" t="s">
        <v>33</v>
      </c>
      <c r="H3">
        <v>586</v>
      </c>
      <c r="I3">
        <v>580</v>
      </c>
      <c r="J3">
        <v>6</v>
      </c>
      <c r="K3">
        <v>22</v>
      </c>
      <c r="L3">
        <v>22</v>
      </c>
      <c r="M3">
        <v>214.87</v>
      </c>
      <c r="N3">
        <f>_xlfn.XLOOKUP(Table13[[#This Row],[Production_Order_ID]],[1]Sheet1!$A$2:$A$391,[1]Sheet1!$F$2:$F$391,"No Match")</f>
        <v>540</v>
      </c>
      <c r="O3" s="3">
        <f>Table13[[#This Row],[Good_Qty]]/Table13[[#This Row],[Planned_Production]]</f>
        <v>1.0740740740740742</v>
      </c>
      <c r="P3" t="str">
        <f>IF(Table13[[#This Row],[Good_Qty]]&gt;=Table13[[#This Row],[Planned_Production]],"Met","Not Met")</f>
        <v>Met</v>
      </c>
      <c r="Q3">
        <f>Table13[[#This Row],[Good_Qty]]-Table13[[#This Row],[Planned_Production]]</f>
        <v>40</v>
      </c>
      <c r="R3" s="3">
        <f>IF(Table13[[#This Row],[Actual_Qty]]=0,0,Table13[[#This Row],[Reject_Qty]]/Table13[[#This Row],[Actual_Qty]])</f>
        <v>1.0238907849829351E-2</v>
      </c>
      <c r="S3">
        <v>438.32</v>
      </c>
      <c r="T3">
        <f>(Table13[[#This Row],[Ideal_Cycle_Time_sec]]*Table13[[#This Row],[Actual_Qty]])/(Table13[[#This Row],[Operational_Time_min]]*60)</f>
        <v>0.49020502524791626</v>
      </c>
      <c r="U3">
        <f>Table13[[#This Row],[Good_Qty]]/Table13[[#This Row],[Actual_Qty]]</f>
        <v>0.98976109215017061</v>
      </c>
      <c r="V3" t="str">
        <f>IF(OR(Table13[[#This Row],[Performance_%]]&gt;=1,Table13[[#This Row],[Performance_%]]&lt;=0),"Error","OK")</f>
        <v>OK</v>
      </c>
      <c r="W3" t="str">
        <f>IF(OR(Table13[[#This Row],[Quality_%]]&gt;=1,Table13[[#This Row],[Quality_%]]&lt;=0),"Error","OK")</f>
        <v>OK</v>
      </c>
      <c r="X3">
        <f>Table13[[#This Row],[Performance_%]]*Table13[[#This Row],[Quality_%]]*[2]Availability_KPI!K3</f>
        <v>0.47259259259259251</v>
      </c>
      <c r="Y3" t="str">
        <f>IF(OR(Table13[[#This Row],[OEE_%]]&gt;1,Table13[[#This Row],[OEE_%]]&lt;0),"Error","OK")</f>
        <v>OK</v>
      </c>
    </row>
    <row r="4" spans="1:25" x14ac:dyDescent="0.2">
      <c r="A4" t="s">
        <v>34</v>
      </c>
      <c r="B4" t="s">
        <v>26</v>
      </c>
      <c r="C4" s="2">
        <v>46237</v>
      </c>
      <c r="D4" t="s">
        <v>27</v>
      </c>
      <c r="E4" t="s">
        <v>35</v>
      </c>
      <c r="F4" t="s">
        <v>29</v>
      </c>
      <c r="G4" t="s">
        <v>36</v>
      </c>
      <c r="H4">
        <v>597</v>
      </c>
      <c r="I4">
        <v>593</v>
      </c>
      <c r="J4">
        <v>4</v>
      </c>
      <c r="K4">
        <v>24.2</v>
      </c>
      <c r="L4">
        <v>26.02</v>
      </c>
      <c r="M4">
        <v>258.91000000000003</v>
      </c>
      <c r="N4">
        <f>_xlfn.XLOOKUP(Table13[[#This Row],[Production_Order_ID]],[1]Sheet1!$A$2:$A$391,[1]Sheet1!$F$2:$F$391,"No Match")</f>
        <v>540</v>
      </c>
      <c r="O4" s="3">
        <f>Table13[[#This Row],[Good_Qty]]/Table13[[#This Row],[Planned_Production]]</f>
        <v>1.0981481481481481</v>
      </c>
      <c r="P4" t="str">
        <f>IF(Table13[[#This Row],[Good_Qty]]&gt;=Table13[[#This Row],[Planned_Production]],"Met","Not Met")</f>
        <v>Met</v>
      </c>
      <c r="Q4">
        <f>Table13[[#This Row],[Good_Qty]]-Table13[[#This Row],[Planned_Production]]</f>
        <v>53</v>
      </c>
      <c r="R4" s="3">
        <f>IF(Table13[[#This Row],[Actual_Qty]]=0,0,Table13[[#This Row],[Reject_Qty]]/Table13[[#This Row],[Actual_Qty]])</f>
        <v>6.7001675041876048E-3</v>
      </c>
      <c r="S4">
        <v>432.32</v>
      </c>
      <c r="T4">
        <f>(Table13[[#This Row],[Ideal_Cycle_Time_sec]]*Table13[[#This Row],[Actual_Qty]])/(Table13[[#This Row],[Operational_Time_min]]*60)</f>
        <v>0.55697168763878602</v>
      </c>
      <c r="U4">
        <f>Table13[[#This Row],[Good_Qty]]/Table13[[#This Row],[Actual_Qty]]</f>
        <v>0.99329983249581244</v>
      </c>
      <c r="V4" t="str">
        <f>IF(OR(Table13[[#This Row],[Performance_%]]&gt;=1,Table13[[#This Row],[Performance_%]]&lt;=0),"Error","OK")</f>
        <v>OK</v>
      </c>
      <c r="W4" t="str">
        <f>IF(OR(Table13[[#This Row],[Quality_%]]&gt;=1,Table13[[#This Row],[Quality_%]]&lt;=0),"Error","OK")</f>
        <v>OK</v>
      </c>
      <c r="X4">
        <f>Table13[[#This Row],[Performance_%]]*Table13[[#This Row],[Quality_%]]*[2]Availability_KPI!K4</f>
        <v>0.5315037037037037</v>
      </c>
      <c r="Y4" t="str">
        <f>IF(OR(Table13[[#This Row],[OEE_%]]&gt;1,Table13[[#This Row],[OEE_%]]&lt;0),"Error","OK")</f>
        <v>OK</v>
      </c>
    </row>
    <row r="5" spans="1:25" x14ac:dyDescent="0.2">
      <c r="A5" t="s">
        <v>37</v>
      </c>
      <c r="B5" t="s">
        <v>26</v>
      </c>
      <c r="C5" s="2">
        <v>46237</v>
      </c>
      <c r="D5" t="s">
        <v>27</v>
      </c>
      <c r="E5" t="s">
        <v>38</v>
      </c>
      <c r="F5" t="s">
        <v>29</v>
      </c>
      <c r="G5" t="s">
        <v>39</v>
      </c>
      <c r="H5">
        <v>603</v>
      </c>
      <c r="I5">
        <v>599</v>
      </c>
      <c r="J5">
        <v>4</v>
      </c>
      <c r="K5">
        <v>22</v>
      </c>
      <c r="L5">
        <v>23.51</v>
      </c>
      <c r="M5">
        <v>236.25</v>
      </c>
      <c r="N5">
        <f>_xlfn.XLOOKUP(Table13[[#This Row],[Production_Order_ID]],[1]Sheet1!$A$2:$A$391,[1]Sheet1!$F$2:$F$391,"No Match")</f>
        <v>540</v>
      </c>
      <c r="O5" s="3">
        <f>Table13[[#This Row],[Good_Qty]]/Table13[[#This Row],[Planned_Production]]</f>
        <v>1.1092592592592592</v>
      </c>
      <c r="P5" t="str">
        <f>IF(Table13[[#This Row],[Good_Qty]]&gt;=Table13[[#This Row],[Planned_Production]],"Met","Not Met")</f>
        <v>Met</v>
      </c>
      <c r="Q5">
        <f>Table13[[#This Row],[Good_Qty]]-Table13[[#This Row],[Planned_Production]]</f>
        <v>59</v>
      </c>
      <c r="R5" s="3">
        <f>IF(Table13[[#This Row],[Actual_Qty]]=0,0,Table13[[#This Row],[Reject_Qty]]/Table13[[#This Row],[Actual_Qty]])</f>
        <v>6.6334991708126038E-3</v>
      </c>
      <c r="S5">
        <v>435.55</v>
      </c>
      <c r="T5">
        <f>(Table13[[#This Row],[Ideal_Cycle_Time_sec]]*Table13[[#This Row],[Actual_Qty]])/(Table13[[#This Row],[Operational_Time_min]]*60)</f>
        <v>0.50763402594420848</v>
      </c>
      <c r="U5">
        <f>Table13[[#This Row],[Good_Qty]]/Table13[[#This Row],[Actual_Qty]]</f>
        <v>0.99336650082918743</v>
      </c>
      <c r="V5" t="str">
        <f>IF(OR(Table13[[#This Row],[Performance_%]]&gt;=1,Table13[[#This Row],[Performance_%]]&lt;=0),"Error","OK")</f>
        <v>OK</v>
      </c>
      <c r="W5" t="str">
        <f>IF(OR(Table13[[#This Row],[Quality_%]]&gt;=1,Table13[[#This Row],[Quality_%]]&lt;=0),"Error","OK")</f>
        <v>OK</v>
      </c>
      <c r="X5">
        <f>Table13[[#This Row],[Performance_%]]*Table13[[#This Row],[Quality_%]]*[2]Availability_KPI!K5</f>
        <v>0.4880740740740741</v>
      </c>
      <c r="Y5" t="str">
        <f>IF(OR(Table13[[#This Row],[OEE_%]]&gt;1,Table13[[#This Row],[OEE_%]]&lt;0),"Error","OK")</f>
        <v>OK</v>
      </c>
    </row>
    <row r="6" spans="1:25" x14ac:dyDescent="0.2">
      <c r="A6" t="s">
        <v>40</v>
      </c>
      <c r="B6" t="s">
        <v>26</v>
      </c>
      <c r="C6" s="2">
        <v>46237</v>
      </c>
      <c r="D6" t="s">
        <v>27</v>
      </c>
      <c r="E6" t="s">
        <v>41</v>
      </c>
      <c r="F6" t="s">
        <v>29</v>
      </c>
      <c r="G6" t="s">
        <v>39</v>
      </c>
      <c r="H6">
        <v>597</v>
      </c>
      <c r="I6">
        <v>593</v>
      </c>
      <c r="J6">
        <v>4</v>
      </c>
      <c r="K6">
        <v>19.8</v>
      </c>
      <c r="L6">
        <v>21.26</v>
      </c>
      <c r="M6">
        <v>211.5</v>
      </c>
      <c r="N6">
        <f>_xlfn.XLOOKUP(Table13[[#This Row],[Production_Order_ID]],[1]Sheet1!$A$2:$A$391,[1]Sheet1!$F$2:$F$391,"No Match")</f>
        <v>540</v>
      </c>
      <c r="O6" s="3">
        <f>Table13[[#This Row],[Good_Qty]]/Table13[[#This Row],[Planned_Production]]</f>
        <v>1.0981481481481481</v>
      </c>
      <c r="P6" t="str">
        <f>IF(Table13[[#This Row],[Good_Qty]]&gt;=Table13[[#This Row],[Planned_Production]],"Met","Not Met")</f>
        <v>Met</v>
      </c>
      <c r="Q6">
        <f>Table13[[#This Row],[Good_Qty]]-Table13[[#This Row],[Planned_Production]]</f>
        <v>53</v>
      </c>
      <c r="R6" s="3">
        <f>IF(Table13[[#This Row],[Actual_Qty]]=0,0,Table13[[#This Row],[Reject_Qty]]/Table13[[#This Row],[Actual_Qty]])</f>
        <v>6.7001675041876048E-3</v>
      </c>
      <c r="S6">
        <v>439.74</v>
      </c>
      <c r="T6">
        <f>(Table13[[#This Row],[Ideal_Cycle_Time_sec]]*Table13[[#This Row],[Actual_Qty]])/(Table13[[#This Row],[Operational_Time_min]]*60)</f>
        <v>0.44801473598035202</v>
      </c>
      <c r="U6">
        <f>Table13[[#This Row],[Good_Qty]]/Table13[[#This Row],[Actual_Qty]]</f>
        <v>0.99329983249581244</v>
      </c>
      <c r="V6" t="str">
        <f>IF(OR(Table13[[#This Row],[Performance_%]]&gt;=1,Table13[[#This Row],[Performance_%]]&lt;=0),"Error","OK")</f>
        <v>OK</v>
      </c>
      <c r="W6" t="str">
        <f>IF(OR(Table13[[#This Row],[Quality_%]]&gt;=1,Table13[[#This Row],[Quality_%]]&lt;=0),"Error","OK")</f>
        <v>OK</v>
      </c>
      <c r="X6">
        <f>Table13[[#This Row],[Performance_%]]*Table13[[#This Row],[Quality_%]]*[2]Availability_KPI!K6</f>
        <v>0.43486666666666673</v>
      </c>
      <c r="Y6" t="str">
        <f>IF(OR(Table13[[#This Row],[OEE_%]]&gt;1,Table13[[#This Row],[OEE_%]]&lt;0),"Error","OK")</f>
        <v>OK</v>
      </c>
    </row>
    <row r="7" spans="1:25" x14ac:dyDescent="0.2">
      <c r="A7" t="s">
        <v>42</v>
      </c>
      <c r="B7" t="s">
        <v>26</v>
      </c>
      <c r="C7" s="2">
        <v>46237</v>
      </c>
      <c r="D7" t="s">
        <v>27</v>
      </c>
      <c r="E7" t="s">
        <v>43</v>
      </c>
      <c r="F7" t="s">
        <v>29</v>
      </c>
      <c r="G7" t="s">
        <v>44</v>
      </c>
      <c r="H7">
        <v>593</v>
      </c>
      <c r="I7">
        <v>584</v>
      </c>
      <c r="J7">
        <v>9</v>
      </c>
      <c r="K7">
        <v>35.200000000000003</v>
      </c>
      <c r="L7">
        <v>38.33</v>
      </c>
      <c r="M7">
        <v>378.83</v>
      </c>
      <c r="N7">
        <f>_xlfn.XLOOKUP(Table13[[#This Row],[Production_Order_ID]],[1]Sheet1!$A$2:$A$391,[1]Sheet1!$F$2:$F$391,"No Match")</f>
        <v>540</v>
      </c>
      <c r="O7" s="3">
        <f>Table13[[#This Row],[Good_Qty]]/Table13[[#This Row],[Planned_Production]]</f>
        <v>1.0814814814814815</v>
      </c>
      <c r="P7" t="str">
        <f>IF(Table13[[#This Row],[Good_Qty]]&gt;=Table13[[#This Row],[Planned_Production]],"Met","Not Met")</f>
        <v>Met</v>
      </c>
      <c r="Q7">
        <f>Table13[[#This Row],[Good_Qty]]-Table13[[#This Row],[Planned_Production]]</f>
        <v>44</v>
      </c>
      <c r="R7" s="3">
        <f>IF(Table13[[#This Row],[Actual_Qty]]=0,0,Table13[[#This Row],[Reject_Qty]]/Table13[[#This Row],[Actual_Qty]])</f>
        <v>1.5177065767284991E-2</v>
      </c>
      <c r="S7">
        <v>408.46</v>
      </c>
      <c r="T7">
        <f>(Table13[[#This Row],[Ideal_Cycle_Time_sec]]*Table13[[#This Row],[Actual_Qty]])/(Table13[[#This Row],[Operational_Time_min]]*60)</f>
        <v>0.85171946661443809</v>
      </c>
      <c r="U7">
        <f>Table13[[#This Row],[Good_Qty]]/Table13[[#This Row],[Actual_Qty]]</f>
        <v>0.98482293423271505</v>
      </c>
      <c r="V7" t="str">
        <f>IF(OR(Table13[[#This Row],[Performance_%]]&gt;=1,Table13[[#This Row],[Performance_%]]&lt;=0),"Error","OK")</f>
        <v>OK</v>
      </c>
      <c r="W7" t="str">
        <f>IF(OR(Table13[[#This Row],[Quality_%]]&gt;=1,Table13[[#This Row],[Quality_%]]&lt;=0),"Error","OK")</f>
        <v>OK</v>
      </c>
      <c r="X7">
        <f>Table13[[#This Row],[Performance_%]]*Table13[[#This Row],[Quality_%]]*[2]Availability_KPI!K7</f>
        <v>0.76136296296296313</v>
      </c>
      <c r="Y7" t="str">
        <f>IF(OR(Table13[[#This Row],[OEE_%]]&gt;1,Table13[[#This Row],[OEE_%]]&lt;0),"Error","OK")</f>
        <v>OK</v>
      </c>
    </row>
    <row r="8" spans="1:25" x14ac:dyDescent="0.2">
      <c r="A8" t="s">
        <v>45</v>
      </c>
      <c r="B8" t="s">
        <v>26</v>
      </c>
      <c r="C8" s="2">
        <v>46237</v>
      </c>
      <c r="D8" t="s">
        <v>27</v>
      </c>
      <c r="E8" t="s">
        <v>46</v>
      </c>
      <c r="F8" t="s">
        <v>29</v>
      </c>
      <c r="G8" t="s">
        <v>47</v>
      </c>
      <c r="H8">
        <v>607</v>
      </c>
      <c r="I8">
        <v>602</v>
      </c>
      <c r="J8">
        <v>5</v>
      </c>
      <c r="K8">
        <v>27.5</v>
      </c>
      <c r="L8">
        <v>28.52</v>
      </c>
      <c r="M8">
        <v>288.49</v>
      </c>
      <c r="N8">
        <f>_xlfn.XLOOKUP(Table13[[#This Row],[Production_Order_ID]],[1]Sheet1!$A$2:$A$391,[1]Sheet1!$F$2:$F$391,"No Match")</f>
        <v>540</v>
      </c>
      <c r="O8" s="3">
        <f>Table13[[#This Row],[Good_Qty]]/Table13[[#This Row],[Planned_Production]]</f>
        <v>1.1148148148148149</v>
      </c>
      <c r="P8" t="str">
        <f>IF(Table13[[#This Row],[Good_Qty]]&gt;=Table13[[#This Row],[Planned_Production]],"Met","Not Met")</f>
        <v>Met</v>
      </c>
      <c r="Q8">
        <f>Table13[[#This Row],[Good_Qty]]-Table13[[#This Row],[Planned_Production]]</f>
        <v>62</v>
      </c>
      <c r="R8" s="3">
        <f>IF(Table13[[#This Row],[Actual_Qty]]=0,0,Table13[[#This Row],[Reject_Qty]]/Table13[[#This Row],[Actual_Qty]])</f>
        <v>8.2372322899505763E-3</v>
      </c>
      <c r="S8">
        <v>416.65</v>
      </c>
      <c r="T8">
        <f>(Table13[[#This Row],[Ideal_Cycle_Time_sec]]*Table13[[#This Row],[Actual_Qty]])/(Table13[[#This Row],[Operational_Time_min]]*60)</f>
        <v>0.66772670906836273</v>
      </c>
      <c r="U8">
        <f>Table13[[#This Row],[Good_Qty]]/Table13[[#This Row],[Actual_Qty]]</f>
        <v>0.99176276771004945</v>
      </c>
      <c r="V8" t="str">
        <f>IF(OR(Table13[[#This Row],[Performance_%]]&gt;=1,Table13[[#This Row],[Performance_%]]&lt;=0),"Error","OK")</f>
        <v>OK</v>
      </c>
      <c r="W8" t="str">
        <f>IF(OR(Table13[[#This Row],[Quality_%]]&gt;=1,Table13[[#This Row],[Quality_%]]&lt;=0),"Error","OK")</f>
        <v>OK</v>
      </c>
      <c r="X8">
        <f>Table13[[#This Row],[Performance_%]]*Table13[[#This Row],[Quality_%]]*[2]Availability_KPI!K8</f>
        <v>0.61314814814814811</v>
      </c>
      <c r="Y8" t="str">
        <f>IF(OR(Table13[[#This Row],[OEE_%]]&gt;1,Table13[[#This Row],[OEE_%]]&lt;0),"Error","OK")</f>
        <v>OK</v>
      </c>
    </row>
    <row r="9" spans="1:25" x14ac:dyDescent="0.2">
      <c r="A9" t="s">
        <v>48</v>
      </c>
      <c r="B9" t="s">
        <v>26</v>
      </c>
      <c r="C9" s="2">
        <v>46237</v>
      </c>
      <c r="D9" t="s">
        <v>27</v>
      </c>
      <c r="E9" t="s">
        <v>49</v>
      </c>
      <c r="F9" t="s">
        <v>29</v>
      </c>
      <c r="G9" t="s">
        <v>50</v>
      </c>
      <c r="H9">
        <v>602</v>
      </c>
      <c r="I9">
        <v>599</v>
      </c>
      <c r="J9">
        <v>3</v>
      </c>
      <c r="K9">
        <v>22</v>
      </c>
      <c r="L9">
        <v>22</v>
      </c>
      <c r="M9">
        <v>220.73</v>
      </c>
      <c r="N9">
        <f>_xlfn.XLOOKUP(Table13[[#This Row],[Production_Order_ID]],[1]Sheet1!$A$2:$A$391,[1]Sheet1!$F$2:$F$391,"No Match")</f>
        <v>540</v>
      </c>
      <c r="O9" s="3">
        <f>Table13[[#This Row],[Good_Qty]]/Table13[[#This Row],[Planned_Production]]</f>
        <v>1.1092592592592592</v>
      </c>
      <c r="P9" t="str">
        <f>IF(Table13[[#This Row],[Good_Qty]]&gt;=Table13[[#This Row],[Planned_Production]],"Met","Not Met")</f>
        <v>Met</v>
      </c>
      <c r="Q9">
        <f>Table13[[#This Row],[Good_Qty]]-Table13[[#This Row],[Planned_Production]]</f>
        <v>59</v>
      </c>
      <c r="R9" s="3">
        <f>IF(Table13[[#This Row],[Actual_Qty]]=0,0,Table13[[#This Row],[Reject_Qty]]/Table13[[#This Row],[Actual_Qty]])</f>
        <v>4.9833887043189366E-3</v>
      </c>
      <c r="S9">
        <v>441.56</v>
      </c>
      <c r="T9">
        <f>(Table13[[#This Row],[Ideal_Cycle_Time_sec]]*Table13[[#This Row],[Actual_Qty]])/(Table13[[#This Row],[Operational_Time_min]]*60)</f>
        <v>0.49989431409849927</v>
      </c>
      <c r="U9">
        <f>Table13[[#This Row],[Good_Qty]]/Table13[[#This Row],[Actual_Qty]]</f>
        <v>0.99501661129568109</v>
      </c>
      <c r="V9" t="str">
        <f>IF(OR(Table13[[#This Row],[Performance_%]]&gt;=1,Table13[[#This Row],[Performance_%]]&lt;=0),"Error","OK")</f>
        <v>OK</v>
      </c>
      <c r="W9" t="str">
        <f>IF(OR(Table13[[#This Row],[Quality_%]]&gt;=1,Table13[[#This Row],[Quality_%]]&lt;=0),"Error","OK")</f>
        <v>OK</v>
      </c>
      <c r="X9">
        <f>Table13[[#This Row],[Performance_%]]*Table13[[#This Row],[Quality_%]]*[2]Availability_KPI!K9</f>
        <v>0.4880740740740741</v>
      </c>
      <c r="Y9" t="str">
        <f>IF(OR(Table13[[#This Row],[OEE_%]]&gt;1,Table13[[#This Row],[OEE_%]]&lt;0),"Error","OK")</f>
        <v>OK</v>
      </c>
    </row>
    <row r="10" spans="1:25" x14ac:dyDescent="0.2">
      <c r="A10" t="s">
        <v>51</v>
      </c>
      <c r="B10" t="s">
        <v>52</v>
      </c>
      <c r="C10" s="2">
        <v>46237</v>
      </c>
      <c r="D10" t="s">
        <v>53</v>
      </c>
      <c r="E10" t="s">
        <v>28</v>
      </c>
      <c r="F10" t="s">
        <v>54</v>
      </c>
      <c r="G10" t="s">
        <v>55</v>
      </c>
      <c r="H10">
        <v>674</v>
      </c>
      <c r="I10">
        <v>673</v>
      </c>
      <c r="J10">
        <v>1</v>
      </c>
      <c r="K10">
        <v>18</v>
      </c>
      <c r="L10">
        <v>18.68</v>
      </c>
      <c r="M10">
        <v>209.8</v>
      </c>
      <c r="N10">
        <f>_xlfn.XLOOKUP(Table13[[#This Row],[Production_Order_ID]],[1]Sheet1!$A$2:$A$391,[1]Sheet1!$F$2:$F$391,"No Match")</f>
        <v>620</v>
      </c>
      <c r="O10" s="3">
        <f>Table13[[#This Row],[Good_Qty]]/Table13[[#This Row],[Planned_Production]]</f>
        <v>1.0854838709677419</v>
      </c>
      <c r="P10" t="str">
        <f>IF(Table13[[#This Row],[Good_Qty]]&gt;=Table13[[#This Row],[Planned_Production]],"Met","Not Met")</f>
        <v>Met</v>
      </c>
      <c r="Q10">
        <f>Table13[[#This Row],[Good_Qty]]-Table13[[#This Row],[Planned_Production]]</f>
        <v>53</v>
      </c>
      <c r="R10" s="3">
        <f>IF(Table13[[#This Row],[Actual_Qty]]=0,0,Table13[[#This Row],[Reject_Qty]]/Table13[[#This Row],[Actual_Qty]])</f>
        <v>1.483679525222552E-3</v>
      </c>
      <c r="S10">
        <v>441.1</v>
      </c>
      <c r="T10">
        <f>(Table13[[#This Row],[Ideal_Cycle_Time_sec]]*Table13[[#This Row],[Actual_Qty]])/(Table13[[#This Row],[Operational_Time_min]]*60)</f>
        <v>0.45839945590569031</v>
      </c>
      <c r="U10">
        <f>Table13[[#This Row],[Good_Qty]]/Table13[[#This Row],[Actual_Qty]]</f>
        <v>0.99851632047477745</v>
      </c>
      <c r="V10" t="str">
        <f>IF(OR(Table13[[#This Row],[Performance_%]]&gt;=1,Table13[[#This Row],[Performance_%]]&lt;=0),"Error","OK")</f>
        <v>OK</v>
      </c>
      <c r="W10" t="str">
        <f>IF(OR(Table13[[#This Row],[Quality_%]]&gt;=1,Table13[[#This Row],[Quality_%]]&lt;=0),"Error","OK")</f>
        <v>OK</v>
      </c>
      <c r="X10">
        <f>Table13[[#This Row],[Performance_%]]*Table13[[#This Row],[Quality_%]]*[2]Availability_KPI!K10</f>
        <v>0.44866666666666671</v>
      </c>
      <c r="Y10" t="str">
        <f>IF(OR(Table13[[#This Row],[OEE_%]]&gt;1,Table13[[#This Row],[OEE_%]]&lt;0),"Error","OK")</f>
        <v>OK</v>
      </c>
    </row>
    <row r="11" spans="1:25" x14ac:dyDescent="0.2">
      <c r="A11" t="s">
        <v>56</v>
      </c>
      <c r="B11" t="s">
        <v>52</v>
      </c>
      <c r="C11" s="2">
        <v>46237</v>
      </c>
      <c r="D11" t="s">
        <v>53</v>
      </c>
      <c r="E11" t="s">
        <v>32</v>
      </c>
      <c r="F11" t="s">
        <v>54</v>
      </c>
      <c r="G11" t="s">
        <v>57</v>
      </c>
      <c r="H11">
        <v>676</v>
      </c>
      <c r="I11">
        <v>670</v>
      </c>
      <c r="J11">
        <v>6</v>
      </c>
      <c r="K11">
        <v>20</v>
      </c>
      <c r="L11">
        <v>21.1</v>
      </c>
      <c r="M11">
        <v>237.71</v>
      </c>
      <c r="N11">
        <f>_xlfn.XLOOKUP(Table13[[#This Row],[Production_Order_ID]],[1]Sheet1!$A$2:$A$391,[1]Sheet1!$F$2:$F$391,"No Match")</f>
        <v>620</v>
      </c>
      <c r="O11" s="3">
        <f>Table13[[#This Row],[Good_Qty]]/Table13[[#This Row],[Planned_Production]]</f>
        <v>1.0806451612903225</v>
      </c>
      <c r="P11" t="str">
        <f>IF(Table13[[#This Row],[Good_Qty]]&gt;=Table13[[#This Row],[Planned_Production]],"Met","Not Met")</f>
        <v>Met</v>
      </c>
      <c r="Q11">
        <f>Table13[[#This Row],[Good_Qty]]-Table13[[#This Row],[Planned_Production]]</f>
        <v>50</v>
      </c>
      <c r="R11" s="3">
        <f>IF(Table13[[#This Row],[Actual_Qty]]=0,0,Table13[[#This Row],[Reject_Qty]]/Table13[[#This Row],[Actual_Qty]])</f>
        <v>8.8757396449704144E-3</v>
      </c>
      <c r="S11">
        <v>436.05</v>
      </c>
      <c r="T11">
        <f>(Table13[[#This Row],[Ideal_Cycle_Time_sec]]*Table13[[#This Row],[Actual_Qty]])/(Table13[[#This Row],[Operational_Time_min]]*60)</f>
        <v>0.51676031036196157</v>
      </c>
      <c r="U11">
        <f>Table13[[#This Row],[Good_Qty]]/Table13[[#This Row],[Actual_Qty]]</f>
        <v>0.99112426035502954</v>
      </c>
      <c r="V11" t="str">
        <f>IF(OR(Table13[[#This Row],[Performance_%]]&gt;=1,Table13[[#This Row],[Performance_%]]&lt;=0),"Error","OK")</f>
        <v>OK</v>
      </c>
      <c r="W11" t="str">
        <f>IF(OR(Table13[[#This Row],[Quality_%]]&gt;=1,Table13[[#This Row],[Quality_%]]&lt;=0),"Error","OK")</f>
        <v>OK</v>
      </c>
      <c r="X11">
        <f>Table13[[#This Row],[Performance_%]]*Table13[[#This Row],[Quality_%]]*[2]Availability_KPI!K11</f>
        <v>0.49629629629629629</v>
      </c>
      <c r="Y11" t="str">
        <f>IF(OR(Table13[[#This Row],[OEE_%]]&gt;1,Table13[[#This Row],[OEE_%]]&lt;0),"Error","OK")</f>
        <v>OK</v>
      </c>
    </row>
    <row r="12" spans="1:25" x14ac:dyDescent="0.2">
      <c r="A12" t="s">
        <v>58</v>
      </c>
      <c r="B12" t="s">
        <v>52</v>
      </c>
      <c r="C12" s="2">
        <v>46237</v>
      </c>
      <c r="D12" t="s">
        <v>53</v>
      </c>
      <c r="E12" t="s">
        <v>35</v>
      </c>
      <c r="F12" t="s">
        <v>54</v>
      </c>
      <c r="G12" t="s">
        <v>39</v>
      </c>
      <c r="H12">
        <v>655</v>
      </c>
      <c r="I12">
        <v>650</v>
      </c>
      <c r="J12">
        <v>5</v>
      </c>
      <c r="K12">
        <v>22</v>
      </c>
      <c r="L12">
        <v>23.9</v>
      </c>
      <c r="M12">
        <v>260.89</v>
      </c>
      <c r="N12">
        <f>_xlfn.XLOOKUP(Table13[[#This Row],[Production_Order_ID]],[1]Sheet1!$A$2:$A$391,[1]Sheet1!$F$2:$F$391,"No Match")</f>
        <v>620</v>
      </c>
      <c r="O12" s="3">
        <f>Table13[[#This Row],[Good_Qty]]/Table13[[#This Row],[Planned_Production]]</f>
        <v>1.0483870967741935</v>
      </c>
      <c r="P12" t="str">
        <f>IF(Table13[[#This Row],[Good_Qty]]&gt;=Table13[[#This Row],[Planned_Production]],"Met","Not Met")</f>
        <v>Met</v>
      </c>
      <c r="Q12">
        <f>Table13[[#This Row],[Good_Qty]]-Table13[[#This Row],[Planned_Production]]</f>
        <v>30</v>
      </c>
      <c r="R12" s="3">
        <f>IF(Table13[[#This Row],[Actual_Qty]]=0,0,Table13[[#This Row],[Reject_Qty]]/Table13[[#This Row],[Actual_Qty]])</f>
        <v>7.6335877862595417E-3</v>
      </c>
      <c r="S12">
        <v>433.59</v>
      </c>
      <c r="T12">
        <f>(Table13[[#This Row],[Ideal_Cycle_Time_sec]]*Table13[[#This Row],[Actual_Qty]])/(Table13[[#This Row],[Operational_Time_min]]*60)</f>
        <v>0.55390268840763557</v>
      </c>
      <c r="U12">
        <f>Table13[[#This Row],[Good_Qty]]/Table13[[#This Row],[Actual_Qty]]</f>
        <v>0.99236641221374045</v>
      </c>
      <c r="V12" t="str">
        <f>IF(OR(Table13[[#This Row],[Performance_%]]&gt;=1,Table13[[#This Row],[Performance_%]]&lt;=0),"Error","OK")</f>
        <v>OK</v>
      </c>
      <c r="W12" t="str">
        <f>IF(OR(Table13[[#This Row],[Quality_%]]&gt;=1,Table13[[#This Row],[Quality_%]]&lt;=0),"Error","OK")</f>
        <v>OK</v>
      </c>
      <c r="X12">
        <f>Table13[[#This Row],[Performance_%]]*Table13[[#This Row],[Quality_%]]*[2]Availability_KPI!K12</f>
        <v>0.52962962962962967</v>
      </c>
      <c r="Y12" t="str">
        <f>IF(OR(Table13[[#This Row],[OEE_%]]&gt;1,Table13[[#This Row],[OEE_%]]&lt;0),"Error","OK")</f>
        <v>OK</v>
      </c>
    </row>
    <row r="13" spans="1:25" x14ac:dyDescent="0.2">
      <c r="A13" t="s">
        <v>59</v>
      </c>
      <c r="B13" t="s">
        <v>52</v>
      </c>
      <c r="C13" s="2">
        <v>46237</v>
      </c>
      <c r="D13" t="s">
        <v>53</v>
      </c>
      <c r="E13" t="s">
        <v>38</v>
      </c>
      <c r="F13" t="s">
        <v>54</v>
      </c>
      <c r="G13" t="s">
        <v>33</v>
      </c>
      <c r="H13">
        <v>688</v>
      </c>
      <c r="I13">
        <v>684</v>
      </c>
      <c r="J13">
        <v>4</v>
      </c>
      <c r="K13">
        <v>20</v>
      </c>
      <c r="L13">
        <v>20.66</v>
      </c>
      <c r="M13">
        <v>236.85</v>
      </c>
      <c r="N13">
        <f>_xlfn.XLOOKUP(Table13[[#This Row],[Production_Order_ID]],[1]Sheet1!$A$2:$A$391,[1]Sheet1!$F$2:$F$391,"No Match")</f>
        <v>620</v>
      </c>
      <c r="O13" s="3">
        <f>Table13[[#This Row],[Good_Qty]]/Table13[[#This Row],[Planned_Production]]</f>
        <v>1.1032258064516129</v>
      </c>
      <c r="P13" t="str">
        <f>IF(Table13[[#This Row],[Good_Qty]]&gt;=Table13[[#This Row],[Planned_Production]],"Met","Not Met")</f>
        <v>Met</v>
      </c>
      <c r="Q13">
        <f>Table13[[#This Row],[Good_Qty]]-Table13[[#This Row],[Planned_Production]]</f>
        <v>64</v>
      </c>
      <c r="R13" s="3">
        <f>IF(Table13[[#This Row],[Actual_Qty]]=0,0,Table13[[#This Row],[Reject_Qty]]/Table13[[#This Row],[Actual_Qty]])</f>
        <v>5.8139534883720929E-3</v>
      </c>
      <c r="S13">
        <v>439.31</v>
      </c>
      <c r="T13">
        <f>(Table13[[#This Row],[Ideal_Cycle_Time_sec]]*Table13[[#This Row],[Actual_Qty]])/(Table13[[#This Row],[Operational_Time_min]]*60)</f>
        <v>0.52203076035904794</v>
      </c>
      <c r="U13">
        <f>Table13[[#This Row],[Good_Qty]]/Table13[[#This Row],[Actual_Qty]]</f>
        <v>0.9941860465116279</v>
      </c>
      <c r="V13" t="str">
        <f>IF(OR(Table13[[#This Row],[Performance_%]]&gt;=1,Table13[[#This Row],[Performance_%]]&lt;=0),"Error","OK")</f>
        <v>OK</v>
      </c>
      <c r="W13" t="str">
        <f>IF(OR(Table13[[#This Row],[Quality_%]]&gt;=1,Table13[[#This Row],[Quality_%]]&lt;=0),"Error","OK")</f>
        <v>OK</v>
      </c>
      <c r="X13">
        <f>Table13[[#This Row],[Performance_%]]*Table13[[#This Row],[Quality_%]]*[2]Availability_KPI!K13</f>
        <v>0.50666666666666671</v>
      </c>
      <c r="Y13" t="str">
        <f>IF(OR(Table13[[#This Row],[OEE_%]]&gt;1,Table13[[#This Row],[OEE_%]]&lt;0),"Error","OK")</f>
        <v>OK</v>
      </c>
    </row>
    <row r="14" spans="1:25" x14ac:dyDescent="0.2">
      <c r="A14" t="s">
        <v>60</v>
      </c>
      <c r="B14" t="s">
        <v>52</v>
      </c>
      <c r="C14" s="2">
        <v>46237</v>
      </c>
      <c r="D14" t="s">
        <v>53</v>
      </c>
      <c r="E14" t="s">
        <v>41</v>
      </c>
      <c r="F14" t="s">
        <v>54</v>
      </c>
      <c r="G14" t="s">
        <v>61</v>
      </c>
      <c r="H14">
        <v>692</v>
      </c>
      <c r="I14">
        <v>688</v>
      </c>
      <c r="J14">
        <v>4</v>
      </c>
      <c r="K14">
        <v>18</v>
      </c>
      <c r="L14">
        <v>19.25</v>
      </c>
      <c r="M14">
        <v>221.96</v>
      </c>
      <c r="N14">
        <f>_xlfn.XLOOKUP(Table13[[#This Row],[Production_Order_ID]],[1]Sheet1!$A$2:$A$391,[1]Sheet1!$F$2:$F$391,"No Match")</f>
        <v>620</v>
      </c>
      <c r="O14" s="3">
        <f>Table13[[#This Row],[Good_Qty]]/Table13[[#This Row],[Planned_Production]]</f>
        <v>1.1096774193548387</v>
      </c>
      <c r="P14" t="str">
        <f>IF(Table13[[#This Row],[Good_Qty]]&gt;=Table13[[#This Row],[Planned_Production]],"Met","Not Met")</f>
        <v>Met</v>
      </c>
      <c r="Q14">
        <f>Table13[[#This Row],[Good_Qty]]-Table13[[#This Row],[Planned_Production]]</f>
        <v>68</v>
      </c>
      <c r="R14" s="3">
        <f>IF(Table13[[#This Row],[Actual_Qty]]=0,0,Table13[[#This Row],[Reject_Qty]]/Table13[[#This Row],[Actual_Qty]])</f>
        <v>5.7803468208092483E-3</v>
      </c>
      <c r="S14">
        <v>437.48</v>
      </c>
      <c r="T14">
        <f>(Table13[[#This Row],[Ideal_Cycle_Time_sec]]*Table13[[#This Row],[Actual_Qty]])/(Table13[[#This Row],[Operational_Time_min]]*60)</f>
        <v>0.47453597878760168</v>
      </c>
      <c r="U14">
        <f>Table13[[#This Row],[Good_Qty]]/Table13[[#This Row],[Actual_Qty]]</f>
        <v>0.9942196531791907</v>
      </c>
      <c r="V14" t="str">
        <f>IF(OR(Table13[[#This Row],[Performance_%]]&gt;=1,Table13[[#This Row],[Performance_%]]&lt;=0),"Error","OK")</f>
        <v>OK</v>
      </c>
      <c r="W14" t="str">
        <f>IF(OR(Table13[[#This Row],[Quality_%]]&gt;=1,Table13[[#This Row],[Quality_%]]&lt;=0),"Error","OK")</f>
        <v>OK</v>
      </c>
      <c r="X14">
        <f>Table13[[#This Row],[Performance_%]]*Table13[[#This Row],[Quality_%]]*[2]Availability_KPI!K14</f>
        <v>0.45866666666666661</v>
      </c>
      <c r="Y14" t="str">
        <f>IF(OR(Table13[[#This Row],[OEE_%]]&gt;1,Table13[[#This Row],[OEE_%]]&lt;0),"Error","OK")</f>
        <v>OK</v>
      </c>
    </row>
    <row r="15" spans="1:25" x14ac:dyDescent="0.2">
      <c r="A15" t="s">
        <v>62</v>
      </c>
      <c r="B15" t="s">
        <v>52</v>
      </c>
      <c r="C15" s="2">
        <v>46237</v>
      </c>
      <c r="D15" t="s">
        <v>53</v>
      </c>
      <c r="E15" t="s">
        <v>43</v>
      </c>
      <c r="F15" t="s">
        <v>54</v>
      </c>
      <c r="G15" t="s">
        <v>61</v>
      </c>
      <c r="H15">
        <v>686</v>
      </c>
      <c r="I15">
        <v>675</v>
      </c>
      <c r="J15">
        <v>11</v>
      </c>
      <c r="K15">
        <v>32</v>
      </c>
      <c r="L15">
        <v>33.79</v>
      </c>
      <c r="M15">
        <v>386.31</v>
      </c>
      <c r="N15">
        <f>_xlfn.XLOOKUP(Table13[[#This Row],[Production_Order_ID]],[1]Sheet1!$A$2:$A$391,[1]Sheet1!$F$2:$F$391,"No Match")</f>
        <v>620</v>
      </c>
      <c r="O15" s="3">
        <f>Table13[[#This Row],[Good_Qty]]/Table13[[#This Row],[Planned_Production]]</f>
        <v>1.0887096774193548</v>
      </c>
      <c r="P15" t="str">
        <f>IF(Table13[[#This Row],[Good_Qty]]&gt;=Table13[[#This Row],[Planned_Production]],"Met","Not Met")</f>
        <v>Met</v>
      </c>
      <c r="Q15">
        <f>Table13[[#This Row],[Good_Qty]]-Table13[[#This Row],[Planned_Production]]</f>
        <v>55</v>
      </c>
      <c r="R15" s="3">
        <f>IF(Table13[[#This Row],[Actual_Qty]]=0,0,Table13[[#This Row],[Reject_Qty]]/Table13[[#This Row],[Actual_Qty]])</f>
        <v>1.6034985422740525E-2</v>
      </c>
      <c r="S15">
        <v>399.92</v>
      </c>
      <c r="T15">
        <f>(Table13[[#This Row],[Ideal_Cycle_Time_sec]]*Table13[[#This Row],[Actual_Qty]])/(Table13[[#This Row],[Operational_Time_min]]*60)</f>
        <v>0.91484963659398544</v>
      </c>
      <c r="U15">
        <f>Table13[[#This Row],[Good_Qty]]/Table13[[#This Row],[Actual_Qty]]</f>
        <v>0.98396501457725949</v>
      </c>
      <c r="V15" t="str">
        <f>IF(OR(Table13[[#This Row],[Performance_%]]&gt;=1,Table13[[#This Row],[Performance_%]]&lt;=0),"Error","OK")</f>
        <v>OK</v>
      </c>
      <c r="W15" t="str">
        <f>IF(OR(Table13[[#This Row],[Quality_%]]&gt;=1,Table13[[#This Row],[Quality_%]]&lt;=0),"Error","OK")</f>
        <v>OK</v>
      </c>
      <c r="X15">
        <f>Table13[[#This Row],[Performance_%]]*Table13[[#This Row],[Quality_%]]*[2]Availability_KPI!K15</f>
        <v>0.8</v>
      </c>
      <c r="Y15" t="str">
        <f>IF(OR(Table13[[#This Row],[OEE_%]]&gt;1,Table13[[#This Row],[OEE_%]]&lt;0),"Error","OK")</f>
        <v>OK</v>
      </c>
    </row>
    <row r="16" spans="1:25" x14ac:dyDescent="0.2">
      <c r="A16" t="s">
        <v>63</v>
      </c>
      <c r="B16" t="s">
        <v>52</v>
      </c>
      <c r="C16" s="2">
        <v>46237</v>
      </c>
      <c r="D16" t="s">
        <v>53</v>
      </c>
      <c r="E16" t="s">
        <v>46</v>
      </c>
      <c r="F16" t="s">
        <v>54</v>
      </c>
      <c r="G16" t="s">
        <v>30</v>
      </c>
      <c r="H16">
        <v>696</v>
      </c>
      <c r="I16">
        <v>688</v>
      </c>
      <c r="J16">
        <v>8</v>
      </c>
      <c r="K16">
        <v>25</v>
      </c>
      <c r="L16">
        <v>25.62</v>
      </c>
      <c r="M16">
        <v>297.2</v>
      </c>
      <c r="N16">
        <f>_xlfn.XLOOKUP(Table13[[#This Row],[Production_Order_ID]],[1]Sheet1!$A$2:$A$391,[1]Sheet1!$F$2:$F$391,"No Match")</f>
        <v>620</v>
      </c>
      <c r="O16" s="3">
        <f>Table13[[#This Row],[Good_Qty]]/Table13[[#This Row],[Planned_Production]]</f>
        <v>1.1096774193548387</v>
      </c>
      <c r="P16" t="str">
        <f>IF(Table13[[#This Row],[Good_Qty]]&gt;=Table13[[#This Row],[Planned_Production]],"Met","Not Met")</f>
        <v>Met</v>
      </c>
      <c r="Q16">
        <f>Table13[[#This Row],[Good_Qty]]-Table13[[#This Row],[Planned_Production]]</f>
        <v>68</v>
      </c>
      <c r="R16" s="3">
        <f>IF(Table13[[#This Row],[Actual_Qty]]=0,0,Table13[[#This Row],[Reject_Qty]]/Table13[[#This Row],[Actual_Qty]])</f>
        <v>1.1494252873563218E-2</v>
      </c>
      <c r="S16">
        <v>433.23</v>
      </c>
      <c r="T16">
        <f>(Table13[[#This Row],[Ideal_Cycle_Time_sec]]*Table13[[#This Row],[Actual_Qty]])/(Table13[[#This Row],[Operational_Time_min]]*60)</f>
        <v>0.66939039309373771</v>
      </c>
      <c r="U16">
        <f>Table13[[#This Row],[Good_Qty]]/Table13[[#This Row],[Actual_Qty]]</f>
        <v>0.9885057471264368</v>
      </c>
      <c r="V16" t="str">
        <f>IF(OR(Table13[[#This Row],[Performance_%]]&gt;=1,Table13[[#This Row],[Performance_%]]&lt;=0),"Error","OK")</f>
        <v>OK</v>
      </c>
      <c r="W16" t="str">
        <f>IF(OR(Table13[[#This Row],[Quality_%]]&gt;=1,Table13[[#This Row],[Quality_%]]&lt;=0),"Error","OK")</f>
        <v>OK</v>
      </c>
      <c r="X16">
        <f>Table13[[#This Row],[Performance_%]]*Table13[[#This Row],[Quality_%]]*[2]Availability_KPI!K16</f>
        <v>0.63703703703703707</v>
      </c>
      <c r="Y16" t="str">
        <f>IF(OR(Table13[[#This Row],[OEE_%]]&gt;1,Table13[[#This Row],[OEE_%]]&lt;0),"Error","OK")</f>
        <v>OK</v>
      </c>
    </row>
    <row r="17" spans="1:25" x14ac:dyDescent="0.2">
      <c r="A17" t="s">
        <v>64</v>
      </c>
      <c r="B17" t="s">
        <v>52</v>
      </c>
      <c r="C17" s="2">
        <v>46237</v>
      </c>
      <c r="D17" t="s">
        <v>53</v>
      </c>
      <c r="E17" t="s">
        <v>49</v>
      </c>
      <c r="F17" t="s">
        <v>54</v>
      </c>
      <c r="G17" t="s">
        <v>50</v>
      </c>
      <c r="H17">
        <v>675</v>
      </c>
      <c r="I17">
        <v>671</v>
      </c>
      <c r="J17">
        <v>4</v>
      </c>
      <c r="K17">
        <v>20</v>
      </c>
      <c r="L17">
        <v>20.74</v>
      </c>
      <c r="M17">
        <v>233.37</v>
      </c>
      <c r="N17">
        <f>_xlfn.XLOOKUP(Table13[[#This Row],[Production_Order_ID]],[1]Sheet1!$A$2:$A$391,[1]Sheet1!$F$2:$F$391,"No Match")</f>
        <v>620</v>
      </c>
      <c r="O17" s="3">
        <f>Table13[[#This Row],[Good_Qty]]/Table13[[#This Row],[Planned_Production]]</f>
        <v>1.082258064516129</v>
      </c>
      <c r="P17" t="str">
        <f>IF(Table13[[#This Row],[Good_Qty]]&gt;=Table13[[#This Row],[Planned_Production]],"Met","Not Met")</f>
        <v>Met</v>
      </c>
      <c r="Q17">
        <f>Table13[[#This Row],[Good_Qty]]-Table13[[#This Row],[Planned_Production]]</f>
        <v>51</v>
      </c>
      <c r="R17" s="3">
        <f>IF(Table13[[#This Row],[Actual_Qty]]=0,0,Table13[[#This Row],[Reject_Qty]]/Table13[[#This Row],[Actual_Qty]])</f>
        <v>5.9259259259259256E-3</v>
      </c>
      <c r="S17">
        <v>442.49</v>
      </c>
      <c r="T17">
        <f>(Table13[[#This Row],[Ideal_Cycle_Time_sec]]*Table13[[#This Row],[Actual_Qty]])/(Table13[[#This Row],[Operational_Time_min]]*60)</f>
        <v>0.50848606748175096</v>
      </c>
      <c r="U17">
        <f>Table13[[#This Row],[Good_Qty]]/Table13[[#This Row],[Actual_Qty]]</f>
        <v>0.99407407407407411</v>
      </c>
      <c r="V17" t="str">
        <f>IF(OR(Table13[[#This Row],[Performance_%]]&gt;=1,Table13[[#This Row],[Performance_%]]&lt;=0),"Error","OK")</f>
        <v>OK</v>
      </c>
      <c r="W17" t="str">
        <f>IF(OR(Table13[[#This Row],[Quality_%]]&gt;=1,Table13[[#This Row],[Quality_%]]&lt;=0),"Error","OK")</f>
        <v>OK</v>
      </c>
      <c r="X17">
        <f>Table13[[#This Row],[Performance_%]]*Table13[[#This Row],[Quality_%]]*[2]Availability_KPI!K17</f>
        <v>0.49703703703703705</v>
      </c>
      <c r="Y17" t="str">
        <f>IF(OR(Table13[[#This Row],[OEE_%]]&gt;1,Table13[[#This Row],[OEE_%]]&lt;0),"Error","OK")</f>
        <v>OK</v>
      </c>
    </row>
    <row r="18" spans="1:25" x14ac:dyDescent="0.2">
      <c r="A18" t="s">
        <v>65</v>
      </c>
      <c r="B18" t="s">
        <v>66</v>
      </c>
      <c r="C18" s="2">
        <v>46237</v>
      </c>
      <c r="D18" t="s">
        <v>67</v>
      </c>
      <c r="E18" t="s">
        <v>28</v>
      </c>
      <c r="F18" t="s">
        <v>29</v>
      </c>
      <c r="G18" t="s">
        <v>33</v>
      </c>
      <c r="H18">
        <v>567</v>
      </c>
      <c r="I18">
        <v>565</v>
      </c>
      <c r="J18">
        <v>2</v>
      </c>
      <c r="K18">
        <v>19.8</v>
      </c>
      <c r="L18">
        <v>20.350000000000001</v>
      </c>
      <c r="M18">
        <v>192.28</v>
      </c>
      <c r="N18">
        <f>_xlfn.XLOOKUP(Table13[[#This Row],[Production_Order_ID]],[1]Sheet1!$A$2:$A$391,[1]Sheet1!$F$2:$F$391,"No Match")</f>
        <v>500</v>
      </c>
      <c r="O18" s="3">
        <f>Table13[[#This Row],[Good_Qty]]/Table13[[#This Row],[Planned_Production]]</f>
        <v>1.1299999999999999</v>
      </c>
      <c r="P18" t="str">
        <f>IF(Table13[[#This Row],[Good_Qty]]&gt;=Table13[[#This Row],[Planned_Production]],"Met","Not Met")</f>
        <v>Met</v>
      </c>
      <c r="Q18">
        <f>Table13[[#This Row],[Good_Qty]]-Table13[[#This Row],[Planned_Production]]</f>
        <v>65</v>
      </c>
      <c r="R18" s="3">
        <f>IF(Table13[[#This Row],[Actual_Qty]]=0,0,Table13[[#This Row],[Reject_Qty]]/Table13[[#This Row],[Actual_Qty]])</f>
        <v>3.5273368606701938E-3</v>
      </c>
      <c r="S18">
        <v>442.4</v>
      </c>
      <c r="T18">
        <f>(Table13[[#This Row],[Ideal_Cycle_Time_sec]]*Table13[[#This Row],[Actual_Qty]])/(Table13[[#This Row],[Operational_Time_min]]*60)</f>
        <v>0.42294303797468358</v>
      </c>
      <c r="U18">
        <f>Table13[[#This Row],[Good_Qty]]/Table13[[#This Row],[Actual_Qty]]</f>
        <v>0.99647266313932981</v>
      </c>
      <c r="V18" t="str">
        <f>IF(OR(Table13[[#This Row],[Performance_%]]&gt;=1,Table13[[#This Row],[Performance_%]]&lt;=0),"Error","OK")</f>
        <v>OK</v>
      </c>
      <c r="W18" t="str">
        <f>IF(OR(Table13[[#This Row],[Quality_%]]&gt;=1,Table13[[#This Row],[Quality_%]]&lt;=0),"Error","OK")</f>
        <v>OK</v>
      </c>
      <c r="X18">
        <f>Table13[[#This Row],[Performance_%]]*Table13[[#This Row],[Quality_%]]*[2]Availability_KPI!K18</f>
        <v>0.41433333333333333</v>
      </c>
      <c r="Y18" t="str">
        <f>IF(OR(Table13[[#This Row],[OEE_%]]&gt;1,Table13[[#This Row],[OEE_%]]&lt;0),"Error","OK")</f>
        <v>OK</v>
      </c>
    </row>
    <row r="19" spans="1:25" x14ac:dyDescent="0.2">
      <c r="A19" t="s">
        <v>68</v>
      </c>
      <c r="B19" t="s">
        <v>66</v>
      </c>
      <c r="C19" s="2">
        <v>46237</v>
      </c>
      <c r="D19" t="s">
        <v>67</v>
      </c>
      <c r="E19" t="s">
        <v>32</v>
      </c>
      <c r="F19" t="s">
        <v>29</v>
      </c>
      <c r="G19" t="s">
        <v>33</v>
      </c>
      <c r="H19">
        <v>585</v>
      </c>
      <c r="I19">
        <v>579</v>
      </c>
      <c r="J19">
        <v>6</v>
      </c>
      <c r="K19">
        <v>22</v>
      </c>
      <c r="L19">
        <v>23.97</v>
      </c>
      <c r="M19">
        <v>233.75</v>
      </c>
      <c r="N19">
        <f>_xlfn.XLOOKUP(Table13[[#This Row],[Production_Order_ID]],[1]Sheet1!$A$2:$A$391,[1]Sheet1!$F$2:$F$391,"No Match")</f>
        <v>500</v>
      </c>
      <c r="O19" s="3">
        <f>Table13[[#This Row],[Good_Qty]]/Table13[[#This Row],[Planned_Production]]</f>
        <v>1.1579999999999999</v>
      </c>
      <c r="P19" t="str">
        <f>IF(Table13[[#This Row],[Good_Qty]]&gt;=Table13[[#This Row],[Planned_Production]],"Met","Not Met")</f>
        <v>Met</v>
      </c>
      <c r="Q19">
        <f>Table13[[#This Row],[Good_Qty]]-Table13[[#This Row],[Planned_Production]]</f>
        <v>79</v>
      </c>
      <c r="R19" s="3">
        <f>IF(Table13[[#This Row],[Actual_Qty]]=0,0,Table13[[#This Row],[Reject_Qty]]/Table13[[#This Row],[Actual_Qty]])</f>
        <v>1.0256410256410256E-2</v>
      </c>
      <c r="S19">
        <v>435.05</v>
      </c>
      <c r="T19">
        <f>(Table13[[#This Row],[Ideal_Cycle_Time_sec]]*Table13[[#This Row],[Actual_Qty]])/(Table13[[#This Row],[Operational_Time_min]]*60)</f>
        <v>0.49304677623261695</v>
      </c>
      <c r="U19">
        <f>Table13[[#This Row],[Good_Qty]]/Table13[[#This Row],[Actual_Qty]]</f>
        <v>0.98974358974358978</v>
      </c>
      <c r="V19" t="str">
        <f>IF(OR(Table13[[#This Row],[Performance_%]]&gt;=1,Table13[[#This Row],[Performance_%]]&lt;=0),"Error","OK")</f>
        <v>OK</v>
      </c>
      <c r="W19" t="str">
        <f>IF(OR(Table13[[#This Row],[Quality_%]]&gt;=1,Table13[[#This Row],[Quality_%]]&lt;=0),"Error","OK")</f>
        <v>OK</v>
      </c>
      <c r="X19">
        <f>Table13[[#This Row],[Performance_%]]*Table13[[#This Row],[Quality_%]]*[2]Availability_KPI!K19</f>
        <v>0.47177777777777785</v>
      </c>
      <c r="Y19" t="str">
        <f>IF(OR(Table13[[#This Row],[OEE_%]]&gt;1,Table13[[#This Row],[OEE_%]]&lt;0),"Error","OK")</f>
        <v>OK</v>
      </c>
    </row>
    <row r="20" spans="1:25" x14ac:dyDescent="0.2">
      <c r="A20" t="s">
        <v>69</v>
      </c>
      <c r="B20" t="s">
        <v>66</v>
      </c>
      <c r="C20" s="2">
        <v>46237</v>
      </c>
      <c r="D20" t="s">
        <v>67</v>
      </c>
      <c r="E20" t="s">
        <v>35</v>
      </c>
      <c r="F20" t="s">
        <v>29</v>
      </c>
      <c r="G20" t="s">
        <v>47</v>
      </c>
      <c r="H20">
        <v>576</v>
      </c>
      <c r="I20">
        <v>572</v>
      </c>
      <c r="J20">
        <v>4</v>
      </c>
      <c r="K20">
        <v>24.2</v>
      </c>
      <c r="L20">
        <v>26.43</v>
      </c>
      <c r="M20">
        <v>253.72</v>
      </c>
      <c r="N20">
        <f>_xlfn.XLOOKUP(Table13[[#This Row],[Production_Order_ID]],[1]Sheet1!$A$2:$A$391,[1]Sheet1!$F$2:$F$391,"No Match")</f>
        <v>500</v>
      </c>
      <c r="O20" s="3">
        <f>Table13[[#This Row],[Good_Qty]]/Table13[[#This Row],[Planned_Production]]</f>
        <v>1.1439999999999999</v>
      </c>
      <c r="P20" t="str">
        <f>IF(Table13[[#This Row],[Good_Qty]]&gt;=Table13[[#This Row],[Planned_Production]],"Met","Not Met")</f>
        <v>Met</v>
      </c>
      <c r="Q20">
        <f>Table13[[#This Row],[Good_Qty]]-Table13[[#This Row],[Planned_Production]]</f>
        <v>72</v>
      </c>
      <c r="R20" s="3">
        <f>IF(Table13[[#This Row],[Actual_Qty]]=0,0,Table13[[#This Row],[Reject_Qty]]/Table13[[#This Row],[Actual_Qty]])</f>
        <v>6.9444444444444441E-3</v>
      </c>
      <c r="S20">
        <v>433.08</v>
      </c>
      <c r="T20">
        <f>(Table13[[#This Row],[Ideal_Cycle_Time_sec]]*Table13[[#This Row],[Actual_Qty]])/(Table13[[#This Row],[Operational_Time_min]]*60)</f>
        <v>0.53643668606262118</v>
      </c>
      <c r="U20">
        <f>Table13[[#This Row],[Good_Qty]]/Table13[[#This Row],[Actual_Qty]]</f>
        <v>0.99305555555555558</v>
      </c>
      <c r="V20" t="str">
        <f>IF(OR(Table13[[#This Row],[Performance_%]]&gt;=1,Table13[[#This Row],[Performance_%]]&lt;=0),"Error","OK")</f>
        <v>OK</v>
      </c>
      <c r="W20" t="str">
        <f>IF(OR(Table13[[#This Row],[Quality_%]]&gt;=1,Table13[[#This Row],[Quality_%]]&lt;=0),"Error","OK")</f>
        <v>OK</v>
      </c>
      <c r="X20">
        <f>Table13[[#This Row],[Performance_%]]*Table13[[#This Row],[Quality_%]]*[2]Availability_KPI!K20</f>
        <v>0.5126814814814814</v>
      </c>
      <c r="Y20" t="str">
        <f>IF(OR(Table13[[#This Row],[OEE_%]]&gt;1,Table13[[#This Row],[OEE_%]]&lt;0),"Error","OK")</f>
        <v>OK</v>
      </c>
    </row>
    <row r="21" spans="1:25" x14ac:dyDescent="0.2">
      <c r="A21" t="s">
        <v>70</v>
      </c>
      <c r="B21" t="s">
        <v>66</v>
      </c>
      <c r="C21" s="2">
        <v>46237</v>
      </c>
      <c r="D21" t="s">
        <v>67</v>
      </c>
      <c r="E21" t="s">
        <v>38</v>
      </c>
      <c r="F21" t="s">
        <v>29</v>
      </c>
      <c r="G21" t="s">
        <v>71</v>
      </c>
      <c r="H21">
        <v>570</v>
      </c>
      <c r="I21">
        <v>568</v>
      </c>
      <c r="J21">
        <v>2</v>
      </c>
      <c r="K21">
        <v>22</v>
      </c>
      <c r="L21">
        <v>24.17</v>
      </c>
      <c r="M21">
        <v>229.58</v>
      </c>
      <c r="N21">
        <f>_xlfn.XLOOKUP(Table13[[#This Row],[Production_Order_ID]],[1]Sheet1!$A$2:$A$391,[1]Sheet1!$F$2:$F$391,"No Match")</f>
        <v>500</v>
      </c>
      <c r="O21" s="3">
        <f>Table13[[#This Row],[Good_Qty]]/Table13[[#This Row],[Planned_Production]]</f>
        <v>1.1359999999999999</v>
      </c>
      <c r="P21" t="str">
        <f>IF(Table13[[#This Row],[Good_Qty]]&gt;=Table13[[#This Row],[Planned_Production]],"Met","Not Met")</f>
        <v>Met</v>
      </c>
      <c r="Q21">
        <f>Table13[[#This Row],[Good_Qty]]-Table13[[#This Row],[Planned_Production]]</f>
        <v>68</v>
      </c>
      <c r="R21" s="3">
        <f>IF(Table13[[#This Row],[Actual_Qty]]=0,0,Table13[[#This Row],[Reject_Qty]]/Table13[[#This Row],[Actual_Qty]])</f>
        <v>3.5087719298245615E-3</v>
      </c>
      <c r="S21">
        <v>435.7</v>
      </c>
      <c r="T21">
        <f>(Table13[[#This Row],[Ideal_Cycle_Time_sec]]*Table13[[#This Row],[Actual_Qty]])/(Table13[[#This Row],[Operational_Time_min]]*60)</f>
        <v>0.47968785861831537</v>
      </c>
      <c r="U21">
        <f>Table13[[#This Row],[Good_Qty]]/Table13[[#This Row],[Actual_Qty]]</f>
        <v>0.99649122807017543</v>
      </c>
      <c r="V21" t="str">
        <f>IF(OR(Table13[[#This Row],[Performance_%]]&gt;=1,Table13[[#This Row],[Performance_%]]&lt;=0),"Error","OK")</f>
        <v>OK</v>
      </c>
      <c r="W21" t="str">
        <f>IF(OR(Table13[[#This Row],[Quality_%]]&gt;=1,Table13[[#This Row],[Quality_%]]&lt;=0),"Error","OK")</f>
        <v>OK</v>
      </c>
      <c r="X21">
        <f>Table13[[#This Row],[Performance_%]]*Table13[[#This Row],[Quality_%]]*[2]Availability_KPI!K21</f>
        <v>0.46281481481481485</v>
      </c>
      <c r="Y21" t="str">
        <f>IF(OR(Table13[[#This Row],[OEE_%]]&gt;1,Table13[[#This Row],[OEE_%]]&lt;0),"Error","OK")</f>
        <v>OK</v>
      </c>
    </row>
    <row r="22" spans="1:25" x14ac:dyDescent="0.2">
      <c r="A22" t="s">
        <v>72</v>
      </c>
      <c r="B22" t="s">
        <v>66</v>
      </c>
      <c r="C22" s="2">
        <v>46237</v>
      </c>
      <c r="D22" t="s">
        <v>67</v>
      </c>
      <c r="E22" t="s">
        <v>41</v>
      </c>
      <c r="F22" t="s">
        <v>29</v>
      </c>
      <c r="G22" t="s">
        <v>71</v>
      </c>
      <c r="H22">
        <v>573</v>
      </c>
      <c r="I22">
        <v>568</v>
      </c>
      <c r="J22">
        <v>5</v>
      </c>
      <c r="K22">
        <v>19.8</v>
      </c>
      <c r="L22">
        <v>20.39</v>
      </c>
      <c r="M22">
        <v>194.74</v>
      </c>
      <c r="N22">
        <f>_xlfn.XLOOKUP(Table13[[#This Row],[Production_Order_ID]],[1]Sheet1!$A$2:$A$391,[1]Sheet1!$F$2:$F$391,"No Match")</f>
        <v>500</v>
      </c>
      <c r="O22" s="3">
        <f>Table13[[#This Row],[Good_Qty]]/Table13[[#This Row],[Planned_Production]]</f>
        <v>1.1359999999999999</v>
      </c>
      <c r="P22" t="str">
        <f>IF(Table13[[#This Row],[Good_Qty]]&gt;=Table13[[#This Row],[Planned_Production]],"Met","Not Met")</f>
        <v>Met</v>
      </c>
      <c r="Q22">
        <f>Table13[[#This Row],[Good_Qty]]-Table13[[#This Row],[Planned_Production]]</f>
        <v>68</v>
      </c>
      <c r="R22" s="3">
        <f>IF(Table13[[#This Row],[Actual_Qty]]=0,0,Table13[[#This Row],[Reject_Qty]]/Table13[[#This Row],[Actual_Qty]])</f>
        <v>8.7260034904013961E-3</v>
      </c>
      <c r="S22">
        <v>439.15</v>
      </c>
      <c r="T22">
        <f>(Table13[[#This Row],[Ideal_Cycle_Time_sec]]*Table13[[#This Row],[Actual_Qty]])/(Table13[[#This Row],[Operational_Time_min]]*60)</f>
        <v>0.43058180576112942</v>
      </c>
      <c r="U22">
        <f>Table13[[#This Row],[Good_Qty]]/Table13[[#This Row],[Actual_Qty]]</f>
        <v>0.99127399650959858</v>
      </c>
      <c r="V22" t="str">
        <f>IF(OR(Table13[[#This Row],[Performance_%]]&gt;=1,Table13[[#This Row],[Performance_%]]&lt;=0),"Error","OK")</f>
        <v>OK</v>
      </c>
      <c r="W22" t="str">
        <f>IF(OR(Table13[[#This Row],[Quality_%]]&gt;=1,Table13[[#This Row],[Quality_%]]&lt;=0),"Error","OK")</f>
        <v>OK</v>
      </c>
      <c r="X22">
        <f>Table13[[#This Row],[Performance_%]]*Table13[[#This Row],[Quality_%]]*[2]Availability_KPI!K22</f>
        <v>0.41653333333333326</v>
      </c>
      <c r="Y22" t="str">
        <f>IF(OR(Table13[[#This Row],[OEE_%]]&gt;1,Table13[[#This Row],[OEE_%]]&lt;0),"Error","OK")</f>
        <v>OK</v>
      </c>
    </row>
    <row r="23" spans="1:25" x14ac:dyDescent="0.2">
      <c r="A23" t="s">
        <v>73</v>
      </c>
      <c r="B23" t="s">
        <v>66</v>
      </c>
      <c r="C23" s="2">
        <v>46237</v>
      </c>
      <c r="D23" t="s">
        <v>67</v>
      </c>
      <c r="E23" t="s">
        <v>43</v>
      </c>
      <c r="F23" t="s">
        <v>29</v>
      </c>
      <c r="G23" t="s">
        <v>44</v>
      </c>
      <c r="H23">
        <v>579</v>
      </c>
      <c r="I23">
        <v>570</v>
      </c>
      <c r="J23">
        <v>9</v>
      </c>
      <c r="K23">
        <v>35.200000000000003</v>
      </c>
      <c r="L23">
        <v>37.43</v>
      </c>
      <c r="M23">
        <v>361.22</v>
      </c>
      <c r="N23">
        <f>_xlfn.XLOOKUP(Table13[[#This Row],[Production_Order_ID]],[1]Sheet1!$A$2:$A$391,[1]Sheet1!$F$2:$F$391,"No Match")</f>
        <v>500</v>
      </c>
      <c r="O23" s="3">
        <f>Table13[[#This Row],[Good_Qty]]/Table13[[#This Row],[Planned_Production]]</f>
        <v>1.1399999999999999</v>
      </c>
      <c r="P23" t="str">
        <f>IF(Table13[[#This Row],[Good_Qty]]&gt;=Table13[[#This Row],[Planned_Production]],"Met","Not Met")</f>
        <v>Met</v>
      </c>
      <c r="Q23">
        <f>Table13[[#This Row],[Good_Qty]]-Table13[[#This Row],[Planned_Production]]</f>
        <v>70</v>
      </c>
      <c r="R23" s="3">
        <f>IF(Table13[[#This Row],[Actual_Qty]]=0,0,Table13[[#This Row],[Reject_Qty]]/Table13[[#This Row],[Actual_Qty]])</f>
        <v>1.5544041450777202E-2</v>
      </c>
      <c r="S23">
        <v>417</v>
      </c>
      <c r="T23">
        <f>(Table13[[#This Row],[Ideal_Cycle_Time_sec]]*Table13[[#This Row],[Actual_Qty]])/(Table13[[#This Row],[Operational_Time_min]]*60)</f>
        <v>0.81458033573141497</v>
      </c>
      <c r="U23">
        <f>Table13[[#This Row],[Good_Qty]]/Table13[[#This Row],[Actual_Qty]]</f>
        <v>0.98445595854922274</v>
      </c>
      <c r="V23" t="str">
        <f>IF(OR(Table13[[#This Row],[Performance_%]]&gt;=1,Table13[[#This Row],[Performance_%]]&lt;=0),"Error","OK")</f>
        <v>OK</v>
      </c>
      <c r="W23" t="str">
        <f>IF(OR(Table13[[#This Row],[Quality_%]]&gt;=1,Table13[[#This Row],[Quality_%]]&lt;=0),"Error","OK")</f>
        <v>OK</v>
      </c>
      <c r="X23">
        <f>Table13[[#This Row],[Performance_%]]*Table13[[#This Row],[Quality_%]]*[2]Availability_KPI!K23</f>
        <v>0.74311111111111117</v>
      </c>
      <c r="Y23" t="str">
        <f>IF(OR(Table13[[#This Row],[OEE_%]]&gt;1,Table13[[#This Row],[OEE_%]]&lt;0),"Error","OK")</f>
        <v>OK</v>
      </c>
    </row>
    <row r="24" spans="1:25" x14ac:dyDescent="0.2">
      <c r="A24" t="s">
        <v>74</v>
      </c>
      <c r="B24" t="s">
        <v>66</v>
      </c>
      <c r="C24" s="2">
        <v>46237</v>
      </c>
      <c r="D24" t="s">
        <v>67</v>
      </c>
      <c r="E24" t="s">
        <v>46</v>
      </c>
      <c r="F24" t="s">
        <v>29</v>
      </c>
      <c r="G24" t="s">
        <v>75</v>
      </c>
      <c r="H24">
        <v>575</v>
      </c>
      <c r="I24">
        <v>568</v>
      </c>
      <c r="J24">
        <v>7</v>
      </c>
      <c r="K24">
        <v>27.5</v>
      </c>
      <c r="L24">
        <v>29.76</v>
      </c>
      <c r="M24">
        <v>285.20999999999998</v>
      </c>
      <c r="N24">
        <f>_xlfn.XLOOKUP(Table13[[#This Row],[Production_Order_ID]],[1]Sheet1!$A$2:$A$391,[1]Sheet1!$F$2:$F$391,"No Match")</f>
        <v>500</v>
      </c>
      <c r="O24" s="3">
        <f>Table13[[#This Row],[Good_Qty]]/Table13[[#This Row],[Planned_Production]]</f>
        <v>1.1359999999999999</v>
      </c>
      <c r="P24" t="str">
        <f>IF(Table13[[#This Row],[Good_Qty]]&gt;=Table13[[#This Row],[Planned_Production]],"Met","Not Met")</f>
        <v>Met</v>
      </c>
      <c r="Q24">
        <f>Table13[[#This Row],[Good_Qty]]-Table13[[#This Row],[Planned_Production]]</f>
        <v>68</v>
      </c>
      <c r="R24" s="3">
        <f>IF(Table13[[#This Row],[Actual_Qty]]=0,0,Table13[[#This Row],[Reject_Qty]]/Table13[[#This Row],[Actual_Qty]])</f>
        <v>1.2173913043478261E-2</v>
      </c>
      <c r="S24">
        <v>427.82</v>
      </c>
      <c r="T24">
        <f>(Table13[[#This Row],[Ideal_Cycle_Time_sec]]*Table13[[#This Row],[Actual_Qty]])/(Table13[[#This Row],[Operational_Time_min]]*60)</f>
        <v>0.61601062752247826</v>
      </c>
      <c r="U24">
        <f>Table13[[#This Row],[Good_Qty]]/Table13[[#This Row],[Actual_Qty]]</f>
        <v>0.98782608695652174</v>
      </c>
      <c r="V24" t="str">
        <f>IF(OR(Table13[[#This Row],[Performance_%]]&gt;=1,Table13[[#This Row],[Performance_%]]&lt;=0),"Error","OK")</f>
        <v>OK</v>
      </c>
      <c r="W24" t="str">
        <f>IF(OR(Table13[[#This Row],[Quality_%]]&gt;=1,Table13[[#This Row],[Quality_%]]&lt;=0),"Error","OK")</f>
        <v>OK</v>
      </c>
      <c r="X24">
        <f>Table13[[#This Row],[Performance_%]]*Table13[[#This Row],[Quality_%]]*[2]Availability_KPI!K24</f>
        <v>0.57851851851851843</v>
      </c>
      <c r="Y24" t="str">
        <f>IF(OR(Table13[[#This Row],[OEE_%]]&gt;1,Table13[[#This Row],[OEE_%]]&lt;0),"Error","OK")</f>
        <v>OK</v>
      </c>
    </row>
    <row r="25" spans="1:25" x14ac:dyDescent="0.2">
      <c r="A25" t="s">
        <v>76</v>
      </c>
      <c r="B25" t="s">
        <v>66</v>
      </c>
      <c r="C25" s="2">
        <v>46237</v>
      </c>
      <c r="D25" t="s">
        <v>67</v>
      </c>
      <c r="E25" t="s">
        <v>49</v>
      </c>
      <c r="F25" t="s">
        <v>29</v>
      </c>
      <c r="G25" t="s">
        <v>36</v>
      </c>
      <c r="H25">
        <v>597</v>
      </c>
      <c r="I25">
        <v>593</v>
      </c>
      <c r="J25">
        <v>4</v>
      </c>
      <c r="K25">
        <v>22</v>
      </c>
      <c r="L25">
        <v>22.5</v>
      </c>
      <c r="M25">
        <v>223.85</v>
      </c>
      <c r="N25">
        <f>_xlfn.XLOOKUP(Table13[[#This Row],[Production_Order_ID]],[1]Sheet1!$A$2:$A$391,[1]Sheet1!$F$2:$F$391,"No Match")</f>
        <v>500</v>
      </c>
      <c r="O25" s="3">
        <f>Table13[[#This Row],[Good_Qty]]/Table13[[#This Row],[Planned_Production]]</f>
        <v>1.1859999999999999</v>
      </c>
      <c r="P25" t="str">
        <f>IF(Table13[[#This Row],[Good_Qty]]&gt;=Table13[[#This Row],[Planned_Production]],"Met","Not Met")</f>
        <v>Met</v>
      </c>
      <c r="Q25">
        <f>Table13[[#This Row],[Good_Qty]]-Table13[[#This Row],[Planned_Production]]</f>
        <v>93</v>
      </c>
      <c r="R25" s="3">
        <f>IF(Table13[[#This Row],[Actual_Qty]]=0,0,Table13[[#This Row],[Reject_Qty]]/Table13[[#This Row],[Actual_Qty]])</f>
        <v>6.7001675041876048E-3</v>
      </c>
      <c r="S25">
        <v>441.09</v>
      </c>
      <c r="T25">
        <f>(Table13[[#This Row],[Ideal_Cycle_Time_sec]]*Table13[[#This Row],[Actual_Qty]])/(Table13[[#This Row],[Operational_Time_min]]*60)</f>
        <v>0.4962706023713982</v>
      </c>
      <c r="U25">
        <f>Table13[[#This Row],[Good_Qty]]/Table13[[#This Row],[Actual_Qty]]</f>
        <v>0.99329983249581244</v>
      </c>
      <c r="V25" t="str">
        <f>IF(OR(Table13[[#This Row],[Performance_%]]&gt;=1,Table13[[#This Row],[Performance_%]]&lt;=0),"Error","OK")</f>
        <v>OK</v>
      </c>
      <c r="W25" t="str">
        <f>IF(OR(Table13[[#This Row],[Quality_%]]&gt;=1,Table13[[#This Row],[Quality_%]]&lt;=0),"Error","OK")</f>
        <v>OK</v>
      </c>
      <c r="X25">
        <f>Table13[[#This Row],[Performance_%]]*Table13[[#This Row],[Quality_%]]*[2]Availability_KPI!K25</f>
        <v>0.48318518518518527</v>
      </c>
      <c r="Y25" t="str">
        <f>IF(OR(Table13[[#This Row],[OEE_%]]&gt;1,Table13[[#This Row],[OEE_%]]&lt;0),"Error","OK")</f>
        <v>OK</v>
      </c>
    </row>
    <row r="26" spans="1:25" x14ac:dyDescent="0.2">
      <c r="A26" t="s">
        <v>77</v>
      </c>
      <c r="B26" t="s">
        <v>78</v>
      </c>
      <c r="C26" s="2">
        <v>46238</v>
      </c>
      <c r="D26" t="s">
        <v>27</v>
      </c>
      <c r="E26" t="s">
        <v>28</v>
      </c>
      <c r="F26" t="s">
        <v>54</v>
      </c>
      <c r="G26" t="s">
        <v>33</v>
      </c>
      <c r="H26">
        <v>726</v>
      </c>
      <c r="I26">
        <v>722</v>
      </c>
      <c r="J26">
        <v>4</v>
      </c>
      <c r="K26">
        <v>18</v>
      </c>
      <c r="L26">
        <v>18.53</v>
      </c>
      <c r="M26">
        <v>224.21</v>
      </c>
      <c r="N26">
        <f>_xlfn.XLOOKUP(Table13[[#This Row],[Production_Order_ID]],[1]Sheet1!$A$2:$A$391,[1]Sheet1!$F$2:$F$391,"No Match")</f>
        <v>490</v>
      </c>
      <c r="O26" s="3">
        <f>Table13[[#This Row],[Good_Qty]]/Table13[[#This Row],[Planned_Production]]</f>
        <v>1.4734693877551019</v>
      </c>
      <c r="P26" t="str">
        <f>IF(Table13[[#This Row],[Good_Qty]]&gt;=Table13[[#This Row],[Planned_Production]],"Met","Not Met")</f>
        <v>Met</v>
      </c>
      <c r="Q26">
        <f>Table13[[#This Row],[Good_Qty]]-Table13[[#This Row],[Planned_Production]]</f>
        <v>232</v>
      </c>
      <c r="R26" s="3">
        <f>IF(Table13[[#This Row],[Actual_Qty]]=0,0,Table13[[#This Row],[Reject_Qty]]/Table13[[#This Row],[Actual_Qty]])</f>
        <v>5.5096418732782371E-3</v>
      </c>
      <c r="S26">
        <v>438.62</v>
      </c>
      <c r="T26">
        <f>(Table13[[#This Row],[Ideal_Cycle_Time_sec]]*Table13[[#This Row],[Actual_Qty]])/(Table13[[#This Row],[Operational_Time_min]]*60)</f>
        <v>0.49655738452418952</v>
      </c>
      <c r="U26">
        <f>Table13[[#This Row],[Good_Qty]]/Table13[[#This Row],[Actual_Qty]]</f>
        <v>0.99449035812672182</v>
      </c>
      <c r="V26" t="str">
        <f>IF(OR(Table13[[#This Row],[Performance_%]]&gt;=1,Table13[[#This Row],[Performance_%]]&lt;=0),"Error","OK")</f>
        <v>OK</v>
      </c>
      <c r="W26" t="str">
        <f>IF(OR(Table13[[#This Row],[Quality_%]]&gt;=1,Table13[[#This Row],[Quality_%]]&lt;=0),"Error","OK")</f>
        <v>OK</v>
      </c>
      <c r="X26">
        <f>Table13[[#This Row],[Performance_%]]*Table13[[#This Row],[Quality_%]]*[2]Availability_KPI!K26</f>
        <v>0.48133333333333334</v>
      </c>
      <c r="Y26" t="str">
        <f>IF(OR(Table13[[#This Row],[OEE_%]]&gt;1,Table13[[#This Row],[OEE_%]]&lt;0),"Error","OK")</f>
        <v>OK</v>
      </c>
    </row>
    <row r="27" spans="1:25" x14ac:dyDescent="0.2">
      <c r="A27" t="s">
        <v>79</v>
      </c>
      <c r="B27" t="s">
        <v>78</v>
      </c>
      <c r="C27" s="2">
        <v>46238</v>
      </c>
      <c r="D27" t="s">
        <v>27</v>
      </c>
      <c r="E27" t="s">
        <v>32</v>
      </c>
      <c r="F27" t="s">
        <v>54</v>
      </c>
      <c r="G27" t="s">
        <v>44</v>
      </c>
      <c r="H27">
        <v>711</v>
      </c>
      <c r="I27">
        <v>705</v>
      </c>
      <c r="J27">
        <v>6</v>
      </c>
      <c r="K27">
        <v>20</v>
      </c>
      <c r="L27">
        <v>20</v>
      </c>
      <c r="M27">
        <v>237</v>
      </c>
      <c r="N27">
        <f>_xlfn.XLOOKUP(Table13[[#This Row],[Production_Order_ID]],[1]Sheet1!$A$2:$A$391,[1]Sheet1!$F$2:$F$391,"No Match")</f>
        <v>490</v>
      </c>
      <c r="O27" s="3">
        <f>Table13[[#This Row],[Good_Qty]]/Table13[[#This Row],[Planned_Production]]</f>
        <v>1.4387755102040816</v>
      </c>
      <c r="P27" t="str">
        <f>IF(Table13[[#This Row],[Good_Qty]]&gt;=Table13[[#This Row],[Planned_Production]],"Met","Not Met")</f>
        <v>Met</v>
      </c>
      <c r="Q27">
        <f>Table13[[#This Row],[Good_Qty]]-Table13[[#This Row],[Planned_Production]]</f>
        <v>215</v>
      </c>
      <c r="R27" s="3">
        <f>IF(Table13[[#This Row],[Actual_Qty]]=0,0,Table13[[#This Row],[Reject_Qty]]/Table13[[#This Row],[Actual_Qty]])</f>
        <v>8.4388185654008432E-3</v>
      </c>
      <c r="S27">
        <v>440.05</v>
      </c>
      <c r="T27">
        <f>(Table13[[#This Row],[Ideal_Cycle_Time_sec]]*Table13[[#This Row],[Actual_Qty]])/(Table13[[#This Row],[Operational_Time_min]]*60)</f>
        <v>0.53857516191341892</v>
      </c>
      <c r="U27">
        <f>Table13[[#This Row],[Good_Qty]]/Table13[[#This Row],[Actual_Qty]]</f>
        <v>0.99156118143459915</v>
      </c>
      <c r="V27" t="str">
        <f>IF(OR(Table13[[#This Row],[Performance_%]]&gt;=1,Table13[[#This Row],[Performance_%]]&lt;=0),"Error","OK")</f>
        <v>OK</v>
      </c>
      <c r="W27" t="str">
        <f>IF(OR(Table13[[#This Row],[Quality_%]]&gt;=1,Table13[[#This Row],[Quality_%]]&lt;=0),"Error","OK")</f>
        <v>OK</v>
      </c>
      <c r="X27">
        <f>Table13[[#This Row],[Performance_%]]*Table13[[#This Row],[Quality_%]]*[2]Availability_KPI!K27</f>
        <v>0.52222222222222225</v>
      </c>
      <c r="Y27" t="str">
        <f>IF(OR(Table13[[#This Row],[OEE_%]]&gt;1,Table13[[#This Row],[OEE_%]]&lt;0),"Error","OK")</f>
        <v>OK</v>
      </c>
    </row>
    <row r="28" spans="1:25" x14ac:dyDescent="0.2">
      <c r="A28" t="s">
        <v>80</v>
      </c>
      <c r="B28" t="s">
        <v>78</v>
      </c>
      <c r="C28" s="2">
        <v>46238</v>
      </c>
      <c r="D28" t="s">
        <v>27</v>
      </c>
      <c r="E28" t="s">
        <v>35</v>
      </c>
      <c r="F28" t="s">
        <v>54</v>
      </c>
      <c r="G28" t="s">
        <v>30</v>
      </c>
      <c r="H28">
        <v>726</v>
      </c>
      <c r="I28">
        <v>719</v>
      </c>
      <c r="J28">
        <v>7</v>
      </c>
      <c r="K28">
        <v>22</v>
      </c>
      <c r="L28">
        <v>23.34</v>
      </c>
      <c r="M28">
        <v>282.43</v>
      </c>
      <c r="N28">
        <f>_xlfn.XLOOKUP(Table13[[#This Row],[Production_Order_ID]],[1]Sheet1!$A$2:$A$391,[1]Sheet1!$F$2:$F$391,"No Match")</f>
        <v>490</v>
      </c>
      <c r="O28" s="3">
        <f>Table13[[#This Row],[Good_Qty]]/Table13[[#This Row],[Planned_Production]]</f>
        <v>1.4673469387755103</v>
      </c>
      <c r="P28" t="str">
        <f>IF(Table13[[#This Row],[Good_Qty]]&gt;=Table13[[#This Row],[Planned_Production]],"Met","Not Met")</f>
        <v>Met</v>
      </c>
      <c r="Q28">
        <f>Table13[[#This Row],[Good_Qty]]-Table13[[#This Row],[Planned_Production]]</f>
        <v>229</v>
      </c>
      <c r="R28" s="3">
        <f>IF(Table13[[#This Row],[Actual_Qty]]=0,0,Table13[[#This Row],[Reject_Qty]]/Table13[[#This Row],[Actual_Qty]])</f>
        <v>9.6418732782369149E-3</v>
      </c>
      <c r="S28">
        <v>432.32</v>
      </c>
      <c r="T28">
        <f>(Table13[[#This Row],[Ideal_Cycle_Time_sec]]*Table13[[#This Row],[Actual_Qty]])/(Table13[[#This Row],[Operational_Time_min]]*60)</f>
        <v>0.61574759437453741</v>
      </c>
      <c r="U28">
        <f>Table13[[#This Row],[Good_Qty]]/Table13[[#This Row],[Actual_Qty]]</f>
        <v>0.99035812672176304</v>
      </c>
      <c r="V28" t="str">
        <f>IF(OR(Table13[[#This Row],[Performance_%]]&gt;=1,Table13[[#This Row],[Performance_%]]&lt;=0),"Error","OK")</f>
        <v>OK</v>
      </c>
      <c r="W28" t="str">
        <f>IF(OR(Table13[[#This Row],[Quality_%]]&gt;=1,Table13[[#This Row],[Quality_%]]&lt;=0),"Error","OK")</f>
        <v>OK</v>
      </c>
      <c r="X28">
        <f>Table13[[#This Row],[Performance_%]]*Table13[[#This Row],[Quality_%]]*[2]Availability_KPI!K28</f>
        <v>0.58585185185185185</v>
      </c>
      <c r="Y28" t="str">
        <f>IF(OR(Table13[[#This Row],[OEE_%]]&gt;1,Table13[[#This Row],[OEE_%]]&lt;0),"Error","OK")</f>
        <v>OK</v>
      </c>
    </row>
    <row r="29" spans="1:25" x14ac:dyDescent="0.2">
      <c r="A29" t="s">
        <v>81</v>
      </c>
      <c r="B29" t="s">
        <v>78</v>
      </c>
      <c r="C29" s="2">
        <v>46238</v>
      </c>
      <c r="D29" t="s">
        <v>27</v>
      </c>
      <c r="E29" t="s">
        <v>38</v>
      </c>
      <c r="F29" t="s">
        <v>54</v>
      </c>
      <c r="G29" t="s">
        <v>57</v>
      </c>
      <c r="H29">
        <v>734</v>
      </c>
      <c r="I29">
        <v>731</v>
      </c>
      <c r="J29">
        <v>3</v>
      </c>
      <c r="K29">
        <v>20</v>
      </c>
      <c r="L29">
        <v>21.36</v>
      </c>
      <c r="M29">
        <v>261.33999999999997</v>
      </c>
      <c r="N29">
        <f>_xlfn.XLOOKUP(Table13[[#This Row],[Production_Order_ID]],[1]Sheet1!$A$2:$A$391,[1]Sheet1!$F$2:$F$391,"No Match")</f>
        <v>490</v>
      </c>
      <c r="O29" s="3">
        <f>Table13[[#This Row],[Good_Qty]]/Table13[[#This Row],[Planned_Production]]</f>
        <v>1.4918367346938775</v>
      </c>
      <c r="P29" t="str">
        <f>IF(Table13[[#This Row],[Good_Qty]]&gt;=Table13[[#This Row],[Planned_Production]],"Met","Not Met")</f>
        <v>Met</v>
      </c>
      <c r="Q29">
        <f>Table13[[#This Row],[Good_Qty]]-Table13[[#This Row],[Planned_Production]]</f>
        <v>241</v>
      </c>
      <c r="R29" s="3">
        <f>IF(Table13[[#This Row],[Actual_Qty]]=0,0,Table13[[#This Row],[Reject_Qty]]/Table13[[#This Row],[Actual_Qty]])</f>
        <v>4.0871934604904629E-3</v>
      </c>
      <c r="S29">
        <v>439.94</v>
      </c>
      <c r="T29">
        <f>(Table13[[#This Row],[Ideal_Cycle_Time_sec]]*Table13[[#This Row],[Actual_Qty]])/(Table13[[#This Row],[Operational_Time_min]]*60)</f>
        <v>0.55613644284826713</v>
      </c>
      <c r="U29">
        <f>Table13[[#This Row],[Good_Qty]]/Table13[[#This Row],[Actual_Qty]]</f>
        <v>0.99591280653950953</v>
      </c>
      <c r="V29" t="str">
        <f>IF(OR(Table13[[#This Row],[Performance_%]]&gt;=1,Table13[[#This Row],[Performance_%]]&lt;=0),"Error","OK")</f>
        <v>OK</v>
      </c>
      <c r="W29" t="str">
        <f>IF(OR(Table13[[#This Row],[Quality_%]]&gt;=1,Table13[[#This Row],[Quality_%]]&lt;=0),"Error","OK")</f>
        <v>OK</v>
      </c>
      <c r="X29">
        <f>Table13[[#This Row],[Performance_%]]*Table13[[#This Row],[Quality_%]]*[2]Availability_KPI!K29</f>
        <v>0.54148148148148145</v>
      </c>
      <c r="Y29" t="str">
        <f>IF(OR(Table13[[#This Row],[OEE_%]]&gt;1,Table13[[#This Row],[OEE_%]]&lt;0),"Error","OK")</f>
        <v>OK</v>
      </c>
    </row>
    <row r="30" spans="1:25" x14ac:dyDescent="0.2">
      <c r="A30" t="s">
        <v>82</v>
      </c>
      <c r="B30" t="s">
        <v>78</v>
      </c>
      <c r="C30" s="2">
        <v>46238</v>
      </c>
      <c r="D30" t="s">
        <v>27</v>
      </c>
      <c r="E30" t="s">
        <v>41</v>
      </c>
      <c r="F30" t="s">
        <v>54</v>
      </c>
      <c r="G30" t="s">
        <v>75</v>
      </c>
      <c r="H30">
        <v>729</v>
      </c>
      <c r="I30">
        <v>723</v>
      </c>
      <c r="J30">
        <v>6</v>
      </c>
      <c r="K30">
        <v>18</v>
      </c>
      <c r="L30">
        <v>18.62</v>
      </c>
      <c r="M30">
        <v>226.28</v>
      </c>
      <c r="N30">
        <f>_xlfn.XLOOKUP(Table13[[#This Row],[Production_Order_ID]],[1]Sheet1!$A$2:$A$391,[1]Sheet1!$F$2:$F$391,"No Match")</f>
        <v>490</v>
      </c>
      <c r="O30" s="3">
        <f>Table13[[#This Row],[Good_Qty]]/Table13[[#This Row],[Planned_Production]]</f>
        <v>1.4755102040816326</v>
      </c>
      <c r="P30" t="str">
        <f>IF(Table13[[#This Row],[Good_Qty]]&gt;=Table13[[#This Row],[Planned_Production]],"Met","Not Met")</f>
        <v>Met</v>
      </c>
      <c r="Q30">
        <f>Table13[[#This Row],[Good_Qty]]-Table13[[#This Row],[Planned_Production]]</f>
        <v>233</v>
      </c>
      <c r="R30" s="3">
        <f>IF(Table13[[#This Row],[Actual_Qty]]=0,0,Table13[[#This Row],[Reject_Qty]]/Table13[[#This Row],[Actual_Qty]])</f>
        <v>8.23045267489712E-3</v>
      </c>
      <c r="S30">
        <v>433.49</v>
      </c>
      <c r="T30">
        <f>(Table13[[#This Row],[Ideal_Cycle_Time_sec]]*Table13[[#This Row],[Actual_Qty]])/(Table13[[#This Row],[Operational_Time_min]]*60)</f>
        <v>0.5045099079563542</v>
      </c>
      <c r="U30">
        <f>Table13[[#This Row],[Good_Qty]]/Table13[[#This Row],[Actual_Qty]]</f>
        <v>0.99176954732510292</v>
      </c>
      <c r="V30" t="str">
        <f>IF(OR(Table13[[#This Row],[Performance_%]]&gt;=1,Table13[[#This Row],[Performance_%]]&lt;=0),"Error","OK")</f>
        <v>OK</v>
      </c>
      <c r="W30" t="str">
        <f>IF(OR(Table13[[#This Row],[Quality_%]]&gt;=1,Table13[[#This Row],[Quality_%]]&lt;=0),"Error","OK")</f>
        <v>OK</v>
      </c>
      <c r="X30">
        <f>Table13[[#This Row],[Performance_%]]*Table13[[#This Row],[Quality_%]]*[2]Availability_KPI!K30</f>
        <v>0.48199999999999998</v>
      </c>
      <c r="Y30" t="str">
        <f>IF(OR(Table13[[#This Row],[OEE_%]]&gt;1,Table13[[#This Row],[OEE_%]]&lt;0),"Error","OK")</f>
        <v>OK</v>
      </c>
    </row>
    <row r="31" spans="1:25" x14ac:dyDescent="0.2">
      <c r="A31" t="s">
        <v>83</v>
      </c>
      <c r="B31" t="s">
        <v>78</v>
      </c>
      <c r="C31" s="2">
        <v>46238</v>
      </c>
      <c r="D31" t="s">
        <v>27</v>
      </c>
      <c r="E31" t="s">
        <v>43</v>
      </c>
      <c r="F31" t="s">
        <v>54</v>
      </c>
      <c r="G31" t="s">
        <v>33</v>
      </c>
      <c r="H31">
        <v>722</v>
      </c>
      <c r="I31">
        <v>712</v>
      </c>
      <c r="J31">
        <v>10</v>
      </c>
      <c r="K31">
        <v>32</v>
      </c>
      <c r="L31">
        <v>36.21</v>
      </c>
      <c r="M31">
        <v>435.74</v>
      </c>
      <c r="N31">
        <f>_xlfn.XLOOKUP(Table13[[#This Row],[Production_Order_ID]],[1]Sheet1!$A$2:$A$391,[1]Sheet1!$F$2:$F$391,"No Match")</f>
        <v>490</v>
      </c>
      <c r="O31" s="3">
        <f>Table13[[#This Row],[Good_Qty]]/Table13[[#This Row],[Planned_Production]]</f>
        <v>1.453061224489796</v>
      </c>
      <c r="P31" t="str">
        <f>IF(Table13[[#This Row],[Good_Qty]]&gt;=Table13[[#This Row],[Planned_Production]],"Met","Not Met")</f>
        <v>Met</v>
      </c>
      <c r="Q31">
        <f>Table13[[#This Row],[Good_Qty]]-Table13[[#This Row],[Planned_Production]]</f>
        <v>222</v>
      </c>
      <c r="R31" s="3">
        <f>IF(Table13[[#This Row],[Actual_Qty]]=0,0,Table13[[#This Row],[Reject_Qty]]/Table13[[#This Row],[Actual_Qty]])</f>
        <v>1.3850415512465374E-2</v>
      </c>
      <c r="S31">
        <v>415.75</v>
      </c>
      <c r="T31">
        <f>(Table13[[#This Row],[Ideal_Cycle_Time_sec]]*Table13[[#This Row],[Actual_Qty]])/(Table13[[#This Row],[Operational_Time_min]]*60)</f>
        <v>0.92619763479655237</v>
      </c>
      <c r="U31">
        <f>Table13[[#This Row],[Good_Qty]]/Table13[[#This Row],[Actual_Qty]]</f>
        <v>0.98614958448753465</v>
      </c>
      <c r="V31" t="str">
        <f>IF(OR(Table13[[#This Row],[Performance_%]]&gt;=1,Table13[[#This Row],[Performance_%]]&lt;=0),"Error","OK")</f>
        <v>OK</v>
      </c>
      <c r="W31" t="str">
        <f>IF(OR(Table13[[#This Row],[Quality_%]]&gt;=1,Table13[[#This Row],[Quality_%]]&lt;=0),"Error","OK")</f>
        <v>OK</v>
      </c>
      <c r="X31">
        <f>Table13[[#This Row],[Performance_%]]*Table13[[#This Row],[Quality_%]]*[2]Availability_KPI!K31</f>
        <v>0.84385185185185174</v>
      </c>
      <c r="Y31" t="str">
        <f>IF(OR(Table13[[#This Row],[OEE_%]]&gt;1,Table13[[#This Row],[OEE_%]]&lt;0),"Error","OK")</f>
        <v>OK</v>
      </c>
    </row>
    <row r="32" spans="1:25" x14ac:dyDescent="0.2">
      <c r="A32" t="s">
        <v>84</v>
      </c>
      <c r="B32" t="s">
        <v>78</v>
      </c>
      <c r="C32" s="2">
        <v>46238</v>
      </c>
      <c r="D32" t="s">
        <v>27</v>
      </c>
      <c r="E32" t="s">
        <v>46</v>
      </c>
      <c r="F32" t="s">
        <v>54</v>
      </c>
      <c r="G32" t="s">
        <v>30</v>
      </c>
      <c r="H32">
        <v>723</v>
      </c>
      <c r="I32">
        <v>717</v>
      </c>
      <c r="J32">
        <v>6</v>
      </c>
      <c r="K32">
        <v>25</v>
      </c>
      <c r="L32">
        <v>25.91</v>
      </c>
      <c r="M32">
        <v>312.26</v>
      </c>
      <c r="N32">
        <f>_xlfn.XLOOKUP(Table13[[#This Row],[Production_Order_ID]],[1]Sheet1!$A$2:$A$391,[1]Sheet1!$F$2:$F$391,"No Match")</f>
        <v>490</v>
      </c>
      <c r="O32" s="3">
        <f>Table13[[#This Row],[Good_Qty]]/Table13[[#This Row],[Planned_Production]]</f>
        <v>1.463265306122449</v>
      </c>
      <c r="P32" t="str">
        <f>IF(Table13[[#This Row],[Good_Qty]]&gt;=Table13[[#This Row],[Planned_Production]],"Met","Not Met")</f>
        <v>Met</v>
      </c>
      <c r="Q32">
        <f>Table13[[#This Row],[Good_Qty]]-Table13[[#This Row],[Planned_Production]]</f>
        <v>227</v>
      </c>
      <c r="R32" s="3">
        <f>IF(Table13[[#This Row],[Actual_Qty]]=0,0,Table13[[#This Row],[Reject_Qty]]/Table13[[#This Row],[Actual_Qty]])</f>
        <v>8.2987551867219917E-3</v>
      </c>
      <c r="S32">
        <v>428.08</v>
      </c>
      <c r="T32">
        <f>(Table13[[#This Row],[Ideal_Cycle_Time_sec]]*Table13[[#This Row],[Actual_Qty]])/(Table13[[#This Row],[Operational_Time_min]]*60)</f>
        <v>0.70372360306484771</v>
      </c>
      <c r="U32">
        <f>Table13[[#This Row],[Good_Qty]]/Table13[[#This Row],[Actual_Qty]]</f>
        <v>0.99170124481327804</v>
      </c>
      <c r="V32" t="str">
        <f>IF(OR(Table13[[#This Row],[Performance_%]]&gt;=1,Table13[[#This Row],[Performance_%]]&lt;=0),"Error","OK")</f>
        <v>OK</v>
      </c>
      <c r="W32" t="str">
        <f>IF(OR(Table13[[#This Row],[Quality_%]]&gt;=1,Table13[[#This Row],[Quality_%]]&lt;=0),"Error","OK")</f>
        <v>OK</v>
      </c>
      <c r="X32">
        <f>Table13[[#This Row],[Performance_%]]*Table13[[#This Row],[Quality_%]]*[2]Availability_KPI!K32</f>
        <v>0.66388888888888886</v>
      </c>
      <c r="Y32" t="str">
        <f>IF(OR(Table13[[#This Row],[OEE_%]]&gt;1,Table13[[#This Row],[OEE_%]]&lt;0),"Error","OK")</f>
        <v>OK</v>
      </c>
    </row>
    <row r="33" spans="1:25" x14ac:dyDescent="0.2">
      <c r="A33" t="s">
        <v>85</v>
      </c>
      <c r="B33" t="s">
        <v>78</v>
      </c>
      <c r="C33" s="2">
        <v>46238</v>
      </c>
      <c r="D33" t="s">
        <v>27</v>
      </c>
      <c r="E33" t="s">
        <v>49</v>
      </c>
      <c r="F33" t="s">
        <v>54</v>
      </c>
      <c r="G33" t="s">
        <v>39</v>
      </c>
      <c r="H33">
        <v>722</v>
      </c>
      <c r="I33">
        <v>718</v>
      </c>
      <c r="J33">
        <v>4</v>
      </c>
      <c r="K33">
        <v>20</v>
      </c>
      <c r="L33">
        <v>21.29</v>
      </c>
      <c r="M33">
        <v>256.18</v>
      </c>
      <c r="N33">
        <f>_xlfn.XLOOKUP(Table13[[#This Row],[Production_Order_ID]],[1]Sheet1!$A$2:$A$391,[1]Sheet1!$F$2:$F$391,"No Match")</f>
        <v>490</v>
      </c>
      <c r="O33" s="3">
        <f>Table13[[#This Row],[Good_Qty]]/Table13[[#This Row],[Planned_Production]]</f>
        <v>1.4653061224489796</v>
      </c>
      <c r="P33" t="str">
        <f>IF(Table13[[#This Row],[Good_Qty]]&gt;=Table13[[#This Row],[Planned_Production]],"Met","Not Met")</f>
        <v>Met</v>
      </c>
      <c r="Q33">
        <f>Table13[[#This Row],[Good_Qty]]-Table13[[#This Row],[Planned_Production]]</f>
        <v>228</v>
      </c>
      <c r="R33" s="3">
        <f>IF(Table13[[#This Row],[Actual_Qty]]=0,0,Table13[[#This Row],[Reject_Qty]]/Table13[[#This Row],[Actual_Qty]])</f>
        <v>5.5401662049861496E-3</v>
      </c>
      <c r="S33">
        <v>439.13</v>
      </c>
      <c r="T33">
        <f>(Table13[[#This Row],[Ideal_Cycle_Time_sec]]*Table13[[#This Row],[Actual_Qty]])/(Table13[[#This Row],[Operational_Time_min]]*60)</f>
        <v>0.54805334790760518</v>
      </c>
      <c r="U33">
        <f>Table13[[#This Row],[Good_Qty]]/Table13[[#This Row],[Actual_Qty]]</f>
        <v>0.9944598337950139</v>
      </c>
      <c r="V33" t="str">
        <f>IF(OR(Table13[[#This Row],[Performance_%]]&gt;=1,Table13[[#This Row],[Performance_%]]&lt;=0),"Error","OK")</f>
        <v>OK</v>
      </c>
      <c r="W33" t="str">
        <f>IF(OR(Table13[[#This Row],[Quality_%]]&gt;=1,Table13[[#This Row],[Quality_%]]&lt;=0),"Error","OK")</f>
        <v>OK</v>
      </c>
      <c r="X33">
        <f>Table13[[#This Row],[Performance_%]]*Table13[[#This Row],[Quality_%]]*[2]Availability_KPI!K33</f>
        <v>0.5318518518518518</v>
      </c>
      <c r="Y33" t="str">
        <f>IF(OR(Table13[[#This Row],[OEE_%]]&gt;1,Table13[[#This Row],[OEE_%]]&lt;0),"Error","OK")</f>
        <v>OK</v>
      </c>
    </row>
    <row r="34" spans="1:25" x14ac:dyDescent="0.2">
      <c r="A34" t="s">
        <v>86</v>
      </c>
      <c r="B34" t="s">
        <v>87</v>
      </c>
      <c r="C34" s="2">
        <v>46238</v>
      </c>
      <c r="D34" t="s">
        <v>53</v>
      </c>
      <c r="E34" t="s">
        <v>28</v>
      </c>
      <c r="F34" t="s">
        <v>54</v>
      </c>
      <c r="G34" t="s">
        <v>47</v>
      </c>
      <c r="H34">
        <v>718</v>
      </c>
      <c r="I34">
        <v>713</v>
      </c>
      <c r="J34">
        <v>5</v>
      </c>
      <c r="K34">
        <v>18</v>
      </c>
      <c r="L34">
        <v>18.420000000000002</v>
      </c>
      <c r="M34">
        <v>220.47</v>
      </c>
      <c r="N34">
        <f>_xlfn.XLOOKUP(Table13[[#This Row],[Production_Order_ID]],[1]Sheet1!$A$2:$A$391,[1]Sheet1!$F$2:$F$391,"No Match")</f>
        <v>400</v>
      </c>
      <c r="O34" s="3">
        <f>Table13[[#This Row],[Good_Qty]]/Table13[[#This Row],[Planned_Production]]</f>
        <v>1.7825</v>
      </c>
      <c r="P34" t="str">
        <f>IF(Table13[[#This Row],[Good_Qty]]&gt;=Table13[[#This Row],[Planned_Production]],"Met","Not Met")</f>
        <v>Met</v>
      </c>
      <c r="Q34">
        <f>Table13[[#This Row],[Good_Qty]]-Table13[[#This Row],[Planned_Production]]</f>
        <v>313</v>
      </c>
      <c r="R34" s="3">
        <f>IF(Table13[[#This Row],[Actual_Qty]]=0,0,Table13[[#This Row],[Reject_Qty]]/Table13[[#This Row],[Actual_Qty]])</f>
        <v>6.9637883008356544E-3</v>
      </c>
      <c r="S34">
        <v>438.73</v>
      </c>
      <c r="T34">
        <f>(Table13[[#This Row],[Ideal_Cycle_Time_sec]]*Table13[[#This Row],[Actual_Qty]])/(Table13[[#This Row],[Operational_Time_min]]*60)</f>
        <v>0.49096255099947572</v>
      </c>
      <c r="U34">
        <f>Table13[[#This Row],[Good_Qty]]/Table13[[#This Row],[Actual_Qty]]</f>
        <v>0.99303621169916434</v>
      </c>
      <c r="V34" t="str">
        <f>IF(OR(Table13[[#This Row],[Performance_%]]&gt;=1,Table13[[#This Row],[Performance_%]]&lt;=0),"Error","OK")</f>
        <v>OK</v>
      </c>
      <c r="W34" t="str">
        <f>IF(OR(Table13[[#This Row],[Quality_%]]&gt;=1,Table13[[#This Row],[Quality_%]]&lt;=0),"Error","OK")</f>
        <v>OK</v>
      </c>
      <c r="X34">
        <f>Table13[[#This Row],[Performance_%]]*Table13[[#This Row],[Quality_%]]*[2]Availability_KPI!K34</f>
        <v>0.47533333333333327</v>
      </c>
      <c r="Y34" t="str">
        <f>IF(OR(Table13[[#This Row],[OEE_%]]&gt;1,Table13[[#This Row],[OEE_%]]&lt;0),"Error","OK")</f>
        <v>OK</v>
      </c>
    </row>
    <row r="35" spans="1:25" x14ac:dyDescent="0.2">
      <c r="A35" t="s">
        <v>88</v>
      </c>
      <c r="B35" t="s">
        <v>87</v>
      </c>
      <c r="C35" s="2">
        <v>46238</v>
      </c>
      <c r="D35" t="s">
        <v>53</v>
      </c>
      <c r="E35" t="s">
        <v>32</v>
      </c>
      <c r="F35" t="s">
        <v>54</v>
      </c>
      <c r="G35" t="s">
        <v>30</v>
      </c>
      <c r="H35">
        <v>732</v>
      </c>
      <c r="I35">
        <v>724</v>
      </c>
      <c r="J35">
        <v>8</v>
      </c>
      <c r="K35">
        <v>20</v>
      </c>
      <c r="L35">
        <v>20.350000000000001</v>
      </c>
      <c r="M35">
        <v>248.31</v>
      </c>
      <c r="N35">
        <f>_xlfn.XLOOKUP(Table13[[#This Row],[Production_Order_ID]],[1]Sheet1!$A$2:$A$391,[1]Sheet1!$F$2:$F$391,"No Match")</f>
        <v>400</v>
      </c>
      <c r="O35" s="3">
        <f>Table13[[#This Row],[Good_Qty]]/Table13[[#This Row],[Planned_Production]]</f>
        <v>1.81</v>
      </c>
      <c r="P35" t="str">
        <f>IF(Table13[[#This Row],[Good_Qty]]&gt;=Table13[[#This Row],[Planned_Production]],"Met","Not Met")</f>
        <v>Met</v>
      </c>
      <c r="Q35">
        <f>Table13[[#This Row],[Good_Qty]]-Table13[[#This Row],[Planned_Production]]</f>
        <v>324</v>
      </c>
      <c r="R35" s="3">
        <f>IF(Table13[[#This Row],[Actual_Qty]]=0,0,Table13[[#This Row],[Reject_Qty]]/Table13[[#This Row],[Actual_Qty]])</f>
        <v>1.092896174863388E-2</v>
      </c>
      <c r="S35">
        <v>434.39</v>
      </c>
      <c r="T35">
        <f>(Table13[[#This Row],[Ideal_Cycle_Time_sec]]*Table13[[#This Row],[Actual_Qty]])/(Table13[[#This Row],[Operational_Time_min]]*60)</f>
        <v>0.56170722162112396</v>
      </c>
      <c r="U35">
        <f>Table13[[#This Row],[Good_Qty]]/Table13[[#This Row],[Actual_Qty]]</f>
        <v>0.98907103825136611</v>
      </c>
      <c r="V35" t="str">
        <f>IF(OR(Table13[[#This Row],[Performance_%]]&gt;=1,Table13[[#This Row],[Performance_%]]&lt;=0),"Error","OK")</f>
        <v>OK</v>
      </c>
      <c r="W35" t="str">
        <f>IF(OR(Table13[[#This Row],[Quality_%]]&gt;=1,Table13[[#This Row],[Quality_%]]&lt;=0),"Error","OK")</f>
        <v>OK</v>
      </c>
      <c r="X35">
        <f>Table13[[#This Row],[Performance_%]]*Table13[[#This Row],[Quality_%]]*[2]Availability_KPI!K35</f>
        <v>0.53629629629629638</v>
      </c>
      <c r="Y35" t="str">
        <f>IF(OR(Table13[[#This Row],[OEE_%]]&gt;1,Table13[[#This Row],[OEE_%]]&lt;0),"Error","OK")</f>
        <v>OK</v>
      </c>
    </row>
    <row r="36" spans="1:25" x14ac:dyDescent="0.2">
      <c r="A36" t="s">
        <v>89</v>
      </c>
      <c r="B36" t="s">
        <v>87</v>
      </c>
      <c r="C36" s="2">
        <v>46238</v>
      </c>
      <c r="D36" t="s">
        <v>53</v>
      </c>
      <c r="E36" t="s">
        <v>35</v>
      </c>
      <c r="F36" t="s">
        <v>54</v>
      </c>
      <c r="G36" t="s">
        <v>39</v>
      </c>
      <c r="H36">
        <v>727</v>
      </c>
      <c r="I36">
        <v>722</v>
      </c>
      <c r="J36">
        <v>5</v>
      </c>
      <c r="K36">
        <v>22</v>
      </c>
      <c r="L36">
        <v>23.58</v>
      </c>
      <c r="M36">
        <v>285.70999999999998</v>
      </c>
      <c r="N36">
        <f>_xlfn.XLOOKUP(Table13[[#This Row],[Production_Order_ID]],[1]Sheet1!$A$2:$A$391,[1]Sheet1!$F$2:$F$391,"No Match")</f>
        <v>400</v>
      </c>
      <c r="O36" s="3">
        <f>Table13[[#This Row],[Good_Qty]]/Table13[[#This Row],[Planned_Production]]</f>
        <v>1.8049999999999999</v>
      </c>
      <c r="P36" t="str">
        <f>IF(Table13[[#This Row],[Good_Qty]]&gt;=Table13[[#This Row],[Planned_Production]],"Met","Not Met")</f>
        <v>Met</v>
      </c>
      <c r="Q36">
        <f>Table13[[#This Row],[Good_Qty]]-Table13[[#This Row],[Planned_Production]]</f>
        <v>322</v>
      </c>
      <c r="R36" s="3">
        <f>IF(Table13[[#This Row],[Actual_Qty]]=0,0,Table13[[#This Row],[Reject_Qty]]/Table13[[#This Row],[Actual_Qty]])</f>
        <v>6.8775790921595595E-3</v>
      </c>
      <c r="S36">
        <v>430.09</v>
      </c>
      <c r="T36">
        <f>(Table13[[#This Row],[Ideal_Cycle_Time_sec]]*Table13[[#This Row],[Actual_Qty]])/(Table13[[#This Row],[Operational_Time_min]]*60)</f>
        <v>0.61979275655482968</v>
      </c>
      <c r="U36">
        <f>Table13[[#This Row],[Good_Qty]]/Table13[[#This Row],[Actual_Qty]]</f>
        <v>0.99312242090784042</v>
      </c>
      <c r="V36" t="str">
        <f>IF(OR(Table13[[#This Row],[Performance_%]]&gt;=1,Table13[[#This Row],[Performance_%]]&lt;=0),"Error","OK")</f>
        <v>OK</v>
      </c>
      <c r="W36" t="str">
        <f>IF(OR(Table13[[#This Row],[Quality_%]]&gt;=1,Table13[[#This Row],[Quality_%]]&lt;=0),"Error","OK")</f>
        <v>OK</v>
      </c>
      <c r="X36">
        <f>Table13[[#This Row],[Performance_%]]*Table13[[#This Row],[Quality_%]]*[2]Availability_KPI!K36</f>
        <v>0.58829629629629621</v>
      </c>
      <c r="Y36" t="str">
        <f>IF(OR(Table13[[#This Row],[OEE_%]]&gt;1,Table13[[#This Row],[OEE_%]]&lt;0),"Error","OK")</f>
        <v>OK</v>
      </c>
    </row>
    <row r="37" spans="1:25" x14ac:dyDescent="0.2">
      <c r="A37" t="s">
        <v>90</v>
      </c>
      <c r="B37" t="s">
        <v>87</v>
      </c>
      <c r="C37" s="2">
        <v>46238</v>
      </c>
      <c r="D37" t="s">
        <v>53</v>
      </c>
      <c r="E37" t="s">
        <v>38</v>
      </c>
      <c r="F37" t="s">
        <v>54</v>
      </c>
      <c r="G37" t="s">
        <v>30</v>
      </c>
      <c r="H37">
        <v>717</v>
      </c>
      <c r="I37">
        <v>712</v>
      </c>
      <c r="J37">
        <v>5</v>
      </c>
      <c r="K37">
        <v>20</v>
      </c>
      <c r="L37">
        <v>21.34</v>
      </c>
      <c r="M37">
        <v>254.98</v>
      </c>
      <c r="N37">
        <f>_xlfn.XLOOKUP(Table13[[#This Row],[Production_Order_ID]],[1]Sheet1!$A$2:$A$391,[1]Sheet1!$F$2:$F$391,"No Match")</f>
        <v>400</v>
      </c>
      <c r="O37" s="3">
        <f>Table13[[#This Row],[Good_Qty]]/Table13[[#This Row],[Planned_Production]]</f>
        <v>1.78</v>
      </c>
      <c r="P37" t="str">
        <f>IF(Table13[[#This Row],[Good_Qty]]&gt;=Table13[[#This Row],[Planned_Production]],"Met","Not Met")</f>
        <v>Met</v>
      </c>
      <c r="Q37">
        <f>Table13[[#This Row],[Good_Qty]]-Table13[[#This Row],[Planned_Production]]</f>
        <v>312</v>
      </c>
      <c r="R37" s="3">
        <f>IF(Table13[[#This Row],[Actual_Qty]]=0,0,Table13[[#This Row],[Reject_Qty]]/Table13[[#This Row],[Actual_Qty]])</f>
        <v>6.9735006973500697E-3</v>
      </c>
      <c r="S37">
        <v>439.26</v>
      </c>
      <c r="T37">
        <f>(Table13[[#This Row],[Ideal_Cycle_Time_sec]]*Table13[[#This Row],[Actual_Qty]])/(Table13[[#This Row],[Operational_Time_min]]*60)</f>
        <v>0.5440968902244685</v>
      </c>
      <c r="U37">
        <f>Table13[[#This Row],[Good_Qty]]/Table13[[#This Row],[Actual_Qty]]</f>
        <v>0.99302649930264997</v>
      </c>
      <c r="V37" t="str">
        <f>IF(OR(Table13[[#This Row],[Performance_%]]&gt;=1,Table13[[#This Row],[Performance_%]]&lt;=0),"Error","OK")</f>
        <v>OK</v>
      </c>
      <c r="W37" t="str">
        <f>IF(OR(Table13[[#This Row],[Quality_%]]&gt;=1,Table13[[#This Row],[Quality_%]]&lt;=0),"Error","OK")</f>
        <v>OK</v>
      </c>
      <c r="X37">
        <f>Table13[[#This Row],[Performance_%]]*Table13[[#This Row],[Quality_%]]*[2]Availability_KPI!K37</f>
        <v>0.52740740740740744</v>
      </c>
      <c r="Y37" t="str">
        <f>IF(OR(Table13[[#This Row],[OEE_%]]&gt;1,Table13[[#This Row],[OEE_%]]&lt;0),"Error","OK")</f>
        <v>OK</v>
      </c>
    </row>
    <row r="38" spans="1:25" x14ac:dyDescent="0.2">
      <c r="A38" t="s">
        <v>91</v>
      </c>
      <c r="B38" t="s">
        <v>87</v>
      </c>
      <c r="C38" s="2">
        <v>46238</v>
      </c>
      <c r="D38" t="s">
        <v>53</v>
      </c>
      <c r="E38" t="s">
        <v>41</v>
      </c>
      <c r="F38" t="s">
        <v>54</v>
      </c>
      <c r="G38" t="s">
        <v>71</v>
      </c>
      <c r="H38">
        <v>728</v>
      </c>
      <c r="I38">
        <v>723</v>
      </c>
      <c r="J38">
        <v>5</v>
      </c>
      <c r="K38">
        <v>18</v>
      </c>
      <c r="L38">
        <v>18.989999999999998</v>
      </c>
      <c r="M38">
        <v>230.37</v>
      </c>
      <c r="N38">
        <f>_xlfn.XLOOKUP(Table13[[#This Row],[Production_Order_ID]],[1]Sheet1!$A$2:$A$391,[1]Sheet1!$F$2:$F$391,"No Match")</f>
        <v>400</v>
      </c>
      <c r="O38" s="3">
        <f>Table13[[#This Row],[Good_Qty]]/Table13[[#This Row],[Planned_Production]]</f>
        <v>1.8075000000000001</v>
      </c>
      <c r="P38" t="str">
        <f>IF(Table13[[#This Row],[Good_Qty]]&gt;=Table13[[#This Row],[Planned_Production]],"Met","Not Met")</f>
        <v>Met</v>
      </c>
      <c r="Q38">
        <f>Table13[[#This Row],[Good_Qty]]-Table13[[#This Row],[Planned_Production]]</f>
        <v>323</v>
      </c>
      <c r="R38" s="3">
        <f>IF(Table13[[#This Row],[Actual_Qty]]=0,0,Table13[[#This Row],[Reject_Qty]]/Table13[[#This Row],[Actual_Qty]])</f>
        <v>6.868131868131868E-3</v>
      </c>
      <c r="S38">
        <v>433.27</v>
      </c>
      <c r="T38">
        <f>(Table13[[#This Row],[Ideal_Cycle_Time_sec]]*Table13[[#This Row],[Actual_Qty]])/(Table13[[#This Row],[Operational_Time_min]]*60)</f>
        <v>0.50407367230595246</v>
      </c>
      <c r="U38">
        <f>Table13[[#This Row],[Good_Qty]]/Table13[[#This Row],[Actual_Qty]]</f>
        <v>0.99313186813186816</v>
      </c>
      <c r="V38" t="str">
        <f>IF(OR(Table13[[#This Row],[Performance_%]]&gt;=1,Table13[[#This Row],[Performance_%]]&lt;=0),"Error","OK")</f>
        <v>OK</v>
      </c>
      <c r="W38" t="str">
        <f>IF(OR(Table13[[#This Row],[Quality_%]]&gt;=1,Table13[[#This Row],[Quality_%]]&lt;=0),"Error","OK")</f>
        <v>OK</v>
      </c>
      <c r="X38">
        <f>Table13[[#This Row],[Performance_%]]*Table13[[#This Row],[Quality_%]]*[2]Availability_KPI!K38</f>
        <v>0.48200000000000004</v>
      </c>
      <c r="Y38" t="str">
        <f>IF(OR(Table13[[#This Row],[OEE_%]]&gt;1,Table13[[#This Row],[OEE_%]]&lt;0),"Error","OK")</f>
        <v>OK</v>
      </c>
    </row>
    <row r="39" spans="1:25" x14ac:dyDescent="0.2">
      <c r="A39" t="s">
        <v>92</v>
      </c>
      <c r="B39" t="s">
        <v>87</v>
      </c>
      <c r="C39" s="2">
        <v>46238</v>
      </c>
      <c r="D39" t="s">
        <v>53</v>
      </c>
      <c r="E39" t="s">
        <v>43</v>
      </c>
      <c r="F39" t="s">
        <v>54</v>
      </c>
      <c r="G39" t="s">
        <v>75</v>
      </c>
      <c r="H39">
        <v>726</v>
      </c>
      <c r="I39">
        <v>716</v>
      </c>
      <c r="J39">
        <v>10</v>
      </c>
      <c r="K39">
        <v>32</v>
      </c>
      <c r="L39">
        <v>34.200000000000003</v>
      </c>
      <c r="M39">
        <v>413.8</v>
      </c>
      <c r="N39">
        <f>_xlfn.XLOOKUP(Table13[[#This Row],[Production_Order_ID]],[1]Sheet1!$A$2:$A$391,[1]Sheet1!$F$2:$F$391,"No Match")</f>
        <v>400</v>
      </c>
      <c r="O39" s="3">
        <f>Table13[[#This Row],[Good_Qty]]/Table13[[#This Row],[Planned_Production]]</f>
        <v>1.79</v>
      </c>
      <c r="P39" t="str">
        <f>IF(Table13[[#This Row],[Good_Qty]]&gt;=Table13[[#This Row],[Planned_Production]],"Met","Not Met")</f>
        <v>Met</v>
      </c>
      <c r="Q39">
        <f>Table13[[#This Row],[Good_Qty]]-Table13[[#This Row],[Planned_Production]]</f>
        <v>316</v>
      </c>
      <c r="R39" s="3">
        <f>IF(Table13[[#This Row],[Actual_Qty]]=0,0,Table13[[#This Row],[Reject_Qty]]/Table13[[#This Row],[Actual_Qty]])</f>
        <v>1.3774104683195593E-2</v>
      </c>
      <c r="S39">
        <v>408.58</v>
      </c>
      <c r="T39">
        <f>(Table13[[#This Row],[Ideal_Cycle_Time_sec]]*Table13[[#This Row],[Actual_Qty]])/(Table13[[#This Row],[Operational_Time_min]]*60)</f>
        <v>0.94767242645259198</v>
      </c>
      <c r="U39">
        <f>Table13[[#This Row],[Good_Qty]]/Table13[[#This Row],[Actual_Qty]]</f>
        <v>0.98622589531680438</v>
      </c>
      <c r="V39" t="str">
        <f>IF(OR(Table13[[#This Row],[Performance_%]]&gt;=1,Table13[[#This Row],[Performance_%]]&lt;=0),"Error","OK")</f>
        <v>OK</v>
      </c>
      <c r="W39" t="str">
        <f>IF(OR(Table13[[#This Row],[Quality_%]]&gt;=1,Table13[[#This Row],[Quality_%]]&lt;=0),"Error","OK")</f>
        <v>OK</v>
      </c>
      <c r="X39">
        <f>Table13[[#This Row],[Performance_%]]*Table13[[#This Row],[Quality_%]]*[2]Availability_KPI!K39</f>
        <v>0.84859259259259257</v>
      </c>
      <c r="Y39" t="str">
        <f>IF(OR(Table13[[#This Row],[OEE_%]]&gt;1,Table13[[#This Row],[OEE_%]]&lt;0),"Error","OK")</f>
        <v>OK</v>
      </c>
    </row>
    <row r="40" spans="1:25" x14ac:dyDescent="0.2">
      <c r="A40" t="s">
        <v>93</v>
      </c>
      <c r="B40" t="s">
        <v>87</v>
      </c>
      <c r="C40" s="2">
        <v>46238</v>
      </c>
      <c r="D40" t="s">
        <v>53</v>
      </c>
      <c r="E40" t="s">
        <v>46</v>
      </c>
      <c r="F40" t="s">
        <v>54</v>
      </c>
      <c r="G40" t="s">
        <v>47</v>
      </c>
      <c r="H40">
        <v>696</v>
      </c>
      <c r="I40">
        <v>690</v>
      </c>
      <c r="J40">
        <v>6</v>
      </c>
      <c r="K40">
        <v>25</v>
      </c>
      <c r="L40">
        <v>25.82</v>
      </c>
      <c r="M40">
        <v>299.45999999999998</v>
      </c>
      <c r="N40">
        <f>_xlfn.XLOOKUP(Table13[[#This Row],[Production_Order_ID]],[1]Sheet1!$A$2:$A$391,[1]Sheet1!$F$2:$F$391,"No Match")</f>
        <v>400</v>
      </c>
      <c r="O40" s="3">
        <f>Table13[[#This Row],[Good_Qty]]/Table13[[#This Row],[Planned_Production]]</f>
        <v>1.7250000000000001</v>
      </c>
      <c r="P40" t="str">
        <f>IF(Table13[[#This Row],[Good_Qty]]&gt;=Table13[[#This Row],[Planned_Production]],"Met","Not Met")</f>
        <v>Met</v>
      </c>
      <c r="Q40">
        <f>Table13[[#This Row],[Good_Qty]]-Table13[[#This Row],[Planned_Production]]</f>
        <v>290</v>
      </c>
      <c r="R40" s="3">
        <f>IF(Table13[[#This Row],[Actual_Qty]]=0,0,Table13[[#This Row],[Reject_Qty]]/Table13[[#This Row],[Actual_Qty]])</f>
        <v>8.6206896551724137E-3</v>
      </c>
      <c r="S40">
        <v>423.73</v>
      </c>
      <c r="T40">
        <f>(Table13[[#This Row],[Ideal_Cycle_Time_sec]]*Table13[[#This Row],[Actual_Qty]])/(Table13[[#This Row],[Operational_Time_min]]*60)</f>
        <v>0.68439808368536559</v>
      </c>
      <c r="U40">
        <f>Table13[[#This Row],[Good_Qty]]/Table13[[#This Row],[Actual_Qty]]</f>
        <v>0.99137931034482762</v>
      </c>
      <c r="V40" t="str">
        <f>IF(OR(Table13[[#This Row],[Performance_%]]&gt;=1,Table13[[#This Row],[Performance_%]]&lt;=0),"Error","OK")</f>
        <v>OK</v>
      </c>
      <c r="W40" t="str">
        <f>IF(OR(Table13[[#This Row],[Quality_%]]&gt;=1,Table13[[#This Row],[Quality_%]]&lt;=0),"Error","OK")</f>
        <v>OK</v>
      </c>
      <c r="X40">
        <f>Table13[[#This Row],[Performance_%]]*Table13[[#This Row],[Quality_%]]*[2]Availability_KPI!K40</f>
        <v>0.63888888888888884</v>
      </c>
      <c r="Y40" t="str">
        <f>IF(OR(Table13[[#This Row],[OEE_%]]&gt;1,Table13[[#This Row],[OEE_%]]&lt;0),"Error","OK")</f>
        <v>OK</v>
      </c>
    </row>
    <row r="41" spans="1:25" x14ac:dyDescent="0.2">
      <c r="A41" t="s">
        <v>94</v>
      </c>
      <c r="B41" t="s">
        <v>87</v>
      </c>
      <c r="C41" s="2">
        <v>46238</v>
      </c>
      <c r="D41" t="s">
        <v>53</v>
      </c>
      <c r="E41" t="s">
        <v>49</v>
      </c>
      <c r="F41" t="s">
        <v>54</v>
      </c>
      <c r="G41" t="s">
        <v>55</v>
      </c>
      <c r="H41">
        <v>710</v>
      </c>
      <c r="I41">
        <v>707</v>
      </c>
      <c r="J41">
        <v>3</v>
      </c>
      <c r="K41">
        <v>20</v>
      </c>
      <c r="L41">
        <v>20.74</v>
      </c>
      <c r="M41">
        <v>245.37</v>
      </c>
      <c r="N41">
        <f>_xlfn.XLOOKUP(Table13[[#This Row],[Production_Order_ID]],[1]Sheet1!$A$2:$A$391,[1]Sheet1!$F$2:$F$391,"No Match")</f>
        <v>400</v>
      </c>
      <c r="O41" s="3">
        <f>Table13[[#This Row],[Good_Qty]]/Table13[[#This Row],[Planned_Production]]</f>
        <v>1.7675000000000001</v>
      </c>
      <c r="P41" t="str">
        <f>IF(Table13[[#This Row],[Good_Qty]]&gt;=Table13[[#This Row],[Planned_Production]],"Met","Not Met")</f>
        <v>Met</v>
      </c>
      <c r="Q41">
        <f>Table13[[#This Row],[Good_Qty]]-Table13[[#This Row],[Planned_Production]]</f>
        <v>307</v>
      </c>
      <c r="R41" s="3">
        <f>IF(Table13[[#This Row],[Actual_Qty]]=0,0,Table13[[#This Row],[Reject_Qty]]/Table13[[#This Row],[Actual_Qty]])</f>
        <v>4.2253521126760559E-3</v>
      </c>
      <c r="S41">
        <v>440.23</v>
      </c>
      <c r="T41">
        <f>(Table13[[#This Row],[Ideal_Cycle_Time_sec]]*Table13[[#This Row],[Actual_Qty]])/(Table13[[#This Row],[Operational_Time_min]]*60)</f>
        <v>0.53759777086220073</v>
      </c>
      <c r="U41">
        <f>Table13[[#This Row],[Good_Qty]]/Table13[[#This Row],[Actual_Qty]]</f>
        <v>0.99577464788732395</v>
      </c>
      <c r="V41" t="str">
        <f>IF(OR(Table13[[#This Row],[Performance_%]]&gt;=1,Table13[[#This Row],[Performance_%]]&lt;=0),"Error","OK")</f>
        <v>OK</v>
      </c>
      <c r="W41" t="str">
        <f>IF(OR(Table13[[#This Row],[Quality_%]]&gt;=1,Table13[[#This Row],[Quality_%]]&lt;=0),"Error","OK")</f>
        <v>OK</v>
      </c>
      <c r="X41">
        <f>Table13[[#This Row],[Performance_%]]*Table13[[#This Row],[Quality_%]]*[2]Availability_KPI!K41</f>
        <v>0.52370370370370356</v>
      </c>
      <c r="Y41" t="str">
        <f>IF(OR(Table13[[#This Row],[OEE_%]]&gt;1,Table13[[#This Row],[OEE_%]]&lt;0),"Error","OK")</f>
        <v>OK</v>
      </c>
    </row>
    <row r="42" spans="1:25" x14ac:dyDescent="0.2">
      <c r="A42" t="s">
        <v>95</v>
      </c>
      <c r="B42" t="s">
        <v>96</v>
      </c>
      <c r="C42" s="2">
        <v>46238</v>
      </c>
      <c r="D42" t="s">
        <v>67</v>
      </c>
      <c r="E42" t="s">
        <v>28</v>
      </c>
      <c r="F42" t="s">
        <v>97</v>
      </c>
      <c r="G42" t="s">
        <v>39</v>
      </c>
      <c r="H42">
        <v>687</v>
      </c>
      <c r="I42">
        <v>686</v>
      </c>
      <c r="J42">
        <v>1</v>
      </c>
      <c r="K42">
        <v>19.260000000000002</v>
      </c>
      <c r="L42">
        <v>20.91</v>
      </c>
      <c r="M42">
        <v>239.41</v>
      </c>
      <c r="N42">
        <f>_xlfn.XLOOKUP(Table13[[#This Row],[Production_Order_ID]],[1]Sheet1!$A$2:$A$391,[1]Sheet1!$F$2:$F$391,"No Match")</f>
        <v>620</v>
      </c>
      <c r="O42" s="3">
        <f>Table13[[#This Row],[Good_Qty]]/Table13[[#This Row],[Planned_Production]]</f>
        <v>1.1064516129032258</v>
      </c>
      <c r="P42" t="str">
        <f>IF(Table13[[#This Row],[Good_Qty]]&gt;=Table13[[#This Row],[Planned_Production]],"Met","Not Met")</f>
        <v>Met</v>
      </c>
      <c r="Q42">
        <f>Table13[[#This Row],[Good_Qty]]-Table13[[#This Row],[Planned_Production]]</f>
        <v>66</v>
      </c>
      <c r="R42" s="3">
        <f>IF(Table13[[#This Row],[Actual_Qty]]=0,0,Table13[[#This Row],[Reject_Qty]]/Table13[[#This Row],[Actual_Qty]])</f>
        <v>1.455604075691412E-3</v>
      </c>
      <c r="S42">
        <v>439.88</v>
      </c>
      <c r="T42">
        <f>(Table13[[#This Row],[Ideal_Cycle_Time_sec]]*Table13[[#This Row],[Actual_Qty]])/(Table13[[#This Row],[Operational_Time_min]]*60)</f>
        <v>0.50133445485132311</v>
      </c>
      <c r="U42">
        <f>Table13[[#This Row],[Good_Qty]]/Table13[[#This Row],[Actual_Qty]]</f>
        <v>0.99854439592430855</v>
      </c>
      <c r="V42" t="str">
        <f>IF(OR(Table13[[#This Row],[Performance_%]]&gt;=1,Table13[[#This Row],[Performance_%]]&lt;=0),"Error","OK")</f>
        <v>OK</v>
      </c>
      <c r="W42" t="str">
        <f>IF(OR(Table13[[#This Row],[Quality_%]]&gt;=1,Table13[[#This Row],[Quality_%]]&lt;=0),"Error","OK")</f>
        <v>OK</v>
      </c>
      <c r="X42">
        <f>Table13[[#This Row],[Performance_%]]*Table13[[#This Row],[Quality_%]]*[2]Availability_KPI!K42</f>
        <v>0.48934666666666665</v>
      </c>
      <c r="Y42" t="str">
        <f>IF(OR(Table13[[#This Row],[OEE_%]]&gt;1,Table13[[#This Row],[OEE_%]]&lt;0),"Error","OK")</f>
        <v>OK</v>
      </c>
    </row>
    <row r="43" spans="1:25" x14ac:dyDescent="0.2">
      <c r="A43" t="s">
        <v>98</v>
      </c>
      <c r="B43" t="s">
        <v>96</v>
      </c>
      <c r="C43" s="2">
        <v>46238</v>
      </c>
      <c r="D43" t="s">
        <v>67</v>
      </c>
      <c r="E43" t="s">
        <v>32</v>
      </c>
      <c r="F43" t="s">
        <v>97</v>
      </c>
      <c r="G43" t="s">
        <v>36</v>
      </c>
      <c r="H43">
        <v>693</v>
      </c>
      <c r="I43">
        <v>686</v>
      </c>
      <c r="J43">
        <v>7</v>
      </c>
      <c r="K43">
        <v>21.4</v>
      </c>
      <c r="L43">
        <v>22.57</v>
      </c>
      <c r="M43">
        <v>260.67</v>
      </c>
      <c r="N43">
        <f>_xlfn.XLOOKUP(Table13[[#This Row],[Production_Order_ID]],[1]Sheet1!$A$2:$A$391,[1]Sheet1!$F$2:$F$391,"No Match")</f>
        <v>620</v>
      </c>
      <c r="O43" s="3">
        <f>Table13[[#This Row],[Good_Qty]]/Table13[[#This Row],[Planned_Production]]</f>
        <v>1.1064516129032258</v>
      </c>
      <c r="P43" t="str">
        <f>IF(Table13[[#This Row],[Good_Qty]]&gt;=Table13[[#This Row],[Planned_Production]],"Met","Not Met")</f>
        <v>Met</v>
      </c>
      <c r="Q43">
        <f>Table13[[#This Row],[Good_Qty]]-Table13[[#This Row],[Planned_Production]]</f>
        <v>66</v>
      </c>
      <c r="R43" s="3">
        <f>IF(Table13[[#This Row],[Actual_Qty]]=0,0,Table13[[#This Row],[Reject_Qty]]/Table13[[#This Row],[Actual_Qty]])</f>
        <v>1.0101010101010102E-2</v>
      </c>
      <c r="S43">
        <v>434.65</v>
      </c>
      <c r="T43">
        <f>(Table13[[#This Row],[Ideal_Cycle_Time_sec]]*Table13[[#This Row],[Actual_Qty]])/(Table13[[#This Row],[Operational_Time_min]]*60)</f>
        <v>0.56866444265500971</v>
      </c>
      <c r="U43">
        <f>Table13[[#This Row],[Good_Qty]]/Table13[[#This Row],[Actual_Qty]]</f>
        <v>0.98989898989898994</v>
      </c>
      <c r="V43" t="str">
        <f>IF(OR(Table13[[#This Row],[Performance_%]]&gt;=1,Table13[[#This Row],[Performance_%]]&lt;=0),"Error","OK")</f>
        <v>OK</v>
      </c>
      <c r="W43" t="str">
        <f>IF(OR(Table13[[#This Row],[Quality_%]]&gt;=1,Table13[[#This Row],[Quality_%]]&lt;=0),"Error","OK")</f>
        <v>OK</v>
      </c>
      <c r="X43">
        <f>Table13[[#This Row],[Performance_%]]*Table13[[#This Row],[Quality_%]]*[2]Availability_KPI!K43</f>
        <v>0.54371851851851838</v>
      </c>
      <c r="Y43" t="str">
        <f>IF(OR(Table13[[#This Row],[OEE_%]]&gt;1,Table13[[#This Row],[OEE_%]]&lt;0),"Error","OK")</f>
        <v>OK</v>
      </c>
    </row>
    <row r="44" spans="1:25" x14ac:dyDescent="0.2">
      <c r="A44" t="s">
        <v>99</v>
      </c>
      <c r="B44" t="s">
        <v>96</v>
      </c>
      <c r="C44" s="2">
        <v>46238</v>
      </c>
      <c r="D44" t="s">
        <v>67</v>
      </c>
      <c r="E44" t="s">
        <v>35</v>
      </c>
      <c r="F44" t="s">
        <v>97</v>
      </c>
      <c r="G44" t="s">
        <v>36</v>
      </c>
      <c r="H44">
        <v>685</v>
      </c>
      <c r="I44">
        <v>684</v>
      </c>
      <c r="J44">
        <v>1</v>
      </c>
      <c r="K44">
        <v>23.54</v>
      </c>
      <c r="L44">
        <v>24.22</v>
      </c>
      <c r="M44">
        <v>276.55</v>
      </c>
      <c r="N44">
        <f>_xlfn.XLOOKUP(Table13[[#This Row],[Production_Order_ID]],[1]Sheet1!$A$2:$A$391,[1]Sheet1!$F$2:$F$391,"No Match")</f>
        <v>620</v>
      </c>
      <c r="O44" s="3">
        <f>Table13[[#This Row],[Good_Qty]]/Table13[[#This Row],[Planned_Production]]</f>
        <v>1.1032258064516129</v>
      </c>
      <c r="P44" t="str">
        <f>IF(Table13[[#This Row],[Good_Qty]]&gt;=Table13[[#This Row],[Planned_Production]],"Met","Not Met")</f>
        <v>Met</v>
      </c>
      <c r="Q44">
        <f>Table13[[#This Row],[Good_Qty]]-Table13[[#This Row],[Planned_Production]]</f>
        <v>64</v>
      </c>
      <c r="R44" s="3">
        <f>IF(Table13[[#This Row],[Actual_Qty]]=0,0,Table13[[#This Row],[Reject_Qty]]/Table13[[#This Row],[Actual_Qty]])</f>
        <v>1.4598540145985401E-3</v>
      </c>
      <c r="S44">
        <v>432.94</v>
      </c>
      <c r="T44">
        <f>(Table13[[#This Row],[Ideal_Cycle_Time_sec]]*Table13[[#This Row],[Actual_Qty]])/(Table13[[#This Row],[Operational_Time_min]]*60)</f>
        <v>0.62075191327512658</v>
      </c>
      <c r="U44">
        <f>Table13[[#This Row],[Good_Qty]]/Table13[[#This Row],[Actual_Qty]]</f>
        <v>0.99854014598540142</v>
      </c>
      <c r="V44" t="str">
        <f>IF(OR(Table13[[#This Row],[Performance_%]]&gt;=1,Table13[[#This Row],[Performance_%]]&lt;=0),"Error","OK")</f>
        <v>OK</v>
      </c>
      <c r="W44" t="str">
        <f>IF(OR(Table13[[#This Row],[Quality_%]]&gt;=1,Table13[[#This Row],[Quality_%]]&lt;=0),"Error","OK")</f>
        <v>OK</v>
      </c>
      <c r="X44">
        <f>Table13[[#This Row],[Performance_%]]*Table13[[#This Row],[Quality_%]]*[2]Availability_KPI!K44</f>
        <v>0.59634666666666658</v>
      </c>
      <c r="Y44" t="str">
        <f>IF(OR(Table13[[#This Row],[OEE_%]]&gt;1,Table13[[#This Row],[OEE_%]]&lt;0),"Error","OK")</f>
        <v>OK</v>
      </c>
    </row>
    <row r="45" spans="1:25" x14ac:dyDescent="0.2">
      <c r="A45" t="s">
        <v>100</v>
      </c>
      <c r="B45" t="s">
        <v>96</v>
      </c>
      <c r="C45" s="2">
        <v>46238</v>
      </c>
      <c r="D45" t="s">
        <v>67</v>
      </c>
      <c r="E45" t="s">
        <v>38</v>
      </c>
      <c r="F45" t="s">
        <v>97</v>
      </c>
      <c r="G45" t="s">
        <v>57</v>
      </c>
      <c r="H45">
        <v>680</v>
      </c>
      <c r="I45">
        <v>674</v>
      </c>
      <c r="J45">
        <v>6</v>
      </c>
      <c r="K45">
        <v>21.4</v>
      </c>
      <c r="L45">
        <v>23.15</v>
      </c>
      <c r="M45">
        <v>262.41000000000003</v>
      </c>
      <c r="N45">
        <f>_xlfn.XLOOKUP(Table13[[#This Row],[Production_Order_ID]],[1]Sheet1!$A$2:$A$391,[1]Sheet1!$F$2:$F$391,"No Match")</f>
        <v>620</v>
      </c>
      <c r="O45" s="3">
        <f>Table13[[#This Row],[Good_Qty]]/Table13[[#This Row],[Planned_Production]]</f>
        <v>1.0870967741935484</v>
      </c>
      <c r="P45" t="str">
        <f>IF(Table13[[#This Row],[Good_Qty]]&gt;=Table13[[#This Row],[Planned_Production]],"Met","Not Met")</f>
        <v>Met</v>
      </c>
      <c r="Q45">
        <f>Table13[[#This Row],[Good_Qty]]-Table13[[#This Row],[Planned_Production]]</f>
        <v>54</v>
      </c>
      <c r="R45" s="3">
        <f>IF(Table13[[#This Row],[Actual_Qty]]=0,0,Table13[[#This Row],[Reject_Qty]]/Table13[[#This Row],[Actual_Qty]])</f>
        <v>8.8235294117647058E-3</v>
      </c>
      <c r="S45">
        <v>435.06</v>
      </c>
      <c r="T45">
        <f>(Table13[[#This Row],[Ideal_Cycle_Time_sec]]*Table13[[#This Row],[Actual_Qty]])/(Table13[[#This Row],[Operational_Time_min]]*60)</f>
        <v>0.55747100016855911</v>
      </c>
      <c r="U45">
        <f>Table13[[#This Row],[Good_Qty]]/Table13[[#This Row],[Actual_Qty]]</f>
        <v>0.99117647058823533</v>
      </c>
      <c r="V45" t="str">
        <f>IF(OR(Table13[[#This Row],[Performance_%]]&gt;=1,Table13[[#This Row],[Performance_%]]&lt;=0),"Error","OK")</f>
        <v>OK</v>
      </c>
      <c r="W45" t="str">
        <f>IF(OR(Table13[[#This Row],[Quality_%]]&gt;=1,Table13[[#This Row],[Quality_%]]&lt;=0),"Error","OK")</f>
        <v>OK</v>
      </c>
      <c r="X45">
        <f>Table13[[#This Row],[Performance_%]]*Table13[[#This Row],[Quality_%]]*[2]Availability_KPI!K45</f>
        <v>0.53420740740740735</v>
      </c>
      <c r="Y45" t="str">
        <f>IF(OR(Table13[[#This Row],[OEE_%]]&gt;1,Table13[[#This Row],[OEE_%]]&lt;0),"Error","OK")</f>
        <v>OK</v>
      </c>
    </row>
    <row r="46" spans="1:25" x14ac:dyDescent="0.2">
      <c r="A46" t="s">
        <v>101</v>
      </c>
      <c r="B46" t="s">
        <v>96</v>
      </c>
      <c r="C46" s="2">
        <v>46238</v>
      </c>
      <c r="D46" t="s">
        <v>67</v>
      </c>
      <c r="E46" t="s">
        <v>41</v>
      </c>
      <c r="F46" t="s">
        <v>97</v>
      </c>
      <c r="G46" t="s">
        <v>55</v>
      </c>
      <c r="H46">
        <v>697</v>
      </c>
      <c r="I46">
        <v>692</v>
      </c>
      <c r="J46">
        <v>5</v>
      </c>
      <c r="K46">
        <v>19.260000000000002</v>
      </c>
      <c r="L46">
        <v>20.100000000000001</v>
      </c>
      <c r="M46">
        <v>233.54</v>
      </c>
      <c r="N46">
        <f>_xlfn.XLOOKUP(Table13[[#This Row],[Production_Order_ID]],[1]Sheet1!$A$2:$A$391,[1]Sheet1!$F$2:$F$391,"No Match")</f>
        <v>620</v>
      </c>
      <c r="O46" s="3">
        <f>Table13[[#This Row],[Good_Qty]]/Table13[[#This Row],[Planned_Production]]</f>
        <v>1.1161290322580646</v>
      </c>
      <c r="P46" t="str">
        <f>IF(Table13[[#This Row],[Good_Qty]]&gt;=Table13[[#This Row],[Planned_Production]],"Met","Not Met")</f>
        <v>Met</v>
      </c>
      <c r="Q46">
        <f>Table13[[#This Row],[Good_Qty]]-Table13[[#This Row],[Planned_Production]]</f>
        <v>72</v>
      </c>
      <c r="R46" s="3">
        <f>IF(Table13[[#This Row],[Actual_Qty]]=0,0,Table13[[#This Row],[Reject_Qty]]/Table13[[#This Row],[Actual_Qty]])</f>
        <v>7.1736011477761836E-3</v>
      </c>
      <c r="S46">
        <v>435.4</v>
      </c>
      <c r="T46">
        <f>(Table13[[#This Row],[Ideal_Cycle_Time_sec]]*Table13[[#This Row],[Actual_Qty]])/(Table13[[#This Row],[Operational_Time_min]]*60)</f>
        <v>0.51386541111621498</v>
      </c>
      <c r="U46">
        <f>Table13[[#This Row],[Good_Qty]]/Table13[[#This Row],[Actual_Qty]]</f>
        <v>0.99282639885222379</v>
      </c>
      <c r="V46" t="str">
        <f>IF(OR(Table13[[#This Row],[Performance_%]]&gt;=1,Table13[[#This Row],[Performance_%]]&lt;=0),"Error","OK")</f>
        <v>OK</v>
      </c>
      <c r="W46" t="str">
        <f>IF(OR(Table13[[#This Row],[Quality_%]]&gt;=1,Table13[[#This Row],[Quality_%]]&lt;=0),"Error","OK")</f>
        <v>OK</v>
      </c>
      <c r="X46">
        <f>Table13[[#This Row],[Performance_%]]*Table13[[#This Row],[Quality_%]]*[2]Availability_KPI!K46</f>
        <v>0.4936266666666666</v>
      </c>
      <c r="Y46" t="str">
        <f>IF(OR(Table13[[#This Row],[OEE_%]]&gt;1,Table13[[#This Row],[OEE_%]]&lt;0),"Error","OK")</f>
        <v>OK</v>
      </c>
    </row>
    <row r="47" spans="1:25" x14ac:dyDescent="0.2">
      <c r="A47" t="s">
        <v>102</v>
      </c>
      <c r="B47" t="s">
        <v>96</v>
      </c>
      <c r="C47" s="2">
        <v>46238</v>
      </c>
      <c r="D47" t="s">
        <v>67</v>
      </c>
      <c r="E47" t="s">
        <v>43</v>
      </c>
      <c r="F47" t="s">
        <v>97</v>
      </c>
      <c r="G47" t="s">
        <v>39</v>
      </c>
      <c r="H47">
        <v>705</v>
      </c>
      <c r="I47">
        <v>694</v>
      </c>
      <c r="J47">
        <v>11</v>
      </c>
      <c r="K47">
        <v>34.24</v>
      </c>
      <c r="L47">
        <v>36.31</v>
      </c>
      <c r="M47">
        <v>426.69</v>
      </c>
      <c r="N47">
        <f>_xlfn.XLOOKUP(Table13[[#This Row],[Production_Order_ID]],[1]Sheet1!$A$2:$A$391,[1]Sheet1!$F$2:$F$391,"No Match")</f>
        <v>620</v>
      </c>
      <c r="O47" s="3">
        <f>Table13[[#This Row],[Good_Qty]]/Table13[[#This Row],[Planned_Production]]</f>
        <v>1.1193548387096774</v>
      </c>
      <c r="P47" t="str">
        <f>IF(Table13[[#This Row],[Good_Qty]]&gt;=Table13[[#This Row],[Planned_Production]],"Met","Not Met")</f>
        <v>Met</v>
      </c>
      <c r="Q47">
        <f>Table13[[#This Row],[Good_Qty]]-Table13[[#This Row],[Planned_Production]]</f>
        <v>74</v>
      </c>
      <c r="R47" s="3">
        <f>IF(Table13[[#This Row],[Actual_Qty]]=0,0,Table13[[#This Row],[Reject_Qty]]/Table13[[#This Row],[Actual_Qty]])</f>
        <v>1.5602836879432624E-2</v>
      </c>
      <c r="S47">
        <v>413.53</v>
      </c>
      <c r="T47">
        <f>(Table13[[#This Row],[Ideal_Cycle_Time_sec]]*Table13[[#This Row],[Actual_Qty]])/(Table13[[#This Row],[Operational_Time_min]]*60)</f>
        <v>0.97289193045244604</v>
      </c>
      <c r="U47">
        <f>Table13[[#This Row],[Good_Qty]]/Table13[[#This Row],[Actual_Qty]]</f>
        <v>0.98439716312056735</v>
      </c>
      <c r="V47" t="str">
        <f>IF(OR(Table13[[#This Row],[Performance_%]]&gt;=1,Table13[[#This Row],[Performance_%]]&lt;=0),"Error","OK")</f>
        <v>OK</v>
      </c>
      <c r="W47" t="str">
        <f>IF(OR(Table13[[#This Row],[Quality_%]]&gt;=1,Table13[[#This Row],[Quality_%]]&lt;=0),"Error","OK")</f>
        <v>OK</v>
      </c>
      <c r="X47">
        <f>Table13[[#This Row],[Performance_%]]*Table13[[#This Row],[Quality_%]]*[2]Availability_KPI!K47</f>
        <v>0.88009481481481477</v>
      </c>
      <c r="Y47" t="str">
        <f>IF(OR(Table13[[#This Row],[OEE_%]]&gt;1,Table13[[#This Row],[OEE_%]]&lt;0),"Error","OK")</f>
        <v>OK</v>
      </c>
    </row>
    <row r="48" spans="1:25" x14ac:dyDescent="0.2">
      <c r="A48" t="s">
        <v>103</v>
      </c>
      <c r="B48" t="s">
        <v>96</v>
      </c>
      <c r="C48" s="2">
        <v>46238</v>
      </c>
      <c r="D48" t="s">
        <v>67</v>
      </c>
      <c r="E48" t="s">
        <v>46</v>
      </c>
      <c r="F48" t="s">
        <v>97</v>
      </c>
      <c r="G48" t="s">
        <v>47</v>
      </c>
      <c r="H48">
        <v>684</v>
      </c>
      <c r="I48">
        <v>679</v>
      </c>
      <c r="J48">
        <v>5</v>
      </c>
      <c r="K48">
        <v>26.75</v>
      </c>
      <c r="L48">
        <v>27.71</v>
      </c>
      <c r="M48">
        <v>315.95</v>
      </c>
      <c r="N48">
        <f>_xlfn.XLOOKUP(Table13[[#This Row],[Production_Order_ID]],[1]Sheet1!$A$2:$A$391,[1]Sheet1!$F$2:$F$391,"No Match")</f>
        <v>620</v>
      </c>
      <c r="O48" s="3">
        <f>Table13[[#This Row],[Good_Qty]]/Table13[[#This Row],[Planned_Production]]</f>
        <v>1.0951612903225807</v>
      </c>
      <c r="P48" t="str">
        <f>IF(Table13[[#This Row],[Good_Qty]]&gt;=Table13[[#This Row],[Planned_Production]],"Met","Not Met")</f>
        <v>Met</v>
      </c>
      <c r="Q48">
        <f>Table13[[#This Row],[Good_Qty]]-Table13[[#This Row],[Planned_Production]]</f>
        <v>59</v>
      </c>
      <c r="R48" s="3">
        <f>IF(Table13[[#This Row],[Actual_Qty]]=0,0,Table13[[#This Row],[Reject_Qty]]/Table13[[#This Row],[Actual_Qty]])</f>
        <v>7.3099415204678359E-3</v>
      </c>
      <c r="S48">
        <v>430.40999999999997</v>
      </c>
      <c r="T48">
        <f>(Table13[[#This Row],[Ideal_Cycle_Time_sec]]*Table13[[#This Row],[Actual_Qty]])/(Table13[[#This Row],[Operational_Time_min]]*60)</f>
        <v>0.708510489997909</v>
      </c>
      <c r="U48">
        <f>Table13[[#This Row],[Good_Qty]]/Table13[[#This Row],[Actual_Qty]]</f>
        <v>0.99269005847953218</v>
      </c>
      <c r="V48" t="str">
        <f>IF(OR(Table13[[#This Row],[Performance_%]]&gt;=1,Table13[[#This Row],[Performance_%]]&lt;=0),"Error","OK")</f>
        <v>OK</v>
      </c>
      <c r="W48" t="str">
        <f>IF(OR(Table13[[#This Row],[Quality_%]]&gt;=1,Table13[[#This Row],[Quality_%]]&lt;=0),"Error","OK")</f>
        <v>OK</v>
      </c>
      <c r="X48">
        <f>Table13[[#This Row],[Performance_%]]*Table13[[#This Row],[Quality_%]]*[2]Availability_KPI!K48</f>
        <v>0.6727129629629629</v>
      </c>
      <c r="Y48" t="str">
        <f>IF(OR(Table13[[#This Row],[OEE_%]]&gt;1,Table13[[#This Row],[OEE_%]]&lt;0),"Error","OK")</f>
        <v>OK</v>
      </c>
    </row>
    <row r="49" spans="1:25" x14ac:dyDescent="0.2">
      <c r="A49" t="s">
        <v>104</v>
      </c>
      <c r="B49" t="s">
        <v>96</v>
      </c>
      <c r="C49" s="2">
        <v>46238</v>
      </c>
      <c r="D49" t="s">
        <v>67</v>
      </c>
      <c r="E49" t="s">
        <v>49</v>
      </c>
      <c r="F49" t="s">
        <v>97</v>
      </c>
      <c r="G49" t="s">
        <v>71</v>
      </c>
      <c r="H49">
        <v>675</v>
      </c>
      <c r="I49">
        <v>670</v>
      </c>
      <c r="J49">
        <v>5</v>
      </c>
      <c r="K49">
        <v>21.4</v>
      </c>
      <c r="L49">
        <v>22.17</v>
      </c>
      <c r="M49">
        <v>249.47</v>
      </c>
      <c r="N49">
        <f>_xlfn.XLOOKUP(Table13[[#This Row],[Production_Order_ID]],[1]Sheet1!$A$2:$A$391,[1]Sheet1!$F$2:$F$391,"No Match")</f>
        <v>620</v>
      </c>
      <c r="O49" s="3">
        <f>Table13[[#This Row],[Good_Qty]]/Table13[[#This Row],[Planned_Production]]</f>
        <v>1.0806451612903225</v>
      </c>
      <c r="P49" t="str">
        <f>IF(Table13[[#This Row],[Good_Qty]]&gt;=Table13[[#This Row],[Planned_Production]],"Met","Not Met")</f>
        <v>Met</v>
      </c>
      <c r="Q49">
        <f>Table13[[#This Row],[Good_Qty]]-Table13[[#This Row],[Planned_Production]]</f>
        <v>50</v>
      </c>
      <c r="R49" s="3">
        <f>IF(Table13[[#This Row],[Actual_Qty]]=0,0,Table13[[#This Row],[Reject_Qty]]/Table13[[#This Row],[Actual_Qty]])</f>
        <v>7.4074074074074077E-3</v>
      </c>
      <c r="S49">
        <v>438.33</v>
      </c>
      <c r="T49">
        <f>(Table13[[#This Row],[Ideal_Cycle_Time_sec]]*Table13[[#This Row],[Actual_Qty]])/(Table13[[#This Row],[Operational_Time_min]]*60)</f>
        <v>0.54924372048456638</v>
      </c>
      <c r="U49">
        <f>Table13[[#This Row],[Good_Qty]]/Table13[[#This Row],[Actual_Qty]]</f>
        <v>0.99259259259259258</v>
      </c>
      <c r="V49" t="str">
        <f>IF(OR(Table13[[#This Row],[Performance_%]]&gt;=1,Table13[[#This Row],[Performance_%]]&lt;=0),"Error","OK")</f>
        <v>OK</v>
      </c>
      <c r="W49" t="str">
        <f>IF(OR(Table13[[#This Row],[Quality_%]]&gt;=1,Table13[[#This Row],[Quality_%]]&lt;=0),"Error","OK")</f>
        <v>OK</v>
      </c>
      <c r="X49">
        <f>Table13[[#This Row],[Performance_%]]*Table13[[#This Row],[Quality_%]]*[2]Availability_KPI!K49</f>
        <v>0.53103703703703697</v>
      </c>
      <c r="Y49" t="str">
        <f>IF(OR(Table13[[#This Row],[OEE_%]]&gt;1,Table13[[#This Row],[OEE_%]]&lt;0),"Error","OK")</f>
        <v>OK</v>
      </c>
    </row>
    <row r="50" spans="1:25" x14ac:dyDescent="0.2">
      <c r="A50" t="s">
        <v>105</v>
      </c>
      <c r="B50" t="s">
        <v>106</v>
      </c>
      <c r="C50" s="2">
        <v>46239</v>
      </c>
      <c r="D50" t="s">
        <v>27</v>
      </c>
      <c r="E50" t="s">
        <v>28</v>
      </c>
      <c r="F50" t="s">
        <v>29</v>
      </c>
      <c r="G50" t="s">
        <v>33</v>
      </c>
      <c r="H50">
        <v>635</v>
      </c>
      <c r="I50">
        <v>631</v>
      </c>
      <c r="J50">
        <v>4</v>
      </c>
      <c r="K50">
        <v>19.8</v>
      </c>
      <c r="L50">
        <v>21.12</v>
      </c>
      <c r="M50">
        <v>223.56</v>
      </c>
      <c r="N50">
        <f>_xlfn.XLOOKUP(Table13[[#This Row],[Production_Order_ID]],[1]Sheet1!$A$2:$A$391,[1]Sheet1!$F$2:$F$391,"No Match")</f>
        <v>520</v>
      </c>
      <c r="O50" s="3">
        <f>Table13[[#This Row],[Good_Qty]]/Table13[[#This Row],[Planned_Production]]</f>
        <v>1.2134615384615384</v>
      </c>
      <c r="P50" t="str">
        <f>IF(Table13[[#This Row],[Good_Qty]]&gt;=Table13[[#This Row],[Planned_Production]],"Met","Not Met")</f>
        <v>Met</v>
      </c>
      <c r="Q50">
        <f>Table13[[#This Row],[Good_Qty]]-Table13[[#This Row],[Planned_Production]]</f>
        <v>111</v>
      </c>
      <c r="R50" s="3">
        <f>IF(Table13[[#This Row],[Actual_Qty]]=0,0,Table13[[#This Row],[Reject_Qty]]/Table13[[#This Row],[Actual_Qty]])</f>
        <v>6.2992125984251968E-3</v>
      </c>
      <c r="S50">
        <v>441.56</v>
      </c>
      <c r="T50">
        <f>(Table13[[#This Row],[Ideal_Cycle_Time_sec]]*Table13[[#This Row],[Actual_Qty]])/(Table13[[#This Row],[Operational_Time_min]]*60)</f>
        <v>0.47456744270314344</v>
      </c>
      <c r="U50">
        <f>Table13[[#This Row],[Good_Qty]]/Table13[[#This Row],[Actual_Qty]]</f>
        <v>0.99370078740157475</v>
      </c>
      <c r="V50" t="str">
        <f>IF(OR(Table13[[#This Row],[Performance_%]]&gt;=1,Table13[[#This Row],[Performance_%]]&lt;=0),"Error","OK")</f>
        <v>OK</v>
      </c>
      <c r="W50" t="str">
        <f>IF(OR(Table13[[#This Row],[Quality_%]]&gt;=1,Table13[[#This Row],[Quality_%]]&lt;=0),"Error","OK")</f>
        <v>OK</v>
      </c>
      <c r="X50">
        <f>Table13[[#This Row],[Performance_%]]*Table13[[#This Row],[Quality_%]]*[2]Availability_KPI!K50</f>
        <v>0.46273333333333339</v>
      </c>
      <c r="Y50" t="str">
        <f>IF(OR(Table13[[#This Row],[OEE_%]]&gt;1,Table13[[#This Row],[OEE_%]]&lt;0),"Error","OK")</f>
        <v>OK</v>
      </c>
    </row>
    <row r="51" spans="1:25" x14ac:dyDescent="0.2">
      <c r="A51" t="s">
        <v>107</v>
      </c>
      <c r="B51" t="s">
        <v>106</v>
      </c>
      <c r="C51" s="2">
        <v>46239</v>
      </c>
      <c r="D51" t="s">
        <v>27</v>
      </c>
      <c r="E51" t="s">
        <v>32</v>
      </c>
      <c r="F51" t="s">
        <v>29</v>
      </c>
      <c r="G51" t="s">
        <v>57</v>
      </c>
      <c r="H51">
        <v>625</v>
      </c>
      <c r="I51">
        <v>619</v>
      </c>
      <c r="J51">
        <v>6</v>
      </c>
      <c r="K51">
        <v>22</v>
      </c>
      <c r="L51">
        <v>23.22</v>
      </c>
      <c r="M51">
        <v>241.83</v>
      </c>
      <c r="N51">
        <f>_xlfn.XLOOKUP(Table13[[#This Row],[Production_Order_ID]],[1]Sheet1!$A$2:$A$391,[1]Sheet1!$F$2:$F$391,"No Match")</f>
        <v>520</v>
      </c>
      <c r="O51" s="3">
        <f>Table13[[#This Row],[Good_Qty]]/Table13[[#This Row],[Planned_Production]]</f>
        <v>1.1903846153846154</v>
      </c>
      <c r="P51" t="str">
        <f>IF(Table13[[#This Row],[Good_Qty]]&gt;=Table13[[#This Row],[Planned_Production]],"Met","Not Met")</f>
        <v>Met</v>
      </c>
      <c r="Q51">
        <f>Table13[[#This Row],[Good_Qty]]-Table13[[#This Row],[Planned_Production]]</f>
        <v>99</v>
      </c>
      <c r="R51" s="3">
        <f>IF(Table13[[#This Row],[Actual_Qty]]=0,0,Table13[[#This Row],[Reject_Qty]]/Table13[[#This Row],[Actual_Qty]])</f>
        <v>9.5999999999999992E-3</v>
      </c>
      <c r="S51">
        <v>437.49</v>
      </c>
      <c r="T51">
        <f>(Table13[[#This Row],[Ideal_Cycle_Time_sec]]*Table13[[#This Row],[Actual_Qty]])/(Table13[[#This Row],[Operational_Time_min]]*60)</f>
        <v>0.52382149687230939</v>
      </c>
      <c r="U51">
        <f>Table13[[#This Row],[Good_Qty]]/Table13[[#This Row],[Actual_Qty]]</f>
        <v>0.99039999999999995</v>
      </c>
      <c r="V51" t="str">
        <f>IF(OR(Table13[[#This Row],[Performance_%]]&gt;=1,Table13[[#This Row],[Performance_%]]&lt;=0),"Error","OK")</f>
        <v>OK</v>
      </c>
      <c r="W51" t="str">
        <f>IF(OR(Table13[[#This Row],[Quality_%]]&gt;=1,Table13[[#This Row],[Quality_%]]&lt;=0),"Error","OK")</f>
        <v>OK</v>
      </c>
      <c r="X51">
        <f>Table13[[#This Row],[Performance_%]]*Table13[[#This Row],[Quality_%]]*[2]Availability_KPI!K51</f>
        <v>0.50437037037037025</v>
      </c>
      <c r="Y51" t="str">
        <f>IF(OR(Table13[[#This Row],[OEE_%]]&gt;1,Table13[[#This Row],[OEE_%]]&lt;0),"Error","OK")</f>
        <v>OK</v>
      </c>
    </row>
    <row r="52" spans="1:25" x14ac:dyDescent="0.2">
      <c r="A52" t="s">
        <v>108</v>
      </c>
      <c r="B52" t="s">
        <v>106</v>
      </c>
      <c r="C52" s="2">
        <v>46239</v>
      </c>
      <c r="D52" t="s">
        <v>27</v>
      </c>
      <c r="E52" t="s">
        <v>35</v>
      </c>
      <c r="F52" t="s">
        <v>29</v>
      </c>
      <c r="G52" t="s">
        <v>44</v>
      </c>
      <c r="H52">
        <v>626</v>
      </c>
      <c r="I52">
        <v>623</v>
      </c>
      <c r="J52">
        <v>3</v>
      </c>
      <c r="K52">
        <v>24.2</v>
      </c>
      <c r="L52">
        <v>25.54</v>
      </c>
      <c r="M52">
        <v>266.51</v>
      </c>
      <c r="N52">
        <f>_xlfn.XLOOKUP(Table13[[#This Row],[Production_Order_ID]],[1]Sheet1!$A$2:$A$391,[1]Sheet1!$F$2:$F$391,"No Match")</f>
        <v>520</v>
      </c>
      <c r="O52" s="3">
        <f>Table13[[#This Row],[Good_Qty]]/Table13[[#This Row],[Planned_Production]]</f>
        <v>1.198076923076923</v>
      </c>
      <c r="P52" t="str">
        <f>IF(Table13[[#This Row],[Good_Qty]]&gt;=Table13[[#This Row],[Planned_Production]],"Met","Not Met")</f>
        <v>Met</v>
      </c>
      <c r="Q52">
        <f>Table13[[#This Row],[Good_Qty]]-Table13[[#This Row],[Planned_Production]]</f>
        <v>103</v>
      </c>
      <c r="R52" s="3">
        <f>IF(Table13[[#This Row],[Actual_Qty]]=0,0,Table13[[#This Row],[Reject_Qty]]/Table13[[#This Row],[Actual_Qty]])</f>
        <v>4.7923322683706068E-3</v>
      </c>
      <c r="S52">
        <v>436.95</v>
      </c>
      <c r="T52">
        <f>(Table13[[#This Row],[Ideal_Cycle_Time_sec]]*Table13[[#This Row],[Actual_Qty]])/(Table13[[#This Row],[Operational_Time_min]]*60)</f>
        <v>0.5778388068810314</v>
      </c>
      <c r="U52">
        <f>Table13[[#This Row],[Good_Qty]]/Table13[[#This Row],[Actual_Qty]]</f>
        <v>0.99520766773162939</v>
      </c>
      <c r="V52" t="str">
        <f>IF(OR(Table13[[#This Row],[Performance_%]]&gt;=1,Table13[[#This Row],[Performance_%]]&lt;=0),"Error","OK")</f>
        <v>OK</v>
      </c>
      <c r="W52" t="str">
        <f>IF(OR(Table13[[#This Row],[Quality_%]]&gt;=1,Table13[[#This Row],[Quality_%]]&lt;=0),"Error","OK")</f>
        <v>OK</v>
      </c>
      <c r="X52">
        <f>Table13[[#This Row],[Performance_%]]*Table13[[#This Row],[Quality_%]]*[2]Availability_KPI!K52</f>
        <v>0.55839259259259255</v>
      </c>
      <c r="Y52" t="str">
        <f>IF(OR(Table13[[#This Row],[OEE_%]]&gt;1,Table13[[#This Row],[OEE_%]]&lt;0),"Error","OK")</f>
        <v>OK</v>
      </c>
    </row>
    <row r="53" spans="1:25" x14ac:dyDescent="0.2">
      <c r="A53" t="s">
        <v>109</v>
      </c>
      <c r="B53" t="s">
        <v>106</v>
      </c>
      <c r="C53" s="2">
        <v>46239</v>
      </c>
      <c r="D53" t="s">
        <v>27</v>
      </c>
      <c r="E53" t="s">
        <v>38</v>
      </c>
      <c r="F53" t="s">
        <v>29</v>
      </c>
      <c r="G53" t="s">
        <v>44</v>
      </c>
      <c r="H53">
        <v>630</v>
      </c>
      <c r="I53">
        <v>628</v>
      </c>
      <c r="J53">
        <v>2</v>
      </c>
      <c r="K53">
        <v>22</v>
      </c>
      <c r="L53">
        <v>22.84</v>
      </c>
      <c r="M53">
        <v>239.8</v>
      </c>
      <c r="N53">
        <f>_xlfn.XLOOKUP(Table13[[#This Row],[Production_Order_ID]],[1]Sheet1!$A$2:$A$391,[1]Sheet1!$F$2:$F$391,"No Match")</f>
        <v>520</v>
      </c>
      <c r="O53" s="3">
        <f>Table13[[#This Row],[Good_Qty]]/Table13[[#This Row],[Planned_Production]]</f>
        <v>1.2076923076923076</v>
      </c>
      <c r="P53" t="str">
        <f>IF(Table13[[#This Row],[Good_Qty]]&gt;=Table13[[#This Row],[Planned_Production]],"Met","Not Met")</f>
        <v>Met</v>
      </c>
      <c r="Q53">
        <f>Table13[[#This Row],[Good_Qty]]-Table13[[#This Row],[Planned_Production]]</f>
        <v>108</v>
      </c>
      <c r="R53" s="3">
        <f>IF(Table13[[#This Row],[Actual_Qty]]=0,0,Table13[[#This Row],[Reject_Qty]]/Table13[[#This Row],[Actual_Qty]])</f>
        <v>3.1746031746031746E-3</v>
      </c>
      <c r="S53">
        <v>437.49</v>
      </c>
      <c r="T53">
        <f>(Table13[[#This Row],[Ideal_Cycle_Time_sec]]*Table13[[#This Row],[Actual_Qty]])/(Table13[[#This Row],[Operational_Time_min]]*60)</f>
        <v>0.52801206884728791</v>
      </c>
      <c r="U53">
        <f>Table13[[#This Row],[Good_Qty]]/Table13[[#This Row],[Actual_Qty]]</f>
        <v>0.99682539682539684</v>
      </c>
      <c r="V53" t="str">
        <f>IF(OR(Table13[[#This Row],[Performance_%]]&gt;=1,Table13[[#This Row],[Performance_%]]&lt;=0),"Error","OK")</f>
        <v>OK</v>
      </c>
      <c r="W53" t="str">
        <f>IF(OR(Table13[[#This Row],[Quality_%]]&gt;=1,Table13[[#This Row],[Quality_%]]&lt;=0),"Error","OK")</f>
        <v>OK</v>
      </c>
      <c r="X53">
        <f>Table13[[#This Row],[Performance_%]]*Table13[[#This Row],[Quality_%]]*[2]Availability_KPI!K53</f>
        <v>0.51170370370370366</v>
      </c>
      <c r="Y53" t="str">
        <f>IF(OR(Table13[[#This Row],[OEE_%]]&gt;1,Table13[[#This Row],[OEE_%]]&lt;0),"Error","OK")</f>
        <v>OK</v>
      </c>
    </row>
    <row r="54" spans="1:25" x14ac:dyDescent="0.2">
      <c r="A54" t="s">
        <v>110</v>
      </c>
      <c r="B54" t="s">
        <v>106</v>
      </c>
      <c r="C54" s="2">
        <v>46239</v>
      </c>
      <c r="D54" t="s">
        <v>27</v>
      </c>
      <c r="E54" t="s">
        <v>41</v>
      </c>
      <c r="F54" t="s">
        <v>29</v>
      </c>
      <c r="G54" t="s">
        <v>30</v>
      </c>
      <c r="H54">
        <v>623</v>
      </c>
      <c r="I54">
        <v>619</v>
      </c>
      <c r="J54">
        <v>4</v>
      </c>
      <c r="K54">
        <v>19.8</v>
      </c>
      <c r="L54">
        <v>20.63</v>
      </c>
      <c r="M54">
        <v>214.21</v>
      </c>
      <c r="N54">
        <f>_xlfn.XLOOKUP(Table13[[#This Row],[Production_Order_ID]],[1]Sheet1!$A$2:$A$391,[1]Sheet1!$F$2:$F$391,"No Match")</f>
        <v>520</v>
      </c>
      <c r="O54" s="3">
        <f>Table13[[#This Row],[Good_Qty]]/Table13[[#This Row],[Planned_Production]]</f>
        <v>1.1903846153846154</v>
      </c>
      <c r="P54" t="str">
        <f>IF(Table13[[#This Row],[Good_Qty]]&gt;=Table13[[#This Row],[Planned_Production]],"Met","Not Met")</f>
        <v>Met</v>
      </c>
      <c r="Q54">
        <f>Table13[[#This Row],[Good_Qty]]-Table13[[#This Row],[Planned_Production]]</f>
        <v>99</v>
      </c>
      <c r="R54" s="3">
        <f>IF(Table13[[#This Row],[Actual_Qty]]=0,0,Table13[[#This Row],[Reject_Qty]]/Table13[[#This Row],[Actual_Qty]])</f>
        <v>6.420545746388443E-3</v>
      </c>
      <c r="S54">
        <v>438.69</v>
      </c>
      <c r="T54">
        <f>(Table13[[#This Row],[Ideal_Cycle_Time_sec]]*Table13[[#This Row],[Actual_Qty]])/(Table13[[#This Row],[Operational_Time_min]]*60)</f>
        <v>0.46864528482527523</v>
      </c>
      <c r="U54">
        <f>Table13[[#This Row],[Good_Qty]]/Table13[[#This Row],[Actual_Qty]]</f>
        <v>0.9935794542536116</v>
      </c>
      <c r="V54" t="str">
        <f>IF(OR(Table13[[#This Row],[Performance_%]]&gt;=1,Table13[[#This Row],[Performance_%]]&lt;=0),"Error","OK")</f>
        <v>OK</v>
      </c>
      <c r="W54" t="str">
        <f>IF(OR(Table13[[#This Row],[Quality_%]]&gt;=1,Table13[[#This Row],[Quality_%]]&lt;=0),"Error","OK")</f>
        <v>OK</v>
      </c>
      <c r="X54">
        <f>Table13[[#This Row],[Performance_%]]*Table13[[#This Row],[Quality_%]]*[2]Availability_KPI!K54</f>
        <v>0.45393333333333336</v>
      </c>
      <c r="Y54" t="str">
        <f>IF(OR(Table13[[#This Row],[OEE_%]]&gt;1,Table13[[#This Row],[OEE_%]]&lt;0),"Error","OK")</f>
        <v>OK</v>
      </c>
    </row>
    <row r="55" spans="1:25" x14ac:dyDescent="0.2">
      <c r="A55" t="s">
        <v>111</v>
      </c>
      <c r="B55" t="s">
        <v>106</v>
      </c>
      <c r="C55" s="2">
        <v>46239</v>
      </c>
      <c r="D55" t="s">
        <v>27</v>
      </c>
      <c r="E55" t="s">
        <v>43</v>
      </c>
      <c r="F55" t="s">
        <v>29</v>
      </c>
      <c r="G55" t="s">
        <v>57</v>
      </c>
      <c r="H55">
        <v>633</v>
      </c>
      <c r="I55">
        <v>625</v>
      </c>
      <c r="J55">
        <v>8</v>
      </c>
      <c r="K55">
        <v>35.200000000000003</v>
      </c>
      <c r="L55">
        <v>36.57</v>
      </c>
      <c r="M55">
        <v>385.86</v>
      </c>
      <c r="N55">
        <f>_xlfn.XLOOKUP(Table13[[#This Row],[Production_Order_ID]],[1]Sheet1!$A$2:$A$391,[1]Sheet1!$F$2:$F$391,"No Match")</f>
        <v>520</v>
      </c>
      <c r="O55" s="3">
        <f>Table13[[#This Row],[Good_Qty]]/Table13[[#This Row],[Planned_Production]]</f>
        <v>1.2019230769230769</v>
      </c>
      <c r="P55" t="str">
        <f>IF(Table13[[#This Row],[Good_Qty]]&gt;=Table13[[#This Row],[Planned_Production]],"Met","Not Met")</f>
        <v>Met</v>
      </c>
      <c r="Q55">
        <f>Table13[[#This Row],[Good_Qty]]-Table13[[#This Row],[Planned_Production]]</f>
        <v>105</v>
      </c>
      <c r="R55" s="3">
        <f>IF(Table13[[#This Row],[Actual_Qty]]=0,0,Table13[[#This Row],[Reject_Qty]]/Table13[[#This Row],[Actual_Qty]])</f>
        <v>1.2638230647709321E-2</v>
      </c>
      <c r="S55">
        <v>411.36</v>
      </c>
      <c r="T55">
        <f>(Table13[[#This Row],[Ideal_Cycle_Time_sec]]*Table13[[#This Row],[Actual_Qty]])/(Table13[[#This Row],[Operational_Time_min]]*60)</f>
        <v>0.90276157137300661</v>
      </c>
      <c r="U55">
        <f>Table13[[#This Row],[Good_Qty]]/Table13[[#This Row],[Actual_Qty]]</f>
        <v>0.9873617693522907</v>
      </c>
      <c r="V55" t="str">
        <f>IF(OR(Table13[[#This Row],[Performance_%]]&gt;=1,Table13[[#This Row],[Performance_%]]&lt;=0),"Error","OK")</f>
        <v>OK</v>
      </c>
      <c r="W55" t="str">
        <f>IF(OR(Table13[[#This Row],[Quality_%]]&gt;=1,Table13[[#This Row],[Quality_%]]&lt;=0),"Error","OK")</f>
        <v>OK</v>
      </c>
      <c r="X55">
        <f>Table13[[#This Row],[Performance_%]]*Table13[[#This Row],[Quality_%]]*[2]Availability_KPI!K55</f>
        <v>0.81481481481481477</v>
      </c>
      <c r="Y55" t="str">
        <f>IF(OR(Table13[[#This Row],[OEE_%]]&gt;1,Table13[[#This Row],[OEE_%]]&lt;0),"Error","OK")</f>
        <v>OK</v>
      </c>
    </row>
    <row r="56" spans="1:25" x14ac:dyDescent="0.2">
      <c r="A56" t="s">
        <v>112</v>
      </c>
      <c r="B56" t="s">
        <v>106</v>
      </c>
      <c r="C56" s="2">
        <v>46239</v>
      </c>
      <c r="D56" t="s">
        <v>27</v>
      </c>
      <c r="E56" t="s">
        <v>46</v>
      </c>
      <c r="F56" t="s">
        <v>29</v>
      </c>
      <c r="G56" t="s">
        <v>30</v>
      </c>
      <c r="H56">
        <v>628</v>
      </c>
      <c r="I56">
        <v>620</v>
      </c>
      <c r="J56">
        <v>8</v>
      </c>
      <c r="K56">
        <v>27.5</v>
      </c>
      <c r="L56">
        <v>29.21</v>
      </c>
      <c r="M56">
        <v>305.73</v>
      </c>
      <c r="N56">
        <f>_xlfn.XLOOKUP(Table13[[#This Row],[Production_Order_ID]],[1]Sheet1!$A$2:$A$391,[1]Sheet1!$F$2:$F$391,"No Match")</f>
        <v>520</v>
      </c>
      <c r="O56" s="3">
        <f>Table13[[#This Row],[Good_Qty]]/Table13[[#This Row],[Planned_Production]]</f>
        <v>1.1923076923076923</v>
      </c>
      <c r="P56" t="str">
        <f>IF(Table13[[#This Row],[Good_Qty]]&gt;=Table13[[#This Row],[Planned_Production]],"Met","Not Met")</f>
        <v>Met</v>
      </c>
      <c r="Q56">
        <f>Table13[[#This Row],[Good_Qty]]-Table13[[#This Row],[Planned_Production]]</f>
        <v>100</v>
      </c>
      <c r="R56" s="3">
        <f>IF(Table13[[#This Row],[Actual_Qty]]=0,0,Table13[[#This Row],[Reject_Qty]]/Table13[[#This Row],[Actual_Qty]])</f>
        <v>1.2738853503184714E-2</v>
      </c>
      <c r="S56">
        <v>426.17</v>
      </c>
      <c r="T56">
        <f>(Table13[[#This Row],[Ideal_Cycle_Time_sec]]*Table13[[#This Row],[Actual_Qty]])/(Table13[[#This Row],[Operational_Time_min]]*60)</f>
        <v>0.67539557766462521</v>
      </c>
      <c r="U56">
        <f>Table13[[#This Row],[Good_Qty]]/Table13[[#This Row],[Actual_Qty]]</f>
        <v>0.98726114649681529</v>
      </c>
      <c r="V56" t="str">
        <f>IF(OR(Table13[[#This Row],[Performance_%]]&gt;=1,Table13[[#This Row],[Performance_%]]&lt;=0),"Error","OK")</f>
        <v>OK</v>
      </c>
      <c r="W56" t="str">
        <f>IF(OR(Table13[[#This Row],[Quality_%]]&gt;=1,Table13[[#This Row],[Quality_%]]&lt;=0),"Error","OK")</f>
        <v>OK</v>
      </c>
      <c r="X56">
        <f>Table13[[#This Row],[Performance_%]]*Table13[[#This Row],[Quality_%]]*[2]Availability_KPI!K56</f>
        <v>0.63148148148148142</v>
      </c>
      <c r="Y56" t="str">
        <f>IF(OR(Table13[[#This Row],[OEE_%]]&gt;1,Table13[[#This Row],[OEE_%]]&lt;0),"Error","OK")</f>
        <v>OK</v>
      </c>
    </row>
    <row r="57" spans="1:25" x14ac:dyDescent="0.2">
      <c r="A57" t="s">
        <v>113</v>
      </c>
      <c r="B57" t="s">
        <v>106</v>
      </c>
      <c r="C57" s="2">
        <v>46239</v>
      </c>
      <c r="D57" t="s">
        <v>27</v>
      </c>
      <c r="E57" t="s">
        <v>49</v>
      </c>
      <c r="F57" t="s">
        <v>29</v>
      </c>
      <c r="G57" t="s">
        <v>44</v>
      </c>
      <c r="H57">
        <v>634</v>
      </c>
      <c r="I57">
        <v>631</v>
      </c>
      <c r="J57">
        <v>3</v>
      </c>
      <c r="K57">
        <v>22</v>
      </c>
      <c r="L57">
        <v>23.37</v>
      </c>
      <c r="M57">
        <v>246.92</v>
      </c>
      <c r="N57">
        <f>_xlfn.XLOOKUP(Table13[[#This Row],[Production_Order_ID]],[1]Sheet1!$A$2:$A$391,[1]Sheet1!$F$2:$F$391,"No Match")</f>
        <v>520</v>
      </c>
      <c r="O57" s="3">
        <f>Table13[[#This Row],[Good_Qty]]/Table13[[#This Row],[Planned_Production]]</f>
        <v>1.2134615384615384</v>
      </c>
      <c r="P57" t="str">
        <f>IF(Table13[[#This Row],[Good_Qty]]&gt;=Table13[[#This Row],[Planned_Production]],"Met","Not Met")</f>
        <v>Met</v>
      </c>
      <c r="Q57">
        <f>Table13[[#This Row],[Good_Qty]]-Table13[[#This Row],[Planned_Production]]</f>
        <v>111</v>
      </c>
      <c r="R57" s="3">
        <f>IF(Table13[[#This Row],[Actual_Qty]]=0,0,Table13[[#This Row],[Reject_Qty]]/Table13[[#This Row],[Actual_Qty]])</f>
        <v>4.7318611987381704E-3</v>
      </c>
      <c r="S57">
        <v>437.72</v>
      </c>
      <c r="T57">
        <f>(Table13[[#This Row],[Ideal_Cycle_Time_sec]]*Table13[[#This Row],[Actual_Qty]])/(Table13[[#This Row],[Operational_Time_min]]*60)</f>
        <v>0.53108532090529714</v>
      </c>
      <c r="U57">
        <f>Table13[[#This Row],[Good_Qty]]/Table13[[#This Row],[Actual_Qty]]</f>
        <v>0.99526813880126186</v>
      </c>
      <c r="V57" t="str">
        <f>IF(OR(Table13[[#This Row],[Performance_%]]&gt;=1,Table13[[#This Row],[Performance_%]]&lt;=0),"Error","OK")</f>
        <v>OK</v>
      </c>
      <c r="W57" t="str">
        <f>IF(OR(Table13[[#This Row],[Quality_%]]&gt;=1,Table13[[#This Row],[Quality_%]]&lt;=0),"Error","OK")</f>
        <v>OK</v>
      </c>
      <c r="X57">
        <f>Table13[[#This Row],[Performance_%]]*Table13[[#This Row],[Quality_%]]*[2]Availability_KPI!K57</f>
        <v>0.51414814814814824</v>
      </c>
      <c r="Y57" t="str">
        <f>IF(OR(Table13[[#This Row],[OEE_%]]&gt;1,Table13[[#This Row],[OEE_%]]&lt;0),"Error","OK")</f>
        <v>OK</v>
      </c>
    </row>
    <row r="58" spans="1:25" x14ac:dyDescent="0.2">
      <c r="A58" t="s">
        <v>114</v>
      </c>
      <c r="B58" t="s">
        <v>115</v>
      </c>
      <c r="C58" s="2">
        <v>46239</v>
      </c>
      <c r="D58" t="s">
        <v>53</v>
      </c>
      <c r="E58" t="s">
        <v>28</v>
      </c>
      <c r="F58" t="s">
        <v>54</v>
      </c>
      <c r="G58" t="s">
        <v>61</v>
      </c>
      <c r="H58">
        <v>673</v>
      </c>
      <c r="I58">
        <v>669</v>
      </c>
      <c r="J58">
        <v>4</v>
      </c>
      <c r="K58">
        <v>18</v>
      </c>
      <c r="L58">
        <v>18.62</v>
      </c>
      <c r="M58">
        <v>208.84</v>
      </c>
      <c r="N58">
        <f>_xlfn.XLOOKUP(Table13[[#This Row],[Production_Order_ID]],[1]Sheet1!$A$2:$A$391,[1]Sheet1!$F$2:$F$391,"No Match")</f>
        <v>450</v>
      </c>
      <c r="O58" s="3">
        <f>Table13[[#This Row],[Good_Qty]]/Table13[[#This Row],[Planned_Production]]</f>
        <v>1.4866666666666666</v>
      </c>
      <c r="P58" t="str">
        <f>IF(Table13[[#This Row],[Good_Qty]]&gt;=Table13[[#This Row],[Planned_Production]],"Met","Not Met")</f>
        <v>Met</v>
      </c>
      <c r="Q58">
        <f>Table13[[#This Row],[Good_Qty]]-Table13[[#This Row],[Planned_Production]]</f>
        <v>219</v>
      </c>
      <c r="R58" s="3">
        <f>IF(Table13[[#This Row],[Actual_Qty]]=0,0,Table13[[#This Row],[Reject_Qty]]/Table13[[#This Row],[Actual_Qty]])</f>
        <v>5.9435364041604752E-3</v>
      </c>
      <c r="S58">
        <v>439.33</v>
      </c>
      <c r="T58">
        <f>(Table13[[#This Row],[Ideal_Cycle_Time_sec]]*Table13[[#This Row],[Actual_Qty]])/(Table13[[#This Row],[Operational_Time_min]]*60)</f>
        <v>0.45956342612614665</v>
      </c>
      <c r="U58">
        <f>Table13[[#This Row],[Good_Qty]]/Table13[[#This Row],[Actual_Qty]]</f>
        <v>0.99405646359583955</v>
      </c>
      <c r="V58" t="str">
        <f>IF(OR(Table13[[#This Row],[Performance_%]]&gt;=1,Table13[[#This Row],[Performance_%]]&lt;=0),"Error","OK")</f>
        <v>OK</v>
      </c>
      <c r="W58" t="str">
        <f>IF(OR(Table13[[#This Row],[Quality_%]]&gt;=1,Table13[[#This Row],[Quality_%]]&lt;=0),"Error","OK")</f>
        <v>OK</v>
      </c>
      <c r="X58">
        <f>Table13[[#This Row],[Performance_%]]*Table13[[#This Row],[Quality_%]]*[2]Availability_KPI!K58</f>
        <v>0.44600000000000001</v>
      </c>
      <c r="Y58" t="str">
        <f>IF(OR(Table13[[#This Row],[OEE_%]]&gt;1,Table13[[#This Row],[OEE_%]]&lt;0),"Error","OK")</f>
        <v>OK</v>
      </c>
    </row>
    <row r="59" spans="1:25" x14ac:dyDescent="0.2">
      <c r="A59" t="s">
        <v>116</v>
      </c>
      <c r="B59" t="s">
        <v>115</v>
      </c>
      <c r="C59" s="2">
        <v>46239</v>
      </c>
      <c r="D59" t="s">
        <v>53</v>
      </c>
      <c r="E59" t="s">
        <v>32</v>
      </c>
      <c r="F59" t="s">
        <v>54</v>
      </c>
      <c r="G59" t="s">
        <v>61</v>
      </c>
      <c r="H59">
        <v>688</v>
      </c>
      <c r="I59">
        <v>681</v>
      </c>
      <c r="J59">
        <v>7</v>
      </c>
      <c r="K59">
        <v>20</v>
      </c>
      <c r="L59">
        <v>21.71</v>
      </c>
      <c r="M59">
        <v>248.92</v>
      </c>
      <c r="N59">
        <f>_xlfn.XLOOKUP(Table13[[#This Row],[Production_Order_ID]],[1]Sheet1!$A$2:$A$391,[1]Sheet1!$F$2:$F$391,"No Match")</f>
        <v>450</v>
      </c>
      <c r="O59" s="3">
        <f>Table13[[#This Row],[Good_Qty]]/Table13[[#This Row],[Planned_Production]]</f>
        <v>1.5133333333333334</v>
      </c>
      <c r="P59" t="str">
        <f>IF(Table13[[#This Row],[Good_Qty]]&gt;=Table13[[#This Row],[Planned_Production]],"Met","Not Met")</f>
        <v>Met</v>
      </c>
      <c r="Q59">
        <f>Table13[[#This Row],[Good_Qty]]-Table13[[#This Row],[Planned_Production]]</f>
        <v>231</v>
      </c>
      <c r="R59" s="3">
        <f>IF(Table13[[#This Row],[Actual_Qty]]=0,0,Table13[[#This Row],[Reject_Qty]]/Table13[[#This Row],[Actual_Qty]])</f>
        <v>1.0174418604651164E-2</v>
      </c>
      <c r="S59">
        <v>433.89</v>
      </c>
      <c r="T59">
        <f>(Table13[[#This Row],[Ideal_Cycle_Time_sec]]*Table13[[#This Row],[Actual_Qty]])/(Table13[[#This Row],[Operational_Time_min]]*60)</f>
        <v>0.52855178347814735</v>
      </c>
      <c r="U59">
        <f>Table13[[#This Row],[Good_Qty]]/Table13[[#This Row],[Actual_Qty]]</f>
        <v>0.98982558139534882</v>
      </c>
      <c r="V59" t="str">
        <f>IF(OR(Table13[[#This Row],[Performance_%]]&gt;=1,Table13[[#This Row],[Performance_%]]&lt;=0),"Error","OK")</f>
        <v>OK</v>
      </c>
      <c r="W59" t="str">
        <f>IF(OR(Table13[[#This Row],[Quality_%]]&gt;=1,Table13[[#This Row],[Quality_%]]&lt;=0),"Error","OK")</f>
        <v>OK</v>
      </c>
      <c r="X59">
        <f>Table13[[#This Row],[Performance_%]]*Table13[[#This Row],[Quality_%]]*[2]Availability_KPI!K59</f>
        <v>0.50444444444444447</v>
      </c>
      <c r="Y59" t="str">
        <f>IF(OR(Table13[[#This Row],[OEE_%]]&gt;1,Table13[[#This Row],[OEE_%]]&lt;0),"Error","OK")</f>
        <v>OK</v>
      </c>
    </row>
    <row r="60" spans="1:25" x14ac:dyDescent="0.2">
      <c r="A60" t="s">
        <v>117</v>
      </c>
      <c r="B60" t="s">
        <v>115</v>
      </c>
      <c r="C60" s="2">
        <v>46239</v>
      </c>
      <c r="D60" t="s">
        <v>53</v>
      </c>
      <c r="E60" t="s">
        <v>35</v>
      </c>
      <c r="F60" t="s">
        <v>54</v>
      </c>
      <c r="G60" t="s">
        <v>39</v>
      </c>
      <c r="H60">
        <v>680</v>
      </c>
      <c r="I60">
        <v>673</v>
      </c>
      <c r="J60">
        <v>7</v>
      </c>
      <c r="K60">
        <v>22</v>
      </c>
      <c r="L60">
        <v>23.58</v>
      </c>
      <c r="M60">
        <v>267.27</v>
      </c>
      <c r="N60">
        <f>_xlfn.XLOOKUP(Table13[[#This Row],[Production_Order_ID]],[1]Sheet1!$A$2:$A$391,[1]Sheet1!$F$2:$F$391,"No Match")</f>
        <v>450</v>
      </c>
      <c r="O60" s="3">
        <f>Table13[[#This Row],[Good_Qty]]/Table13[[#This Row],[Planned_Production]]</f>
        <v>1.4955555555555555</v>
      </c>
      <c r="P60" t="str">
        <f>IF(Table13[[#This Row],[Good_Qty]]&gt;=Table13[[#This Row],[Planned_Production]],"Met","Not Met")</f>
        <v>Met</v>
      </c>
      <c r="Q60">
        <f>Table13[[#This Row],[Good_Qty]]-Table13[[#This Row],[Planned_Production]]</f>
        <v>223</v>
      </c>
      <c r="R60" s="3">
        <f>IF(Table13[[#This Row],[Actual_Qty]]=0,0,Table13[[#This Row],[Reject_Qty]]/Table13[[#This Row],[Actual_Qty]])</f>
        <v>1.0294117647058823E-2</v>
      </c>
      <c r="S60">
        <v>436.54</v>
      </c>
      <c r="T60">
        <f>(Table13[[#This Row],[Ideal_Cycle_Time_sec]]*Table13[[#This Row],[Actual_Qty]])/(Table13[[#This Row],[Operational_Time_min]]*60)</f>
        <v>0.57115804584535967</v>
      </c>
      <c r="U60">
        <f>Table13[[#This Row],[Good_Qty]]/Table13[[#This Row],[Actual_Qty]]</f>
        <v>0.98970588235294121</v>
      </c>
      <c r="V60" t="str">
        <f>IF(OR(Table13[[#This Row],[Performance_%]]&gt;=1,Table13[[#This Row],[Performance_%]]&lt;=0),"Error","OK")</f>
        <v>OK</v>
      </c>
      <c r="W60" t="str">
        <f>IF(OR(Table13[[#This Row],[Quality_%]]&gt;=1,Table13[[#This Row],[Quality_%]]&lt;=0),"Error","OK")</f>
        <v>OK</v>
      </c>
      <c r="X60">
        <f>Table13[[#This Row],[Performance_%]]*Table13[[#This Row],[Quality_%]]*[2]Availability_KPI!K60</f>
        <v>0.54837037037037029</v>
      </c>
      <c r="Y60" t="str">
        <f>IF(OR(Table13[[#This Row],[OEE_%]]&gt;1,Table13[[#This Row],[OEE_%]]&lt;0),"Error","OK")</f>
        <v>OK</v>
      </c>
    </row>
    <row r="61" spans="1:25" x14ac:dyDescent="0.2">
      <c r="A61" t="s">
        <v>118</v>
      </c>
      <c r="B61" t="s">
        <v>115</v>
      </c>
      <c r="C61" s="2">
        <v>46239</v>
      </c>
      <c r="D61" t="s">
        <v>53</v>
      </c>
      <c r="E61" t="s">
        <v>38</v>
      </c>
      <c r="F61" t="s">
        <v>54</v>
      </c>
      <c r="G61" t="s">
        <v>57</v>
      </c>
      <c r="H61">
        <v>684</v>
      </c>
      <c r="I61">
        <v>681</v>
      </c>
      <c r="J61">
        <v>3</v>
      </c>
      <c r="K61">
        <v>20</v>
      </c>
      <c r="L61">
        <v>21.68</v>
      </c>
      <c r="M61">
        <v>247.18</v>
      </c>
      <c r="N61">
        <f>_xlfn.XLOOKUP(Table13[[#This Row],[Production_Order_ID]],[1]Sheet1!$A$2:$A$391,[1]Sheet1!$F$2:$F$391,"No Match")</f>
        <v>450</v>
      </c>
      <c r="O61" s="3">
        <f>Table13[[#This Row],[Good_Qty]]/Table13[[#This Row],[Planned_Production]]</f>
        <v>1.5133333333333334</v>
      </c>
      <c r="P61" t="str">
        <f>IF(Table13[[#This Row],[Good_Qty]]&gt;=Table13[[#This Row],[Planned_Production]],"Met","Not Met")</f>
        <v>Met</v>
      </c>
      <c r="Q61">
        <f>Table13[[#This Row],[Good_Qty]]-Table13[[#This Row],[Planned_Production]]</f>
        <v>231</v>
      </c>
      <c r="R61" s="3">
        <f>IF(Table13[[#This Row],[Actual_Qty]]=0,0,Table13[[#This Row],[Reject_Qty]]/Table13[[#This Row],[Actual_Qty]])</f>
        <v>4.3859649122807015E-3</v>
      </c>
      <c r="S61">
        <v>436.5</v>
      </c>
      <c r="T61">
        <f>(Table13[[#This Row],[Ideal_Cycle_Time_sec]]*Table13[[#This Row],[Actual_Qty]])/(Table13[[#This Row],[Operational_Time_min]]*60)</f>
        <v>0.5223367697594502</v>
      </c>
      <c r="U61">
        <f>Table13[[#This Row],[Good_Qty]]/Table13[[#This Row],[Actual_Qty]]</f>
        <v>0.99561403508771928</v>
      </c>
      <c r="V61" t="str">
        <f>IF(OR(Table13[[#This Row],[Performance_%]]&gt;=1,Table13[[#This Row],[Performance_%]]&lt;=0),"Error","OK")</f>
        <v>OK</v>
      </c>
      <c r="W61" t="str">
        <f>IF(OR(Table13[[#This Row],[Quality_%]]&gt;=1,Table13[[#This Row],[Quality_%]]&lt;=0),"Error","OK")</f>
        <v>OK</v>
      </c>
      <c r="X61">
        <f>Table13[[#This Row],[Performance_%]]*Table13[[#This Row],[Quality_%]]*[2]Availability_KPI!K61</f>
        <v>0.50444444444444447</v>
      </c>
      <c r="Y61" t="str">
        <f>IF(OR(Table13[[#This Row],[OEE_%]]&gt;1,Table13[[#This Row],[OEE_%]]&lt;0),"Error","OK")</f>
        <v>OK</v>
      </c>
    </row>
    <row r="62" spans="1:25" x14ac:dyDescent="0.2">
      <c r="A62" t="s">
        <v>119</v>
      </c>
      <c r="B62" t="s">
        <v>115</v>
      </c>
      <c r="C62" s="2">
        <v>46239</v>
      </c>
      <c r="D62" t="s">
        <v>53</v>
      </c>
      <c r="E62" t="s">
        <v>41</v>
      </c>
      <c r="F62" t="s">
        <v>54</v>
      </c>
      <c r="G62" t="s">
        <v>47</v>
      </c>
      <c r="H62">
        <v>676</v>
      </c>
      <c r="I62">
        <v>672</v>
      </c>
      <c r="J62">
        <v>4</v>
      </c>
      <c r="K62">
        <v>18</v>
      </c>
      <c r="L62">
        <v>19.25</v>
      </c>
      <c r="M62">
        <v>216.92</v>
      </c>
      <c r="N62">
        <f>_xlfn.XLOOKUP(Table13[[#This Row],[Production_Order_ID]],[1]Sheet1!$A$2:$A$391,[1]Sheet1!$F$2:$F$391,"No Match")</f>
        <v>450</v>
      </c>
      <c r="O62" s="3">
        <f>Table13[[#This Row],[Good_Qty]]/Table13[[#This Row],[Planned_Production]]</f>
        <v>1.4933333333333334</v>
      </c>
      <c r="P62" t="str">
        <f>IF(Table13[[#This Row],[Good_Qty]]&gt;=Table13[[#This Row],[Planned_Production]],"Met","Not Met")</f>
        <v>Met</v>
      </c>
      <c r="Q62">
        <f>Table13[[#This Row],[Good_Qty]]-Table13[[#This Row],[Planned_Production]]</f>
        <v>222</v>
      </c>
      <c r="R62" s="3">
        <f>IF(Table13[[#This Row],[Actual_Qty]]=0,0,Table13[[#This Row],[Reject_Qty]]/Table13[[#This Row],[Actual_Qty]])</f>
        <v>5.9171597633136093E-3</v>
      </c>
      <c r="S62">
        <v>433.92</v>
      </c>
      <c r="T62">
        <f>(Table13[[#This Row],[Ideal_Cycle_Time_sec]]*Table13[[#This Row],[Actual_Qty]])/(Table13[[#This Row],[Operational_Time_min]]*60)</f>
        <v>0.4673672566371681</v>
      </c>
      <c r="U62">
        <f>Table13[[#This Row],[Good_Qty]]/Table13[[#This Row],[Actual_Qty]]</f>
        <v>0.99408284023668636</v>
      </c>
      <c r="V62" t="str">
        <f>IF(OR(Table13[[#This Row],[Performance_%]]&gt;=1,Table13[[#This Row],[Performance_%]]&lt;=0),"Error","OK")</f>
        <v>OK</v>
      </c>
      <c r="W62" t="str">
        <f>IF(OR(Table13[[#This Row],[Quality_%]]&gt;=1,Table13[[#This Row],[Quality_%]]&lt;=0),"Error","OK")</f>
        <v>OK</v>
      </c>
      <c r="X62">
        <f>Table13[[#This Row],[Performance_%]]*Table13[[#This Row],[Quality_%]]*[2]Availability_KPI!K62</f>
        <v>0.44799999999999995</v>
      </c>
      <c r="Y62" t="str">
        <f>IF(OR(Table13[[#This Row],[OEE_%]]&gt;1,Table13[[#This Row],[OEE_%]]&lt;0),"Error","OK")</f>
        <v>OK</v>
      </c>
    </row>
    <row r="63" spans="1:25" x14ac:dyDescent="0.2">
      <c r="A63" t="s">
        <v>120</v>
      </c>
      <c r="B63" t="s">
        <v>115</v>
      </c>
      <c r="C63" s="2">
        <v>46239</v>
      </c>
      <c r="D63" t="s">
        <v>53</v>
      </c>
      <c r="E63" t="s">
        <v>43</v>
      </c>
      <c r="F63" t="s">
        <v>54</v>
      </c>
      <c r="G63" t="s">
        <v>55</v>
      </c>
      <c r="H63">
        <v>680</v>
      </c>
      <c r="I63">
        <v>668</v>
      </c>
      <c r="J63">
        <v>12</v>
      </c>
      <c r="K63">
        <v>32</v>
      </c>
      <c r="L63">
        <v>34.44</v>
      </c>
      <c r="M63">
        <v>390.35</v>
      </c>
      <c r="N63">
        <f>_xlfn.XLOOKUP(Table13[[#This Row],[Production_Order_ID]],[1]Sheet1!$A$2:$A$391,[1]Sheet1!$F$2:$F$391,"No Match")</f>
        <v>450</v>
      </c>
      <c r="O63" s="3">
        <f>Table13[[#This Row],[Good_Qty]]/Table13[[#This Row],[Planned_Production]]</f>
        <v>1.4844444444444445</v>
      </c>
      <c r="P63" t="str">
        <f>IF(Table13[[#This Row],[Good_Qty]]&gt;=Table13[[#This Row],[Planned_Production]],"Met","Not Met")</f>
        <v>Met</v>
      </c>
      <c r="Q63">
        <f>Table13[[#This Row],[Good_Qty]]-Table13[[#This Row],[Planned_Production]]</f>
        <v>218</v>
      </c>
      <c r="R63" s="3">
        <f>IF(Table13[[#This Row],[Actual_Qty]]=0,0,Table13[[#This Row],[Reject_Qty]]/Table13[[#This Row],[Actual_Qty]])</f>
        <v>1.7647058823529412E-2</v>
      </c>
      <c r="S63">
        <v>413.08</v>
      </c>
      <c r="T63">
        <f>(Table13[[#This Row],[Ideal_Cycle_Time_sec]]*Table13[[#This Row],[Actual_Qty]])/(Table13[[#This Row],[Operational_Time_min]]*60)</f>
        <v>0.87795745779671419</v>
      </c>
      <c r="U63">
        <f>Table13[[#This Row],[Good_Qty]]/Table13[[#This Row],[Actual_Qty]]</f>
        <v>0.98235294117647054</v>
      </c>
      <c r="V63" t="str">
        <f>IF(OR(Table13[[#This Row],[Performance_%]]&gt;=1,Table13[[#This Row],[Performance_%]]&lt;=0),"Error","OK")</f>
        <v>OK</v>
      </c>
      <c r="W63" t="str">
        <f>IF(OR(Table13[[#This Row],[Quality_%]]&gt;=1,Table13[[#This Row],[Quality_%]]&lt;=0),"Error","OK")</f>
        <v>OK</v>
      </c>
      <c r="X63">
        <f>Table13[[#This Row],[Performance_%]]*Table13[[#This Row],[Quality_%]]*[2]Availability_KPI!K63</f>
        <v>0.79170370370370369</v>
      </c>
      <c r="Y63" t="str">
        <f>IF(OR(Table13[[#This Row],[OEE_%]]&gt;1,Table13[[#This Row],[OEE_%]]&lt;0),"Error","OK")</f>
        <v>OK</v>
      </c>
    </row>
    <row r="64" spans="1:25" x14ac:dyDescent="0.2">
      <c r="A64" t="s">
        <v>121</v>
      </c>
      <c r="B64" t="s">
        <v>115</v>
      </c>
      <c r="C64" s="2">
        <v>46239</v>
      </c>
      <c r="D64" t="s">
        <v>53</v>
      </c>
      <c r="E64" t="s">
        <v>46</v>
      </c>
      <c r="F64" t="s">
        <v>54</v>
      </c>
      <c r="G64" t="s">
        <v>61</v>
      </c>
      <c r="H64">
        <v>682</v>
      </c>
      <c r="I64">
        <v>674</v>
      </c>
      <c r="J64">
        <v>8</v>
      </c>
      <c r="K64">
        <v>25</v>
      </c>
      <c r="L64">
        <v>26.8</v>
      </c>
      <c r="M64">
        <v>304.62</v>
      </c>
      <c r="N64">
        <f>_xlfn.XLOOKUP(Table13[[#This Row],[Production_Order_ID]],[1]Sheet1!$A$2:$A$391,[1]Sheet1!$F$2:$F$391,"No Match")</f>
        <v>450</v>
      </c>
      <c r="O64" s="3">
        <f>Table13[[#This Row],[Good_Qty]]/Table13[[#This Row],[Planned_Production]]</f>
        <v>1.4977777777777779</v>
      </c>
      <c r="P64" t="str">
        <f>IF(Table13[[#This Row],[Good_Qty]]&gt;=Table13[[#This Row],[Planned_Production]],"Met","Not Met")</f>
        <v>Met</v>
      </c>
      <c r="Q64">
        <f>Table13[[#This Row],[Good_Qty]]-Table13[[#This Row],[Planned_Production]]</f>
        <v>224</v>
      </c>
      <c r="R64" s="3">
        <f>IF(Table13[[#This Row],[Actual_Qty]]=0,0,Table13[[#This Row],[Reject_Qty]]/Table13[[#This Row],[Actual_Qty]])</f>
        <v>1.1730205278592375E-2</v>
      </c>
      <c r="S64">
        <v>425.51</v>
      </c>
      <c r="T64">
        <f>(Table13[[#This Row],[Ideal_Cycle_Time_sec]]*Table13[[#This Row],[Actual_Qty]])/(Table13[[#This Row],[Operational_Time_min]]*60)</f>
        <v>0.66782605970874176</v>
      </c>
      <c r="U64">
        <f>Table13[[#This Row],[Good_Qty]]/Table13[[#This Row],[Actual_Qty]]</f>
        <v>0.98826979472140764</v>
      </c>
      <c r="V64" t="str">
        <f>IF(OR(Table13[[#This Row],[Performance_%]]&gt;=1,Table13[[#This Row],[Performance_%]]&lt;=0),"Error","OK")</f>
        <v>OK</v>
      </c>
      <c r="W64" t="str">
        <f>IF(OR(Table13[[#This Row],[Quality_%]]&gt;=1,Table13[[#This Row],[Quality_%]]&lt;=0),"Error","OK")</f>
        <v>OK</v>
      </c>
      <c r="X64">
        <f>Table13[[#This Row],[Performance_%]]*Table13[[#This Row],[Quality_%]]*[2]Availability_KPI!K64</f>
        <v>0.62407407407407411</v>
      </c>
      <c r="Y64" t="str">
        <f>IF(OR(Table13[[#This Row],[OEE_%]]&gt;1,Table13[[#This Row],[OEE_%]]&lt;0),"Error","OK")</f>
        <v>OK</v>
      </c>
    </row>
    <row r="65" spans="1:25" x14ac:dyDescent="0.2">
      <c r="A65" t="s">
        <v>122</v>
      </c>
      <c r="B65" t="s">
        <v>115</v>
      </c>
      <c r="C65" s="2">
        <v>46239</v>
      </c>
      <c r="D65" t="s">
        <v>53</v>
      </c>
      <c r="E65" t="s">
        <v>49</v>
      </c>
      <c r="F65" t="s">
        <v>54</v>
      </c>
      <c r="G65" t="s">
        <v>50</v>
      </c>
      <c r="H65">
        <v>681</v>
      </c>
      <c r="I65">
        <v>676</v>
      </c>
      <c r="J65">
        <v>5</v>
      </c>
      <c r="K65">
        <v>20</v>
      </c>
      <c r="L65">
        <v>20</v>
      </c>
      <c r="M65">
        <v>227</v>
      </c>
      <c r="N65">
        <f>_xlfn.XLOOKUP(Table13[[#This Row],[Production_Order_ID]],[1]Sheet1!$A$2:$A$391,[1]Sheet1!$F$2:$F$391,"No Match")</f>
        <v>450</v>
      </c>
      <c r="O65" s="3">
        <f>Table13[[#This Row],[Good_Qty]]/Table13[[#This Row],[Planned_Production]]</f>
        <v>1.5022222222222221</v>
      </c>
      <c r="P65" t="str">
        <f>IF(Table13[[#This Row],[Good_Qty]]&gt;=Table13[[#This Row],[Planned_Production]],"Met","Not Met")</f>
        <v>Met</v>
      </c>
      <c r="Q65">
        <f>Table13[[#This Row],[Good_Qty]]-Table13[[#This Row],[Planned_Production]]</f>
        <v>226</v>
      </c>
      <c r="R65" s="3">
        <f>IF(Table13[[#This Row],[Actual_Qty]]=0,0,Table13[[#This Row],[Reject_Qty]]/Table13[[#This Row],[Actual_Qty]])</f>
        <v>7.3421439060205578E-3</v>
      </c>
      <c r="S65">
        <v>450</v>
      </c>
      <c r="T65">
        <f>(Table13[[#This Row],[Ideal_Cycle_Time_sec]]*Table13[[#This Row],[Actual_Qty]])/(Table13[[#This Row],[Operational_Time_min]]*60)</f>
        <v>0.50444444444444447</v>
      </c>
      <c r="U65">
        <f>Table13[[#This Row],[Good_Qty]]/Table13[[#This Row],[Actual_Qty]]</f>
        <v>0.9926578560939795</v>
      </c>
      <c r="V65" t="str">
        <f>IF(OR(Table13[[#This Row],[Performance_%]]&gt;=1,Table13[[#This Row],[Performance_%]]&lt;=0),"Error","OK")</f>
        <v>OK</v>
      </c>
      <c r="W65" t="str">
        <f>IF(OR(Table13[[#This Row],[Quality_%]]&gt;=1,Table13[[#This Row],[Quality_%]]&lt;=0),"Error","OK")</f>
        <v>OK</v>
      </c>
      <c r="X65">
        <f>Table13[[#This Row],[Performance_%]]*Table13[[#This Row],[Quality_%]]*[2]Availability_KPI!K65</f>
        <v>0.50074074074074082</v>
      </c>
      <c r="Y65" t="str">
        <f>IF(OR(Table13[[#This Row],[OEE_%]]&gt;1,Table13[[#This Row],[OEE_%]]&lt;0),"Error","OK")</f>
        <v>OK</v>
      </c>
    </row>
    <row r="66" spans="1:25" x14ac:dyDescent="0.2">
      <c r="A66" t="s">
        <v>123</v>
      </c>
      <c r="B66" t="s">
        <v>124</v>
      </c>
      <c r="C66" s="2">
        <v>46239</v>
      </c>
      <c r="D66" t="s">
        <v>67</v>
      </c>
      <c r="E66" t="s">
        <v>28</v>
      </c>
      <c r="F66" t="s">
        <v>29</v>
      </c>
      <c r="G66" t="s">
        <v>55</v>
      </c>
      <c r="H66">
        <v>619</v>
      </c>
      <c r="I66">
        <v>617</v>
      </c>
      <c r="J66">
        <v>2</v>
      </c>
      <c r="K66">
        <v>19.8</v>
      </c>
      <c r="L66">
        <v>20.170000000000002</v>
      </c>
      <c r="M66">
        <v>208.12</v>
      </c>
      <c r="N66">
        <f>_xlfn.XLOOKUP(Table13[[#This Row],[Production_Order_ID]],[1]Sheet1!$A$2:$A$391,[1]Sheet1!$F$2:$F$391,"No Match")</f>
        <v>510</v>
      </c>
      <c r="O66" s="3">
        <f>Table13[[#This Row],[Good_Qty]]/Table13[[#This Row],[Planned_Production]]</f>
        <v>1.2098039215686274</v>
      </c>
      <c r="P66" t="str">
        <f>IF(Table13[[#This Row],[Good_Qty]]&gt;=Table13[[#This Row],[Planned_Production]],"Met","Not Met")</f>
        <v>Met</v>
      </c>
      <c r="Q66">
        <f>Table13[[#This Row],[Good_Qty]]-Table13[[#This Row],[Planned_Production]]</f>
        <v>107</v>
      </c>
      <c r="R66" s="3">
        <f>IF(Table13[[#This Row],[Actual_Qty]]=0,0,Table13[[#This Row],[Reject_Qty]]/Table13[[#This Row],[Actual_Qty]])</f>
        <v>3.2310177705977385E-3</v>
      </c>
      <c r="S66">
        <v>441.84</v>
      </c>
      <c r="T66">
        <f>(Table13[[#This Row],[Ideal_Cycle_Time_sec]]*Table13[[#This Row],[Actual_Qty]])/(Table13[[#This Row],[Operational_Time_min]]*60)</f>
        <v>0.46231667571971763</v>
      </c>
      <c r="U66">
        <f>Table13[[#This Row],[Good_Qty]]/Table13[[#This Row],[Actual_Qty]]</f>
        <v>0.99676898222940225</v>
      </c>
      <c r="V66" t="str">
        <f>IF(OR(Table13[[#This Row],[Performance_%]]&gt;=1,Table13[[#This Row],[Performance_%]]&lt;=0),"Error","OK")</f>
        <v>OK</v>
      </c>
      <c r="W66" t="str">
        <f>IF(OR(Table13[[#This Row],[Quality_%]]&gt;=1,Table13[[#This Row],[Quality_%]]&lt;=0),"Error","OK")</f>
        <v>OK</v>
      </c>
      <c r="X66">
        <f>Table13[[#This Row],[Performance_%]]*Table13[[#This Row],[Quality_%]]*[2]Availability_KPI!K66</f>
        <v>0.45246666666666674</v>
      </c>
      <c r="Y66" t="str">
        <f>IF(OR(Table13[[#This Row],[OEE_%]]&gt;1,Table13[[#This Row],[OEE_%]]&lt;0),"Error","OK")</f>
        <v>OK</v>
      </c>
    </row>
    <row r="67" spans="1:25" x14ac:dyDescent="0.2">
      <c r="A67" t="s">
        <v>125</v>
      </c>
      <c r="B67" t="s">
        <v>124</v>
      </c>
      <c r="C67" s="2">
        <v>46239</v>
      </c>
      <c r="D67" t="s">
        <v>67</v>
      </c>
      <c r="E67" t="s">
        <v>32</v>
      </c>
      <c r="F67" t="s">
        <v>29</v>
      </c>
      <c r="G67" t="s">
        <v>71</v>
      </c>
      <c r="H67">
        <v>623</v>
      </c>
      <c r="I67">
        <v>617</v>
      </c>
      <c r="J67">
        <v>6</v>
      </c>
      <c r="K67">
        <v>22</v>
      </c>
      <c r="L67">
        <v>24.04</v>
      </c>
      <c r="M67">
        <v>249.67</v>
      </c>
      <c r="N67">
        <f>_xlfn.XLOOKUP(Table13[[#This Row],[Production_Order_ID]],[1]Sheet1!$A$2:$A$391,[1]Sheet1!$F$2:$F$391,"No Match")</f>
        <v>510</v>
      </c>
      <c r="O67" s="3">
        <f>Table13[[#This Row],[Good_Qty]]/Table13[[#This Row],[Planned_Production]]</f>
        <v>1.2098039215686274</v>
      </c>
      <c r="P67" t="str">
        <f>IF(Table13[[#This Row],[Good_Qty]]&gt;=Table13[[#This Row],[Planned_Production]],"Met","Not Met")</f>
        <v>Met</v>
      </c>
      <c r="Q67">
        <f>Table13[[#This Row],[Good_Qty]]-Table13[[#This Row],[Planned_Production]]</f>
        <v>107</v>
      </c>
      <c r="R67" s="3">
        <f>IF(Table13[[#This Row],[Actual_Qty]]=0,0,Table13[[#This Row],[Reject_Qty]]/Table13[[#This Row],[Actual_Qty]])</f>
        <v>9.630818619582664E-3</v>
      </c>
      <c r="S67">
        <v>434.2</v>
      </c>
      <c r="T67">
        <f>(Table13[[#This Row],[Ideal_Cycle_Time_sec]]*Table13[[#This Row],[Actual_Qty]])/(Table13[[#This Row],[Operational_Time_min]]*60)</f>
        <v>0.5261016428681099</v>
      </c>
      <c r="U67">
        <f>Table13[[#This Row],[Good_Qty]]/Table13[[#This Row],[Actual_Qty]]</f>
        <v>0.9903691813804173</v>
      </c>
      <c r="V67" t="str">
        <f>IF(OR(Table13[[#This Row],[Performance_%]]&gt;=1,Table13[[#This Row],[Performance_%]]&lt;=0),"Error","OK")</f>
        <v>OK</v>
      </c>
      <c r="W67" t="str">
        <f>IF(OR(Table13[[#This Row],[Quality_%]]&gt;=1,Table13[[#This Row],[Quality_%]]&lt;=0),"Error","OK")</f>
        <v>OK</v>
      </c>
      <c r="X67">
        <f>Table13[[#This Row],[Performance_%]]*Table13[[#This Row],[Quality_%]]*[2]Availability_KPI!K67</f>
        <v>0.50274074074074071</v>
      </c>
      <c r="Y67" t="str">
        <f>IF(OR(Table13[[#This Row],[OEE_%]]&gt;1,Table13[[#This Row],[OEE_%]]&lt;0),"Error","OK")</f>
        <v>OK</v>
      </c>
    </row>
    <row r="68" spans="1:25" x14ac:dyDescent="0.2">
      <c r="A68" t="s">
        <v>126</v>
      </c>
      <c r="B68" t="s">
        <v>124</v>
      </c>
      <c r="C68" s="2">
        <v>46239</v>
      </c>
      <c r="D68" t="s">
        <v>67</v>
      </c>
      <c r="E68" t="s">
        <v>35</v>
      </c>
      <c r="F68" t="s">
        <v>29</v>
      </c>
      <c r="G68" t="s">
        <v>71</v>
      </c>
      <c r="H68">
        <v>629</v>
      </c>
      <c r="I68">
        <v>627</v>
      </c>
      <c r="J68">
        <v>2</v>
      </c>
      <c r="K68">
        <v>24.2</v>
      </c>
      <c r="L68">
        <v>26.85</v>
      </c>
      <c r="M68">
        <v>281.45</v>
      </c>
      <c r="N68">
        <f>_xlfn.XLOOKUP(Table13[[#This Row],[Production_Order_ID]],[1]Sheet1!$A$2:$A$391,[1]Sheet1!$F$2:$F$391,"No Match")</f>
        <v>510</v>
      </c>
      <c r="O68" s="3">
        <f>Table13[[#This Row],[Good_Qty]]/Table13[[#This Row],[Planned_Production]]</f>
        <v>1.2294117647058824</v>
      </c>
      <c r="P68" t="str">
        <f>IF(Table13[[#This Row],[Good_Qty]]&gt;=Table13[[#This Row],[Planned_Production]],"Met","Not Met")</f>
        <v>Met</v>
      </c>
      <c r="Q68">
        <f>Table13[[#This Row],[Good_Qty]]-Table13[[#This Row],[Planned_Production]]</f>
        <v>117</v>
      </c>
      <c r="R68" s="3">
        <f>IF(Table13[[#This Row],[Actual_Qty]]=0,0,Table13[[#This Row],[Reject_Qty]]/Table13[[#This Row],[Actual_Qty]])</f>
        <v>3.1796502384737681E-3</v>
      </c>
      <c r="S68">
        <v>427.81</v>
      </c>
      <c r="T68">
        <f>(Table13[[#This Row],[Ideal_Cycle_Time_sec]]*Table13[[#This Row],[Actual_Qty]])/(Table13[[#This Row],[Operational_Time_min]]*60)</f>
        <v>0.59301247438504634</v>
      </c>
      <c r="U68">
        <f>Table13[[#This Row],[Good_Qty]]/Table13[[#This Row],[Actual_Qty]]</f>
        <v>0.99682034976152623</v>
      </c>
      <c r="V68" t="str">
        <f>IF(OR(Table13[[#This Row],[Performance_%]]&gt;=1,Table13[[#This Row],[Performance_%]]&lt;=0),"Error","OK")</f>
        <v>OK</v>
      </c>
      <c r="W68" t="str">
        <f>IF(OR(Table13[[#This Row],[Quality_%]]&gt;=1,Table13[[#This Row],[Quality_%]]&lt;=0),"Error","OK")</f>
        <v>OK</v>
      </c>
      <c r="X68">
        <f>Table13[[#This Row],[Performance_%]]*Table13[[#This Row],[Quality_%]]*[2]Availability_KPI!K68</f>
        <v>0.5619777777777778</v>
      </c>
      <c r="Y68" t="str">
        <f>IF(OR(Table13[[#This Row],[OEE_%]]&gt;1,Table13[[#This Row],[OEE_%]]&lt;0),"Error","OK")</f>
        <v>OK</v>
      </c>
    </row>
    <row r="69" spans="1:25" x14ac:dyDescent="0.2">
      <c r="A69" t="s">
        <v>127</v>
      </c>
      <c r="B69" t="s">
        <v>124</v>
      </c>
      <c r="C69" s="2">
        <v>46239</v>
      </c>
      <c r="D69" t="s">
        <v>67</v>
      </c>
      <c r="E69" t="s">
        <v>38</v>
      </c>
      <c r="F69" t="s">
        <v>29</v>
      </c>
      <c r="G69" t="s">
        <v>75</v>
      </c>
      <c r="H69">
        <v>635</v>
      </c>
      <c r="I69">
        <v>632</v>
      </c>
      <c r="J69">
        <v>3</v>
      </c>
      <c r="K69">
        <v>22</v>
      </c>
      <c r="L69">
        <v>22.72</v>
      </c>
      <c r="M69">
        <v>240.5</v>
      </c>
      <c r="N69">
        <f>_xlfn.XLOOKUP(Table13[[#This Row],[Production_Order_ID]],[1]Sheet1!$A$2:$A$391,[1]Sheet1!$F$2:$F$391,"No Match")</f>
        <v>510</v>
      </c>
      <c r="O69" s="3">
        <f>Table13[[#This Row],[Good_Qty]]/Table13[[#This Row],[Planned_Production]]</f>
        <v>1.2392156862745098</v>
      </c>
      <c r="P69" t="str">
        <f>IF(Table13[[#This Row],[Good_Qty]]&gt;=Table13[[#This Row],[Planned_Production]],"Met","Not Met")</f>
        <v>Met</v>
      </c>
      <c r="Q69">
        <f>Table13[[#This Row],[Good_Qty]]-Table13[[#This Row],[Planned_Production]]</f>
        <v>122</v>
      </c>
      <c r="R69" s="3">
        <f>IF(Table13[[#This Row],[Actual_Qty]]=0,0,Table13[[#This Row],[Reject_Qty]]/Table13[[#This Row],[Actual_Qty]])</f>
        <v>4.7244094488188976E-3</v>
      </c>
      <c r="S69">
        <v>435.13</v>
      </c>
      <c r="T69">
        <f>(Table13[[#This Row],[Ideal_Cycle_Time_sec]]*Table13[[#This Row],[Actual_Qty]])/(Table13[[#This Row],[Operational_Time_min]]*60)</f>
        <v>0.53508913045143602</v>
      </c>
      <c r="U69">
        <f>Table13[[#This Row],[Good_Qty]]/Table13[[#This Row],[Actual_Qty]]</f>
        <v>0.99527559055118109</v>
      </c>
      <c r="V69" t="str">
        <f>IF(OR(Table13[[#This Row],[Performance_%]]&gt;=1,Table13[[#This Row],[Performance_%]]&lt;=0),"Error","OK")</f>
        <v>OK</v>
      </c>
      <c r="W69" t="str">
        <f>IF(OR(Table13[[#This Row],[Quality_%]]&gt;=1,Table13[[#This Row],[Quality_%]]&lt;=0),"Error","OK")</f>
        <v>OK</v>
      </c>
      <c r="X69">
        <f>Table13[[#This Row],[Performance_%]]*Table13[[#This Row],[Quality_%]]*[2]Availability_KPI!K69</f>
        <v>0.51496296296296307</v>
      </c>
      <c r="Y69" t="str">
        <f>IF(OR(Table13[[#This Row],[OEE_%]]&gt;1,Table13[[#This Row],[OEE_%]]&lt;0),"Error","OK")</f>
        <v>OK</v>
      </c>
    </row>
    <row r="70" spans="1:25" x14ac:dyDescent="0.2">
      <c r="A70" t="s">
        <v>128</v>
      </c>
      <c r="B70" t="s">
        <v>124</v>
      </c>
      <c r="C70" s="2">
        <v>46239</v>
      </c>
      <c r="D70" t="s">
        <v>67</v>
      </c>
      <c r="E70" t="s">
        <v>41</v>
      </c>
      <c r="F70" t="s">
        <v>29</v>
      </c>
      <c r="G70" t="s">
        <v>50</v>
      </c>
      <c r="H70">
        <v>629</v>
      </c>
      <c r="I70">
        <v>625</v>
      </c>
      <c r="J70">
        <v>4</v>
      </c>
      <c r="K70">
        <v>19.8</v>
      </c>
      <c r="L70">
        <v>21.2</v>
      </c>
      <c r="M70">
        <v>222.24</v>
      </c>
      <c r="N70">
        <f>_xlfn.XLOOKUP(Table13[[#This Row],[Production_Order_ID]],[1]Sheet1!$A$2:$A$391,[1]Sheet1!$F$2:$F$391,"No Match")</f>
        <v>510</v>
      </c>
      <c r="O70" s="3">
        <f>Table13[[#This Row],[Good_Qty]]/Table13[[#This Row],[Planned_Production]]</f>
        <v>1.2254901960784315</v>
      </c>
      <c r="P70" t="str">
        <f>IF(Table13[[#This Row],[Good_Qty]]&gt;=Table13[[#This Row],[Planned_Production]],"Met","Not Met")</f>
        <v>Met</v>
      </c>
      <c r="Q70">
        <f>Table13[[#This Row],[Good_Qty]]-Table13[[#This Row],[Planned_Production]]</f>
        <v>115</v>
      </c>
      <c r="R70" s="3">
        <f>IF(Table13[[#This Row],[Actual_Qty]]=0,0,Table13[[#This Row],[Reject_Qty]]/Table13[[#This Row],[Actual_Qty]])</f>
        <v>6.3593004769475362E-3</v>
      </c>
      <c r="S70">
        <v>434</v>
      </c>
      <c r="T70">
        <f>(Table13[[#This Row],[Ideal_Cycle_Time_sec]]*Table13[[#This Row],[Actual_Qty]])/(Table13[[#This Row],[Operational_Time_min]]*60)</f>
        <v>0.47827188940092169</v>
      </c>
      <c r="U70">
        <f>Table13[[#This Row],[Good_Qty]]/Table13[[#This Row],[Actual_Qty]]</f>
        <v>0.99364069952305245</v>
      </c>
      <c r="V70" t="str">
        <f>IF(OR(Table13[[#This Row],[Performance_%]]&gt;=1,Table13[[#This Row],[Performance_%]]&lt;=0),"Error","OK")</f>
        <v>OK</v>
      </c>
      <c r="W70" t="str">
        <f>IF(OR(Table13[[#This Row],[Quality_%]]&gt;=1,Table13[[#This Row],[Quality_%]]&lt;=0),"Error","OK")</f>
        <v>OK</v>
      </c>
      <c r="X70">
        <f>Table13[[#This Row],[Performance_%]]*Table13[[#This Row],[Quality_%]]*[2]Availability_KPI!K70</f>
        <v>0.45833333333333337</v>
      </c>
      <c r="Y70" t="str">
        <f>IF(OR(Table13[[#This Row],[OEE_%]]&gt;1,Table13[[#This Row],[OEE_%]]&lt;0),"Error","OK")</f>
        <v>OK</v>
      </c>
    </row>
    <row r="71" spans="1:25" x14ac:dyDescent="0.2">
      <c r="A71" t="s">
        <v>129</v>
      </c>
      <c r="B71" t="s">
        <v>124</v>
      </c>
      <c r="C71" s="2">
        <v>46239</v>
      </c>
      <c r="D71" t="s">
        <v>67</v>
      </c>
      <c r="E71" t="s">
        <v>43</v>
      </c>
      <c r="F71" t="s">
        <v>29</v>
      </c>
      <c r="G71" t="s">
        <v>75</v>
      </c>
      <c r="H71">
        <v>624</v>
      </c>
      <c r="I71">
        <v>615</v>
      </c>
      <c r="J71">
        <v>9</v>
      </c>
      <c r="K71">
        <v>35.200000000000003</v>
      </c>
      <c r="L71">
        <v>37.97</v>
      </c>
      <c r="M71">
        <v>394.84</v>
      </c>
      <c r="N71">
        <f>_xlfn.XLOOKUP(Table13[[#This Row],[Production_Order_ID]],[1]Sheet1!$A$2:$A$391,[1]Sheet1!$F$2:$F$391,"No Match")</f>
        <v>510</v>
      </c>
      <c r="O71" s="3">
        <f>Table13[[#This Row],[Good_Qty]]/Table13[[#This Row],[Planned_Production]]</f>
        <v>1.2058823529411764</v>
      </c>
      <c r="P71" t="str">
        <f>IF(Table13[[#This Row],[Good_Qty]]&gt;=Table13[[#This Row],[Planned_Production]],"Met","Not Met")</f>
        <v>Met</v>
      </c>
      <c r="Q71">
        <f>Table13[[#This Row],[Good_Qty]]-Table13[[#This Row],[Planned_Production]]</f>
        <v>105</v>
      </c>
      <c r="R71" s="3">
        <f>IF(Table13[[#This Row],[Actual_Qty]]=0,0,Table13[[#This Row],[Reject_Qty]]/Table13[[#This Row],[Actual_Qty]])</f>
        <v>1.4423076923076924E-2</v>
      </c>
      <c r="S71">
        <v>410.54</v>
      </c>
      <c r="T71">
        <f>(Table13[[#This Row],[Ideal_Cycle_Time_sec]]*Table13[[#This Row],[Actual_Qty]])/(Table13[[#This Row],[Operational_Time_min]]*60)</f>
        <v>0.89170360987967079</v>
      </c>
      <c r="U71">
        <f>Table13[[#This Row],[Good_Qty]]/Table13[[#This Row],[Actual_Qty]]</f>
        <v>0.98557692307692313</v>
      </c>
      <c r="V71" t="str">
        <f>IF(OR(Table13[[#This Row],[Performance_%]]&gt;=1,Table13[[#This Row],[Performance_%]]&lt;=0),"Error","OK")</f>
        <v>OK</v>
      </c>
      <c r="W71" t="str">
        <f>IF(OR(Table13[[#This Row],[Quality_%]]&gt;=1,Table13[[#This Row],[Quality_%]]&lt;=0),"Error","OK")</f>
        <v>OK</v>
      </c>
      <c r="X71">
        <f>Table13[[#This Row],[Performance_%]]*Table13[[#This Row],[Quality_%]]*[2]Availability_KPI!K71</f>
        <v>0.80177777777777803</v>
      </c>
      <c r="Y71" t="str">
        <f>IF(OR(Table13[[#This Row],[OEE_%]]&gt;1,Table13[[#This Row],[OEE_%]]&lt;0),"Error","OK")</f>
        <v>OK</v>
      </c>
    </row>
    <row r="72" spans="1:25" x14ac:dyDescent="0.2">
      <c r="A72" t="s">
        <v>130</v>
      </c>
      <c r="B72" t="s">
        <v>124</v>
      </c>
      <c r="C72" s="2">
        <v>46239</v>
      </c>
      <c r="D72" t="s">
        <v>67</v>
      </c>
      <c r="E72" t="s">
        <v>46</v>
      </c>
      <c r="F72" t="s">
        <v>29</v>
      </c>
      <c r="G72" t="s">
        <v>57</v>
      </c>
      <c r="H72">
        <v>625</v>
      </c>
      <c r="I72">
        <v>622</v>
      </c>
      <c r="J72">
        <v>3</v>
      </c>
      <c r="K72">
        <v>27.5</v>
      </c>
      <c r="L72">
        <v>27.5</v>
      </c>
      <c r="M72">
        <v>286.45999999999998</v>
      </c>
      <c r="N72">
        <f>_xlfn.XLOOKUP(Table13[[#This Row],[Production_Order_ID]],[1]Sheet1!$A$2:$A$391,[1]Sheet1!$F$2:$F$391,"No Match")</f>
        <v>510</v>
      </c>
      <c r="O72" s="3">
        <f>Table13[[#This Row],[Good_Qty]]/Table13[[#This Row],[Planned_Production]]</f>
        <v>1.219607843137255</v>
      </c>
      <c r="P72" t="str">
        <f>IF(Table13[[#This Row],[Good_Qty]]&gt;=Table13[[#This Row],[Planned_Production]],"Met","Not Met")</f>
        <v>Met</v>
      </c>
      <c r="Q72">
        <f>Table13[[#This Row],[Good_Qty]]-Table13[[#This Row],[Planned_Production]]</f>
        <v>112</v>
      </c>
      <c r="R72" s="3">
        <f>IF(Table13[[#This Row],[Actual_Qty]]=0,0,Table13[[#This Row],[Reject_Qty]]/Table13[[#This Row],[Actual_Qty]])</f>
        <v>4.7999999999999996E-3</v>
      </c>
      <c r="S72">
        <v>430.83</v>
      </c>
      <c r="T72">
        <f>(Table13[[#This Row],[Ideal_Cycle_Time_sec]]*Table13[[#This Row],[Actual_Qty]])/(Table13[[#This Row],[Operational_Time_min]]*60)</f>
        <v>0.66489876130569681</v>
      </c>
      <c r="U72">
        <f>Table13[[#This Row],[Good_Qty]]/Table13[[#This Row],[Actual_Qty]]</f>
        <v>0.99519999999999997</v>
      </c>
      <c r="V72" t="str">
        <f>IF(OR(Table13[[#This Row],[Performance_%]]&gt;=1,Table13[[#This Row],[Performance_%]]&lt;=0),"Error","OK")</f>
        <v>OK</v>
      </c>
      <c r="W72" t="str">
        <f>IF(OR(Table13[[#This Row],[Quality_%]]&gt;=1,Table13[[#This Row],[Quality_%]]&lt;=0),"Error","OK")</f>
        <v>OK</v>
      </c>
      <c r="X72">
        <f>Table13[[#This Row],[Performance_%]]*Table13[[#This Row],[Quality_%]]*[2]Availability_KPI!K72</f>
        <v>0.63351851851851848</v>
      </c>
      <c r="Y72" t="str">
        <f>IF(OR(Table13[[#This Row],[OEE_%]]&gt;1,Table13[[#This Row],[OEE_%]]&lt;0),"Error","OK")</f>
        <v>OK</v>
      </c>
    </row>
    <row r="73" spans="1:25" x14ac:dyDescent="0.2">
      <c r="A73" t="s">
        <v>131</v>
      </c>
      <c r="B73" t="s">
        <v>124</v>
      </c>
      <c r="C73" s="2">
        <v>46239</v>
      </c>
      <c r="D73" t="s">
        <v>67</v>
      </c>
      <c r="E73" t="s">
        <v>49</v>
      </c>
      <c r="F73" t="s">
        <v>29</v>
      </c>
      <c r="G73" t="s">
        <v>30</v>
      </c>
      <c r="H73">
        <v>639</v>
      </c>
      <c r="I73">
        <v>635</v>
      </c>
      <c r="J73">
        <v>4</v>
      </c>
      <c r="K73">
        <v>22</v>
      </c>
      <c r="L73">
        <v>22</v>
      </c>
      <c r="M73">
        <v>234.3</v>
      </c>
      <c r="N73">
        <f>_xlfn.XLOOKUP(Table13[[#This Row],[Production_Order_ID]],[1]Sheet1!$A$2:$A$391,[1]Sheet1!$F$2:$F$391,"No Match")</f>
        <v>510</v>
      </c>
      <c r="O73" s="3">
        <f>Table13[[#This Row],[Good_Qty]]/Table13[[#This Row],[Planned_Production]]</f>
        <v>1.2450980392156863</v>
      </c>
      <c r="P73" t="str">
        <f>IF(Table13[[#This Row],[Good_Qty]]&gt;=Table13[[#This Row],[Planned_Production]],"Met","Not Met")</f>
        <v>Met</v>
      </c>
      <c r="Q73">
        <f>Table13[[#This Row],[Good_Qty]]-Table13[[#This Row],[Planned_Production]]</f>
        <v>125</v>
      </c>
      <c r="R73" s="3">
        <f>IF(Table13[[#This Row],[Actual_Qty]]=0,0,Table13[[#This Row],[Reject_Qty]]/Table13[[#This Row],[Actual_Qty]])</f>
        <v>6.2597809076682318E-3</v>
      </c>
      <c r="S73">
        <v>438.77</v>
      </c>
      <c r="T73">
        <f>(Table13[[#This Row],[Ideal_Cycle_Time_sec]]*Table13[[#This Row],[Actual_Qty]])/(Table13[[#This Row],[Operational_Time_min]]*60)</f>
        <v>0.53399275246712408</v>
      </c>
      <c r="U73">
        <f>Table13[[#This Row],[Good_Qty]]/Table13[[#This Row],[Actual_Qty]]</f>
        <v>0.99374021909233179</v>
      </c>
      <c r="V73" t="str">
        <f>IF(OR(Table13[[#This Row],[Performance_%]]&gt;=1,Table13[[#This Row],[Performance_%]]&lt;=0),"Error","OK")</f>
        <v>OK</v>
      </c>
      <c r="W73" t="str">
        <f>IF(OR(Table13[[#This Row],[Quality_%]]&gt;=1,Table13[[#This Row],[Quality_%]]&lt;=0),"Error","OK")</f>
        <v>OK</v>
      </c>
      <c r="X73">
        <f>Table13[[#This Row],[Performance_%]]*Table13[[#This Row],[Quality_%]]*[2]Availability_KPI!K73</f>
        <v>0.51740740740740743</v>
      </c>
      <c r="Y73" t="str">
        <f>IF(OR(Table13[[#This Row],[OEE_%]]&gt;1,Table13[[#This Row],[OEE_%]]&lt;0),"Error","OK")</f>
        <v>OK</v>
      </c>
    </row>
    <row r="74" spans="1:25" x14ac:dyDescent="0.2">
      <c r="A74" t="s">
        <v>132</v>
      </c>
      <c r="B74" t="s">
        <v>133</v>
      </c>
      <c r="C74" s="2">
        <v>46240</v>
      </c>
      <c r="D74" t="s">
        <v>27</v>
      </c>
      <c r="E74" t="s">
        <v>28</v>
      </c>
      <c r="F74" t="s">
        <v>54</v>
      </c>
      <c r="G74" t="s">
        <v>39</v>
      </c>
      <c r="H74">
        <v>715</v>
      </c>
      <c r="I74">
        <v>711</v>
      </c>
      <c r="J74">
        <v>4</v>
      </c>
      <c r="K74">
        <v>18</v>
      </c>
      <c r="L74">
        <v>19.079999999999998</v>
      </c>
      <c r="M74">
        <v>227.36</v>
      </c>
      <c r="N74">
        <f>_xlfn.XLOOKUP(Table13[[#This Row],[Production_Order_ID]],[1]Sheet1!$A$2:$A$391,[1]Sheet1!$F$2:$F$391,"No Match")</f>
        <v>490</v>
      </c>
      <c r="O74" s="3">
        <f>Table13[[#This Row],[Good_Qty]]/Table13[[#This Row],[Planned_Production]]</f>
        <v>1.4510204081632654</v>
      </c>
      <c r="P74" t="str">
        <f>IF(Table13[[#This Row],[Good_Qty]]&gt;=Table13[[#This Row],[Planned_Production]],"Met","Not Met")</f>
        <v>Met</v>
      </c>
      <c r="Q74">
        <f>Table13[[#This Row],[Good_Qty]]-Table13[[#This Row],[Planned_Production]]</f>
        <v>221</v>
      </c>
      <c r="R74" s="3">
        <f>IF(Table13[[#This Row],[Actual_Qty]]=0,0,Table13[[#This Row],[Reject_Qty]]/Table13[[#This Row],[Actual_Qty]])</f>
        <v>5.5944055944055944E-3</v>
      </c>
      <c r="S74">
        <v>440.73</v>
      </c>
      <c r="T74">
        <f>(Table13[[#This Row],[Ideal_Cycle_Time_sec]]*Table13[[#This Row],[Actual_Qty]])/(Table13[[#This Row],[Operational_Time_min]]*60)</f>
        <v>0.48669253284323732</v>
      </c>
      <c r="U74">
        <f>Table13[[#This Row],[Good_Qty]]/Table13[[#This Row],[Actual_Qty]]</f>
        <v>0.9944055944055944</v>
      </c>
      <c r="V74" t="str">
        <f>IF(OR(Table13[[#This Row],[Performance_%]]&gt;=1,Table13[[#This Row],[Performance_%]]&lt;=0),"Error","OK")</f>
        <v>OK</v>
      </c>
      <c r="W74" t="str">
        <f>IF(OR(Table13[[#This Row],[Quality_%]]&gt;=1,Table13[[#This Row],[Quality_%]]&lt;=0),"Error","OK")</f>
        <v>OK</v>
      </c>
      <c r="X74">
        <f>Table13[[#This Row],[Performance_%]]*Table13[[#This Row],[Quality_%]]*[2]Availability_KPI!K74</f>
        <v>0.47399999999999998</v>
      </c>
      <c r="Y74" t="str">
        <f>IF(OR(Table13[[#This Row],[OEE_%]]&gt;1,Table13[[#This Row],[OEE_%]]&lt;0),"Error","OK")</f>
        <v>OK</v>
      </c>
    </row>
    <row r="75" spans="1:25" x14ac:dyDescent="0.2">
      <c r="A75" t="s">
        <v>134</v>
      </c>
      <c r="B75" t="s">
        <v>133</v>
      </c>
      <c r="C75" s="2">
        <v>46240</v>
      </c>
      <c r="D75" t="s">
        <v>27</v>
      </c>
      <c r="E75" t="s">
        <v>32</v>
      </c>
      <c r="F75" t="s">
        <v>54</v>
      </c>
      <c r="G75" t="s">
        <v>57</v>
      </c>
      <c r="H75">
        <v>736</v>
      </c>
      <c r="I75">
        <v>731</v>
      </c>
      <c r="J75">
        <v>5</v>
      </c>
      <c r="K75">
        <v>20</v>
      </c>
      <c r="L75">
        <v>20.41</v>
      </c>
      <c r="M75">
        <v>250.33</v>
      </c>
      <c r="N75">
        <f>_xlfn.XLOOKUP(Table13[[#This Row],[Production_Order_ID]],[1]Sheet1!$A$2:$A$391,[1]Sheet1!$F$2:$F$391,"No Match")</f>
        <v>490</v>
      </c>
      <c r="O75" s="3">
        <f>Table13[[#This Row],[Good_Qty]]/Table13[[#This Row],[Planned_Production]]</f>
        <v>1.4918367346938775</v>
      </c>
      <c r="P75" t="str">
        <f>IF(Table13[[#This Row],[Good_Qty]]&gt;=Table13[[#This Row],[Planned_Production]],"Met","Not Met")</f>
        <v>Met</v>
      </c>
      <c r="Q75">
        <f>Table13[[#This Row],[Good_Qty]]-Table13[[#This Row],[Planned_Production]]</f>
        <v>241</v>
      </c>
      <c r="R75" s="3">
        <f>IF(Table13[[#This Row],[Actual_Qty]]=0,0,Table13[[#This Row],[Reject_Qty]]/Table13[[#This Row],[Actual_Qty]])</f>
        <v>6.793478260869565E-3</v>
      </c>
      <c r="S75">
        <v>439.01</v>
      </c>
      <c r="T75">
        <f>(Table13[[#This Row],[Ideal_Cycle_Time_sec]]*Table13[[#This Row],[Actual_Qty]])/(Table13[[#This Row],[Operational_Time_min]]*60)</f>
        <v>0.55883313212303443</v>
      </c>
      <c r="U75">
        <f>Table13[[#This Row],[Good_Qty]]/Table13[[#This Row],[Actual_Qty]]</f>
        <v>0.99320652173913049</v>
      </c>
      <c r="V75" t="str">
        <f>IF(OR(Table13[[#This Row],[Performance_%]]&gt;=1,Table13[[#This Row],[Performance_%]]&lt;=0),"Error","OK")</f>
        <v>OK</v>
      </c>
      <c r="W75" t="str">
        <f>IF(OR(Table13[[#This Row],[Quality_%]]&gt;=1,Table13[[#This Row],[Quality_%]]&lt;=0),"Error","OK")</f>
        <v>OK</v>
      </c>
      <c r="X75">
        <f>Table13[[#This Row],[Performance_%]]*Table13[[#This Row],[Quality_%]]*[2]Availability_KPI!K75</f>
        <v>0.54148148148148156</v>
      </c>
      <c r="Y75" t="str">
        <f>IF(OR(Table13[[#This Row],[OEE_%]]&gt;1,Table13[[#This Row],[OEE_%]]&lt;0),"Error","OK")</f>
        <v>OK</v>
      </c>
    </row>
    <row r="76" spans="1:25" x14ac:dyDescent="0.2">
      <c r="A76" t="s">
        <v>135</v>
      </c>
      <c r="B76" t="s">
        <v>133</v>
      </c>
      <c r="C76" s="2">
        <v>46240</v>
      </c>
      <c r="D76" t="s">
        <v>27</v>
      </c>
      <c r="E76" t="s">
        <v>35</v>
      </c>
      <c r="F76" t="s">
        <v>54</v>
      </c>
      <c r="G76" t="s">
        <v>30</v>
      </c>
      <c r="H76">
        <v>736</v>
      </c>
      <c r="I76">
        <v>730</v>
      </c>
      <c r="J76">
        <v>6</v>
      </c>
      <c r="K76">
        <v>22</v>
      </c>
      <c r="L76">
        <v>22.92</v>
      </c>
      <c r="M76">
        <v>281.12</v>
      </c>
      <c r="N76">
        <f>_xlfn.XLOOKUP(Table13[[#This Row],[Production_Order_ID]],[1]Sheet1!$A$2:$A$391,[1]Sheet1!$F$2:$F$391,"No Match")</f>
        <v>490</v>
      </c>
      <c r="O76" s="3">
        <f>Table13[[#This Row],[Good_Qty]]/Table13[[#This Row],[Planned_Production]]</f>
        <v>1.489795918367347</v>
      </c>
      <c r="P76" t="str">
        <f>IF(Table13[[#This Row],[Good_Qty]]&gt;=Table13[[#This Row],[Planned_Production]],"Met","Not Met")</f>
        <v>Met</v>
      </c>
      <c r="Q76">
        <f>Table13[[#This Row],[Good_Qty]]-Table13[[#This Row],[Planned_Production]]</f>
        <v>240</v>
      </c>
      <c r="R76" s="3">
        <f>IF(Table13[[#This Row],[Actual_Qty]]=0,0,Table13[[#This Row],[Reject_Qty]]/Table13[[#This Row],[Actual_Qty]])</f>
        <v>8.152173913043478E-3</v>
      </c>
      <c r="S76">
        <v>434.65</v>
      </c>
      <c r="T76">
        <f>(Table13[[#This Row],[Ideal_Cycle_Time_sec]]*Table13[[#This Row],[Actual_Qty]])/(Table13[[#This Row],[Operational_Time_min]]*60)</f>
        <v>0.62088270255761335</v>
      </c>
      <c r="U76">
        <f>Table13[[#This Row],[Good_Qty]]/Table13[[#This Row],[Actual_Qty]]</f>
        <v>0.99184782608695654</v>
      </c>
      <c r="V76" t="str">
        <f>IF(OR(Table13[[#This Row],[Performance_%]]&gt;=1,Table13[[#This Row],[Performance_%]]&lt;=0),"Error","OK")</f>
        <v>OK</v>
      </c>
      <c r="W76" t="str">
        <f>IF(OR(Table13[[#This Row],[Quality_%]]&gt;=1,Table13[[#This Row],[Quality_%]]&lt;=0),"Error","OK")</f>
        <v>OK</v>
      </c>
      <c r="X76">
        <f>Table13[[#This Row],[Performance_%]]*Table13[[#This Row],[Quality_%]]*[2]Availability_KPI!K76</f>
        <v>0.59481481481481469</v>
      </c>
      <c r="Y76" t="str">
        <f>IF(OR(Table13[[#This Row],[OEE_%]]&gt;1,Table13[[#This Row],[OEE_%]]&lt;0),"Error","OK")</f>
        <v>OK</v>
      </c>
    </row>
    <row r="77" spans="1:25" x14ac:dyDescent="0.2">
      <c r="A77" t="s">
        <v>136</v>
      </c>
      <c r="B77" t="s">
        <v>133</v>
      </c>
      <c r="C77" s="2">
        <v>46240</v>
      </c>
      <c r="D77" t="s">
        <v>27</v>
      </c>
      <c r="E77" t="s">
        <v>38</v>
      </c>
      <c r="F77" t="s">
        <v>54</v>
      </c>
      <c r="G77" t="s">
        <v>75</v>
      </c>
      <c r="H77">
        <v>704</v>
      </c>
      <c r="I77">
        <v>700</v>
      </c>
      <c r="J77">
        <v>4</v>
      </c>
      <c r="K77">
        <v>20</v>
      </c>
      <c r="L77">
        <v>20.5</v>
      </c>
      <c r="M77">
        <v>240.48</v>
      </c>
      <c r="N77">
        <f>_xlfn.XLOOKUP(Table13[[#This Row],[Production_Order_ID]],[1]Sheet1!$A$2:$A$391,[1]Sheet1!$F$2:$F$391,"No Match")</f>
        <v>490</v>
      </c>
      <c r="O77" s="3">
        <f>Table13[[#This Row],[Good_Qty]]/Table13[[#This Row],[Planned_Production]]</f>
        <v>1.4285714285714286</v>
      </c>
      <c r="P77" t="str">
        <f>IF(Table13[[#This Row],[Good_Qty]]&gt;=Table13[[#This Row],[Planned_Production]],"Met","Not Met")</f>
        <v>Met</v>
      </c>
      <c r="Q77">
        <f>Table13[[#This Row],[Good_Qty]]-Table13[[#This Row],[Planned_Production]]</f>
        <v>210</v>
      </c>
      <c r="R77" s="3">
        <f>IF(Table13[[#This Row],[Actual_Qty]]=0,0,Table13[[#This Row],[Reject_Qty]]/Table13[[#This Row],[Actual_Qty]])</f>
        <v>5.681818181818182E-3</v>
      </c>
      <c r="S77">
        <v>435.37</v>
      </c>
      <c r="T77">
        <f>(Table13[[#This Row],[Ideal_Cycle_Time_sec]]*Table13[[#This Row],[Actual_Qty]])/(Table13[[#This Row],[Operational_Time_min]]*60)</f>
        <v>0.53900513739271572</v>
      </c>
      <c r="U77">
        <f>Table13[[#This Row],[Good_Qty]]/Table13[[#This Row],[Actual_Qty]]</f>
        <v>0.99431818181818177</v>
      </c>
      <c r="V77" t="str">
        <f>IF(OR(Table13[[#This Row],[Performance_%]]&gt;=1,Table13[[#This Row],[Performance_%]]&lt;=0),"Error","OK")</f>
        <v>OK</v>
      </c>
      <c r="W77" t="str">
        <f>IF(OR(Table13[[#This Row],[Quality_%]]&gt;=1,Table13[[#This Row],[Quality_%]]&lt;=0),"Error","OK")</f>
        <v>OK</v>
      </c>
      <c r="X77">
        <f>Table13[[#This Row],[Performance_%]]*Table13[[#This Row],[Quality_%]]*[2]Availability_KPI!K77</f>
        <v>0.51851851851851849</v>
      </c>
      <c r="Y77" t="str">
        <f>IF(OR(Table13[[#This Row],[OEE_%]]&gt;1,Table13[[#This Row],[OEE_%]]&lt;0),"Error","OK")</f>
        <v>OK</v>
      </c>
    </row>
    <row r="78" spans="1:25" x14ac:dyDescent="0.2">
      <c r="A78" t="s">
        <v>137</v>
      </c>
      <c r="B78" t="s">
        <v>133</v>
      </c>
      <c r="C78" s="2">
        <v>46240</v>
      </c>
      <c r="D78" t="s">
        <v>27</v>
      </c>
      <c r="E78" t="s">
        <v>41</v>
      </c>
      <c r="F78" t="s">
        <v>54</v>
      </c>
      <c r="G78" t="s">
        <v>61</v>
      </c>
      <c r="H78">
        <v>730</v>
      </c>
      <c r="I78">
        <v>725</v>
      </c>
      <c r="J78">
        <v>5</v>
      </c>
      <c r="K78">
        <v>18</v>
      </c>
      <c r="L78">
        <v>19.13</v>
      </c>
      <c r="M78">
        <v>232.69</v>
      </c>
      <c r="N78">
        <f>_xlfn.XLOOKUP(Table13[[#This Row],[Production_Order_ID]],[1]Sheet1!$A$2:$A$391,[1]Sheet1!$F$2:$F$391,"No Match")</f>
        <v>490</v>
      </c>
      <c r="O78" s="3">
        <f>Table13[[#This Row],[Good_Qty]]/Table13[[#This Row],[Planned_Production]]</f>
        <v>1.4795918367346939</v>
      </c>
      <c r="P78" t="str">
        <f>IF(Table13[[#This Row],[Good_Qty]]&gt;=Table13[[#This Row],[Planned_Production]],"Met","Not Met")</f>
        <v>Met</v>
      </c>
      <c r="Q78">
        <f>Table13[[#This Row],[Good_Qty]]-Table13[[#This Row],[Planned_Production]]</f>
        <v>235</v>
      </c>
      <c r="R78" s="3">
        <f>IF(Table13[[#This Row],[Actual_Qty]]=0,0,Table13[[#This Row],[Reject_Qty]]/Table13[[#This Row],[Actual_Qty]])</f>
        <v>6.8493150684931503E-3</v>
      </c>
      <c r="S78">
        <v>436.55</v>
      </c>
      <c r="T78">
        <f>(Table13[[#This Row],[Ideal_Cycle_Time_sec]]*Table13[[#This Row],[Actual_Qty]])/(Table13[[#This Row],[Operational_Time_min]]*60)</f>
        <v>0.50166074905509106</v>
      </c>
      <c r="U78">
        <f>Table13[[#This Row],[Good_Qty]]/Table13[[#This Row],[Actual_Qty]]</f>
        <v>0.99315068493150682</v>
      </c>
      <c r="V78" t="str">
        <f>IF(OR(Table13[[#This Row],[Performance_%]]&gt;=1,Table13[[#This Row],[Performance_%]]&lt;=0),"Error","OK")</f>
        <v>OK</v>
      </c>
      <c r="W78" t="str">
        <f>IF(OR(Table13[[#This Row],[Quality_%]]&gt;=1,Table13[[#This Row],[Quality_%]]&lt;=0),"Error","OK")</f>
        <v>OK</v>
      </c>
      <c r="X78">
        <f>Table13[[#This Row],[Performance_%]]*Table13[[#This Row],[Quality_%]]*[2]Availability_KPI!K78</f>
        <v>0.48333333333333334</v>
      </c>
      <c r="Y78" t="str">
        <f>IF(OR(Table13[[#This Row],[OEE_%]]&gt;1,Table13[[#This Row],[OEE_%]]&lt;0),"Error","OK")</f>
        <v>OK</v>
      </c>
    </row>
    <row r="79" spans="1:25" x14ac:dyDescent="0.2">
      <c r="A79" t="s">
        <v>138</v>
      </c>
      <c r="B79" t="s">
        <v>133</v>
      </c>
      <c r="C79" s="2">
        <v>46240</v>
      </c>
      <c r="D79" t="s">
        <v>27</v>
      </c>
      <c r="E79" t="s">
        <v>43</v>
      </c>
      <c r="F79" t="s">
        <v>54</v>
      </c>
      <c r="G79" t="s">
        <v>36</v>
      </c>
      <c r="H79">
        <v>718</v>
      </c>
      <c r="I79">
        <v>707</v>
      </c>
      <c r="J79">
        <v>11</v>
      </c>
      <c r="K79">
        <v>32</v>
      </c>
      <c r="L79">
        <v>34.14</v>
      </c>
      <c r="M79">
        <v>408.51</v>
      </c>
      <c r="N79">
        <f>_xlfn.XLOOKUP(Table13[[#This Row],[Production_Order_ID]],[1]Sheet1!$A$2:$A$391,[1]Sheet1!$F$2:$F$391,"No Match")</f>
        <v>490</v>
      </c>
      <c r="O79" s="3">
        <f>Table13[[#This Row],[Good_Qty]]/Table13[[#This Row],[Planned_Production]]</f>
        <v>1.4428571428571428</v>
      </c>
      <c r="P79" t="str">
        <f>IF(Table13[[#This Row],[Good_Qty]]&gt;=Table13[[#This Row],[Planned_Production]],"Met","Not Met")</f>
        <v>Met</v>
      </c>
      <c r="Q79">
        <f>Table13[[#This Row],[Good_Qty]]-Table13[[#This Row],[Planned_Production]]</f>
        <v>217</v>
      </c>
      <c r="R79" s="3">
        <f>IF(Table13[[#This Row],[Actual_Qty]]=0,0,Table13[[#This Row],[Reject_Qty]]/Table13[[#This Row],[Actual_Qty]])</f>
        <v>1.532033426183844E-2</v>
      </c>
      <c r="S79">
        <v>409.68</v>
      </c>
      <c r="T79">
        <f>(Table13[[#This Row],[Ideal_Cycle_Time_sec]]*Table13[[#This Row],[Actual_Qty]])/(Table13[[#This Row],[Operational_Time_min]]*60)</f>
        <v>0.9347132721473671</v>
      </c>
      <c r="U79">
        <f>Table13[[#This Row],[Good_Qty]]/Table13[[#This Row],[Actual_Qty]]</f>
        <v>0.98467966573816157</v>
      </c>
      <c r="V79" t="str">
        <f>IF(OR(Table13[[#This Row],[Performance_%]]&gt;=1,Table13[[#This Row],[Performance_%]]&lt;=0),"Error","OK")</f>
        <v>OK</v>
      </c>
      <c r="W79" t="str">
        <f>IF(OR(Table13[[#This Row],[Quality_%]]&gt;=1,Table13[[#This Row],[Quality_%]]&lt;=0),"Error","OK")</f>
        <v>OK</v>
      </c>
      <c r="X79">
        <f>Table13[[#This Row],[Performance_%]]*Table13[[#This Row],[Quality_%]]*[2]Availability_KPI!K79</f>
        <v>0.83792592592592596</v>
      </c>
      <c r="Y79" t="str">
        <f>IF(OR(Table13[[#This Row],[OEE_%]]&gt;1,Table13[[#This Row],[OEE_%]]&lt;0),"Error","OK")</f>
        <v>OK</v>
      </c>
    </row>
    <row r="80" spans="1:25" x14ac:dyDescent="0.2">
      <c r="A80" t="s">
        <v>139</v>
      </c>
      <c r="B80" t="s">
        <v>133</v>
      </c>
      <c r="C80" s="2">
        <v>46240</v>
      </c>
      <c r="D80" t="s">
        <v>27</v>
      </c>
      <c r="E80" t="s">
        <v>46</v>
      </c>
      <c r="F80" t="s">
        <v>54</v>
      </c>
      <c r="G80" t="s">
        <v>57</v>
      </c>
      <c r="H80">
        <v>723</v>
      </c>
      <c r="I80">
        <v>717</v>
      </c>
      <c r="J80">
        <v>6</v>
      </c>
      <c r="K80">
        <v>25</v>
      </c>
      <c r="L80">
        <v>26.84</v>
      </c>
      <c r="M80">
        <v>323.41000000000003</v>
      </c>
      <c r="N80">
        <f>_xlfn.XLOOKUP(Table13[[#This Row],[Production_Order_ID]],[1]Sheet1!$A$2:$A$391,[1]Sheet1!$F$2:$F$391,"No Match")</f>
        <v>490</v>
      </c>
      <c r="O80" s="3">
        <f>Table13[[#This Row],[Good_Qty]]/Table13[[#This Row],[Planned_Production]]</f>
        <v>1.463265306122449</v>
      </c>
      <c r="P80" t="str">
        <f>IF(Table13[[#This Row],[Good_Qty]]&gt;=Table13[[#This Row],[Planned_Production]],"Met","Not Met")</f>
        <v>Met</v>
      </c>
      <c r="Q80">
        <f>Table13[[#This Row],[Good_Qty]]-Table13[[#This Row],[Planned_Production]]</f>
        <v>227</v>
      </c>
      <c r="R80" s="3">
        <f>IF(Table13[[#This Row],[Actual_Qty]]=0,0,Table13[[#This Row],[Reject_Qty]]/Table13[[#This Row],[Actual_Qty]])</f>
        <v>8.2987551867219917E-3</v>
      </c>
      <c r="S80">
        <v>423.17</v>
      </c>
      <c r="T80">
        <f>(Table13[[#This Row],[Ideal_Cycle_Time_sec]]*Table13[[#This Row],[Actual_Qty]])/(Table13[[#This Row],[Operational_Time_min]]*60)</f>
        <v>0.7118888390008743</v>
      </c>
      <c r="U80">
        <f>Table13[[#This Row],[Good_Qty]]/Table13[[#This Row],[Actual_Qty]]</f>
        <v>0.99170124481327804</v>
      </c>
      <c r="V80" t="str">
        <f>IF(OR(Table13[[#This Row],[Performance_%]]&gt;=1,Table13[[#This Row],[Performance_%]]&lt;=0),"Error","OK")</f>
        <v>OK</v>
      </c>
      <c r="W80" t="str">
        <f>IF(OR(Table13[[#This Row],[Quality_%]]&gt;=1,Table13[[#This Row],[Quality_%]]&lt;=0),"Error","OK")</f>
        <v>OK</v>
      </c>
      <c r="X80">
        <f>Table13[[#This Row],[Performance_%]]*Table13[[#This Row],[Quality_%]]*[2]Availability_KPI!K80</f>
        <v>0.66388888888888897</v>
      </c>
      <c r="Y80" t="str">
        <f>IF(OR(Table13[[#This Row],[OEE_%]]&gt;1,Table13[[#This Row],[OEE_%]]&lt;0),"Error","OK")</f>
        <v>OK</v>
      </c>
    </row>
    <row r="81" spans="1:25" x14ac:dyDescent="0.2">
      <c r="A81" t="s">
        <v>140</v>
      </c>
      <c r="B81" t="s">
        <v>133</v>
      </c>
      <c r="C81" s="2">
        <v>46240</v>
      </c>
      <c r="D81" t="s">
        <v>27</v>
      </c>
      <c r="E81" t="s">
        <v>49</v>
      </c>
      <c r="F81" t="s">
        <v>54</v>
      </c>
      <c r="G81" t="s">
        <v>33</v>
      </c>
      <c r="H81">
        <v>721</v>
      </c>
      <c r="I81">
        <v>719</v>
      </c>
      <c r="J81">
        <v>2</v>
      </c>
      <c r="K81">
        <v>20</v>
      </c>
      <c r="L81">
        <v>21.51</v>
      </c>
      <c r="M81">
        <v>258.42</v>
      </c>
      <c r="N81">
        <f>_xlfn.XLOOKUP(Table13[[#This Row],[Production_Order_ID]],[1]Sheet1!$A$2:$A$391,[1]Sheet1!$F$2:$F$391,"No Match")</f>
        <v>490</v>
      </c>
      <c r="O81" s="3">
        <f>Table13[[#This Row],[Good_Qty]]/Table13[[#This Row],[Planned_Production]]</f>
        <v>1.4673469387755103</v>
      </c>
      <c r="P81" t="str">
        <f>IF(Table13[[#This Row],[Good_Qty]]&gt;=Table13[[#This Row],[Planned_Production]],"Met","Not Met")</f>
        <v>Met</v>
      </c>
      <c r="Q81">
        <f>Table13[[#This Row],[Good_Qty]]-Table13[[#This Row],[Planned_Production]]</f>
        <v>229</v>
      </c>
      <c r="R81" s="3">
        <f>IF(Table13[[#This Row],[Actual_Qty]]=0,0,Table13[[#This Row],[Reject_Qty]]/Table13[[#This Row],[Actual_Qty]])</f>
        <v>2.7739251040221915E-3</v>
      </c>
      <c r="S81">
        <v>439.3</v>
      </c>
      <c r="T81">
        <f>(Table13[[#This Row],[Ideal_Cycle_Time_sec]]*Table13[[#This Row],[Actual_Qty]])/(Table13[[#This Row],[Operational_Time_min]]*60)</f>
        <v>0.54708247970255708</v>
      </c>
      <c r="U81">
        <f>Table13[[#This Row],[Good_Qty]]/Table13[[#This Row],[Actual_Qty]]</f>
        <v>0.99722607489597781</v>
      </c>
      <c r="V81" t="str">
        <f>IF(OR(Table13[[#This Row],[Performance_%]]&gt;=1,Table13[[#This Row],[Performance_%]]&lt;=0),"Error","OK")</f>
        <v>OK</v>
      </c>
      <c r="W81" t="str">
        <f>IF(OR(Table13[[#This Row],[Quality_%]]&gt;=1,Table13[[#This Row],[Quality_%]]&lt;=0),"Error","OK")</f>
        <v>OK</v>
      </c>
      <c r="X81">
        <f>Table13[[#This Row],[Performance_%]]*Table13[[#This Row],[Quality_%]]*[2]Availability_KPI!K81</f>
        <v>0.53259259259259251</v>
      </c>
      <c r="Y81" t="str">
        <f>IF(OR(Table13[[#This Row],[OEE_%]]&gt;1,Table13[[#This Row],[OEE_%]]&lt;0),"Error","OK")</f>
        <v>OK</v>
      </c>
    </row>
    <row r="82" spans="1:25" x14ac:dyDescent="0.2">
      <c r="A82" t="s">
        <v>141</v>
      </c>
      <c r="B82" t="s">
        <v>142</v>
      </c>
      <c r="C82" s="2">
        <v>46240</v>
      </c>
      <c r="D82" t="s">
        <v>53</v>
      </c>
      <c r="E82" t="s">
        <v>28</v>
      </c>
      <c r="F82" t="s">
        <v>97</v>
      </c>
      <c r="G82" t="s">
        <v>61</v>
      </c>
      <c r="H82">
        <v>631</v>
      </c>
      <c r="I82">
        <v>626</v>
      </c>
      <c r="J82">
        <v>5</v>
      </c>
      <c r="K82">
        <v>19.260000000000002</v>
      </c>
      <c r="L82">
        <v>20.010000000000002</v>
      </c>
      <c r="M82">
        <v>210.41</v>
      </c>
      <c r="N82">
        <f>_xlfn.XLOOKUP(Table13[[#This Row],[Production_Order_ID]],[1]Sheet1!$A$2:$A$391,[1]Sheet1!$F$2:$F$391,"No Match")</f>
        <v>590</v>
      </c>
      <c r="O82" s="3">
        <f>Table13[[#This Row],[Good_Qty]]/Table13[[#This Row],[Planned_Production]]</f>
        <v>1.0610169491525423</v>
      </c>
      <c r="P82" t="str">
        <f>IF(Table13[[#This Row],[Good_Qty]]&gt;=Table13[[#This Row],[Planned_Production]],"Met","Not Met")</f>
        <v>Met</v>
      </c>
      <c r="Q82">
        <f>Table13[[#This Row],[Good_Qty]]-Table13[[#This Row],[Planned_Production]]</f>
        <v>36</v>
      </c>
      <c r="R82" s="3">
        <f>IF(Table13[[#This Row],[Actual_Qty]]=0,0,Table13[[#This Row],[Reject_Qty]]/Table13[[#This Row],[Actual_Qty]])</f>
        <v>7.9239302694136295E-3</v>
      </c>
      <c r="S82">
        <v>438.85</v>
      </c>
      <c r="T82">
        <f>(Table13[[#This Row],[Ideal_Cycle_Time_sec]]*Table13[[#This Row],[Actual_Qty]])/(Table13[[#This Row],[Operational_Time_min]]*60)</f>
        <v>0.46154950438646469</v>
      </c>
      <c r="U82">
        <f>Table13[[#This Row],[Good_Qty]]/Table13[[#This Row],[Actual_Qty]]</f>
        <v>0.99207606973058637</v>
      </c>
      <c r="V82" t="str">
        <f>IF(OR(Table13[[#This Row],[Performance_%]]&gt;=1,Table13[[#This Row],[Performance_%]]&lt;=0),"Error","OK")</f>
        <v>OK</v>
      </c>
      <c r="W82" t="str">
        <f>IF(OR(Table13[[#This Row],[Quality_%]]&gt;=1,Table13[[#This Row],[Quality_%]]&lt;=0),"Error","OK")</f>
        <v>OK</v>
      </c>
      <c r="X82">
        <f>Table13[[#This Row],[Performance_%]]*Table13[[#This Row],[Quality_%]]*[2]Availability_KPI!K82</f>
        <v>0.44654666666666681</v>
      </c>
      <c r="Y82" t="str">
        <f>IF(OR(Table13[[#This Row],[OEE_%]]&gt;1,Table13[[#This Row],[OEE_%]]&lt;0),"Error","OK")</f>
        <v>OK</v>
      </c>
    </row>
    <row r="83" spans="1:25" x14ac:dyDescent="0.2">
      <c r="A83" t="s">
        <v>143</v>
      </c>
      <c r="B83" t="s">
        <v>142</v>
      </c>
      <c r="C83" s="2">
        <v>46240</v>
      </c>
      <c r="D83" t="s">
        <v>53</v>
      </c>
      <c r="E83" t="s">
        <v>32</v>
      </c>
      <c r="F83" t="s">
        <v>97</v>
      </c>
      <c r="G83" t="s">
        <v>50</v>
      </c>
      <c r="H83">
        <v>613</v>
      </c>
      <c r="I83">
        <v>608</v>
      </c>
      <c r="J83">
        <v>5</v>
      </c>
      <c r="K83">
        <v>21.4</v>
      </c>
      <c r="L83">
        <v>22.45</v>
      </c>
      <c r="M83">
        <v>229.41</v>
      </c>
      <c r="N83">
        <f>_xlfn.XLOOKUP(Table13[[#This Row],[Production_Order_ID]],[1]Sheet1!$A$2:$A$391,[1]Sheet1!$F$2:$F$391,"No Match")</f>
        <v>590</v>
      </c>
      <c r="O83" s="3">
        <f>Table13[[#This Row],[Good_Qty]]/Table13[[#This Row],[Planned_Production]]</f>
        <v>1.0305084745762711</v>
      </c>
      <c r="P83" t="str">
        <f>IF(Table13[[#This Row],[Good_Qty]]&gt;=Table13[[#This Row],[Planned_Production]],"Met","Not Met")</f>
        <v>Met</v>
      </c>
      <c r="Q83">
        <f>Table13[[#This Row],[Good_Qty]]-Table13[[#This Row],[Planned_Production]]</f>
        <v>18</v>
      </c>
      <c r="R83" s="3">
        <f>IF(Table13[[#This Row],[Actual_Qty]]=0,0,Table13[[#This Row],[Reject_Qty]]/Table13[[#This Row],[Actual_Qty]])</f>
        <v>8.1566068515497546E-3</v>
      </c>
      <c r="S83">
        <v>435.16</v>
      </c>
      <c r="T83">
        <f>(Table13[[#This Row],[Ideal_Cycle_Time_sec]]*Table13[[#This Row],[Actual_Qty]])/(Table13[[#This Row],[Operational_Time_min]]*60)</f>
        <v>0.50242822563348344</v>
      </c>
      <c r="U83">
        <f>Table13[[#This Row],[Good_Qty]]/Table13[[#This Row],[Actual_Qty]]</f>
        <v>0.99184339314845027</v>
      </c>
      <c r="V83" t="str">
        <f>IF(OR(Table13[[#This Row],[Performance_%]]&gt;=1,Table13[[#This Row],[Performance_%]]&lt;=0),"Error","OK")</f>
        <v>OK</v>
      </c>
      <c r="W83" t="str">
        <f>IF(OR(Table13[[#This Row],[Quality_%]]&gt;=1,Table13[[#This Row],[Quality_%]]&lt;=0),"Error","OK")</f>
        <v>OK</v>
      </c>
      <c r="X83">
        <f>Table13[[#This Row],[Performance_%]]*Table13[[#This Row],[Quality_%]]*[2]Availability_KPI!K83</f>
        <v>0.48189629629629632</v>
      </c>
      <c r="Y83" t="str">
        <f>IF(OR(Table13[[#This Row],[OEE_%]]&gt;1,Table13[[#This Row],[OEE_%]]&lt;0),"Error","OK")</f>
        <v>OK</v>
      </c>
    </row>
    <row r="84" spans="1:25" x14ac:dyDescent="0.2">
      <c r="A84" t="s">
        <v>144</v>
      </c>
      <c r="B84" t="s">
        <v>142</v>
      </c>
      <c r="C84" s="2">
        <v>46240</v>
      </c>
      <c r="D84" t="s">
        <v>53</v>
      </c>
      <c r="E84" t="s">
        <v>35</v>
      </c>
      <c r="F84" t="s">
        <v>97</v>
      </c>
      <c r="G84" t="s">
        <v>47</v>
      </c>
      <c r="H84">
        <v>621</v>
      </c>
      <c r="I84">
        <v>615</v>
      </c>
      <c r="J84">
        <v>6</v>
      </c>
      <c r="K84">
        <v>23.54</v>
      </c>
      <c r="L84">
        <v>25.24</v>
      </c>
      <c r="M84">
        <v>261.26</v>
      </c>
      <c r="N84">
        <f>_xlfn.XLOOKUP(Table13[[#This Row],[Production_Order_ID]],[1]Sheet1!$A$2:$A$391,[1]Sheet1!$F$2:$F$391,"No Match")</f>
        <v>590</v>
      </c>
      <c r="O84" s="3">
        <f>Table13[[#This Row],[Good_Qty]]/Table13[[#This Row],[Planned_Production]]</f>
        <v>1.0423728813559323</v>
      </c>
      <c r="P84" t="str">
        <f>IF(Table13[[#This Row],[Good_Qty]]&gt;=Table13[[#This Row],[Planned_Production]],"Met","Not Met")</f>
        <v>Met</v>
      </c>
      <c r="Q84">
        <f>Table13[[#This Row],[Good_Qty]]-Table13[[#This Row],[Planned_Production]]</f>
        <v>25</v>
      </c>
      <c r="R84" s="3">
        <f>IF(Table13[[#This Row],[Actual_Qty]]=0,0,Table13[[#This Row],[Reject_Qty]]/Table13[[#This Row],[Actual_Qty]])</f>
        <v>9.6618357487922701E-3</v>
      </c>
      <c r="S84">
        <v>432.51</v>
      </c>
      <c r="T84">
        <f>(Table13[[#This Row],[Ideal_Cycle_Time_sec]]*Table13[[#This Row],[Actual_Qty]])/(Table13[[#This Row],[Operational_Time_min]]*60)</f>
        <v>0.56331414302559479</v>
      </c>
      <c r="U84">
        <f>Table13[[#This Row],[Good_Qty]]/Table13[[#This Row],[Actual_Qty]]</f>
        <v>0.99033816425120769</v>
      </c>
      <c r="V84" t="str">
        <f>IF(OR(Table13[[#This Row],[Performance_%]]&gt;=1,Table13[[#This Row],[Performance_%]]&lt;=0),"Error","OK")</f>
        <v>OK</v>
      </c>
      <c r="W84" t="str">
        <f>IF(OR(Table13[[#This Row],[Quality_%]]&gt;=1,Table13[[#This Row],[Quality_%]]&lt;=0),"Error","OK")</f>
        <v>OK</v>
      </c>
      <c r="X84">
        <f>Table13[[#This Row],[Performance_%]]*Table13[[#This Row],[Quality_%]]*[2]Availability_KPI!K84</f>
        <v>0.53618888888888883</v>
      </c>
      <c r="Y84" t="str">
        <f>IF(OR(Table13[[#This Row],[OEE_%]]&gt;1,Table13[[#This Row],[OEE_%]]&lt;0),"Error","OK")</f>
        <v>OK</v>
      </c>
    </row>
    <row r="85" spans="1:25" x14ac:dyDescent="0.2">
      <c r="A85" t="s">
        <v>145</v>
      </c>
      <c r="B85" t="s">
        <v>142</v>
      </c>
      <c r="C85" s="2">
        <v>46240</v>
      </c>
      <c r="D85" t="s">
        <v>53</v>
      </c>
      <c r="E85" t="s">
        <v>38</v>
      </c>
      <c r="F85" t="s">
        <v>97</v>
      </c>
      <c r="G85" t="s">
        <v>50</v>
      </c>
      <c r="H85">
        <v>617</v>
      </c>
      <c r="I85">
        <v>614</v>
      </c>
      <c r="J85">
        <v>3</v>
      </c>
      <c r="K85">
        <v>21.4</v>
      </c>
      <c r="L85">
        <v>21.71</v>
      </c>
      <c r="M85">
        <v>223.27</v>
      </c>
      <c r="N85">
        <f>_xlfn.XLOOKUP(Table13[[#This Row],[Production_Order_ID]],[1]Sheet1!$A$2:$A$391,[1]Sheet1!$F$2:$F$391,"No Match")</f>
        <v>590</v>
      </c>
      <c r="O85" s="3">
        <f>Table13[[#This Row],[Good_Qty]]/Table13[[#This Row],[Planned_Production]]</f>
        <v>1.0406779661016949</v>
      </c>
      <c r="P85" t="str">
        <f>IF(Table13[[#This Row],[Good_Qty]]&gt;=Table13[[#This Row],[Planned_Production]],"Met","Not Met")</f>
        <v>Met</v>
      </c>
      <c r="Q85">
        <f>Table13[[#This Row],[Good_Qty]]-Table13[[#This Row],[Planned_Production]]</f>
        <v>24</v>
      </c>
      <c r="R85" s="3">
        <f>IF(Table13[[#This Row],[Actual_Qty]]=0,0,Table13[[#This Row],[Reject_Qty]]/Table13[[#This Row],[Actual_Qty]])</f>
        <v>4.8622366288492711E-3</v>
      </c>
      <c r="S85">
        <v>440.89</v>
      </c>
      <c r="T85">
        <f>(Table13[[#This Row],[Ideal_Cycle_Time_sec]]*Table13[[#This Row],[Actual_Qty]])/(Table13[[#This Row],[Operational_Time_min]]*60)</f>
        <v>0.49913432677841035</v>
      </c>
      <c r="U85">
        <f>Table13[[#This Row],[Good_Qty]]/Table13[[#This Row],[Actual_Qty]]</f>
        <v>0.99513776337115067</v>
      </c>
      <c r="V85" t="str">
        <f>IF(OR(Table13[[#This Row],[Performance_%]]&gt;=1,Table13[[#This Row],[Performance_%]]&lt;=0),"Error","OK")</f>
        <v>OK</v>
      </c>
      <c r="W85" t="str">
        <f>IF(OR(Table13[[#This Row],[Quality_%]]&gt;=1,Table13[[#This Row],[Quality_%]]&lt;=0),"Error","OK")</f>
        <v>OK</v>
      </c>
      <c r="X85">
        <f>Table13[[#This Row],[Performance_%]]*Table13[[#This Row],[Quality_%]]*[2]Availability_KPI!K85</f>
        <v>0.48665185185185178</v>
      </c>
      <c r="Y85" t="str">
        <f>IF(OR(Table13[[#This Row],[OEE_%]]&gt;1,Table13[[#This Row],[OEE_%]]&lt;0),"Error","OK")</f>
        <v>OK</v>
      </c>
    </row>
    <row r="86" spans="1:25" x14ac:dyDescent="0.2">
      <c r="A86" t="s">
        <v>146</v>
      </c>
      <c r="B86" t="s">
        <v>142</v>
      </c>
      <c r="C86" s="2">
        <v>46240</v>
      </c>
      <c r="D86" t="s">
        <v>53</v>
      </c>
      <c r="E86" t="s">
        <v>41</v>
      </c>
      <c r="F86" t="s">
        <v>97</v>
      </c>
      <c r="G86" t="s">
        <v>33</v>
      </c>
      <c r="H86">
        <v>619</v>
      </c>
      <c r="I86">
        <v>614</v>
      </c>
      <c r="J86">
        <v>5</v>
      </c>
      <c r="K86">
        <v>19.260000000000002</v>
      </c>
      <c r="L86">
        <v>20.010000000000002</v>
      </c>
      <c r="M86">
        <v>206.42</v>
      </c>
      <c r="N86">
        <f>_xlfn.XLOOKUP(Table13[[#This Row],[Production_Order_ID]],[1]Sheet1!$A$2:$A$391,[1]Sheet1!$F$2:$F$391,"No Match")</f>
        <v>590</v>
      </c>
      <c r="O86" s="3">
        <f>Table13[[#This Row],[Good_Qty]]/Table13[[#This Row],[Planned_Production]]</f>
        <v>1.0406779661016949</v>
      </c>
      <c r="P86" t="str">
        <f>IF(Table13[[#This Row],[Good_Qty]]&gt;=Table13[[#This Row],[Planned_Production]],"Met","Not Met")</f>
        <v>Met</v>
      </c>
      <c r="Q86">
        <f>Table13[[#This Row],[Good_Qty]]-Table13[[#This Row],[Planned_Production]]</f>
        <v>24</v>
      </c>
      <c r="R86" s="3">
        <f>IF(Table13[[#This Row],[Actual_Qty]]=0,0,Table13[[#This Row],[Reject_Qty]]/Table13[[#This Row],[Actual_Qty]])</f>
        <v>8.0775444264943458E-3</v>
      </c>
      <c r="S86">
        <v>438.45</v>
      </c>
      <c r="T86">
        <f>(Table13[[#This Row],[Ideal_Cycle_Time_sec]]*Table13[[#This Row],[Actual_Qty]])/(Table13[[#This Row],[Operational_Time_min]]*60)</f>
        <v>0.45318508381799522</v>
      </c>
      <c r="U86">
        <f>Table13[[#This Row],[Good_Qty]]/Table13[[#This Row],[Actual_Qty]]</f>
        <v>0.99192245557350567</v>
      </c>
      <c r="V86" t="str">
        <f>IF(OR(Table13[[#This Row],[Performance_%]]&gt;=1,Table13[[#This Row],[Performance_%]]&lt;=0),"Error","OK")</f>
        <v>OK</v>
      </c>
      <c r="W86" t="str">
        <f>IF(OR(Table13[[#This Row],[Quality_%]]&gt;=1,Table13[[#This Row],[Quality_%]]&lt;=0),"Error","OK")</f>
        <v>OK</v>
      </c>
      <c r="X86">
        <f>Table13[[#This Row],[Performance_%]]*Table13[[#This Row],[Quality_%]]*[2]Availability_KPI!K86</f>
        <v>0.43798666666666664</v>
      </c>
      <c r="Y86" t="str">
        <f>IF(OR(Table13[[#This Row],[OEE_%]]&gt;1,Table13[[#This Row],[OEE_%]]&lt;0),"Error","OK")</f>
        <v>OK</v>
      </c>
    </row>
    <row r="87" spans="1:25" x14ac:dyDescent="0.2">
      <c r="A87" t="s">
        <v>147</v>
      </c>
      <c r="B87" t="s">
        <v>142</v>
      </c>
      <c r="C87" s="2">
        <v>46240</v>
      </c>
      <c r="D87" t="s">
        <v>53</v>
      </c>
      <c r="E87" t="s">
        <v>43</v>
      </c>
      <c r="F87" t="s">
        <v>97</v>
      </c>
      <c r="G87" t="s">
        <v>47</v>
      </c>
      <c r="H87">
        <v>624</v>
      </c>
      <c r="I87">
        <v>614</v>
      </c>
      <c r="J87">
        <v>10</v>
      </c>
      <c r="K87">
        <v>34.24</v>
      </c>
      <c r="L87">
        <v>37.07</v>
      </c>
      <c r="M87">
        <v>385.49</v>
      </c>
      <c r="N87">
        <f>_xlfn.XLOOKUP(Table13[[#This Row],[Production_Order_ID]],[1]Sheet1!$A$2:$A$391,[1]Sheet1!$F$2:$F$391,"No Match")</f>
        <v>590</v>
      </c>
      <c r="O87" s="3">
        <f>Table13[[#This Row],[Good_Qty]]/Table13[[#This Row],[Planned_Production]]</f>
        <v>1.0406779661016949</v>
      </c>
      <c r="P87" t="str">
        <f>IF(Table13[[#This Row],[Good_Qty]]&gt;=Table13[[#This Row],[Planned_Production]],"Met","Not Met")</f>
        <v>Met</v>
      </c>
      <c r="Q87">
        <f>Table13[[#This Row],[Good_Qty]]-Table13[[#This Row],[Planned_Production]]</f>
        <v>24</v>
      </c>
      <c r="R87" s="3">
        <f>IF(Table13[[#This Row],[Actual_Qty]]=0,0,Table13[[#This Row],[Reject_Qty]]/Table13[[#This Row],[Actual_Qty]])</f>
        <v>1.6025641025641024E-2</v>
      </c>
      <c r="S87">
        <v>410.45</v>
      </c>
      <c r="T87">
        <f>(Table13[[#This Row],[Ideal_Cycle_Time_sec]]*Table13[[#This Row],[Actual_Qty]])/(Table13[[#This Row],[Operational_Time_min]]*60)</f>
        <v>0.86757461322938245</v>
      </c>
      <c r="U87">
        <f>Table13[[#This Row],[Good_Qty]]/Table13[[#This Row],[Actual_Qty]]</f>
        <v>0.98397435897435892</v>
      </c>
      <c r="V87" t="str">
        <f>IF(OR(Table13[[#This Row],[Performance_%]]&gt;=1,Table13[[#This Row],[Performance_%]]&lt;=0),"Error","OK")</f>
        <v>OK</v>
      </c>
      <c r="W87" t="str">
        <f>IF(OR(Table13[[#This Row],[Quality_%]]&gt;=1,Table13[[#This Row],[Quality_%]]&lt;=0),"Error","OK")</f>
        <v>OK</v>
      </c>
      <c r="X87">
        <f>Table13[[#This Row],[Performance_%]]*Table13[[#This Row],[Quality_%]]*[2]Availability_KPI!K87</f>
        <v>0.77864296296296298</v>
      </c>
      <c r="Y87" t="str">
        <f>IF(OR(Table13[[#This Row],[OEE_%]]&gt;1,Table13[[#This Row],[OEE_%]]&lt;0),"Error","OK")</f>
        <v>OK</v>
      </c>
    </row>
    <row r="88" spans="1:25" x14ac:dyDescent="0.2">
      <c r="A88" t="s">
        <v>148</v>
      </c>
      <c r="B88" t="s">
        <v>142</v>
      </c>
      <c r="C88" s="2">
        <v>46240</v>
      </c>
      <c r="D88" t="s">
        <v>53</v>
      </c>
      <c r="E88" t="s">
        <v>46</v>
      </c>
      <c r="F88" t="s">
        <v>97</v>
      </c>
      <c r="G88" t="s">
        <v>44</v>
      </c>
      <c r="H88">
        <v>622</v>
      </c>
      <c r="I88">
        <v>614</v>
      </c>
      <c r="J88">
        <v>8</v>
      </c>
      <c r="K88">
        <v>26.75</v>
      </c>
      <c r="L88">
        <v>28.18</v>
      </c>
      <c r="M88">
        <v>292.12</v>
      </c>
      <c r="N88">
        <f>_xlfn.XLOOKUP(Table13[[#This Row],[Production_Order_ID]],[1]Sheet1!$A$2:$A$391,[1]Sheet1!$F$2:$F$391,"No Match")</f>
        <v>590</v>
      </c>
      <c r="O88" s="3">
        <f>Table13[[#This Row],[Good_Qty]]/Table13[[#This Row],[Planned_Production]]</f>
        <v>1.0406779661016949</v>
      </c>
      <c r="P88" t="str">
        <f>IF(Table13[[#This Row],[Good_Qty]]&gt;=Table13[[#This Row],[Planned_Production]],"Met","Not Met")</f>
        <v>Met</v>
      </c>
      <c r="Q88">
        <f>Table13[[#This Row],[Good_Qty]]-Table13[[#This Row],[Planned_Production]]</f>
        <v>24</v>
      </c>
      <c r="R88" s="3">
        <f>IF(Table13[[#This Row],[Actual_Qty]]=0,0,Table13[[#This Row],[Reject_Qty]]/Table13[[#This Row],[Actual_Qty]])</f>
        <v>1.2861736334405145E-2</v>
      </c>
      <c r="S88">
        <v>427.57</v>
      </c>
      <c r="T88">
        <f>(Table13[[#This Row],[Ideal_Cycle_Time_sec]]*Table13[[#This Row],[Actual_Qty]])/(Table13[[#This Row],[Operational_Time_min]]*60)</f>
        <v>0.64856826562512182</v>
      </c>
      <c r="U88">
        <f>Table13[[#This Row],[Good_Qty]]/Table13[[#This Row],[Actual_Qty]]</f>
        <v>0.98713826366559487</v>
      </c>
      <c r="V88" t="str">
        <f>IF(OR(Table13[[#This Row],[Performance_%]]&gt;=1,Table13[[#This Row],[Performance_%]]&lt;=0),"Error","OK")</f>
        <v>OK</v>
      </c>
      <c r="W88" t="str">
        <f>IF(OR(Table13[[#This Row],[Quality_%]]&gt;=1,Table13[[#This Row],[Quality_%]]&lt;=0),"Error","OK")</f>
        <v>OK</v>
      </c>
      <c r="X88">
        <f>Table13[[#This Row],[Performance_%]]*Table13[[#This Row],[Quality_%]]*[2]Availability_KPI!K88</f>
        <v>0.60831481481481486</v>
      </c>
      <c r="Y88" t="str">
        <f>IF(OR(Table13[[#This Row],[OEE_%]]&gt;1,Table13[[#This Row],[OEE_%]]&lt;0),"Error","OK")</f>
        <v>OK</v>
      </c>
    </row>
    <row r="89" spans="1:25" x14ac:dyDescent="0.2">
      <c r="A89" t="s">
        <v>149</v>
      </c>
      <c r="B89" t="s">
        <v>142</v>
      </c>
      <c r="C89" s="2">
        <v>46240</v>
      </c>
      <c r="D89" t="s">
        <v>53</v>
      </c>
      <c r="E89" t="s">
        <v>49</v>
      </c>
      <c r="F89" t="s">
        <v>97</v>
      </c>
      <c r="G89" t="s">
        <v>30</v>
      </c>
      <c r="H89">
        <v>603</v>
      </c>
      <c r="I89">
        <v>599</v>
      </c>
      <c r="J89">
        <v>4</v>
      </c>
      <c r="K89">
        <v>21.4</v>
      </c>
      <c r="L89">
        <v>22.19</v>
      </c>
      <c r="M89">
        <v>223.02</v>
      </c>
      <c r="N89">
        <f>_xlfn.XLOOKUP(Table13[[#This Row],[Production_Order_ID]],[1]Sheet1!$A$2:$A$391,[1]Sheet1!$F$2:$F$391,"No Match")</f>
        <v>590</v>
      </c>
      <c r="O89" s="3">
        <f>Table13[[#This Row],[Good_Qty]]/Table13[[#This Row],[Planned_Production]]</f>
        <v>1.0152542372881357</v>
      </c>
      <c r="P89" t="str">
        <f>IF(Table13[[#This Row],[Good_Qty]]&gt;=Table13[[#This Row],[Planned_Production]],"Met","Not Met")</f>
        <v>Met</v>
      </c>
      <c r="Q89">
        <f>Table13[[#This Row],[Good_Qty]]-Table13[[#This Row],[Planned_Production]]</f>
        <v>9</v>
      </c>
      <c r="R89" s="3">
        <f>IF(Table13[[#This Row],[Actual_Qty]]=0,0,Table13[[#This Row],[Reject_Qty]]/Table13[[#This Row],[Actual_Qty]])</f>
        <v>6.6334991708126038E-3</v>
      </c>
      <c r="S89">
        <v>442.7</v>
      </c>
      <c r="T89">
        <f>(Table13[[#This Row],[Ideal_Cycle_Time_sec]]*Table13[[#This Row],[Actual_Qty]])/(Table13[[#This Row],[Operational_Time_min]]*60)</f>
        <v>0.48581432121075219</v>
      </c>
      <c r="U89">
        <f>Table13[[#This Row],[Good_Qty]]/Table13[[#This Row],[Actual_Qty]]</f>
        <v>0.99336650082918743</v>
      </c>
      <c r="V89" t="str">
        <f>IF(OR(Table13[[#This Row],[Performance_%]]&gt;=1,Table13[[#This Row],[Performance_%]]&lt;=0),"Error","OK")</f>
        <v>OK</v>
      </c>
      <c r="W89" t="str">
        <f>IF(OR(Table13[[#This Row],[Quality_%]]&gt;=1,Table13[[#This Row],[Quality_%]]&lt;=0),"Error","OK")</f>
        <v>OK</v>
      </c>
      <c r="X89">
        <f>Table13[[#This Row],[Performance_%]]*Table13[[#This Row],[Quality_%]]*[2]Availability_KPI!K89</f>
        <v>0.47476296296296294</v>
      </c>
      <c r="Y89" t="str">
        <f>IF(OR(Table13[[#This Row],[OEE_%]]&gt;1,Table13[[#This Row],[OEE_%]]&lt;0),"Error","OK")</f>
        <v>OK</v>
      </c>
    </row>
    <row r="90" spans="1:25" x14ac:dyDescent="0.2">
      <c r="A90" t="s">
        <v>150</v>
      </c>
      <c r="B90" t="s">
        <v>151</v>
      </c>
      <c r="C90" s="2">
        <v>46240</v>
      </c>
      <c r="D90" t="s">
        <v>67</v>
      </c>
      <c r="E90" t="s">
        <v>28</v>
      </c>
      <c r="F90" t="s">
        <v>54</v>
      </c>
      <c r="G90" t="s">
        <v>47</v>
      </c>
      <c r="H90">
        <v>581</v>
      </c>
      <c r="I90">
        <v>578</v>
      </c>
      <c r="J90">
        <v>3</v>
      </c>
      <c r="K90">
        <v>18</v>
      </c>
      <c r="L90">
        <v>19.010000000000002</v>
      </c>
      <c r="M90">
        <v>184.04</v>
      </c>
      <c r="N90">
        <f>_xlfn.XLOOKUP(Table13[[#This Row],[Production_Order_ID]],[1]Sheet1!$A$2:$A$391,[1]Sheet1!$F$2:$F$391,"No Match")</f>
        <v>490</v>
      </c>
      <c r="O90" s="3">
        <f>Table13[[#This Row],[Good_Qty]]/Table13[[#This Row],[Planned_Production]]</f>
        <v>1.1795918367346938</v>
      </c>
      <c r="P90" t="str">
        <f>IF(Table13[[#This Row],[Good_Qty]]&gt;=Table13[[#This Row],[Planned_Production]],"Met","Not Met")</f>
        <v>Met</v>
      </c>
      <c r="Q90">
        <f>Table13[[#This Row],[Good_Qty]]-Table13[[#This Row],[Planned_Production]]</f>
        <v>88</v>
      </c>
      <c r="R90" s="3">
        <f>IF(Table13[[#This Row],[Actual_Qty]]=0,0,Table13[[#This Row],[Reject_Qty]]/Table13[[#This Row],[Actual_Qty]])</f>
        <v>5.1635111876075735E-3</v>
      </c>
      <c r="S90">
        <v>441.04</v>
      </c>
      <c r="T90">
        <f>(Table13[[#This Row],[Ideal_Cycle_Time_sec]]*Table13[[#This Row],[Actual_Qty]])/(Table13[[#This Row],[Operational_Time_min]]*60)</f>
        <v>0.39520224922909486</v>
      </c>
      <c r="U90">
        <f>Table13[[#This Row],[Good_Qty]]/Table13[[#This Row],[Actual_Qty]]</f>
        <v>0.99483648881239239</v>
      </c>
      <c r="V90" t="str">
        <f>IF(OR(Table13[[#This Row],[Performance_%]]&gt;=1,Table13[[#This Row],[Performance_%]]&lt;=0),"Error","OK")</f>
        <v>OK</v>
      </c>
      <c r="W90" t="str">
        <f>IF(OR(Table13[[#This Row],[Quality_%]]&gt;=1,Table13[[#This Row],[Quality_%]]&lt;=0),"Error","OK")</f>
        <v>OK</v>
      </c>
      <c r="X90">
        <f>Table13[[#This Row],[Performance_%]]*Table13[[#This Row],[Quality_%]]*[2]Availability_KPI!K90</f>
        <v>0.38533333333333336</v>
      </c>
      <c r="Y90" t="str">
        <f>IF(OR(Table13[[#This Row],[OEE_%]]&gt;1,Table13[[#This Row],[OEE_%]]&lt;0),"Error","OK")</f>
        <v>OK</v>
      </c>
    </row>
    <row r="91" spans="1:25" x14ac:dyDescent="0.2">
      <c r="A91" t="s">
        <v>152</v>
      </c>
      <c r="B91" t="s">
        <v>151</v>
      </c>
      <c r="C91" s="2">
        <v>46240</v>
      </c>
      <c r="D91" t="s">
        <v>67</v>
      </c>
      <c r="E91" t="s">
        <v>32</v>
      </c>
      <c r="F91" t="s">
        <v>54</v>
      </c>
      <c r="G91" t="s">
        <v>75</v>
      </c>
      <c r="H91">
        <v>577</v>
      </c>
      <c r="I91">
        <v>571</v>
      </c>
      <c r="J91">
        <v>6</v>
      </c>
      <c r="K91">
        <v>20</v>
      </c>
      <c r="L91">
        <v>21.14</v>
      </c>
      <c r="M91">
        <v>203.29</v>
      </c>
      <c r="N91">
        <f>_xlfn.XLOOKUP(Table13[[#This Row],[Production_Order_ID]],[1]Sheet1!$A$2:$A$391,[1]Sheet1!$F$2:$F$391,"No Match")</f>
        <v>490</v>
      </c>
      <c r="O91" s="3">
        <f>Table13[[#This Row],[Good_Qty]]/Table13[[#This Row],[Planned_Production]]</f>
        <v>1.1653061224489796</v>
      </c>
      <c r="P91" t="str">
        <f>IF(Table13[[#This Row],[Good_Qty]]&gt;=Table13[[#This Row],[Planned_Production]],"Met","Not Met")</f>
        <v>Met</v>
      </c>
      <c r="Q91">
        <f>Table13[[#This Row],[Good_Qty]]-Table13[[#This Row],[Planned_Production]]</f>
        <v>81</v>
      </c>
      <c r="R91" s="3">
        <f>IF(Table13[[#This Row],[Actual_Qty]]=0,0,Table13[[#This Row],[Reject_Qty]]/Table13[[#This Row],[Actual_Qty]])</f>
        <v>1.0398613518197574E-2</v>
      </c>
      <c r="S91">
        <v>438</v>
      </c>
      <c r="T91">
        <f>(Table13[[#This Row],[Ideal_Cycle_Time_sec]]*Table13[[#This Row],[Actual_Qty]])/(Table13[[#This Row],[Operational_Time_min]]*60)</f>
        <v>0.439117199391172</v>
      </c>
      <c r="U91">
        <f>Table13[[#This Row],[Good_Qty]]/Table13[[#This Row],[Actual_Qty]]</f>
        <v>0.9896013864818024</v>
      </c>
      <c r="V91" t="str">
        <f>IF(OR(Table13[[#This Row],[Performance_%]]&gt;=1,Table13[[#This Row],[Performance_%]]&lt;=0),"Error","OK")</f>
        <v>OK</v>
      </c>
      <c r="W91" t="str">
        <f>IF(OR(Table13[[#This Row],[Quality_%]]&gt;=1,Table13[[#This Row],[Quality_%]]&lt;=0),"Error","OK")</f>
        <v>OK</v>
      </c>
      <c r="X91">
        <f>Table13[[#This Row],[Performance_%]]*Table13[[#This Row],[Quality_%]]*[2]Availability_KPI!K91</f>
        <v>0.42296296296296299</v>
      </c>
      <c r="Y91" t="str">
        <f>IF(OR(Table13[[#This Row],[OEE_%]]&gt;1,Table13[[#This Row],[OEE_%]]&lt;0),"Error","OK")</f>
        <v>OK</v>
      </c>
    </row>
    <row r="92" spans="1:25" x14ac:dyDescent="0.2">
      <c r="A92" t="s">
        <v>153</v>
      </c>
      <c r="B92" t="s">
        <v>151</v>
      </c>
      <c r="C92" s="2">
        <v>46240</v>
      </c>
      <c r="D92" t="s">
        <v>67</v>
      </c>
      <c r="E92" t="s">
        <v>35</v>
      </c>
      <c r="F92" t="s">
        <v>54</v>
      </c>
      <c r="G92" t="s">
        <v>71</v>
      </c>
      <c r="H92">
        <v>579</v>
      </c>
      <c r="I92">
        <v>576</v>
      </c>
      <c r="J92">
        <v>3</v>
      </c>
      <c r="K92">
        <v>22</v>
      </c>
      <c r="L92">
        <v>23.53</v>
      </c>
      <c r="M92">
        <v>227.04</v>
      </c>
      <c r="N92">
        <f>_xlfn.XLOOKUP(Table13[[#This Row],[Production_Order_ID]],[1]Sheet1!$A$2:$A$391,[1]Sheet1!$F$2:$F$391,"No Match")</f>
        <v>490</v>
      </c>
      <c r="O92" s="3">
        <f>Table13[[#This Row],[Good_Qty]]/Table13[[#This Row],[Planned_Production]]</f>
        <v>1.1755102040816328</v>
      </c>
      <c r="P92" t="str">
        <f>IF(Table13[[#This Row],[Good_Qty]]&gt;=Table13[[#This Row],[Planned_Production]],"Met","Not Met")</f>
        <v>Met</v>
      </c>
      <c r="Q92">
        <f>Table13[[#This Row],[Good_Qty]]-Table13[[#This Row],[Planned_Production]]</f>
        <v>86</v>
      </c>
      <c r="R92" s="3">
        <f>IF(Table13[[#This Row],[Actual_Qty]]=0,0,Table13[[#This Row],[Reject_Qty]]/Table13[[#This Row],[Actual_Qty]])</f>
        <v>5.1813471502590676E-3</v>
      </c>
      <c r="S92">
        <v>437.36</v>
      </c>
      <c r="T92">
        <f>(Table13[[#This Row],[Ideal_Cycle_Time_sec]]*Table13[[#This Row],[Actual_Qty]])/(Table13[[#This Row],[Operational_Time_min]]*60)</f>
        <v>0.4854124748490945</v>
      </c>
      <c r="U92">
        <f>Table13[[#This Row],[Good_Qty]]/Table13[[#This Row],[Actual_Qty]]</f>
        <v>0.99481865284974091</v>
      </c>
      <c r="V92" t="str">
        <f>IF(OR(Table13[[#This Row],[Performance_%]]&gt;=1,Table13[[#This Row],[Performance_%]]&lt;=0),"Error","OK")</f>
        <v>OK</v>
      </c>
      <c r="W92" t="str">
        <f>IF(OR(Table13[[#This Row],[Quality_%]]&gt;=1,Table13[[#This Row],[Quality_%]]&lt;=0),"Error","OK")</f>
        <v>OK</v>
      </c>
      <c r="X92">
        <f>Table13[[#This Row],[Performance_%]]*Table13[[#This Row],[Quality_%]]*[2]Availability_KPI!K92</f>
        <v>0.46933333333333332</v>
      </c>
      <c r="Y92" t="str">
        <f>IF(OR(Table13[[#This Row],[OEE_%]]&gt;1,Table13[[#This Row],[OEE_%]]&lt;0),"Error","OK")</f>
        <v>OK</v>
      </c>
    </row>
    <row r="93" spans="1:25" x14ac:dyDescent="0.2">
      <c r="A93" t="s">
        <v>154</v>
      </c>
      <c r="B93" t="s">
        <v>151</v>
      </c>
      <c r="C93" s="2">
        <v>46240</v>
      </c>
      <c r="D93" t="s">
        <v>67</v>
      </c>
      <c r="E93" t="s">
        <v>38</v>
      </c>
      <c r="F93" t="s">
        <v>54</v>
      </c>
      <c r="G93" t="s">
        <v>55</v>
      </c>
      <c r="H93">
        <v>575</v>
      </c>
      <c r="I93">
        <v>572</v>
      </c>
      <c r="J93">
        <v>3</v>
      </c>
      <c r="K93">
        <v>20</v>
      </c>
      <c r="L93">
        <v>20.64</v>
      </c>
      <c r="M93">
        <v>197.82</v>
      </c>
      <c r="N93">
        <f>_xlfn.XLOOKUP(Table13[[#This Row],[Production_Order_ID]],[1]Sheet1!$A$2:$A$391,[1]Sheet1!$F$2:$F$391,"No Match")</f>
        <v>490</v>
      </c>
      <c r="O93" s="3">
        <f>Table13[[#This Row],[Good_Qty]]/Table13[[#This Row],[Planned_Production]]</f>
        <v>1.1673469387755102</v>
      </c>
      <c r="P93" t="str">
        <f>IF(Table13[[#This Row],[Good_Qty]]&gt;=Table13[[#This Row],[Planned_Production]],"Met","Not Met")</f>
        <v>Met</v>
      </c>
      <c r="Q93">
        <f>Table13[[#This Row],[Good_Qty]]-Table13[[#This Row],[Planned_Production]]</f>
        <v>82</v>
      </c>
      <c r="R93" s="3">
        <f>IF(Table13[[#This Row],[Actual_Qty]]=0,0,Table13[[#This Row],[Reject_Qty]]/Table13[[#This Row],[Actual_Qty]])</f>
        <v>5.2173913043478265E-3</v>
      </c>
      <c r="S93">
        <v>440.84</v>
      </c>
      <c r="T93">
        <f>(Table13[[#This Row],[Ideal_Cycle_Time_sec]]*Table13[[#This Row],[Actual_Qty]])/(Table13[[#This Row],[Operational_Time_min]]*60)</f>
        <v>0.43477603363276174</v>
      </c>
      <c r="U93">
        <f>Table13[[#This Row],[Good_Qty]]/Table13[[#This Row],[Actual_Qty]]</f>
        <v>0.99478260869565216</v>
      </c>
      <c r="V93" t="str">
        <f>IF(OR(Table13[[#This Row],[Performance_%]]&gt;=1,Table13[[#This Row],[Performance_%]]&lt;=0),"Error","OK")</f>
        <v>OK</v>
      </c>
      <c r="W93" t="str">
        <f>IF(OR(Table13[[#This Row],[Quality_%]]&gt;=1,Table13[[#This Row],[Quality_%]]&lt;=0),"Error","OK")</f>
        <v>OK</v>
      </c>
      <c r="X93">
        <f>Table13[[#This Row],[Performance_%]]*Table13[[#This Row],[Quality_%]]*[2]Availability_KPI!K93</f>
        <v>0.42370370370370375</v>
      </c>
      <c r="Y93" t="str">
        <f>IF(OR(Table13[[#This Row],[OEE_%]]&gt;1,Table13[[#This Row],[OEE_%]]&lt;0),"Error","OK")</f>
        <v>OK</v>
      </c>
    </row>
    <row r="94" spans="1:25" x14ac:dyDescent="0.2">
      <c r="A94" t="s">
        <v>155</v>
      </c>
      <c r="B94" t="s">
        <v>151</v>
      </c>
      <c r="C94" s="2">
        <v>46240</v>
      </c>
      <c r="D94" t="s">
        <v>67</v>
      </c>
      <c r="E94" t="s">
        <v>41</v>
      </c>
      <c r="F94" t="s">
        <v>54</v>
      </c>
      <c r="G94" t="s">
        <v>44</v>
      </c>
      <c r="H94">
        <v>583</v>
      </c>
      <c r="I94">
        <v>578</v>
      </c>
      <c r="J94">
        <v>5</v>
      </c>
      <c r="K94">
        <v>18</v>
      </c>
      <c r="L94">
        <v>19.07</v>
      </c>
      <c r="M94">
        <v>185.27</v>
      </c>
      <c r="N94">
        <f>_xlfn.XLOOKUP(Table13[[#This Row],[Production_Order_ID]],[1]Sheet1!$A$2:$A$391,[1]Sheet1!$F$2:$F$391,"No Match")</f>
        <v>490</v>
      </c>
      <c r="O94" s="3">
        <f>Table13[[#This Row],[Good_Qty]]/Table13[[#This Row],[Planned_Production]]</f>
        <v>1.1795918367346938</v>
      </c>
      <c r="P94" t="str">
        <f>IF(Table13[[#This Row],[Good_Qty]]&gt;=Table13[[#This Row],[Planned_Production]],"Met","Not Met")</f>
        <v>Met</v>
      </c>
      <c r="Q94">
        <f>Table13[[#This Row],[Good_Qty]]-Table13[[#This Row],[Planned_Production]]</f>
        <v>88</v>
      </c>
      <c r="R94" s="3">
        <f>IF(Table13[[#This Row],[Actual_Qty]]=0,0,Table13[[#This Row],[Reject_Qty]]/Table13[[#This Row],[Actual_Qty]])</f>
        <v>8.5763293310463125E-3</v>
      </c>
      <c r="S94">
        <v>437.99</v>
      </c>
      <c r="T94">
        <f>(Table13[[#This Row],[Ideal_Cycle_Time_sec]]*Table13[[#This Row],[Actual_Qty]])/(Table13[[#This Row],[Operational_Time_min]]*60)</f>
        <v>0.39932418548368681</v>
      </c>
      <c r="U94">
        <f>Table13[[#This Row],[Good_Qty]]/Table13[[#This Row],[Actual_Qty]]</f>
        <v>0.99142367066895365</v>
      </c>
      <c r="V94" t="str">
        <f>IF(OR(Table13[[#This Row],[Performance_%]]&gt;=1,Table13[[#This Row],[Performance_%]]&lt;=0),"Error","OK")</f>
        <v>OK</v>
      </c>
      <c r="W94" t="str">
        <f>IF(OR(Table13[[#This Row],[Quality_%]]&gt;=1,Table13[[#This Row],[Quality_%]]&lt;=0),"Error","OK")</f>
        <v>OK</v>
      </c>
      <c r="X94">
        <f>Table13[[#This Row],[Performance_%]]*Table13[[#This Row],[Quality_%]]*[2]Availability_KPI!K94</f>
        <v>0.38533333333333331</v>
      </c>
      <c r="Y94" t="str">
        <f>IF(OR(Table13[[#This Row],[OEE_%]]&gt;1,Table13[[#This Row],[OEE_%]]&lt;0),"Error","OK")</f>
        <v>OK</v>
      </c>
    </row>
    <row r="95" spans="1:25" x14ac:dyDescent="0.2">
      <c r="A95" t="s">
        <v>156</v>
      </c>
      <c r="B95" t="s">
        <v>151</v>
      </c>
      <c r="C95" s="2">
        <v>46240</v>
      </c>
      <c r="D95" t="s">
        <v>67</v>
      </c>
      <c r="E95" t="s">
        <v>43</v>
      </c>
      <c r="F95" t="s">
        <v>54</v>
      </c>
      <c r="G95" t="s">
        <v>36</v>
      </c>
      <c r="H95">
        <v>582</v>
      </c>
      <c r="I95">
        <v>574</v>
      </c>
      <c r="J95">
        <v>8</v>
      </c>
      <c r="K95">
        <v>32</v>
      </c>
      <c r="L95">
        <v>34.450000000000003</v>
      </c>
      <c r="M95">
        <v>334.18</v>
      </c>
      <c r="N95">
        <f>_xlfn.XLOOKUP(Table13[[#This Row],[Production_Order_ID]],[1]Sheet1!$A$2:$A$391,[1]Sheet1!$F$2:$F$391,"No Match")</f>
        <v>490</v>
      </c>
      <c r="O95" s="3">
        <f>Table13[[#This Row],[Good_Qty]]/Table13[[#This Row],[Planned_Production]]</f>
        <v>1.1714285714285715</v>
      </c>
      <c r="P95" t="str">
        <f>IF(Table13[[#This Row],[Good_Qty]]&gt;=Table13[[#This Row],[Planned_Production]],"Met","Not Met")</f>
        <v>Met</v>
      </c>
      <c r="Q95">
        <f>Table13[[#This Row],[Good_Qty]]-Table13[[#This Row],[Planned_Production]]</f>
        <v>84</v>
      </c>
      <c r="R95" s="3">
        <f>IF(Table13[[#This Row],[Actual_Qty]]=0,0,Table13[[#This Row],[Reject_Qty]]/Table13[[#This Row],[Actual_Qty]])</f>
        <v>1.3745704467353952E-2</v>
      </c>
      <c r="S95">
        <v>414.13</v>
      </c>
      <c r="T95">
        <f>(Table13[[#This Row],[Ideal_Cycle_Time_sec]]*Table13[[#This Row],[Actual_Qty]])/(Table13[[#This Row],[Operational_Time_min]]*60)</f>
        <v>0.74952309661217498</v>
      </c>
      <c r="U95">
        <f>Table13[[#This Row],[Good_Qty]]/Table13[[#This Row],[Actual_Qty]]</f>
        <v>0.9862542955326461</v>
      </c>
      <c r="V95" t="str">
        <f>IF(OR(Table13[[#This Row],[Performance_%]]&gt;=1,Table13[[#This Row],[Performance_%]]&lt;=0),"Error","OK")</f>
        <v>OK</v>
      </c>
      <c r="W95" t="str">
        <f>IF(OR(Table13[[#This Row],[Quality_%]]&gt;=1,Table13[[#This Row],[Quality_%]]&lt;=0),"Error","OK")</f>
        <v>OK</v>
      </c>
      <c r="X95">
        <f>Table13[[#This Row],[Performance_%]]*Table13[[#This Row],[Quality_%]]*[2]Availability_KPI!K95</f>
        <v>0.6802962962962964</v>
      </c>
      <c r="Y95" t="str">
        <f>IF(OR(Table13[[#This Row],[OEE_%]]&gt;1,Table13[[#This Row],[OEE_%]]&lt;0),"Error","OK")</f>
        <v>OK</v>
      </c>
    </row>
    <row r="96" spans="1:25" x14ac:dyDescent="0.2">
      <c r="A96" t="s">
        <v>157</v>
      </c>
      <c r="B96" t="s">
        <v>151</v>
      </c>
      <c r="C96" s="2">
        <v>46240</v>
      </c>
      <c r="D96" t="s">
        <v>67</v>
      </c>
      <c r="E96" t="s">
        <v>46</v>
      </c>
      <c r="F96" t="s">
        <v>54</v>
      </c>
      <c r="G96" t="s">
        <v>30</v>
      </c>
      <c r="H96">
        <v>576</v>
      </c>
      <c r="I96">
        <v>571</v>
      </c>
      <c r="J96">
        <v>5</v>
      </c>
      <c r="K96">
        <v>25</v>
      </c>
      <c r="L96">
        <v>26.25</v>
      </c>
      <c r="M96">
        <v>252.02</v>
      </c>
      <c r="N96">
        <f>_xlfn.XLOOKUP(Table13[[#This Row],[Production_Order_ID]],[1]Sheet1!$A$2:$A$391,[1]Sheet1!$F$2:$F$391,"No Match")</f>
        <v>490</v>
      </c>
      <c r="O96" s="3">
        <f>Table13[[#This Row],[Good_Qty]]/Table13[[#This Row],[Planned_Production]]</f>
        <v>1.1653061224489796</v>
      </c>
      <c r="P96" t="str">
        <f>IF(Table13[[#This Row],[Good_Qty]]&gt;=Table13[[#This Row],[Planned_Production]],"Met","Not Met")</f>
        <v>Met</v>
      </c>
      <c r="Q96">
        <f>Table13[[#This Row],[Good_Qty]]-Table13[[#This Row],[Planned_Production]]</f>
        <v>81</v>
      </c>
      <c r="R96" s="3">
        <f>IF(Table13[[#This Row],[Actual_Qty]]=0,0,Table13[[#This Row],[Reject_Qty]]/Table13[[#This Row],[Actual_Qty]])</f>
        <v>8.6805555555555559E-3</v>
      </c>
      <c r="S96">
        <v>432.71</v>
      </c>
      <c r="T96">
        <f>(Table13[[#This Row],[Ideal_Cycle_Time_sec]]*Table13[[#This Row],[Actual_Qty]])/(Table13[[#This Row],[Operational_Time_min]]*60)</f>
        <v>0.55464398789027292</v>
      </c>
      <c r="U96">
        <f>Table13[[#This Row],[Good_Qty]]/Table13[[#This Row],[Actual_Qty]]</f>
        <v>0.99131944444444442</v>
      </c>
      <c r="V96" t="str">
        <f>IF(OR(Table13[[#This Row],[Performance_%]]&gt;=1,Table13[[#This Row],[Performance_%]]&lt;=0),"Error","OK")</f>
        <v>OK</v>
      </c>
      <c r="W96" t="str">
        <f>IF(OR(Table13[[#This Row],[Quality_%]]&gt;=1,Table13[[#This Row],[Quality_%]]&lt;=0),"Error","OK")</f>
        <v>OK</v>
      </c>
      <c r="X96">
        <f>Table13[[#This Row],[Performance_%]]*Table13[[#This Row],[Quality_%]]*[2]Availability_KPI!K96</f>
        <v>0.52870370370370368</v>
      </c>
      <c r="Y96" t="str">
        <f>IF(OR(Table13[[#This Row],[OEE_%]]&gt;1,Table13[[#This Row],[OEE_%]]&lt;0),"Error","OK")</f>
        <v>OK</v>
      </c>
    </row>
    <row r="97" spans="1:25" x14ac:dyDescent="0.2">
      <c r="A97" t="s">
        <v>158</v>
      </c>
      <c r="B97" t="s">
        <v>151</v>
      </c>
      <c r="C97" s="2">
        <v>46240</v>
      </c>
      <c r="D97" t="s">
        <v>67</v>
      </c>
      <c r="E97" t="s">
        <v>49</v>
      </c>
      <c r="F97" t="s">
        <v>54</v>
      </c>
      <c r="G97" t="s">
        <v>75</v>
      </c>
      <c r="H97">
        <v>574</v>
      </c>
      <c r="I97">
        <v>569</v>
      </c>
      <c r="J97">
        <v>5</v>
      </c>
      <c r="K97">
        <v>20</v>
      </c>
      <c r="L97">
        <v>20.25</v>
      </c>
      <c r="M97">
        <v>193.68</v>
      </c>
      <c r="N97">
        <f>_xlfn.XLOOKUP(Table13[[#This Row],[Production_Order_ID]],[1]Sheet1!$A$2:$A$391,[1]Sheet1!$F$2:$F$391,"No Match")</f>
        <v>490</v>
      </c>
      <c r="O97" s="3">
        <f>Table13[[#This Row],[Good_Qty]]/Table13[[#This Row],[Planned_Production]]</f>
        <v>1.1612244897959183</v>
      </c>
      <c r="P97" t="str">
        <f>IF(Table13[[#This Row],[Good_Qty]]&gt;=Table13[[#This Row],[Planned_Production]],"Met","Not Met")</f>
        <v>Met</v>
      </c>
      <c r="Q97">
        <f>Table13[[#This Row],[Good_Qty]]-Table13[[#This Row],[Planned_Production]]</f>
        <v>79</v>
      </c>
      <c r="R97" s="3">
        <f>IF(Table13[[#This Row],[Actual_Qty]]=0,0,Table13[[#This Row],[Reject_Qty]]/Table13[[#This Row],[Actual_Qty]])</f>
        <v>8.7108013937282226E-3</v>
      </c>
      <c r="S97">
        <v>441.2</v>
      </c>
      <c r="T97">
        <f>(Table13[[#This Row],[Ideal_Cycle_Time_sec]]*Table13[[#This Row],[Actual_Qty]])/(Table13[[#This Row],[Operational_Time_min]]*60)</f>
        <v>0.433665760048353</v>
      </c>
      <c r="U97">
        <f>Table13[[#This Row],[Good_Qty]]/Table13[[#This Row],[Actual_Qty]]</f>
        <v>0.99128919860627174</v>
      </c>
      <c r="V97" t="str">
        <f>IF(OR(Table13[[#This Row],[Performance_%]]&gt;=1,Table13[[#This Row],[Performance_%]]&lt;=0),"Error","OK")</f>
        <v>OK</v>
      </c>
      <c r="W97" t="str">
        <f>IF(OR(Table13[[#This Row],[Quality_%]]&gt;=1,Table13[[#This Row],[Quality_%]]&lt;=0),"Error","OK")</f>
        <v>OK</v>
      </c>
      <c r="X97">
        <f>Table13[[#This Row],[Performance_%]]*Table13[[#This Row],[Quality_%]]*[2]Availability_KPI!K97</f>
        <v>0.42148148148148151</v>
      </c>
      <c r="Y97" t="str">
        <f>IF(OR(Table13[[#This Row],[OEE_%]]&gt;1,Table13[[#This Row],[OEE_%]]&lt;0),"Error","OK")</f>
        <v>OK</v>
      </c>
    </row>
    <row r="98" spans="1:25" x14ac:dyDescent="0.2">
      <c r="A98" t="s">
        <v>159</v>
      </c>
      <c r="B98" t="s">
        <v>160</v>
      </c>
      <c r="C98" s="2">
        <v>46241</v>
      </c>
      <c r="D98" t="s">
        <v>27</v>
      </c>
      <c r="E98" t="s">
        <v>28</v>
      </c>
      <c r="F98" t="s">
        <v>54</v>
      </c>
      <c r="G98" t="s">
        <v>33</v>
      </c>
      <c r="H98">
        <v>610</v>
      </c>
      <c r="I98">
        <v>609</v>
      </c>
      <c r="J98">
        <v>1</v>
      </c>
      <c r="K98">
        <v>18</v>
      </c>
      <c r="L98">
        <v>18.13</v>
      </c>
      <c r="M98">
        <v>184.36</v>
      </c>
      <c r="N98">
        <f>_xlfn.XLOOKUP(Table13[[#This Row],[Production_Order_ID]],[1]Sheet1!$A$2:$A$391,[1]Sheet1!$F$2:$F$391,"No Match")</f>
        <v>510</v>
      </c>
      <c r="O98" s="3">
        <f>Table13[[#This Row],[Good_Qty]]/Table13[[#This Row],[Planned_Production]]</f>
        <v>1.1941176470588235</v>
      </c>
      <c r="P98" t="str">
        <f>IF(Table13[[#This Row],[Good_Qty]]&gt;=Table13[[#This Row],[Planned_Production]],"Met","Not Met")</f>
        <v>Met</v>
      </c>
      <c r="Q98">
        <f>Table13[[#This Row],[Good_Qty]]-Table13[[#This Row],[Planned_Production]]</f>
        <v>99</v>
      </c>
      <c r="R98" s="3">
        <f>IF(Table13[[#This Row],[Actual_Qty]]=0,0,Table13[[#This Row],[Reject_Qty]]/Table13[[#This Row],[Actual_Qty]])</f>
        <v>1.639344262295082E-3</v>
      </c>
      <c r="S98">
        <v>442.8</v>
      </c>
      <c r="T98">
        <f>(Table13[[#This Row],[Ideal_Cycle_Time_sec]]*Table13[[#This Row],[Actual_Qty]])/(Table13[[#This Row],[Operational_Time_min]]*60)</f>
        <v>0.41327913279132789</v>
      </c>
      <c r="U98">
        <f>Table13[[#This Row],[Good_Qty]]/Table13[[#This Row],[Actual_Qty]]</f>
        <v>0.99836065573770494</v>
      </c>
      <c r="V98" t="str">
        <f>IF(OR(Table13[[#This Row],[Performance_%]]&gt;=1,Table13[[#This Row],[Performance_%]]&lt;=0),"Error","OK")</f>
        <v>OK</v>
      </c>
      <c r="W98" t="str">
        <f>IF(OR(Table13[[#This Row],[Quality_%]]&gt;=1,Table13[[#This Row],[Quality_%]]&lt;=0),"Error","OK")</f>
        <v>OK</v>
      </c>
      <c r="X98">
        <f>Table13[[#This Row],[Performance_%]]*Table13[[#This Row],[Quality_%]]*[2]Availability_KPI!K98</f>
        <v>0.40599999999999997</v>
      </c>
      <c r="Y98" t="str">
        <f>IF(OR(Table13[[#This Row],[OEE_%]]&gt;1,Table13[[#This Row],[OEE_%]]&lt;0),"Error","OK")</f>
        <v>OK</v>
      </c>
    </row>
    <row r="99" spans="1:25" x14ac:dyDescent="0.2">
      <c r="A99" t="s">
        <v>161</v>
      </c>
      <c r="B99" t="s">
        <v>160</v>
      </c>
      <c r="C99" s="2">
        <v>46241</v>
      </c>
      <c r="D99" t="s">
        <v>27</v>
      </c>
      <c r="E99" t="s">
        <v>32</v>
      </c>
      <c r="F99" t="s">
        <v>54</v>
      </c>
      <c r="G99" t="s">
        <v>55</v>
      </c>
      <c r="H99">
        <v>620</v>
      </c>
      <c r="I99">
        <v>615</v>
      </c>
      <c r="J99">
        <v>5</v>
      </c>
      <c r="K99">
        <v>20</v>
      </c>
      <c r="L99">
        <v>20.260000000000002</v>
      </c>
      <c r="M99">
        <v>209.4</v>
      </c>
      <c r="N99">
        <f>_xlfn.XLOOKUP(Table13[[#This Row],[Production_Order_ID]],[1]Sheet1!$A$2:$A$391,[1]Sheet1!$F$2:$F$391,"No Match")</f>
        <v>510</v>
      </c>
      <c r="O99" s="3">
        <f>Table13[[#This Row],[Good_Qty]]/Table13[[#This Row],[Planned_Production]]</f>
        <v>1.2058823529411764</v>
      </c>
      <c r="P99" t="str">
        <f>IF(Table13[[#This Row],[Good_Qty]]&gt;=Table13[[#This Row],[Planned_Production]],"Met","Not Met")</f>
        <v>Met</v>
      </c>
      <c r="Q99">
        <f>Table13[[#This Row],[Good_Qty]]-Table13[[#This Row],[Planned_Production]]</f>
        <v>105</v>
      </c>
      <c r="R99" s="3">
        <f>IF(Table13[[#This Row],[Actual_Qty]]=0,0,Table13[[#This Row],[Reject_Qty]]/Table13[[#This Row],[Actual_Qty]])</f>
        <v>8.0645161290322578E-3</v>
      </c>
      <c r="S99">
        <v>441.06</v>
      </c>
      <c r="T99">
        <f>(Table13[[#This Row],[Ideal_Cycle_Time_sec]]*Table13[[#This Row],[Actual_Qty]])/(Table13[[#This Row],[Operational_Time_min]]*60)</f>
        <v>0.46856814643510336</v>
      </c>
      <c r="U99">
        <f>Table13[[#This Row],[Good_Qty]]/Table13[[#This Row],[Actual_Qty]]</f>
        <v>0.99193548387096775</v>
      </c>
      <c r="V99" t="str">
        <f>IF(OR(Table13[[#This Row],[Performance_%]]&gt;=1,Table13[[#This Row],[Performance_%]]&lt;=0),"Error","OK")</f>
        <v>OK</v>
      </c>
      <c r="W99" t="str">
        <f>IF(OR(Table13[[#This Row],[Quality_%]]&gt;=1,Table13[[#This Row],[Quality_%]]&lt;=0),"Error","OK")</f>
        <v>OK</v>
      </c>
      <c r="X99">
        <f>Table13[[#This Row],[Performance_%]]*Table13[[#This Row],[Quality_%]]*[2]Availability_KPI!K99</f>
        <v>0.4555555555555556</v>
      </c>
      <c r="Y99" t="str">
        <f>IF(OR(Table13[[#This Row],[OEE_%]]&gt;1,Table13[[#This Row],[OEE_%]]&lt;0),"Error","OK")</f>
        <v>OK</v>
      </c>
    </row>
    <row r="100" spans="1:25" x14ac:dyDescent="0.2">
      <c r="A100" t="s">
        <v>162</v>
      </c>
      <c r="B100" t="s">
        <v>160</v>
      </c>
      <c r="C100" s="2">
        <v>46241</v>
      </c>
      <c r="D100" t="s">
        <v>27</v>
      </c>
      <c r="E100" t="s">
        <v>35</v>
      </c>
      <c r="F100" t="s">
        <v>54</v>
      </c>
      <c r="G100" t="s">
        <v>47</v>
      </c>
      <c r="H100">
        <v>613</v>
      </c>
      <c r="I100">
        <v>607</v>
      </c>
      <c r="J100">
        <v>6</v>
      </c>
      <c r="K100">
        <v>22</v>
      </c>
      <c r="L100">
        <v>23.59</v>
      </c>
      <c r="M100">
        <v>241.05</v>
      </c>
      <c r="N100">
        <f>_xlfn.XLOOKUP(Table13[[#This Row],[Production_Order_ID]],[1]Sheet1!$A$2:$A$391,[1]Sheet1!$F$2:$F$391,"No Match")</f>
        <v>510</v>
      </c>
      <c r="O100" s="3">
        <f>Table13[[#This Row],[Good_Qty]]/Table13[[#This Row],[Planned_Production]]</f>
        <v>1.1901960784313725</v>
      </c>
      <c r="P100" t="str">
        <f>IF(Table13[[#This Row],[Good_Qty]]&gt;=Table13[[#This Row],[Planned_Production]],"Met","Not Met")</f>
        <v>Met</v>
      </c>
      <c r="Q100">
        <f>Table13[[#This Row],[Good_Qty]]-Table13[[#This Row],[Planned_Production]]</f>
        <v>97</v>
      </c>
      <c r="R100" s="3">
        <f>IF(Table13[[#This Row],[Actual_Qty]]=0,0,Table13[[#This Row],[Reject_Qty]]/Table13[[#This Row],[Actual_Qty]])</f>
        <v>9.7879282218597055E-3</v>
      </c>
      <c r="S100">
        <v>436.97</v>
      </c>
      <c r="T100">
        <f>(Table13[[#This Row],[Ideal_Cycle_Time_sec]]*Table13[[#This Row],[Actual_Qty]])/(Table13[[#This Row],[Operational_Time_min]]*60)</f>
        <v>0.51437551014180982</v>
      </c>
      <c r="U100">
        <f>Table13[[#This Row],[Good_Qty]]/Table13[[#This Row],[Actual_Qty]]</f>
        <v>0.9902120717781403</v>
      </c>
      <c r="V100" t="str">
        <f>IF(OR(Table13[[#This Row],[Performance_%]]&gt;=1,Table13[[#This Row],[Performance_%]]&lt;=0),"Error","OK")</f>
        <v>OK</v>
      </c>
      <c r="W100" t="str">
        <f>IF(OR(Table13[[#This Row],[Quality_%]]&gt;=1,Table13[[#This Row],[Quality_%]]&lt;=0),"Error","OK")</f>
        <v>OK</v>
      </c>
      <c r="X100">
        <f>Table13[[#This Row],[Performance_%]]*Table13[[#This Row],[Quality_%]]*[2]Availability_KPI!K100</f>
        <v>0.49459259259259253</v>
      </c>
      <c r="Y100" t="str">
        <f>IF(OR(Table13[[#This Row],[OEE_%]]&gt;1,Table13[[#This Row],[OEE_%]]&lt;0),"Error","OK")</f>
        <v>OK</v>
      </c>
    </row>
    <row r="101" spans="1:25" x14ac:dyDescent="0.2">
      <c r="A101" t="s">
        <v>163</v>
      </c>
      <c r="B101" t="s">
        <v>160</v>
      </c>
      <c r="C101" s="2">
        <v>46241</v>
      </c>
      <c r="D101" t="s">
        <v>27</v>
      </c>
      <c r="E101" t="s">
        <v>38</v>
      </c>
      <c r="F101" t="s">
        <v>54</v>
      </c>
      <c r="G101" t="s">
        <v>61</v>
      </c>
      <c r="H101">
        <v>610</v>
      </c>
      <c r="I101">
        <v>607</v>
      </c>
      <c r="J101">
        <v>3</v>
      </c>
      <c r="K101">
        <v>20</v>
      </c>
      <c r="L101">
        <v>20.59</v>
      </c>
      <c r="M101">
        <v>209.34</v>
      </c>
      <c r="N101">
        <f>_xlfn.XLOOKUP(Table13[[#This Row],[Production_Order_ID]],[1]Sheet1!$A$2:$A$391,[1]Sheet1!$F$2:$F$391,"No Match")</f>
        <v>510</v>
      </c>
      <c r="O101" s="3">
        <f>Table13[[#This Row],[Good_Qty]]/Table13[[#This Row],[Planned_Production]]</f>
        <v>1.1901960784313725</v>
      </c>
      <c r="P101" t="str">
        <f>IF(Table13[[#This Row],[Good_Qty]]&gt;=Table13[[#This Row],[Planned_Production]],"Met","Not Met")</f>
        <v>Met</v>
      </c>
      <c r="Q101">
        <f>Table13[[#This Row],[Good_Qty]]-Table13[[#This Row],[Planned_Production]]</f>
        <v>97</v>
      </c>
      <c r="R101" s="3">
        <f>IF(Table13[[#This Row],[Actual_Qty]]=0,0,Table13[[#This Row],[Reject_Qty]]/Table13[[#This Row],[Actual_Qty]])</f>
        <v>4.9180327868852463E-3</v>
      </c>
      <c r="S101">
        <v>440.99</v>
      </c>
      <c r="T101">
        <f>(Table13[[#This Row],[Ideal_Cycle_Time_sec]]*Table13[[#This Row],[Actual_Qty]])/(Table13[[#This Row],[Operational_Time_min]]*60)</f>
        <v>0.46108377363054337</v>
      </c>
      <c r="U101">
        <f>Table13[[#This Row],[Good_Qty]]/Table13[[#This Row],[Actual_Qty]]</f>
        <v>0.9950819672131147</v>
      </c>
      <c r="V101" t="str">
        <f>IF(OR(Table13[[#This Row],[Performance_%]]&gt;=1,Table13[[#This Row],[Performance_%]]&lt;=0),"Error","OK")</f>
        <v>OK</v>
      </c>
      <c r="W101" t="str">
        <f>IF(OR(Table13[[#This Row],[Quality_%]]&gt;=1,Table13[[#This Row],[Quality_%]]&lt;=0),"Error","OK")</f>
        <v>OK</v>
      </c>
      <c r="X101">
        <f>Table13[[#This Row],[Performance_%]]*Table13[[#This Row],[Quality_%]]*[2]Availability_KPI!K101</f>
        <v>0.4496296296296296</v>
      </c>
      <c r="Y101" t="str">
        <f>IF(OR(Table13[[#This Row],[OEE_%]]&gt;1,Table13[[#This Row],[OEE_%]]&lt;0),"Error","OK")</f>
        <v>OK</v>
      </c>
    </row>
    <row r="102" spans="1:25" x14ac:dyDescent="0.2">
      <c r="A102" t="s">
        <v>164</v>
      </c>
      <c r="B102" t="s">
        <v>160</v>
      </c>
      <c r="C102" s="2">
        <v>46241</v>
      </c>
      <c r="D102" t="s">
        <v>27</v>
      </c>
      <c r="E102" t="s">
        <v>41</v>
      </c>
      <c r="F102" t="s">
        <v>54</v>
      </c>
      <c r="G102" t="s">
        <v>75</v>
      </c>
      <c r="H102">
        <v>590</v>
      </c>
      <c r="I102">
        <v>586</v>
      </c>
      <c r="J102">
        <v>4</v>
      </c>
      <c r="K102">
        <v>18</v>
      </c>
      <c r="L102">
        <v>18.82</v>
      </c>
      <c r="M102">
        <v>185.06</v>
      </c>
      <c r="N102">
        <f>_xlfn.XLOOKUP(Table13[[#This Row],[Production_Order_ID]],[1]Sheet1!$A$2:$A$391,[1]Sheet1!$F$2:$F$391,"No Match")</f>
        <v>510</v>
      </c>
      <c r="O102" s="3">
        <f>Table13[[#This Row],[Good_Qty]]/Table13[[#This Row],[Planned_Production]]</f>
        <v>1.1490196078431372</v>
      </c>
      <c r="P102" t="str">
        <f>IF(Table13[[#This Row],[Good_Qty]]&gt;=Table13[[#This Row],[Planned_Production]],"Met","Not Met")</f>
        <v>Met</v>
      </c>
      <c r="Q102">
        <f>Table13[[#This Row],[Good_Qty]]-Table13[[#This Row],[Planned_Production]]</f>
        <v>76</v>
      </c>
      <c r="R102" s="3">
        <f>IF(Table13[[#This Row],[Actual_Qty]]=0,0,Table13[[#This Row],[Reject_Qty]]/Table13[[#This Row],[Actual_Qty]])</f>
        <v>6.7796610169491523E-3</v>
      </c>
      <c r="S102">
        <v>439.17</v>
      </c>
      <c r="T102">
        <f>(Table13[[#This Row],[Ideal_Cycle_Time_sec]]*Table13[[#This Row],[Actual_Qty]])/(Table13[[#This Row],[Operational_Time_min]]*60)</f>
        <v>0.40303299405697107</v>
      </c>
      <c r="U102">
        <f>Table13[[#This Row],[Good_Qty]]/Table13[[#This Row],[Actual_Qty]]</f>
        <v>0.99322033898305084</v>
      </c>
      <c r="V102" t="str">
        <f>IF(OR(Table13[[#This Row],[Performance_%]]&gt;=1,Table13[[#This Row],[Performance_%]]&lt;=0),"Error","OK")</f>
        <v>OK</v>
      </c>
      <c r="W102" t="str">
        <f>IF(OR(Table13[[#This Row],[Quality_%]]&gt;=1,Table13[[#This Row],[Quality_%]]&lt;=0),"Error","OK")</f>
        <v>OK</v>
      </c>
      <c r="X102">
        <f>Table13[[#This Row],[Performance_%]]*Table13[[#This Row],[Quality_%]]*[2]Availability_KPI!K102</f>
        <v>0.39066666666666661</v>
      </c>
      <c r="Y102" t="str">
        <f>IF(OR(Table13[[#This Row],[OEE_%]]&gt;1,Table13[[#This Row],[OEE_%]]&lt;0),"Error","OK")</f>
        <v>OK</v>
      </c>
    </row>
    <row r="103" spans="1:25" x14ac:dyDescent="0.2">
      <c r="A103" t="s">
        <v>165</v>
      </c>
      <c r="B103" t="s">
        <v>160</v>
      </c>
      <c r="C103" s="2">
        <v>46241</v>
      </c>
      <c r="D103" t="s">
        <v>27</v>
      </c>
      <c r="E103" t="s">
        <v>43</v>
      </c>
      <c r="F103" t="s">
        <v>54</v>
      </c>
      <c r="G103" t="s">
        <v>39</v>
      </c>
      <c r="H103">
        <v>601</v>
      </c>
      <c r="I103">
        <v>594</v>
      </c>
      <c r="J103">
        <v>7</v>
      </c>
      <c r="K103">
        <v>32</v>
      </c>
      <c r="L103">
        <v>33.869999999999997</v>
      </c>
      <c r="M103">
        <v>339.28</v>
      </c>
      <c r="N103">
        <f>_xlfn.XLOOKUP(Table13[[#This Row],[Production_Order_ID]],[1]Sheet1!$A$2:$A$391,[1]Sheet1!$F$2:$F$391,"No Match")</f>
        <v>510</v>
      </c>
      <c r="O103" s="3">
        <f>Table13[[#This Row],[Good_Qty]]/Table13[[#This Row],[Planned_Production]]</f>
        <v>1.1647058823529413</v>
      </c>
      <c r="P103" t="str">
        <f>IF(Table13[[#This Row],[Good_Qty]]&gt;=Table13[[#This Row],[Planned_Production]],"Met","Not Met")</f>
        <v>Met</v>
      </c>
      <c r="Q103">
        <f>Table13[[#This Row],[Good_Qty]]-Table13[[#This Row],[Planned_Production]]</f>
        <v>84</v>
      </c>
      <c r="R103" s="3">
        <f>IF(Table13[[#This Row],[Actual_Qty]]=0,0,Table13[[#This Row],[Reject_Qty]]/Table13[[#This Row],[Actual_Qty]])</f>
        <v>1.1647254575707155E-2</v>
      </c>
      <c r="S103">
        <v>422.12</v>
      </c>
      <c r="T103">
        <f>(Table13[[#This Row],[Ideal_Cycle_Time_sec]]*Table13[[#This Row],[Actual_Qty]])/(Table13[[#This Row],[Operational_Time_min]]*60)</f>
        <v>0.75934173536751004</v>
      </c>
      <c r="U103">
        <f>Table13[[#This Row],[Good_Qty]]/Table13[[#This Row],[Actual_Qty]]</f>
        <v>0.98835274542429286</v>
      </c>
      <c r="V103" t="str">
        <f>IF(OR(Table13[[#This Row],[Performance_%]]&gt;=1,Table13[[#This Row],[Performance_%]]&lt;=0),"Error","OK")</f>
        <v>OK</v>
      </c>
      <c r="W103" t="str">
        <f>IF(OR(Table13[[#This Row],[Quality_%]]&gt;=1,Table13[[#This Row],[Quality_%]]&lt;=0),"Error","OK")</f>
        <v>OK</v>
      </c>
      <c r="X103">
        <f>Table13[[#This Row],[Performance_%]]*Table13[[#This Row],[Quality_%]]*[2]Availability_KPI!K103</f>
        <v>0.70400000000000007</v>
      </c>
      <c r="Y103" t="str">
        <f>IF(OR(Table13[[#This Row],[OEE_%]]&gt;1,Table13[[#This Row],[OEE_%]]&lt;0),"Error","OK")</f>
        <v>OK</v>
      </c>
    </row>
    <row r="104" spans="1:25" x14ac:dyDescent="0.2">
      <c r="A104" t="s">
        <v>166</v>
      </c>
      <c r="B104" t="s">
        <v>160</v>
      </c>
      <c r="C104" s="2">
        <v>46241</v>
      </c>
      <c r="D104" t="s">
        <v>27</v>
      </c>
      <c r="E104" t="s">
        <v>46</v>
      </c>
      <c r="F104" t="s">
        <v>54</v>
      </c>
      <c r="G104" t="s">
        <v>61</v>
      </c>
      <c r="H104">
        <v>620</v>
      </c>
      <c r="I104">
        <v>613</v>
      </c>
      <c r="J104">
        <v>7</v>
      </c>
      <c r="K104">
        <v>25</v>
      </c>
      <c r="L104">
        <v>25.68</v>
      </c>
      <c r="M104">
        <v>265.35000000000002</v>
      </c>
      <c r="N104">
        <f>_xlfn.XLOOKUP(Table13[[#This Row],[Production_Order_ID]],[1]Sheet1!$A$2:$A$391,[1]Sheet1!$F$2:$F$391,"No Match")</f>
        <v>510</v>
      </c>
      <c r="O104" s="3">
        <f>Table13[[#This Row],[Good_Qty]]/Table13[[#This Row],[Planned_Production]]</f>
        <v>1.2019607843137254</v>
      </c>
      <c r="P104" t="str">
        <f>IF(Table13[[#This Row],[Good_Qty]]&gt;=Table13[[#This Row],[Planned_Production]],"Met","Not Met")</f>
        <v>Met</v>
      </c>
      <c r="Q104">
        <f>Table13[[#This Row],[Good_Qty]]-Table13[[#This Row],[Planned_Production]]</f>
        <v>103</v>
      </c>
      <c r="R104" s="3">
        <f>IF(Table13[[#This Row],[Actual_Qty]]=0,0,Table13[[#This Row],[Reject_Qty]]/Table13[[#This Row],[Actual_Qty]])</f>
        <v>1.1290322580645161E-2</v>
      </c>
      <c r="S104">
        <v>425.48</v>
      </c>
      <c r="T104">
        <f>(Table13[[#This Row],[Ideal_Cycle_Time_sec]]*Table13[[#This Row],[Actual_Qty]])/(Table13[[#This Row],[Operational_Time_min]]*60)</f>
        <v>0.60715740653693073</v>
      </c>
      <c r="U104">
        <f>Table13[[#This Row],[Good_Qty]]/Table13[[#This Row],[Actual_Qty]]</f>
        <v>0.98870967741935489</v>
      </c>
      <c r="V104" t="str">
        <f>IF(OR(Table13[[#This Row],[Performance_%]]&gt;=1,Table13[[#This Row],[Performance_%]]&lt;=0),"Error","OK")</f>
        <v>OK</v>
      </c>
      <c r="W104" t="str">
        <f>IF(OR(Table13[[#This Row],[Quality_%]]&gt;=1,Table13[[#This Row],[Quality_%]]&lt;=0),"Error","OK")</f>
        <v>OK</v>
      </c>
      <c r="X104">
        <f>Table13[[#This Row],[Performance_%]]*Table13[[#This Row],[Quality_%]]*[2]Availability_KPI!K104</f>
        <v>0.56759259259259265</v>
      </c>
      <c r="Y104" t="str">
        <f>IF(OR(Table13[[#This Row],[OEE_%]]&gt;1,Table13[[#This Row],[OEE_%]]&lt;0),"Error","OK")</f>
        <v>OK</v>
      </c>
    </row>
    <row r="105" spans="1:25" x14ac:dyDescent="0.2">
      <c r="A105" t="s">
        <v>167</v>
      </c>
      <c r="B105" t="s">
        <v>160</v>
      </c>
      <c r="C105" s="2">
        <v>46241</v>
      </c>
      <c r="D105" t="s">
        <v>27</v>
      </c>
      <c r="E105" t="s">
        <v>49</v>
      </c>
      <c r="F105" t="s">
        <v>54</v>
      </c>
      <c r="G105" t="s">
        <v>71</v>
      </c>
      <c r="H105">
        <v>607</v>
      </c>
      <c r="I105">
        <v>604</v>
      </c>
      <c r="J105">
        <v>3</v>
      </c>
      <c r="K105">
        <v>20</v>
      </c>
      <c r="L105">
        <v>20.72</v>
      </c>
      <c r="M105">
        <v>209.66</v>
      </c>
      <c r="N105">
        <f>_xlfn.XLOOKUP(Table13[[#This Row],[Production_Order_ID]],[1]Sheet1!$A$2:$A$391,[1]Sheet1!$F$2:$F$391,"No Match")</f>
        <v>510</v>
      </c>
      <c r="O105" s="3">
        <f>Table13[[#This Row],[Good_Qty]]/Table13[[#This Row],[Planned_Production]]</f>
        <v>1.1843137254901961</v>
      </c>
      <c r="P105" t="str">
        <f>IF(Table13[[#This Row],[Good_Qty]]&gt;=Table13[[#This Row],[Planned_Production]],"Met","Not Met")</f>
        <v>Met</v>
      </c>
      <c r="Q105">
        <f>Table13[[#This Row],[Good_Qty]]-Table13[[#This Row],[Planned_Production]]</f>
        <v>94</v>
      </c>
      <c r="R105" s="3">
        <f>IF(Table13[[#This Row],[Actual_Qty]]=0,0,Table13[[#This Row],[Reject_Qty]]/Table13[[#This Row],[Actual_Qty]])</f>
        <v>4.9423393739703456E-3</v>
      </c>
      <c r="S105">
        <v>443.53</v>
      </c>
      <c r="T105">
        <f>(Table13[[#This Row],[Ideal_Cycle_Time_sec]]*Table13[[#This Row],[Actual_Qty]])/(Table13[[#This Row],[Operational_Time_min]]*60)</f>
        <v>0.45618860806108569</v>
      </c>
      <c r="U105">
        <f>Table13[[#This Row],[Good_Qty]]/Table13[[#This Row],[Actual_Qty]]</f>
        <v>0.99505766062602963</v>
      </c>
      <c r="V105" t="str">
        <f>IF(OR(Table13[[#This Row],[Performance_%]]&gt;=1,Table13[[#This Row],[Performance_%]]&lt;=0),"Error","OK")</f>
        <v>OK</v>
      </c>
      <c r="W105" t="str">
        <f>IF(OR(Table13[[#This Row],[Quality_%]]&gt;=1,Table13[[#This Row],[Quality_%]]&lt;=0),"Error","OK")</f>
        <v>OK</v>
      </c>
      <c r="X105">
        <f>Table13[[#This Row],[Performance_%]]*Table13[[#This Row],[Quality_%]]*[2]Availability_KPI!K105</f>
        <v>0.44740740740740736</v>
      </c>
      <c r="Y105" t="str">
        <f>IF(OR(Table13[[#This Row],[OEE_%]]&gt;1,Table13[[#This Row],[OEE_%]]&lt;0),"Error","OK")</f>
        <v>OK</v>
      </c>
    </row>
    <row r="106" spans="1:25" x14ac:dyDescent="0.2">
      <c r="A106" t="s">
        <v>168</v>
      </c>
      <c r="B106" t="s">
        <v>169</v>
      </c>
      <c r="C106" s="2">
        <v>46241</v>
      </c>
      <c r="D106" t="s">
        <v>53</v>
      </c>
      <c r="E106" t="s">
        <v>28</v>
      </c>
      <c r="F106" t="s">
        <v>29</v>
      </c>
      <c r="G106" t="s">
        <v>71</v>
      </c>
      <c r="H106">
        <v>524</v>
      </c>
      <c r="I106">
        <v>521</v>
      </c>
      <c r="J106">
        <v>3</v>
      </c>
      <c r="K106">
        <v>19.8</v>
      </c>
      <c r="L106">
        <v>20.2</v>
      </c>
      <c r="M106">
        <v>176.37</v>
      </c>
      <c r="N106">
        <f>_xlfn.XLOOKUP(Table13[[#This Row],[Production_Order_ID]],[1]Sheet1!$A$2:$A$391,[1]Sheet1!$F$2:$F$391,"No Match")</f>
        <v>640</v>
      </c>
      <c r="O106" s="3">
        <f>Table13[[#This Row],[Good_Qty]]/Table13[[#This Row],[Planned_Production]]</f>
        <v>0.81406250000000002</v>
      </c>
      <c r="P106" t="str">
        <f>IF(Table13[[#This Row],[Good_Qty]]&gt;=Table13[[#This Row],[Planned_Production]],"Met","Not Met")</f>
        <v>Not Met</v>
      </c>
      <c r="Q106">
        <f>Table13[[#This Row],[Good_Qty]]-Table13[[#This Row],[Planned_Production]]</f>
        <v>-119</v>
      </c>
      <c r="R106" s="3">
        <f>IF(Table13[[#This Row],[Actual_Qty]]=0,0,Table13[[#This Row],[Reject_Qty]]/Table13[[#This Row],[Actual_Qty]])</f>
        <v>5.7251908396946565E-3</v>
      </c>
      <c r="S106">
        <v>441.08</v>
      </c>
      <c r="T106">
        <f>(Table13[[#This Row],[Ideal_Cycle_Time_sec]]*Table13[[#This Row],[Actual_Qty]])/(Table13[[#This Row],[Operational_Time_min]]*60)</f>
        <v>0.39203772558266076</v>
      </c>
      <c r="U106">
        <f>Table13[[#This Row],[Good_Qty]]/Table13[[#This Row],[Actual_Qty]]</f>
        <v>0.99427480916030531</v>
      </c>
      <c r="V106" t="str">
        <f>IF(OR(Table13[[#This Row],[Performance_%]]&gt;=1,Table13[[#This Row],[Performance_%]]&lt;=0),"Error","OK")</f>
        <v>OK</v>
      </c>
      <c r="W106" t="str">
        <f>IF(OR(Table13[[#This Row],[Quality_%]]&gt;=1,Table13[[#This Row],[Quality_%]]&lt;=0),"Error","OK")</f>
        <v>OK</v>
      </c>
      <c r="X106">
        <f>Table13[[#This Row],[Performance_%]]*Table13[[#This Row],[Quality_%]]*[2]Availability_KPI!K106</f>
        <v>0.38206666666666667</v>
      </c>
      <c r="Y106" t="str">
        <f>IF(OR(Table13[[#This Row],[OEE_%]]&gt;1,Table13[[#This Row],[OEE_%]]&lt;0),"Error","OK")</f>
        <v>OK</v>
      </c>
    </row>
    <row r="107" spans="1:25" x14ac:dyDescent="0.2">
      <c r="A107" t="s">
        <v>170</v>
      </c>
      <c r="B107" t="s">
        <v>169</v>
      </c>
      <c r="C107" s="2">
        <v>46241</v>
      </c>
      <c r="D107" t="s">
        <v>53</v>
      </c>
      <c r="E107" t="s">
        <v>32</v>
      </c>
      <c r="F107" t="s">
        <v>29</v>
      </c>
      <c r="G107" t="s">
        <v>47</v>
      </c>
      <c r="H107">
        <v>540</v>
      </c>
      <c r="I107">
        <v>538</v>
      </c>
      <c r="J107">
        <v>2</v>
      </c>
      <c r="K107">
        <v>22</v>
      </c>
      <c r="L107">
        <v>23.96</v>
      </c>
      <c r="M107">
        <v>215.62</v>
      </c>
      <c r="N107">
        <f>_xlfn.XLOOKUP(Table13[[#This Row],[Production_Order_ID]],[1]Sheet1!$A$2:$A$391,[1]Sheet1!$F$2:$F$391,"No Match")</f>
        <v>640</v>
      </c>
      <c r="O107" s="3">
        <f>Table13[[#This Row],[Good_Qty]]/Table13[[#This Row],[Planned_Production]]</f>
        <v>0.84062499999999996</v>
      </c>
      <c r="P107" t="str">
        <f>IF(Table13[[#This Row],[Good_Qty]]&gt;=Table13[[#This Row],[Planned_Production]],"Met","Not Met")</f>
        <v>Not Met</v>
      </c>
      <c r="Q107">
        <f>Table13[[#This Row],[Good_Qty]]-Table13[[#This Row],[Planned_Production]]</f>
        <v>-102</v>
      </c>
      <c r="R107" s="3">
        <f>IF(Table13[[#This Row],[Actual_Qty]]=0,0,Table13[[#This Row],[Reject_Qty]]/Table13[[#This Row],[Actual_Qty]])</f>
        <v>3.7037037037037038E-3</v>
      </c>
      <c r="S107">
        <v>436.52</v>
      </c>
      <c r="T107">
        <f>(Table13[[#This Row],[Ideal_Cycle_Time_sec]]*Table13[[#This Row],[Actual_Qty]])/(Table13[[#This Row],[Operational_Time_min]]*60)</f>
        <v>0.45358746449189047</v>
      </c>
      <c r="U107">
        <f>Table13[[#This Row],[Good_Qty]]/Table13[[#This Row],[Actual_Qty]]</f>
        <v>0.99629629629629635</v>
      </c>
      <c r="V107" t="str">
        <f>IF(OR(Table13[[#This Row],[Performance_%]]&gt;=1,Table13[[#This Row],[Performance_%]]&lt;=0),"Error","OK")</f>
        <v>OK</v>
      </c>
      <c r="W107" t="str">
        <f>IF(OR(Table13[[#This Row],[Quality_%]]&gt;=1,Table13[[#This Row],[Quality_%]]&lt;=0),"Error","OK")</f>
        <v>OK</v>
      </c>
      <c r="X107">
        <f>Table13[[#This Row],[Performance_%]]*Table13[[#This Row],[Quality_%]]*[2]Availability_KPI!K107</f>
        <v>0.43837037037037047</v>
      </c>
      <c r="Y107" t="str">
        <f>IF(OR(Table13[[#This Row],[OEE_%]]&gt;1,Table13[[#This Row],[OEE_%]]&lt;0),"Error","OK")</f>
        <v>OK</v>
      </c>
    </row>
    <row r="108" spans="1:25" x14ac:dyDescent="0.2">
      <c r="A108" t="s">
        <v>171</v>
      </c>
      <c r="B108" t="s">
        <v>169</v>
      </c>
      <c r="C108" s="2">
        <v>46241</v>
      </c>
      <c r="D108" t="s">
        <v>53</v>
      </c>
      <c r="E108" t="s">
        <v>35</v>
      </c>
      <c r="F108" t="s">
        <v>29</v>
      </c>
      <c r="G108" t="s">
        <v>44</v>
      </c>
      <c r="H108">
        <v>523</v>
      </c>
      <c r="I108">
        <v>520</v>
      </c>
      <c r="J108">
        <v>3</v>
      </c>
      <c r="K108">
        <v>24.2</v>
      </c>
      <c r="L108">
        <v>25.99</v>
      </c>
      <c r="M108">
        <v>226.5</v>
      </c>
      <c r="N108">
        <f>_xlfn.XLOOKUP(Table13[[#This Row],[Production_Order_ID]],[1]Sheet1!$A$2:$A$391,[1]Sheet1!$F$2:$F$391,"No Match")</f>
        <v>640</v>
      </c>
      <c r="O108" s="3">
        <f>Table13[[#This Row],[Good_Qty]]/Table13[[#This Row],[Planned_Production]]</f>
        <v>0.8125</v>
      </c>
      <c r="P108" t="str">
        <f>IF(Table13[[#This Row],[Good_Qty]]&gt;=Table13[[#This Row],[Planned_Production]],"Met","Not Met")</f>
        <v>Not Met</v>
      </c>
      <c r="Q108">
        <f>Table13[[#This Row],[Good_Qty]]-Table13[[#This Row],[Planned_Production]]</f>
        <v>-120</v>
      </c>
      <c r="R108" s="3">
        <f>IF(Table13[[#This Row],[Actual_Qty]]=0,0,Table13[[#This Row],[Reject_Qty]]/Table13[[#This Row],[Actual_Qty]])</f>
        <v>5.7361376673040155E-3</v>
      </c>
      <c r="S108">
        <v>436.97</v>
      </c>
      <c r="T108">
        <f>(Table13[[#This Row],[Ideal_Cycle_Time_sec]]*Table13[[#This Row],[Actual_Qty]])/(Table13[[#This Row],[Operational_Time_min]]*60)</f>
        <v>0.48274099671220755</v>
      </c>
      <c r="U108">
        <f>Table13[[#This Row],[Good_Qty]]/Table13[[#This Row],[Actual_Qty]]</f>
        <v>0.99426386233269604</v>
      </c>
      <c r="V108" t="str">
        <f>IF(OR(Table13[[#This Row],[Performance_%]]&gt;=1,Table13[[#This Row],[Performance_%]]&lt;=0),"Error","OK")</f>
        <v>OK</v>
      </c>
      <c r="W108" t="str">
        <f>IF(OR(Table13[[#This Row],[Quality_%]]&gt;=1,Table13[[#This Row],[Quality_%]]&lt;=0),"Error","OK")</f>
        <v>OK</v>
      </c>
      <c r="X108">
        <f>Table13[[#This Row],[Performance_%]]*Table13[[#This Row],[Quality_%]]*[2]Availability_KPI!K108</f>
        <v>0.46607407407407409</v>
      </c>
      <c r="Y108" t="str">
        <f>IF(OR(Table13[[#This Row],[OEE_%]]&gt;1,Table13[[#This Row],[OEE_%]]&lt;0),"Error","OK")</f>
        <v>OK</v>
      </c>
    </row>
    <row r="109" spans="1:25" x14ac:dyDescent="0.2">
      <c r="A109" t="s">
        <v>172</v>
      </c>
      <c r="B109" t="s">
        <v>169</v>
      </c>
      <c r="C109" s="2">
        <v>46241</v>
      </c>
      <c r="D109" t="s">
        <v>53</v>
      </c>
      <c r="E109" t="s">
        <v>38</v>
      </c>
      <c r="F109" t="s">
        <v>29</v>
      </c>
      <c r="G109" t="s">
        <v>71</v>
      </c>
      <c r="H109">
        <v>522</v>
      </c>
      <c r="I109">
        <v>518</v>
      </c>
      <c r="J109">
        <v>4</v>
      </c>
      <c r="K109">
        <v>22</v>
      </c>
      <c r="L109">
        <v>22.35</v>
      </c>
      <c r="M109">
        <v>194.41</v>
      </c>
      <c r="N109">
        <f>_xlfn.XLOOKUP(Table13[[#This Row],[Production_Order_ID]],[1]Sheet1!$A$2:$A$391,[1]Sheet1!$F$2:$F$391,"No Match")</f>
        <v>640</v>
      </c>
      <c r="O109" s="3">
        <f>Table13[[#This Row],[Good_Qty]]/Table13[[#This Row],[Planned_Production]]</f>
        <v>0.80937499999999996</v>
      </c>
      <c r="P109" t="str">
        <f>IF(Table13[[#This Row],[Good_Qty]]&gt;=Table13[[#This Row],[Planned_Production]],"Met","Not Met")</f>
        <v>Not Met</v>
      </c>
      <c r="Q109">
        <f>Table13[[#This Row],[Good_Qty]]-Table13[[#This Row],[Planned_Production]]</f>
        <v>-122</v>
      </c>
      <c r="R109" s="3">
        <f>IF(Table13[[#This Row],[Actual_Qty]]=0,0,Table13[[#This Row],[Reject_Qty]]/Table13[[#This Row],[Actual_Qty]])</f>
        <v>7.6628352490421452E-3</v>
      </c>
      <c r="S109">
        <v>440.8</v>
      </c>
      <c r="T109">
        <f>(Table13[[#This Row],[Ideal_Cycle_Time_sec]]*Table13[[#This Row],[Actual_Qty]])/(Table13[[#This Row],[Operational_Time_min]]*60)</f>
        <v>0.43421052631578949</v>
      </c>
      <c r="U109">
        <f>Table13[[#This Row],[Good_Qty]]/Table13[[#This Row],[Actual_Qty]]</f>
        <v>0.9923371647509579</v>
      </c>
      <c r="V109" t="str">
        <f>IF(OR(Table13[[#This Row],[Performance_%]]&gt;=1,Table13[[#This Row],[Performance_%]]&lt;=0),"Error","OK")</f>
        <v>OK</v>
      </c>
      <c r="W109" t="str">
        <f>IF(OR(Table13[[#This Row],[Quality_%]]&gt;=1,Table13[[#This Row],[Quality_%]]&lt;=0),"Error","OK")</f>
        <v>OK</v>
      </c>
      <c r="X109">
        <f>Table13[[#This Row],[Performance_%]]*Table13[[#This Row],[Quality_%]]*[2]Availability_KPI!K109</f>
        <v>0.4220740740740741</v>
      </c>
      <c r="Y109" t="str">
        <f>IF(OR(Table13[[#This Row],[OEE_%]]&gt;1,Table13[[#This Row],[OEE_%]]&lt;0),"Error","OK")</f>
        <v>OK</v>
      </c>
    </row>
    <row r="110" spans="1:25" x14ac:dyDescent="0.2">
      <c r="A110" t="s">
        <v>173</v>
      </c>
      <c r="B110" t="s">
        <v>169</v>
      </c>
      <c r="C110" s="2">
        <v>46241</v>
      </c>
      <c r="D110" t="s">
        <v>53</v>
      </c>
      <c r="E110" t="s">
        <v>41</v>
      </c>
      <c r="F110" t="s">
        <v>29</v>
      </c>
      <c r="G110" t="s">
        <v>30</v>
      </c>
      <c r="H110">
        <v>543</v>
      </c>
      <c r="I110">
        <v>539</v>
      </c>
      <c r="J110">
        <v>4</v>
      </c>
      <c r="K110">
        <v>19.8</v>
      </c>
      <c r="L110">
        <v>20.46</v>
      </c>
      <c r="M110">
        <v>185.13</v>
      </c>
      <c r="N110">
        <f>_xlfn.XLOOKUP(Table13[[#This Row],[Production_Order_ID]],[1]Sheet1!$A$2:$A$391,[1]Sheet1!$F$2:$F$391,"No Match")</f>
        <v>640</v>
      </c>
      <c r="O110" s="3">
        <f>Table13[[#This Row],[Good_Qty]]/Table13[[#This Row],[Planned_Production]]</f>
        <v>0.84218749999999998</v>
      </c>
      <c r="P110" t="str">
        <f>IF(Table13[[#This Row],[Good_Qty]]&gt;=Table13[[#This Row],[Planned_Production]],"Met","Not Met")</f>
        <v>Not Met</v>
      </c>
      <c r="Q110">
        <f>Table13[[#This Row],[Good_Qty]]-Table13[[#This Row],[Planned_Production]]</f>
        <v>-101</v>
      </c>
      <c r="R110" s="3">
        <f>IF(Table13[[#This Row],[Actual_Qty]]=0,0,Table13[[#This Row],[Reject_Qty]]/Table13[[#This Row],[Actual_Qty]])</f>
        <v>7.3664825046040518E-3</v>
      </c>
      <c r="S110">
        <v>440.11</v>
      </c>
      <c r="T110">
        <f>(Table13[[#This Row],[Ideal_Cycle_Time_sec]]*Table13[[#This Row],[Actual_Qty]])/(Table13[[#This Row],[Operational_Time_min]]*60)</f>
        <v>0.40714821294676329</v>
      </c>
      <c r="U110">
        <f>Table13[[#This Row],[Good_Qty]]/Table13[[#This Row],[Actual_Qty]]</f>
        <v>0.99263351749539597</v>
      </c>
      <c r="V110" t="str">
        <f>IF(OR(Table13[[#This Row],[Performance_%]]&gt;=1,Table13[[#This Row],[Performance_%]]&lt;=0),"Error","OK")</f>
        <v>OK</v>
      </c>
      <c r="W110" t="str">
        <f>IF(OR(Table13[[#This Row],[Quality_%]]&gt;=1,Table13[[#This Row],[Quality_%]]&lt;=0),"Error","OK")</f>
        <v>OK</v>
      </c>
      <c r="X110">
        <f>Table13[[#This Row],[Performance_%]]*Table13[[#This Row],[Quality_%]]*[2]Availability_KPI!K110</f>
        <v>0.39526666666666666</v>
      </c>
      <c r="Y110" t="str">
        <f>IF(OR(Table13[[#This Row],[OEE_%]]&gt;1,Table13[[#This Row],[OEE_%]]&lt;0),"Error","OK")</f>
        <v>OK</v>
      </c>
    </row>
    <row r="111" spans="1:25" x14ac:dyDescent="0.2">
      <c r="A111" t="s">
        <v>174</v>
      </c>
      <c r="B111" t="s">
        <v>169</v>
      </c>
      <c r="C111" s="2">
        <v>46241</v>
      </c>
      <c r="D111" t="s">
        <v>53</v>
      </c>
      <c r="E111" t="s">
        <v>43</v>
      </c>
      <c r="F111" t="s">
        <v>29</v>
      </c>
      <c r="G111" t="s">
        <v>61</v>
      </c>
      <c r="H111">
        <v>529</v>
      </c>
      <c r="I111">
        <v>522</v>
      </c>
      <c r="J111">
        <v>7</v>
      </c>
      <c r="K111">
        <v>35.200000000000003</v>
      </c>
      <c r="L111">
        <v>37.590000000000003</v>
      </c>
      <c r="M111">
        <v>331.45</v>
      </c>
      <c r="N111">
        <f>_xlfn.XLOOKUP(Table13[[#This Row],[Production_Order_ID]],[1]Sheet1!$A$2:$A$391,[1]Sheet1!$F$2:$F$391,"No Match")</f>
        <v>640</v>
      </c>
      <c r="O111" s="3">
        <f>Table13[[#This Row],[Good_Qty]]/Table13[[#This Row],[Planned_Production]]</f>
        <v>0.81562500000000004</v>
      </c>
      <c r="P111" t="str">
        <f>IF(Table13[[#This Row],[Good_Qty]]&gt;=Table13[[#This Row],[Planned_Production]],"Met","Not Met")</f>
        <v>Not Met</v>
      </c>
      <c r="Q111">
        <f>Table13[[#This Row],[Good_Qty]]-Table13[[#This Row],[Planned_Production]]</f>
        <v>-118</v>
      </c>
      <c r="R111" s="3">
        <f>IF(Table13[[#This Row],[Actual_Qty]]=0,0,Table13[[#This Row],[Reject_Qty]]/Table13[[#This Row],[Actual_Qty]])</f>
        <v>1.3232514177693762E-2</v>
      </c>
      <c r="S111">
        <v>408.27</v>
      </c>
      <c r="T111">
        <f>(Table13[[#This Row],[Ideal_Cycle_Time_sec]]*Table13[[#This Row],[Actual_Qty]])/(Table13[[#This Row],[Operational_Time_min]]*60)</f>
        <v>0.76015055396347209</v>
      </c>
      <c r="U111">
        <f>Table13[[#This Row],[Good_Qty]]/Table13[[#This Row],[Actual_Qty]]</f>
        <v>0.98676748582230622</v>
      </c>
      <c r="V111" t="str">
        <f>IF(OR(Table13[[#This Row],[Performance_%]]&gt;=1,Table13[[#This Row],[Performance_%]]&lt;=0),"Error","OK")</f>
        <v>OK</v>
      </c>
      <c r="W111" t="str">
        <f>IF(OR(Table13[[#This Row],[Quality_%]]&gt;=1,Table13[[#This Row],[Quality_%]]&lt;=0),"Error","OK")</f>
        <v>OK</v>
      </c>
      <c r="X111">
        <f>Table13[[#This Row],[Performance_%]]*Table13[[#This Row],[Quality_%]]*[2]Availability_KPI!K111</f>
        <v>0.68053333333333343</v>
      </c>
      <c r="Y111" t="str">
        <f>IF(OR(Table13[[#This Row],[OEE_%]]&gt;1,Table13[[#This Row],[OEE_%]]&lt;0),"Error","OK")</f>
        <v>OK</v>
      </c>
    </row>
    <row r="112" spans="1:25" x14ac:dyDescent="0.2">
      <c r="A112" t="s">
        <v>175</v>
      </c>
      <c r="B112" t="s">
        <v>169</v>
      </c>
      <c r="C112" s="2">
        <v>46241</v>
      </c>
      <c r="D112" t="s">
        <v>53</v>
      </c>
      <c r="E112" t="s">
        <v>46</v>
      </c>
      <c r="F112" t="s">
        <v>29</v>
      </c>
      <c r="G112" t="s">
        <v>30</v>
      </c>
      <c r="H112">
        <v>526</v>
      </c>
      <c r="I112">
        <v>521</v>
      </c>
      <c r="J112">
        <v>5</v>
      </c>
      <c r="K112">
        <v>27.5</v>
      </c>
      <c r="L112">
        <v>27.5</v>
      </c>
      <c r="M112">
        <v>241.08</v>
      </c>
      <c r="N112">
        <f>_xlfn.XLOOKUP(Table13[[#This Row],[Production_Order_ID]],[1]Sheet1!$A$2:$A$391,[1]Sheet1!$F$2:$F$391,"No Match")</f>
        <v>640</v>
      </c>
      <c r="O112" s="3">
        <f>Table13[[#This Row],[Good_Qty]]/Table13[[#This Row],[Planned_Production]]</f>
        <v>0.81406250000000002</v>
      </c>
      <c r="P112" t="str">
        <f>IF(Table13[[#This Row],[Good_Qty]]&gt;=Table13[[#This Row],[Planned_Production]],"Met","Not Met")</f>
        <v>Not Met</v>
      </c>
      <c r="Q112">
        <f>Table13[[#This Row],[Good_Qty]]-Table13[[#This Row],[Planned_Production]]</f>
        <v>-119</v>
      </c>
      <c r="R112" s="3">
        <f>IF(Table13[[#This Row],[Actual_Qty]]=0,0,Table13[[#This Row],[Reject_Qty]]/Table13[[#This Row],[Actual_Qty]])</f>
        <v>9.5057034220532317E-3</v>
      </c>
      <c r="S112">
        <v>434.36</v>
      </c>
      <c r="T112">
        <f>(Table13[[#This Row],[Ideal_Cycle_Time_sec]]*Table13[[#This Row],[Actual_Qty]])/(Table13[[#This Row],[Operational_Time_min]]*60)</f>
        <v>0.55503115695122318</v>
      </c>
      <c r="U112">
        <f>Table13[[#This Row],[Good_Qty]]/Table13[[#This Row],[Actual_Qty]]</f>
        <v>0.99049429657794674</v>
      </c>
      <c r="V112" t="str">
        <f>IF(OR(Table13[[#This Row],[Performance_%]]&gt;=1,Table13[[#This Row],[Performance_%]]&lt;=0),"Error","OK")</f>
        <v>OK</v>
      </c>
      <c r="W112" t="str">
        <f>IF(OR(Table13[[#This Row],[Quality_%]]&gt;=1,Table13[[#This Row],[Quality_%]]&lt;=0),"Error","OK")</f>
        <v>OK</v>
      </c>
      <c r="X112">
        <f>Table13[[#This Row],[Performance_%]]*Table13[[#This Row],[Quality_%]]*[2]Availability_KPI!K112</f>
        <v>0.53064814814814809</v>
      </c>
      <c r="Y112" t="str">
        <f>IF(OR(Table13[[#This Row],[OEE_%]]&gt;1,Table13[[#This Row],[OEE_%]]&lt;0),"Error","OK")</f>
        <v>OK</v>
      </c>
    </row>
    <row r="113" spans="1:25" x14ac:dyDescent="0.2">
      <c r="A113" t="s">
        <v>176</v>
      </c>
      <c r="B113" t="s">
        <v>169</v>
      </c>
      <c r="C113" s="2">
        <v>46241</v>
      </c>
      <c r="D113" t="s">
        <v>53</v>
      </c>
      <c r="E113" t="s">
        <v>49</v>
      </c>
      <c r="F113" t="s">
        <v>29</v>
      </c>
      <c r="G113" t="s">
        <v>30</v>
      </c>
      <c r="H113">
        <v>532</v>
      </c>
      <c r="I113">
        <v>528</v>
      </c>
      <c r="J113">
        <v>4</v>
      </c>
      <c r="K113">
        <v>22</v>
      </c>
      <c r="L113">
        <v>22.84</v>
      </c>
      <c r="M113">
        <v>202.55</v>
      </c>
      <c r="N113">
        <f>_xlfn.XLOOKUP(Table13[[#This Row],[Production_Order_ID]],[1]Sheet1!$A$2:$A$391,[1]Sheet1!$F$2:$F$391,"No Match")</f>
        <v>640</v>
      </c>
      <c r="O113" s="3">
        <f>Table13[[#This Row],[Good_Qty]]/Table13[[#This Row],[Planned_Production]]</f>
        <v>0.82499999999999996</v>
      </c>
      <c r="P113" t="str">
        <f>IF(Table13[[#This Row],[Good_Qty]]&gt;=Table13[[#This Row],[Planned_Production]],"Met","Not Met")</f>
        <v>Not Met</v>
      </c>
      <c r="Q113">
        <f>Table13[[#This Row],[Good_Qty]]-Table13[[#This Row],[Planned_Production]]</f>
        <v>-112</v>
      </c>
      <c r="R113" s="3">
        <f>IF(Table13[[#This Row],[Actual_Qty]]=0,0,Table13[[#This Row],[Reject_Qty]]/Table13[[#This Row],[Actual_Qty]])</f>
        <v>7.5187969924812026E-3</v>
      </c>
      <c r="S113">
        <v>440.76</v>
      </c>
      <c r="T113">
        <f>(Table13[[#This Row],[Ideal_Cycle_Time_sec]]*Table13[[#This Row],[Actual_Qty]])/(Table13[[#This Row],[Operational_Time_min]]*60)</f>
        <v>0.44256889614907585</v>
      </c>
      <c r="U113">
        <f>Table13[[#This Row],[Good_Qty]]/Table13[[#This Row],[Actual_Qty]]</f>
        <v>0.99248120300751874</v>
      </c>
      <c r="V113" t="str">
        <f>IF(OR(Table13[[#This Row],[Performance_%]]&gt;=1,Table13[[#This Row],[Performance_%]]&lt;=0),"Error","OK")</f>
        <v>OK</v>
      </c>
      <c r="W113" t="str">
        <f>IF(OR(Table13[[#This Row],[Quality_%]]&gt;=1,Table13[[#This Row],[Quality_%]]&lt;=0),"Error","OK")</f>
        <v>OK</v>
      </c>
      <c r="X113">
        <f>Table13[[#This Row],[Performance_%]]*Table13[[#This Row],[Quality_%]]*[2]Availability_KPI!K113</f>
        <v>0.43022222222222217</v>
      </c>
      <c r="Y113" t="str">
        <f>IF(OR(Table13[[#This Row],[OEE_%]]&gt;1,Table13[[#This Row],[OEE_%]]&lt;0),"Error","OK")</f>
        <v>OK</v>
      </c>
    </row>
    <row r="114" spans="1:25" x14ac:dyDescent="0.2">
      <c r="A114" t="s">
        <v>177</v>
      </c>
      <c r="B114" t="s">
        <v>178</v>
      </c>
      <c r="C114" s="2">
        <v>46241</v>
      </c>
      <c r="D114" t="s">
        <v>67</v>
      </c>
      <c r="E114" t="s">
        <v>28</v>
      </c>
      <c r="F114" t="s">
        <v>29</v>
      </c>
      <c r="G114" t="s">
        <v>75</v>
      </c>
      <c r="H114">
        <v>544</v>
      </c>
      <c r="I114">
        <v>542</v>
      </c>
      <c r="J114">
        <v>2</v>
      </c>
      <c r="K114">
        <v>19.8</v>
      </c>
      <c r="L114">
        <v>20.74</v>
      </c>
      <c r="M114">
        <v>188.04</v>
      </c>
      <c r="N114">
        <f>_xlfn.XLOOKUP(Table13[[#This Row],[Production_Order_ID]],[1]Sheet1!$A$2:$A$391,[1]Sheet1!$F$2:$F$391,"No Match")</f>
        <v>560</v>
      </c>
      <c r="O114" s="3">
        <f>Table13[[#This Row],[Good_Qty]]/Table13[[#This Row],[Planned_Production]]</f>
        <v>0.96785714285714286</v>
      </c>
      <c r="P114" t="str">
        <f>IF(Table13[[#This Row],[Good_Qty]]&gt;=Table13[[#This Row],[Planned_Production]],"Met","Not Met")</f>
        <v>Not Met</v>
      </c>
      <c r="Q114">
        <f>Table13[[#This Row],[Good_Qty]]-Table13[[#This Row],[Planned_Production]]</f>
        <v>-18</v>
      </c>
      <c r="R114" s="3">
        <f>IF(Table13[[#This Row],[Actual_Qty]]=0,0,Table13[[#This Row],[Reject_Qty]]/Table13[[#This Row],[Actual_Qty]])</f>
        <v>3.6764705882352941E-3</v>
      </c>
      <c r="S114">
        <v>442.23</v>
      </c>
      <c r="T114">
        <f>(Table13[[#This Row],[Ideal_Cycle_Time_sec]]*Table13[[#This Row],[Actual_Qty]])/(Table13[[#This Row],[Operational_Time_min]]*60)</f>
        <v>0.40594260904958956</v>
      </c>
      <c r="U114">
        <f>Table13[[#This Row],[Good_Qty]]/Table13[[#This Row],[Actual_Qty]]</f>
        <v>0.99632352941176472</v>
      </c>
      <c r="V114" t="str">
        <f>IF(OR(Table13[[#This Row],[Performance_%]]&gt;=1,Table13[[#This Row],[Performance_%]]&lt;=0),"Error","OK")</f>
        <v>OK</v>
      </c>
      <c r="W114" t="str">
        <f>IF(OR(Table13[[#This Row],[Quality_%]]&gt;=1,Table13[[#This Row],[Quality_%]]&lt;=0),"Error","OK")</f>
        <v>OK</v>
      </c>
      <c r="X114">
        <f>Table13[[#This Row],[Performance_%]]*Table13[[#This Row],[Quality_%]]*[2]Availability_KPI!K114</f>
        <v>0.39746666666666669</v>
      </c>
      <c r="Y114" t="str">
        <f>IF(OR(Table13[[#This Row],[OEE_%]]&gt;1,Table13[[#This Row],[OEE_%]]&lt;0),"Error","OK")</f>
        <v>OK</v>
      </c>
    </row>
    <row r="115" spans="1:25" x14ac:dyDescent="0.2">
      <c r="A115" t="s">
        <v>179</v>
      </c>
      <c r="B115" t="s">
        <v>178</v>
      </c>
      <c r="C115" s="2">
        <v>46241</v>
      </c>
      <c r="D115" t="s">
        <v>67</v>
      </c>
      <c r="E115" t="s">
        <v>32</v>
      </c>
      <c r="F115" t="s">
        <v>29</v>
      </c>
      <c r="G115" t="s">
        <v>50</v>
      </c>
      <c r="H115">
        <v>548</v>
      </c>
      <c r="I115">
        <v>544</v>
      </c>
      <c r="J115">
        <v>4</v>
      </c>
      <c r="K115">
        <v>22</v>
      </c>
      <c r="L115">
        <v>22.07</v>
      </c>
      <c r="M115">
        <v>201.59</v>
      </c>
      <c r="N115">
        <f>_xlfn.XLOOKUP(Table13[[#This Row],[Production_Order_ID]],[1]Sheet1!$A$2:$A$391,[1]Sheet1!$F$2:$F$391,"No Match")</f>
        <v>560</v>
      </c>
      <c r="O115" s="3">
        <f>Table13[[#This Row],[Good_Qty]]/Table13[[#This Row],[Planned_Production]]</f>
        <v>0.97142857142857142</v>
      </c>
      <c r="P115" t="str">
        <f>IF(Table13[[#This Row],[Good_Qty]]&gt;=Table13[[#This Row],[Planned_Production]],"Met","Not Met")</f>
        <v>Not Met</v>
      </c>
      <c r="Q115">
        <f>Table13[[#This Row],[Good_Qty]]-Table13[[#This Row],[Planned_Production]]</f>
        <v>-16</v>
      </c>
      <c r="R115" s="3">
        <f>IF(Table13[[#This Row],[Actual_Qty]]=0,0,Table13[[#This Row],[Reject_Qty]]/Table13[[#This Row],[Actual_Qty]])</f>
        <v>7.2992700729927005E-3</v>
      </c>
      <c r="S115">
        <v>437.05</v>
      </c>
      <c r="T115">
        <f>(Table13[[#This Row],[Ideal_Cycle_Time_sec]]*Table13[[#This Row],[Actual_Qty]])/(Table13[[#This Row],[Operational_Time_min]]*60)</f>
        <v>0.45974907523929376</v>
      </c>
      <c r="U115">
        <f>Table13[[#This Row],[Good_Qty]]/Table13[[#This Row],[Actual_Qty]]</f>
        <v>0.99270072992700731</v>
      </c>
      <c r="V115" t="str">
        <f>IF(OR(Table13[[#This Row],[Performance_%]]&gt;=1,Table13[[#This Row],[Performance_%]]&lt;=0),"Error","OK")</f>
        <v>OK</v>
      </c>
      <c r="W115" t="str">
        <f>IF(OR(Table13[[#This Row],[Quality_%]]&gt;=1,Table13[[#This Row],[Quality_%]]&lt;=0),"Error","OK")</f>
        <v>OK</v>
      </c>
      <c r="X115">
        <f>Table13[[#This Row],[Performance_%]]*Table13[[#This Row],[Quality_%]]*[2]Availability_KPI!K115</f>
        <v>0.4432592592592593</v>
      </c>
      <c r="Y115" t="str">
        <f>IF(OR(Table13[[#This Row],[OEE_%]]&gt;1,Table13[[#This Row],[OEE_%]]&lt;0),"Error","OK")</f>
        <v>OK</v>
      </c>
    </row>
    <row r="116" spans="1:25" x14ac:dyDescent="0.2">
      <c r="A116" t="s">
        <v>180</v>
      </c>
      <c r="B116" t="s">
        <v>178</v>
      </c>
      <c r="C116" s="2">
        <v>46241</v>
      </c>
      <c r="D116" t="s">
        <v>67</v>
      </c>
      <c r="E116" t="s">
        <v>35</v>
      </c>
      <c r="F116" t="s">
        <v>29</v>
      </c>
      <c r="G116" t="s">
        <v>61</v>
      </c>
      <c r="H116">
        <v>551</v>
      </c>
      <c r="I116">
        <v>545</v>
      </c>
      <c r="J116">
        <v>6</v>
      </c>
      <c r="K116">
        <v>24.2</v>
      </c>
      <c r="L116">
        <v>25.88</v>
      </c>
      <c r="M116">
        <v>237.65</v>
      </c>
      <c r="N116">
        <f>_xlfn.XLOOKUP(Table13[[#This Row],[Production_Order_ID]],[1]Sheet1!$A$2:$A$391,[1]Sheet1!$F$2:$F$391,"No Match")</f>
        <v>560</v>
      </c>
      <c r="O116" s="3">
        <f>Table13[[#This Row],[Good_Qty]]/Table13[[#This Row],[Planned_Production]]</f>
        <v>0.9732142857142857</v>
      </c>
      <c r="P116" t="str">
        <f>IF(Table13[[#This Row],[Good_Qty]]&gt;=Table13[[#This Row],[Planned_Production]],"Met","Not Met")</f>
        <v>Not Met</v>
      </c>
      <c r="Q116">
        <f>Table13[[#This Row],[Good_Qty]]-Table13[[#This Row],[Planned_Production]]</f>
        <v>-15</v>
      </c>
      <c r="R116" s="3">
        <f>IF(Table13[[#This Row],[Actual_Qty]]=0,0,Table13[[#This Row],[Reject_Qty]]/Table13[[#This Row],[Actual_Qty]])</f>
        <v>1.0889292196007259E-2</v>
      </c>
      <c r="S116">
        <v>436.43</v>
      </c>
      <c r="T116">
        <f>(Table13[[#This Row],[Ideal_Cycle_Time_sec]]*Table13[[#This Row],[Actual_Qty]])/(Table13[[#This Row],[Operational_Time_min]]*60)</f>
        <v>0.50921491800899721</v>
      </c>
      <c r="U116">
        <f>Table13[[#This Row],[Good_Qty]]/Table13[[#This Row],[Actual_Qty]]</f>
        <v>0.98911070780399279</v>
      </c>
      <c r="V116" t="str">
        <f>IF(OR(Table13[[#This Row],[Performance_%]]&gt;=1,Table13[[#This Row],[Performance_%]]&lt;=0),"Error","OK")</f>
        <v>OK</v>
      </c>
      <c r="W116" t="str">
        <f>IF(OR(Table13[[#This Row],[Quality_%]]&gt;=1,Table13[[#This Row],[Quality_%]]&lt;=0),"Error","OK")</f>
        <v>OK</v>
      </c>
      <c r="X116">
        <f>Table13[[#This Row],[Performance_%]]*Table13[[#This Row],[Quality_%]]*[2]Availability_KPI!K116</f>
        <v>0.48848148148148146</v>
      </c>
      <c r="Y116" t="str">
        <f>IF(OR(Table13[[#This Row],[OEE_%]]&gt;1,Table13[[#This Row],[OEE_%]]&lt;0),"Error","OK")</f>
        <v>OK</v>
      </c>
    </row>
    <row r="117" spans="1:25" x14ac:dyDescent="0.2">
      <c r="A117" t="s">
        <v>181</v>
      </c>
      <c r="B117" t="s">
        <v>178</v>
      </c>
      <c r="C117" s="2">
        <v>46241</v>
      </c>
      <c r="D117" t="s">
        <v>67</v>
      </c>
      <c r="E117" t="s">
        <v>38</v>
      </c>
      <c r="F117" t="s">
        <v>29</v>
      </c>
      <c r="G117" t="s">
        <v>30</v>
      </c>
      <c r="H117">
        <v>540</v>
      </c>
      <c r="I117">
        <v>538</v>
      </c>
      <c r="J117">
        <v>2</v>
      </c>
      <c r="K117">
        <v>22</v>
      </c>
      <c r="L117">
        <v>23.74</v>
      </c>
      <c r="M117">
        <v>213.66</v>
      </c>
      <c r="N117">
        <f>_xlfn.XLOOKUP(Table13[[#This Row],[Production_Order_ID]],[1]Sheet1!$A$2:$A$391,[1]Sheet1!$F$2:$F$391,"No Match")</f>
        <v>560</v>
      </c>
      <c r="O117" s="3">
        <f>Table13[[#This Row],[Good_Qty]]/Table13[[#This Row],[Planned_Production]]</f>
        <v>0.96071428571428574</v>
      </c>
      <c r="P117" t="str">
        <f>IF(Table13[[#This Row],[Good_Qty]]&gt;=Table13[[#This Row],[Planned_Production]],"Met","Not Met")</f>
        <v>Not Met</v>
      </c>
      <c r="Q117">
        <f>Table13[[#This Row],[Good_Qty]]-Table13[[#This Row],[Planned_Production]]</f>
        <v>-22</v>
      </c>
      <c r="R117" s="3">
        <f>IF(Table13[[#This Row],[Actual_Qty]]=0,0,Table13[[#This Row],[Reject_Qty]]/Table13[[#This Row],[Actual_Qty]])</f>
        <v>3.7037037037037038E-3</v>
      </c>
      <c r="S117">
        <v>437.17</v>
      </c>
      <c r="T117">
        <f>(Table13[[#This Row],[Ideal_Cycle_Time_sec]]*Table13[[#This Row],[Actual_Qty]])/(Table13[[#This Row],[Operational_Time_min]]*60)</f>
        <v>0.45291305441818969</v>
      </c>
      <c r="U117">
        <f>Table13[[#This Row],[Good_Qty]]/Table13[[#This Row],[Actual_Qty]]</f>
        <v>0.99629629629629635</v>
      </c>
      <c r="V117" t="str">
        <f>IF(OR(Table13[[#This Row],[Performance_%]]&gt;=1,Table13[[#This Row],[Performance_%]]&lt;=0),"Error","OK")</f>
        <v>OK</v>
      </c>
      <c r="W117" t="str">
        <f>IF(OR(Table13[[#This Row],[Quality_%]]&gt;=1,Table13[[#This Row],[Quality_%]]&lt;=0),"Error","OK")</f>
        <v>OK</v>
      </c>
      <c r="X117">
        <f>Table13[[#This Row],[Performance_%]]*Table13[[#This Row],[Quality_%]]*[2]Availability_KPI!K117</f>
        <v>0.43837037037037041</v>
      </c>
      <c r="Y117" t="str">
        <f>IF(OR(Table13[[#This Row],[OEE_%]]&gt;1,Table13[[#This Row],[OEE_%]]&lt;0),"Error","OK")</f>
        <v>OK</v>
      </c>
    </row>
    <row r="118" spans="1:25" x14ac:dyDescent="0.2">
      <c r="A118" t="s">
        <v>182</v>
      </c>
      <c r="B118" t="s">
        <v>178</v>
      </c>
      <c r="C118" s="2">
        <v>46241</v>
      </c>
      <c r="D118" t="s">
        <v>67</v>
      </c>
      <c r="E118" t="s">
        <v>41</v>
      </c>
      <c r="F118" t="s">
        <v>29</v>
      </c>
      <c r="G118" t="s">
        <v>50</v>
      </c>
      <c r="H118">
        <v>553</v>
      </c>
      <c r="I118">
        <v>551</v>
      </c>
      <c r="J118">
        <v>2</v>
      </c>
      <c r="K118">
        <v>19.8</v>
      </c>
      <c r="L118">
        <v>21.2</v>
      </c>
      <c r="M118">
        <v>195.35</v>
      </c>
      <c r="N118">
        <f>_xlfn.XLOOKUP(Table13[[#This Row],[Production_Order_ID]],[1]Sheet1!$A$2:$A$391,[1]Sheet1!$F$2:$F$391,"No Match")</f>
        <v>560</v>
      </c>
      <c r="O118" s="3">
        <f>Table13[[#This Row],[Good_Qty]]/Table13[[#This Row],[Planned_Production]]</f>
        <v>0.98392857142857137</v>
      </c>
      <c r="P118" t="str">
        <f>IF(Table13[[#This Row],[Good_Qty]]&gt;=Table13[[#This Row],[Planned_Production]],"Met","Not Met")</f>
        <v>Not Met</v>
      </c>
      <c r="Q118">
        <f>Table13[[#This Row],[Good_Qty]]-Table13[[#This Row],[Planned_Production]]</f>
        <v>-9</v>
      </c>
      <c r="R118" s="3">
        <f>IF(Table13[[#This Row],[Actual_Qty]]=0,0,Table13[[#This Row],[Reject_Qty]]/Table13[[#This Row],[Actual_Qty]])</f>
        <v>3.616636528028933E-3</v>
      </c>
      <c r="S118">
        <v>440.26</v>
      </c>
      <c r="T118">
        <f>(Table13[[#This Row],[Ideal_Cycle_Time_sec]]*Table13[[#This Row],[Actual_Qty]])/(Table13[[#This Row],[Operational_Time_min]]*60)</f>
        <v>0.41450506518875213</v>
      </c>
      <c r="U118">
        <f>Table13[[#This Row],[Good_Qty]]/Table13[[#This Row],[Actual_Qty]]</f>
        <v>0.9963833634719711</v>
      </c>
      <c r="V118" t="str">
        <f>IF(OR(Table13[[#This Row],[Performance_%]]&gt;=1,Table13[[#This Row],[Performance_%]]&lt;=0),"Error","OK")</f>
        <v>OK</v>
      </c>
      <c r="W118" t="str">
        <f>IF(OR(Table13[[#This Row],[Quality_%]]&gt;=1,Table13[[#This Row],[Quality_%]]&lt;=0),"Error","OK")</f>
        <v>OK</v>
      </c>
      <c r="X118">
        <f>Table13[[#This Row],[Performance_%]]*Table13[[#This Row],[Quality_%]]*[2]Availability_KPI!K118</f>
        <v>0.40406666666666669</v>
      </c>
      <c r="Y118" t="str">
        <f>IF(OR(Table13[[#This Row],[OEE_%]]&gt;1,Table13[[#This Row],[OEE_%]]&lt;0),"Error","OK")</f>
        <v>OK</v>
      </c>
    </row>
    <row r="119" spans="1:25" x14ac:dyDescent="0.2">
      <c r="A119" t="s">
        <v>183</v>
      </c>
      <c r="B119" t="s">
        <v>178</v>
      </c>
      <c r="C119" s="2">
        <v>46241</v>
      </c>
      <c r="D119" t="s">
        <v>67</v>
      </c>
      <c r="E119" t="s">
        <v>43</v>
      </c>
      <c r="F119" t="s">
        <v>29</v>
      </c>
      <c r="G119" t="s">
        <v>44</v>
      </c>
      <c r="H119">
        <v>549</v>
      </c>
      <c r="I119">
        <v>542</v>
      </c>
      <c r="J119">
        <v>7</v>
      </c>
      <c r="K119">
        <v>35.200000000000003</v>
      </c>
      <c r="L119">
        <v>35.200000000000003</v>
      </c>
      <c r="M119">
        <v>322.08</v>
      </c>
      <c r="N119">
        <f>_xlfn.XLOOKUP(Table13[[#This Row],[Production_Order_ID]],[1]Sheet1!$A$2:$A$391,[1]Sheet1!$F$2:$F$391,"No Match")</f>
        <v>560</v>
      </c>
      <c r="O119" s="3">
        <f>Table13[[#This Row],[Good_Qty]]/Table13[[#This Row],[Planned_Production]]</f>
        <v>0.96785714285714286</v>
      </c>
      <c r="P119" t="str">
        <f>IF(Table13[[#This Row],[Good_Qty]]&gt;=Table13[[#This Row],[Planned_Production]],"Met","Not Met")</f>
        <v>Not Met</v>
      </c>
      <c r="Q119">
        <f>Table13[[#This Row],[Good_Qty]]-Table13[[#This Row],[Planned_Production]]</f>
        <v>-18</v>
      </c>
      <c r="R119" s="3">
        <f>IF(Table13[[#This Row],[Actual_Qty]]=0,0,Table13[[#This Row],[Reject_Qty]]/Table13[[#This Row],[Actual_Qty]])</f>
        <v>1.2750455373406194E-2</v>
      </c>
      <c r="S119">
        <v>410.77</v>
      </c>
      <c r="T119">
        <f>(Table13[[#This Row],[Ideal_Cycle_Time_sec]]*Table13[[#This Row],[Actual_Qty]])/(Table13[[#This Row],[Operational_Time_min]]*60)</f>
        <v>0.78408841931007645</v>
      </c>
      <c r="U119">
        <f>Table13[[#This Row],[Good_Qty]]/Table13[[#This Row],[Actual_Qty]]</f>
        <v>0.98724954462659376</v>
      </c>
      <c r="V119" t="str">
        <f>IF(OR(Table13[[#This Row],[Performance_%]]&gt;=1,Table13[[#This Row],[Performance_%]]&lt;=0),"Error","OK")</f>
        <v>OK</v>
      </c>
      <c r="W119" t="str">
        <f>IF(OR(Table13[[#This Row],[Quality_%]]&gt;=1,Table13[[#This Row],[Quality_%]]&lt;=0),"Error","OK")</f>
        <v>OK</v>
      </c>
      <c r="X119">
        <f>Table13[[#This Row],[Performance_%]]*Table13[[#This Row],[Quality_%]]*[2]Availability_KPI!K119</f>
        <v>0.70660740740740757</v>
      </c>
      <c r="Y119" t="str">
        <f>IF(OR(Table13[[#This Row],[OEE_%]]&gt;1,Table13[[#This Row],[OEE_%]]&lt;0),"Error","OK")</f>
        <v>OK</v>
      </c>
    </row>
    <row r="120" spans="1:25" x14ac:dyDescent="0.2">
      <c r="A120" t="s">
        <v>184</v>
      </c>
      <c r="B120" t="s">
        <v>178</v>
      </c>
      <c r="C120" s="2">
        <v>46241</v>
      </c>
      <c r="D120" t="s">
        <v>67</v>
      </c>
      <c r="E120" t="s">
        <v>46</v>
      </c>
      <c r="F120" t="s">
        <v>29</v>
      </c>
      <c r="G120" t="s">
        <v>30</v>
      </c>
      <c r="H120">
        <v>550</v>
      </c>
      <c r="I120">
        <v>544</v>
      </c>
      <c r="J120">
        <v>6</v>
      </c>
      <c r="K120">
        <v>27.5</v>
      </c>
      <c r="L120">
        <v>29.76</v>
      </c>
      <c r="M120">
        <v>272.83999999999997</v>
      </c>
      <c r="N120">
        <f>_xlfn.XLOOKUP(Table13[[#This Row],[Production_Order_ID]],[1]Sheet1!$A$2:$A$391,[1]Sheet1!$F$2:$F$391,"No Match")</f>
        <v>560</v>
      </c>
      <c r="O120" s="3">
        <f>Table13[[#This Row],[Good_Qty]]/Table13[[#This Row],[Planned_Production]]</f>
        <v>0.97142857142857142</v>
      </c>
      <c r="P120" t="str">
        <f>IF(Table13[[#This Row],[Good_Qty]]&gt;=Table13[[#This Row],[Planned_Production]],"Met","Not Met")</f>
        <v>Not Met</v>
      </c>
      <c r="Q120">
        <f>Table13[[#This Row],[Good_Qty]]-Table13[[#This Row],[Planned_Production]]</f>
        <v>-16</v>
      </c>
      <c r="R120" s="3">
        <f>IF(Table13[[#This Row],[Actual_Qty]]=0,0,Table13[[#This Row],[Reject_Qty]]/Table13[[#This Row],[Actual_Qty]])</f>
        <v>1.090909090909091E-2</v>
      </c>
      <c r="S120">
        <v>425.75</v>
      </c>
      <c r="T120">
        <f>(Table13[[#This Row],[Ideal_Cycle_Time_sec]]*Table13[[#This Row],[Actual_Qty]])/(Table13[[#This Row],[Operational_Time_min]]*60)</f>
        <v>0.59209238598551572</v>
      </c>
      <c r="U120">
        <f>Table13[[#This Row],[Good_Qty]]/Table13[[#This Row],[Actual_Qty]]</f>
        <v>0.98909090909090913</v>
      </c>
      <c r="V120" t="str">
        <f>IF(OR(Table13[[#This Row],[Performance_%]]&gt;=1,Table13[[#This Row],[Performance_%]]&lt;=0),"Error","OK")</f>
        <v>OK</v>
      </c>
      <c r="W120" t="str">
        <f>IF(OR(Table13[[#This Row],[Quality_%]]&gt;=1,Table13[[#This Row],[Quality_%]]&lt;=0),"Error","OK")</f>
        <v>OK</v>
      </c>
      <c r="X120">
        <f>Table13[[#This Row],[Performance_%]]*Table13[[#This Row],[Quality_%]]*[2]Availability_KPI!K120</f>
        <v>0.55407407407407416</v>
      </c>
      <c r="Y120" t="str">
        <f>IF(OR(Table13[[#This Row],[OEE_%]]&gt;1,Table13[[#This Row],[OEE_%]]&lt;0),"Error","OK")</f>
        <v>OK</v>
      </c>
    </row>
    <row r="121" spans="1:25" x14ac:dyDescent="0.2">
      <c r="A121" t="s">
        <v>185</v>
      </c>
      <c r="B121" t="s">
        <v>178</v>
      </c>
      <c r="C121" s="2">
        <v>46241</v>
      </c>
      <c r="D121" t="s">
        <v>67</v>
      </c>
      <c r="E121" t="s">
        <v>49</v>
      </c>
      <c r="F121" t="s">
        <v>29</v>
      </c>
      <c r="G121" t="s">
        <v>39</v>
      </c>
      <c r="H121">
        <v>553</v>
      </c>
      <c r="I121">
        <v>551</v>
      </c>
      <c r="J121">
        <v>2</v>
      </c>
      <c r="K121">
        <v>22</v>
      </c>
      <c r="L121">
        <v>23.25</v>
      </c>
      <c r="M121">
        <v>214.32</v>
      </c>
      <c r="N121">
        <f>_xlfn.XLOOKUP(Table13[[#This Row],[Production_Order_ID]],[1]Sheet1!$A$2:$A$391,[1]Sheet1!$F$2:$F$391,"No Match")</f>
        <v>560</v>
      </c>
      <c r="O121" s="3">
        <f>Table13[[#This Row],[Good_Qty]]/Table13[[#This Row],[Planned_Production]]</f>
        <v>0.98392857142857137</v>
      </c>
      <c r="P121" t="str">
        <f>IF(Table13[[#This Row],[Good_Qty]]&gt;=Table13[[#This Row],[Planned_Production]],"Met","Not Met")</f>
        <v>Not Met</v>
      </c>
      <c r="Q121">
        <f>Table13[[#This Row],[Good_Qty]]-Table13[[#This Row],[Planned_Production]]</f>
        <v>-9</v>
      </c>
      <c r="R121" s="3">
        <f>IF(Table13[[#This Row],[Actual_Qty]]=0,0,Table13[[#This Row],[Reject_Qty]]/Table13[[#This Row],[Actual_Qty]])</f>
        <v>3.616636528028933E-3</v>
      </c>
      <c r="S121">
        <v>440.64</v>
      </c>
      <c r="T121">
        <f>(Table13[[#This Row],[Ideal_Cycle_Time_sec]]*Table13[[#This Row],[Actual_Qty]])/(Table13[[#This Row],[Operational_Time_min]]*60)</f>
        <v>0.46016400387315426</v>
      </c>
      <c r="U121">
        <f>Table13[[#This Row],[Good_Qty]]/Table13[[#This Row],[Actual_Qty]]</f>
        <v>0.9963833634719711</v>
      </c>
      <c r="V121" t="str">
        <f>IF(OR(Table13[[#This Row],[Performance_%]]&gt;=1,Table13[[#This Row],[Performance_%]]&lt;=0),"Error","OK")</f>
        <v>OK</v>
      </c>
      <c r="W121" t="str">
        <f>IF(OR(Table13[[#This Row],[Quality_%]]&gt;=1,Table13[[#This Row],[Quality_%]]&lt;=0),"Error","OK")</f>
        <v>OK</v>
      </c>
      <c r="X121">
        <f>Table13[[#This Row],[Performance_%]]*Table13[[#This Row],[Quality_%]]*[2]Availability_KPI!K121</f>
        <v>0.44896296296296301</v>
      </c>
      <c r="Y121" t="str">
        <f>IF(OR(Table13[[#This Row],[OEE_%]]&gt;1,Table13[[#This Row],[OEE_%]]&lt;0),"Error","OK")</f>
        <v>OK</v>
      </c>
    </row>
    <row r="122" spans="1:25" x14ac:dyDescent="0.2">
      <c r="A122" t="s">
        <v>186</v>
      </c>
      <c r="B122" t="s">
        <v>187</v>
      </c>
      <c r="C122" s="2">
        <v>46244</v>
      </c>
      <c r="D122" t="s">
        <v>27</v>
      </c>
      <c r="E122" t="s">
        <v>28</v>
      </c>
      <c r="F122" t="s">
        <v>54</v>
      </c>
      <c r="G122" t="s">
        <v>57</v>
      </c>
      <c r="H122">
        <v>631</v>
      </c>
      <c r="I122">
        <v>626</v>
      </c>
      <c r="J122">
        <v>5</v>
      </c>
      <c r="K122">
        <v>18</v>
      </c>
      <c r="L122">
        <v>19.21</v>
      </c>
      <c r="M122">
        <v>202.04</v>
      </c>
      <c r="N122">
        <f>_xlfn.XLOOKUP(Table13[[#This Row],[Production_Order_ID]],[1]Sheet1!$A$2:$A$391,[1]Sheet1!$F$2:$F$391,"No Match")</f>
        <v>590</v>
      </c>
      <c r="O122" s="3">
        <f>Table13[[#This Row],[Good_Qty]]/Table13[[#This Row],[Planned_Production]]</f>
        <v>1.0610169491525423</v>
      </c>
      <c r="P122" t="str">
        <f>IF(Table13[[#This Row],[Good_Qty]]&gt;=Table13[[#This Row],[Planned_Production]],"Met","Not Met")</f>
        <v>Met</v>
      </c>
      <c r="Q122">
        <f>Table13[[#This Row],[Good_Qty]]-Table13[[#This Row],[Planned_Production]]</f>
        <v>36</v>
      </c>
      <c r="R122" s="3">
        <f>IF(Table13[[#This Row],[Actual_Qty]]=0,0,Table13[[#This Row],[Reject_Qty]]/Table13[[#This Row],[Actual_Qty]])</f>
        <v>7.9239302694136295E-3</v>
      </c>
      <c r="S122">
        <v>439.52</v>
      </c>
      <c r="T122">
        <f>(Table13[[#This Row],[Ideal_Cycle_Time_sec]]*Table13[[#This Row],[Actual_Qty]])/(Table13[[#This Row],[Operational_Time_min]]*60)</f>
        <v>0.43069712413542049</v>
      </c>
      <c r="U122">
        <f>Table13[[#This Row],[Good_Qty]]/Table13[[#This Row],[Actual_Qty]]</f>
        <v>0.99207606973058637</v>
      </c>
      <c r="V122" t="str">
        <f>IF(OR(Table13[[#This Row],[Performance_%]]&gt;=1,Table13[[#This Row],[Performance_%]]&lt;=0),"Error","OK")</f>
        <v>OK</v>
      </c>
      <c r="W122" t="str">
        <f>IF(OR(Table13[[#This Row],[Quality_%]]&gt;=1,Table13[[#This Row],[Quality_%]]&lt;=0),"Error","OK")</f>
        <v>OK</v>
      </c>
      <c r="X122">
        <f>Table13[[#This Row],[Performance_%]]*Table13[[#This Row],[Quality_%]]*[2]Availability_KPI!K122</f>
        <v>0.41733333333333339</v>
      </c>
      <c r="Y122" t="str">
        <f>IF(OR(Table13[[#This Row],[OEE_%]]&gt;1,Table13[[#This Row],[OEE_%]]&lt;0),"Error","OK")</f>
        <v>OK</v>
      </c>
    </row>
    <row r="123" spans="1:25" x14ac:dyDescent="0.2">
      <c r="A123" t="s">
        <v>188</v>
      </c>
      <c r="B123" t="s">
        <v>187</v>
      </c>
      <c r="C123" s="2">
        <v>46244</v>
      </c>
      <c r="D123" t="s">
        <v>27</v>
      </c>
      <c r="E123" t="s">
        <v>32</v>
      </c>
      <c r="F123" t="s">
        <v>54</v>
      </c>
      <c r="G123" t="s">
        <v>61</v>
      </c>
      <c r="H123">
        <v>641</v>
      </c>
      <c r="I123">
        <v>635</v>
      </c>
      <c r="J123">
        <v>6</v>
      </c>
      <c r="K123">
        <v>20</v>
      </c>
      <c r="L123">
        <v>20.81</v>
      </c>
      <c r="M123">
        <v>222.34</v>
      </c>
      <c r="N123">
        <f>_xlfn.XLOOKUP(Table13[[#This Row],[Production_Order_ID]],[1]Sheet1!$A$2:$A$391,[1]Sheet1!$F$2:$F$391,"No Match")</f>
        <v>590</v>
      </c>
      <c r="O123" s="3">
        <f>Table13[[#This Row],[Good_Qty]]/Table13[[#This Row],[Planned_Production]]</f>
        <v>1.076271186440678</v>
      </c>
      <c r="P123" t="str">
        <f>IF(Table13[[#This Row],[Good_Qty]]&gt;=Table13[[#This Row],[Planned_Production]],"Met","Not Met")</f>
        <v>Met</v>
      </c>
      <c r="Q123">
        <f>Table13[[#This Row],[Good_Qty]]-Table13[[#This Row],[Planned_Production]]</f>
        <v>45</v>
      </c>
      <c r="R123" s="3">
        <f>IF(Table13[[#This Row],[Actual_Qty]]=0,0,Table13[[#This Row],[Reject_Qty]]/Table13[[#This Row],[Actual_Qty]])</f>
        <v>9.3603744149765994E-3</v>
      </c>
      <c r="S123">
        <v>439.84</v>
      </c>
      <c r="T123">
        <f>(Table13[[#This Row],[Ideal_Cycle_Time_sec]]*Table13[[#This Row],[Actual_Qty]])/(Table13[[#This Row],[Operational_Time_min]]*60)</f>
        <v>0.48578270886382929</v>
      </c>
      <c r="U123">
        <f>Table13[[#This Row],[Good_Qty]]/Table13[[#This Row],[Actual_Qty]]</f>
        <v>0.99063962558502339</v>
      </c>
      <c r="V123" t="str">
        <f>IF(OR(Table13[[#This Row],[Performance_%]]&gt;=1,Table13[[#This Row],[Performance_%]]&lt;=0),"Error","OK")</f>
        <v>OK</v>
      </c>
      <c r="W123" t="str">
        <f>IF(OR(Table13[[#This Row],[Quality_%]]&gt;=1,Table13[[#This Row],[Quality_%]]&lt;=0),"Error","OK")</f>
        <v>OK</v>
      </c>
      <c r="X123">
        <f>Table13[[#This Row],[Performance_%]]*Table13[[#This Row],[Quality_%]]*[2]Availability_KPI!K123</f>
        <v>0.47037037037037033</v>
      </c>
      <c r="Y123" t="str">
        <f>IF(OR(Table13[[#This Row],[OEE_%]]&gt;1,Table13[[#This Row],[OEE_%]]&lt;0),"Error","OK")</f>
        <v>OK</v>
      </c>
    </row>
    <row r="124" spans="1:25" x14ac:dyDescent="0.2">
      <c r="A124" t="s">
        <v>189</v>
      </c>
      <c r="B124" t="s">
        <v>187</v>
      </c>
      <c r="C124" s="2">
        <v>46244</v>
      </c>
      <c r="D124" t="s">
        <v>27</v>
      </c>
      <c r="E124" t="s">
        <v>35</v>
      </c>
      <c r="F124" t="s">
        <v>54</v>
      </c>
      <c r="G124" t="s">
        <v>71</v>
      </c>
      <c r="H124">
        <v>624</v>
      </c>
      <c r="I124">
        <v>621</v>
      </c>
      <c r="J124">
        <v>3</v>
      </c>
      <c r="K124">
        <v>22</v>
      </c>
      <c r="L124">
        <v>23.95</v>
      </c>
      <c r="M124">
        <v>249.12</v>
      </c>
      <c r="N124">
        <f>_xlfn.XLOOKUP(Table13[[#This Row],[Production_Order_ID]],[1]Sheet1!$A$2:$A$391,[1]Sheet1!$F$2:$F$391,"No Match")</f>
        <v>590</v>
      </c>
      <c r="O124" s="3">
        <f>Table13[[#This Row],[Good_Qty]]/Table13[[#This Row],[Planned_Production]]</f>
        <v>1.0525423728813559</v>
      </c>
      <c r="P124" t="str">
        <f>IF(Table13[[#This Row],[Good_Qty]]&gt;=Table13[[#This Row],[Planned_Production]],"Met","Not Met")</f>
        <v>Met</v>
      </c>
      <c r="Q124">
        <f>Table13[[#This Row],[Good_Qty]]-Table13[[#This Row],[Planned_Production]]</f>
        <v>31</v>
      </c>
      <c r="R124" s="3">
        <f>IF(Table13[[#This Row],[Actual_Qty]]=0,0,Table13[[#This Row],[Reject_Qty]]/Table13[[#This Row],[Actual_Qty]])</f>
        <v>4.807692307692308E-3</v>
      </c>
      <c r="S124">
        <v>430.89</v>
      </c>
      <c r="T124">
        <f>(Table13[[#This Row],[Ideal_Cycle_Time_sec]]*Table13[[#This Row],[Actual_Qty]])/(Table13[[#This Row],[Operational_Time_min]]*60)</f>
        <v>0.53099398918517493</v>
      </c>
      <c r="U124">
        <f>Table13[[#This Row],[Good_Qty]]/Table13[[#This Row],[Actual_Qty]]</f>
        <v>0.99519230769230771</v>
      </c>
      <c r="V124" t="str">
        <f>IF(OR(Table13[[#This Row],[Performance_%]]&gt;=1,Table13[[#This Row],[Performance_%]]&lt;=0),"Error","OK")</f>
        <v>OK</v>
      </c>
      <c r="W124" t="str">
        <f>IF(OR(Table13[[#This Row],[Quality_%]]&gt;=1,Table13[[#This Row],[Quality_%]]&lt;=0),"Error","OK")</f>
        <v>OK</v>
      </c>
      <c r="X124">
        <f>Table13[[#This Row],[Performance_%]]*Table13[[#This Row],[Quality_%]]*[2]Availability_KPI!K124</f>
        <v>0.50600000000000012</v>
      </c>
      <c r="Y124" t="str">
        <f>IF(OR(Table13[[#This Row],[OEE_%]]&gt;1,Table13[[#This Row],[OEE_%]]&lt;0),"Error","OK")</f>
        <v>OK</v>
      </c>
    </row>
    <row r="125" spans="1:25" x14ac:dyDescent="0.2">
      <c r="A125" t="s">
        <v>190</v>
      </c>
      <c r="B125" t="s">
        <v>187</v>
      </c>
      <c r="C125" s="2">
        <v>46244</v>
      </c>
      <c r="D125" t="s">
        <v>27</v>
      </c>
      <c r="E125" t="s">
        <v>38</v>
      </c>
      <c r="F125" t="s">
        <v>54</v>
      </c>
      <c r="G125" t="s">
        <v>44</v>
      </c>
      <c r="H125">
        <v>620</v>
      </c>
      <c r="I125">
        <v>614</v>
      </c>
      <c r="J125">
        <v>6</v>
      </c>
      <c r="K125">
        <v>20</v>
      </c>
      <c r="L125">
        <v>21.3</v>
      </c>
      <c r="M125">
        <v>220.1</v>
      </c>
      <c r="N125">
        <f>_xlfn.XLOOKUP(Table13[[#This Row],[Production_Order_ID]],[1]Sheet1!$A$2:$A$391,[1]Sheet1!$F$2:$F$391,"No Match")</f>
        <v>590</v>
      </c>
      <c r="O125" s="3">
        <f>Table13[[#This Row],[Good_Qty]]/Table13[[#This Row],[Planned_Production]]</f>
        <v>1.0406779661016949</v>
      </c>
      <c r="P125" t="str">
        <f>IF(Table13[[#This Row],[Good_Qty]]&gt;=Table13[[#This Row],[Planned_Production]],"Met","Not Met")</f>
        <v>Met</v>
      </c>
      <c r="Q125">
        <f>Table13[[#This Row],[Good_Qty]]-Table13[[#This Row],[Planned_Production]]</f>
        <v>24</v>
      </c>
      <c r="R125" s="3">
        <f>IF(Table13[[#This Row],[Actual_Qty]]=0,0,Table13[[#This Row],[Reject_Qty]]/Table13[[#This Row],[Actual_Qty]])</f>
        <v>9.6774193548387101E-3</v>
      </c>
      <c r="S125">
        <v>441.27</v>
      </c>
      <c r="T125">
        <f>(Table13[[#This Row],[Ideal_Cycle_Time_sec]]*Table13[[#This Row],[Actual_Qty]])/(Table13[[#This Row],[Operational_Time_min]]*60)</f>
        <v>0.46834515527152693</v>
      </c>
      <c r="U125">
        <f>Table13[[#This Row],[Good_Qty]]/Table13[[#This Row],[Actual_Qty]]</f>
        <v>0.99032258064516132</v>
      </c>
      <c r="V125" t="str">
        <f>IF(OR(Table13[[#This Row],[Performance_%]]&gt;=1,Table13[[#This Row],[Performance_%]]&lt;=0),"Error","OK")</f>
        <v>OK</v>
      </c>
      <c r="W125" t="str">
        <f>IF(OR(Table13[[#This Row],[Quality_%]]&gt;=1,Table13[[#This Row],[Quality_%]]&lt;=0),"Error","OK")</f>
        <v>OK</v>
      </c>
      <c r="X125">
        <f>Table13[[#This Row],[Performance_%]]*Table13[[#This Row],[Quality_%]]*[2]Availability_KPI!K125</f>
        <v>0.45481481481481484</v>
      </c>
      <c r="Y125" t="str">
        <f>IF(OR(Table13[[#This Row],[OEE_%]]&gt;1,Table13[[#This Row],[OEE_%]]&lt;0),"Error","OK")</f>
        <v>OK</v>
      </c>
    </row>
    <row r="126" spans="1:25" x14ac:dyDescent="0.2">
      <c r="A126" t="s">
        <v>191</v>
      </c>
      <c r="B126" t="s">
        <v>187</v>
      </c>
      <c r="C126" s="2">
        <v>46244</v>
      </c>
      <c r="D126" t="s">
        <v>27</v>
      </c>
      <c r="E126" t="s">
        <v>41</v>
      </c>
      <c r="F126" t="s">
        <v>54</v>
      </c>
      <c r="G126" t="s">
        <v>55</v>
      </c>
      <c r="H126">
        <v>626</v>
      </c>
      <c r="I126">
        <v>621</v>
      </c>
      <c r="J126">
        <v>5</v>
      </c>
      <c r="K126">
        <v>18</v>
      </c>
      <c r="L126">
        <v>18.98</v>
      </c>
      <c r="M126">
        <v>198.02</v>
      </c>
      <c r="N126">
        <f>_xlfn.XLOOKUP(Table13[[#This Row],[Production_Order_ID]],[1]Sheet1!$A$2:$A$391,[1]Sheet1!$F$2:$F$391,"No Match")</f>
        <v>590</v>
      </c>
      <c r="O126" s="3">
        <f>Table13[[#This Row],[Good_Qty]]/Table13[[#This Row],[Planned_Production]]</f>
        <v>1.0525423728813559</v>
      </c>
      <c r="P126" t="str">
        <f>IF(Table13[[#This Row],[Good_Qty]]&gt;=Table13[[#This Row],[Planned_Production]],"Met","Not Met")</f>
        <v>Met</v>
      </c>
      <c r="Q126">
        <f>Table13[[#This Row],[Good_Qty]]-Table13[[#This Row],[Planned_Production]]</f>
        <v>31</v>
      </c>
      <c r="R126" s="3">
        <f>IF(Table13[[#This Row],[Actual_Qty]]=0,0,Table13[[#This Row],[Reject_Qty]]/Table13[[#This Row],[Actual_Qty]])</f>
        <v>7.9872204472843447E-3</v>
      </c>
      <c r="S126">
        <v>436.09</v>
      </c>
      <c r="T126">
        <f>(Table13[[#This Row],[Ideal_Cycle_Time_sec]]*Table13[[#This Row],[Actual_Qty]])/(Table13[[#This Row],[Operational_Time_min]]*60)</f>
        <v>0.43064505033364675</v>
      </c>
      <c r="U126">
        <f>Table13[[#This Row],[Good_Qty]]/Table13[[#This Row],[Actual_Qty]]</f>
        <v>0.99201277955271561</v>
      </c>
      <c r="V126" t="str">
        <f>IF(OR(Table13[[#This Row],[Performance_%]]&gt;=1,Table13[[#This Row],[Performance_%]]&lt;=0),"Error","OK")</f>
        <v>OK</v>
      </c>
      <c r="W126" t="str">
        <f>IF(OR(Table13[[#This Row],[Quality_%]]&gt;=1,Table13[[#This Row],[Quality_%]]&lt;=0),"Error","OK")</f>
        <v>OK</v>
      </c>
      <c r="X126">
        <f>Table13[[#This Row],[Performance_%]]*Table13[[#This Row],[Quality_%]]*[2]Availability_KPI!K126</f>
        <v>0.41399999999999998</v>
      </c>
      <c r="Y126" t="str">
        <f>IF(OR(Table13[[#This Row],[OEE_%]]&gt;1,Table13[[#This Row],[OEE_%]]&lt;0),"Error","OK")</f>
        <v>OK</v>
      </c>
    </row>
    <row r="127" spans="1:25" x14ac:dyDescent="0.2">
      <c r="A127" t="s">
        <v>192</v>
      </c>
      <c r="B127" t="s">
        <v>187</v>
      </c>
      <c r="C127" s="2">
        <v>46244</v>
      </c>
      <c r="D127" t="s">
        <v>27</v>
      </c>
      <c r="E127" t="s">
        <v>43</v>
      </c>
      <c r="F127" t="s">
        <v>54</v>
      </c>
      <c r="G127" t="s">
        <v>39</v>
      </c>
      <c r="H127">
        <v>633</v>
      </c>
      <c r="I127">
        <v>622</v>
      </c>
      <c r="J127">
        <v>11</v>
      </c>
      <c r="K127">
        <v>32</v>
      </c>
      <c r="L127">
        <v>34.03</v>
      </c>
      <c r="M127">
        <v>359.04</v>
      </c>
      <c r="N127">
        <f>_xlfn.XLOOKUP(Table13[[#This Row],[Production_Order_ID]],[1]Sheet1!$A$2:$A$391,[1]Sheet1!$F$2:$F$391,"No Match")</f>
        <v>590</v>
      </c>
      <c r="O127" s="3">
        <f>Table13[[#This Row],[Good_Qty]]/Table13[[#This Row],[Planned_Production]]</f>
        <v>1.0542372881355933</v>
      </c>
      <c r="P127" t="str">
        <f>IF(Table13[[#This Row],[Good_Qty]]&gt;=Table13[[#This Row],[Planned_Production]],"Met","Not Met")</f>
        <v>Met</v>
      </c>
      <c r="Q127">
        <f>Table13[[#This Row],[Good_Qty]]-Table13[[#This Row],[Planned_Production]]</f>
        <v>32</v>
      </c>
      <c r="R127" s="3">
        <f>IF(Table13[[#This Row],[Actual_Qty]]=0,0,Table13[[#This Row],[Reject_Qty]]/Table13[[#This Row],[Actual_Qty]])</f>
        <v>1.7377567140600316E-2</v>
      </c>
      <c r="S127">
        <v>410.46</v>
      </c>
      <c r="T127">
        <f>(Table13[[#This Row],[Ideal_Cycle_Time_sec]]*Table13[[#This Row],[Actual_Qty]])/(Table13[[#This Row],[Operational_Time_min]]*60)</f>
        <v>0.82249183842518159</v>
      </c>
      <c r="U127">
        <f>Table13[[#This Row],[Good_Qty]]/Table13[[#This Row],[Actual_Qty]]</f>
        <v>0.98262243285939965</v>
      </c>
      <c r="V127" t="str">
        <f>IF(OR(Table13[[#This Row],[Performance_%]]&gt;=1,Table13[[#This Row],[Performance_%]]&lt;=0),"Error","OK")</f>
        <v>OK</v>
      </c>
      <c r="W127" t="str">
        <f>IF(OR(Table13[[#This Row],[Quality_%]]&gt;=1,Table13[[#This Row],[Quality_%]]&lt;=0),"Error","OK")</f>
        <v>OK</v>
      </c>
      <c r="X127">
        <f>Table13[[#This Row],[Performance_%]]*Table13[[#This Row],[Quality_%]]*[2]Availability_KPI!K127</f>
        <v>0.73718518518518517</v>
      </c>
      <c r="Y127" t="str">
        <f>IF(OR(Table13[[#This Row],[OEE_%]]&gt;1,Table13[[#This Row],[OEE_%]]&lt;0),"Error","OK")</f>
        <v>OK</v>
      </c>
    </row>
    <row r="128" spans="1:25" x14ac:dyDescent="0.2">
      <c r="A128" t="s">
        <v>193</v>
      </c>
      <c r="B128" t="s">
        <v>187</v>
      </c>
      <c r="C128" s="2">
        <v>46244</v>
      </c>
      <c r="D128" t="s">
        <v>27</v>
      </c>
      <c r="E128" t="s">
        <v>46</v>
      </c>
      <c r="F128" t="s">
        <v>54</v>
      </c>
      <c r="G128" t="s">
        <v>36</v>
      </c>
      <c r="H128">
        <v>633</v>
      </c>
      <c r="I128">
        <v>627</v>
      </c>
      <c r="J128">
        <v>6</v>
      </c>
      <c r="K128">
        <v>25</v>
      </c>
      <c r="L128">
        <v>27.04</v>
      </c>
      <c r="M128">
        <v>285.25</v>
      </c>
      <c r="N128">
        <f>_xlfn.XLOOKUP(Table13[[#This Row],[Production_Order_ID]],[1]Sheet1!$A$2:$A$391,[1]Sheet1!$F$2:$F$391,"No Match")</f>
        <v>590</v>
      </c>
      <c r="O128" s="3">
        <f>Table13[[#This Row],[Good_Qty]]/Table13[[#This Row],[Planned_Production]]</f>
        <v>1.0627118644067797</v>
      </c>
      <c r="P128" t="str">
        <f>IF(Table13[[#This Row],[Good_Qty]]&gt;=Table13[[#This Row],[Planned_Production]],"Met","Not Met")</f>
        <v>Met</v>
      </c>
      <c r="Q128">
        <f>Table13[[#This Row],[Good_Qty]]-Table13[[#This Row],[Planned_Production]]</f>
        <v>37</v>
      </c>
      <c r="R128" s="3">
        <f>IF(Table13[[#This Row],[Actual_Qty]]=0,0,Table13[[#This Row],[Reject_Qty]]/Table13[[#This Row],[Actual_Qty]])</f>
        <v>9.4786729857819912E-3</v>
      </c>
      <c r="S128">
        <v>425.93</v>
      </c>
      <c r="T128">
        <f>(Table13[[#This Row],[Ideal_Cycle_Time_sec]]*Table13[[#This Row],[Actual_Qty]])/(Table13[[#This Row],[Operational_Time_min]]*60)</f>
        <v>0.61923320733453857</v>
      </c>
      <c r="U128">
        <f>Table13[[#This Row],[Good_Qty]]/Table13[[#This Row],[Actual_Qty]]</f>
        <v>0.99052132701421802</v>
      </c>
      <c r="V128" t="str">
        <f>IF(OR(Table13[[#This Row],[Performance_%]]&gt;=1,Table13[[#This Row],[Performance_%]]&lt;=0),"Error","OK")</f>
        <v>OK</v>
      </c>
      <c r="W128" t="str">
        <f>IF(OR(Table13[[#This Row],[Quality_%]]&gt;=1,Table13[[#This Row],[Quality_%]]&lt;=0),"Error","OK")</f>
        <v>OK</v>
      </c>
      <c r="X128">
        <f>Table13[[#This Row],[Performance_%]]*Table13[[#This Row],[Quality_%]]*[2]Availability_KPI!K128</f>
        <v>0.5805555555555556</v>
      </c>
      <c r="Y128" t="str">
        <f>IF(OR(Table13[[#This Row],[OEE_%]]&gt;1,Table13[[#This Row],[OEE_%]]&lt;0),"Error","OK")</f>
        <v>OK</v>
      </c>
    </row>
    <row r="129" spans="1:25" x14ac:dyDescent="0.2">
      <c r="A129" t="s">
        <v>194</v>
      </c>
      <c r="B129" t="s">
        <v>187</v>
      </c>
      <c r="C129" s="2">
        <v>46244</v>
      </c>
      <c r="D129" t="s">
        <v>27</v>
      </c>
      <c r="E129" t="s">
        <v>49</v>
      </c>
      <c r="F129" t="s">
        <v>54</v>
      </c>
      <c r="G129" t="s">
        <v>71</v>
      </c>
      <c r="H129">
        <v>629</v>
      </c>
      <c r="I129">
        <v>626</v>
      </c>
      <c r="J129">
        <v>3</v>
      </c>
      <c r="K129">
        <v>20</v>
      </c>
      <c r="L129">
        <v>21.79</v>
      </c>
      <c r="M129">
        <v>228.38</v>
      </c>
      <c r="N129">
        <f>_xlfn.XLOOKUP(Table13[[#This Row],[Production_Order_ID]],[1]Sheet1!$A$2:$A$391,[1]Sheet1!$F$2:$F$391,"No Match")</f>
        <v>590</v>
      </c>
      <c r="O129" s="3">
        <f>Table13[[#This Row],[Good_Qty]]/Table13[[#This Row],[Planned_Production]]</f>
        <v>1.0610169491525423</v>
      </c>
      <c r="P129" t="str">
        <f>IF(Table13[[#This Row],[Good_Qty]]&gt;=Table13[[#This Row],[Planned_Production]],"Met","Not Met")</f>
        <v>Met</v>
      </c>
      <c r="Q129">
        <f>Table13[[#This Row],[Good_Qty]]-Table13[[#This Row],[Planned_Production]]</f>
        <v>36</v>
      </c>
      <c r="R129" s="3">
        <f>IF(Table13[[#This Row],[Actual_Qty]]=0,0,Table13[[#This Row],[Reject_Qty]]/Table13[[#This Row],[Actual_Qty]])</f>
        <v>4.7694753577106515E-3</v>
      </c>
      <c r="S129">
        <v>440.05</v>
      </c>
      <c r="T129">
        <f>(Table13[[#This Row],[Ideal_Cycle_Time_sec]]*Table13[[#This Row],[Actual_Qty]])/(Table13[[#This Row],[Operational_Time_min]]*60)</f>
        <v>0.47646100821876303</v>
      </c>
      <c r="U129">
        <f>Table13[[#This Row],[Good_Qty]]/Table13[[#This Row],[Actual_Qty]]</f>
        <v>0.99523052464228934</v>
      </c>
      <c r="V129" t="str">
        <f>IF(OR(Table13[[#This Row],[Performance_%]]&gt;=1,Table13[[#This Row],[Performance_%]]&lt;=0),"Error","OK")</f>
        <v>OK</v>
      </c>
      <c r="W129" t="str">
        <f>IF(OR(Table13[[#This Row],[Quality_%]]&gt;=1,Table13[[#This Row],[Quality_%]]&lt;=0),"Error","OK")</f>
        <v>OK</v>
      </c>
      <c r="X129">
        <f>Table13[[#This Row],[Performance_%]]*Table13[[#This Row],[Quality_%]]*[2]Availability_KPI!K129</f>
        <v>0.46370370370370373</v>
      </c>
      <c r="Y129" t="str">
        <f>IF(OR(Table13[[#This Row],[OEE_%]]&gt;1,Table13[[#This Row],[OEE_%]]&lt;0),"Error","OK")</f>
        <v>OK</v>
      </c>
    </row>
    <row r="130" spans="1:25" x14ac:dyDescent="0.2">
      <c r="A130" t="s">
        <v>195</v>
      </c>
      <c r="B130" t="s">
        <v>196</v>
      </c>
      <c r="C130" s="2">
        <v>46244</v>
      </c>
      <c r="D130" t="s">
        <v>53</v>
      </c>
      <c r="E130" t="s">
        <v>28</v>
      </c>
      <c r="F130" t="s">
        <v>54</v>
      </c>
      <c r="G130" t="s">
        <v>36</v>
      </c>
      <c r="H130">
        <v>681</v>
      </c>
      <c r="I130">
        <v>678</v>
      </c>
      <c r="J130">
        <v>3</v>
      </c>
      <c r="K130">
        <v>18</v>
      </c>
      <c r="L130">
        <v>18.579999999999998</v>
      </c>
      <c r="M130">
        <v>210.88</v>
      </c>
      <c r="N130">
        <f>_xlfn.XLOOKUP(Table13[[#This Row],[Production_Order_ID]],[1]Sheet1!$A$2:$A$391,[1]Sheet1!$F$2:$F$391,"No Match")</f>
        <v>500</v>
      </c>
      <c r="O130" s="3">
        <f>Table13[[#This Row],[Good_Qty]]/Table13[[#This Row],[Planned_Production]]</f>
        <v>1.3560000000000001</v>
      </c>
      <c r="P130" t="str">
        <f>IF(Table13[[#This Row],[Good_Qty]]&gt;=Table13[[#This Row],[Planned_Production]],"Met","Not Met")</f>
        <v>Met</v>
      </c>
      <c r="Q130">
        <f>Table13[[#This Row],[Good_Qty]]-Table13[[#This Row],[Planned_Production]]</f>
        <v>178</v>
      </c>
      <c r="R130" s="3">
        <f>IF(Table13[[#This Row],[Actual_Qty]]=0,0,Table13[[#This Row],[Reject_Qty]]/Table13[[#This Row],[Actual_Qty]])</f>
        <v>4.4052863436123352E-3</v>
      </c>
      <c r="S130">
        <v>442.83</v>
      </c>
      <c r="T130">
        <f>(Table13[[#This Row],[Ideal_Cycle_Time_sec]]*Table13[[#This Row],[Actual_Qty]])/(Table13[[#This Row],[Operational_Time_min]]*60)</f>
        <v>0.46135085698800893</v>
      </c>
      <c r="U130">
        <f>Table13[[#This Row],[Good_Qty]]/Table13[[#This Row],[Actual_Qty]]</f>
        <v>0.99559471365638763</v>
      </c>
      <c r="V130" t="str">
        <f>IF(OR(Table13[[#This Row],[Performance_%]]&gt;=1,Table13[[#This Row],[Performance_%]]&lt;=0),"Error","OK")</f>
        <v>OK</v>
      </c>
      <c r="W130" t="str">
        <f>IF(OR(Table13[[#This Row],[Quality_%]]&gt;=1,Table13[[#This Row],[Quality_%]]&lt;=0),"Error","OK")</f>
        <v>OK</v>
      </c>
      <c r="X130">
        <f>Table13[[#This Row],[Performance_%]]*Table13[[#This Row],[Quality_%]]*[2]Availability_KPI!K130</f>
        <v>0.45199999999999996</v>
      </c>
      <c r="Y130" t="str">
        <f>IF(OR(Table13[[#This Row],[OEE_%]]&gt;1,Table13[[#This Row],[OEE_%]]&lt;0),"Error","OK")</f>
        <v>OK</v>
      </c>
    </row>
    <row r="131" spans="1:25" x14ac:dyDescent="0.2">
      <c r="A131" t="s">
        <v>197</v>
      </c>
      <c r="B131" t="s">
        <v>196</v>
      </c>
      <c r="C131" s="2">
        <v>46244</v>
      </c>
      <c r="D131" t="s">
        <v>53</v>
      </c>
      <c r="E131" t="s">
        <v>32</v>
      </c>
      <c r="F131" t="s">
        <v>54</v>
      </c>
      <c r="G131" t="s">
        <v>71</v>
      </c>
      <c r="H131">
        <v>686</v>
      </c>
      <c r="I131">
        <v>678</v>
      </c>
      <c r="J131">
        <v>8</v>
      </c>
      <c r="K131">
        <v>20</v>
      </c>
      <c r="L131">
        <v>21.23</v>
      </c>
      <c r="M131">
        <v>242.67</v>
      </c>
      <c r="N131">
        <f>_xlfn.XLOOKUP(Table13[[#This Row],[Production_Order_ID]],[1]Sheet1!$A$2:$A$391,[1]Sheet1!$F$2:$F$391,"No Match")</f>
        <v>500</v>
      </c>
      <c r="O131" s="3">
        <f>Table13[[#This Row],[Good_Qty]]/Table13[[#This Row],[Planned_Production]]</f>
        <v>1.3560000000000001</v>
      </c>
      <c r="P131" t="str">
        <f>IF(Table13[[#This Row],[Good_Qty]]&gt;=Table13[[#This Row],[Planned_Production]],"Met","Not Met")</f>
        <v>Met</v>
      </c>
      <c r="Q131">
        <f>Table13[[#This Row],[Good_Qty]]-Table13[[#This Row],[Planned_Production]]</f>
        <v>178</v>
      </c>
      <c r="R131" s="3">
        <f>IF(Table13[[#This Row],[Actual_Qty]]=0,0,Table13[[#This Row],[Reject_Qty]]/Table13[[#This Row],[Actual_Qty]])</f>
        <v>1.1661807580174927E-2</v>
      </c>
      <c r="S131">
        <v>435.85</v>
      </c>
      <c r="T131">
        <f>(Table13[[#This Row],[Ideal_Cycle_Time_sec]]*Table13[[#This Row],[Actual_Qty]])/(Table13[[#This Row],[Operational_Time_min]]*60)</f>
        <v>0.52464532905051431</v>
      </c>
      <c r="U131">
        <f>Table13[[#This Row],[Good_Qty]]/Table13[[#This Row],[Actual_Qty]]</f>
        <v>0.98833819241982512</v>
      </c>
      <c r="V131" t="str">
        <f>IF(OR(Table13[[#This Row],[Performance_%]]&gt;=1,Table13[[#This Row],[Performance_%]]&lt;=0),"Error","OK")</f>
        <v>OK</v>
      </c>
      <c r="W131" t="str">
        <f>IF(OR(Table13[[#This Row],[Quality_%]]&gt;=1,Table13[[#This Row],[Quality_%]]&lt;=0),"Error","OK")</f>
        <v>OK</v>
      </c>
      <c r="X131">
        <f>Table13[[#This Row],[Performance_%]]*Table13[[#This Row],[Quality_%]]*[2]Availability_KPI!K131</f>
        <v>0.50222222222222224</v>
      </c>
      <c r="Y131" t="str">
        <f>IF(OR(Table13[[#This Row],[OEE_%]]&gt;1,Table13[[#This Row],[OEE_%]]&lt;0),"Error","OK")</f>
        <v>OK</v>
      </c>
    </row>
    <row r="132" spans="1:25" x14ac:dyDescent="0.2">
      <c r="A132" t="s">
        <v>198</v>
      </c>
      <c r="B132" t="s">
        <v>196</v>
      </c>
      <c r="C132" s="2">
        <v>46244</v>
      </c>
      <c r="D132" t="s">
        <v>53</v>
      </c>
      <c r="E132" t="s">
        <v>35</v>
      </c>
      <c r="F132" t="s">
        <v>54</v>
      </c>
      <c r="G132" t="s">
        <v>36</v>
      </c>
      <c r="H132">
        <v>688</v>
      </c>
      <c r="I132">
        <v>684</v>
      </c>
      <c r="J132">
        <v>4</v>
      </c>
      <c r="K132">
        <v>22</v>
      </c>
      <c r="L132">
        <v>24.4</v>
      </c>
      <c r="M132">
        <v>279.8</v>
      </c>
      <c r="N132">
        <f>_xlfn.XLOOKUP(Table13[[#This Row],[Production_Order_ID]],[1]Sheet1!$A$2:$A$391,[1]Sheet1!$F$2:$F$391,"No Match")</f>
        <v>500</v>
      </c>
      <c r="O132" s="3">
        <f>Table13[[#This Row],[Good_Qty]]/Table13[[#This Row],[Planned_Production]]</f>
        <v>1.3680000000000001</v>
      </c>
      <c r="P132" t="str">
        <f>IF(Table13[[#This Row],[Good_Qty]]&gt;=Table13[[#This Row],[Planned_Production]],"Met","Not Met")</f>
        <v>Met</v>
      </c>
      <c r="Q132">
        <f>Table13[[#This Row],[Good_Qty]]-Table13[[#This Row],[Planned_Production]]</f>
        <v>184</v>
      </c>
      <c r="R132" s="3">
        <f>IF(Table13[[#This Row],[Actual_Qty]]=0,0,Table13[[#This Row],[Reject_Qty]]/Table13[[#This Row],[Actual_Qty]])</f>
        <v>5.8139534883720929E-3</v>
      </c>
      <c r="S132">
        <v>431.05</v>
      </c>
      <c r="T132">
        <f>(Table13[[#This Row],[Ideal_Cycle_Time_sec]]*Table13[[#This Row],[Actual_Qty]])/(Table13[[#This Row],[Operational_Time_min]]*60)</f>
        <v>0.58523759811313458</v>
      </c>
      <c r="U132">
        <f>Table13[[#This Row],[Good_Qty]]/Table13[[#This Row],[Actual_Qty]]</f>
        <v>0.9941860465116279</v>
      </c>
      <c r="V132" t="str">
        <f>IF(OR(Table13[[#This Row],[Performance_%]]&gt;=1,Table13[[#This Row],[Performance_%]]&lt;=0),"Error","OK")</f>
        <v>OK</v>
      </c>
      <c r="W132" t="str">
        <f>IF(OR(Table13[[#This Row],[Quality_%]]&gt;=1,Table13[[#This Row],[Quality_%]]&lt;=0),"Error","OK")</f>
        <v>OK</v>
      </c>
      <c r="X132">
        <f>Table13[[#This Row],[Performance_%]]*Table13[[#This Row],[Quality_%]]*[2]Availability_KPI!K132</f>
        <v>0.55733333333333335</v>
      </c>
      <c r="Y132" t="str">
        <f>IF(OR(Table13[[#This Row],[OEE_%]]&gt;1,Table13[[#This Row],[OEE_%]]&lt;0),"Error","OK")</f>
        <v>OK</v>
      </c>
    </row>
    <row r="133" spans="1:25" x14ac:dyDescent="0.2">
      <c r="A133" t="s">
        <v>199</v>
      </c>
      <c r="B133" t="s">
        <v>196</v>
      </c>
      <c r="C133" s="2">
        <v>46244</v>
      </c>
      <c r="D133" t="s">
        <v>53</v>
      </c>
      <c r="E133" t="s">
        <v>38</v>
      </c>
      <c r="F133" t="s">
        <v>54</v>
      </c>
      <c r="G133" t="s">
        <v>75</v>
      </c>
      <c r="H133">
        <v>680</v>
      </c>
      <c r="I133">
        <v>678</v>
      </c>
      <c r="J133">
        <v>2</v>
      </c>
      <c r="K133">
        <v>20</v>
      </c>
      <c r="L133">
        <v>20</v>
      </c>
      <c r="M133">
        <v>226.67</v>
      </c>
      <c r="N133">
        <f>_xlfn.XLOOKUP(Table13[[#This Row],[Production_Order_ID]],[1]Sheet1!$A$2:$A$391,[1]Sheet1!$F$2:$F$391,"No Match")</f>
        <v>500</v>
      </c>
      <c r="O133" s="3">
        <f>Table13[[#This Row],[Good_Qty]]/Table13[[#This Row],[Planned_Production]]</f>
        <v>1.3560000000000001</v>
      </c>
      <c r="P133" t="str">
        <f>IF(Table13[[#This Row],[Good_Qty]]&gt;=Table13[[#This Row],[Planned_Production]],"Met","Not Met")</f>
        <v>Met</v>
      </c>
      <c r="Q133">
        <f>Table13[[#This Row],[Good_Qty]]-Table13[[#This Row],[Planned_Production]]</f>
        <v>178</v>
      </c>
      <c r="R133" s="3">
        <f>IF(Table13[[#This Row],[Actual_Qty]]=0,0,Table13[[#This Row],[Reject_Qty]]/Table13[[#This Row],[Actual_Qty]])</f>
        <v>2.9411764705882353E-3</v>
      </c>
      <c r="S133">
        <v>438.58</v>
      </c>
      <c r="T133">
        <f>(Table13[[#This Row],[Ideal_Cycle_Time_sec]]*Table13[[#This Row],[Actual_Qty]])/(Table13[[#This Row],[Operational_Time_min]]*60)</f>
        <v>0.51681943241065864</v>
      </c>
      <c r="U133">
        <f>Table13[[#This Row],[Good_Qty]]/Table13[[#This Row],[Actual_Qty]]</f>
        <v>0.99705882352941178</v>
      </c>
      <c r="V133" t="str">
        <f>IF(OR(Table13[[#This Row],[Performance_%]]&gt;=1,Table13[[#This Row],[Performance_%]]&lt;=0),"Error","OK")</f>
        <v>OK</v>
      </c>
      <c r="W133" t="str">
        <f>IF(OR(Table13[[#This Row],[Quality_%]]&gt;=1,Table13[[#This Row],[Quality_%]]&lt;=0),"Error","OK")</f>
        <v>OK</v>
      </c>
      <c r="X133">
        <f>Table13[[#This Row],[Performance_%]]*Table13[[#This Row],[Quality_%]]*[2]Availability_KPI!K133</f>
        <v>0.50222222222222213</v>
      </c>
      <c r="Y133" t="str">
        <f>IF(OR(Table13[[#This Row],[OEE_%]]&gt;1,Table13[[#This Row],[OEE_%]]&lt;0),"Error","OK")</f>
        <v>OK</v>
      </c>
    </row>
    <row r="134" spans="1:25" x14ac:dyDescent="0.2">
      <c r="A134" t="s">
        <v>200</v>
      </c>
      <c r="B134" t="s">
        <v>196</v>
      </c>
      <c r="C134" s="2">
        <v>46244</v>
      </c>
      <c r="D134" t="s">
        <v>53</v>
      </c>
      <c r="E134" t="s">
        <v>41</v>
      </c>
      <c r="F134" t="s">
        <v>54</v>
      </c>
      <c r="G134" t="s">
        <v>71</v>
      </c>
      <c r="H134">
        <v>680</v>
      </c>
      <c r="I134">
        <v>675</v>
      </c>
      <c r="J134">
        <v>5</v>
      </c>
      <c r="K134">
        <v>18</v>
      </c>
      <c r="L134">
        <v>19.059999999999999</v>
      </c>
      <c r="M134">
        <v>216.04</v>
      </c>
      <c r="N134">
        <f>_xlfn.XLOOKUP(Table13[[#This Row],[Production_Order_ID]],[1]Sheet1!$A$2:$A$391,[1]Sheet1!$F$2:$F$391,"No Match")</f>
        <v>500</v>
      </c>
      <c r="O134" s="3">
        <f>Table13[[#This Row],[Good_Qty]]/Table13[[#This Row],[Planned_Production]]</f>
        <v>1.35</v>
      </c>
      <c r="P134" t="str">
        <f>IF(Table13[[#This Row],[Good_Qty]]&gt;=Table13[[#This Row],[Planned_Production]],"Met","Not Met")</f>
        <v>Met</v>
      </c>
      <c r="Q134">
        <f>Table13[[#This Row],[Good_Qty]]-Table13[[#This Row],[Planned_Production]]</f>
        <v>175</v>
      </c>
      <c r="R134" s="3">
        <f>IF(Table13[[#This Row],[Actual_Qty]]=0,0,Table13[[#This Row],[Reject_Qty]]/Table13[[#This Row],[Actual_Qty]])</f>
        <v>7.3529411764705881E-3</v>
      </c>
      <c r="S134">
        <v>438.85</v>
      </c>
      <c r="T134">
        <f>(Table13[[#This Row],[Ideal_Cycle_Time_sec]]*Table13[[#This Row],[Actual_Qty]])/(Table13[[#This Row],[Operational_Time_min]]*60)</f>
        <v>0.46485131593938706</v>
      </c>
      <c r="U134">
        <f>Table13[[#This Row],[Good_Qty]]/Table13[[#This Row],[Actual_Qty]]</f>
        <v>0.99264705882352944</v>
      </c>
      <c r="V134" t="str">
        <f>IF(OR(Table13[[#This Row],[Performance_%]]&gt;=1,Table13[[#This Row],[Performance_%]]&lt;=0),"Error","OK")</f>
        <v>OK</v>
      </c>
      <c r="W134" t="str">
        <f>IF(OR(Table13[[#This Row],[Quality_%]]&gt;=1,Table13[[#This Row],[Quality_%]]&lt;=0),"Error","OK")</f>
        <v>OK</v>
      </c>
      <c r="X134">
        <f>Table13[[#This Row],[Performance_%]]*Table13[[#This Row],[Quality_%]]*[2]Availability_KPI!K134</f>
        <v>0.45000000000000007</v>
      </c>
      <c r="Y134" t="str">
        <f>IF(OR(Table13[[#This Row],[OEE_%]]&gt;1,Table13[[#This Row],[OEE_%]]&lt;0),"Error","OK")</f>
        <v>OK</v>
      </c>
    </row>
    <row r="135" spans="1:25" x14ac:dyDescent="0.2">
      <c r="A135" t="s">
        <v>201</v>
      </c>
      <c r="B135" t="s">
        <v>196</v>
      </c>
      <c r="C135" s="2">
        <v>46244</v>
      </c>
      <c r="D135" t="s">
        <v>53</v>
      </c>
      <c r="E135" t="s">
        <v>43</v>
      </c>
      <c r="F135" t="s">
        <v>54</v>
      </c>
      <c r="G135" t="s">
        <v>36</v>
      </c>
      <c r="H135">
        <v>684</v>
      </c>
      <c r="I135">
        <v>673</v>
      </c>
      <c r="J135">
        <v>11</v>
      </c>
      <c r="K135">
        <v>32</v>
      </c>
      <c r="L135">
        <v>34.08</v>
      </c>
      <c r="M135">
        <v>388.52</v>
      </c>
      <c r="N135">
        <f>_xlfn.XLOOKUP(Table13[[#This Row],[Production_Order_ID]],[1]Sheet1!$A$2:$A$391,[1]Sheet1!$F$2:$F$391,"No Match")</f>
        <v>500</v>
      </c>
      <c r="O135" s="3">
        <f>Table13[[#This Row],[Good_Qty]]/Table13[[#This Row],[Planned_Production]]</f>
        <v>1.3460000000000001</v>
      </c>
      <c r="P135" t="str">
        <f>IF(Table13[[#This Row],[Good_Qty]]&gt;=Table13[[#This Row],[Planned_Production]],"Met","Not Met")</f>
        <v>Met</v>
      </c>
      <c r="Q135">
        <f>Table13[[#This Row],[Good_Qty]]-Table13[[#This Row],[Planned_Production]]</f>
        <v>173</v>
      </c>
      <c r="R135" s="3">
        <f>IF(Table13[[#This Row],[Actual_Qty]]=0,0,Table13[[#This Row],[Reject_Qty]]/Table13[[#This Row],[Actual_Qty]])</f>
        <v>1.6081871345029239E-2</v>
      </c>
      <c r="S135">
        <v>403.51</v>
      </c>
      <c r="T135">
        <f>(Table13[[#This Row],[Ideal_Cycle_Time_sec]]*Table13[[#This Row],[Actual_Qty]])/(Table13[[#This Row],[Operational_Time_min]]*60)</f>
        <v>0.90406681370969744</v>
      </c>
      <c r="U135">
        <f>Table13[[#This Row],[Good_Qty]]/Table13[[#This Row],[Actual_Qty]]</f>
        <v>0.98391812865497075</v>
      </c>
      <c r="V135" t="str">
        <f>IF(OR(Table13[[#This Row],[Performance_%]]&gt;=1,Table13[[#This Row],[Performance_%]]&lt;=0),"Error","OK")</f>
        <v>OK</v>
      </c>
      <c r="W135" t="str">
        <f>IF(OR(Table13[[#This Row],[Quality_%]]&gt;=1,Table13[[#This Row],[Quality_%]]&lt;=0),"Error","OK")</f>
        <v>OK</v>
      </c>
      <c r="X135">
        <f>Table13[[#This Row],[Performance_%]]*Table13[[#This Row],[Quality_%]]*[2]Availability_KPI!K135</f>
        <v>0.79762962962962958</v>
      </c>
      <c r="Y135" t="str">
        <f>IF(OR(Table13[[#This Row],[OEE_%]]&gt;1,Table13[[#This Row],[OEE_%]]&lt;0),"Error","OK")</f>
        <v>OK</v>
      </c>
    </row>
    <row r="136" spans="1:25" x14ac:dyDescent="0.2">
      <c r="A136" t="s">
        <v>202</v>
      </c>
      <c r="B136" t="s">
        <v>196</v>
      </c>
      <c r="C136" s="2">
        <v>46244</v>
      </c>
      <c r="D136" t="s">
        <v>53</v>
      </c>
      <c r="E136" t="s">
        <v>46</v>
      </c>
      <c r="F136" t="s">
        <v>54</v>
      </c>
      <c r="G136" t="s">
        <v>57</v>
      </c>
      <c r="H136">
        <v>684</v>
      </c>
      <c r="I136">
        <v>678</v>
      </c>
      <c r="J136">
        <v>6</v>
      </c>
      <c r="K136">
        <v>25</v>
      </c>
      <c r="L136">
        <v>25.84</v>
      </c>
      <c r="M136">
        <v>294.61</v>
      </c>
      <c r="N136">
        <f>_xlfn.XLOOKUP(Table13[[#This Row],[Production_Order_ID]],[1]Sheet1!$A$2:$A$391,[1]Sheet1!$F$2:$F$391,"No Match")</f>
        <v>500</v>
      </c>
      <c r="O136" s="3">
        <f>Table13[[#This Row],[Good_Qty]]/Table13[[#This Row],[Planned_Production]]</f>
        <v>1.3560000000000001</v>
      </c>
      <c r="P136" t="str">
        <f>IF(Table13[[#This Row],[Good_Qty]]&gt;=Table13[[#This Row],[Planned_Production]],"Met","Not Met")</f>
        <v>Met</v>
      </c>
      <c r="Q136">
        <f>Table13[[#This Row],[Good_Qty]]-Table13[[#This Row],[Planned_Production]]</f>
        <v>178</v>
      </c>
      <c r="R136" s="3">
        <f>IF(Table13[[#This Row],[Actual_Qty]]=0,0,Table13[[#This Row],[Reject_Qty]]/Table13[[#This Row],[Actual_Qty]])</f>
        <v>8.771929824561403E-3</v>
      </c>
      <c r="S136">
        <v>431.95</v>
      </c>
      <c r="T136">
        <f>(Table13[[#This Row],[Ideal_Cycle_Time_sec]]*Table13[[#This Row],[Actual_Qty]])/(Table13[[#This Row],[Operational_Time_min]]*60)</f>
        <v>0.65979858779951384</v>
      </c>
      <c r="U136">
        <f>Table13[[#This Row],[Good_Qty]]/Table13[[#This Row],[Actual_Qty]]</f>
        <v>0.99122807017543857</v>
      </c>
      <c r="V136" t="str">
        <f>IF(OR(Table13[[#This Row],[Performance_%]]&gt;=1,Table13[[#This Row],[Performance_%]]&lt;=0),"Error","OK")</f>
        <v>OK</v>
      </c>
      <c r="W136" t="str">
        <f>IF(OR(Table13[[#This Row],[Quality_%]]&gt;=1,Table13[[#This Row],[Quality_%]]&lt;=0),"Error","OK")</f>
        <v>OK</v>
      </c>
      <c r="X136">
        <f>Table13[[#This Row],[Performance_%]]*Table13[[#This Row],[Quality_%]]*[2]Availability_KPI!K136</f>
        <v>0.62777777777777777</v>
      </c>
      <c r="Y136" t="str">
        <f>IF(OR(Table13[[#This Row],[OEE_%]]&gt;1,Table13[[#This Row],[OEE_%]]&lt;0),"Error","OK")</f>
        <v>OK</v>
      </c>
    </row>
    <row r="137" spans="1:25" x14ac:dyDescent="0.2">
      <c r="A137" t="s">
        <v>203</v>
      </c>
      <c r="B137" t="s">
        <v>196</v>
      </c>
      <c r="C137" s="2">
        <v>46244</v>
      </c>
      <c r="D137" t="s">
        <v>53</v>
      </c>
      <c r="E137" t="s">
        <v>49</v>
      </c>
      <c r="F137" t="s">
        <v>54</v>
      </c>
      <c r="G137" t="s">
        <v>57</v>
      </c>
      <c r="H137">
        <v>681</v>
      </c>
      <c r="I137">
        <v>679</v>
      </c>
      <c r="J137">
        <v>2</v>
      </c>
      <c r="K137">
        <v>20</v>
      </c>
      <c r="L137">
        <v>21.83</v>
      </c>
      <c r="M137">
        <v>247.73</v>
      </c>
      <c r="N137">
        <f>_xlfn.XLOOKUP(Table13[[#This Row],[Production_Order_ID]],[1]Sheet1!$A$2:$A$391,[1]Sheet1!$F$2:$F$391,"No Match")</f>
        <v>500</v>
      </c>
      <c r="O137" s="3">
        <f>Table13[[#This Row],[Good_Qty]]/Table13[[#This Row],[Planned_Production]]</f>
        <v>1.3580000000000001</v>
      </c>
      <c r="P137" t="str">
        <f>IF(Table13[[#This Row],[Good_Qty]]&gt;=Table13[[#This Row],[Planned_Production]],"Met","Not Met")</f>
        <v>Met</v>
      </c>
      <c r="Q137">
        <f>Table13[[#This Row],[Good_Qty]]-Table13[[#This Row],[Planned_Production]]</f>
        <v>179</v>
      </c>
      <c r="R137" s="3">
        <f>IF(Table13[[#This Row],[Actual_Qty]]=0,0,Table13[[#This Row],[Reject_Qty]]/Table13[[#This Row],[Actual_Qty]])</f>
        <v>2.936857562408223E-3</v>
      </c>
      <c r="S137">
        <v>439.09</v>
      </c>
      <c r="T137">
        <f>(Table13[[#This Row],[Ideal_Cycle_Time_sec]]*Table13[[#This Row],[Actual_Qty]])/(Table13[[#This Row],[Operational_Time_min]]*60)</f>
        <v>0.51697829602131684</v>
      </c>
      <c r="U137">
        <f>Table13[[#This Row],[Good_Qty]]/Table13[[#This Row],[Actual_Qty]]</f>
        <v>0.99706314243759175</v>
      </c>
      <c r="V137" t="str">
        <f>IF(OR(Table13[[#This Row],[Performance_%]]&gt;=1,Table13[[#This Row],[Performance_%]]&lt;=0),"Error","OK")</f>
        <v>OK</v>
      </c>
      <c r="W137" t="str">
        <f>IF(OR(Table13[[#This Row],[Quality_%]]&gt;=1,Table13[[#This Row],[Quality_%]]&lt;=0),"Error","OK")</f>
        <v>OK</v>
      </c>
      <c r="X137">
        <f>Table13[[#This Row],[Performance_%]]*Table13[[#This Row],[Quality_%]]*[2]Availability_KPI!K137</f>
        <v>0.50296296296296295</v>
      </c>
      <c r="Y137" t="str">
        <f>IF(OR(Table13[[#This Row],[OEE_%]]&gt;1,Table13[[#This Row],[OEE_%]]&lt;0),"Error","OK")</f>
        <v>OK</v>
      </c>
    </row>
    <row r="138" spans="1:25" x14ac:dyDescent="0.2">
      <c r="A138" t="s">
        <v>204</v>
      </c>
      <c r="B138" t="s">
        <v>205</v>
      </c>
      <c r="C138" s="2">
        <v>46244</v>
      </c>
      <c r="D138" t="s">
        <v>67</v>
      </c>
      <c r="E138" t="s">
        <v>28</v>
      </c>
      <c r="F138" t="s">
        <v>97</v>
      </c>
      <c r="G138" t="s">
        <v>30</v>
      </c>
      <c r="H138">
        <v>683</v>
      </c>
      <c r="I138">
        <v>680</v>
      </c>
      <c r="J138">
        <v>3</v>
      </c>
      <c r="K138">
        <v>19.260000000000002</v>
      </c>
      <c r="L138">
        <v>21.02</v>
      </c>
      <c r="M138">
        <v>239.26</v>
      </c>
      <c r="N138">
        <f>_xlfn.XLOOKUP(Table13[[#This Row],[Production_Order_ID]],[1]Sheet1!$A$2:$A$391,[1]Sheet1!$F$2:$F$391,"No Match")</f>
        <v>590</v>
      </c>
      <c r="O138" s="3">
        <f>Table13[[#This Row],[Good_Qty]]/Table13[[#This Row],[Planned_Production]]</f>
        <v>1.152542372881356</v>
      </c>
      <c r="P138" t="str">
        <f>IF(Table13[[#This Row],[Good_Qty]]&gt;=Table13[[#This Row],[Planned_Production]],"Met","Not Met")</f>
        <v>Met</v>
      </c>
      <c r="Q138">
        <f>Table13[[#This Row],[Good_Qty]]-Table13[[#This Row],[Planned_Production]]</f>
        <v>90</v>
      </c>
      <c r="R138" s="3">
        <f>IF(Table13[[#This Row],[Actual_Qty]]=0,0,Table13[[#This Row],[Reject_Qty]]/Table13[[#This Row],[Actual_Qty]])</f>
        <v>4.3923865300146414E-3</v>
      </c>
      <c r="S138">
        <v>436.71</v>
      </c>
      <c r="T138">
        <f>(Table13[[#This Row],[Ideal_Cycle_Time_sec]]*Table13[[#This Row],[Actual_Qty]])/(Table13[[#This Row],[Operational_Time_min]]*60)</f>
        <v>0.50203338599986269</v>
      </c>
      <c r="U138">
        <f>Table13[[#This Row],[Good_Qty]]/Table13[[#This Row],[Actual_Qty]]</f>
        <v>0.99560761346998539</v>
      </c>
      <c r="V138" t="str">
        <f>IF(OR(Table13[[#This Row],[Performance_%]]&gt;=1,Table13[[#This Row],[Performance_%]]&lt;=0),"Error","OK")</f>
        <v>OK</v>
      </c>
      <c r="W138" t="str">
        <f>IF(OR(Table13[[#This Row],[Quality_%]]&gt;=1,Table13[[#This Row],[Quality_%]]&lt;=0),"Error","OK")</f>
        <v>OK</v>
      </c>
      <c r="X138">
        <f>Table13[[#This Row],[Performance_%]]*Table13[[#This Row],[Quality_%]]*[2]Availability_KPI!K138</f>
        <v>0.48506666666666676</v>
      </c>
      <c r="Y138" t="str">
        <f>IF(OR(Table13[[#This Row],[OEE_%]]&gt;1,Table13[[#This Row],[OEE_%]]&lt;0),"Error","OK")</f>
        <v>OK</v>
      </c>
    </row>
    <row r="139" spans="1:25" x14ac:dyDescent="0.2">
      <c r="A139" t="s">
        <v>206</v>
      </c>
      <c r="B139" t="s">
        <v>205</v>
      </c>
      <c r="C139" s="2">
        <v>46244</v>
      </c>
      <c r="D139" t="s">
        <v>67</v>
      </c>
      <c r="E139" t="s">
        <v>32</v>
      </c>
      <c r="F139" t="s">
        <v>97</v>
      </c>
      <c r="G139" t="s">
        <v>39</v>
      </c>
      <c r="H139">
        <v>694</v>
      </c>
      <c r="I139">
        <v>690</v>
      </c>
      <c r="J139">
        <v>4</v>
      </c>
      <c r="K139">
        <v>21.4</v>
      </c>
      <c r="L139">
        <v>23.53</v>
      </c>
      <c r="M139">
        <v>272.12</v>
      </c>
      <c r="N139">
        <f>_xlfn.XLOOKUP(Table13[[#This Row],[Production_Order_ID]],[1]Sheet1!$A$2:$A$391,[1]Sheet1!$F$2:$F$391,"No Match")</f>
        <v>590</v>
      </c>
      <c r="O139" s="3">
        <f>Table13[[#This Row],[Good_Qty]]/Table13[[#This Row],[Planned_Production]]</f>
        <v>1.1694915254237288</v>
      </c>
      <c r="P139" t="str">
        <f>IF(Table13[[#This Row],[Good_Qty]]&gt;=Table13[[#This Row],[Planned_Production]],"Met","Not Met")</f>
        <v>Met</v>
      </c>
      <c r="Q139">
        <f>Table13[[#This Row],[Good_Qty]]-Table13[[#This Row],[Planned_Production]]</f>
        <v>100</v>
      </c>
      <c r="R139" s="3">
        <f>IF(Table13[[#This Row],[Actual_Qty]]=0,0,Table13[[#This Row],[Reject_Qty]]/Table13[[#This Row],[Actual_Qty]])</f>
        <v>5.763688760806916E-3</v>
      </c>
      <c r="S139">
        <v>436.38</v>
      </c>
      <c r="T139">
        <f>(Table13[[#This Row],[Ideal_Cycle_Time_sec]]*Table13[[#This Row],[Actual_Qty]])/(Table13[[#This Row],[Operational_Time_min]]*60)</f>
        <v>0.56722734008585785</v>
      </c>
      <c r="U139">
        <f>Table13[[#This Row],[Good_Qty]]/Table13[[#This Row],[Actual_Qty]]</f>
        <v>0.99423631123919309</v>
      </c>
      <c r="V139" t="str">
        <f>IF(OR(Table13[[#This Row],[Performance_%]]&gt;=1,Table13[[#This Row],[Performance_%]]&lt;=0),"Error","OK")</f>
        <v>OK</v>
      </c>
      <c r="W139" t="str">
        <f>IF(OR(Table13[[#This Row],[Quality_%]]&gt;=1,Table13[[#This Row],[Quality_%]]&lt;=0),"Error","OK")</f>
        <v>OK</v>
      </c>
      <c r="X139">
        <f>Table13[[#This Row],[Performance_%]]*Table13[[#This Row],[Quality_%]]*[2]Availability_KPI!K139</f>
        <v>0.54688888888888887</v>
      </c>
      <c r="Y139" t="str">
        <f>IF(OR(Table13[[#This Row],[OEE_%]]&gt;1,Table13[[#This Row],[OEE_%]]&lt;0),"Error","OK")</f>
        <v>OK</v>
      </c>
    </row>
    <row r="140" spans="1:25" x14ac:dyDescent="0.2">
      <c r="A140" t="s">
        <v>207</v>
      </c>
      <c r="B140" t="s">
        <v>205</v>
      </c>
      <c r="C140" s="2">
        <v>46244</v>
      </c>
      <c r="D140" t="s">
        <v>67</v>
      </c>
      <c r="E140" t="s">
        <v>35</v>
      </c>
      <c r="F140" t="s">
        <v>97</v>
      </c>
      <c r="G140" t="s">
        <v>33</v>
      </c>
      <c r="H140">
        <v>681</v>
      </c>
      <c r="I140">
        <v>675</v>
      </c>
      <c r="J140">
        <v>6</v>
      </c>
      <c r="K140">
        <v>23.54</v>
      </c>
      <c r="L140">
        <v>25.27</v>
      </c>
      <c r="M140">
        <v>286.79000000000002</v>
      </c>
      <c r="N140">
        <f>_xlfn.XLOOKUP(Table13[[#This Row],[Production_Order_ID]],[1]Sheet1!$A$2:$A$391,[1]Sheet1!$F$2:$F$391,"No Match")</f>
        <v>590</v>
      </c>
      <c r="O140" s="3">
        <f>Table13[[#This Row],[Good_Qty]]/Table13[[#This Row],[Planned_Production]]</f>
        <v>1.1440677966101696</v>
      </c>
      <c r="P140" t="str">
        <f>IF(Table13[[#This Row],[Good_Qty]]&gt;=Table13[[#This Row],[Planned_Production]],"Met","Not Met")</f>
        <v>Met</v>
      </c>
      <c r="Q140">
        <f>Table13[[#This Row],[Good_Qty]]-Table13[[#This Row],[Planned_Production]]</f>
        <v>85</v>
      </c>
      <c r="R140" s="3">
        <f>IF(Table13[[#This Row],[Actual_Qty]]=0,0,Table13[[#This Row],[Reject_Qty]]/Table13[[#This Row],[Actual_Qty]])</f>
        <v>8.8105726872246704E-3</v>
      </c>
      <c r="S140">
        <v>431.39</v>
      </c>
      <c r="T140">
        <f>(Table13[[#This Row],[Ideal_Cycle_Time_sec]]*Table13[[#This Row],[Actual_Qty]])/(Table13[[#This Row],[Operational_Time_min]]*60)</f>
        <v>0.61934444470200978</v>
      </c>
      <c r="U140">
        <f>Table13[[#This Row],[Good_Qty]]/Table13[[#This Row],[Actual_Qty]]</f>
        <v>0.99118942731277537</v>
      </c>
      <c r="V140" t="str">
        <f>IF(OR(Table13[[#This Row],[Performance_%]]&gt;=1,Table13[[#This Row],[Performance_%]]&lt;=0),"Error","OK")</f>
        <v>OK</v>
      </c>
      <c r="W140" t="str">
        <f>IF(OR(Table13[[#This Row],[Quality_%]]&gt;=1,Table13[[#This Row],[Quality_%]]&lt;=0),"Error","OK")</f>
        <v>OK</v>
      </c>
      <c r="X140">
        <f>Table13[[#This Row],[Performance_%]]*Table13[[#This Row],[Quality_%]]*[2]Availability_KPI!K140</f>
        <v>0.58849999999999991</v>
      </c>
      <c r="Y140" t="str">
        <f>IF(OR(Table13[[#This Row],[OEE_%]]&gt;1,Table13[[#This Row],[OEE_%]]&lt;0),"Error","OK")</f>
        <v>OK</v>
      </c>
    </row>
    <row r="141" spans="1:25" x14ac:dyDescent="0.2">
      <c r="A141" t="s">
        <v>208</v>
      </c>
      <c r="B141" t="s">
        <v>205</v>
      </c>
      <c r="C141" s="2">
        <v>46244</v>
      </c>
      <c r="D141" t="s">
        <v>67</v>
      </c>
      <c r="E141" t="s">
        <v>38</v>
      </c>
      <c r="F141" t="s">
        <v>97</v>
      </c>
      <c r="G141" t="s">
        <v>50</v>
      </c>
      <c r="H141">
        <v>679</v>
      </c>
      <c r="I141">
        <v>673</v>
      </c>
      <c r="J141">
        <v>6</v>
      </c>
      <c r="K141">
        <v>21.4</v>
      </c>
      <c r="L141">
        <v>22.21</v>
      </c>
      <c r="M141">
        <v>251.36</v>
      </c>
      <c r="N141">
        <f>_xlfn.XLOOKUP(Table13[[#This Row],[Production_Order_ID]],[1]Sheet1!$A$2:$A$391,[1]Sheet1!$F$2:$F$391,"No Match")</f>
        <v>590</v>
      </c>
      <c r="O141" s="3">
        <f>Table13[[#This Row],[Good_Qty]]/Table13[[#This Row],[Planned_Production]]</f>
        <v>1.1406779661016948</v>
      </c>
      <c r="P141" t="str">
        <f>IF(Table13[[#This Row],[Good_Qty]]&gt;=Table13[[#This Row],[Planned_Production]],"Met","Not Met")</f>
        <v>Met</v>
      </c>
      <c r="Q141">
        <f>Table13[[#This Row],[Good_Qty]]-Table13[[#This Row],[Planned_Production]]</f>
        <v>83</v>
      </c>
      <c r="R141" s="3">
        <f>IF(Table13[[#This Row],[Actual_Qty]]=0,0,Table13[[#This Row],[Reject_Qty]]/Table13[[#This Row],[Actual_Qty]])</f>
        <v>8.836524300441826E-3</v>
      </c>
      <c r="S141">
        <v>438.17</v>
      </c>
      <c r="T141">
        <f>(Table13[[#This Row],[Ideal_Cycle_Time_sec]]*Table13[[#This Row],[Actual_Qty]])/(Table13[[#This Row],[Operational_Time_min]]*60)</f>
        <v>0.55270024571893706</v>
      </c>
      <c r="U141">
        <f>Table13[[#This Row],[Good_Qty]]/Table13[[#This Row],[Actual_Qty]]</f>
        <v>0.99116347569955821</v>
      </c>
      <c r="V141" t="str">
        <f>IF(OR(Table13[[#This Row],[Performance_%]]&gt;=1,Table13[[#This Row],[Performance_%]]&lt;=0),"Error","OK")</f>
        <v>OK</v>
      </c>
      <c r="W141" t="str">
        <f>IF(OR(Table13[[#This Row],[Quality_%]]&gt;=1,Table13[[#This Row],[Quality_%]]&lt;=0),"Error","OK")</f>
        <v>OK</v>
      </c>
      <c r="X141">
        <f>Table13[[#This Row],[Performance_%]]*Table13[[#This Row],[Quality_%]]*[2]Availability_KPI!K141</f>
        <v>0.5334148148148149</v>
      </c>
      <c r="Y141" t="str">
        <f>IF(OR(Table13[[#This Row],[OEE_%]]&gt;1,Table13[[#This Row],[OEE_%]]&lt;0),"Error","OK")</f>
        <v>OK</v>
      </c>
    </row>
    <row r="142" spans="1:25" x14ac:dyDescent="0.2">
      <c r="A142" t="s">
        <v>209</v>
      </c>
      <c r="B142" t="s">
        <v>205</v>
      </c>
      <c r="C142" s="2">
        <v>46244</v>
      </c>
      <c r="D142" t="s">
        <v>67</v>
      </c>
      <c r="E142" t="s">
        <v>41</v>
      </c>
      <c r="F142" t="s">
        <v>97</v>
      </c>
      <c r="G142" t="s">
        <v>71</v>
      </c>
      <c r="H142">
        <v>676</v>
      </c>
      <c r="I142">
        <v>671</v>
      </c>
      <c r="J142">
        <v>5</v>
      </c>
      <c r="K142">
        <v>19.260000000000002</v>
      </c>
      <c r="L142">
        <v>19.39</v>
      </c>
      <c r="M142">
        <v>218.42</v>
      </c>
      <c r="N142">
        <f>_xlfn.XLOOKUP(Table13[[#This Row],[Production_Order_ID]],[1]Sheet1!$A$2:$A$391,[1]Sheet1!$F$2:$F$391,"No Match")</f>
        <v>590</v>
      </c>
      <c r="O142" s="3">
        <f>Table13[[#This Row],[Good_Qty]]/Table13[[#This Row],[Planned_Production]]</f>
        <v>1.1372881355932203</v>
      </c>
      <c r="P142" t="str">
        <f>IF(Table13[[#This Row],[Good_Qty]]&gt;=Table13[[#This Row],[Planned_Production]],"Met","Not Met")</f>
        <v>Met</v>
      </c>
      <c r="Q142">
        <f>Table13[[#This Row],[Good_Qty]]-Table13[[#This Row],[Planned_Production]]</f>
        <v>81</v>
      </c>
      <c r="R142" s="3">
        <f>IF(Table13[[#This Row],[Actual_Qty]]=0,0,Table13[[#This Row],[Reject_Qty]]/Table13[[#This Row],[Actual_Qty]])</f>
        <v>7.3964497041420114E-3</v>
      </c>
      <c r="S142">
        <v>438.21</v>
      </c>
      <c r="T142">
        <f>(Table13[[#This Row],[Ideal_Cycle_Time_sec]]*Table13[[#This Row],[Actual_Qty]])/(Table13[[#This Row],[Operational_Time_min]]*60)</f>
        <v>0.49518723899500244</v>
      </c>
      <c r="U142">
        <f>Table13[[#This Row],[Good_Qty]]/Table13[[#This Row],[Actual_Qty]]</f>
        <v>0.99260355029585801</v>
      </c>
      <c r="V142" t="str">
        <f>IF(OR(Table13[[#This Row],[Performance_%]]&gt;=1,Table13[[#This Row],[Performance_%]]&lt;=0),"Error","OK")</f>
        <v>OK</v>
      </c>
      <c r="W142" t="str">
        <f>IF(OR(Table13[[#This Row],[Quality_%]]&gt;=1,Table13[[#This Row],[Quality_%]]&lt;=0),"Error","OK")</f>
        <v>OK</v>
      </c>
      <c r="X142">
        <f>Table13[[#This Row],[Performance_%]]*Table13[[#This Row],[Quality_%]]*[2]Availability_KPI!K142</f>
        <v>0.47864666666666672</v>
      </c>
      <c r="Y142" t="str">
        <f>IF(OR(Table13[[#This Row],[OEE_%]]&gt;1,Table13[[#This Row],[OEE_%]]&lt;0),"Error","OK")</f>
        <v>OK</v>
      </c>
    </row>
    <row r="143" spans="1:25" x14ac:dyDescent="0.2">
      <c r="A143" t="s">
        <v>210</v>
      </c>
      <c r="B143" t="s">
        <v>205</v>
      </c>
      <c r="C143" s="2">
        <v>46244</v>
      </c>
      <c r="D143" t="s">
        <v>67</v>
      </c>
      <c r="E143" t="s">
        <v>43</v>
      </c>
      <c r="F143" t="s">
        <v>97</v>
      </c>
      <c r="G143" t="s">
        <v>57</v>
      </c>
      <c r="H143">
        <v>668</v>
      </c>
      <c r="I143">
        <v>658</v>
      </c>
      <c r="J143">
        <v>10</v>
      </c>
      <c r="K143">
        <v>34.24</v>
      </c>
      <c r="L143">
        <v>34.99</v>
      </c>
      <c r="M143">
        <v>389.56</v>
      </c>
      <c r="N143">
        <f>_xlfn.XLOOKUP(Table13[[#This Row],[Production_Order_ID]],[1]Sheet1!$A$2:$A$391,[1]Sheet1!$F$2:$F$391,"No Match")</f>
        <v>590</v>
      </c>
      <c r="O143" s="3">
        <f>Table13[[#This Row],[Good_Qty]]/Table13[[#This Row],[Planned_Production]]</f>
        <v>1.1152542372881356</v>
      </c>
      <c r="P143" t="str">
        <f>IF(Table13[[#This Row],[Good_Qty]]&gt;=Table13[[#This Row],[Planned_Production]],"Met","Not Met")</f>
        <v>Met</v>
      </c>
      <c r="Q143">
        <f>Table13[[#This Row],[Good_Qty]]-Table13[[#This Row],[Planned_Production]]</f>
        <v>68</v>
      </c>
      <c r="R143" s="3">
        <f>IF(Table13[[#This Row],[Actual_Qty]]=0,0,Table13[[#This Row],[Reject_Qty]]/Table13[[#This Row],[Actual_Qty]])</f>
        <v>1.4970059880239521E-2</v>
      </c>
      <c r="S143">
        <v>418.05</v>
      </c>
      <c r="T143">
        <f>(Table13[[#This Row],[Ideal_Cycle_Time_sec]]*Table13[[#This Row],[Actual_Qty]])/(Table13[[#This Row],[Operational_Time_min]]*60)</f>
        <v>0.91186540684926043</v>
      </c>
      <c r="U143">
        <f>Table13[[#This Row],[Good_Qty]]/Table13[[#This Row],[Actual_Qty]]</f>
        <v>0.98502994011976053</v>
      </c>
      <c r="V143" t="str">
        <f>IF(OR(Table13[[#This Row],[Performance_%]]&gt;=1,Table13[[#This Row],[Performance_%]]&lt;=0),"Error","OK")</f>
        <v>OK</v>
      </c>
      <c r="W143" t="str">
        <f>IF(OR(Table13[[#This Row],[Quality_%]]&gt;=1,Table13[[#This Row],[Quality_%]]&lt;=0),"Error","OK")</f>
        <v>OK</v>
      </c>
      <c r="X143">
        <f>Table13[[#This Row],[Performance_%]]*Table13[[#This Row],[Quality_%]]*[2]Availability_KPI!K143</f>
        <v>0.83444148148148145</v>
      </c>
      <c r="Y143" t="str">
        <f>IF(OR(Table13[[#This Row],[OEE_%]]&gt;1,Table13[[#This Row],[OEE_%]]&lt;0),"Error","OK")</f>
        <v>OK</v>
      </c>
    </row>
    <row r="144" spans="1:25" x14ac:dyDescent="0.2">
      <c r="A144" t="s">
        <v>211</v>
      </c>
      <c r="B144" t="s">
        <v>205</v>
      </c>
      <c r="C144" s="2">
        <v>46244</v>
      </c>
      <c r="D144" t="s">
        <v>67</v>
      </c>
      <c r="E144" t="s">
        <v>46</v>
      </c>
      <c r="F144" t="s">
        <v>97</v>
      </c>
      <c r="G144" t="s">
        <v>57</v>
      </c>
      <c r="H144">
        <v>680</v>
      </c>
      <c r="I144">
        <v>671</v>
      </c>
      <c r="J144">
        <v>9</v>
      </c>
      <c r="K144">
        <v>26.75</v>
      </c>
      <c r="L144">
        <v>28.84</v>
      </c>
      <c r="M144">
        <v>326.83</v>
      </c>
      <c r="N144">
        <f>_xlfn.XLOOKUP(Table13[[#This Row],[Production_Order_ID]],[1]Sheet1!$A$2:$A$391,[1]Sheet1!$F$2:$F$391,"No Match")</f>
        <v>590</v>
      </c>
      <c r="O144" s="3">
        <f>Table13[[#This Row],[Good_Qty]]/Table13[[#This Row],[Planned_Production]]</f>
        <v>1.1372881355932203</v>
      </c>
      <c r="P144" t="str">
        <f>IF(Table13[[#This Row],[Good_Qty]]&gt;=Table13[[#This Row],[Planned_Production]],"Met","Not Met")</f>
        <v>Met</v>
      </c>
      <c r="Q144">
        <f>Table13[[#This Row],[Good_Qty]]-Table13[[#This Row],[Planned_Production]]</f>
        <v>81</v>
      </c>
      <c r="R144" s="3">
        <f>IF(Table13[[#This Row],[Actual_Qty]]=0,0,Table13[[#This Row],[Reject_Qty]]/Table13[[#This Row],[Actual_Qty]])</f>
        <v>1.3235294117647059E-2</v>
      </c>
      <c r="S144">
        <v>429.16</v>
      </c>
      <c r="T144">
        <f>(Table13[[#This Row],[Ideal_Cycle_Time_sec]]*Table13[[#This Row],[Actual_Qty]])/(Table13[[#This Row],[Operational_Time_min]]*60)</f>
        <v>0.70641874048528908</v>
      </c>
      <c r="U144">
        <f>Table13[[#This Row],[Good_Qty]]/Table13[[#This Row],[Actual_Qty]]</f>
        <v>0.98676470588235299</v>
      </c>
      <c r="V144" t="str">
        <f>IF(OR(Table13[[#This Row],[Performance_%]]&gt;=1,Table13[[#This Row],[Performance_%]]&lt;=0),"Error","OK")</f>
        <v>OK</v>
      </c>
      <c r="W144" t="str">
        <f>IF(OR(Table13[[#This Row],[Quality_%]]&gt;=1,Table13[[#This Row],[Quality_%]]&lt;=0),"Error","OK")</f>
        <v>OK</v>
      </c>
      <c r="X144">
        <f>Table13[[#This Row],[Performance_%]]*Table13[[#This Row],[Quality_%]]*[2]Availability_KPI!K144</f>
        <v>0.66478703703703701</v>
      </c>
      <c r="Y144" t="str">
        <f>IF(OR(Table13[[#This Row],[OEE_%]]&gt;1,Table13[[#This Row],[OEE_%]]&lt;0),"Error","OK")</f>
        <v>OK</v>
      </c>
    </row>
    <row r="145" spans="1:25" x14ac:dyDescent="0.2">
      <c r="A145" t="s">
        <v>212</v>
      </c>
      <c r="B145" t="s">
        <v>205</v>
      </c>
      <c r="C145" s="2">
        <v>46244</v>
      </c>
      <c r="D145" t="s">
        <v>67</v>
      </c>
      <c r="E145" t="s">
        <v>49</v>
      </c>
      <c r="F145" t="s">
        <v>97</v>
      </c>
      <c r="G145" t="s">
        <v>39</v>
      </c>
      <c r="H145">
        <v>679</v>
      </c>
      <c r="I145">
        <v>675</v>
      </c>
      <c r="J145">
        <v>4</v>
      </c>
      <c r="K145">
        <v>21.4</v>
      </c>
      <c r="L145">
        <v>22.47</v>
      </c>
      <c r="M145">
        <v>254.31</v>
      </c>
      <c r="N145">
        <f>_xlfn.XLOOKUP(Table13[[#This Row],[Production_Order_ID]],[1]Sheet1!$A$2:$A$391,[1]Sheet1!$F$2:$F$391,"No Match")</f>
        <v>590</v>
      </c>
      <c r="O145" s="3">
        <f>Table13[[#This Row],[Good_Qty]]/Table13[[#This Row],[Planned_Production]]</f>
        <v>1.1440677966101696</v>
      </c>
      <c r="P145" t="str">
        <f>IF(Table13[[#This Row],[Good_Qty]]&gt;=Table13[[#This Row],[Planned_Production]],"Met","Not Met")</f>
        <v>Met</v>
      </c>
      <c r="Q145">
        <f>Table13[[#This Row],[Good_Qty]]-Table13[[#This Row],[Planned_Production]]</f>
        <v>85</v>
      </c>
      <c r="R145" s="3">
        <f>IF(Table13[[#This Row],[Actual_Qty]]=0,0,Table13[[#This Row],[Reject_Qty]]/Table13[[#This Row],[Actual_Qty]])</f>
        <v>5.8910162002945507E-3</v>
      </c>
      <c r="S145">
        <v>440.64</v>
      </c>
      <c r="T145">
        <f>(Table13[[#This Row],[Ideal_Cycle_Time_sec]]*Table13[[#This Row],[Actual_Qty]])/(Table13[[#This Row],[Operational_Time_min]]*60)</f>
        <v>0.54960209392398929</v>
      </c>
      <c r="U145">
        <f>Table13[[#This Row],[Good_Qty]]/Table13[[#This Row],[Actual_Qty]]</f>
        <v>0.99410898379970547</v>
      </c>
      <c r="V145" t="str">
        <f>IF(OR(Table13[[#This Row],[Performance_%]]&gt;=1,Table13[[#This Row],[Performance_%]]&lt;=0),"Error","OK")</f>
        <v>OK</v>
      </c>
      <c r="W145" t="str">
        <f>IF(OR(Table13[[#This Row],[Quality_%]]&gt;=1,Table13[[#This Row],[Quality_%]]&lt;=0),"Error","OK")</f>
        <v>OK</v>
      </c>
      <c r="X145">
        <f>Table13[[#This Row],[Performance_%]]*Table13[[#This Row],[Quality_%]]*[2]Availability_KPI!K145</f>
        <v>0.53499999999999992</v>
      </c>
      <c r="Y145" t="str">
        <f>IF(OR(Table13[[#This Row],[OEE_%]]&gt;1,Table13[[#This Row],[OEE_%]]&lt;0),"Error","OK")</f>
        <v>OK</v>
      </c>
    </row>
    <row r="146" spans="1:25" x14ac:dyDescent="0.2">
      <c r="A146" t="s">
        <v>213</v>
      </c>
      <c r="B146" t="s">
        <v>214</v>
      </c>
      <c r="C146" s="2">
        <v>46245</v>
      </c>
      <c r="D146" t="s">
        <v>27</v>
      </c>
      <c r="E146" t="s">
        <v>28</v>
      </c>
      <c r="F146" t="s">
        <v>54</v>
      </c>
      <c r="G146" t="s">
        <v>61</v>
      </c>
      <c r="H146">
        <v>665</v>
      </c>
      <c r="I146">
        <v>663</v>
      </c>
      <c r="J146">
        <v>2</v>
      </c>
      <c r="K146">
        <v>18</v>
      </c>
      <c r="L146">
        <v>18.850000000000001</v>
      </c>
      <c r="M146">
        <v>208.92</v>
      </c>
      <c r="N146">
        <f>_xlfn.XLOOKUP(Table13[[#This Row],[Production_Order_ID]],[1]Sheet1!$A$2:$A$391,[1]Sheet1!$F$2:$F$391,"No Match")</f>
        <v>540</v>
      </c>
      <c r="O146" s="3">
        <f>Table13[[#This Row],[Good_Qty]]/Table13[[#This Row],[Planned_Production]]</f>
        <v>1.2277777777777779</v>
      </c>
      <c r="P146" t="str">
        <f>IF(Table13[[#This Row],[Good_Qty]]&gt;=Table13[[#This Row],[Planned_Production]],"Met","Not Met")</f>
        <v>Met</v>
      </c>
      <c r="Q146">
        <f>Table13[[#This Row],[Good_Qty]]-Table13[[#This Row],[Planned_Production]]</f>
        <v>123</v>
      </c>
      <c r="R146" s="3">
        <f>IF(Table13[[#This Row],[Actual_Qty]]=0,0,Table13[[#This Row],[Reject_Qty]]/Table13[[#This Row],[Actual_Qty]])</f>
        <v>3.0075187969924814E-3</v>
      </c>
      <c r="S146">
        <v>440.28</v>
      </c>
      <c r="T146">
        <f>(Table13[[#This Row],[Ideal_Cycle_Time_sec]]*Table13[[#This Row],[Actual_Qty]])/(Table13[[#This Row],[Operational_Time_min]]*60)</f>
        <v>0.45312074134641595</v>
      </c>
      <c r="U146">
        <f>Table13[[#This Row],[Good_Qty]]/Table13[[#This Row],[Actual_Qty]]</f>
        <v>0.99699248120300754</v>
      </c>
      <c r="V146" t="str">
        <f>IF(OR(Table13[[#This Row],[Performance_%]]&gt;=1,Table13[[#This Row],[Performance_%]]&lt;=0),"Error","OK")</f>
        <v>OK</v>
      </c>
      <c r="W146" t="str">
        <f>IF(OR(Table13[[#This Row],[Quality_%]]&gt;=1,Table13[[#This Row],[Quality_%]]&lt;=0),"Error","OK")</f>
        <v>OK</v>
      </c>
      <c r="X146">
        <f>Table13[[#This Row],[Performance_%]]*Table13[[#This Row],[Quality_%]]*[2]Availability_KPI!K146</f>
        <v>0.442</v>
      </c>
      <c r="Y146" t="str">
        <f>IF(OR(Table13[[#This Row],[OEE_%]]&gt;1,Table13[[#This Row],[OEE_%]]&lt;0),"Error","OK")</f>
        <v>OK</v>
      </c>
    </row>
    <row r="147" spans="1:25" x14ac:dyDescent="0.2">
      <c r="A147" t="s">
        <v>215</v>
      </c>
      <c r="B147" t="s">
        <v>214</v>
      </c>
      <c r="C147" s="2">
        <v>46245</v>
      </c>
      <c r="D147" t="s">
        <v>27</v>
      </c>
      <c r="E147" t="s">
        <v>32</v>
      </c>
      <c r="F147" t="s">
        <v>54</v>
      </c>
      <c r="G147" t="s">
        <v>55</v>
      </c>
      <c r="H147">
        <v>669</v>
      </c>
      <c r="I147">
        <v>664</v>
      </c>
      <c r="J147">
        <v>5</v>
      </c>
      <c r="K147">
        <v>20</v>
      </c>
      <c r="L147">
        <v>21.38</v>
      </c>
      <c r="M147">
        <v>238.33</v>
      </c>
      <c r="N147">
        <f>_xlfn.XLOOKUP(Table13[[#This Row],[Production_Order_ID]],[1]Sheet1!$A$2:$A$391,[1]Sheet1!$F$2:$F$391,"No Match")</f>
        <v>540</v>
      </c>
      <c r="O147" s="3">
        <f>Table13[[#This Row],[Good_Qty]]/Table13[[#This Row],[Planned_Production]]</f>
        <v>1.2296296296296296</v>
      </c>
      <c r="P147" t="str">
        <f>IF(Table13[[#This Row],[Good_Qty]]&gt;=Table13[[#This Row],[Planned_Production]],"Met","Not Met")</f>
        <v>Met</v>
      </c>
      <c r="Q147">
        <f>Table13[[#This Row],[Good_Qty]]-Table13[[#This Row],[Planned_Production]]</f>
        <v>124</v>
      </c>
      <c r="R147" s="3">
        <f>IF(Table13[[#This Row],[Actual_Qty]]=0,0,Table13[[#This Row],[Reject_Qty]]/Table13[[#This Row],[Actual_Qty]])</f>
        <v>7.4738415545590429E-3</v>
      </c>
      <c r="S147">
        <v>434.35</v>
      </c>
      <c r="T147">
        <f>(Table13[[#This Row],[Ideal_Cycle_Time_sec]]*Table13[[#This Row],[Actual_Qty]])/(Table13[[#This Row],[Operational_Time_min]]*60)</f>
        <v>0.51341084378957058</v>
      </c>
      <c r="U147">
        <f>Table13[[#This Row],[Good_Qty]]/Table13[[#This Row],[Actual_Qty]]</f>
        <v>0.99252615844544101</v>
      </c>
      <c r="V147" t="str">
        <f>IF(OR(Table13[[#This Row],[Performance_%]]&gt;=1,Table13[[#This Row],[Performance_%]]&lt;=0),"Error","OK")</f>
        <v>OK</v>
      </c>
      <c r="W147" t="str">
        <f>IF(OR(Table13[[#This Row],[Quality_%]]&gt;=1,Table13[[#This Row],[Quality_%]]&lt;=0),"Error","OK")</f>
        <v>OK</v>
      </c>
      <c r="X147">
        <f>Table13[[#This Row],[Performance_%]]*Table13[[#This Row],[Quality_%]]*[2]Availability_KPI!K147</f>
        <v>0.49185185185185182</v>
      </c>
      <c r="Y147" t="str">
        <f>IF(OR(Table13[[#This Row],[OEE_%]]&gt;1,Table13[[#This Row],[OEE_%]]&lt;0),"Error","OK")</f>
        <v>OK</v>
      </c>
    </row>
    <row r="148" spans="1:25" x14ac:dyDescent="0.2">
      <c r="A148" t="s">
        <v>216</v>
      </c>
      <c r="B148" t="s">
        <v>214</v>
      </c>
      <c r="C148" s="2">
        <v>46245</v>
      </c>
      <c r="D148" t="s">
        <v>27</v>
      </c>
      <c r="E148" t="s">
        <v>35</v>
      </c>
      <c r="F148" t="s">
        <v>54</v>
      </c>
      <c r="G148" t="s">
        <v>47</v>
      </c>
      <c r="H148">
        <v>676</v>
      </c>
      <c r="I148">
        <v>671</v>
      </c>
      <c r="J148">
        <v>5</v>
      </c>
      <c r="K148">
        <v>22</v>
      </c>
      <c r="L148">
        <v>23.94</v>
      </c>
      <c r="M148">
        <v>269.75</v>
      </c>
      <c r="N148">
        <f>_xlfn.XLOOKUP(Table13[[#This Row],[Production_Order_ID]],[1]Sheet1!$A$2:$A$391,[1]Sheet1!$F$2:$F$391,"No Match")</f>
        <v>540</v>
      </c>
      <c r="O148" s="3">
        <f>Table13[[#This Row],[Good_Qty]]/Table13[[#This Row],[Planned_Production]]</f>
        <v>1.2425925925925927</v>
      </c>
      <c r="P148" t="str">
        <f>IF(Table13[[#This Row],[Good_Qty]]&gt;=Table13[[#This Row],[Planned_Production]],"Met","Not Met")</f>
        <v>Met</v>
      </c>
      <c r="Q148">
        <f>Table13[[#This Row],[Good_Qty]]-Table13[[#This Row],[Planned_Production]]</f>
        <v>131</v>
      </c>
      <c r="R148" s="3">
        <f>IF(Table13[[#This Row],[Actual_Qty]]=0,0,Table13[[#This Row],[Reject_Qty]]/Table13[[#This Row],[Actual_Qty]])</f>
        <v>7.3964497041420114E-3</v>
      </c>
      <c r="S148">
        <v>432.95</v>
      </c>
      <c r="T148">
        <f>(Table13[[#This Row],[Ideal_Cycle_Time_sec]]*Table13[[#This Row],[Actual_Qty]])/(Table13[[#This Row],[Operational_Time_min]]*60)</f>
        <v>0.5725064480117027</v>
      </c>
      <c r="U148">
        <f>Table13[[#This Row],[Good_Qty]]/Table13[[#This Row],[Actual_Qty]]</f>
        <v>0.99260355029585801</v>
      </c>
      <c r="V148" t="str">
        <f>IF(OR(Table13[[#This Row],[Performance_%]]&gt;=1,Table13[[#This Row],[Performance_%]]&lt;=0),"Error","OK")</f>
        <v>OK</v>
      </c>
      <c r="W148" t="str">
        <f>IF(OR(Table13[[#This Row],[Quality_%]]&gt;=1,Table13[[#This Row],[Quality_%]]&lt;=0),"Error","OK")</f>
        <v>OK</v>
      </c>
      <c r="X148">
        <f>Table13[[#This Row],[Performance_%]]*Table13[[#This Row],[Quality_%]]*[2]Availability_KPI!K148</f>
        <v>0.54674074074074075</v>
      </c>
      <c r="Y148" t="str">
        <f>IF(OR(Table13[[#This Row],[OEE_%]]&gt;1,Table13[[#This Row],[OEE_%]]&lt;0),"Error","OK")</f>
        <v>OK</v>
      </c>
    </row>
    <row r="149" spans="1:25" x14ac:dyDescent="0.2">
      <c r="A149" t="s">
        <v>217</v>
      </c>
      <c r="B149" t="s">
        <v>214</v>
      </c>
      <c r="C149" s="2">
        <v>46245</v>
      </c>
      <c r="D149" t="s">
        <v>27</v>
      </c>
      <c r="E149" t="s">
        <v>38</v>
      </c>
      <c r="F149" t="s">
        <v>54</v>
      </c>
      <c r="G149" t="s">
        <v>55</v>
      </c>
      <c r="H149">
        <v>678</v>
      </c>
      <c r="I149">
        <v>674</v>
      </c>
      <c r="J149">
        <v>4</v>
      </c>
      <c r="K149">
        <v>20</v>
      </c>
      <c r="L149">
        <v>21.01</v>
      </c>
      <c r="M149">
        <v>237.43</v>
      </c>
      <c r="N149">
        <f>_xlfn.XLOOKUP(Table13[[#This Row],[Production_Order_ID]],[1]Sheet1!$A$2:$A$391,[1]Sheet1!$F$2:$F$391,"No Match")</f>
        <v>540</v>
      </c>
      <c r="O149" s="3">
        <f>Table13[[#This Row],[Good_Qty]]/Table13[[#This Row],[Planned_Production]]</f>
        <v>1.2481481481481482</v>
      </c>
      <c r="P149" t="str">
        <f>IF(Table13[[#This Row],[Good_Qty]]&gt;=Table13[[#This Row],[Planned_Production]],"Met","Not Met")</f>
        <v>Met</v>
      </c>
      <c r="Q149">
        <f>Table13[[#This Row],[Good_Qty]]-Table13[[#This Row],[Planned_Production]]</f>
        <v>134</v>
      </c>
      <c r="R149" s="3">
        <f>IF(Table13[[#This Row],[Actual_Qty]]=0,0,Table13[[#This Row],[Reject_Qty]]/Table13[[#This Row],[Actual_Qty]])</f>
        <v>5.8997050147492625E-3</v>
      </c>
      <c r="S149">
        <v>439.21</v>
      </c>
      <c r="T149">
        <f>(Table13[[#This Row],[Ideal_Cycle_Time_sec]]*Table13[[#This Row],[Actual_Qty]])/(Table13[[#This Row],[Operational_Time_min]]*60)</f>
        <v>0.51456023314587562</v>
      </c>
      <c r="U149">
        <f>Table13[[#This Row],[Good_Qty]]/Table13[[#This Row],[Actual_Qty]]</f>
        <v>0.99410029498525077</v>
      </c>
      <c r="V149" t="str">
        <f>IF(OR(Table13[[#This Row],[Performance_%]]&gt;=1,Table13[[#This Row],[Performance_%]]&lt;=0),"Error","OK")</f>
        <v>OK</v>
      </c>
      <c r="W149" t="str">
        <f>IF(OR(Table13[[#This Row],[Quality_%]]&gt;=1,Table13[[#This Row],[Quality_%]]&lt;=0),"Error","OK")</f>
        <v>OK</v>
      </c>
      <c r="X149">
        <f>Table13[[#This Row],[Performance_%]]*Table13[[#This Row],[Quality_%]]*[2]Availability_KPI!K149</f>
        <v>0.49925925925925935</v>
      </c>
      <c r="Y149" t="str">
        <f>IF(OR(Table13[[#This Row],[OEE_%]]&gt;1,Table13[[#This Row],[OEE_%]]&lt;0),"Error","OK")</f>
        <v>OK</v>
      </c>
    </row>
    <row r="150" spans="1:25" x14ac:dyDescent="0.2">
      <c r="A150" t="s">
        <v>218</v>
      </c>
      <c r="B150" t="s">
        <v>214</v>
      </c>
      <c r="C150" s="2">
        <v>46245</v>
      </c>
      <c r="D150" t="s">
        <v>27</v>
      </c>
      <c r="E150" t="s">
        <v>41</v>
      </c>
      <c r="F150" t="s">
        <v>54</v>
      </c>
      <c r="G150" t="s">
        <v>30</v>
      </c>
      <c r="H150">
        <v>667</v>
      </c>
      <c r="I150">
        <v>662</v>
      </c>
      <c r="J150">
        <v>5</v>
      </c>
      <c r="K150">
        <v>18</v>
      </c>
      <c r="L150">
        <v>19.309999999999999</v>
      </c>
      <c r="M150">
        <v>214.65</v>
      </c>
      <c r="N150">
        <f>_xlfn.XLOOKUP(Table13[[#This Row],[Production_Order_ID]],[1]Sheet1!$A$2:$A$391,[1]Sheet1!$F$2:$F$391,"No Match")</f>
        <v>540</v>
      </c>
      <c r="O150" s="3">
        <f>Table13[[#This Row],[Good_Qty]]/Table13[[#This Row],[Planned_Production]]</f>
        <v>1.2259259259259259</v>
      </c>
      <c r="P150" t="str">
        <f>IF(Table13[[#This Row],[Good_Qty]]&gt;=Table13[[#This Row],[Planned_Production]],"Met","Not Met")</f>
        <v>Met</v>
      </c>
      <c r="Q150">
        <f>Table13[[#This Row],[Good_Qty]]-Table13[[#This Row],[Planned_Production]]</f>
        <v>122</v>
      </c>
      <c r="R150" s="3">
        <f>IF(Table13[[#This Row],[Actual_Qty]]=0,0,Table13[[#This Row],[Reject_Qty]]/Table13[[#This Row],[Actual_Qty]])</f>
        <v>7.4962518740629685E-3</v>
      </c>
      <c r="S150">
        <v>440.17</v>
      </c>
      <c r="T150">
        <f>(Table13[[#This Row],[Ideal_Cycle_Time_sec]]*Table13[[#This Row],[Actual_Qty]])/(Table13[[#This Row],[Operational_Time_min]]*60)</f>
        <v>0.45459708748892474</v>
      </c>
      <c r="U150">
        <f>Table13[[#This Row],[Good_Qty]]/Table13[[#This Row],[Actual_Qty]]</f>
        <v>0.992503748125937</v>
      </c>
      <c r="V150" t="str">
        <f>IF(OR(Table13[[#This Row],[Performance_%]]&gt;=1,Table13[[#This Row],[Performance_%]]&lt;=0),"Error","OK")</f>
        <v>OK</v>
      </c>
      <c r="W150" t="str">
        <f>IF(OR(Table13[[#This Row],[Quality_%]]&gt;=1,Table13[[#This Row],[Quality_%]]&lt;=0),"Error","OK")</f>
        <v>OK</v>
      </c>
      <c r="X150">
        <f>Table13[[#This Row],[Performance_%]]*Table13[[#This Row],[Quality_%]]*[2]Availability_KPI!K150</f>
        <v>0.4413333333333333</v>
      </c>
      <c r="Y150" t="str">
        <f>IF(OR(Table13[[#This Row],[OEE_%]]&gt;1,Table13[[#This Row],[OEE_%]]&lt;0),"Error","OK")</f>
        <v>OK</v>
      </c>
    </row>
    <row r="151" spans="1:25" x14ac:dyDescent="0.2">
      <c r="A151" t="s">
        <v>219</v>
      </c>
      <c r="B151" t="s">
        <v>214</v>
      </c>
      <c r="C151" s="2">
        <v>46245</v>
      </c>
      <c r="D151" t="s">
        <v>27</v>
      </c>
      <c r="E151" t="s">
        <v>43</v>
      </c>
      <c r="F151" t="s">
        <v>54</v>
      </c>
      <c r="G151" t="s">
        <v>75</v>
      </c>
      <c r="H151">
        <v>686</v>
      </c>
      <c r="I151">
        <v>679</v>
      </c>
      <c r="J151">
        <v>7</v>
      </c>
      <c r="K151">
        <v>32</v>
      </c>
      <c r="L151">
        <v>34.26</v>
      </c>
      <c r="M151">
        <v>391.67</v>
      </c>
      <c r="N151">
        <f>_xlfn.XLOOKUP(Table13[[#This Row],[Production_Order_ID]],[1]Sheet1!$A$2:$A$391,[1]Sheet1!$F$2:$F$391,"No Match")</f>
        <v>540</v>
      </c>
      <c r="O151" s="3">
        <f>Table13[[#This Row],[Good_Qty]]/Table13[[#This Row],[Planned_Production]]</f>
        <v>1.2574074074074073</v>
      </c>
      <c r="P151" t="str">
        <f>IF(Table13[[#This Row],[Good_Qty]]&gt;=Table13[[#This Row],[Planned_Production]],"Met","Not Met")</f>
        <v>Met</v>
      </c>
      <c r="Q151">
        <f>Table13[[#This Row],[Good_Qty]]-Table13[[#This Row],[Planned_Production]]</f>
        <v>139</v>
      </c>
      <c r="R151" s="3">
        <f>IF(Table13[[#This Row],[Actual_Qty]]=0,0,Table13[[#This Row],[Reject_Qty]]/Table13[[#This Row],[Actual_Qty]])</f>
        <v>1.020408163265306E-2</v>
      </c>
      <c r="S151">
        <v>401.15</v>
      </c>
      <c r="T151">
        <f>(Table13[[#This Row],[Ideal_Cycle_Time_sec]]*Table13[[#This Row],[Actual_Qty]])/(Table13[[#This Row],[Operational_Time_min]]*60)</f>
        <v>0.9120445386181395</v>
      </c>
      <c r="U151">
        <f>Table13[[#This Row],[Good_Qty]]/Table13[[#This Row],[Actual_Qty]]</f>
        <v>0.98979591836734693</v>
      </c>
      <c r="V151" t="str">
        <f>IF(OR(Table13[[#This Row],[Performance_%]]&gt;=1,Table13[[#This Row],[Performance_%]]&lt;=0),"Error","OK")</f>
        <v>OK</v>
      </c>
      <c r="W151" t="str">
        <f>IF(OR(Table13[[#This Row],[Quality_%]]&gt;=1,Table13[[#This Row],[Quality_%]]&lt;=0),"Error","OK")</f>
        <v>OK</v>
      </c>
      <c r="X151">
        <f>Table13[[#This Row],[Performance_%]]*Table13[[#This Row],[Quality_%]]*[2]Availability_KPI!K151</f>
        <v>0.80474074074074065</v>
      </c>
      <c r="Y151" t="str">
        <f>IF(OR(Table13[[#This Row],[OEE_%]]&gt;1,Table13[[#This Row],[OEE_%]]&lt;0),"Error","OK")</f>
        <v>OK</v>
      </c>
    </row>
    <row r="152" spans="1:25" x14ac:dyDescent="0.2">
      <c r="A152" t="s">
        <v>220</v>
      </c>
      <c r="B152" t="s">
        <v>214</v>
      </c>
      <c r="C152" s="2">
        <v>46245</v>
      </c>
      <c r="D152" t="s">
        <v>27</v>
      </c>
      <c r="E152" t="s">
        <v>46</v>
      </c>
      <c r="F152" t="s">
        <v>54</v>
      </c>
      <c r="G152" t="s">
        <v>44</v>
      </c>
      <c r="H152">
        <v>666</v>
      </c>
      <c r="I152">
        <v>659</v>
      </c>
      <c r="J152">
        <v>7</v>
      </c>
      <c r="K152">
        <v>25</v>
      </c>
      <c r="L152">
        <v>25</v>
      </c>
      <c r="M152">
        <v>277.5</v>
      </c>
      <c r="N152">
        <f>_xlfn.XLOOKUP(Table13[[#This Row],[Production_Order_ID]],[1]Sheet1!$A$2:$A$391,[1]Sheet1!$F$2:$F$391,"No Match")</f>
        <v>540</v>
      </c>
      <c r="O152" s="3">
        <f>Table13[[#This Row],[Good_Qty]]/Table13[[#This Row],[Planned_Production]]</f>
        <v>1.2203703703703703</v>
      </c>
      <c r="P152" t="str">
        <f>IF(Table13[[#This Row],[Good_Qty]]&gt;=Table13[[#This Row],[Planned_Production]],"Met","Not Met")</f>
        <v>Met</v>
      </c>
      <c r="Q152">
        <f>Table13[[#This Row],[Good_Qty]]-Table13[[#This Row],[Planned_Production]]</f>
        <v>119</v>
      </c>
      <c r="R152" s="3">
        <f>IF(Table13[[#This Row],[Actual_Qty]]=0,0,Table13[[#This Row],[Reject_Qty]]/Table13[[#This Row],[Actual_Qty]])</f>
        <v>1.0510510510510511E-2</v>
      </c>
      <c r="S152">
        <v>432.85</v>
      </c>
      <c r="T152">
        <f>(Table13[[#This Row],[Ideal_Cycle_Time_sec]]*Table13[[#This Row],[Actual_Qty]])/(Table13[[#This Row],[Operational_Time_min]]*60)</f>
        <v>0.64109968811366524</v>
      </c>
      <c r="U152">
        <f>Table13[[#This Row],[Good_Qty]]/Table13[[#This Row],[Actual_Qty]]</f>
        <v>0.98948948948948945</v>
      </c>
      <c r="V152" t="str">
        <f>IF(OR(Table13[[#This Row],[Performance_%]]&gt;=1,Table13[[#This Row],[Performance_%]]&lt;=0),"Error","OK")</f>
        <v>OK</v>
      </c>
      <c r="W152" t="str">
        <f>IF(OR(Table13[[#This Row],[Quality_%]]&gt;=1,Table13[[#This Row],[Quality_%]]&lt;=0),"Error","OK")</f>
        <v>OK</v>
      </c>
      <c r="X152">
        <f>Table13[[#This Row],[Performance_%]]*Table13[[#This Row],[Quality_%]]*[2]Availability_KPI!K152</f>
        <v>0.61018518518518516</v>
      </c>
      <c r="Y152" t="str">
        <f>IF(OR(Table13[[#This Row],[OEE_%]]&gt;1,Table13[[#This Row],[OEE_%]]&lt;0),"Error","OK")</f>
        <v>OK</v>
      </c>
    </row>
    <row r="153" spans="1:25" x14ac:dyDescent="0.2">
      <c r="A153" t="s">
        <v>221</v>
      </c>
      <c r="B153" t="s">
        <v>214</v>
      </c>
      <c r="C153" s="2">
        <v>46245</v>
      </c>
      <c r="D153" t="s">
        <v>27</v>
      </c>
      <c r="E153" t="s">
        <v>49</v>
      </c>
      <c r="F153" t="s">
        <v>54</v>
      </c>
      <c r="G153" t="s">
        <v>44</v>
      </c>
      <c r="H153">
        <v>681</v>
      </c>
      <c r="I153">
        <v>678</v>
      </c>
      <c r="J153">
        <v>3</v>
      </c>
      <c r="K153">
        <v>20</v>
      </c>
      <c r="L153">
        <v>21.07</v>
      </c>
      <c r="M153">
        <v>239.18</v>
      </c>
      <c r="N153">
        <f>_xlfn.XLOOKUP(Table13[[#This Row],[Production_Order_ID]],[1]Sheet1!$A$2:$A$391,[1]Sheet1!$F$2:$F$391,"No Match")</f>
        <v>540</v>
      </c>
      <c r="O153" s="3">
        <f>Table13[[#This Row],[Good_Qty]]/Table13[[#This Row],[Planned_Production]]</f>
        <v>1.2555555555555555</v>
      </c>
      <c r="P153" t="str">
        <f>IF(Table13[[#This Row],[Good_Qty]]&gt;=Table13[[#This Row],[Planned_Production]],"Met","Not Met")</f>
        <v>Met</v>
      </c>
      <c r="Q153">
        <f>Table13[[#This Row],[Good_Qty]]-Table13[[#This Row],[Planned_Production]]</f>
        <v>138</v>
      </c>
      <c r="R153" s="3">
        <f>IF(Table13[[#This Row],[Actual_Qty]]=0,0,Table13[[#This Row],[Reject_Qty]]/Table13[[#This Row],[Actual_Qty]])</f>
        <v>4.4052863436123352E-3</v>
      </c>
      <c r="S153">
        <v>441.85</v>
      </c>
      <c r="T153">
        <f>(Table13[[#This Row],[Ideal_Cycle_Time_sec]]*Table13[[#This Row],[Actual_Qty]])/(Table13[[#This Row],[Operational_Time_min]]*60)</f>
        <v>0.51374900984496996</v>
      </c>
      <c r="U153">
        <f>Table13[[#This Row],[Good_Qty]]/Table13[[#This Row],[Actual_Qty]]</f>
        <v>0.99559471365638763</v>
      </c>
      <c r="V153" t="str">
        <f>IF(OR(Table13[[#This Row],[Performance_%]]&gt;=1,Table13[[#This Row],[Performance_%]]&lt;=0),"Error","OK")</f>
        <v>OK</v>
      </c>
      <c r="W153" t="str">
        <f>IF(OR(Table13[[#This Row],[Quality_%]]&gt;=1,Table13[[#This Row],[Quality_%]]&lt;=0),"Error","OK")</f>
        <v>OK</v>
      </c>
      <c r="X153">
        <f>Table13[[#This Row],[Performance_%]]*Table13[[#This Row],[Quality_%]]*[2]Availability_KPI!K153</f>
        <v>0.50222222222222224</v>
      </c>
      <c r="Y153" t="str">
        <f>IF(OR(Table13[[#This Row],[OEE_%]]&gt;1,Table13[[#This Row],[OEE_%]]&lt;0),"Error","OK")</f>
        <v>OK</v>
      </c>
    </row>
    <row r="154" spans="1:25" x14ac:dyDescent="0.2">
      <c r="A154" t="s">
        <v>222</v>
      </c>
      <c r="B154" t="s">
        <v>223</v>
      </c>
      <c r="C154" s="2">
        <v>46245</v>
      </c>
      <c r="D154" t="s">
        <v>53</v>
      </c>
      <c r="E154" t="s">
        <v>28</v>
      </c>
      <c r="F154" t="s">
        <v>97</v>
      </c>
      <c r="G154" t="s">
        <v>30</v>
      </c>
      <c r="H154">
        <v>562</v>
      </c>
      <c r="I154">
        <v>559</v>
      </c>
      <c r="J154">
        <v>3</v>
      </c>
      <c r="K154">
        <v>19.260000000000002</v>
      </c>
      <c r="L154">
        <v>19.79</v>
      </c>
      <c r="M154">
        <v>185.35</v>
      </c>
      <c r="N154">
        <f>_xlfn.XLOOKUP(Table13[[#This Row],[Production_Order_ID]],[1]Sheet1!$A$2:$A$391,[1]Sheet1!$F$2:$F$391,"No Match")</f>
        <v>620</v>
      </c>
      <c r="O154" s="3">
        <f>Table13[[#This Row],[Good_Qty]]/Table13[[#This Row],[Planned_Production]]</f>
        <v>0.90161290322580645</v>
      </c>
      <c r="P154" t="str">
        <f>IF(Table13[[#This Row],[Good_Qty]]&gt;=Table13[[#This Row],[Planned_Production]],"Met","Not Met")</f>
        <v>Not Met</v>
      </c>
      <c r="Q154">
        <f>Table13[[#This Row],[Good_Qty]]-Table13[[#This Row],[Planned_Production]]</f>
        <v>-61</v>
      </c>
      <c r="R154" s="3">
        <f>IF(Table13[[#This Row],[Actual_Qty]]=0,0,Table13[[#This Row],[Reject_Qty]]/Table13[[#This Row],[Actual_Qty]])</f>
        <v>5.3380782918149468E-3</v>
      </c>
      <c r="S154">
        <v>443.11</v>
      </c>
      <c r="T154">
        <f>(Table13[[#This Row],[Ideal_Cycle_Time_sec]]*Table13[[#This Row],[Actual_Qty]])/(Table13[[#This Row],[Operational_Time_min]]*60)</f>
        <v>0.40712689851278461</v>
      </c>
      <c r="U154">
        <f>Table13[[#This Row],[Good_Qty]]/Table13[[#This Row],[Actual_Qty]]</f>
        <v>0.99466192170818502</v>
      </c>
      <c r="V154" t="str">
        <f>IF(OR(Table13[[#This Row],[Performance_%]]&gt;=1,Table13[[#This Row],[Performance_%]]&lt;=0),"Error","OK")</f>
        <v>OK</v>
      </c>
      <c r="W154" t="str">
        <f>IF(OR(Table13[[#This Row],[Quality_%]]&gt;=1,Table13[[#This Row],[Quality_%]]&lt;=0),"Error","OK")</f>
        <v>OK</v>
      </c>
      <c r="X154">
        <f>Table13[[#This Row],[Performance_%]]*Table13[[#This Row],[Quality_%]]*[2]Availability_KPI!K154</f>
        <v>0.39875333333333335</v>
      </c>
      <c r="Y154" t="str">
        <f>IF(OR(Table13[[#This Row],[OEE_%]]&gt;1,Table13[[#This Row],[OEE_%]]&lt;0),"Error","OK")</f>
        <v>OK</v>
      </c>
    </row>
    <row r="155" spans="1:25" x14ac:dyDescent="0.2">
      <c r="A155" t="s">
        <v>224</v>
      </c>
      <c r="B155" t="s">
        <v>223</v>
      </c>
      <c r="C155" s="2">
        <v>46245</v>
      </c>
      <c r="D155" t="s">
        <v>53</v>
      </c>
      <c r="E155" t="s">
        <v>32</v>
      </c>
      <c r="F155" t="s">
        <v>97</v>
      </c>
      <c r="G155" t="s">
        <v>39</v>
      </c>
      <c r="H155">
        <v>552</v>
      </c>
      <c r="I155">
        <v>547</v>
      </c>
      <c r="J155">
        <v>5</v>
      </c>
      <c r="K155">
        <v>21.4</v>
      </c>
      <c r="L155">
        <v>22.17</v>
      </c>
      <c r="M155">
        <v>203.97</v>
      </c>
      <c r="N155">
        <f>_xlfn.XLOOKUP(Table13[[#This Row],[Production_Order_ID]],[1]Sheet1!$A$2:$A$391,[1]Sheet1!$F$2:$F$391,"No Match")</f>
        <v>620</v>
      </c>
      <c r="O155" s="3">
        <f>Table13[[#This Row],[Good_Qty]]/Table13[[#This Row],[Planned_Production]]</f>
        <v>0.88225806451612898</v>
      </c>
      <c r="P155" t="str">
        <f>IF(Table13[[#This Row],[Good_Qty]]&gt;=Table13[[#This Row],[Planned_Production]],"Met","Not Met")</f>
        <v>Not Met</v>
      </c>
      <c r="Q155">
        <f>Table13[[#This Row],[Good_Qty]]-Table13[[#This Row],[Planned_Production]]</f>
        <v>-73</v>
      </c>
      <c r="R155" s="3">
        <f>IF(Table13[[#This Row],[Actual_Qty]]=0,0,Table13[[#This Row],[Reject_Qty]]/Table13[[#This Row],[Actual_Qty]])</f>
        <v>9.057971014492754E-3</v>
      </c>
      <c r="S155">
        <v>441.1</v>
      </c>
      <c r="T155">
        <f>(Table13[[#This Row],[Ideal_Cycle_Time_sec]]*Table13[[#This Row],[Actual_Qty]])/(Table13[[#This Row],[Operational_Time_min]]*60)</f>
        <v>0.44633869870777598</v>
      </c>
      <c r="U155">
        <f>Table13[[#This Row],[Good_Qty]]/Table13[[#This Row],[Actual_Qty]]</f>
        <v>0.99094202898550721</v>
      </c>
      <c r="V155" t="str">
        <f>IF(OR(Table13[[#This Row],[Performance_%]]&gt;=1,Table13[[#This Row],[Performance_%]]&lt;=0),"Error","OK")</f>
        <v>OK</v>
      </c>
      <c r="W155" t="str">
        <f>IF(OR(Table13[[#This Row],[Quality_%]]&gt;=1,Table13[[#This Row],[Quality_%]]&lt;=0),"Error","OK")</f>
        <v>OK</v>
      </c>
      <c r="X155">
        <f>Table13[[#This Row],[Performance_%]]*Table13[[#This Row],[Quality_%]]*[2]Availability_KPI!K155</f>
        <v>0.43354814814814813</v>
      </c>
      <c r="Y155" t="str">
        <f>IF(OR(Table13[[#This Row],[OEE_%]]&gt;1,Table13[[#This Row],[OEE_%]]&lt;0),"Error","OK")</f>
        <v>OK</v>
      </c>
    </row>
    <row r="156" spans="1:25" x14ac:dyDescent="0.2">
      <c r="A156" t="s">
        <v>225</v>
      </c>
      <c r="B156" t="s">
        <v>223</v>
      </c>
      <c r="C156" s="2">
        <v>46245</v>
      </c>
      <c r="D156" t="s">
        <v>53</v>
      </c>
      <c r="E156" t="s">
        <v>35</v>
      </c>
      <c r="F156" t="s">
        <v>97</v>
      </c>
      <c r="G156" t="s">
        <v>75</v>
      </c>
      <c r="H156">
        <v>562</v>
      </c>
      <c r="I156">
        <v>557</v>
      </c>
      <c r="J156">
        <v>5</v>
      </c>
      <c r="K156">
        <v>23.54</v>
      </c>
      <c r="L156">
        <v>25.56</v>
      </c>
      <c r="M156">
        <v>239.4</v>
      </c>
      <c r="N156">
        <f>_xlfn.XLOOKUP(Table13[[#This Row],[Production_Order_ID]],[1]Sheet1!$A$2:$A$391,[1]Sheet1!$F$2:$F$391,"No Match")</f>
        <v>620</v>
      </c>
      <c r="O156" s="3">
        <f>Table13[[#This Row],[Good_Qty]]/Table13[[#This Row],[Planned_Production]]</f>
        <v>0.89838709677419359</v>
      </c>
      <c r="P156" t="str">
        <f>IF(Table13[[#This Row],[Good_Qty]]&gt;=Table13[[#This Row],[Planned_Production]],"Met","Not Met")</f>
        <v>Not Met</v>
      </c>
      <c r="Q156">
        <f>Table13[[#This Row],[Good_Qty]]-Table13[[#This Row],[Planned_Production]]</f>
        <v>-63</v>
      </c>
      <c r="R156" s="3">
        <f>IF(Table13[[#This Row],[Actual_Qty]]=0,0,Table13[[#This Row],[Reject_Qty]]/Table13[[#This Row],[Actual_Qty]])</f>
        <v>8.8967971530249119E-3</v>
      </c>
      <c r="S156">
        <v>435.12</v>
      </c>
      <c r="T156">
        <f>(Table13[[#This Row],[Ideal_Cycle_Time_sec]]*Table13[[#This Row],[Actual_Qty]])/(Table13[[#This Row],[Operational_Time_min]]*60)</f>
        <v>0.50673683887969601</v>
      </c>
      <c r="U156">
        <f>Table13[[#This Row],[Good_Qty]]/Table13[[#This Row],[Actual_Qty]]</f>
        <v>0.99110320284697506</v>
      </c>
      <c r="V156" t="str">
        <f>IF(OR(Table13[[#This Row],[Performance_%]]&gt;=1,Table13[[#This Row],[Performance_%]]&lt;=0),"Error","OK")</f>
        <v>OK</v>
      </c>
      <c r="W156" t="str">
        <f>IF(OR(Table13[[#This Row],[Quality_%]]&gt;=1,Table13[[#This Row],[Quality_%]]&lt;=0),"Error","OK")</f>
        <v>OK</v>
      </c>
      <c r="X156">
        <f>Table13[[#This Row],[Performance_%]]*Table13[[#This Row],[Quality_%]]*[2]Availability_KPI!K156</f>
        <v>0.48562148148148143</v>
      </c>
      <c r="Y156" t="str">
        <f>IF(OR(Table13[[#This Row],[OEE_%]]&gt;1,Table13[[#This Row],[OEE_%]]&lt;0),"Error","OK")</f>
        <v>OK</v>
      </c>
    </row>
    <row r="157" spans="1:25" x14ac:dyDescent="0.2">
      <c r="A157" t="s">
        <v>226</v>
      </c>
      <c r="B157" t="s">
        <v>223</v>
      </c>
      <c r="C157" s="2">
        <v>46245</v>
      </c>
      <c r="D157" t="s">
        <v>53</v>
      </c>
      <c r="E157" t="s">
        <v>38</v>
      </c>
      <c r="F157" t="s">
        <v>97</v>
      </c>
      <c r="G157" t="s">
        <v>57</v>
      </c>
      <c r="H157">
        <v>555</v>
      </c>
      <c r="I157">
        <v>551</v>
      </c>
      <c r="J157">
        <v>4</v>
      </c>
      <c r="K157">
        <v>21.4</v>
      </c>
      <c r="L157">
        <v>21.95</v>
      </c>
      <c r="M157">
        <v>203</v>
      </c>
      <c r="N157">
        <f>_xlfn.XLOOKUP(Table13[[#This Row],[Production_Order_ID]],[1]Sheet1!$A$2:$A$391,[1]Sheet1!$F$2:$F$391,"No Match")</f>
        <v>620</v>
      </c>
      <c r="O157" s="3">
        <f>Table13[[#This Row],[Good_Qty]]/Table13[[#This Row],[Planned_Production]]</f>
        <v>0.8887096774193548</v>
      </c>
      <c r="P157" t="str">
        <f>IF(Table13[[#This Row],[Good_Qty]]&gt;=Table13[[#This Row],[Planned_Production]],"Met","Not Met")</f>
        <v>Not Met</v>
      </c>
      <c r="Q157">
        <f>Table13[[#This Row],[Good_Qty]]-Table13[[#This Row],[Planned_Production]]</f>
        <v>-69</v>
      </c>
      <c r="R157" s="3">
        <f>IF(Table13[[#This Row],[Actual_Qty]]=0,0,Table13[[#This Row],[Reject_Qty]]/Table13[[#This Row],[Actual_Qty]])</f>
        <v>7.2072072072072073E-3</v>
      </c>
      <c r="S157">
        <v>437.53</v>
      </c>
      <c r="T157">
        <f>(Table13[[#This Row],[Ideal_Cycle_Time_sec]]*Table13[[#This Row],[Actual_Qty]])/(Table13[[#This Row],[Operational_Time_min]]*60)</f>
        <v>0.45242611935181587</v>
      </c>
      <c r="U157">
        <f>Table13[[#This Row],[Good_Qty]]/Table13[[#This Row],[Actual_Qty]]</f>
        <v>0.99279279279279276</v>
      </c>
      <c r="V157" t="str">
        <f>IF(OR(Table13[[#This Row],[Performance_%]]&gt;=1,Table13[[#This Row],[Performance_%]]&lt;=0),"Error","OK")</f>
        <v>OK</v>
      </c>
      <c r="W157" t="str">
        <f>IF(OR(Table13[[#This Row],[Quality_%]]&gt;=1,Table13[[#This Row],[Quality_%]]&lt;=0),"Error","OK")</f>
        <v>OK</v>
      </c>
      <c r="X157">
        <f>Table13[[#This Row],[Performance_%]]*Table13[[#This Row],[Quality_%]]*[2]Availability_KPI!K157</f>
        <v>0.43671851851851845</v>
      </c>
      <c r="Y157" t="str">
        <f>IF(OR(Table13[[#This Row],[OEE_%]]&gt;1,Table13[[#This Row],[OEE_%]]&lt;0),"Error","OK")</f>
        <v>OK</v>
      </c>
    </row>
    <row r="158" spans="1:25" x14ac:dyDescent="0.2">
      <c r="A158" t="s">
        <v>227</v>
      </c>
      <c r="B158" t="s">
        <v>223</v>
      </c>
      <c r="C158" s="2">
        <v>46245</v>
      </c>
      <c r="D158" t="s">
        <v>53</v>
      </c>
      <c r="E158" t="s">
        <v>41</v>
      </c>
      <c r="F158" t="s">
        <v>97</v>
      </c>
      <c r="G158" t="s">
        <v>30</v>
      </c>
      <c r="H158">
        <v>563</v>
      </c>
      <c r="I158">
        <v>559</v>
      </c>
      <c r="J158">
        <v>4</v>
      </c>
      <c r="K158">
        <v>19.260000000000002</v>
      </c>
      <c r="L158">
        <v>20.420000000000002</v>
      </c>
      <c r="M158">
        <v>191.58</v>
      </c>
      <c r="N158">
        <f>_xlfn.XLOOKUP(Table13[[#This Row],[Production_Order_ID]],[1]Sheet1!$A$2:$A$391,[1]Sheet1!$F$2:$F$391,"No Match")</f>
        <v>620</v>
      </c>
      <c r="O158" s="3">
        <f>Table13[[#This Row],[Good_Qty]]/Table13[[#This Row],[Planned_Production]]</f>
        <v>0.90161290322580645</v>
      </c>
      <c r="P158" t="str">
        <f>IF(Table13[[#This Row],[Good_Qty]]&gt;=Table13[[#This Row],[Planned_Production]],"Met","Not Met")</f>
        <v>Not Met</v>
      </c>
      <c r="Q158">
        <f>Table13[[#This Row],[Good_Qty]]-Table13[[#This Row],[Planned_Production]]</f>
        <v>-61</v>
      </c>
      <c r="R158" s="3">
        <f>IF(Table13[[#This Row],[Actual_Qty]]=0,0,Table13[[#This Row],[Reject_Qty]]/Table13[[#This Row],[Actual_Qty]])</f>
        <v>7.104795737122558E-3</v>
      </c>
      <c r="S158">
        <v>438.01</v>
      </c>
      <c r="T158">
        <f>(Table13[[#This Row],[Ideal_Cycle_Time_sec]]*Table13[[#This Row],[Actual_Qty]])/(Table13[[#This Row],[Operational_Time_min]]*60)</f>
        <v>0.41260016894591456</v>
      </c>
      <c r="U158">
        <f>Table13[[#This Row],[Good_Qty]]/Table13[[#This Row],[Actual_Qty]]</f>
        <v>0.99289520426287747</v>
      </c>
      <c r="V158" t="str">
        <f>IF(OR(Table13[[#This Row],[Performance_%]]&gt;=1,Table13[[#This Row],[Performance_%]]&lt;=0),"Error","OK")</f>
        <v>OK</v>
      </c>
      <c r="W158" t="str">
        <f>IF(OR(Table13[[#This Row],[Quality_%]]&gt;=1,Table13[[#This Row],[Quality_%]]&lt;=0),"Error","OK")</f>
        <v>OK</v>
      </c>
      <c r="X158">
        <f>Table13[[#This Row],[Performance_%]]*Table13[[#This Row],[Quality_%]]*[2]Availability_KPI!K158</f>
        <v>0.39875333333333346</v>
      </c>
      <c r="Y158" t="str">
        <f>IF(OR(Table13[[#This Row],[OEE_%]]&gt;1,Table13[[#This Row],[OEE_%]]&lt;0),"Error","OK")</f>
        <v>OK</v>
      </c>
    </row>
    <row r="159" spans="1:25" x14ac:dyDescent="0.2">
      <c r="A159" t="s">
        <v>228</v>
      </c>
      <c r="B159" t="s">
        <v>223</v>
      </c>
      <c r="C159" s="2">
        <v>46245</v>
      </c>
      <c r="D159" t="s">
        <v>53</v>
      </c>
      <c r="E159" t="s">
        <v>43</v>
      </c>
      <c r="F159" t="s">
        <v>97</v>
      </c>
      <c r="G159" t="s">
        <v>30</v>
      </c>
      <c r="H159">
        <v>558</v>
      </c>
      <c r="I159">
        <v>553</v>
      </c>
      <c r="J159">
        <v>5</v>
      </c>
      <c r="K159">
        <v>34.24</v>
      </c>
      <c r="L159">
        <v>35.96</v>
      </c>
      <c r="M159">
        <v>334.42</v>
      </c>
      <c r="N159">
        <f>_xlfn.XLOOKUP(Table13[[#This Row],[Production_Order_ID]],[1]Sheet1!$A$2:$A$391,[1]Sheet1!$F$2:$F$391,"No Match")</f>
        <v>620</v>
      </c>
      <c r="O159" s="3">
        <f>Table13[[#This Row],[Good_Qty]]/Table13[[#This Row],[Planned_Production]]</f>
        <v>0.89193548387096777</v>
      </c>
      <c r="P159" t="str">
        <f>IF(Table13[[#This Row],[Good_Qty]]&gt;=Table13[[#This Row],[Planned_Production]],"Met","Not Met")</f>
        <v>Not Met</v>
      </c>
      <c r="Q159">
        <f>Table13[[#This Row],[Good_Qty]]-Table13[[#This Row],[Planned_Production]]</f>
        <v>-67</v>
      </c>
      <c r="R159" s="3">
        <f>IF(Table13[[#This Row],[Actual_Qty]]=0,0,Table13[[#This Row],[Reject_Qty]]/Table13[[#This Row],[Actual_Qty]])</f>
        <v>8.9605734767025085E-3</v>
      </c>
      <c r="S159">
        <v>429.56</v>
      </c>
      <c r="T159">
        <f>(Table13[[#This Row],[Ideal_Cycle_Time_sec]]*Table13[[#This Row],[Actual_Qty]])/(Table13[[#This Row],[Operational_Time_min]]*60)</f>
        <v>0.74129807244622414</v>
      </c>
      <c r="U159">
        <f>Table13[[#This Row],[Good_Qty]]/Table13[[#This Row],[Actual_Qty]]</f>
        <v>0.99103942652329746</v>
      </c>
      <c r="V159" t="str">
        <f>IF(OR(Table13[[#This Row],[Performance_%]]&gt;=1,Table13[[#This Row],[Performance_%]]&lt;=0),"Error","OK")</f>
        <v>OK</v>
      </c>
      <c r="W159" t="str">
        <f>IF(OR(Table13[[#This Row],[Quality_%]]&gt;=1,Table13[[#This Row],[Quality_%]]&lt;=0),"Error","OK")</f>
        <v>OK</v>
      </c>
      <c r="X159">
        <f>Table13[[#This Row],[Performance_%]]*Table13[[#This Row],[Quality_%]]*[2]Availability_KPI!K159</f>
        <v>0.70128592592592598</v>
      </c>
      <c r="Y159" t="str">
        <f>IF(OR(Table13[[#This Row],[OEE_%]]&gt;1,Table13[[#This Row],[OEE_%]]&lt;0),"Error","OK")</f>
        <v>OK</v>
      </c>
    </row>
    <row r="160" spans="1:25" x14ac:dyDescent="0.2">
      <c r="A160" t="s">
        <v>229</v>
      </c>
      <c r="B160" t="s">
        <v>223</v>
      </c>
      <c r="C160" s="2">
        <v>46245</v>
      </c>
      <c r="D160" t="s">
        <v>53</v>
      </c>
      <c r="E160" t="s">
        <v>46</v>
      </c>
      <c r="F160" t="s">
        <v>97</v>
      </c>
      <c r="G160" t="s">
        <v>61</v>
      </c>
      <c r="H160">
        <v>555</v>
      </c>
      <c r="I160">
        <v>549</v>
      </c>
      <c r="J160">
        <v>6</v>
      </c>
      <c r="K160">
        <v>26.75</v>
      </c>
      <c r="L160">
        <v>28.21</v>
      </c>
      <c r="M160">
        <v>260.94</v>
      </c>
      <c r="N160">
        <f>_xlfn.XLOOKUP(Table13[[#This Row],[Production_Order_ID]],[1]Sheet1!$A$2:$A$391,[1]Sheet1!$F$2:$F$391,"No Match")</f>
        <v>620</v>
      </c>
      <c r="O160" s="3">
        <f>Table13[[#This Row],[Good_Qty]]/Table13[[#This Row],[Planned_Production]]</f>
        <v>0.88548387096774195</v>
      </c>
      <c r="P160" t="str">
        <f>IF(Table13[[#This Row],[Good_Qty]]&gt;=Table13[[#This Row],[Planned_Production]],"Met","Not Met")</f>
        <v>Not Met</v>
      </c>
      <c r="Q160">
        <f>Table13[[#This Row],[Good_Qty]]-Table13[[#This Row],[Planned_Production]]</f>
        <v>-71</v>
      </c>
      <c r="R160" s="3">
        <f>IF(Table13[[#This Row],[Actual_Qty]]=0,0,Table13[[#This Row],[Reject_Qty]]/Table13[[#This Row],[Actual_Qty]])</f>
        <v>1.0810810810810811E-2</v>
      </c>
      <c r="S160">
        <v>432.04</v>
      </c>
      <c r="T160">
        <f>(Table13[[#This Row],[Ideal_Cycle_Time_sec]]*Table13[[#This Row],[Actual_Qty]])/(Table13[[#This Row],[Operational_Time_min]]*60)</f>
        <v>0.5727189612072956</v>
      </c>
      <c r="U160">
        <f>Table13[[#This Row],[Good_Qty]]/Table13[[#This Row],[Actual_Qty]]</f>
        <v>0.98918918918918919</v>
      </c>
      <c r="V160" t="str">
        <f>IF(OR(Table13[[#This Row],[Performance_%]]&gt;=1,Table13[[#This Row],[Performance_%]]&lt;=0),"Error","OK")</f>
        <v>OK</v>
      </c>
      <c r="W160" t="str">
        <f>IF(OR(Table13[[#This Row],[Quality_%]]&gt;=1,Table13[[#This Row],[Quality_%]]&lt;=0),"Error","OK")</f>
        <v>OK</v>
      </c>
      <c r="X160">
        <f>Table13[[#This Row],[Performance_%]]*Table13[[#This Row],[Quality_%]]*[2]Availability_KPI!K160</f>
        <v>0.54391666666666671</v>
      </c>
      <c r="Y160" t="str">
        <f>IF(OR(Table13[[#This Row],[OEE_%]]&gt;1,Table13[[#This Row],[OEE_%]]&lt;0),"Error","OK")</f>
        <v>OK</v>
      </c>
    </row>
    <row r="161" spans="1:25" x14ac:dyDescent="0.2">
      <c r="A161" t="s">
        <v>230</v>
      </c>
      <c r="B161" t="s">
        <v>223</v>
      </c>
      <c r="C161" s="2">
        <v>46245</v>
      </c>
      <c r="D161" t="s">
        <v>53</v>
      </c>
      <c r="E161" t="s">
        <v>49</v>
      </c>
      <c r="F161" t="s">
        <v>97</v>
      </c>
      <c r="G161" t="s">
        <v>44</v>
      </c>
      <c r="H161">
        <v>569</v>
      </c>
      <c r="I161">
        <v>566</v>
      </c>
      <c r="J161">
        <v>3</v>
      </c>
      <c r="K161">
        <v>21.4</v>
      </c>
      <c r="L161">
        <v>22.89</v>
      </c>
      <c r="M161">
        <v>217.03</v>
      </c>
      <c r="N161">
        <f>_xlfn.XLOOKUP(Table13[[#This Row],[Production_Order_ID]],[1]Sheet1!$A$2:$A$391,[1]Sheet1!$F$2:$F$391,"No Match")</f>
        <v>620</v>
      </c>
      <c r="O161" s="3">
        <f>Table13[[#This Row],[Good_Qty]]/Table13[[#This Row],[Planned_Production]]</f>
        <v>0.91290322580645167</v>
      </c>
      <c r="P161" t="str">
        <f>IF(Table13[[#This Row],[Good_Qty]]&gt;=Table13[[#This Row],[Planned_Production]],"Met","Not Met")</f>
        <v>Not Met</v>
      </c>
      <c r="Q161">
        <f>Table13[[#This Row],[Good_Qty]]-Table13[[#This Row],[Planned_Production]]</f>
        <v>-54</v>
      </c>
      <c r="R161" s="3">
        <f>IF(Table13[[#This Row],[Actual_Qty]]=0,0,Table13[[#This Row],[Reject_Qty]]/Table13[[#This Row],[Actual_Qty]])</f>
        <v>5.272407732864675E-3</v>
      </c>
      <c r="S161">
        <v>442.98</v>
      </c>
      <c r="T161">
        <f>(Table13[[#This Row],[Ideal_Cycle_Time_sec]]*Table13[[#This Row],[Actual_Qty]])/(Table13[[#This Row],[Operational_Time_min]]*60)</f>
        <v>0.4581320450885667</v>
      </c>
      <c r="U161">
        <f>Table13[[#This Row],[Good_Qty]]/Table13[[#This Row],[Actual_Qty]]</f>
        <v>0.99472759226713536</v>
      </c>
      <c r="V161" t="str">
        <f>IF(OR(Table13[[#This Row],[Performance_%]]&gt;=1,Table13[[#This Row],[Performance_%]]&lt;=0),"Error","OK")</f>
        <v>OK</v>
      </c>
      <c r="W161" t="str">
        <f>IF(OR(Table13[[#This Row],[Quality_%]]&gt;=1,Table13[[#This Row],[Quality_%]]&lt;=0),"Error","OK")</f>
        <v>OK</v>
      </c>
      <c r="X161">
        <f>Table13[[#This Row],[Performance_%]]*Table13[[#This Row],[Quality_%]]*[2]Availability_KPI!K161</f>
        <v>0.44860740740740734</v>
      </c>
      <c r="Y161" t="str">
        <f>IF(OR(Table13[[#This Row],[OEE_%]]&gt;1,Table13[[#This Row],[OEE_%]]&lt;0),"Error","OK")</f>
        <v>OK</v>
      </c>
    </row>
    <row r="162" spans="1:25" x14ac:dyDescent="0.2">
      <c r="A162" t="s">
        <v>231</v>
      </c>
      <c r="B162" t="s">
        <v>232</v>
      </c>
      <c r="C162" s="2">
        <v>46245</v>
      </c>
      <c r="D162" t="s">
        <v>67</v>
      </c>
      <c r="E162" t="s">
        <v>28</v>
      </c>
      <c r="F162" t="s">
        <v>29</v>
      </c>
      <c r="G162" t="s">
        <v>30</v>
      </c>
      <c r="H162">
        <v>559</v>
      </c>
      <c r="I162">
        <v>558</v>
      </c>
      <c r="J162">
        <v>1</v>
      </c>
      <c r="K162">
        <v>19.8</v>
      </c>
      <c r="L162">
        <v>20.92</v>
      </c>
      <c r="M162">
        <v>194.93</v>
      </c>
      <c r="N162">
        <f>_xlfn.XLOOKUP(Table13[[#This Row],[Production_Order_ID]],[1]Sheet1!$A$2:$A$391,[1]Sheet1!$F$2:$F$391,"No Match")</f>
        <v>470</v>
      </c>
      <c r="O162" s="3">
        <f>Table13[[#This Row],[Good_Qty]]/Table13[[#This Row],[Planned_Production]]</f>
        <v>1.1872340425531915</v>
      </c>
      <c r="P162" t="str">
        <f>IF(Table13[[#This Row],[Good_Qty]]&gt;=Table13[[#This Row],[Planned_Production]],"Met","Not Met")</f>
        <v>Met</v>
      </c>
      <c r="Q162">
        <f>Table13[[#This Row],[Good_Qty]]-Table13[[#This Row],[Planned_Production]]</f>
        <v>88</v>
      </c>
      <c r="R162" s="3">
        <f>IF(Table13[[#This Row],[Actual_Qty]]=0,0,Table13[[#This Row],[Reject_Qty]]/Table13[[#This Row],[Actual_Qty]])</f>
        <v>1.7889087656529517E-3</v>
      </c>
      <c r="S162">
        <v>441.09</v>
      </c>
      <c r="T162">
        <f>(Table13[[#This Row],[Ideal_Cycle_Time_sec]]*Table13[[#This Row],[Actual_Qty]])/(Table13[[#This Row],[Operational_Time_min]]*60)</f>
        <v>0.41821396993810794</v>
      </c>
      <c r="U162">
        <f>Table13[[#This Row],[Good_Qty]]/Table13[[#This Row],[Actual_Qty]]</f>
        <v>0.99821109123434704</v>
      </c>
      <c r="V162" t="str">
        <f>IF(OR(Table13[[#This Row],[Performance_%]]&gt;=1,Table13[[#This Row],[Performance_%]]&lt;=0),"Error","OK")</f>
        <v>OK</v>
      </c>
      <c r="W162" t="str">
        <f>IF(OR(Table13[[#This Row],[Quality_%]]&gt;=1,Table13[[#This Row],[Quality_%]]&lt;=0),"Error","OK")</f>
        <v>OK</v>
      </c>
      <c r="X162">
        <f>Table13[[#This Row],[Performance_%]]*Table13[[#This Row],[Quality_%]]*[2]Availability_KPI!K162</f>
        <v>0.40920000000000001</v>
      </c>
      <c r="Y162" t="str">
        <f>IF(OR(Table13[[#This Row],[OEE_%]]&gt;1,Table13[[#This Row],[OEE_%]]&lt;0),"Error","OK")</f>
        <v>OK</v>
      </c>
    </row>
    <row r="163" spans="1:25" x14ac:dyDescent="0.2">
      <c r="A163" t="s">
        <v>233</v>
      </c>
      <c r="B163" t="s">
        <v>232</v>
      </c>
      <c r="C163" s="2">
        <v>46245</v>
      </c>
      <c r="D163" t="s">
        <v>67</v>
      </c>
      <c r="E163" t="s">
        <v>32</v>
      </c>
      <c r="F163" t="s">
        <v>29</v>
      </c>
      <c r="G163" t="s">
        <v>75</v>
      </c>
      <c r="H163">
        <v>543</v>
      </c>
      <c r="I163">
        <v>539</v>
      </c>
      <c r="J163">
        <v>4</v>
      </c>
      <c r="K163">
        <v>22</v>
      </c>
      <c r="L163">
        <v>24.09</v>
      </c>
      <c r="M163">
        <v>218.05</v>
      </c>
      <c r="N163">
        <f>_xlfn.XLOOKUP(Table13[[#This Row],[Production_Order_ID]],[1]Sheet1!$A$2:$A$391,[1]Sheet1!$F$2:$F$391,"No Match")</f>
        <v>470</v>
      </c>
      <c r="O163" s="3">
        <f>Table13[[#This Row],[Good_Qty]]/Table13[[#This Row],[Planned_Production]]</f>
        <v>1.1468085106382979</v>
      </c>
      <c r="P163" t="str">
        <f>IF(Table13[[#This Row],[Good_Qty]]&gt;=Table13[[#This Row],[Planned_Production]],"Met","Not Met")</f>
        <v>Met</v>
      </c>
      <c r="Q163">
        <f>Table13[[#This Row],[Good_Qty]]-Table13[[#This Row],[Planned_Production]]</f>
        <v>69</v>
      </c>
      <c r="R163" s="3">
        <f>IF(Table13[[#This Row],[Actual_Qty]]=0,0,Table13[[#This Row],[Reject_Qty]]/Table13[[#This Row],[Actual_Qty]])</f>
        <v>7.3664825046040518E-3</v>
      </c>
      <c r="S163">
        <v>438.55</v>
      </c>
      <c r="T163">
        <f>(Table13[[#This Row],[Ideal_Cycle_Time_sec]]*Table13[[#This Row],[Actual_Qty]])/(Table13[[#This Row],[Operational_Time_min]]*60)</f>
        <v>0.45399612358910046</v>
      </c>
      <c r="U163">
        <f>Table13[[#This Row],[Good_Qty]]/Table13[[#This Row],[Actual_Qty]]</f>
        <v>0.99263351749539597</v>
      </c>
      <c r="V163" t="str">
        <f>IF(OR(Table13[[#This Row],[Performance_%]]&gt;=1,Table13[[#This Row],[Performance_%]]&lt;=0),"Error","OK")</f>
        <v>OK</v>
      </c>
      <c r="W163" t="str">
        <f>IF(OR(Table13[[#This Row],[Quality_%]]&gt;=1,Table13[[#This Row],[Quality_%]]&lt;=0),"Error","OK")</f>
        <v>OK</v>
      </c>
      <c r="X163">
        <f>Table13[[#This Row],[Performance_%]]*Table13[[#This Row],[Quality_%]]*[2]Availability_KPI!K163</f>
        <v>0.43918518518518523</v>
      </c>
      <c r="Y163" t="str">
        <f>IF(OR(Table13[[#This Row],[OEE_%]]&gt;1,Table13[[#This Row],[OEE_%]]&lt;0),"Error","OK")</f>
        <v>OK</v>
      </c>
    </row>
    <row r="164" spans="1:25" x14ac:dyDescent="0.2">
      <c r="A164" t="s">
        <v>234</v>
      </c>
      <c r="B164" t="s">
        <v>232</v>
      </c>
      <c r="C164" s="2">
        <v>46245</v>
      </c>
      <c r="D164" t="s">
        <v>67</v>
      </c>
      <c r="E164" t="s">
        <v>35</v>
      </c>
      <c r="F164" t="s">
        <v>29</v>
      </c>
      <c r="G164" t="s">
        <v>36</v>
      </c>
      <c r="H164">
        <v>556</v>
      </c>
      <c r="I164">
        <v>553</v>
      </c>
      <c r="J164">
        <v>3</v>
      </c>
      <c r="K164">
        <v>24.2</v>
      </c>
      <c r="L164">
        <v>26.18</v>
      </c>
      <c r="M164">
        <v>242.56</v>
      </c>
      <c r="N164">
        <f>_xlfn.XLOOKUP(Table13[[#This Row],[Production_Order_ID]],[1]Sheet1!$A$2:$A$391,[1]Sheet1!$F$2:$F$391,"No Match")</f>
        <v>470</v>
      </c>
      <c r="O164" s="3">
        <f>Table13[[#This Row],[Good_Qty]]/Table13[[#This Row],[Planned_Production]]</f>
        <v>1.176595744680851</v>
      </c>
      <c r="P164" t="str">
        <f>IF(Table13[[#This Row],[Good_Qty]]&gt;=Table13[[#This Row],[Planned_Production]],"Met","Not Met")</f>
        <v>Met</v>
      </c>
      <c r="Q164">
        <f>Table13[[#This Row],[Good_Qty]]-Table13[[#This Row],[Planned_Production]]</f>
        <v>83</v>
      </c>
      <c r="R164" s="3">
        <f>IF(Table13[[#This Row],[Actual_Qty]]=0,0,Table13[[#This Row],[Reject_Qty]]/Table13[[#This Row],[Actual_Qty]])</f>
        <v>5.3956834532374104E-3</v>
      </c>
      <c r="S164">
        <v>430.83</v>
      </c>
      <c r="T164">
        <f>(Table13[[#This Row],[Ideal_Cycle_Time_sec]]*Table13[[#This Row],[Actual_Qty]])/(Table13[[#This Row],[Operational_Time_min]]*60)</f>
        <v>0.52051466549064207</v>
      </c>
      <c r="U164">
        <f>Table13[[#This Row],[Good_Qty]]/Table13[[#This Row],[Actual_Qty]]</f>
        <v>0.99460431654676262</v>
      </c>
      <c r="V164" t="str">
        <f>IF(OR(Table13[[#This Row],[Performance_%]]&gt;=1,Table13[[#This Row],[Performance_%]]&lt;=0),"Error","OK")</f>
        <v>OK</v>
      </c>
      <c r="W164" t="str">
        <f>IF(OR(Table13[[#This Row],[Quality_%]]&gt;=1,Table13[[#This Row],[Quality_%]]&lt;=0),"Error","OK")</f>
        <v>OK</v>
      </c>
      <c r="X164">
        <f>Table13[[#This Row],[Performance_%]]*Table13[[#This Row],[Quality_%]]*[2]Availability_KPI!K164</f>
        <v>0.49565185185185179</v>
      </c>
      <c r="Y164" t="str">
        <f>IF(OR(Table13[[#This Row],[OEE_%]]&gt;1,Table13[[#This Row],[OEE_%]]&lt;0),"Error","OK")</f>
        <v>OK</v>
      </c>
    </row>
    <row r="165" spans="1:25" x14ac:dyDescent="0.2">
      <c r="A165" t="s">
        <v>235</v>
      </c>
      <c r="B165" t="s">
        <v>232</v>
      </c>
      <c r="C165" s="2">
        <v>46245</v>
      </c>
      <c r="D165" t="s">
        <v>67</v>
      </c>
      <c r="E165" t="s">
        <v>38</v>
      </c>
      <c r="F165" t="s">
        <v>29</v>
      </c>
      <c r="G165" t="s">
        <v>71</v>
      </c>
      <c r="H165">
        <v>555</v>
      </c>
      <c r="I165">
        <v>550</v>
      </c>
      <c r="J165">
        <v>5</v>
      </c>
      <c r="K165">
        <v>22</v>
      </c>
      <c r="L165">
        <v>23.38</v>
      </c>
      <c r="M165">
        <v>216.25</v>
      </c>
      <c r="N165">
        <f>_xlfn.XLOOKUP(Table13[[#This Row],[Production_Order_ID]],[1]Sheet1!$A$2:$A$391,[1]Sheet1!$F$2:$F$391,"No Match")</f>
        <v>470</v>
      </c>
      <c r="O165" s="3">
        <f>Table13[[#This Row],[Good_Qty]]/Table13[[#This Row],[Planned_Production]]</f>
        <v>1.1702127659574468</v>
      </c>
      <c r="P165" t="str">
        <f>IF(Table13[[#This Row],[Good_Qty]]&gt;=Table13[[#This Row],[Planned_Production]],"Met","Not Met")</f>
        <v>Met</v>
      </c>
      <c r="Q165">
        <f>Table13[[#This Row],[Good_Qty]]-Table13[[#This Row],[Planned_Production]]</f>
        <v>80</v>
      </c>
      <c r="R165" s="3">
        <f>IF(Table13[[#This Row],[Actual_Qty]]=0,0,Table13[[#This Row],[Reject_Qty]]/Table13[[#This Row],[Actual_Qty]])</f>
        <v>9.0090090090090089E-3</v>
      </c>
      <c r="S165">
        <v>438.52</v>
      </c>
      <c r="T165">
        <f>(Table13[[#This Row],[Ideal_Cycle_Time_sec]]*Table13[[#This Row],[Actual_Qty]])/(Table13[[#This Row],[Operational_Time_min]]*60)</f>
        <v>0.46406093222658035</v>
      </c>
      <c r="U165">
        <f>Table13[[#This Row],[Good_Qty]]/Table13[[#This Row],[Actual_Qty]]</f>
        <v>0.99099099099099097</v>
      </c>
      <c r="V165" t="str">
        <f>IF(OR(Table13[[#This Row],[Performance_%]]&gt;=1,Table13[[#This Row],[Performance_%]]&lt;=0),"Error","OK")</f>
        <v>OK</v>
      </c>
      <c r="W165" t="str">
        <f>IF(OR(Table13[[#This Row],[Quality_%]]&gt;=1,Table13[[#This Row],[Quality_%]]&lt;=0),"Error","OK")</f>
        <v>OK</v>
      </c>
      <c r="X165">
        <f>Table13[[#This Row],[Performance_%]]*Table13[[#This Row],[Quality_%]]*[2]Availability_KPI!K165</f>
        <v>0.44814814814814813</v>
      </c>
      <c r="Y165" t="str">
        <f>IF(OR(Table13[[#This Row],[OEE_%]]&gt;1,Table13[[#This Row],[OEE_%]]&lt;0),"Error","OK")</f>
        <v>OK</v>
      </c>
    </row>
    <row r="166" spans="1:25" x14ac:dyDescent="0.2">
      <c r="A166" t="s">
        <v>236</v>
      </c>
      <c r="B166" t="s">
        <v>232</v>
      </c>
      <c r="C166" s="2">
        <v>46245</v>
      </c>
      <c r="D166" t="s">
        <v>67</v>
      </c>
      <c r="E166" t="s">
        <v>41</v>
      </c>
      <c r="F166" t="s">
        <v>29</v>
      </c>
      <c r="G166" t="s">
        <v>71</v>
      </c>
      <c r="H166">
        <v>552</v>
      </c>
      <c r="I166">
        <v>547</v>
      </c>
      <c r="J166">
        <v>5</v>
      </c>
      <c r="K166">
        <v>19.8</v>
      </c>
      <c r="L166">
        <v>20.85</v>
      </c>
      <c r="M166">
        <v>191.78</v>
      </c>
      <c r="N166">
        <f>_xlfn.XLOOKUP(Table13[[#This Row],[Production_Order_ID]],[1]Sheet1!$A$2:$A$391,[1]Sheet1!$F$2:$F$391,"No Match")</f>
        <v>470</v>
      </c>
      <c r="O166" s="3">
        <f>Table13[[#This Row],[Good_Qty]]/Table13[[#This Row],[Planned_Production]]</f>
        <v>1.1638297872340426</v>
      </c>
      <c r="P166" t="str">
        <f>IF(Table13[[#This Row],[Good_Qty]]&gt;=Table13[[#This Row],[Planned_Production]],"Met","Not Met")</f>
        <v>Met</v>
      </c>
      <c r="Q166">
        <f>Table13[[#This Row],[Good_Qty]]-Table13[[#This Row],[Planned_Production]]</f>
        <v>77</v>
      </c>
      <c r="R166" s="3">
        <f>IF(Table13[[#This Row],[Actual_Qty]]=0,0,Table13[[#This Row],[Reject_Qty]]/Table13[[#This Row],[Actual_Qty]])</f>
        <v>9.057971014492754E-3</v>
      </c>
      <c r="S166">
        <v>436.53</v>
      </c>
      <c r="T166">
        <f>(Table13[[#This Row],[Ideal_Cycle_Time_sec]]*Table13[[#This Row],[Actual_Qty]])/(Table13[[#This Row],[Operational_Time_min]]*60)</f>
        <v>0.41729090784138551</v>
      </c>
      <c r="U166">
        <f>Table13[[#This Row],[Good_Qty]]/Table13[[#This Row],[Actual_Qty]]</f>
        <v>0.99094202898550721</v>
      </c>
      <c r="V166" t="str">
        <f>IF(OR(Table13[[#This Row],[Performance_%]]&gt;=1,Table13[[#This Row],[Performance_%]]&lt;=0),"Error","OK")</f>
        <v>OK</v>
      </c>
      <c r="W166" t="str">
        <f>IF(OR(Table13[[#This Row],[Quality_%]]&gt;=1,Table13[[#This Row],[Quality_%]]&lt;=0),"Error","OK")</f>
        <v>OK</v>
      </c>
      <c r="X166">
        <f>Table13[[#This Row],[Performance_%]]*Table13[[#This Row],[Quality_%]]*[2]Availability_KPI!K166</f>
        <v>0.40113333333333334</v>
      </c>
      <c r="Y166" t="str">
        <f>IF(OR(Table13[[#This Row],[OEE_%]]&gt;1,Table13[[#This Row],[OEE_%]]&lt;0),"Error","OK")</f>
        <v>OK</v>
      </c>
    </row>
    <row r="167" spans="1:25" x14ac:dyDescent="0.2">
      <c r="A167" t="s">
        <v>237</v>
      </c>
      <c r="B167" t="s">
        <v>232</v>
      </c>
      <c r="C167" s="2">
        <v>46245</v>
      </c>
      <c r="D167" t="s">
        <v>67</v>
      </c>
      <c r="E167" t="s">
        <v>43</v>
      </c>
      <c r="F167" t="s">
        <v>29</v>
      </c>
      <c r="G167" t="s">
        <v>36</v>
      </c>
      <c r="H167">
        <v>540</v>
      </c>
      <c r="I167">
        <v>531</v>
      </c>
      <c r="J167">
        <v>9</v>
      </c>
      <c r="K167">
        <v>35.200000000000003</v>
      </c>
      <c r="L167">
        <v>37.69</v>
      </c>
      <c r="M167">
        <v>339.19</v>
      </c>
      <c r="N167">
        <f>_xlfn.XLOOKUP(Table13[[#This Row],[Production_Order_ID]],[1]Sheet1!$A$2:$A$391,[1]Sheet1!$F$2:$F$391,"No Match")</f>
        <v>470</v>
      </c>
      <c r="O167" s="3">
        <f>Table13[[#This Row],[Good_Qty]]/Table13[[#This Row],[Planned_Production]]</f>
        <v>1.1297872340425532</v>
      </c>
      <c r="P167" t="str">
        <f>IF(Table13[[#This Row],[Good_Qty]]&gt;=Table13[[#This Row],[Planned_Production]],"Met","Not Met")</f>
        <v>Met</v>
      </c>
      <c r="Q167">
        <f>Table13[[#This Row],[Good_Qty]]-Table13[[#This Row],[Planned_Production]]</f>
        <v>61</v>
      </c>
      <c r="R167" s="3">
        <f>IF(Table13[[#This Row],[Actual_Qty]]=0,0,Table13[[#This Row],[Reject_Qty]]/Table13[[#This Row],[Actual_Qty]])</f>
        <v>1.6666666666666666E-2</v>
      </c>
      <c r="S167">
        <v>422.94</v>
      </c>
      <c r="T167">
        <f>(Table13[[#This Row],[Ideal_Cycle_Time_sec]]*Table13[[#This Row],[Actual_Qty]])/(Table13[[#This Row],[Operational_Time_min]]*60)</f>
        <v>0.7490424173641651</v>
      </c>
      <c r="U167">
        <f>Table13[[#This Row],[Good_Qty]]/Table13[[#This Row],[Actual_Qty]]</f>
        <v>0.98333333333333328</v>
      </c>
      <c r="V167" t="str">
        <f>IF(OR(Table13[[#This Row],[Performance_%]]&gt;=1,Table13[[#This Row],[Performance_%]]&lt;=0),"Error","OK")</f>
        <v>OK</v>
      </c>
      <c r="W167" t="str">
        <f>IF(OR(Table13[[#This Row],[Quality_%]]&gt;=1,Table13[[#This Row],[Quality_%]]&lt;=0),"Error","OK")</f>
        <v>OK</v>
      </c>
      <c r="X167">
        <f>Table13[[#This Row],[Performance_%]]*Table13[[#This Row],[Quality_%]]*[2]Availability_KPI!K167</f>
        <v>0.69226666666666659</v>
      </c>
      <c r="Y167" t="str">
        <f>IF(OR(Table13[[#This Row],[OEE_%]]&gt;1,Table13[[#This Row],[OEE_%]]&lt;0),"Error","OK")</f>
        <v>OK</v>
      </c>
    </row>
    <row r="168" spans="1:25" x14ac:dyDescent="0.2">
      <c r="A168" t="s">
        <v>238</v>
      </c>
      <c r="B168" t="s">
        <v>232</v>
      </c>
      <c r="C168" s="2">
        <v>46245</v>
      </c>
      <c r="D168" t="s">
        <v>67</v>
      </c>
      <c r="E168" t="s">
        <v>46</v>
      </c>
      <c r="F168" t="s">
        <v>29</v>
      </c>
      <c r="G168" t="s">
        <v>36</v>
      </c>
      <c r="H168">
        <v>564</v>
      </c>
      <c r="I168">
        <v>560</v>
      </c>
      <c r="J168">
        <v>4</v>
      </c>
      <c r="K168">
        <v>27.5</v>
      </c>
      <c r="L168">
        <v>28.46</v>
      </c>
      <c r="M168">
        <v>267.5</v>
      </c>
      <c r="N168">
        <f>_xlfn.XLOOKUP(Table13[[#This Row],[Production_Order_ID]],[1]Sheet1!$A$2:$A$391,[1]Sheet1!$F$2:$F$391,"No Match")</f>
        <v>470</v>
      </c>
      <c r="O168" s="3">
        <f>Table13[[#This Row],[Good_Qty]]/Table13[[#This Row],[Planned_Production]]</f>
        <v>1.1914893617021276</v>
      </c>
      <c r="P168" t="str">
        <f>IF(Table13[[#This Row],[Good_Qty]]&gt;=Table13[[#This Row],[Planned_Production]],"Met","Not Met")</f>
        <v>Met</v>
      </c>
      <c r="Q168">
        <f>Table13[[#This Row],[Good_Qty]]-Table13[[#This Row],[Planned_Production]]</f>
        <v>90</v>
      </c>
      <c r="R168" s="3">
        <f>IF(Table13[[#This Row],[Actual_Qty]]=0,0,Table13[[#This Row],[Reject_Qty]]/Table13[[#This Row],[Actual_Qty]])</f>
        <v>7.0921985815602835E-3</v>
      </c>
      <c r="S168">
        <v>434.25</v>
      </c>
      <c r="T168">
        <f>(Table13[[#This Row],[Ideal_Cycle_Time_sec]]*Table13[[#This Row],[Actual_Qty]])/(Table13[[#This Row],[Operational_Time_min]]*60)</f>
        <v>0.59527921704087505</v>
      </c>
      <c r="U168">
        <f>Table13[[#This Row],[Good_Qty]]/Table13[[#This Row],[Actual_Qty]]</f>
        <v>0.99290780141843971</v>
      </c>
      <c r="V168" t="str">
        <f>IF(OR(Table13[[#This Row],[Performance_%]]&gt;=1,Table13[[#This Row],[Performance_%]]&lt;=0),"Error","OK")</f>
        <v>OK</v>
      </c>
      <c r="W168" t="str">
        <f>IF(OR(Table13[[#This Row],[Quality_%]]&gt;=1,Table13[[#This Row],[Quality_%]]&lt;=0),"Error","OK")</f>
        <v>OK</v>
      </c>
      <c r="X168">
        <f>Table13[[#This Row],[Performance_%]]*Table13[[#This Row],[Quality_%]]*[2]Availability_KPI!K168</f>
        <v>0.57037037037037031</v>
      </c>
      <c r="Y168" t="str">
        <f>IF(OR(Table13[[#This Row],[OEE_%]]&gt;1,Table13[[#This Row],[OEE_%]]&lt;0),"Error","OK")</f>
        <v>OK</v>
      </c>
    </row>
    <row r="169" spans="1:25" x14ac:dyDescent="0.2">
      <c r="A169" t="s">
        <v>239</v>
      </c>
      <c r="B169" t="s">
        <v>232</v>
      </c>
      <c r="C169" s="2">
        <v>46245</v>
      </c>
      <c r="D169" t="s">
        <v>67</v>
      </c>
      <c r="E169" t="s">
        <v>49</v>
      </c>
      <c r="F169" t="s">
        <v>29</v>
      </c>
      <c r="G169" t="s">
        <v>71</v>
      </c>
      <c r="H169">
        <v>546</v>
      </c>
      <c r="I169">
        <v>544</v>
      </c>
      <c r="J169">
        <v>2</v>
      </c>
      <c r="K169">
        <v>22</v>
      </c>
      <c r="L169">
        <v>23.67</v>
      </c>
      <c r="M169">
        <v>215.38</v>
      </c>
      <c r="N169">
        <f>_xlfn.XLOOKUP(Table13[[#This Row],[Production_Order_ID]],[1]Sheet1!$A$2:$A$391,[1]Sheet1!$F$2:$F$391,"No Match")</f>
        <v>470</v>
      </c>
      <c r="O169" s="3">
        <f>Table13[[#This Row],[Good_Qty]]/Table13[[#This Row],[Planned_Production]]</f>
        <v>1.1574468085106382</v>
      </c>
      <c r="P169" t="str">
        <f>IF(Table13[[#This Row],[Good_Qty]]&gt;=Table13[[#This Row],[Planned_Production]],"Met","Not Met")</f>
        <v>Met</v>
      </c>
      <c r="Q169">
        <f>Table13[[#This Row],[Good_Qty]]-Table13[[#This Row],[Planned_Production]]</f>
        <v>74</v>
      </c>
      <c r="R169" s="3">
        <f>IF(Table13[[#This Row],[Actual_Qty]]=0,0,Table13[[#This Row],[Reject_Qty]]/Table13[[#This Row],[Actual_Qty]])</f>
        <v>3.663003663003663E-3</v>
      </c>
      <c r="S169">
        <v>442.78</v>
      </c>
      <c r="T169">
        <f>(Table13[[#This Row],[Ideal_Cycle_Time_sec]]*Table13[[#This Row],[Actual_Qty]])/(Table13[[#This Row],[Operational_Time_min]]*60)</f>
        <v>0.45214327657075748</v>
      </c>
      <c r="U169">
        <f>Table13[[#This Row],[Good_Qty]]/Table13[[#This Row],[Actual_Qty]]</f>
        <v>0.99633699633699635</v>
      </c>
      <c r="V169" t="str">
        <f>IF(OR(Table13[[#This Row],[Performance_%]]&gt;=1,Table13[[#This Row],[Performance_%]]&lt;=0),"Error","OK")</f>
        <v>OK</v>
      </c>
      <c r="W169" t="str">
        <f>IF(OR(Table13[[#This Row],[Quality_%]]&gt;=1,Table13[[#This Row],[Quality_%]]&lt;=0),"Error","OK")</f>
        <v>OK</v>
      </c>
      <c r="X169">
        <f>Table13[[#This Row],[Performance_%]]*Table13[[#This Row],[Quality_%]]*[2]Availability_KPI!K169</f>
        <v>0.44325925925925924</v>
      </c>
      <c r="Y169" t="str">
        <f>IF(OR(Table13[[#This Row],[OEE_%]]&gt;1,Table13[[#This Row],[OEE_%]]&lt;0),"Error","OK")</f>
        <v>OK</v>
      </c>
    </row>
    <row r="170" spans="1:25" x14ac:dyDescent="0.2">
      <c r="A170" t="s">
        <v>240</v>
      </c>
      <c r="B170" t="s">
        <v>241</v>
      </c>
      <c r="C170" s="2">
        <v>46246</v>
      </c>
      <c r="D170" t="s">
        <v>27</v>
      </c>
      <c r="E170" t="s">
        <v>28</v>
      </c>
      <c r="F170" t="s">
        <v>54</v>
      </c>
      <c r="G170" t="s">
        <v>47</v>
      </c>
      <c r="H170">
        <v>669</v>
      </c>
      <c r="I170">
        <v>665</v>
      </c>
      <c r="J170">
        <v>4</v>
      </c>
      <c r="K170">
        <v>18</v>
      </c>
      <c r="L170">
        <v>19.18</v>
      </c>
      <c r="M170">
        <v>213.9</v>
      </c>
      <c r="N170">
        <f>_xlfn.XLOOKUP(Table13[[#This Row],[Production_Order_ID]],[1]Sheet1!$A$2:$A$391,[1]Sheet1!$F$2:$F$391,"No Match")</f>
        <v>460</v>
      </c>
      <c r="O170" s="3">
        <f>Table13[[#This Row],[Good_Qty]]/Table13[[#This Row],[Planned_Production]]</f>
        <v>1.4456521739130435</v>
      </c>
      <c r="P170" t="str">
        <f>IF(Table13[[#This Row],[Good_Qty]]&gt;=Table13[[#This Row],[Planned_Production]],"Met","Not Met")</f>
        <v>Met</v>
      </c>
      <c r="Q170">
        <f>Table13[[#This Row],[Good_Qty]]-Table13[[#This Row],[Planned_Production]]</f>
        <v>205</v>
      </c>
      <c r="R170" s="3">
        <f>IF(Table13[[#This Row],[Actual_Qty]]=0,0,Table13[[#This Row],[Reject_Qty]]/Table13[[#This Row],[Actual_Qty]])</f>
        <v>5.9790732436472349E-3</v>
      </c>
      <c r="S170">
        <v>440.08</v>
      </c>
      <c r="T170">
        <f>(Table13[[#This Row],[Ideal_Cycle_Time_sec]]*Table13[[#This Row],[Actual_Qty]])/(Table13[[#This Row],[Operational_Time_min]]*60)</f>
        <v>0.45605344482821308</v>
      </c>
      <c r="U170">
        <f>Table13[[#This Row],[Good_Qty]]/Table13[[#This Row],[Actual_Qty]]</f>
        <v>0.99402092675635279</v>
      </c>
      <c r="V170" t="str">
        <f>IF(OR(Table13[[#This Row],[Performance_%]]&gt;=1,Table13[[#This Row],[Performance_%]]&lt;=0),"Error","OK")</f>
        <v>OK</v>
      </c>
      <c r="W170" t="str">
        <f>IF(OR(Table13[[#This Row],[Quality_%]]&gt;=1,Table13[[#This Row],[Quality_%]]&lt;=0),"Error","OK")</f>
        <v>OK</v>
      </c>
      <c r="X170">
        <f>Table13[[#This Row],[Performance_%]]*Table13[[#This Row],[Quality_%]]*[2]Availability_KPI!K170</f>
        <v>0.4433333333333333</v>
      </c>
      <c r="Y170" t="str">
        <f>IF(OR(Table13[[#This Row],[OEE_%]]&gt;1,Table13[[#This Row],[OEE_%]]&lt;0),"Error","OK")</f>
        <v>OK</v>
      </c>
    </row>
    <row r="171" spans="1:25" x14ac:dyDescent="0.2">
      <c r="A171" t="s">
        <v>242</v>
      </c>
      <c r="B171" t="s">
        <v>241</v>
      </c>
      <c r="C171" s="2">
        <v>46246</v>
      </c>
      <c r="D171" t="s">
        <v>27</v>
      </c>
      <c r="E171" t="s">
        <v>32</v>
      </c>
      <c r="F171" t="s">
        <v>54</v>
      </c>
      <c r="G171" t="s">
        <v>36</v>
      </c>
      <c r="H171">
        <v>658</v>
      </c>
      <c r="I171">
        <v>654</v>
      </c>
      <c r="J171">
        <v>4</v>
      </c>
      <c r="K171">
        <v>20</v>
      </c>
      <c r="L171">
        <v>21.45</v>
      </c>
      <c r="M171">
        <v>235.22</v>
      </c>
      <c r="N171">
        <f>_xlfn.XLOOKUP(Table13[[#This Row],[Production_Order_ID]],[1]Sheet1!$A$2:$A$391,[1]Sheet1!$F$2:$F$391,"No Match")</f>
        <v>460</v>
      </c>
      <c r="O171" s="3">
        <f>Table13[[#This Row],[Good_Qty]]/Table13[[#This Row],[Planned_Production]]</f>
        <v>1.4217391304347826</v>
      </c>
      <c r="P171" t="str">
        <f>IF(Table13[[#This Row],[Good_Qty]]&gt;=Table13[[#This Row],[Planned_Production]],"Met","Not Met")</f>
        <v>Met</v>
      </c>
      <c r="Q171">
        <f>Table13[[#This Row],[Good_Qty]]-Table13[[#This Row],[Planned_Production]]</f>
        <v>194</v>
      </c>
      <c r="R171" s="3">
        <f>IF(Table13[[#This Row],[Actual_Qty]]=0,0,Table13[[#This Row],[Reject_Qty]]/Table13[[#This Row],[Actual_Qty]])</f>
        <v>6.0790273556231003E-3</v>
      </c>
      <c r="S171">
        <v>437.85</v>
      </c>
      <c r="T171">
        <f>(Table13[[#This Row],[Ideal_Cycle_Time_sec]]*Table13[[#This Row],[Actual_Qty]])/(Table13[[#This Row],[Operational_Time_min]]*60)</f>
        <v>0.50093258726352252</v>
      </c>
      <c r="U171">
        <f>Table13[[#This Row],[Good_Qty]]/Table13[[#This Row],[Actual_Qty]]</f>
        <v>0.99392097264437695</v>
      </c>
      <c r="V171" t="str">
        <f>IF(OR(Table13[[#This Row],[Performance_%]]&gt;=1,Table13[[#This Row],[Performance_%]]&lt;=0),"Error","OK")</f>
        <v>OK</v>
      </c>
      <c r="W171" t="str">
        <f>IF(OR(Table13[[#This Row],[Quality_%]]&gt;=1,Table13[[#This Row],[Quality_%]]&lt;=0),"Error","OK")</f>
        <v>OK</v>
      </c>
      <c r="X171">
        <f>Table13[[#This Row],[Performance_%]]*Table13[[#This Row],[Quality_%]]*[2]Availability_KPI!K171</f>
        <v>0.48444444444444457</v>
      </c>
      <c r="Y171" t="str">
        <f>IF(OR(Table13[[#This Row],[OEE_%]]&gt;1,Table13[[#This Row],[OEE_%]]&lt;0),"Error","OK")</f>
        <v>OK</v>
      </c>
    </row>
    <row r="172" spans="1:25" x14ac:dyDescent="0.2">
      <c r="A172" t="s">
        <v>243</v>
      </c>
      <c r="B172" t="s">
        <v>241</v>
      </c>
      <c r="C172" s="2">
        <v>46246</v>
      </c>
      <c r="D172" t="s">
        <v>27</v>
      </c>
      <c r="E172" t="s">
        <v>35</v>
      </c>
      <c r="F172" t="s">
        <v>54</v>
      </c>
      <c r="G172" t="s">
        <v>30</v>
      </c>
      <c r="H172">
        <v>656</v>
      </c>
      <c r="I172">
        <v>653</v>
      </c>
      <c r="J172">
        <v>3</v>
      </c>
      <c r="K172">
        <v>22</v>
      </c>
      <c r="L172">
        <v>23.32</v>
      </c>
      <c r="M172">
        <v>254.95</v>
      </c>
      <c r="N172">
        <f>_xlfn.XLOOKUP(Table13[[#This Row],[Production_Order_ID]],[1]Sheet1!$A$2:$A$391,[1]Sheet1!$F$2:$F$391,"No Match")</f>
        <v>460</v>
      </c>
      <c r="O172" s="3">
        <f>Table13[[#This Row],[Good_Qty]]/Table13[[#This Row],[Planned_Production]]</f>
        <v>1.4195652173913043</v>
      </c>
      <c r="P172" t="str">
        <f>IF(Table13[[#This Row],[Good_Qty]]&gt;=Table13[[#This Row],[Planned_Production]],"Met","Not Met")</f>
        <v>Met</v>
      </c>
      <c r="Q172">
        <f>Table13[[#This Row],[Good_Qty]]-Table13[[#This Row],[Planned_Production]]</f>
        <v>193</v>
      </c>
      <c r="R172" s="3">
        <f>IF(Table13[[#This Row],[Actual_Qty]]=0,0,Table13[[#This Row],[Reject_Qty]]/Table13[[#This Row],[Actual_Qty]])</f>
        <v>4.5731707317073168E-3</v>
      </c>
      <c r="S172">
        <v>435.2</v>
      </c>
      <c r="T172">
        <f>(Table13[[#This Row],[Ideal_Cycle_Time_sec]]*Table13[[#This Row],[Actual_Qty]])/(Table13[[#This Row],[Operational_Time_min]]*60)</f>
        <v>0.55269607843137258</v>
      </c>
      <c r="U172">
        <f>Table13[[#This Row],[Good_Qty]]/Table13[[#This Row],[Actual_Qty]]</f>
        <v>0.99542682926829273</v>
      </c>
      <c r="V172" t="str">
        <f>IF(OR(Table13[[#This Row],[Performance_%]]&gt;=1,Table13[[#This Row],[Performance_%]]&lt;=0),"Error","OK")</f>
        <v>OK</v>
      </c>
      <c r="W172" t="str">
        <f>IF(OR(Table13[[#This Row],[Quality_%]]&gt;=1,Table13[[#This Row],[Quality_%]]&lt;=0),"Error","OK")</f>
        <v>OK</v>
      </c>
      <c r="X172">
        <f>Table13[[#This Row],[Performance_%]]*Table13[[#This Row],[Quality_%]]*[2]Availability_KPI!K172</f>
        <v>0.53207407407407414</v>
      </c>
      <c r="Y172" t="str">
        <f>IF(OR(Table13[[#This Row],[OEE_%]]&gt;1,Table13[[#This Row],[OEE_%]]&lt;0),"Error","OK")</f>
        <v>OK</v>
      </c>
    </row>
    <row r="173" spans="1:25" x14ac:dyDescent="0.2">
      <c r="A173" t="s">
        <v>244</v>
      </c>
      <c r="B173" t="s">
        <v>241</v>
      </c>
      <c r="C173" s="2">
        <v>46246</v>
      </c>
      <c r="D173" t="s">
        <v>27</v>
      </c>
      <c r="E173" t="s">
        <v>38</v>
      </c>
      <c r="F173" t="s">
        <v>54</v>
      </c>
      <c r="G173" t="s">
        <v>71</v>
      </c>
      <c r="H173">
        <v>655</v>
      </c>
      <c r="I173">
        <v>649</v>
      </c>
      <c r="J173">
        <v>6</v>
      </c>
      <c r="K173">
        <v>20</v>
      </c>
      <c r="L173">
        <v>20.46</v>
      </c>
      <c r="M173">
        <v>223.31</v>
      </c>
      <c r="N173">
        <f>_xlfn.XLOOKUP(Table13[[#This Row],[Production_Order_ID]],[1]Sheet1!$A$2:$A$391,[1]Sheet1!$F$2:$F$391,"No Match")</f>
        <v>460</v>
      </c>
      <c r="O173" s="3">
        <f>Table13[[#This Row],[Good_Qty]]/Table13[[#This Row],[Planned_Production]]</f>
        <v>1.4108695652173913</v>
      </c>
      <c r="P173" t="str">
        <f>IF(Table13[[#This Row],[Good_Qty]]&gt;=Table13[[#This Row],[Planned_Production]],"Met","Not Met")</f>
        <v>Met</v>
      </c>
      <c r="Q173">
        <f>Table13[[#This Row],[Good_Qty]]-Table13[[#This Row],[Planned_Production]]</f>
        <v>189</v>
      </c>
      <c r="R173" s="3">
        <f>IF(Table13[[#This Row],[Actual_Qty]]=0,0,Table13[[#This Row],[Reject_Qty]]/Table13[[#This Row],[Actual_Qty]])</f>
        <v>9.1603053435114507E-3</v>
      </c>
      <c r="S173">
        <v>438.13</v>
      </c>
      <c r="T173">
        <f>(Table13[[#This Row],[Ideal_Cycle_Time_sec]]*Table13[[#This Row],[Actual_Qty]])/(Table13[[#This Row],[Operational_Time_min]]*60)</f>
        <v>0.49833002381332786</v>
      </c>
      <c r="U173">
        <f>Table13[[#This Row],[Good_Qty]]/Table13[[#This Row],[Actual_Qty]]</f>
        <v>0.99083969465648858</v>
      </c>
      <c r="V173" t="str">
        <f>IF(OR(Table13[[#This Row],[Performance_%]]&gt;=1,Table13[[#This Row],[Performance_%]]&lt;=0),"Error","OK")</f>
        <v>OK</v>
      </c>
      <c r="W173" t="str">
        <f>IF(OR(Table13[[#This Row],[Quality_%]]&gt;=1,Table13[[#This Row],[Quality_%]]&lt;=0),"Error","OK")</f>
        <v>OK</v>
      </c>
      <c r="X173">
        <f>Table13[[#This Row],[Performance_%]]*Table13[[#This Row],[Quality_%]]*[2]Availability_KPI!K173</f>
        <v>0.48074074074074075</v>
      </c>
      <c r="Y173" t="str">
        <f>IF(OR(Table13[[#This Row],[OEE_%]]&gt;1,Table13[[#This Row],[OEE_%]]&lt;0),"Error","OK")</f>
        <v>OK</v>
      </c>
    </row>
    <row r="174" spans="1:25" x14ac:dyDescent="0.2">
      <c r="A174" t="s">
        <v>245</v>
      </c>
      <c r="B174" t="s">
        <v>241</v>
      </c>
      <c r="C174" s="2">
        <v>46246</v>
      </c>
      <c r="D174" t="s">
        <v>27</v>
      </c>
      <c r="E174" t="s">
        <v>41</v>
      </c>
      <c r="F174" t="s">
        <v>54</v>
      </c>
      <c r="G174" t="s">
        <v>50</v>
      </c>
      <c r="H174">
        <v>653</v>
      </c>
      <c r="I174">
        <v>646</v>
      </c>
      <c r="J174">
        <v>7</v>
      </c>
      <c r="K174">
        <v>18</v>
      </c>
      <c r="L174">
        <v>18.64</v>
      </c>
      <c r="M174">
        <v>202.88</v>
      </c>
      <c r="N174">
        <f>_xlfn.XLOOKUP(Table13[[#This Row],[Production_Order_ID]],[1]Sheet1!$A$2:$A$391,[1]Sheet1!$F$2:$F$391,"No Match")</f>
        <v>460</v>
      </c>
      <c r="O174" s="3">
        <f>Table13[[#This Row],[Good_Qty]]/Table13[[#This Row],[Planned_Production]]</f>
        <v>1.4043478260869566</v>
      </c>
      <c r="P174" t="str">
        <f>IF(Table13[[#This Row],[Good_Qty]]&gt;=Table13[[#This Row],[Planned_Production]],"Met","Not Met")</f>
        <v>Met</v>
      </c>
      <c r="Q174">
        <f>Table13[[#This Row],[Good_Qty]]-Table13[[#This Row],[Planned_Production]]</f>
        <v>186</v>
      </c>
      <c r="R174" s="3">
        <f>IF(Table13[[#This Row],[Actual_Qty]]=0,0,Table13[[#This Row],[Reject_Qty]]/Table13[[#This Row],[Actual_Qty]])</f>
        <v>1.0719754977029096E-2</v>
      </c>
      <c r="S174">
        <v>439.54</v>
      </c>
      <c r="T174">
        <f>(Table13[[#This Row],[Ideal_Cycle_Time_sec]]*Table13[[#This Row],[Actual_Qty]])/(Table13[[#This Row],[Operational_Time_min]]*60)</f>
        <v>0.44569322473495016</v>
      </c>
      <c r="U174">
        <f>Table13[[#This Row],[Good_Qty]]/Table13[[#This Row],[Actual_Qty]]</f>
        <v>0.98928024502297085</v>
      </c>
      <c r="V174" t="str">
        <f>IF(OR(Table13[[#This Row],[Performance_%]]&gt;=1,Table13[[#This Row],[Performance_%]]&lt;=0),"Error","OK")</f>
        <v>OK</v>
      </c>
      <c r="W174" t="str">
        <f>IF(OR(Table13[[#This Row],[Quality_%]]&gt;=1,Table13[[#This Row],[Quality_%]]&lt;=0),"Error","OK")</f>
        <v>OK</v>
      </c>
      <c r="X174">
        <f>Table13[[#This Row],[Performance_%]]*Table13[[#This Row],[Quality_%]]*[2]Availability_KPI!K174</f>
        <v>0.43066666666666664</v>
      </c>
      <c r="Y174" t="str">
        <f>IF(OR(Table13[[#This Row],[OEE_%]]&gt;1,Table13[[#This Row],[OEE_%]]&lt;0),"Error","OK")</f>
        <v>OK</v>
      </c>
    </row>
    <row r="175" spans="1:25" x14ac:dyDescent="0.2">
      <c r="A175" t="s">
        <v>246</v>
      </c>
      <c r="B175" t="s">
        <v>241</v>
      </c>
      <c r="C175" s="2">
        <v>46246</v>
      </c>
      <c r="D175" t="s">
        <v>27</v>
      </c>
      <c r="E175" t="s">
        <v>43</v>
      </c>
      <c r="F175" t="s">
        <v>54</v>
      </c>
      <c r="G175" t="s">
        <v>75</v>
      </c>
      <c r="H175">
        <v>659</v>
      </c>
      <c r="I175">
        <v>650</v>
      </c>
      <c r="J175">
        <v>9</v>
      </c>
      <c r="K175">
        <v>32</v>
      </c>
      <c r="L175">
        <v>33.880000000000003</v>
      </c>
      <c r="M175">
        <v>372.12</v>
      </c>
      <c r="N175">
        <f>_xlfn.XLOOKUP(Table13[[#This Row],[Production_Order_ID]],[1]Sheet1!$A$2:$A$391,[1]Sheet1!$F$2:$F$391,"No Match")</f>
        <v>460</v>
      </c>
      <c r="O175" s="3">
        <f>Table13[[#This Row],[Good_Qty]]/Table13[[#This Row],[Planned_Production]]</f>
        <v>1.4130434782608696</v>
      </c>
      <c r="P175" t="str">
        <f>IF(Table13[[#This Row],[Good_Qty]]&gt;=Table13[[#This Row],[Planned_Production]],"Met","Not Met")</f>
        <v>Met</v>
      </c>
      <c r="Q175">
        <f>Table13[[#This Row],[Good_Qty]]-Table13[[#This Row],[Planned_Production]]</f>
        <v>190</v>
      </c>
      <c r="R175" s="3">
        <f>IF(Table13[[#This Row],[Actual_Qty]]=0,0,Table13[[#This Row],[Reject_Qty]]/Table13[[#This Row],[Actual_Qty]])</f>
        <v>1.3657056145675266E-2</v>
      </c>
      <c r="S175">
        <v>416.59000000000003</v>
      </c>
      <c r="T175">
        <f>(Table13[[#This Row],[Ideal_Cycle_Time_sec]]*Table13[[#This Row],[Actual_Qty]])/(Table13[[#This Row],[Operational_Time_min]]*60)</f>
        <v>0.84367523624346874</v>
      </c>
      <c r="U175">
        <f>Table13[[#This Row],[Good_Qty]]/Table13[[#This Row],[Actual_Qty]]</f>
        <v>0.98634294385432475</v>
      </c>
      <c r="V175" t="str">
        <f>IF(OR(Table13[[#This Row],[Performance_%]]&gt;=1,Table13[[#This Row],[Performance_%]]&lt;=0),"Error","OK")</f>
        <v>OK</v>
      </c>
      <c r="W175" t="str">
        <f>IF(OR(Table13[[#This Row],[Quality_%]]&gt;=1,Table13[[#This Row],[Quality_%]]&lt;=0),"Error","OK")</f>
        <v>OK</v>
      </c>
      <c r="X175">
        <f>Table13[[#This Row],[Performance_%]]*Table13[[#This Row],[Quality_%]]*[2]Availability_KPI!K175</f>
        <v>0.77037037037037037</v>
      </c>
      <c r="Y175" t="str">
        <f>IF(OR(Table13[[#This Row],[OEE_%]]&gt;1,Table13[[#This Row],[OEE_%]]&lt;0),"Error","OK")</f>
        <v>OK</v>
      </c>
    </row>
    <row r="176" spans="1:25" x14ac:dyDescent="0.2">
      <c r="A176" t="s">
        <v>247</v>
      </c>
      <c r="B176" t="s">
        <v>241</v>
      </c>
      <c r="C176" s="2">
        <v>46246</v>
      </c>
      <c r="D176" t="s">
        <v>27</v>
      </c>
      <c r="E176" t="s">
        <v>46</v>
      </c>
      <c r="F176" t="s">
        <v>54</v>
      </c>
      <c r="G176" t="s">
        <v>39</v>
      </c>
      <c r="H176">
        <v>664</v>
      </c>
      <c r="I176">
        <v>658</v>
      </c>
      <c r="J176">
        <v>6</v>
      </c>
      <c r="K176">
        <v>25</v>
      </c>
      <c r="L176">
        <v>25.51</v>
      </c>
      <c r="M176">
        <v>282.35000000000002</v>
      </c>
      <c r="N176">
        <f>_xlfn.XLOOKUP(Table13[[#This Row],[Production_Order_ID]],[1]Sheet1!$A$2:$A$391,[1]Sheet1!$F$2:$F$391,"No Match")</f>
        <v>460</v>
      </c>
      <c r="O176" s="3">
        <f>Table13[[#This Row],[Good_Qty]]/Table13[[#This Row],[Planned_Production]]</f>
        <v>1.4304347826086956</v>
      </c>
      <c r="P176" t="str">
        <f>IF(Table13[[#This Row],[Good_Qty]]&gt;=Table13[[#This Row],[Planned_Production]],"Met","Not Met")</f>
        <v>Met</v>
      </c>
      <c r="Q176">
        <f>Table13[[#This Row],[Good_Qty]]-Table13[[#This Row],[Planned_Production]]</f>
        <v>198</v>
      </c>
      <c r="R176" s="3">
        <f>IF(Table13[[#This Row],[Actual_Qty]]=0,0,Table13[[#This Row],[Reject_Qty]]/Table13[[#This Row],[Actual_Qty]])</f>
        <v>9.0361445783132526E-3</v>
      </c>
      <c r="S176">
        <v>434.11</v>
      </c>
      <c r="T176">
        <f>(Table13[[#This Row],[Ideal_Cycle_Time_sec]]*Table13[[#This Row],[Actual_Qty]])/(Table13[[#This Row],[Operational_Time_min]]*60)</f>
        <v>0.63731926623820379</v>
      </c>
      <c r="U176">
        <f>Table13[[#This Row],[Good_Qty]]/Table13[[#This Row],[Actual_Qty]]</f>
        <v>0.99096385542168675</v>
      </c>
      <c r="V176" t="str">
        <f>IF(OR(Table13[[#This Row],[Performance_%]]&gt;=1,Table13[[#This Row],[Performance_%]]&lt;=0),"Error","OK")</f>
        <v>OK</v>
      </c>
      <c r="W176" t="str">
        <f>IF(OR(Table13[[#This Row],[Quality_%]]&gt;=1,Table13[[#This Row],[Quality_%]]&lt;=0),"Error","OK")</f>
        <v>OK</v>
      </c>
      <c r="X176">
        <f>Table13[[#This Row],[Performance_%]]*Table13[[#This Row],[Quality_%]]*[2]Availability_KPI!K176</f>
        <v>0.60925925925925928</v>
      </c>
      <c r="Y176" t="str">
        <f>IF(OR(Table13[[#This Row],[OEE_%]]&gt;1,Table13[[#This Row],[OEE_%]]&lt;0),"Error","OK")</f>
        <v>OK</v>
      </c>
    </row>
    <row r="177" spans="1:25" x14ac:dyDescent="0.2">
      <c r="A177" t="s">
        <v>248</v>
      </c>
      <c r="B177" t="s">
        <v>241</v>
      </c>
      <c r="C177" s="2">
        <v>46246</v>
      </c>
      <c r="D177" t="s">
        <v>27</v>
      </c>
      <c r="E177" t="s">
        <v>49</v>
      </c>
      <c r="F177" t="s">
        <v>54</v>
      </c>
      <c r="G177" t="s">
        <v>57</v>
      </c>
      <c r="H177">
        <v>656</v>
      </c>
      <c r="I177">
        <v>652</v>
      </c>
      <c r="J177">
        <v>4</v>
      </c>
      <c r="K177">
        <v>20</v>
      </c>
      <c r="L177">
        <v>21.96</v>
      </c>
      <c r="M177">
        <v>240.13</v>
      </c>
      <c r="N177">
        <f>_xlfn.XLOOKUP(Table13[[#This Row],[Production_Order_ID]],[1]Sheet1!$A$2:$A$391,[1]Sheet1!$F$2:$F$391,"No Match")</f>
        <v>460</v>
      </c>
      <c r="O177" s="3">
        <f>Table13[[#This Row],[Good_Qty]]/Table13[[#This Row],[Planned_Production]]</f>
        <v>1.4173913043478261</v>
      </c>
      <c r="P177" t="str">
        <f>IF(Table13[[#This Row],[Good_Qty]]&gt;=Table13[[#This Row],[Planned_Production]],"Met","Not Met")</f>
        <v>Met</v>
      </c>
      <c r="Q177">
        <f>Table13[[#This Row],[Good_Qty]]-Table13[[#This Row],[Planned_Production]]</f>
        <v>192</v>
      </c>
      <c r="R177" s="3">
        <f>IF(Table13[[#This Row],[Actual_Qty]]=0,0,Table13[[#This Row],[Reject_Qty]]/Table13[[#This Row],[Actual_Qty]])</f>
        <v>6.0975609756097563E-3</v>
      </c>
      <c r="S177">
        <v>438.27</v>
      </c>
      <c r="T177">
        <f>(Table13[[#This Row],[Ideal_Cycle_Time_sec]]*Table13[[#This Row],[Actual_Qty]])/(Table13[[#This Row],[Operational_Time_min]]*60)</f>
        <v>0.49893140453753781</v>
      </c>
      <c r="U177">
        <f>Table13[[#This Row],[Good_Qty]]/Table13[[#This Row],[Actual_Qty]]</f>
        <v>0.99390243902439024</v>
      </c>
      <c r="V177" t="str">
        <f>IF(OR(Table13[[#This Row],[Performance_%]]&gt;=1,Table13[[#This Row],[Performance_%]]&lt;=0),"Error","OK")</f>
        <v>OK</v>
      </c>
      <c r="W177" t="str">
        <f>IF(OR(Table13[[#This Row],[Quality_%]]&gt;=1,Table13[[#This Row],[Quality_%]]&lt;=0),"Error","OK")</f>
        <v>OK</v>
      </c>
      <c r="X177">
        <f>Table13[[#This Row],[Performance_%]]*Table13[[#This Row],[Quality_%]]*[2]Availability_KPI!K177</f>
        <v>0.48296296296296304</v>
      </c>
      <c r="Y177" t="str">
        <f>IF(OR(Table13[[#This Row],[OEE_%]]&gt;1,Table13[[#This Row],[OEE_%]]&lt;0),"Error","OK")</f>
        <v>OK</v>
      </c>
    </row>
    <row r="178" spans="1:25" x14ac:dyDescent="0.2">
      <c r="A178" t="s">
        <v>249</v>
      </c>
      <c r="B178" t="s">
        <v>250</v>
      </c>
      <c r="C178" s="2">
        <v>46246</v>
      </c>
      <c r="D178" t="s">
        <v>53</v>
      </c>
      <c r="E178" t="s">
        <v>28</v>
      </c>
      <c r="F178" t="s">
        <v>97</v>
      </c>
      <c r="G178" t="s">
        <v>75</v>
      </c>
      <c r="H178">
        <v>667</v>
      </c>
      <c r="I178">
        <v>663</v>
      </c>
      <c r="J178">
        <v>4</v>
      </c>
      <c r="K178">
        <v>19.260000000000002</v>
      </c>
      <c r="L178">
        <v>20.76</v>
      </c>
      <c r="M178">
        <v>230.82</v>
      </c>
      <c r="N178">
        <f>_xlfn.XLOOKUP(Table13[[#This Row],[Production_Order_ID]],[1]Sheet1!$A$2:$A$391,[1]Sheet1!$F$2:$F$391,"No Match")</f>
        <v>420</v>
      </c>
      <c r="O178" s="3">
        <f>Table13[[#This Row],[Good_Qty]]/Table13[[#This Row],[Planned_Production]]</f>
        <v>1.5785714285714285</v>
      </c>
      <c r="P178" t="str">
        <f>IF(Table13[[#This Row],[Good_Qty]]&gt;=Table13[[#This Row],[Planned_Production]],"Met","Not Met")</f>
        <v>Met</v>
      </c>
      <c r="Q178">
        <f>Table13[[#This Row],[Good_Qty]]-Table13[[#This Row],[Planned_Production]]</f>
        <v>243</v>
      </c>
      <c r="R178" s="3">
        <f>IF(Table13[[#This Row],[Actual_Qty]]=0,0,Table13[[#This Row],[Reject_Qty]]/Table13[[#This Row],[Actual_Qty]])</f>
        <v>5.9970014992503746E-3</v>
      </c>
      <c r="S178">
        <v>440.1</v>
      </c>
      <c r="T178">
        <f>(Table13[[#This Row],[Ideal_Cycle_Time_sec]]*Table13[[#This Row],[Actual_Qty]])/(Table13[[#This Row],[Operational_Time_min]]*60)</f>
        <v>0.48649625085207915</v>
      </c>
      <c r="U178">
        <f>Table13[[#This Row],[Good_Qty]]/Table13[[#This Row],[Actual_Qty]]</f>
        <v>0.99400299850074958</v>
      </c>
      <c r="V178" t="str">
        <f>IF(OR(Table13[[#This Row],[Performance_%]]&gt;=1,Table13[[#This Row],[Performance_%]]&lt;=0),"Error","OK")</f>
        <v>OK</v>
      </c>
      <c r="W178" t="str">
        <f>IF(OR(Table13[[#This Row],[Quality_%]]&gt;=1,Table13[[#This Row],[Quality_%]]&lt;=0),"Error","OK")</f>
        <v>OK</v>
      </c>
      <c r="X178">
        <f>Table13[[#This Row],[Performance_%]]*Table13[[#This Row],[Quality_%]]*[2]Availability_KPI!K178</f>
        <v>0.47294000000000008</v>
      </c>
      <c r="Y178" t="str">
        <f>IF(OR(Table13[[#This Row],[OEE_%]]&gt;1,Table13[[#This Row],[OEE_%]]&lt;0),"Error","OK")</f>
        <v>OK</v>
      </c>
    </row>
    <row r="179" spans="1:25" x14ac:dyDescent="0.2">
      <c r="A179" t="s">
        <v>251</v>
      </c>
      <c r="B179" t="s">
        <v>250</v>
      </c>
      <c r="C179" s="2">
        <v>46246</v>
      </c>
      <c r="D179" t="s">
        <v>53</v>
      </c>
      <c r="E179" t="s">
        <v>32</v>
      </c>
      <c r="F179" t="s">
        <v>97</v>
      </c>
      <c r="G179" t="s">
        <v>57</v>
      </c>
      <c r="H179">
        <v>673</v>
      </c>
      <c r="I179">
        <v>668</v>
      </c>
      <c r="J179">
        <v>5</v>
      </c>
      <c r="K179">
        <v>21.4</v>
      </c>
      <c r="L179">
        <v>22.36</v>
      </c>
      <c r="M179">
        <v>250.79</v>
      </c>
      <c r="N179">
        <f>_xlfn.XLOOKUP(Table13[[#This Row],[Production_Order_ID]],[1]Sheet1!$A$2:$A$391,[1]Sheet1!$F$2:$F$391,"No Match")</f>
        <v>420</v>
      </c>
      <c r="O179" s="3">
        <f>Table13[[#This Row],[Good_Qty]]/Table13[[#This Row],[Planned_Production]]</f>
        <v>1.5904761904761904</v>
      </c>
      <c r="P179" t="str">
        <f>IF(Table13[[#This Row],[Good_Qty]]&gt;=Table13[[#This Row],[Planned_Production]],"Met","Not Met")</f>
        <v>Met</v>
      </c>
      <c r="Q179">
        <f>Table13[[#This Row],[Good_Qty]]-Table13[[#This Row],[Planned_Production]]</f>
        <v>248</v>
      </c>
      <c r="R179" s="3">
        <f>IF(Table13[[#This Row],[Actual_Qty]]=0,0,Table13[[#This Row],[Reject_Qty]]/Table13[[#This Row],[Actual_Qty]])</f>
        <v>7.429420505200594E-3</v>
      </c>
      <c r="S179">
        <v>438.1</v>
      </c>
      <c r="T179">
        <f>(Table13[[#This Row],[Ideal_Cycle_Time_sec]]*Table13[[#This Row],[Actual_Qty]])/(Table13[[#This Row],[Operational_Time_min]]*60)</f>
        <v>0.54790382713231378</v>
      </c>
      <c r="U179">
        <f>Table13[[#This Row],[Good_Qty]]/Table13[[#This Row],[Actual_Qty]]</f>
        <v>0.99257057949479943</v>
      </c>
      <c r="V179" t="str">
        <f>IF(OR(Table13[[#This Row],[Performance_%]]&gt;=1,Table13[[#This Row],[Performance_%]]&lt;=0),"Error","OK")</f>
        <v>OK</v>
      </c>
      <c r="W179" t="str">
        <f>IF(OR(Table13[[#This Row],[Quality_%]]&gt;=1,Table13[[#This Row],[Quality_%]]&lt;=0),"Error","OK")</f>
        <v>OK</v>
      </c>
      <c r="X179">
        <f>Table13[[#This Row],[Performance_%]]*Table13[[#This Row],[Quality_%]]*[2]Availability_KPI!K179</f>
        <v>0.52945185185185184</v>
      </c>
      <c r="Y179" t="str">
        <f>IF(OR(Table13[[#This Row],[OEE_%]]&gt;1,Table13[[#This Row],[OEE_%]]&lt;0),"Error","OK")</f>
        <v>OK</v>
      </c>
    </row>
    <row r="180" spans="1:25" x14ac:dyDescent="0.2">
      <c r="A180" t="s">
        <v>252</v>
      </c>
      <c r="B180" t="s">
        <v>250</v>
      </c>
      <c r="C180" s="2">
        <v>46246</v>
      </c>
      <c r="D180" t="s">
        <v>53</v>
      </c>
      <c r="E180" t="s">
        <v>35</v>
      </c>
      <c r="F180" t="s">
        <v>97</v>
      </c>
      <c r="G180" t="s">
        <v>36</v>
      </c>
      <c r="H180">
        <v>678</v>
      </c>
      <c r="I180">
        <v>674</v>
      </c>
      <c r="J180">
        <v>4</v>
      </c>
      <c r="K180">
        <v>23.54</v>
      </c>
      <c r="L180">
        <v>24.99</v>
      </c>
      <c r="M180">
        <v>282.39</v>
      </c>
      <c r="N180">
        <f>_xlfn.XLOOKUP(Table13[[#This Row],[Production_Order_ID]],[1]Sheet1!$A$2:$A$391,[1]Sheet1!$F$2:$F$391,"No Match")</f>
        <v>420</v>
      </c>
      <c r="O180" s="3">
        <f>Table13[[#This Row],[Good_Qty]]/Table13[[#This Row],[Planned_Production]]</f>
        <v>1.6047619047619048</v>
      </c>
      <c r="P180" t="str">
        <f>IF(Table13[[#This Row],[Good_Qty]]&gt;=Table13[[#This Row],[Planned_Production]],"Met","Not Met")</f>
        <v>Met</v>
      </c>
      <c r="Q180">
        <f>Table13[[#This Row],[Good_Qty]]-Table13[[#This Row],[Planned_Production]]</f>
        <v>254</v>
      </c>
      <c r="R180" s="3">
        <f>IF(Table13[[#This Row],[Actual_Qty]]=0,0,Table13[[#This Row],[Reject_Qty]]/Table13[[#This Row],[Actual_Qty]])</f>
        <v>5.8997050147492625E-3</v>
      </c>
      <c r="S180">
        <v>429.14</v>
      </c>
      <c r="T180">
        <f>(Table13[[#This Row],[Ideal_Cycle_Time_sec]]*Table13[[#This Row],[Actual_Qty]])/(Table13[[#This Row],[Operational_Time_min]]*60)</f>
        <v>0.61984900032623391</v>
      </c>
      <c r="U180">
        <f>Table13[[#This Row],[Good_Qty]]/Table13[[#This Row],[Actual_Qty]]</f>
        <v>0.99410029498525077</v>
      </c>
      <c r="V180" t="str">
        <f>IF(OR(Table13[[#This Row],[Performance_%]]&gt;=1,Table13[[#This Row],[Performance_%]]&lt;=0),"Error","OK")</f>
        <v>OK</v>
      </c>
      <c r="W180" t="str">
        <f>IF(OR(Table13[[#This Row],[Quality_%]]&gt;=1,Table13[[#This Row],[Quality_%]]&lt;=0),"Error","OK")</f>
        <v>OK</v>
      </c>
      <c r="X180">
        <f>Table13[[#This Row],[Performance_%]]*Table13[[#This Row],[Quality_%]]*[2]Availability_KPI!K180</f>
        <v>0.58762814814814823</v>
      </c>
      <c r="Y180" t="str">
        <f>IF(OR(Table13[[#This Row],[OEE_%]]&gt;1,Table13[[#This Row],[OEE_%]]&lt;0),"Error","OK")</f>
        <v>OK</v>
      </c>
    </row>
    <row r="181" spans="1:25" x14ac:dyDescent="0.2">
      <c r="A181" t="s">
        <v>253</v>
      </c>
      <c r="B181" t="s">
        <v>250</v>
      </c>
      <c r="C181" s="2">
        <v>46246</v>
      </c>
      <c r="D181" t="s">
        <v>53</v>
      </c>
      <c r="E181" t="s">
        <v>38</v>
      </c>
      <c r="F181" t="s">
        <v>97</v>
      </c>
      <c r="G181" t="s">
        <v>33</v>
      </c>
      <c r="H181">
        <v>662</v>
      </c>
      <c r="I181">
        <v>657</v>
      </c>
      <c r="J181">
        <v>5</v>
      </c>
      <c r="K181">
        <v>21.4</v>
      </c>
      <c r="L181">
        <v>22.47</v>
      </c>
      <c r="M181">
        <v>247.97</v>
      </c>
      <c r="N181">
        <f>_xlfn.XLOOKUP(Table13[[#This Row],[Production_Order_ID]],[1]Sheet1!$A$2:$A$391,[1]Sheet1!$F$2:$F$391,"No Match")</f>
        <v>420</v>
      </c>
      <c r="O181" s="3">
        <f>Table13[[#This Row],[Good_Qty]]/Table13[[#This Row],[Planned_Production]]</f>
        <v>1.5642857142857143</v>
      </c>
      <c r="P181" t="str">
        <f>IF(Table13[[#This Row],[Good_Qty]]&gt;=Table13[[#This Row],[Planned_Production]],"Met","Not Met")</f>
        <v>Met</v>
      </c>
      <c r="Q181">
        <f>Table13[[#This Row],[Good_Qty]]-Table13[[#This Row],[Planned_Production]]</f>
        <v>237</v>
      </c>
      <c r="R181" s="3">
        <f>IF(Table13[[#This Row],[Actual_Qty]]=0,0,Table13[[#This Row],[Reject_Qty]]/Table13[[#This Row],[Actual_Qty]])</f>
        <v>7.5528700906344415E-3</v>
      </c>
      <c r="S181">
        <v>438.51</v>
      </c>
      <c r="T181">
        <f>(Table13[[#This Row],[Ideal_Cycle_Time_sec]]*Table13[[#This Row],[Actual_Qty]])/(Table13[[#This Row],[Operational_Time_min]]*60)</f>
        <v>0.53844458127142669</v>
      </c>
      <c r="U181">
        <f>Table13[[#This Row],[Good_Qty]]/Table13[[#This Row],[Actual_Qty]]</f>
        <v>0.99244712990936557</v>
      </c>
      <c r="V181" t="str">
        <f>IF(OR(Table13[[#This Row],[Performance_%]]&gt;=1,Table13[[#This Row],[Performance_%]]&lt;=0),"Error","OK")</f>
        <v>OK</v>
      </c>
      <c r="W181" t="str">
        <f>IF(OR(Table13[[#This Row],[Quality_%]]&gt;=1,Table13[[#This Row],[Quality_%]]&lt;=0),"Error","OK")</f>
        <v>OK</v>
      </c>
      <c r="X181">
        <f>Table13[[#This Row],[Performance_%]]*Table13[[#This Row],[Quality_%]]*[2]Availability_KPI!K181</f>
        <v>0.52073333333333327</v>
      </c>
      <c r="Y181" t="str">
        <f>IF(OR(Table13[[#This Row],[OEE_%]]&gt;1,Table13[[#This Row],[OEE_%]]&lt;0),"Error","OK")</f>
        <v>OK</v>
      </c>
    </row>
    <row r="182" spans="1:25" x14ac:dyDescent="0.2">
      <c r="A182" t="s">
        <v>254</v>
      </c>
      <c r="B182" t="s">
        <v>250</v>
      </c>
      <c r="C182" s="2">
        <v>46246</v>
      </c>
      <c r="D182" t="s">
        <v>53</v>
      </c>
      <c r="E182" t="s">
        <v>41</v>
      </c>
      <c r="F182" t="s">
        <v>97</v>
      </c>
      <c r="G182" t="s">
        <v>71</v>
      </c>
      <c r="H182">
        <v>666</v>
      </c>
      <c r="I182">
        <v>660</v>
      </c>
      <c r="J182">
        <v>6</v>
      </c>
      <c r="K182">
        <v>19.260000000000002</v>
      </c>
      <c r="L182">
        <v>20.07</v>
      </c>
      <c r="M182">
        <v>222.81</v>
      </c>
      <c r="N182">
        <f>_xlfn.XLOOKUP(Table13[[#This Row],[Production_Order_ID]],[1]Sheet1!$A$2:$A$391,[1]Sheet1!$F$2:$F$391,"No Match")</f>
        <v>420</v>
      </c>
      <c r="O182" s="3">
        <f>Table13[[#This Row],[Good_Qty]]/Table13[[#This Row],[Planned_Production]]</f>
        <v>1.5714285714285714</v>
      </c>
      <c r="P182" t="str">
        <f>IF(Table13[[#This Row],[Good_Qty]]&gt;=Table13[[#This Row],[Planned_Production]],"Met","Not Met")</f>
        <v>Met</v>
      </c>
      <c r="Q182">
        <f>Table13[[#This Row],[Good_Qty]]-Table13[[#This Row],[Planned_Production]]</f>
        <v>240</v>
      </c>
      <c r="R182" s="3">
        <f>IF(Table13[[#This Row],[Actual_Qty]]=0,0,Table13[[#This Row],[Reject_Qty]]/Table13[[#This Row],[Actual_Qty]])</f>
        <v>9.0090090090090089E-3</v>
      </c>
      <c r="S182">
        <v>435.57</v>
      </c>
      <c r="T182">
        <f>(Table13[[#This Row],[Ideal_Cycle_Time_sec]]*Table13[[#This Row],[Actual_Qty]])/(Table13[[#This Row],[Operational_Time_min]]*60)</f>
        <v>0.49081892692334189</v>
      </c>
      <c r="U182">
        <f>Table13[[#This Row],[Good_Qty]]/Table13[[#This Row],[Actual_Qty]]</f>
        <v>0.99099099099099097</v>
      </c>
      <c r="V182" t="str">
        <f>IF(OR(Table13[[#This Row],[Performance_%]]&gt;=1,Table13[[#This Row],[Performance_%]]&lt;=0),"Error","OK")</f>
        <v>OK</v>
      </c>
      <c r="W182" t="str">
        <f>IF(OR(Table13[[#This Row],[Quality_%]]&gt;=1,Table13[[#This Row],[Quality_%]]&lt;=0),"Error","OK")</f>
        <v>OK</v>
      </c>
      <c r="X182">
        <f>Table13[[#This Row],[Performance_%]]*Table13[[#This Row],[Quality_%]]*[2]Availability_KPI!K182</f>
        <v>0.47080000000000005</v>
      </c>
      <c r="Y182" t="str">
        <f>IF(OR(Table13[[#This Row],[OEE_%]]&gt;1,Table13[[#This Row],[OEE_%]]&lt;0),"Error","OK")</f>
        <v>OK</v>
      </c>
    </row>
    <row r="183" spans="1:25" x14ac:dyDescent="0.2">
      <c r="A183" t="s">
        <v>255</v>
      </c>
      <c r="B183" t="s">
        <v>250</v>
      </c>
      <c r="C183" s="2">
        <v>46246</v>
      </c>
      <c r="D183" t="s">
        <v>53</v>
      </c>
      <c r="E183" t="s">
        <v>43</v>
      </c>
      <c r="F183" t="s">
        <v>97</v>
      </c>
      <c r="G183" t="s">
        <v>36</v>
      </c>
      <c r="H183">
        <v>683</v>
      </c>
      <c r="I183">
        <v>675</v>
      </c>
      <c r="J183">
        <v>8</v>
      </c>
      <c r="K183">
        <v>34.24</v>
      </c>
      <c r="L183">
        <v>37.44</v>
      </c>
      <c r="M183">
        <v>426.24</v>
      </c>
      <c r="N183">
        <f>_xlfn.XLOOKUP(Table13[[#This Row],[Production_Order_ID]],[1]Sheet1!$A$2:$A$391,[1]Sheet1!$F$2:$F$391,"No Match")</f>
        <v>420</v>
      </c>
      <c r="O183" s="3">
        <f>Table13[[#This Row],[Good_Qty]]/Table13[[#This Row],[Planned_Production]]</f>
        <v>1.6071428571428572</v>
      </c>
      <c r="P183" t="str">
        <f>IF(Table13[[#This Row],[Good_Qty]]&gt;=Table13[[#This Row],[Planned_Production]],"Met","Not Met")</f>
        <v>Met</v>
      </c>
      <c r="Q183">
        <f>Table13[[#This Row],[Good_Qty]]-Table13[[#This Row],[Planned_Production]]</f>
        <v>255</v>
      </c>
      <c r="R183" s="3">
        <f>IF(Table13[[#This Row],[Actual_Qty]]=0,0,Table13[[#This Row],[Reject_Qty]]/Table13[[#This Row],[Actual_Qty]])</f>
        <v>1.171303074670571E-2</v>
      </c>
      <c r="S183">
        <v>406.25</v>
      </c>
      <c r="T183">
        <f>(Table13[[#This Row],[Ideal_Cycle_Time_sec]]*Table13[[#This Row],[Actual_Qty]])/(Table13[[#This Row],[Operational_Time_min]]*60)</f>
        <v>0.95942235897435901</v>
      </c>
      <c r="U183">
        <f>Table13[[#This Row],[Good_Qty]]/Table13[[#This Row],[Actual_Qty]]</f>
        <v>0.98828696925329429</v>
      </c>
      <c r="V183" t="str">
        <f>IF(OR(Table13[[#This Row],[Performance_%]]&gt;=1,Table13[[#This Row],[Performance_%]]&lt;=0),"Error","OK")</f>
        <v>OK</v>
      </c>
      <c r="W183" t="str">
        <f>IF(OR(Table13[[#This Row],[Quality_%]]&gt;=1,Table13[[#This Row],[Quality_%]]&lt;=0),"Error","OK")</f>
        <v>OK</v>
      </c>
      <c r="X183">
        <f>Table13[[#This Row],[Performance_%]]*Table13[[#This Row],[Quality_%]]*[2]Availability_KPI!K183</f>
        <v>0.85599999999999998</v>
      </c>
      <c r="Y183" t="str">
        <f>IF(OR(Table13[[#This Row],[OEE_%]]&gt;1,Table13[[#This Row],[OEE_%]]&lt;0),"Error","OK")</f>
        <v>OK</v>
      </c>
    </row>
    <row r="184" spans="1:25" x14ac:dyDescent="0.2">
      <c r="A184" t="s">
        <v>256</v>
      </c>
      <c r="B184" t="s">
        <v>250</v>
      </c>
      <c r="C184" s="2">
        <v>46246</v>
      </c>
      <c r="D184" t="s">
        <v>53</v>
      </c>
      <c r="E184" t="s">
        <v>46</v>
      </c>
      <c r="F184" t="s">
        <v>97</v>
      </c>
      <c r="G184" t="s">
        <v>47</v>
      </c>
      <c r="H184">
        <v>673</v>
      </c>
      <c r="I184">
        <v>667</v>
      </c>
      <c r="J184">
        <v>6</v>
      </c>
      <c r="K184">
        <v>26.75</v>
      </c>
      <c r="L184">
        <v>27.41</v>
      </c>
      <c r="M184">
        <v>307.44</v>
      </c>
      <c r="N184">
        <f>_xlfn.XLOOKUP(Table13[[#This Row],[Production_Order_ID]],[1]Sheet1!$A$2:$A$391,[1]Sheet1!$F$2:$F$391,"No Match")</f>
        <v>420</v>
      </c>
      <c r="O184" s="3">
        <f>Table13[[#This Row],[Good_Qty]]/Table13[[#This Row],[Planned_Production]]</f>
        <v>1.588095238095238</v>
      </c>
      <c r="P184" t="str">
        <f>IF(Table13[[#This Row],[Good_Qty]]&gt;=Table13[[#This Row],[Planned_Production]],"Met","Not Met")</f>
        <v>Met</v>
      </c>
      <c r="Q184">
        <f>Table13[[#This Row],[Good_Qty]]-Table13[[#This Row],[Planned_Production]]</f>
        <v>247</v>
      </c>
      <c r="R184" s="3">
        <f>IF(Table13[[#This Row],[Actual_Qty]]=0,0,Table13[[#This Row],[Reject_Qty]]/Table13[[#This Row],[Actual_Qty]])</f>
        <v>8.9153046062407128E-3</v>
      </c>
      <c r="S184">
        <v>424.77</v>
      </c>
      <c r="T184">
        <f>(Table13[[#This Row],[Ideal_Cycle_Time_sec]]*Table13[[#This Row],[Actual_Qty]])/(Table13[[#This Row],[Operational_Time_min]]*60)</f>
        <v>0.70637246823771305</v>
      </c>
      <c r="U184">
        <f>Table13[[#This Row],[Good_Qty]]/Table13[[#This Row],[Actual_Qty]]</f>
        <v>0.99108469539375932</v>
      </c>
      <c r="V184" t="str">
        <f>IF(OR(Table13[[#This Row],[Performance_%]]&gt;=1,Table13[[#This Row],[Performance_%]]&lt;=0),"Error","OK")</f>
        <v>OK</v>
      </c>
      <c r="W184" t="str">
        <f>IF(OR(Table13[[#This Row],[Quality_%]]&gt;=1,Table13[[#This Row],[Quality_%]]&lt;=0),"Error","OK")</f>
        <v>OK</v>
      </c>
      <c r="X184">
        <f>Table13[[#This Row],[Performance_%]]*Table13[[#This Row],[Quality_%]]*[2]Availability_KPI!K184</f>
        <v>0.66082407407407417</v>
      </c>
      <c r="Y184" t="str">
        <f>IF(OR(Table13[[#This Row],[OEE_%]]&gt;1,Table13[[#This Row],[OEE_%]]&lt;0),"Error","OK")</f>
        <v>OK</v>
      </c>
    </row>
    <row r="185" spans="1:25" x14ac:dyDescent="0.2">
      <c r="A185" t="s">
        <v>257</v>
      </c>
      <c r="B185" t="s">
        <v>250</v>
      </c>
      <c r="C185" s="2">
        <v>46246</v>
      </c>
      <c r="D185" t="s">
        <v>53</v>
      </c>
      <c r="E185" t="s">
        <v>49</v>
      </c>
      <c r="F185" t="s">
        <v>97</v>
      </c>
      <c r="G185" t="s">
        <v>30</v>
      </c>
      <c r="H185">
        <v>676</v>
      </c>
      <c r="I185">
        <v>674</v>
      </c>
      <c r="J185">
        <v>2</v>
      </c>
      <c r="K185">
        <v>21.4</v>
      </c>
      <c r="L185">
        <v>21.4</v>
      </c>
      <c r="M185">
        <v>241.11</v>
      </c>
      <c r="N185">
        <f>_xlfn.XLOOKUP(Table13[[#This Row],[Production_Order_ID]],[1]Sheet1!$A$2:$A$391,[1]Sheet1!$F$2:$F$391,"No Match")</f>
        <v>420</v>
      </c>
      <c r="O185" s="3">
        <f>Table13[[#This Row],[Good_Qty]]/Table13[[#This Row],[Planned_Production]]</f>
        <v>1.6047619047619048</v>
      </c>
      <c r="P185" t="str">
        <f>IF(Table13[[#This Row],[Good_Qty]]&gt;=Table13[[#This Row],[Planned_Production]],"Met","Not Met")</f>
        <v>Met</v>
      </c>
      <c r="Q185">
        <f>Table13[[#This Row],[Good_Qty]]-Table13[[#This Row],[Planned_Production]]</f>
        <v>254</v>
      </c>
      <c r="R185" s="3">
        <f>IF(Table13[[#This Row],[Actual_Qty]]=0,0,Table13[[#This Row],[Reject_Qty]]/Table13[[#This Row],[Actual_Qty]])</f>
        <v>2.9585798816568047E-3</v>
      </c>
      <c r="S185">
        <v>440.32</v>
      </c>
      <c r="T185">
        <f>(Table13[[#This Row],[Ideal_Cycle_Time_sec]]*Table13[[#This Row],[Actual_Qty]])/(Table13[[#This Row],[Operational_Time_min]]*60)</f>
        <v>0.54757146317829453</v>
      </c>
      <c r="U185">
        <f>Table13[[#This Row],[Good_Qty]]/Table13[[#This Row],[Actual_Qty]]</f>
        <v>0.99704142011834318</v>
      </c>
      <c r="V185" t="str">
        <f>IF(OR(Table13[[#This Row],[Performance_%]]&gt;=1,Table13[[#This Row],[Performance_%]]&lt;=0),"Error","OK")</f>
        <v>OK</v>
      </c>
      <c r="W185" t="str">
        <f>IF(OR(Table13[[#This Row],[Quality_%]]&gt;=1,Table13[[#This Row],[Quality_%]]&lt;=0),"Error","OK")</f>
        <v>OK</v>
      </c>
      <c r="X185">
        <f>Table13[[#This Row],[Performance_%]]*Table13[[#This Row],[Quality_%]]*[2]Availability_KPI!K185</f>
        <v>0.53420740740740735</v>
      </c>
      <c r="Y185" t="str">
        <f>IF(OR(Table13[[#This Row],[OEE_%]]&gt;1,Table13[[#This Row],[OEE_%]]&lt;0),"Error","OK")</f>
        <v>OK</v>
      </c>
    </row>
    <row r="186" spans="1:25" x14ac:dyDescent="0.2">
      <c r="A186" t="s">
        <v>258</v>
      </c>
      <c r="B186" t="s">
        <v>259</v>
      </c>
      <c r="C186" s="2">
        <v>46246</v>
      </c>
      <c r="D186" t="s">
        <v>67</v>
      </c>
      <c r="E186" t="s">
        <v>28</v>
      </c>
      <c r="F186" t="s">
        <v>97</v>
      </c>
      <c r="G186" t="s">
        <v>30</v>
      </c>
      <c r="H186">
        <v>597</v>
      </c>
      <c r="I186">
        <v>594</v>
      </c>
      <c r="J186">
        <v>3</v>
      </c>
      <c r="K186">
        <v>19.260000000000002</v>
      </c>
      <c r="L186">
        <v>20.39</v>
      </c>
      <c r="M186">
        <v>202.92</v>
      </c>
      <c r="N186">
        <f>_xlfn.XLOOKUP(Table13[[#This Row],[Production_Order_ID]],[1]Sheet1!$A$2:$A$391,[1]Sheet1!$F$2:$F$391,"No Match")</f>
        <v>660</v>
      </c>
      <c r="O186" s="3">
        <f>Table13[[#This Row],[Good_Qty]]/Table13[[#This Row],[Planned_Production]]</f>
        <v>0.9</v>
      </c>
      <c r="P186" t="str">
        <f>IF(Table13[[#This Row],[Good_Qty]]&gt;=Table13[[#This Row],[Planned_Production]],"Met","Not Met")</f>
        <v>Not Met</v>
      </c>
      <c r="Q186">
        <f>Table13[[#This Row],[Good_Qty]]-Table13[[#This Row],[Planned_Production]]</f>
        <v>-66</v>
      </c>
      <c r="R186" s="3">
        <f>IF(Table13[[#This Row],[Actual_Qty]]=0,0,Table13[[#This Row],[Reject_Qty]]/Table13[[#This Row],[Actual_Qty]])</f>
        <v>5.0251256281407036E-3</v>
      </c>
      <c r="S186">
        <v>442.35</v>
      </c>
      <c r="T186">
        <f>(Table13[[#This Row],[Ideal_Cycle_Time_sec]]*Table13[[#This Row],[Actual_Qty]])/(Table13[[#This Row],[Operational_Time_min]]*60)</f>
        <v>0.43322482197355039</v>
      </c>
      <c r="U186">
        <f>Table13[[#This Row],[Good_Qty]]/Table13[[#This Row],[Actual_Qty]]</f>
        <v>0.99497487437185927</v>
      </c>
      <c r="V186" t="str">
        <f>IF(OR(Table13[[#This Row],[Performance_%]]&gt;=1,Table13[[#This Row],[Performance_%]]&lt;=0),"Error","OK")</f>
        <v>OK</v>
      </c>
      <c r="W186" t="str">
        <f>IF(OR(Table13[[#This Row],[Quality_%]]&gt;=1,Table13[[#This Row],[Quality_%]]&lt;=0),"Error","OK")</f>
        <v>OK</v>
      </c>
      <c r="X186">
        <f>Table13[[#This Row],[Performance_%]]*Table13[[#This Row],[Quality_%]]*[2]Availability_KPI!K186</f>
        <v>0.42372000000000004</v>
      </c>
      <c r="Y186" t="str">
        <f>IF(OR(Table13[[#This Row],[OEE_%]]&gt;1,Table13[[#This Row],[OEE_%]]&lt;0),"Error","OK")</f>
        <v>OK</v>
      </c>
    </row>
    <row r="187" spans="1:25" x14ac:dyDescent="0.2">
      <c r="A187" t="s">
        <v>260</v>
      </c>
      <c r="B187" t="s">
        <v>259</v>
      </c>
      <c r="C187" s="2">
        <v>46246</v>
      </c>
      <c r="D187" t="s">
        <v>67</v>
      </c>
      <c r="E187" t="s">
        <v>32</v>
      </c>
      <c r="F187" t="s">
        <v>97</v>
      </c>
      <c r="G187" t="s">
        <v>50</v>
      </c>
      <c r="H187">
        <v>593</v>
      </c>
      <c r="I187">
        <v>589</v>
      </c>
      <c r="J187">
        <v>4</v>
      </c>
      <c r="K187">
        <v>21.4</v>
      </c>
      <c r="L187">
        <v>21.86</v>
      </c>
      <c r="M187">
        <v>216.09</v>
      </c>
      <c r="N187">
        <f>_xlfn.XLOOKUP(Table13[[#This Row],[Production_Order_ID]],[1]Sheet1!$A$2:$A$391,[1]Sheet1!$F$2:$F$391,"No Match")</f>
        <v>660</v>
      </c>
      <c r="O187" s="3">
        <f>Table13[[#This Row],[Good_Qty]]/Table13[[#This Row],[Planned_Production]]</f>
        <v>0.89242424242424245</v>
      </c>
      <c r="P187" t="str">
        <f>IF(Table13[[#This Row],[Good_Qty]]&gt;=Table13[[#This Row],[Planned_Production]],"Met","Not Met")</f>
        <v>Not Met</v>
      </c>
      <c r="Q187">
        <f>Table13[[#This Row],[Good_Qty]]-Table13[[#This Row],[Planned_Production]]</f>
        <v>-71</v>
      </c>
      <c r="R187" s="3">
        <f>IF(Table13[[#This Row],[Actual_Qty]]=0,0,Table13[[#This Row],[Reject_Qty]]/Table13[[#This Row],[Actual_Qty]])</f>
        <v>6.7453625632377737E-3</v>
      </c>
      <c r="S187">
        <v>440.34</v>
      </c>
      <c r="T187">
        <f>(Table13[[#This Row],[Ideal_Cycle_Time_sec]]*Table13[[#This Row],[Actual_Qty]])/(Table13[[#This Row],[Operational_Time_min]]*60)</f>
        <v>0.48031823893657932</v>
      </c>
      <c r="U187">
        <f>Table13[[#This Row],[Good_Qty]]/Table13[[#This Row],[Actual_Qty]]</f>
        <v>0.99325463743676223</v>
      </c>
      <c r="V187" t="str">
        <f>IF(OR(Table13[[#This Row],[Performance_%]]&gt;=1,Table13[[#This Row],[Performance_%]]&lt;=0),"Error","OK")</f>
        <v>OK</v>
      </c>
      <c r="W187" t="str">
        <f>IF(OR(Table13[[#This Row],[Quality_%]]&gt;=1,Table13[[#This Row],[Quality_%]]&lt;=0),"Error","OK")</f>
        <v>OK</v>
      </c>
      <c r="X187">
        <f>Table13[[#This Row],[Performance_%]]*Table13[[#This Row],[Quality_%]]*[2]Availability_KPI!K187</f>
        <v>0.46683703703703699</v>
      </c>
      <c r="Y187" t="str">
        <f>IF(OR(Table13[[#This Row],[OEE_%]]&gt;1,Table13[[#This Row],[OEE_%]]&lt;0),"Error","OK")</f>
        <v>OK</v>
      </c>
    </row>
    <row r="188" spans="1:25" x14ac:dyDescent="0.2">
      <c r="A188" t="s">
        <v>261</v>
      </c>
      <c r="B188" t="s">
        <v>259</v>
      </c>
      <c r="C188" s="2">
        <v>46246</v>
      </c>
      <c r="D188" t="s">
        <v>67</v>
      </c>
      <c r="E188" t="s">
        <v>35</v>
      </c>
      <c r="F188" t="s">
        <v>97</v>
      </c>
      <c r="G188" t="s">
        <v>39</v>
      </c>
      <c r="H188">
        <v>595</v>
      </c>
      <c r="I188">
        <v>591</v>
      </c>
      <c r="J188">
        <v>4</v>
      </c>
      <c r="K188">
        <v>23.54</v>
      </c>
      <c r="L188">
        <v>24.98</v>
      </c>
      <c r="M188">
        <v>247.75</v>
      </c>
      <c r="N188">
        <f>_xlfn.XLOOKUP(Table13[[#This Row],[Production_Order_ID]],[1]Sheet1!$A$2:$A$391,[1]Sheet1!$F$2:$F$391,"No Match")</f>
        <v>660</v>
      </c>
      <c r="O188" s="3">
        <f>Table13[[#This Row],[Good_Qty]]/Table13[[#This Row],[Planned_Production]]</f>
        <v>0.8954545454545455</v>
      </c>
      <c r="P188" t="str">
        <f>IF(Table13[[#This Row],[Good_Qty]]&gt;=Table13[[#This Row],[Planned_Production]],"Met","Not Met")</f>
        <v>Not Met</v>
      </c>
      <c r="Q188">
        <f>Table13[[#This Row],[Good_Qty]]-Table13[[#This Row],[Planned_Production]]</f>
        <v>-69</v>
      </c>
      <c r="R188" s="3">
        <f>IF(Table13[[#This Row],[Actual_Qty]]=0,0,Table13[[#This Row],[Reject_Qty]]/Table13[[#This Row],[Actual_Qty]])</f>
        <v>6.7226890756302525E-3</v>
      </c>
      <c r="S188">
        <v>433.29</v>
      </c>
      <c r="T188">
        <f>(Table13[[#This Row],[Ideal_Cycle_Time_sec]]*Table13[[#This Row],[Actual_Qty]])/(Table13[[#This Row],[Operational_Time_min]]*60)</f>
        <v>0.53875772192603866</v>
      </c>
      <c r="U188">
        <f>Table13[[#This Row],[Good_Qty]]/Table13[[#This Row],[Actual_Qty]]</f>
        <v>0.99327731092436977</v>
      </c>
      <c r="V188" t="str">
        <f>IF(OR(Table13[[#This Row],[Performance_%]]&gt;=1,Table13[[#This Row],[Performance_%]]&lt;=0),"Error","OK")</f>
        <v>OK</v>
      </c>
      <c r="W188" t="str">
        <f>IF(OR(Table13[[#This Row],[Quality_%]]&gt;=1,Table13[[#This Row],[Quality_%]]&lt;=0),"Error","OK")</f>
        <v>OK</v>
      </c>
      <c r="X188">
        <f>Table13[[#This Row],[Performance_%]]*Table13[[#This Row],[Quality_%]]*[2]Availability_KPI!K188</f>
        <v>0.51526444444444441</v>
      </c>
      <c r="Y188" t="str">
        <f>IF(OR(Table13[[#This Row],[OEE_%]]&gt;1,Table13[[#This Row],[OEE_%]]&lt;0),"Error","OK")</f>
        <v>OK</v>
      </c>
    </row>
    <row r="189" spans="1:25" x14ac:dyDescent="0.2">
      <c r="A189" t="s">
        <v>262</v>
      </c>
      <c r="B189" t="s">
        <v>259</v>
      </c>
      <c r="C189" s="2">
        <v>46246</v>
      </c>
      <c r="D189" t="s">
        <v>67</v>
      </c>
      <c r="E189" t="s">
        <v>38</v>
      </c>
      <c r="F189" t="s">
        <v>97</v>
      </c>
      <c r="G189" t="s">
        <v>50</v>
      </c>
      <c r="H189">
        <v>591</v>
      </c>
      <c r="I189">
        <v>587</v>
      </c>
      <c r="J189">
        <v>4</v>
      </c>
      <c r="K189">
        <v>21.4</v>
      </c>
      <c r="L189">
        <v>22.37</v>
      </c>
      <c r="M189">
        <v>220.38</v>
      </c>
      <c r="N189">
        <f>_xlfn.XLOOKUP(Table13[[#This Row],[Production_Order_ID]],[1]Sheet1!$A$2:$A$391,[1]Sheet1!$F$2:$F$391,"No Match")</f>
        <v>660</v>
      </c>
      <c r="O189" s="3">
        <f>Table13[[#This Row],[Good_Qty]]/Table13[[#This Row],[Planned_Production]]</f>
        <v>0.8893939393939394</v>
      </c>
      <c r="P189" t="str">
        <f>IF(Table13[[#This Row],[Good_Qty]]&gt;=Table13[[#This Row],[Planned_Production]],"Met","Not Met")</f>
        <v>Not Met</v>
      </c>
      <c r="Q189">
        <f>Table13[[#This Row],[Good_Qty]]-Table13[[#This Row],[Planned_Production]]</f>
        <v>-73</v>
      </c>
      <c r="R189" s="3">
        <f>IF(Table13[[#This Row],[Actual_Qty]]=0,0,Table13[[#This Row],[Reject_Qty]]/Table13[[#This Row],[Actual_Qty]])</f>
        <v>6.7681895093062603E-3</v>
      </c>
      <c r="S189">
        <v>439.97</v>
      </c>
      <c r="T189">
        <f>(Table13[[#This Row],[Ideal_Cycle_Time_sec]]*Table13[[#This Row],[Actual_Qty]])/(Table13[[#This Row],[Operational_Time_min]]*60)</f>
        <v>0.47910084778507622</v>
      </c>
      <c r="U189">
        <f>Table13[[#This Row],[Good_Qty]]/Table13[[#This Row],[Actual_Qty]]</f>
        <v>0.99323181049069376</v>
      </c>
      <c r="V189" t="str">
        <f>IF(OR(Table13[[#This Row],[Performance_%]]&gt;=1,Table13[[#This Row],[Performance_%]]&lt;=0),"Error","OK")</f>
        <v>OK</v>
      </c>
      <c r="W189" t="str">
        <f>IF(OR(Table13[[#This Row],[Quality_%]]&gt;=1,Table13[[#This Row],[Quality_%]]&lt;=0),"Error","OK")</f>
        <v>OK</v>
      </c>
      <c r="X189">
        <f>Table13[[#This Row],[Performance_%]]*Table13[[#This Row],[Quality_%]]*[2]Availability_KPI!K189</f>
        <v>0.46525185185185186</v>
      </c>
      <c r="Y189" t="str">
        <f>IF(OR(Table13[[#This Row],[OEE_%]]&gt;1,Table13[[#This Row],[OEE_%]]&lt;0),"Error","OK")</f>
        <v>OK</v>
      </c>
    </row>
    <row r="190" spans="1:25" x14ac:dyDescent="0.2">
      <c r="A190" t="s">
        <v>263</v>
      </c>
      <c r="B190" t="s">
        <v>259</v>
      </c>
      <c r="C190" s="2">
        <v>46246</v>
      </c>
      <c r="D190" t="s">
        <v>67</v>
      </c>
      <c r="E190" t="s">
        <v>41</v>
      </c>
      <c r="F190" t="s">
        <v>97</v>
      </c>
      <c r="G190" t="s">
        <v>55</v>
      </c>
      <c r="H190">
        <v>594</v>
      </c>
      <c r="I190">
        <v>590</v>
      </c>
      <c r="J190">
        <v>4</v>
      </c>
      <c r="K190">
        <v>19.260000000000002</v>
      </c>
      <c r="L190">
        <v>21.28</v>
      </c>
      <c r="M190">
        <v>210.67</v>
      </c>
      <c r="N190">
        <f>_xlfn.XLOOKUP(Table13[[#This Row],[Production_Order_ID]],[1]Sheet1!$A$2:$A$391,[1]Sheet1!$F$2:$F$391,"No Match")</f>
        <v>660</v>
      </c>
      <c r="O190" s="3">
        <f>Table13[[#This Row],[Good_Qty]]/Table13[[#This Row],[Planned_Production]]</f>
        <v>0.89393939393939392</v>
      </c>
      <c r="P190" t="str">
        <f>IF(Table13[[#This Row],[Good_Qty]]&gt;=Table13[[#This Row],[Planned_Production]],"Met","Not Met")</f>
        <v>Not Met</v>
      </c>
      <c r="Q190">
        <f>Table13[[#This Row],[Good_Qty]]-Table13[[#This Row],[Planned_Production]]</f>
        <v>-70</v>
      </c>
      <c r="R190" s="3">
        <f>IF(Table13[[#This Row],[Actual_Qty]]=0,0,Table13[[#This Row],[Reject_Qty]]/Table13[[#This Row],[Actual_Qty]])</f>
        <v>6.7340067340067337E-3</v>
      </c>
      <c r="S190">
        <v>440.17</v>
      </c>
      <c r="T190">
        <f>(Table13[[#This Row],[Ideal_Cycle_Time_sec]]*Table13[[#This Row],[Actual_Qty]])/(Table13[[#This Row],[Operational_Time_min]]*60)</f>
        <v>0.43318263398232504</v>
      </c>
      <c r="U190">
        <f>Table13[[#This Row],[Good_Qty]]/Table13[[#This Row],[Actual_Qty]]</f>
        <v>0.9932659932659933</v>
      </c>
      <c r="V190" t="str">
        <f>IF(OR(Table13[[#This Row],[Performance_%]]&gt;=1,Table13[[#This Row],[Performance_%]]&lt;=0),"Error","OK")</f>
        <v>OK</v>
      </c>
      <c r="W190" t="str">
        <f>IF(OR(Table13[[#This Row],[Quality_%]]&gt;=1,Table13[[#This Row],[Quality_%]]&lt;=0),"Error","OK")</f>
        <v>OK</v>
      </c>
      <c r="X190">
        <f>Table13[[#This Row],[Performance_%]]*Table13[[#This Row],[Quality_%]]*[2]Availability_KPI!K190</f>
        <v>0.42086666666666672</v>
      </c>
      <c r="Y190" t="str">
        <f>IF(OR(Table13[[#This Row],[OEE_%]]&gt;1,Table13[[#This Row],[OEE_%]]&lt;0),"Error","OK")</f>
        <v>OK</v>
      </c>
    </row>
    <row r="191" spans="1:25" x14ac:dyDescent="0.2">
      <c r="A191" t="s">
        <v>264</v>
      </c>
      <c r="B191" t="s">
        <v>259</v>
      </c>
      <c r="C191" s="2">
        <v>46246</v>
      </c>
      <c r="D191" t="s">
        <v>67</v>
      </c>
      <c r="E191" t="s">
        <v>43</v>
      </c>
      <c r="F191" t="s">
        <v>97</v>
      </c>
      <c r="G191" t="s">
        <v>57</v>
      </c>
      <c r="H191">
        <v>579</v>
      </c>
      <c r="I191">
        <v>569</v>
      </c>
      <c r="J191">
        <v>10</v>
      </c>
      <c r="K191">
        <v>34.24</v>
      </c>
      <c r="L191">
        <v>36.1</v>
      </c>
      <c r="M191">
        <v>348.35</v>
      </c>
      <c r="N191">
        <f>_xlfn.XLOOKUP(Table13[[#This Row],[Production_Order_ID]],[1]Sheet1!$A$2:$A$391,[1]Sheet1!$F$2:$F$391,"No Match")</f>
        <v>660</v>
      </c>
      <c r="O191" s="3">
        <f>Table13[[#This Row],[Good_Qty]]/Table13[[#This Row],[Planned_Production]]</f>
        <v>0.86212121212121207</v>
      </c>
      <c r="P191" t="str">
        <f>IF(Table13[[#This Row],[Good_Qty]]&gt;=Table13[[#This Row],[Planned_Production]],"Met","Not Met")</f>
        <v>Not Met</v>
      </c>
      <c r="Q191">
        <f>Table13[[#This Row],[Good_Qty]]-Table13[[#This Row],[Planned_Production]]</f>
        <v>-91</v>
      </c>
      <c r="R191" s="3">
        <f>IF(Table13[[#This Row],[Actual_Qty]]=0,0,Table13[[#This Row],[Reject_Qty]]/Table13[[#This Row],[Actual_Qty]])</f>
        <v>1.7271157167530225E-2</v>
      </c>
      <c r="S191">
        <v>418.07</v>
      </c>
      <c r="T191">
        <f>(Table13[[#This Row],[Ideal_Cycle_Time_sec]]*Table13[[#This Row],[Actual_Qty]])/(Table13[[#This Row],[Operational_Time_min]]*60)</f>
        <v>0.79033654651134988</v>
      </c>
      <c r="U191">
        <f>Table13[[#This Row],[Good_Qty]]/Table13[[#This Row],[Actual_Qty]]</f>
        <v>0.98272884283246975</v>
      </c>
      <c r="V191" t="str">
        <f>IF(OR(Table13[[#This Row],[Performance_%]]&gt;=1,Table13[[#This Row],[Performance_%]]&lt;=0),"Error","OK")</f>
        <v>OK</v>
      </c>
      <c r="W191" t="str">
        <f>IF(OR(Table13[[#This Row],[Quality_%]]&gt;=1,Table13[[#This Row],[Quality_%]]&lt;=0),"Error","OK")</f>
        <v>OK</v>
      </c>
      <c r="X191">
        <f>Table13[[#This Row],[Performance_%]]*Table13[[#This Row],[Quality_%]]*[2]Availability_KPI!K191</f>
        <v>0.72157629629629638</v>
      </c>
      <c r="Y191" t="str">
        <f>IF(OR(Table13[[#This Row],[OEE_%]]&gt;1,Table13[[#This Row],[OEE_%]]&lt;0),"Error","OK")</f>
        <v>OK</v>
      </c>
    </row>
    <row r="192" spans="1:25" x14ac:dyDescent="0.2">
      <c r="A192" t="s">
        <v>265</v>
      </c>
      <c r="B192" t="s">
        <v>259</v>
      </c>
      <c r="C192" s="2">
        <v>46246</v>
      </c>
      <c r="D192" t="s">
        <v>67</v>
      </c>
      <c r="E192" t="s">
        <v>46</v>
      </c>
      <c r="F192" t="s">
        <v>97</v>
      </c>
      <c r="G192" t="s">
        <v>61</v>
      </c>
      <c r="H192">
        <v>583</v>
      </c>
      <c r="I192">
        <v>577</v>
      </c>
      <c r="J192">
        <v>6</v>
      </c>
      <c r="K192">
        <v>26.75</v>
      </c>
      <c r="L192">
        <v>27.97</v>
      </c>
      <c r="M192">
        <v>271.73</v>
      </c>
      <c r="N192">
        <f>_xlfn.XLOOKUP(Table13[[#This Row],[Production_Order_ID]],[1]Sheet1!$A$2:$A$391,[1]Sheet1!$F$2:$F$391,"No Match")</f>
        <v>660</v>
      </c>
      <c r="O192" s="3">
        <f>Table13[[#This Row],[Good_Qty]]/Table13[[#This Row],[Planned_Production]]</f>
        <v>0.87424242424242427</v>
      </c>
      <c r="P192" t="str">
        <f>IF(Table13[[#This Row],[Good_Qty]]&gt;=Table13[[#This Row],[Planned_Production]],"Met","Not Met")</f>
        <v>Not Met</v>
      </c>
      <c r="Q192">
        <f>Table13[[#This Row],[Good_Qty]]-Table13[[#This Row],[Planned_Production]]</f>
        <v>-83</v>
      </c>
      <c r="R192" s="3">
        <f>IF(Table13[[#This Row],[Actual_Qty]]=0,0,Table13[[#This Row],[Reject_Qty]]/Table13[[#This Row],[Actual_Qty]])</f>
        <v>1.0291595197255575E-2</v>
      </c>
      <c r="S192">
        <v>427.09</v>
      </c>
      <c r="T192">
        <f>(Table13[[#This Row],[Ideal_Cycle_Time_sec]]*Table13[[#This Row],[Actual_Qty]])/(Table13[[#This Row],[Operational_Time_min]]*60)</f>
        <v>0.60858562207809441</v>
      </c>
      <c r="U192">
        <f>Table13[[#This Row],[Good_Qty]]/Table13[[#This Row],[Actual_Qty]]</f>
        <v>0.98970840480274447</v>
      </c>
      <c r="V192" t="str">
        <f>IF(OR(Table13[[#This Row],[Performance_%]]&gt;=1,Table13[[#This Row],[Performance_%]]&lt;=0),"Error","OK")</f>
        <v>OK</v>
      </c>
      <c r="W192" t="str">
        <f>IF(OR(Table13[[#This Row],[Quality_%]]&gt;=1,Table13[[#This Row],[Quality_%]]&lt;=0),"Error","OK")</f>
        <v>OK</v>
      </c>
      <c r="X192">
        <f>Table13[[#This Row],[Performance_%]]*Table13[[#This Row],[Quality_%]]*[2]Availability_KPI!K192</f>
        <v>0.57165740740740745</v>
      </c>
      <c r="Y192" t="str">
        <f>IF(OR(Table13[[#This Row],[OEE_%]]&gt;1,Table13[[#This Row],[OEE_%]]&lt;0),"Error","OK")</f>
        <v>OK</v>
      </c>
    </row>
    <row r="193" spans="1:25" x14ac:dyDescent="0.2">
      <c r="A193" t="s">
        <v>266</v>
      </c>
      <c r="B193" t="s">
        <v>259</v>
      </c>
      <c r="C193" s="2">
        <v>46246</v>
      </c>
      <c r="D193" t="s">
        <v>67</v>
      </c>
      <c r="E193" t="s">
        <v>49</v>
      </c>
      <c r="F193" t="s">
        <v>97</v>
      </c>
      <c r="G193" t="s">
        <v>47</v>
      </c>
      <c r="H193">
        <v>587</v>
      </c>
      <c r="I193">
        <v>583</v>
      </c>
      <c r="J193">
        <v>4</v>
      </c>
      <c r="K193">
        <v>21.4</v>
      </c>
      <c r="L193">
        <v>22.1</v>
      </c>
      <c r="M193">
        <v>216.24</v>
      </c>
      <c r="N193">
        <f>_xlfn.XLOOKUP(Table13[[#This Row],[Production_Order_ID]],[1]Sheet1!$A$2:$A$391,[1]Sheet1!$F$2:$F$391,"No Match")</f>
        <v>660</v>
      </c>
      <c r="O193" s="3">
        <f>Table13[[#This Row],[Good_Qty]]/Table13[[#This Row],[Planned_Production]]</f>
        <v>0.8833333333333333</v>
      </c>
      <c r="P193" t="str">
        <f>IF(Table13[[#This Row],[Good_Qty]]&gt;=Table13[[#This Row],[Planned_Production]],"Met","Not Met")</f>
        <v>Not Met</v>
      </c>
      <c r="Q193">
        <f>Table13[[#This Row],[Good_Qty]]-Table13[[#This Row],[Planned_Production]]</f>
        <v>-77</v>
      </c>
      <c r="R193" s="3">
        <f>IF(Table13[[#This Row],[Actual_Qty]]=0,0,Table13[[#This Row],[Reject_Qty]]/Table13[[#This Row],[Actual_Qty]])</f>
        <v>6.8143100511073255E-3</v>
      </c>
      <c r="S193">
        <v>446.24</v>
      </c>
      <c r="T193">
        <f>(Table13[[#This Row],[Ideal_Cycle_Time_sec]]*Table13[[#This Row],[Actual_Qty]])/(Table13[[#This Row],[Operational_Time_min]]*60)</f>
        <v>0.46917204493844861</v>
      </c>
      <c r="U193">
        <f>Table13[[#This Row],[Good_Qty]]/Table13[[#This Row],[Actual_Qty]]</f>
        <v>0.99318568994889267</v>
      </c>
      <c r="V193" t="str">
        <f>IF(OR(Table13[[#This Row],[Performance_%]]&gt;=1,Table13[[#This Row],[Performance_%]]&lt;=0),"Error","OK")</f>
        <v>OK</v>
      </c>
      <c r="W193" t="str">
        <f>IF(OR(Table13[[#This Row],[Quality_%]]&gt;=1,Table13[[#This Row],[Quality_%]]&lt;=0),"Error","OK")</f>
        <v>OK</v>
      </c>
      <c r="X193">
        <f>Table13[[#This Row],[Performance_%]]*Table13[[#This Row],[Quality_%]]*[2]Availability_KPI!K193</f>
        <v>0.46208148148148137</v>
      </c>
      <c r="Y193" t="str">
        <f>IF(OR(Table13[[#This Row],[OEE_%]]&gt;1,Table13[[#This Row],[OEE_%]]&lt;0),"Error","OK")</f>
        <v>OK</v>
      </c>
    </row>
    <row r="194" spans="1:25" x14ac:dyDescent="0.2">
      <c r="A194" t="s">
        <v>267</v>
      </c>
      <c r="B194" t="s">
        <v>268</v>
      </c>
      <c r="C194" s="2">
        <v>46247</v>
      </c>
      <c r="D194" t="s">
        <v>27</v>
      </c>
      <c r="E194" t="s">
        <v>28</v>
      </c>
      <c r="F194" t="s">
        <v>54</v>
      </c>
      <c r="G194" t="s">
        <v>33</v>
      </c>
      <c r="H194">
        <v>711</v>
      </c>
      <c r="I194">
        <v>709</v>
      </c>
      <c r="J194">
        <v>2</v>
      </c>
      <c r="K194">
        <v>18</v>
      </c>
      <c r="L194">
        <v>18.84</v>
      </c>
      <c r="M194">
        <v>223.31</v>
      </c>
      <c r="N194">
        <f>_xlfn.XLOOKUP(Table13[[#This Row],[Production_Order_ID]],[1]Sheet1!$A$2:$A$391,[1]Sheet1!$F$2:$F$391,"No Match")</f>
        <v>480</v>
      </c>
      <c r="O194" s="3">
        <f>Table13[[#This Row],[Good_Qty]]/Table13[[#This Row],[Planned_Production]]</f>
        <v>1.4770833333333333</v>
      </c>
      <c r="P194" t="str">
        <f>IF(Table13[[#This Row],[Good_Qty]]&gt;=Table13[[#This Row],[Planned_Production]],"Met","Not Met")</f>
        <v>Met</v>
      </c>
      <c r="Q194">
        <f>Table13[[#This Row],[Good_Qty]]-Table13[[#This Row],[Planned_Production]]</f>
        <v>229</v>
      </c>
      <c r="R194" s="3">
        <f>IF(Table13[[#This Row],[Actual_Qty]]=0,0,Table13[[#This Row],[Reject_Qty]]/Table13[[#This Row],[Actual_Qty]])</f>
        <v>2.8129395218002813E-3</v>
      </c>
      <c r="S194">
        <v>441.32</v>
      </c>
      <c r="T194">
        <f>(Table13[[#This Row],[Ideal_Cycle_Time_sec]]*Table13[[#This Row],[Actual_Qty]])/(Table13[[#This Row],[Operational_Time_min]]*60)</f>
        <v>0.48332275899574006</v>
      </c>
      <c r="U194">
        <f>Table13[[#This Row],[Good_Qty]]/Table13[[#This Row],[Actual_Qty]]</f>
        <v>0.99718706047819972</v>
      </c>
      <c r="V194" t="str">
        <f>IF(OR(Table13[[#This Row],[Performance_%]]&gt;=1,Table13[[#This Row],[Performance_%]]&lt;=0),"Error","OK")</f>
        <v>OK</v>
      </c>
      <c r="W194" t="str">
        <f>IF(OR(Table13[[#This Row],[Quality_%]]&gt;=1,Table13[[#This Row],[Quality_%]]&lt;=0),"Error","OK")</f>
        <v>OK</v>
      </c>
      <c r="X194">
        <f>Table13[[#This Row],[Performance_%]]*Table13[[#This Row],[Quality_%]]*[2]Availability_KPI!K194</f>
        <v>0.47266666666666668</v>
      </c>
      <c r="Y194" t="str">
        <f>IF(OR(Table13[[#This Row],[OEE_%]]&gt;1,Table13[[#This Row],[OEE_%]]&lt;0),"Error","OK")</f>
        <v>OK</v>
      </c>
    </row>
    <row r="195" spans="1:25" x14ac:dyDescent="0.2">
      <c r="A195" t="s">
        <v>269</v>
      </c>
      <c r="B195" t="s">
        <v>268</v>
      </c>
      <c r="C195" s="2">
        <v>46247</v>
      </c>
      <c r="D195" t="s">
        <v>27</v>
      </c>
      <c r="E195" t="s">
        <v>32</v>
      </c>
      <c r="F195" t="s">
        <v>54</v>
      </c>
      <c r="G195" t="s">
        <v>55</v>
      </c>
      <c r="H195">
        <v>715</v>
      </c>
      <c r="I195">
        <v>709</v>
      </c>
      <c r="J195">
        <v>6</v>
      </c>
      <c r="K195">
        <v>20</v>
      </c>
      <c r="L195">
        <v>21.46</v>
      </c>
      <c r="M195">
        <v>255.67</v>
      </c>
      <c r="N195">
        <f>_xlfn.XLOOKUP(Table13[[#This Row],[Production_Order_ID]],[1]Sheet1!$A$2:$A$391,[1]Sheet1!$F$2:$F$391,"No Match")</f>
        <v>480</v>
      </c>
      <c r="O195" s="3">
        <f>Table13[[#This Row],[Good_Qty]]/Table13[[#This Row],[Planned_Production]]</f>
        <v>1.4770833333333333</v>
      </c>
      <c r="P195" t="str">
        <f>IF(Table13[[#This Row],[Good_Qty]]&gt;=Table13[[#This Row],[Planned_Production]],"Met","Not Met")</f>
        <v>Met</v>
      </c>
      <c r="Q195">
        <f>Table13[[#This Row],[Good_Qty]]-Table13[[#This Row],[Planned_Production]]</f>
        <v>229</v>
      </c>
      <c r="R195" s="3">
        <f>IF(Table13[[#This Row],[Actual_Qty]]=0,0,Table13[[#This Row],[Reject_Qty]]/Table13[[#This Row],[Actual_Qty]])</f>
        <v>8.3916083916083916E-3</v>
      </c>
      <c r="S195">
        <v>437.34</v>
      </c>
      <c r="T195">
        <f>(Table13[[#This Row],[Ideal_Cycle_Time_sec]]*Table13[[#This Row],[Actual_Qty]])/(Table13[[#This Row],[Operational_Time_min]]*60)</f>
        <v>0.54496120485968202</v>
      </c>
      <c r="U195">
        <f>Table13[[#This Row],[Good_Qty]]/Table13[[#This Row],[Actual_Qty]]</f>
        <v>0.99160839160839165</v>
      </c>
      <c r="V195" t="str">
        <f>IF(OR(Table13[[#This Row],[Performance_%]]&gt;=1,Table13[[#This Row],[Performance_%]]&lt;=0),"Error","OK")</f>
        <v>OK</v>
      </c>
      <c r="W195" t="str">
        <f>IF(OR(Table13[[#This Row],[Quality_%]]&gt;=1,Table13[[#This Row],[Quality_%]]&lt;=0),"Error","OK")</f>
        <v>OK</v>
      </c>
      <c r="X195">
        <f>Table13[[#This Row],[Performance_%]]*Table13[[#This Row],[Quality_%]]*[2]Availability_KPI!K195</f>
        <v>0.5251851851851852</v>
      </c>
      <c r="Y195" t="str">
        <f>IF(OR(Table13[[#This Row],[OEE_%]]&gt;1,Table13[[#This Row],[OEE_%]]&lt;0),"Error","OK")</f>
        <v>OK</v>
      </c>
    </row>
    <row r="196" spans="1:25" x14ac:dyDescent="0.2">
      <c r="A196" t="s">
        <v>270</v>
      </c>
      <c r="B196" t="s">
        <v>268</v>
      </c>
      <c r="C196" s="2">
        <v>46247</v>
      </c>
      <c r="D196" t="s">
        <v>27</v>
      </c>
      <c r="E196" t="s">
        <v>35</v>
      </c>
      <c r="F196" t="s">
        <v>54</v>
      </c>
      <c r="G196" t="s">
        <v>30</v>
      </c>
      <c r="H196">
        <v>727</v>
      </c>
      <c r="I196">
        <v>720</v>
      </c>
      <c r="J196">
        <v>7</v>
      </c>
      <c r="K196">
        <v>22</v>
      </c>
      <c r="L196">
        <v>22.82</v>
      </c>
      <c r="M196">
        <v>276.51</v>
      </c>
      <c r="N196">
        <f>_xlfn.XLOOKUP(Table13[[#This Row],[Production_Order_ID]],[1]Sheet1!$A$2:$A$391,[1]Sheet1!$F$2:$F$391,"No Match")</f>
        <v>480</v>
      </c>
      <c r="O196" s="3">
        <f>Table13[[#This Row],[Good_Qty]]/Table13[[#This Row],[Planned_Production]]</f>
        <v>1.5</v>
      </c>
      <c r="P196" t="str">
        <f>IF(Table13[[#This Row],[Good_Qty]]&gt;=Table13[[#This Row],[Planned_Production]],"Met","Not Met")</f>
        <v>Met</v>
      </c>
      <c r="Q196">
        <f>Table13[[#This Row],[Good_Qty]]-Table13[[#This Row],[Planned_Production]]</f>
        <v>240</v>
      </c>
      <c r="R196" s="3">
        <f>IF(Table13[[#This Row],[Actual_Qty]]=0,0,Table13[[#This Row],[Reject_Qty]]/Table13[[#This Row],[Actual_Qty]])</f>
        <v>9.6286107290233843E-3</v>
      </c>
      <c r="S196">
        <v>431.92</v>
      </c>
      <c r="T196">
        <f>(Table13[[#This Row],[Ideal_Cycle_Time_sec]]*Table13[[#This Row],[Actual_Qty]])/(Table13[[#This Row],[Operational_Time_min]]*60)</f>
        <v>0.61716675927640918</v>
      </c>
      <c r="U196">
        <f>Table13[[#This Row],[Good_Qty]]/Table13[[#This Row],[Actual_Qty]]</f>
        <v>0.99037138927097657</v>
      </c>
      <c r="V196" t="str">
        <f>IF(OR(Table13[[#This Row],[Performance_%]]&gt;=1,Table13[[#This Row],[Performance_%]]&lt;=0),"Error","OK")</f>
        <v>OK</v>
      </c>
      <c r="W196" t="str">
        <f>IF(OR(Table13[[#This Row],[Quality_%]]&gt;=1,Table13[[#This Row],[Quality_%]]&lt;=0),"Error","OK")</f>
        <v>OK</v>
      </c>
      <c r="X196">
        <f>Table13[[#This Row],[Performance_%]]*Table13[[#This Row],[Quality_%]]*[2]Availability_KPI!K196</f>
        <v>0.58666666666666667</v>
      </c>
      <c r="Y196" t="str">
        <f>IF(OR(Table13[[#This Row],[OEE_%]]&gt;1,Table13[[#This Row],[OEE_%]]&lt;0),"Error","OK")</f>
        <v>OK</v>
      </c>
    </row>
    <row r="197" spans="1:25" x14ac:dyDescent="0.2">
      <c r="A197" t="s">
        <v>271</v>
      </c>
      <c r="B197" t="s">
        <v>268</v>
      </c>
      <c r="C197" s="2">
        <v>46247</v>
      </c>
      <c r="D197" t="s">
        <v>27</v>
      </c>
      <c r="E197" t="s">
        <v>38</v>
      </c>
      <c r="F197" t="s">
        <v>54</v>
      </c>
      <c r="G197" t="s">
        <v>71</v>
      </c>
      <c r="H197">
        <v>725</v>
      </c>
      <c r="I197">
        <v>721</v>
      </c>
      <c r="J197">
        <v>4</v>
      </c>
      <c r="K197">
        <v>20</v>
      </c>
      <c r="L197">
        <v>20.46</v>
      </c>
      <c r="M197">
        <v>247.19</v>
      </c>
      <c r="N197">
        <f>_xlfn.XLOOKUP(Table13[[#This Row],[Production_Order_ID]],[1]Sheet1!$A$2:$A$391,[1]Sheet1!$F$2:$F$391,"No Match")</f>
        <v>480</v>
      </c>
      <c r="O197" s="3">
        <f>Table13[[#This Row],[Good_Qty]]/Table13[[#This Row],[Planned_Production]]</f>
        <v>1.5020833333333334</v>
      </c>
      <c r="P197" t="str">
        <f>IF(Table13[[#This Row],[Good_Qty]]&gt;=Table13[[#This Row],[Planned_Production]],"Met","Not Met")</f>
        <v>Met</v>
      </c>
      <c r="Q197">
        <f>Table13[[#This Row],[Good_Qty]]-Table13[[#This Row],[Planned_Production]]</f>
        <v>241</v>
      </c>
      <c r="R197" s="3">
        <f>IF(Table13[[#This Row],[Actual_Qty]]=0,0,Table13[[#This Row],[Reject_Qty]]/Table13[[#This Row],[Actual_Qty]])</f>
        <v>5.5172413793103444E-3</v>
      </c>
      <c r="S197">
        <v>440.25</v>
      </c>
      <c r="T197">
        <f>(Table13[[#This Row],[Ideal_Cycle_Time_sec]]*Table13[[#This Row],[Actual_Qty]])/(Table13[[#This Row],[Operational_Time_min]]*60)</f>
        <v>0.54893053189475671</v>
      </c>
      <c r="U197">
        <f>Table13[[#This Row],[Good_Qty]]/Table13[[#This Row],[Actual_Qty]]</f>
        <v>0.99448275862068969</v>
      </c>
      <c r="V197" t="str">
        <f>IF(OR(Table13[[#This Row],[Performance_%]]&gt;=1,Table13[[#This Row],[Performance_%]]&lt;=0),"Error","OK")</f>
        <v>OK</v>
      </c>
      <c r="W197" t="str">
        <f>IF(OR(Table13[[#This Row],[Quality_%]]&gt;=1,Table13[[#This Row],[Quality_%]]&lt;=0),"Error","OK")</f>
        <v>OK</v>
      </c>
      <c r="X197">
        <f>Table13[[#This Row],[Performance_%]]*Table13[[#This Row],[Quality_%]]*[2]Availability_KPI!K197</f>
        <v>0.53407407407407415</v>
      </c>
      <c r="Y197" t="str">
        <f>IF(OR(Table13[[#This Row],[OEE_%]]&gt;1,Table13[[#This Row],[OEE_%]]&lt;0),"Error","OK")</f>
        <v>OK</v>
      </c>
    </row>
    <row r="198" spans="1:25" x14ac:dyDescent="0.2">
      <c r="A198" t="s">
        <v>272</v>
      </c>
      <c r="B198" t="s">
        <v>268</v>
      </c>
      <c r="C198" s="2">
        <v>46247</v>
      </c>
      <c r="D198" t="s">
        <v>27</v>
      </c>
      <c r="E198" t="s">
        <v>41</v>
      </c>
      <c r="F198" t="s">
        <v>54</v>
      </c>
      <c r="G198" t="s">
        <v>44</v>
      </c>
      <c r="H198">
        <v>720</v>
      </c>
      <c r="I198">
        <v>719</v>
      </c>
      <c r="J198">
        <v>1</v>
      </c>
      <c r="K198">
        <v>18</v>
      </c>
      <c r="L198">
        <v>18.329999999999998</v>
      </c>
      <c r="M198">
        <v>219.93</v>
      </c>
      <c r="N198">
        <f>_xlfn.XLOOKUP(Table13[[#This Row],[Production_Order_ID]],[1]Sheet1!$A$2:$A$391,[1]Sheet1!$F$2:$F$391,"No Match")</f>
        <v>480</v>
      </c>
      <c r="O198" s="3">
        <f>Table13[[#This Row],[Good_Qty]]/Table13[[#This Row],[Planned_Production]]</f>
        <v>1.4979166666666666</v>
      </c>
      <c r="P198" t="str">
        <f>IF(Table13[[#This Row],[Good_Qty]]&gt;=Table13[[#This Row],[Planned_Production]],"Met","Not Met")</f>
        <v>Met</v>
      </c>
      <c r="Q198">
        <f>Table13[[#This Row],[Good_Qty]]-Table13[[#This Row],[Planned_Production]]</f>
        <v>239</v>
      </c>
      <c r="R198" s="3">
        <f>IF(Table13[[#This Row],[Actual_Qty]]=0,0,Table13[[#This Row],[Reject_Qty]]/Table13[[#This Row],[Actual_Qty]])</f>
        <v>1.3888888888888889E-3</v>
      </c>
      <c r="S198">
        <v>433.88</v>
      </c>
      <c r="T198">
        <f>(Table13[[#This Row],[Ideal_Cycle_Time_sec]]*Table13[[#This Row],[Actual_Qty]])/(Table13[[#This Row],[Operational_Time_min]]*60)</f>
        <v>0.49783350235088042</v>
      </c>
      <c r="U198">
        <f>Table13[[#This Row],[Good_Qty]]/Table13[[#This Row],[Actual_Qty]]</f>
        <v>0.99861111111111112</v>
      </c>
      <c r="V198" t="str">
        <f>IF(OR(Table13[[#This Row],[Performance_%]]&gt;=1,Table13[[#This Row],[Performance_%]]&lt;=0),"Error","OK")</f>
        <v>OK</v>
      </c>
      <c r="W198" t="str">
        <f>IF(OR(Table13[[#This Row],[Quality_%]]&gt;=1,Table13[[#This Row],[Quality_%]]&lt;=0),"Error","OK")</f>
        <v>OK</v>
      </c>
      <c r="X198">
        <f>Table13[[#This Row],[Performance_%]]*Table13[[#This Row],[Quality_%]]*[2]Availability_KPI!K198</f>
        <v>0.47933333333333333</v>
      </c>
      <c r="Y198" t="str">
        <f>IF(OR(Table13[[#This Row],[OEE_%]]&gt;1,Table13[[#This Row],[OEE_%]]&lt;0),"Error","OK")</f>
        <v>OK</v>
      </c>
    </row>
    <row r="199" spans="1:25" x14ac:dyDescent="0.2">
      <c r="A199" t="s">
        <v>273</v>
      </c>
      <c r="B199" t="s">
        <v>268</v>
      </c>
      <c r="C199" s="2">
        <v>46247</v>
      </c>
      <c r="D199" t="s">
        <v>27</v>
      </c>
      <c r="E199" t="s">
        <v>43</v>
      </c>
      <c r="F199" t="s">
        <v>54</v>
      </c>
      <c r="G199" t="s">
        <v>39</v>
      </c>
      <c r="H199">
        <v>720</v>
      </c>
      <c r="I199">
        <v>711</v>
      </c>
      <c r="J199">
        <v>9</v>
      </c>
      <c r="K199">
        <v>32</v>
      </c>
      <c r="L199">
        <v>34.39</v>
      </c>
      <c r="M199">
        <v>412.66</v>
      </c>
      <c r="N199">
        <f>_xlfn.XLOOKUP(Table13[[#This Row],[Production_Order_ID]],[1]Sheet1!$A$2:$A$391,[1]Sheet1!$F$2:$F$391,"No Match")</f>
        <v>480</v>
      </c>
      <c r="O199" s="3">
        <f>Table13[[#This Row],[Good_Qty]]/Table13[[#This Row],[Planned_Production]]</f>
        <v>1.48125</v>
      </c>
      <c r="P199" t="str">
        <f>IF(Table13[[#This Row],[Good_Qty]]&gt;=Table13[[#This Row],[Planned_Production]],"Met","Not Met")</f>
        <v>Met</v>
      </c>
      <c r="Q199">
        <f>Table13[[#This Row],[Good_Qty]]-Table13[[#This Row],[Planned_Production]]</f>
        <v>231</v>
      </c>
      <c r="R199" s="3">
        <f>IF(Table13[[#This Row],[Actual_Qty]]=0,0,Table13[[#This Row],[Reject_Qty]]/Table13[[#This Row],[Actual_Qty]])</f>
        <v>1.2500000000000001E-2</v>
      </c>
      <c r="S199">
        <v>422.56</v>
      </c>
      <c r="T199">
        <f>(Table13[[#This Row],[Ideal_Cycle_Time_sec]]*Table13[[#This Row],[Actual_Qty]])/(Table13[[#This Row],[Operational_Time_min]]*60)</f>
        <v>0.90874668686103754</v>
      </c>
      <c r="U199">
        <f>Table13[[#This Row],[Good_Qty]]/Table13[[#This Row],[Actual_Qty]]</f>
        <v>0.98750000000000004</v>
      </c>
      <c r="V199" t="str">
        <f>IF(OR(Table13[[#This Row],[Performance_%]]&gt;=1,Table13[[#This Row],[Performance_%]]&lt;=0),"Error","OK")</f>
        <v>OK</v>
      </c>
      <c r="W199" t="str">
        <f>IF(OR(Table13[[#This Row],[Quality_%]]&gt;=1,Table13[[#This Row],[Quality_%]]&lt;=0),"Error","OK")</f>
        <v>OK</v>
      </c>
      <c r="X199">
        <f>Table13[[#This Row],[Performance_%]]*Table13[[#This Row],[Quality_%]]*[2]Availability_KPI!K199</f>
        <v>0.84266666666666679</v>
      </c>
      <c r="Y199" t="str">
        <f>IF(OR(Table13[[#This Row],[OEE_%]]&gt;1,Table13[[#This Row],[OEE_%]]&lt;0),"Error","OK")</f>
        <v>OK</v>
      </c>
    </row>
    <row r="200" spans="1:25" x14ac:dyDescent="0.2">
      <c r="A200" t="s">
        <v>274</v>
      </c>
      <c r="B200" t="s">
        <v>268</v>
      </c>
      <c r="C200" s="2">
        <v>46247</v>
      </c>
      <c r="D200" t="s">
        <v>27</v>
      </c>
      <c r="E200" t="s">
        <v>46</v>
      </c>
      <c r="F200" t="s">
        <v>54</v>
      </c>
      <c r="G200" t="s">
        <v>61</v>
      </c>
      <c r="H200">
        <v>718</v>
      </c>
      <c r="I200">
        <v>714</v>
      </c>
      <c r="J200">
        <v>4</v>
      </c>
      <c r="K200">
        <v>25</v>
      </c>
      <c r="L200">
        <v>25.3</v>
      </c>
      <c r="M200">
        <v>302.72000000000003</v>
      </c>
      <c r="N200">
        <f>_xlfn.XLOOKUP(Table13[[#This Row],[Production_Order_ID]],[1]Sheet1!$A$2:$A$391,[1]Sheet1!$F$2:$F$391,"No Match")</f>
        <v>480</v>
      </c>
      <c r="O200" s="3">
        <f>Table13[[#This Row],[Good_Qty]]/Table13[[#This Row],[Planned_Production]]</f>
        <v>1.4875</v>
      </c>
      <c r="P200" t="str">
        <f>IF(Table13[[#This Row],[Good_Qty]]&gt;=Table13[[#This Row],[Planned_Production]],"Met","Not Met")</f>
        <v>Met</v>
      </c>
      <c r="Q200">
        <f>Table13[[#This Row],[Good_Qty]]-Table13[[#This Row],[Planned_Production]]</f>
        <v>234</v>
      </c>
      <c r="R200" s="3">
        <f>IF(Table13[[#This Row],[Actual_Qty]]=0,0,Table13[[#This Row],[Reject_Qty]]/Table13[[#This Row],[Actual_Qty]])</f>
        <v>5.5710306406685237E-3</v>
      </c>
      <c r="S200">
        <v>430.59</v>
      </c>
      <c r="T200">
        <f>(Table13[[#This Row],[Ideal_Cycle_Time_sec]]*Table13[[#This Row],[Actual_Qty]])/(Table13[[#This Row],[Operational_Time_min]]*60)</f>
        <v>0.6947831270272572</v>
      </c>
      <c r="U200">
        <f>Table13[[#This Row],[Good_Qty]]/Table13[[#This Row],[Actual_Qty]]</f>
        <v>0.99442896935933145</v>
      </c>
      <c r="V200" t="str">
        <f>IF(OR(Table13[[#This Row],[Performance_%]]&gt;=1,Table13[[#This Row],[Performance_%]]&lt;=0),"Error","OK")</f>
        <v>OK</v>
      </c>
      <c r="W200" t="str">
        <f>IF(OR(Table13[[#This Row],[Quality_%]]&gt;=1,Table13[[#This Row],[Quality_%]]&lt;=0),"Error","OK")</f>
        <v>OK</v>
      </c>
      <c r="X200">
        <f>Table13[[#This Row],[Performance_%]]*Table13[[#This Row],[Quality_%]]*[2]Availability_KPI!K200</f>
        <v>0.66111111111111109</v>
      </c>
      <c r="Y200" t="str">
        <f>IF(OR(Table13[[#This Row],[OEE_%]]&gt;1,Table13[[#This Row],[OEE_%]]&lt;0),"Error","OK")</f>
        <v>OK</v>
      </c>
    </row>
    <row r="201" spans="1:25" x14ac:dyDescent="0.2">
      <c r="A201" t="s">
        <v>275</v>
      </c>
      <c r="B201" t="s">
        <v>268</v>
      </c>
      <c r="C201" s="2">
        <v>46247</v>
      </c>
      <c r="D201" t="s">
        <v>27</v>
      </c>
      <c r="E201" t="s">
        <v>49</v>
      </c>
      <c r="F201" t="s">
        <v>54</v>
      </c>
      <c r="G201" t="s">
        <v>47</v>
      </c>
      <c r="H201">
        <v>732</v>
      </c>
      <c r="I201">
        <v>730</v>
      </c>
      <c r="J201">
        <v>2</v>
      </c>
      <c r="K201">
        <v>20</v>
      </c>
      <c r="L201">
        <v>20.29</v>
      </c>
      <c r="M201">
        <v>247.5</v>
      </c>
      <c r="N201">
        <f>_xlfn.XLOOKUP(Table13[[#This Row],[Production_Order_ID]],[1]Sheet1!$A$2:$A$391,[1]Sheet1!$F$2:$F$391,"No Match")</f>
        <v>480</v>
      </c>
      <c r="O201" s="3">
        <f>Table13[[#This Row],[Good_Qty]]/Table13[[#This Row],[Planned_Production]]</f>
        <v>1.5208333333333333</v>
      </c>
      <c r="P201" t="str">
        <f>IF(Table13[[#This Row],[Good_Qty]]&gt;=Table13[[#This Row],[Planned_Production]],"Met","Not Met")</f>
        <v>Met</v>
      </c>
      <c r="Q201">
        <f>Table13[[#This Row],[Good_Qty]]-Table13[[#This Row],[Planned_Production]]</f>
        <v>250</v>
      </c>
      <c r="R201" s="3">
        <f>IF(Table13[[#This Row],[Actual_Qty]]=0,0,Table13[[#This Row],[Reject_Qty]]/Table13[[#This Row],[Actual_Qty]])</f>
        <v>2.7322404371584699E-3</v>
      </c>
      <c r="S201">
        <v>439.16</v>
      </c>
      <c r="T201">
        <f>(Table13[[#This Row],[Ideal_Cycle_Time_sec]]*Table13[[#This Row],[Actual_Qty]])/(Table13[[#This Row],[Operational_Time_min]]*60)</f>
        <v>0.55560615720921758</v>
      </c>
      <c r="U201">
        <f>Table13[[#This Row],[Good_Qty]]/Table13[[#This Row],[Actual_Qty]]</f>
        <v>0.99726775956284153</v>
      </c>
      <c r="V201" t="str">
        <f>IF(OR(Table13[[#This Row],[Performance_%]]&gt;=1,Table13[[#This Row],[Performance_%]]&lt;=0),"Error","OK")</f>
        <v>OK</v>
      </c>
      <c r="W201" t="str">
        <f>IF(OR(Table13[[#This Row],[Quality_%]]&gt;=1,Table13[[#This Row],[Quality_%]]&lt;=0),"Error","OK")</f>
        <v>OK</v>
      </c>
      <c r="X201">
        <f>Table13[[#This Row],[Performance_%]]*Table13[[#This Row],[Quality_%]]*[2]Availability_KPI!K201</f>
        <v>0.54074074074074074</v>
      </c>
      <c r="Y201" t="str">
        <f>IF(OR(Table13[[#This Row],[OEE_%]]&gt;1,Table13[[#This Row],[OEE_%]]&lt;0),"Error","OK")</f>
        <v>OK</v>
      </c>
    </row>
    <row r="202" spans="1:25" x14ac:dyDescent="0.2">
      <c r="A202" t="s">
        <v>276</v>
      </c>
      <c r="B202" t="s">
        <v>277</v>
      </c>
      <c r="C202" s="2">
        <v>46247</v>
      </c>
      <c r="D202" t="s">
        <v>53</v>
      </c>
      <c r="E202" t="s">
        <v>28</v>
      </c>
      <c r="F202" t="s">
        <v>54</v>
      </c>
      <c r="G202" t="s">
        <v>57</v>
      </c>
      <c r="H202">
        <v>573</v>
      </c>
      <c r="I202">
        <v>569</v>
      </c>
      <c r="J202">
        <v>4</v>
      </c>
      <c r="K202">
        <v>18</v>
      </c>
      <c r="L202">
        <v>19.170000000000002</v>
      </c>
      <c r="M202">
        <v>183.08</v>
      </c>
      <c r="N202">
        <f>_xlfn.XLOOKUP(Table13[[#This Row],[Production_Order_ID]],[1]Sheet1!$A$2:$A$391,[1]Sheet1!$F$2:$F$391,"No Match")</f>
        <v>530</v>
      </c>
      <c r="O202" s="3">
        <f>Table13[[#This Row],[Good_Qty]]/Table13[[#This Row],[Planned_Production]]</f>
        <v>1.0735849056603775</v>
      </c>
      <c r="P202" t="str">
        <f>IF(Table13[[#This Row],[Good_Qty]]&gt;=Table13[[#This Row],[Planned_Production]],"Met","Not Met")</f>
        <v>Met</v>
      </c>
      <c r="Q202">
        <f>Table13[[#This Row],[Good_Qty]]-Table13[[#This Row],[Planned_Production]]</f>
        <v>39</v>
      </c>
      <c r="R202" s="3">
        <f>IF(Table13[[#This Row],[Actual_Qty]]=0,0,Table13[[#This Row],[Reject_Qty]]/Table13[[#This Row],[Actual_Qty]])</f>
        <v>6.9808027923211171E-3</v>
      </c>
      <c r="S202">
        <v>443.71</v>
      </c>
      <c r="T202">
        <f>(Table13[[#This Row],[Ideal_Cycle_Time_sec]]*Table13[[#This Row],[Actual_Qty]])/(Table13[[#This Row],[Operational_Time_min]]*60)</f>
        <v>0.38741520362398868</v>
      </c>
      <c r="U202">
        <f>Table13[[#This Row],[Good_Qty]]/Table13[[#This Row],[Actual_Qty]]</f>
        <v>0.99301919720767884</v>
      </c>
      <c r="V202" t="str">
        <f>IF(OR(Table13[[#This Row],[Performance_%]]&gt;=1,Table13[[#This Row],[Performance_%]]&lt;=0),"Error","OK")</f>
        <v>OK</v>
      </c>
      <c r="W202" t="str">
        <f>IF(OR(Table13[[#This Row],[Quality_%]]&gt;=1,Table13[[#This Row],[Quality_%]]&lt;=0),"Error","OK")</f>
        <v>OK</v>
      </c>
      <c r="X202">
        <f>Table13[[#This Row],[Performance_%]]*Table13[[#This Row],[Quality_%]]*[2]Availability_KPI!K202</f>
        <v>0.3793333333333333</v>
      </c>
      <c r="Y202" t="str">
        <f>IF(OR(Table13[[#This Row],[OEE_%]]&gt;1,Table13[[#This Row],[OEE_%]]&lt;0),"Error","OK")</f>
        <v>OK</v>
      </c>
    </row>
    <row r="203" spans="1:25" x14ac:dyDescent="0.2">
      <c r="A203" t="s">
        <v>278</v>
      </c>
      <c r="B203" t="s">
        <v>277</v>
      </c>
      <c r="C203" s="2">
        <v>46247</v>
      </c>
      <c r="D203" t="s">
        <v>53</v>
      </c>
      <c r="E203" t="s">
        <v>32</v>
      </c>
      <c r="F203" t="s">
        <v>54</v>
      </c>
      <c r="G203" t="s">
        <v>39</v>
      </c>
      <c r="H203">
        <v>582</v>
      </c>
      <c r="I203">
        <v>576</v>
      </c>
      <c r="J203">
        <v>6</v>
      </c>
      <c r="K203">
        <v>20</v>
      </c>
      <c r="L203">
        <v>21.05</v>
      </c>
      <c r="M203">
        <v>204.18</v>
      </c>
      <c r="N203">
        <f>_xlfn.XLOOKUP(Table13[[#This Row],[Production_Order_ID]],[1]Sheet1!$A$2:$A$391,[1]Sheet1!$F$2:$F$391,"No Match")</f>
        <v>530</v>
      </c>
      <c r="O203" s="3">
        <f>Table13[[#This Row],[Good_Qty]]/Table13[[#This Row],[Planned_Production]]</f>
        <v>1.0867924528301887</v>
      </c>
      <c r="P203" t="str">
        <f>IF(Table13[[#This Row],[Good_Qty]]&gt;=Table13[[#This Row],[Planned_Production]],"Met","Not Met")</f>
        <v>Met</v>
      </c>
      <c r="Q203">
        <f>Table13[[#This Row],[Good_Qty]]-Table13[[#This Row],[Planned_Production]]</f>
        <v>46</v>
      </c>
      <c r="R203" s="3">
        <f>IF(Table13[[#This Row],[Actual_Qty]]=0,0,Table13[[#This Row],[Reject_Qty]]/Table13[[#This Row],[Actual_Qty]])</f>
        <v>1.0309278350515464E-2</v>
      </c>
      <c r="S203">
        <v>438.18</v>
      </c>
      <c r="T203">
        <f>(Table13[[#This Row],[Ideal_Cycle_Time_sec]]*Table13[[#This Row],[Actual_Qty]])/(Table13[[#This Row],[Operational_Time_min]]*60)</f>
        <v>0.44274042630882288</v>
      </c>
      <c r="U203">
        <f>Table13[[#This Row],[Good_Qty]]/Table13[[#This Row],[Actual_Qty]]</f>
        <v>0.98969072164948457</v>
      </c>
      <c r="V203" t="str">
        <f>IF(OR(Table13[[#This Row],[Performance_%]]&gt;=1,Table13[[#This Row],[Performance_%]]&lt;=0),"Error","OK")</f>
        <v>OK</v>
      </c>
      <c r="W203" t="str">
        <f>IF(OR(Table13[[#This Row],[Quality_%]]&gt;=1,Table13[[#This Row],[Quality_%]]&lt;=0),"Error","OK")</f>
        <v>OK</v>
      </c>
      <c r="X203">
        <f>Table13[[#This Row],[Performance_%]]*Table13[[#This Row],[Quality_%]]*[2]Availability_KPI!K203</f>
        <v>0.42666666666666675</v>
      </c>
      <c r="Y203" t="str">
        <f>IF(OR(Table13[[#This Row],[OEE_%]]&gt;1,Table13[[#This Row],[OEE_%]]&lt;0),"Error","OK")</f>
        <v>OK</v>
      </c>
    </row>
    <row r="204" spans="1:25" x14ac:dyDescent="0.2">
      <c r="A204" t="s">
        <v>279</v>
      </c>
      <c r="B204" t="s">
        <v>277</v>
      </c>
      <c r="C204" s="2">
        <v>46247</v>
      </c>
      <c r="D204" t="s">
        <v>53</v>
      </c>
      <c r="E204" t="s">
        <v>35</v>
      </c>
      <c r="F204" t="s">
        <v>54</v>
      </c>
      <c r="G204" t="s">
        <v>44</v>
      </c>
      <c r="H204">
        <v>573</v>
      </c>
      <c r="I204">
        <v>570</v>
      </c>
      <c r="J204">
        <v>3</v>
      </c>
      <c r="K204">
        <v>22</v>
      </c>
      <c r="L204">
        <v>24.58</v>
      </c>
      <c r="M204">
        <v>234.78</v>
      </c>
      <c r="N204">
        <f>_xlfn.XLOOKUP(Table13[[#This Row],[Production_Order_ID]],[1]Sheet1!$A$2:$A$391,[1]Sheet1!$F$2:$F$391,"No Match")</f>
        <v>530</v>
      </c>
      <c r="O204" s="3">
        <f>Table13[[#This Row],[Good_Qty]]/Table13[[#This Row],[Planned_Production]]</f>
        <v>1.0754716981132075</v>
      </c>
      <c r="P204" t="str">
        <f>IF(Table13[[#This Row],[Good_Qty]]&gt;=Table13[[#This Row],[Planned_Production]],"Met","Not Met")</f>
        <v>Met</v>
      </c>
      <c r="Q204">
        <f>Table13[[#This Row],[Good_Qty]]-Table13[[#This Row],[Planned_Production]]</f>
        <v>40</v>
      </c>
      <c r="R204" s="3">
        <f>IF(Table13[[#This Row],[Actual_Qty]]=0,0,Table13[[#This Row],[Reject_Qty]]/Table13[[#This Row],[Actual_Qty]])</f>
        <v>5.235602094240838E-3</v>
      </c>
      <c r="S204">
        <v>430.94</v>
      </c>
      <c r="T204">
        <f>(Table13[[#This Row],[Ideal_Cycle_Time_sec]]*Table13[[#This Row],[Actual_Qty]])/(Table13[[#This Row],[Operational_Time_min]]*60)</f>
        <v>0.48753886851997957</v>
      </c>
      <c r="U204">
        <f>Table13[[#This Row],[Good_Qty]]/Table13[[#This Row],[Actual_Qty]]</f>
        <v>0.99476439790575921</v>
      </c>
      <c r="V204" t="str">
        <f>IF(OR(Table13[[#This Row],[Performance_%]]&gt;=1,Table13[[#This Row],[Performance_%]]&lt;=0),"Error","OK")</f>
        <v>OK</v>
      </c>
      <c r="W204" t="str">
        <f>IF(OR(Table13[[#This Row],[Quality_%]]&gt;=1,Table13[[#This Row],[Quality_%]]&lt;=0),"Error","OK")</f>
        <v>OK</v>
      </c>
      <c r="X204">
        <f>Table13[[#This Row],[Performance_%]]*Table13[[#This Row],[Quality_%]]*[2]Availability_KPI!K204</f>
        <v>0.46444444444444444</v>
      </c>
      <c r="Y204" t="str">
        <f>IF(OR(Table13[[#This Row],[OEE_%]]&gt;1,Table13[[#This Row],[OEE_%]]&lt;0),"Error","OK")</f>
        <v>OK</v>
      </c>
    </row>
    <row r="205" spans="1:25" x14ac:dyDescent="0.2">
      <c r="A205" t="s">
        <v>280</v>
      </c>
      <c r="B205" t="s">
        <v>277</v>
      </c>
      <c r="C205" s="2">
        <v>46247</v>
      </c>
      <c r="D205" t="s">
        <v>53</v>
      </c>
      <c r="E205" t="s">
        <v>38</v>
      </c>
      <c r="F205" t="s">
        <v>54</v>
      </c>
      <c r="G205" t="s">
        <v>39</v>
      </c>
      <c r="H205">
        <v>580</v>
      </c>
      <c r="I205">
        <v>577</v>
      </c>
      <c r="J205">
        <v>3</v>
      </c>
      <c r="K205">
        <v>20</v>
      </c>
      <c r="L205">
        <v>20.329999999999998</v>
      </c>
      <c r="M205">
        <v>196.56</v>
      </c>
      <c r="N205">
        <f>_xlfn.XLOOKUP(Table13[[#This Row],[Production_Order_ID]],[1]Sheet1!$A$2:$A$391,[1]Sheet1!$F$2:$F$391,"No Match")</f>
        <v>530</v>
      </c>
      <c r="O205" s="3">
        <f>Table13[[#This Row],[Good_Qty]]/Table13[[#This Row],[Planned_Production]]</f>
        <v>1.088679245283019</v>
      </c>
      <c r="P205" t="str">
        <f>IF(Table13[[#This Row],[Good_Qty]]&gt;=Table13[[#This Row],[Planned_Production]],"Met","Not Met")</f>
        <v>Met</v>
      </c>
      <c r="Q205">
        <f>Table13[[#This Row],[Good_Qty]]-Table13[[#This Row],[Planned_Production]]</f>
        <v>47</v>
      </c>
      <c r="R205" s="3">
        <f>IF(Table13[[#This Row],[Actual_Qty]]=0,0,Table13[[#This Row],[Reject_Qty]]/Table13[[#This Row],[Actual_Qty]])</f>
        <v>5.1724137931034482E-3</v>
      </c>
      <c r="S205">
        <v>441.92</v>
      </c>
      <c r="T205">
        <f>(Table13[[#This Row],[Ideal_Cycle_Time_sec]]*Table13[[#This Row],[Actual_Qty]])/(Table13[[#This Row],[Operational_Time_min]]*60)</f>
        <v>0.43748491431329956</v>
      </c>
      <c r="U205">
        <f>Table13[[#This Row],[Good_Qty]]/Table13[[#This Row],[Actual_Qty]]</f>
        <v>0.9948275862068966</v>
      </c>
      <c r="V205" t="str">
        <f>IF(OR(Table13[[#This Row],[Performance_%]]&gt;=1,Table13[[#This Row],[Performance_%]]&lt;=0),"Error","OK")</f>
        <v>OK</v>
      </c>
      <c r="W205" t="str">
        <f>IF(OR(Table13[[#This Row],[Quality_%]]&gt;=1,Table13[[#This Row],[Quality_%]]&lt;=0),"Error","OK")</f>
        <v>OK</v>
      </c>
      <c r="X205">
        <f>Table13[[#This Row],[Performance_%]]*Table13[[#This Row],[Quality_%]]*[2]Availability_KPI!K205</f>
        <v>0.42740740740740746</v>
      </c>
      <c r="Y205" t="str">
        <f>IF(OR(Table13[[#This Row],[OEE_%]]&gt;1,Table13[[#This Row],[OEE_%]]&lt;0),"Error","OK")</f>
        <v>OK</v>
      </c>
    </row>
    <row r="206" spans="1:25" x14ac:dyDescent="0.2">
      <c r="A206" t="s">
        <v>281</v>
      </c>
      <c r="B206" t="s">
        <v>277</v>
      </c>
      <c r="C206" s="2">
        <v>46247</v>
      </c>
      <c r="D206" t="s">
        <v>53</v>
      </c>
      <c r="E206" t="s">
        <v>41</v>
      </c>
      <c r="F206" t="s">
        <v>54</v>
      </c>
      <c r="G206" t="s">
        <v>33</v>
      </c>
      <c r="H206">
        <v>578</v>
      </c>
      <c r="I206">
        <v>572</v>
      </c>
      <c r="J206">
        <v>6</v>
      </c>
      <c r="K206">
        <v>18</v>
      </c>
      <c r="L206">
        <v>18.670000000000002</v>
      </c>
      <c r="M206">
        <v>179.82</v>
      </c>
      <c r="N206">
        <f>_xlfn.XLOOKUP(Table13[[#This Row],[Production_Order_ID]],[1]Sheet1!$A$2:$A$391,[1]Sheet1!$F$2:$F$391,"No Match")</f>
        <v>530</v>
      </c>
      <c r="O206" s="3">
        <f>Table13[[#This Row],[Good_Qty]]/Table13[[#This Row],[Planned_Production]]</f>
        <v>1.0792452830188679</v>
      </c>
      <c r="P206" t="str">
        <f>IF(Table13[[#This Row],[Good_Qty]]&gt;=Table13[[#This Row],[Planned_Production]],"Met","Not Met")</f>
        <v>Met</v>
      </c>
      <c r="Q206">
        <f>Table13[[#This Row],[Good_Qty]]-Table13[[#This Row],[Planned_Production]]</f>
        <v>42</v>
      </c>
      <c r="R206" s="3">
        <f>IF(Table13[[#This Row],[Actual_Qty]]=0,0,Table13[[#This Row],[Reject_Qty]]/Table13[[#This Row],[Actual_Qty]])</f>
        <v>1.0380622837370242E-2</v>
      </c>
      <c r="S206">
        <v>440.14</v>
      </c>
      <c r="T206">
        <f>(Table13[[#This Row],[Ideal_Cycle_Time_sec]]*Table13[[#This Row],[Actual_Qty]])/(Table13[[#This Row],[Operational_Time_min]]*60)</f>
        <v>0.39396555641386832</v>
      </c>
      <c r="U206">
        <f>Table13[[#This Row],[Good_Qty]]/Table13[[#This Row],[Actual_Qty]]</f>
        <v>0.98961937716262971</v>
      </c>
      <c r="V206" t="str">
        <f>IF(OR(Table13[[#This Row],[Performance_%]]&gt;=1,Table13[[#This Row],[Performance_%]]&lt;=0),"Error","OK")</f>
        <v>OK</v>
      </c>
      <c r="W206" t="str">
        <f>IF(OR(Table13[[#This Row],[Quality_%]]&gt;=1,Table13[[#This Row],[Quality_%]]&lt;=0),"Error","OK")</f>
        <v>OK</v>
      </c>
      <c r="X206">
        <f>Table13[[#This Row],[Performance_%]]*Table13[[#This Row],[Quality_%]]*[2]Availability_KPI!K206</f>
        <v>0.3813333333333333</v>
      </c>
      <c r="Y206" t="str">
        <f>IF(OR(Table13[[#This Row],[OEE_%]]&gt;1,Table13[[#This Row],[OEE_%]]&lt;0),"Error","OK")</f>
        <v>OK</v>
      </c>
    </row>
    <row r="207" spans="1:25" x14ac:dyDescent="0.2">
      <c r="A207" t="s">
        <v>282</v>
      </c>
      <c r="B207" t="s">
        <v>277</v>
      </c>
      <c r="C207" s="2">
        <v>46247</v>
      </c>
      <c r="D207" t="s">
        <v>53</v>
      </c>
      <c r="E207" t="s">
        <v>43</v>
      </c>
      <c r="F207" t="s">
        <v>54</v>
      </c>
      <c r="G207" t="s">
        <v>44</v>
      </c>
      <c r="H207">
        <v>569</v>
      </c>
      <c r="I207">
        <v>559</v>
      </c>
      <c r="J207">
        <v>10</v>
      </c>
      <c r="K207">
        <v>32</v>
      </c>
      <c r="L207">
        <v>33.700000000000003</v>
      </c>
      <c r="M207">
        <v>319.58999999999997</v>
      </c>
      <c r="N207">
        <f>_xlfn.XLOOKUP(Table13[[#This Row],[Production_Order_ID]],[1]Sheet1!$A$2:$A$391,[1]Sheet1!$F$2:$F$391,"No Match")</f>
        <v>530</v>
      </c>
      <c r="O207" s="3">
        <f>Table13[[#This Row],[Good_Qty]]/Table13[[#This Row],[Planned_Production]]</f>
        <v>1.0547169811320756</v>
      </c>
      <c r="P207" t="str">
        <f>IF(Table13[[#This Row],[Good_Qty]]&gt;=Table13[[#This Row],[Planned_Production]],"Met","Not Met")</f>
        <v>Met</v>
      </c>
      <c r="Q207">
        <f>Table13[[#This Row],[Good_Qty]]-Table13[[#This Row],[Planned_Production]]</f>
        <v>29</v>
      </c>
      <c r="R207" s="3">
        <f>IF(Table13[[#This Row],[Actual_Qty]]=0,0,Table13[[#This Row],[Reject_Qty]]/Table13[[#This Row],[Actual_Qty]])</f>
        <v>1.7574692442882251E-2</v>
      </c>
      <c r="S207">
        <v>410.89</v>
      </c>
      <c r="T207">
        <f>(Table13[[#This Row],[Ideal_Cycle_Time_sec]]*Table13[[#This Row],[Actual_Qty]])/(Table13[[#This Row],[Operational_Time_min]]*60)</f>
        <v>0.73855938734616733</v>
      </c>
      <c r="U207">
        <f>Table13[[#This Row],[Good_Qty]]/Table13[[#This Row],[Actual_Qty]]</f>
        <v>0.98242530755711777</v>
      </c>
      <c r="V207" t="str">
        <f>IF(OR(Table13[[#This Row],[Performance_%]]&gt;=1,Table13[[#This Row],[Performance_%]]&lt;=0),"Error","OK")</f>
        <v>OK</v>
      </c>
      <c r="W207" t="str">
        <f>IF(OR(Table13[[#This Row],[Quality_%]]&gt;=1,Table13[[#This Row],[Quality_%]]&lt;=0),"Error","OK")</f>
        <v>OK</v>
      </c>
      <c r="X207">
        <f>Table13[[#This Row],[Performance_%]]*Table13[[#This Row],[Quality_%]]*[2]Availability_KPI!K207</f>
        <v>0.66251851851851851</v>
      </c>
      <c r="Y207" t="str">
        <f>IF(OR(Table13[[#This Row],[OEE_%]]&gt;1,Table13[[#This Row],[OEE_%]]&lt;0),"Error","OK")</f>
        <v>OK</v>
      </c>
    </row>
    <row r="208" spans="1:25" x14ac:dyDescent="0.2">
      <c r="A208" t="s">
        <v>283</v>
      </c>
      <c r="B208" t="s">
        <v>277</v>
      </c>
      <c r="C208" s="2">
        <v>46247</v>
      </c>
      <c r="D208" t="s">
        <v>53</v>
      </c>
      <c r="E208" t="s">
        <v>46</v>
      </c>
      <c r="F208" t="s">
        <v>54</v>
      </c>
      <c r="G208" t="s">
        <v>55</v>
      </c>
      <c r="H208">
        <v>581</v>
      </c>
      <c r="I208">
        <v>574</v>
      </c>
      <c r="J208">
        <v>7</v>
      </c>
      <c r="K208">
        <v>25</v>
      </c>
      <c r="L208">
        <v>26.38</v>
      </c>
      <c r="M208">
        <v>255.42</v>
      </c>
      <c r="N208">
        <f>_xlfn.XLOOKUP(Table13[[#This Row],[Production_Order_ID]],[1]Sheet1!$A$2:$A$391,[1]Sheet1!$F$2:$F$391,"No Match")</f>
        <v>530</v>
      </c>
      <c r="O208" s="3">
        <f>Table13[[#This Row],[Good_Qty]]/Table13[[#This Row],[Planned_Production]]</f>
        <v>1.0830188679245283</v>
      </c>
      <c r="P208" t="str">
        <f>IF(Table13[[#This Row],[Good_Qty]]&gt;=Table13[[#This Row],[Planned_Production]],"Met","Not Met")</f>
        <v>Met</v>
      </c>
      <c r="Q208">
        <f>Table13[[#This Row],[Good_Qty]]-Table13[[#This Row],[Planned_Production]]</f>
        <v>44</v>
      </c>
      <c r="R208" s="3">
        <f>IF(Table13[[#This Row],[Actual_Qty]]=0,0,Table13[[#This Row],[Reject_Qty]]/Table13[[#This Row],[Actual_Qty]])</f>
        <v>1.2048192771084338E-2</v>
      </c>
      <c r="S208">
        <v>427.65</v>
      </c>
      <c r="T208">
        <f>(Table13[[#This Row],[Ideal_Cycle_Time_sec]]*Table13[[#This Row],[Actual_Qty]])/(Table13[[#This Row],[Operational_Time_min]]*60)</f>
        <v>0.56607817919638337</v>
      </c>
      <c r="U208">
        <f>Table13[[#This Row],[Good_Qty]]/Table13[[#This Row],[Actual_Qty]]</f>
        <v>0.98795180722891562</v>
      </c>
      <c r="V208" t="str">
        <f>IF(OR(Table13[[#This Row],[Performance_%]]&gt;=1,Table13[[#This Row],[Performance_%]]&lt;=0),"Error","OK")</f>
        <v>OK</v>
      </c>
      <c r="W208" t="str">
        <f>IF(OR(Table13[[#This Row],[Quality_%]]&gt;=1,Table13[[#This Row],[Quality_%]]&lt;=0),"Error","OK")</f>
        <v>OK</v>
      </c>
      <c r="X208">
        <f>Table13[[#This Row],[Performance_%]]*Table13[[#This Row],[Quality_%]]*[2]Availability_KPI!K208</f>
        <v>0.53148148148148144</v>
      </c>
      <c r="Y208" t="str">
        <f>IF(OR(Table13[[#This Row],[OEE_%]]&gt;1,Table13[[#This Row],[OEE_%]]&lt;0),"Error","OK")</f>
        <v>OK</v>
      </c>
    </row>
    <row r="209" spans="1:25" x14ac:dyDescent="0.2">
      <c r="A209" t="s">
        <v>284</v>
      </c>
      <c r="B209" t="s">
        <v>277</v>
      </c>
      <c r="C209" s="2">
        <v>46247</v>
      </c>
      <c r="D209" t="s">
        <v>53</v>
      </c>
      <c r="E209" t="s">
        <v>49</v>
      </c>
      <c r="F209" t="s">
        <v>54</v>
      </c>
      <c r="G209" t="s">
        <v>47</v>
      </c>
      <c r="H209">
        <v>578</v>
      </c>
      <c r="I209">
        <v>575</v>
      </c>
      <c r="J209">
        <v>3</v>
      </c>
      <c r="K209">
        <v>20</v>
      </c>
      <c r="L209">
        <v>21.57</v>
      </c>
      <c r="M209">
        <v>207.76</v>
      </c>
      <c r="N209">
        <f>_xlfn.XLOOKUP(Table13[[#This Row],[Production_Order_ID]],[1]Sheet1!$A$2:$A$391,[1]Sheet1!$F$2:$F$391,"No Match")</f>
        <v>530</v>
      </c>
      <c r="O209" s="3">
        <f>Table13[[#This Row],[Good_Qty]]/Table13[[#This Row],[Planned_Production]]</f>
        <v>1.0849056603773586</v>
      </c>
      <c r="P209" t="str">
        <f>IF(Table13[[#This Row],[Good_Qty]]&gt;=Table13[[#This Row],[Planned_Production]],"Met","Not Met")</f>
        <v>Met</v>
      </c>
      <c r="Q209">
        <f>Table13[[#This Row],[Good_Qty]]-Table13[[#This Row],[Planned_Production]]</f>
        <v>45</v>
      </c>
      <c r="R209" s="3">
        <f>IF(Table13[[#This Row],[Actual_Qty]]=0,0,Table13[[#This Row],[Reject_Qty]]/Table13[[#This Row],[Actual_Qty]])</f>
        <v>5.1903114186851208E-3</v>
      </c>
      <c r="S209">
        <v>442.81</v>
      </c>
      <c r="T209">
        <f>(Table13[[#This Row],[Ideal_Cycle_Time_sec]]*Table13[[#This Row],[Actual_Qty]])/(Table13[[#This Row],[Operational_Time_min]]*60)</f>
        <v>0.43510008054620869</v>
      </c>
      <c r="U209">
        <f>Table13[[#This Row],[Good_Qty]]/Table13[[#This Row],[Actual_Qty]]</f>
        <v>0.99480968858131491</v>
      </c>
      <c r="V209" t="str">
        <f>IF(OR(Table13[[#This Row],[Performance_%]]&gt;=1,Table13[[#This Row],[Performance_%]]&lt;=0),"Error","OK")</f>
        <v>OK</v>
      </c>
      <c r="W209" t="str">
        <f>IF(OR(Table13[[#This Row],[Quality_%]]&gt;=1,Table13[[#This Row],[Quality_%]]&lt;=0),"Error","OK")</f>
        <v>OK</v>
      </c>
      <c r="X209">
        <f>Table13[[#This Row],[Performance_%]]*Table13[[#This Row],[Quality_%]]*[2]Availability_KPI!K209</f>
        <v>0.42592592592592599</v>
      </c>
      <c r="Y209" t="str">
        <f>IF(OR(Table13[[#This Row],[OEE_%]]&gt;1,Table13[[#This Row],[OEE_%]]&lt;0),"Error","OK")</f>
        <v>OK</v>
      </c>
    </row>
    <row r="210" spans="1:25" x14ac:dyDescent="0.2">
      <c r="A210" t="s">
        <v>285</v>
      </c>
      <c r="B210" t="s">
        <v>286</v>
      </c>
      <c r="C210" s="2">
        <v>46247</v>
      </c>
      <c r="D210" t="s">
        <v>67</v>
      </c>
      <c r="E210" t="s">
        <v>28</v>
      </c>
      <c r="F210" t="s">
        <v>54</v>
      </c>
      <c r="G210" t="s">
        <v>30</v>
      </c>
      <c r="H210">
        <v>668</v>
      </c>
      <c r="I210">
        <v>666</v>
      </c>
      <c r="J210">
        <v>2</v>
      </c>
      <c r="K210">
        <v>18</v>
      </c>
      <c r="L210">
        <v>18.37</v>
      </c>
      <c r="M210">
        <v>204.5</v>
      </c>
      <c r="N210">
        <f>_xlfn.XLOOKUP(Table13[[#This Row],[Production_Order_ID]],[1]Sheet1!$A$2:$A$391,[1]Sheet1!$F$2:$F$391,"No Match")</f>
        <v>410</v>
      </c>
      <c r="O210" s="3">
        <f>Table13[[#This Row],[Good_Qty]]/Table13[[#This Row],[Planned_Production]]</f>
        <v>1.6243902439024391</v>
      </c>
      <c r="P210" t="str">
        <f>IF(Table13[[#This Row],[Good_Qty]]&gt;=Table13[[#This Row],[Planned_Production]],"Met","Not Met")</f>
        <v>Met</v>
      </c>
      <c r="Q210">
        <f>Table13[[#This Row],[Good_Qty]]-Table13[[#This Row],[Planned_Production]]</f>
        <v>256</v>
      </c>
      <c r="R210" s="3">
        <f>IF(Table13[[#This Row],[Actual_Qty]]=0,0,Table13[[#This Row],[Reject_Qty]]/Table13[[#This Row],[Actual_Qty]])</f>
        <v>2.9940119760479044E-3</v>
      </c>
      <c r="S210">
        <v>442.93</v>
      </c>
      <c r="T210">
        <f>(Table13[[#This Row],[Ideal_Cycle_Time_sec]]*Table13[[#This Row],[Actual_Qty]])/(Table13[[#This Row],[Operational_Time_min]]*60)</f>
        <v>0.45244169507597137</v>
      </c>
      <c r="U210">
        <f>Table13[[#This Row],[Good_Qty]]/Table13[[#This Row],[Actual_Qty]]</f>
        <v>0.99700598802395213</v>
      </c>
      <c r="V210" t="str">
        <f>IF(OR(Table13[[#This Row],[Performance_%]]&gt;=1,Table13[[#This Row],[Performance_%]]&lt;=0),"Error","OK")</f>
        <v>OK</v>
      </c>
      <c r="W210" t="str">
        <f>IF(OR(Table13[[#This Row],[Quality_%]]&gt;=1,Table13[[#This Row],[Quality_%]]&lt;=0),"Error","OK")</f>
        <v>OK</v>
      </c>
      <c r="X210">
        <f>Table13[[#This Row],[Performance_%]]*Table13[[#This Row],[Quality_%]]*[2]Availability_KPI!K210</f>
        <v>0.44400000000000001</v>
      </c>
      <c r="Y210" t="str">
        <f>IF(OR(Table13[[#This Row],[OEE_%]]&gt;1,Table13[[#This Row],[OEE_%]]&lt;0),"Error","OK")</f>
        <v>OK</v>
      </c>
    </row>
    <row r="211" spans="1:25" x14ac:dyDescent="0.2">
      <c r="A211" t="s">
        <v>287</v>
      </c>
      <c r="B211" t="s">
        <v>286</v>
      </c>
      <c r="C211" s="2">
        <v>46247</v>
      </c>
      <c r="D211" t="s">
        <v>67</v>
      </c>
      <c r="E211" t="s">
        <v>32</v>
      </c>
      <c r="F211" t="s">
        <v>54</v>
      </c>
      <c r="G211" t="s">
        <v>44</v>
      </c>
      <c r="H211">
        <v>646</v>
      </c>
      <c r="I211">
        <v>640</v>
      </c>
      <c r="J211">
        <v>6</v>
      </c>
      <c r="K211">
        <v>20</v>
      </c>
      <c r="L211">
        <v>21.66</v>
      </c>
      <c r="M211">
        <v>233.2</v>
      </c>
      <c r="N211">
        <f>_xlfn.XLOOKUP(Table13[[#This Row],[Production_Order_ID]],[1]Sheet1!$A$2:$A$391,[1]Sheet1!$F$2:$F$391,"No Match")</f>
        <v>410</v>
      </c>
      <c r="O211" s="3">
        <f>Table13[[#This Row],[Good_Qty]]/Table13[[#This Row],[Planned_Production]]</f>
        <v>1.5609756097560976</v>
      </c>
      <c r="P211" t="str">
        <f>IF(Table13[[#This Row],[Good_Qty]]&gt;=Table13[[#This Row],[Planned_Production]],"Met","Not Met")</f>
        <v>Met</v>
      </c>
      <c r="Q211">
        <f>Table13[[#This Row],[Good_Qty]]-Table13[[#This Row],[Planned_Production]]</f>
        <v>230</v>
      </c>
      <c r="R211" s="3">
        <f>IF(Table13[[#This Row],[Actual_Qty]]=0,0,Table13[[#This Row],[Reject_Qty]]/Table13[[#This Row],[Actual_Qty]])</f>
        <v>9.2879256965944269E-3</v>
      </c>
      <c r="S211">
        <v>439.02</v>
      </c>
      <c r="T211">
        <f>(Table13[[#This Row],[Ideal_Cycle_Time_sec]]*Table13[[#This Row],[Actual_Qty]])/(Table13[[#This Row],[Operational_Time_min]]*60)</f>
        <v>0.49048638634534497</v>
      </c>
      <c r="U211">
        <f>Table13[[#This Row],[Good_Qty]]/Table13[[#This Row],[Actual_Qty]]</f>
        <v>0.99071207430340558</v>
      </c>
      <c r="V211" t="str">
        <f>IF(OR(Table13[[#This Row],[Performance_%]]&gt;=1,Table13[[#This Row],[Performance_%]]&lt;=0),"Error","OK")</f>
        <v>OK</v>
      </c>
      <c r="W211" t="str">
        <f>IF(OR(Table13[[#This Row],[Quality_%]]&gt;=1,Table13[[#This Row],[Quality_%]]&lt;=0),"Error","OK")</f>
        <v>OK</v>
      </c>
      <c r="X211">
        <f>Table13[[#This Row],[Performance_%]]*Table13[[#This Row],[Quality_%]]*[2]Availability_KPI!K211</f>
        <v>0.47407407407407409</v>
      </c>
      <c r="Y211" t="str">
        <f>IF(OR(Table13[[#This Row],[OEE_%]]&gt;1,Table13[[#This Row],[OEE_%]]&lt;0),"Error","OK")</f>
        <v>OK</v>
      </c>
    </row>
    <row r="212" spans="1:25" x14ac:dyDescent="0.2">
      <c r="A212" t="s">
        <v>288</v>
      </c>
      <c r="B212" t="s">
        <v>286</v>
      </c>
      <c r="C212" s="2">
        <v>46247</v>
      </c>
      <c r="D212" t="s">
        <v>67</v>
      </c>
      <c r="E212" t="s">
        <v>35</v>
      </c>
      <c r="F212" t="s">
        <v>54</v>
      </c>
      <c r="G212" t="s">
        <v>30</v>
      </c>
      <c r="H212">
        <v>660</v>
      </c>
      <c r="I212">
        <v>657</v>
      </c>
      <c r="J212">
        <v>3</v>
      </c>
      <c r="K212">
        <v>22</v>
      </c>
      <c r="L212">
        <v>22.03</v>
      </c>
      <c r="M212">
        <v>242.32</v>
      </c>
      <c r="N212">
        <f>_xlfn.XLOOKUP(Table13[[#This Row],[Production_Order_ID]],[1]Sheet1!$A$2:$A$391,[1]Sheet1!$F$2:$F$391,"No Match")</f>
        <v>410</v>
      </c>
      <c r="O212" s="3">
        <f>Table13[[#This Row],[Good_Qty]]/Table13[[#This Row],[Planned_Production]]</f>
        <v>1.602439024390244</v>
      </c>
      <c r="P212" t="str">
        <f>IF(Table13[[#This Row],[Good_Qty]]&gt;=Table13[[#This Row],[Planned_Production]],"Met","Not Met")</f>
        <v>Met</v>
      </c>
      <c r="Q212">
        <f>Table13[[#This Row],[Good_Qty]]-Table13[[#This Row],[Planned_Production]]</f>
        <v>247</v>
      </c>
      <c r="R212" s="3">
        <f>IF(Table13[[#This Row],[Actual_Qty]]=0,0,Table13[[#This Row],[Reject_Qty]]/Table13[[#This Row],[Actual_Qty]])</f>
        <v>4.5454545454545452E-3</v>
      </c>
      <c r="S212">
        <v>434.16</v>
      </c>
      <c r="T212">
        <f>(Table13[[#This Row],[Ideal_Cycle_Time_sec]]*Table13[[#This Row],[Actual_Qty]])/(Table13[[#This Row],[Operational_Time_min]]*60)</f>
        <v>0.55739819421411452</v>
      </c>
      <c r="U212">
        <f>Table13[[#This Row],[Good_Qty]]/Table13[[#This Row],[Actual_Qty]]</f>
        <v>0.99545454545454548</v>
      </c>
      <c r="V212" t="str">
        <f>IF(OR(Table13[[#This Row],[Performance_%]]&gt;=1,Table13[[#This Row],[Performance_%]]&lt;=0),"Error","OK")</f>
        <v>OK</v>
      </c>
      <c r="W212" t="str">
        <f>IF(OR(Table13[[#This Row],[Quality_%]]&gt;=1,Table13[[#This Row],[Quality_%]]&lt;=0),"Error","OK")</f>
        <v>OK</v>
      </c>
      <c r="X212">
        <f>Table13[[#This Row],[Performance_%]]*Table13[[#This Row],[Quality_%]]*[2]Availability_KPI!K212</f>
        <v>0.53533333333333333</v>
      </c>
      <c r="Y212" t="str">
        <f>IF(OR(Table13[[#This Row],[OEE_%]]&gt;1,Table13[[#This Row],[OEE_%]]&lt;0),"Error","OK")</f>
        <v>OK</v>
      </c>
    </row>
    <row r="213" spans="1:25" x14ac:dyDescent="0.2">
      <c r="A213" t="s">
        <v>289</v>
      </c>
      <c r="B213" t="s">
        <v>286</v>
      </c>
      <c r="C213" s="2">
        <v>46247</v>
      </c>
      <c r="D213" t="s">
        <v>67</v>
      </c>
      <c r="E213" t="s">
        <v>38</v>
      </c>
      <c r="F213" t="s">
        <v>54</v>
      </c>
      <c r="G213" t="s">
        <v>30</v>
      </c>
      <c r="H213">
        <v>652</v>
      </c>
      <c r="I213">
        <v>649</v>
      </c>
      <c r="J213">
        <v>3</v>
      </c>
      <c r="K213">
        <v>20</v>
      </c>
      <c r="L213">
        <v>20.09</v>
      </c>
      <c r="M213">
        <v>218.36</v>
      </c>
      <c r="N213">
        <f>_xlfn.XLOOKUP(Table13[[#This Row],[Production_Order_ID]],[1]Sheet1!$A$2:$A$391,[1]Sheet1!$F$2:$F$391,"No Match")</f>
        <v>410</v>
      </c>
      <c r="O213" s="3">
        <f>Table13[[#This Row],[Good_Qty]]/Table13[[#This Row],[Planned_Production]]</f>
        <v>1.5829268292682928</v>
      </c>
      <c r="P213" t="str">
        <f>IF(Table13[[#This Row],[Good_Qty]]&gt;=Table13[[#This Row],[Planned_Production]],"Met","Not Met")</f>
        <v>Met</v>
      </c>
      <c r="Q213">
        <f>Table13[[#This Row],[Good_Qty]]-Table13[[#This Row],[Planned_Production]]</f>
        <v>239</v>
      </c>
      <c r="R213" s="3">
        <f>IF(Table13[[#This Row],[Actual_Qty]]=0,0,Table13[[#This Row],[Reject_Qty]]/Table13[[#This Row],[Actual_Qty]])</f>
        <v>4.601226993865031E-3</v>
      </c>
      <c r="S213">
        <v>437.11</v>
      </c>
      <c r="T213">
        <f>(Table13[[#This Row],[Ideal_Cycle_Time_sec]]*Table13[[#This Row],[Actual_Qty]])/(Table13[[#This Row],[Operational_Time_min]]*60)</f>
        <v>0.49720512761852464</v>
      </c>
      <c r="U213">
        <f>Table13[[#This Row],[Good_Qty]]/Table13[[#This Row],[Actual_Qty]]</f>
        <v>0.995398773006135</v>
      </c>
      <c r="V213" t="str">
        <f>IF(OR(Table13[[#This Row],[Performance_%]]&gt;=1,Table13[[#This Row],[Performance_%]]&lt;=0),"Error","OK")</f>
        <v>OK</v>
      </c>
      <c r="W213" t="str">
        <f>IF(OR(Table13[[#This Row],[Quality_%]]&gt;=1,Table13[[#This Row],[Quality_%]]&lt;=0),"Error","OK")</f>
        <v>OK</v>
      </c>
      <c r="X213">
        <f>Table13[[#This Row],[Performance_%]]*Table13[[#This Row],[Quality_%]]*[2]Availability_KPI!K213</f>
        <v>0.48074074074074069</v>
      </c>
      <c r="Y213" t="str">
        <f>IF(OR(Table13[[#This Row],[OEE_%]]&gt;1,Table13[[#This Row],[OEE_%]]&lt;0),"Error","OK")</f>
        <v>OK</v>
      </c>
    </row>
    <row r="214" spans="1:25" x14ac:dyDescent="0.2">
      <c r="A214" t="s">
        <v>290</v>
      </c>
      <c r="B214" t="s">
        <v>286</v>
      </c>
      <c r="C214" s="2">
        <v>46247</v>
      </c>
      <c r="D214" t="s">
        <v>67</v>
      </c>
      <c r="E214" t="s">
        <v>41</v>
      </c>
      <c r="F214" t="s">
        <v>54</v>
      </c>
      <c r="G214" t="s">
        <v>55</v>
      </c>
      <c r="H214">
        <v>659</v>
      </c>
      <c r="I214">
        <v>652</v>
      </c>
      <c r="J214">
        <v>7</v>
      </c>
      <c r="K214">
        <v>18</v>
      </c>
      <c r="L214">
        <v>18.809999999999999</v>
      </c>
      <c r="M214">
        <v>206.65</v>
      </c>
      <c r="N214">
        <f>_xlfn.XLOOKUP(Table13[[#This Row],[Production_Order_ID]],[1]Sheet1!$A$2:$A$391,[1]Sheet1!$F$2:$F$391,"No Match")</f>
        <v>410</v>
      </c>
      <c r="O214" s="3">
        <f>Table13[[#This Row],[Good_Qty]]/Table13[[#This Row],[Planned_Production]]</f>
        <v>1.5902439024390245</v>
      </c>
      <c r="P214" t="str">
        <f>IF(Table13[[#This Row],[Good_Qty]]&gt;=Table13[[#This Row],[Planned_Production]],"Met","Not Met")</f>
        <v>Met</v>
      </c>
      <c r="Q214">
        <f>Table13[[#This Row],[Good_Qty]]-Table13[[#This Row],[Planned_Production]]</f>
        <v>242</v>
      </c>
      <c r="R214" s="3">
        <f>IF(Table13[[#This Row],[Actual_Qty]]=0,0,Table13[[#This Row],[Reject_Qty]]/Table13[[#This Row],[Actual_Qty]])</f>
        <v>1.0622154779969651E-2</v>
      </c>
      <c r="S214">
        <v>436.72</v>
      </c>
      <c r="T214">
        <f>(Table13[[#This Row],[Ideal_Cycle_Time_sec]]*Table13[[#This Row],[Actual_Qty]])/(Table13[[#This Row],[Operational_Time_min]]*60)</f>
        <v>0.45269280087928193</v>
      </c>
      <c r="U214">
        <f>Table13[[#This Row],[Good_Qty]]/Table13[[#This Row],[Actual_Qty]]</f>
        <v>0.98937784522003036</v>
      </c>
      <c r="V214" t="str">
        <f>IF(OR(Table13[[#This Row],[Performance_%]]&gt;=1,Table13[[#This Row],[Performance_%]]&lt;=0),"Error","OK")</f>
        <v>OK</v>
      </c>
      <c r="W214" t="str">
        <f>IF(OR(Table13[[#This Row],[Quality_%]]&gt;=1,Table13[[#This Row],[Quality_%]]&lt;=0),"Error","OK")</f>
        <v>OK</v>
      </c>
      <c r="X214">
        <f>Table13[[#This Row],[Performance_%]]*Table13[[#This Row],[Quality_%]]*[2]Availability_KPI!K214</f>
        <v>0.4346666666666667</v>
      </c>
      <c r="Y214" t="str">
        <f>IF(OR(Table13[[#This Row],[OEE_%]]&gt;1,Table13[[#This Row],[OEE_%]]&lt;0),"Error","OK")</f>
        <v>OK</v>
      </c>
    </row>
    <row r="215" spans="1:25" x14ac:dyDescent="0.2">
      <c r="A215" t="s">
        <v>291</v>
      </c>
      <c r="B215" t="s">
        <v>286</v>
      </c>
      <c r="C215" s="2">
        <v>46247</v>
      </c>
      <c r="D215" t="s">
        <v>67</v>
      </c>
      <c r="E215" t="s">
        <v>43</v>
      </c>
      <c r="F215" t="s">
        <v>54</v>
      </c>
      <c r="G215" t="s">
        <v>50</v>
      </c>
      <c r="H215">
        <v>663</v>
      </c>
      <c r="I215">
        <v>652</v>
      </c>
      <c r="J215">
        <v>11</v>
      </c>
      <c r="K215">
        <v>32</v>
      </c>
      <c r="L215">
        <v>34.369999999999997</v>
      </c>
      <c r="M215">
        <v>379.74</v>
      </c>
      <c r="N215">
        <f>_xlfn.XLOOKUP(Table13[[#This Row],[Production_Order_ID]],[1]Sheet1!$A$2:$A$391,[1]Sheet1!$F$2:$F$391,"No Match")</f>
        <v>410</v>
      </c>
      <c r="O215" s="3">
        <f>Table13[[#This Row],[Good_Qty]]/Table13[[#This Row],[Planned_Production]]</f>
        <v>1.5902439024390245</v>
      </c>
      <c r="P215" t="str">
        <f>IF(Table13[[#This Row],[Good_Qty]]&gt;=Table13[[#This Row],[Planned_Production]],"Met","Not Met")</f>
        <v>Met</v>
      </c>
      <c r="Q215">
        <f>Table13[[#This Row],[Good_Qty]]-Table13[[#This Row],[Planned_Production]]</f>
        <v>242</v>
      </c>
      <c r="R215" s="3">
        <f>IF(Table13[[#This Row],[Actual_Qty]]=0,0,Table13[[#This Row],[Reject_Qty]]/Table13[[#This Row],[Actual_Qty]])</f>
        <v>1.6591251885369532E-2</v>
      </c>
      <c r="S215">
        <v>406.64</v>
      </c>
      <c r="T215">
        <f>(Table13[[#This Row],[Ideal_Cycle_Time_sec]]*Table13[[#This Row],[Actual_Qty]])/(Table13[[#This Row],[Operational_Time_min]]*60)</f>
        <v>0.86956521739130443</v>
      </c>
      <c r="U215">
        <f>Table13[[#This Row],[Good_Qty]]/Table13[[#This Row],[Actual_Qty]]</f>
        <v>0.98340874811463042</v>
      </c>
      <c r="V215" t="str">
        <f>IF(OR(Table13[[#This Row],[Performance_%]]&gt;=1,Table13[[#This Row],[Performance_%]]&lt;=0),"Error","OK")</f>
        <v>OK</v>
      </c>
      <c r="W215" t="str">
        <f>IF(OR(Table13[[#This Row],[Quality_%]]&gt;=1,Table13[[#This Row],[Quality_%]]&lt;=0),"Error","OK")</f>
        <v>OK</v>
      </c>
      <c r="X215">
        <f>Table13[[#This Row],[Performance_%]]*Table13[[#This Row],[Quality_%]]*[2]Availability_KPI!K215</f>
        <v>0.77274074074074073</v>
      </c>
      <c r="Y215" t="str">
        <f>IF(OR(Table13[[#This Row],[OEE_%]]&gt;1,Table13[[#This Row],[OEE_%]]&lt;0),"Error","OK")</f>
        <v>OK</v>
      </c>
    </row>
    <row r="216" spans="1:25" x14ac:dyDescent="0.2">
      <c r="A216" t="s">
        <v>292</v>
      </c>
      <c r="B216" t="s">
        <v>286</v>
      </c>
      <c r="C216" s="2">
        <v>46247</v>
      </c>
      <c r="D216" t="s">
        <v>67</v>
      </c>
      <c r="E216" t="s">
        <v>46</v>
      </c>
      <c r="F216" t="s">
        <v>54</v>
      </c>
      <c r="G216" t="s">
        <v>61</v>
      </c>
      <c r="H216">
        <v>649</v>
      </c>
      <c r="I216">
        <v>644</v>
      </c>
      <c r="J216">
        <v>5</v>
      </c>
      <c r="K216">
        <v>25</v>
      </c>
      <c r="L216">
        <v>25.93</v>
      </c>
      <c r="M216">
        <v>280.45999999999998</v>
      </c>
      <c r="N216">
        <f>_xlfn.XLOOKUP(Table13[[#This Row],[Production_Order_ID]],[1]Sheet1!$A$2:$A$391,[1]Sheet1!$F$2:$F$391,"No Match")</f>
        <v>410</v>
      </c>
      <c r="O216" s="3">
        <f>Table13[[#This Row],[Good_Qty]]/Table13[[#This Row],[Planned_Production]]</f>
        <v>1.5707317073170732</v>
      </c>
      <c r="P216" t="str">
        <f>IF(Table13[[#This Row],[Good_Qty]]&gt;=Table13[[#This Row],[Planned_Production]],"Met","Not Met")</f>
        <v>Met</v>
      </c>
      <c r="Q216">
        <f>Table13[[#This Row],[Good_Qty]]-Table13[[#This Row],[Planned_Production]]</f>
        <v>234</v>
      </c>
      <c r="R216" s="3">
        <f>IF(Table13[[#This Row],[Actual_Qty]]=0,0,Table13[[#This Row],[Reject_Qty]]/Table13[[#This Row],[Actual_Qty]])</f>
        <v>7.7041602465331279E-3</v>
      </c>
      <c r="S216">
        <v>425.59</v>
      </c>
      <c r="T216">
        <f>(Table13[[#This Row],[Ideal_Cycle_Time_sec]]*Table13[[#This Row],[Actual_Qty]])/(Table13[[#This Row],[Operational_Time_min]]*60)</f>
        <v>0.63539243559920744</v>
      </c>
      <c r="U216">
        <f>Table13[[#This Row],[Good_Qty]]/Table13[[#This Row],[Actual_Qty]]</f>
        <v>0.99229583975346691</v>
      </c>
      <c r="V216" t="str">
        <f>IF(OR(Table13[[#This Row],[Performance_%]]&gt;=1,Table13[[#This Row],[Performance_%]]&lt;=0),"Error","OK")</f>
        <v>OK</v>
      </c>
      <c r="W216" t="str">
        <f>IF(OR(Table13[[#This Row],[Quality_%]]&gt;=1,Table13[[#This Row],[Quality_%]]&lt;=0),"Error","OK")</f>
        <v>OK</v>
      </c>
      <c r="X216">
        <f>Table13[[#This Row],[Performance_%]]*Table13[[#This Row],[Quality_%]]*[2]Availability_KPI!K216</f>
        <v>0.59629629629629632</v>
      </c>
      <c r="Y216" t="str">
        <f>IF(OR(Table13[[#This Row],[OEE_%]]&gt;1,Table13[[#This Row],[OEE_%]]&lt;0),"Error","OK")</f>
        <v>OK</v>
      </c>
    </row>
    <row r="217" spans="1:25" x14ac:dyDescent="0.2">
      <c r="A217" t="s">
        <v>293</v>
      </c>
      <c r="B217" t="s">
        <v>286</v>
      </c>
      <c r="C217" s="2">
        <v>46247</v>
      </c>
      <c r="D217" t="s">
        <v>67</v>
      </c>
      <c r="E217" t="s">
        <v>49</v>
      </c>
      <c r="F217" t="s">
        <v>54</v>
      </c>
      <c r="G217" t="s">
        <v>36</v>
      </c>
      <c r="H217">
        <v>668</v>
      </c>
      <c r="I217">
        <v>664</v>
      </c>
      <c r="J217">
        <v>4</v>
      </c>
      <c r="K217">
        <v>20</v>
      </c>
      <c r="L217">
        <v>21.48</v>
      </c>
      <c r="M217">
        <v>239.09</v>
      </c>
      <c r="N217">
        <f>_xlfn.XLOOKUP(Table13[[#This Row],[Production_Order_ID]],[1]Sheet1!$A$2:$A$391,[1]Sheet1!$F$2:$F$391,"No Match")</f>
        <v>410</v>
      </c>
      <c r="O217" s="3">
        <f>Table13[[#This Row],[Good_Qty]]/Table13[[#This Row],[Planned_Production]]</f>
        <v>1.6195121951219513</v>
      </c>
      <c r="P217" t="str">
        <f>IF(Table13[[#This Row],[Good_Qty]]&gt;=Table13[[#This Row],[Planned_Production]],"Met","Not Met")</f>
        <v>Met</v>
      </c>
      <c r="Q217">
        <f>Table13[[#This Row],[Good_Qty]]-Table13[[#This Row],[Planned_Production]]</f>
        <v>254</v>
      </c>
      <c r="R217" s="3">
        <f>IF(Table13[[#This Row],[Actual_Qty]]=0,0,Table13[[#This Row],[Reject_Qty]]/Table13[[#This Row],[Actual_Qty]])</f>
        <v>5.9880239520958087E-3</v>
      </c>
      <c r="S217">
        <v>439.73</v>
      </c>
      <c r="T217">
        <f>(Table13[[#This Row],[Ideal_Cycle_Time_sec]]*Table13[[#This Row],[Actual_Qty]])/(Table13[[#This Row],[Operational_Time_min]]*60)</f>
        <v>0.5063713339246052</v>
      </c>
      <c r="U217">
        <f>Table13[[#This Row],[Good_Qty]]/Table13[[#This Row],[Actual_Qty]]</f>
        <v>0.99401197604790414</v>
      </c>
      <c r="V217" t="str">
        <f>IF(OR(Table13[[#This Row],[Performance_%]]&gt;=1,Table13[[#This Row],[Performance_%]]&lt;=0),"Error","OK")</f>
        <v>OK</v>
      </c>
      <c r="W217" t="str">
        <f>IF(OR(Table13[[#This Row],[Quality_%]]&gt;=1,Table13[[#This Row],[Quality_%]]&lt;=0),"Error","OK")</f>
        <v>OK</v>
      </c>
      <c r="X217">
        <f>Table13[[#This Row],[Performance_%]]*Table13[[#This Row],[Quality_%]]*[2]Availability_KPI!K217</f>
        <v>0.49185185185185176</v>
      </c>
      <c r="Y217" t="str">
        <f>IF(OR(Table13[[#This Row],[OEE_%]]&gt;1,Table13[[#This Row],[OEE_%]]&lt;0),"Error","OK")</f>
        <v>OK</v>
      </c>
    </row>
    <row r="218" spans="1:25" x14ac:dyDescent="0.2">
      <c r="A218" t="s">
        <v>294</v>
      </c>
      <c r="B218" t="s">
        <v>295</v>
      </c>
      <c r="C218" s="2">
        <v>46248</v>
      </c>
      <c r="D218" t="s">
        <v>27</v>
      </c>
      <c r="E218" t="s">
        <v>28</v>
      </c>
      <c r="F218" t="s">
        <v>97</v>
      </c>
      <c r="G218" t="s">
        <v>57</v>
      </c>
      <c r="H218">
        <v>543</v>
      </c>
      <c r="I218">
        <v>540</v>
      </c>
      <c r="J218">
        <v>3</v>
      </c>
      <c r="K218">
        <v>19.260000000000002</v>
      </c>
      <c r="L218">
        <v>20.58</v>
      </c>
      <c r="M218">
        <v>186.26</v>
      </c>
      <c r="N218">
        <f>_xlfn.XLOOKUP(Table13[[#This Row],[Production_Order_ID]],[1]Sheet1!$A$2:$A$391,[1]Sheet1!$F$2:$F$391,"No Match")</f>
        <v>550</v>
      </c>
      <c r="O218" s="3">
        <f>Table13[[#This Row],[Good_Qty]]/Table13[[#This Row],[Planned_Production]]</f>
        <v>0.98181818181818181</v>
      </c>
      <c r="P218" t="str">
        <f>IF(Table13[[#This Row],[Good_Qty]]&gt;=Table13[[#This Row],[Planned_Production]],"Met","Not Met")</f>
        <v>Not Met</v>
      </c>
      <c r="Q218">
        <f>Table13[[#This Row],[Good_Qty]]-Table13[[#This Row],[Planned_Production]]</f>
        <v>-10</v>
      </c>
      <c r="R218" s="3">
        <f>IF(Table13[[#This Row],[Actual_Qty]]=0,0,Table13[[#This Row],[Reject_Qty]]/Table13[[#This Row],[Actual_Qty]])</f>
        <v>5.5248618784530384E-3</v>
      </c>
      <c r="S218">
        <v>443.09</v>
      </c>
      <c r="T218">
        <f>(Table13[[#This Row],[Ideal_Cycle_Time_sec]]*Table13[[#This Row],[Actual_Qty]])/(Table13[[#This Row],[Operational_Time_min]]*60)</f>
        <v>0.39338057730935028</v>
      </c>
      <c r="U218">
        <f>Table13[[#This Row],[Good_Qty]]/Table13[[#This Row],[Actual_Qty]]</f>
        <v>0.99447513812154698</v>
      </c>
      <c r="V218" t="str">
        <f>IF(OR(Table13[[#This Row],[Performance_%]]&gt;=1,Table13[[#This Row],[Performance_%]]&lt;=0),"Error","OK")</f>
        <v>OK</v>
      </c>
      <c r="W218" t="str">
        <f>IF(OR(Table13[[#This Row],[Quality_%]]&gt;=1,Table13[[#This Row],[Quality_%]]&lt;=0),"Error","OK")</f>
        <v>OK</v>
      </c>
      <c r="X218">
        <f>Table13[[#This Row],[Performance_%]]*Table13[[#This Row],[Quality_%]]*[2]Availability_KPI!K218</f>
        <v>0.38520000000000004</v>
      </c>
      <c r="Y218" t="str">
        <f>IF(OR(Table13[[#This Row],[OEE_%]]&gt;1,Table13[[#This Row],[OEE_%]]&lt;0),"Error","OK")</f>
        <v>OK</v>
      </c>
    </row>
    <row r="219" spans="1:25" x14ac:dyDescent="0.2">
      <c r="A219" t="s">
        <v>296</v>
      </c>
      <c r="B219" t="s">
        <v>295</v>
      </c>
      <c r="C219" s="2">
        <v>46248</v>
      </c>
      <c r="D219" t="s">
        <v>27</v>
      </c>
      <c r="E219" t="s">
        <v>32</v>
      </c>
      <c r="F219" t="s">
        <v>97</v>
      </c>
      <c r="G219" t="s">
        <v>75</v>
      </c>
      <c r="H219">
        <v>545</v>
      </c>
      <c r="I219">
        <v>542</v>
      </c>
      <c r="J219">
        <v>3</v>
      </c>
      <c r="K219">
        <v>21.4</v>
      </c>
      <c r="L219">
        <v>23.17</v>
      </c>
      <c r="M219">
        <v>210.46</v>
      </c>
      <c r="N219">
        <f>_xlfn.XLOOKUP(Table13[[#This Row],[Production_Order_ID]],[1]Sheet1!$A$2:$A$391,[1]Sheet1!$F$2:$F$391,"No Match")</f>
        <v>550</v>
      </c>
      <c r="O219" s="3">
        <f>Table13[[#This Row],[Good_Qty]]/Table13[[#This Row],[Planned_Production]]</f>
        <v>0.98545454545454547</v>
      </c>
      <c r="P219" t="str">
        <f>IF(Table13[[#This Row],[Good_Qty]]&gt;=Table13[[#This Row],[Planned_Production]],"Met","Not Met")</f>
        <v>Not Met</v>
      </c>
      <c r="Q219">
        <f>Table13[[#This Row],[Good_Qty]]-Table13[[#This Row],[Planned_Production]]</f>
        <v>-8</v>
      </c>
      <c r="R219" s="3">
        <f>IF(Table13[[#This Row],[Actual_Qty]]=0,0,Table13[[#This Row],[Reject_Qty]]/Table13[[#This Row],[Actual_Qty]])</f>
        <v>5.5045871559633031E-3</v>
      </c>
      <c r="S219">
        <v>435.88</v>
      </c>
      <c r="T219">
        <f>(Table13[[#This Row],[Ideal_Cycle_Time_sec]]*Table13[[#This Row],[Actual_Qty]])/(Table13[[#This Row],[Operational_Time_min]]*60)</f>
        <v>0.44595607353705913</v>
      </c>
      <c r="U219">
        <f>Table13[[#This Row],[Good_Qty]]/Table13[[#This Row],[Actual_Qty]]</f>
        <v>0.99449541284403675</v>
      </c>
      <c r="V219" t="str">
        <f>IF(OR(Table13[[#This Row],[Performance_%]]&gt;=1,Table13[[#This Row],[Performance_%]]&lt;=0),"Error","OK")</f>
        <v>OK</v>
      </c>
      <c r="W219" t="str">
        <f>IF(OR(Table13[[#This Row],[Quality_%]]&gt;=1,Table13[[#This Row],[Quality_%]]&lt;=0),"Error","OK")</f>
        <v>OK</v>
      </c>
      <c r="X219">
        <f>Table13[[#This Row],[Performance_%]]*Table13[[#This Row],[Quality_%]]*[2]Availability_KPI!K219</f>
        <v>0.42958518518518518</v>
      </c>
      <c r="Y219" t="str">
        <f>IF(OR(Table13[[#This Row],[OEE_%]]&gt;1,Table13[[#This Row],[OEE_%]]&lt;0),"Error","OK")</f>
        <v>OK</v>
      </c>
    </row>
    <row r="220" spans="1:25" x14ac:dyDescent="0.2">
      <c r="A220" t="s">
        <v>297</v>
      </c>
      <c r="B220" t="s">
        <v>295</v>
      </c>
      <c r="C220" s="2">
        <v>46248</v>
      </c>
      <c r="D220" t="s">
        <v>27</v>
      </c>
      <c r="E220" t="s">
        <v>35</v>
      </c>
      <c r="F220" t="s">
        <v>97</v>
      </c>
      <c r="G220" t="s">
        <v>39</v>
      </c>
      <c r="H220">
        <v>555</v>
      </c>
      <c r="I220">
        <v>551</v>
      </c>
      <c r="J220">
        <v>4</v>
      </c>
      <c r="K220">
        <v>23.54</v>
      </c>
      <c r="L220">
        <v>25.13</v>
      </c>
      <c r="M220">
        <v>232.41</v>
      </c>
      <c r="N220">
        <f>_xlfn.XLOOKUP(Table13[[#This Row],[Production_Order_ID]],[1]Sheet1!$A$2:$A$391,[1]Sheet1!$F$2:$F$391,"No Match")</f>
        <v>550</v>
      </c>
      <c r="O220" s="3">
        <f>Table13[[#This Row],[Good_Qty]]/Table13[[#This Row],[Planned_Production]]</f>
        <v>1.0018181818181817</v>
      </c>
      <c r="P220" t="str">
        <f>IF(Table13[[#This Row],[Good_Qty]]&gt;=Table13[[#This Row],[Planned_Production]],"Met","Not Met")</f>
        <v>Met</v>
      </c>
      <c r="Q220">
        <f>Table13[[#This Row],[Good_Qty]]-Table13[[#This Row],[Planned_Production]]</f>
        <v>1</v>
      </c>
      <c r="R220" s="3">
        <f>IF(Table13[[#This Row],[Actual_Qty]]=0,0,Table13[[#This Row],[Reject_Qty]]/Table13[[#This Row],[Actual_Qty]])</f>
        <v>7.2072072072072073E-3</v>
      </c>
      <c r="S220">
        <v>437.07</v>
      </c>
      <c r="T220">
        <f>(Table13[[#This Row],[Ideal_Cycle_Time_sec]]*Table13[[#This Row],[Actual_Qty]])/(Table13[[#This Row],[Operational_Time_min]]*60)</f>
        <v>0.49819250920905112</v>
      </c>
      <c r="U220">
        <f>Table13[[#This Row],[Good_Qty]]/Table13[[#This Row],[Actual_Qty]]</f>
        <v>0.99279279279279276</v>
      </c>
      <c r="V220" t="str">
        <f>IF(OR(Table13[[#This Row],[Performance_%]]&gt;=1,Table13[[#This Row],[Performance_%]]&lt;=0),"Error","OK")</f>
        <v>OK</v>
      </c>
      <c r="W220" t="str">
        <f>IF(OR(Table13[[#This Row],[Quality_%]]&gt;=1,Table13[[#This Row],[Quality_%]]&lt;=0),"Error","OK")</f>
        <v>OK</v>
      </c>
      <c r="X220">
        <f>Table13[[#This Row],[Performance_%]]*Table13[[#This Row],[Quality_%]]*[2]Availability_KPI!K220</f>
        <v>0.48039037037037025</v>
      </c>
      <c r="Y220" t="str">
        <f>IF(OR(Table13[[#This Row],[OEE_%]]&gt;1,Table13[[#This Row],[OEE_%]]&lt;0),"Error","OK")</f>
        <v>OK</v>
      </c>
    </row>
    <row r="221" spans="1:25" x14ac:dyDescent="0.2">
      <c r="A221" t="s">
        <v>298</v>
      </c>
      <c r="B221" t="s">
        <v>295</v>
      </c>
      <c r="C221" s="2">
        <v>46248</v>
      </c>
      <c r="D221" t="s">
        <v>27</v>
      </c>
      <c r="E221" t="s">
        <v>38</v>
      </c>
      <c r="F221" t="s">
        <v>97</v>
      </c>
      <c r="G221" t="s">
        <v>61</v>
      </c>
      <c r="H221">
        <v>549</v>
      </c>
      <c r="I221">
        <v>545</v>
      </c>
      <c r="J221">
        <v>4</v>
      </c>
      <c r="K221">
        <v>21.4</v>
      </c>
      <c r="L221">
        <v>22.82</v>
      </c>
      <c r="M221">
        <v>208.78</v>
      </c>
      <c r="N221">
        <f>_xlfn.XLOOKUP(Table13[[#This Row],[Production_Order_ID]],[1]Sheet1!$A$2:$A$391,[1]Sheet1!$F$2:$F$391,"No Match")</f>
        <v>550</v>
      </c>
      <c r="O221" s="3">
        <f>Table13[[#This Row],[Good_Qty]]/Table13[[#This Row],[Planned_Production]]</f>
        <v>0.99090909090909096</v>
      </c>
      <c r="P221" t="str">
        <f>IF(Table13[[#This Row],[Good_Qty]]&gt;=Table13[[#This Row],[Planned_Production]],"Met","Not Met")</f>
        <v>Not Met</v>
      </c>
      <c r="Q221">
        <f>Table13[[#This Row],[Good_Qty]]-Table13[[#This Row],[Planned_Production]]</f>
        <v>-5</v>
      </c>
      <c r="R221" s="3">
        <f>IF(Table13[[#This Row],[Actual_Qty]]=0,0,Table13[[#This Row],[Reject_Qty]]/Table13[[#This Row],[Actual_Qty]])</f>
        <v>7.2859744990892532E-3</v>
      </c>
      <c r="S221">
        <v>439.45</v>
      </c>
      <c r="T221">
        <f>(Table13[[#This Row],[Ideal_Cycle_Time_sec]]*Table13[[#This Row],[Actual_Qty]])/(Table13[[#This Row],[Operational_Time_min]]*60)</f>
        <v>0.44557970190010232</v>
      </c>
      <c r="U221">
        <f>Table13[[#This Row],[Good_Qty]]/Table13[[#This Row],[Actual_Qty]]</f>
        <v>0.9927140255009107</v>
      </c>
      <c r="V221" t="str">
        <f>IF(OR(Table13[[#This Row],[Performance_%]]&gt;=1,Table13[[#This Row],[Performance_%]]&lt;=0),"Error","OK")</f>
        <v>OK</v>
      </c>
      <c r="W221" t="str">
        <f>IF(OR(Table13[[#This Row],[Quality_%]]&gt;=1,Table13[[#This Row],[Quality_%]]&lt;=0),"Error","OK")</f>
        <v>OK</v>
      </c>
      <c r="X221">
        <f>Table13[[#This Row],[Performance_%]]*Table13[[#This Row],[Quality_%]]*[2]Availability_KPI!K221</f>
        <v>0.43196296296296283</v>
      </c>
      <c r="Y221" t="str">
        <f>IF(OR(Table13[[#This Row],[OEE_%]]&gt;1,Table13[[#This Row],[OEE_%]]&lt;0),"Error","OK")</f>
        <v>OK</v>
      </c>
    </row>
    <row r="222" spans="1:25" x14ac:dyDescent="0.2">
      <c r="A222" t="s">
        <v>299</v>
      </c>
      <c r="B222" t="s">
        <v>295</v>
      </c>
      <c r="C222" s="2">
        <v>46248</v>
      </c>
      <c r="D222" t="s">
        <v>27</v>
      </c>
      <c r="E222" t="s">
        <v>41</v>
      </c>
      <c r="F222" t="s">
        <v>97</v>
      </c>
      <c r="G222" t="s">
        <v>57</v>
      </c>
      <c r="H222">
        <v>558</v>
      </c>
      <c r="I222">
        <v>554</v>
      </c>
      <c r="J222">
        <v>4</v>
      </c>
      <c r="K222">
        <v>19.260000000000002</v>
      </c>
      <c r="L222">
        <v>20.2</v>
      </c>
      <c r="M222">
        <v>187.84</v>
      </c>
      <c r="N222">
        <f>_xlfn.XLOOKUP(Table13[[#This Row],[Production_Order_ID]],[1]Sheet1!$A$2:$A$391,[1]Sheet1!$F$2:$F$391,"No Match")</f>
        <v>550</v>
      </c>
      <c r="O222" s="3">
        <f>Table13[[#This Row],[Good_Qty]]/Table13[[#This Row],[Planned_Production]]</f>
        <v>1.0072727272727273</v>
      </c>
      <c r="P222" t="str">
        <f>IF(Table13[[#This Row],[Good_Qty]]&gt;=Table13[[#This Row],[Planned_Production]],"Met","Not Met")</f>
        <v>Met</v>
      </c>
      <c r="Q222">
        <f>Table13[[#This Row],[Good_Qty]]-Table13[[#This Row],[Planned_Production]]</f>
        <v>4</v>
      </c>
      <c r="R222" s="3">
        <f>IF(Table13[[#This Row],[Actual_Qty]]=0,0,Table13[[#This Row],[Reject_Qty]]/Table13[[#This Row],[Actual_Qty]])</f>
        <v>7.1684587813620072E-3</v>
      </c>
      <c r="S222">
        <v>437.61</v>
      </c>
      <c r="T222">
        <f>(Table13[[#This Row],[Ideal_Cycle_Time_sec]]*Table13[[#This Row],[Actual_Qty]])/(Table13[[#This Row],[Operational_Time_min]]*60)</f>
        <v>0.40930965928566537</v>
      </c>
      <c r="U222">
        <f>Table13[[#This Row],[Good_Qty]]/Table13[[#This Row],[Actual_Qty]]</f>
        <v>0.99283154121863804</v>
      </c>
      <c r="V222" t="str">
        <f>IF(OR(Table13[[#This Row],[Performance_%]]&gt;=1,Table13[[#This Row],[Performance_%]]&lt;=0),"Error","OK")</f>
        <v>OK</v>
      </c>
      <c r="W222" t="str">
        <f>IF(OR(Table13[[#This Row],[Quality_%]]&gt;=1,Table13[[#This Row],[Quality_%]]&lt;=0),"Error","OK")</f>
        <v>OK</v>
      </c>
      <c r="X222">
        <f>Table13[[#This Row],[Performance_%]]*Table13[[#This Row],[Quality_%]]*[2]Availability_KPI!K222</f>
        <v>0.39518666666666674</v>
      </c>
      <c r="Y222" t="str">
        <f>IF(OR(Table13[[#This Row],[OEE_%]]&gt;1,Table13[[#This Row],[OEE_%]]&lt;0),"Error","OK")</f>
        <v>OK</v>
      </c>
    </row>
    <row r="223" spans="1:25" x14ac:dyDescent="0.2">
      <c r="A223" t="s">
        <v>300</v>
      </c>
      <c r="B223" t="s">
        <v>295</v>
      </c>
      <c r="C223" s="2">
        <v>46248</v>
      </c>
      <c r="D223" t="s">
        <v>27</v>
      </c>
      <c r="E223" t="s">
        <v>43</v>
      </c>
      <c r="F223" t="s">
        <v>97</v>
      </c>
      <c r="G223" t="s">
        <v>47</v>
      </c>
      <c r="H223">
        <v>560</v>
      </c>
      <c r="I223">
        <v>552</v>
      </c>
      <c r="J223">
        <v>8</v>
      </c>
      <c r="K223">
        <v>34.24</v>
      </c>
      <c r="L223">
        <v>37.04</v>
      </c>
      <c r="M223">
        <v>345.74</v>
      </c>
      <c r="N223">
        <f>_xlfn.XLOOKUP(Table13[[#This Row],[Production_Order_ID]],[1]Sheet1!$A$2:$A$391,[1]Sheet1!$F$2:$F$391,"No Match")</f>
        <v>550</v>
      </c>
      <c r="O223" s="3">
        <f>Table13[[#This Row],[Good_Qty]]/Table13[[#This Row],[Planned_Production]]</f>
        <v>1.0036363636363637</v>
      </c>
      <c r="P223" t="str">
        <f>IF(Table13[[#This Row],[Good_Qty]]&gt;=Table13[[#This Row],[Planned_Production]],"Met","Not Met")</f>
        <v>Met</v>
      </c>
      <c r="Q223">
        <f>Table13[[#This Row],[Good_Qty]]-Table13[[#This Row],[Planned_Production]]</f>
        <v>2</v>
      </c>
      <c r="R223" s="3">
        <f>IF(Table13[[#This Row],[Actual_Qty]]=0,0,Table13[[#This Row],[Reject_Qty]]/Table13[[#This Row],[Actual_Qty]])</f>
        <v>1.4285714285714285E-2</v>
      </c>
      <c r="S223">
        <v>417.13</v>
      </c>
      <c r="T223">
        <f>(Table13[[#This Row],[Ideal_Cycle_Time_sec]]*Table13[[#This Row],[Actual_Qty]])/(Table13[[#This Row],[Operational_Time_min]]*60)</f>
        <v>0.76612407003412208</v>
      </c>
      <c r="U223">
        <f>Table13[[#This Row],[Good_Qty]]/Table13[[#This Row],[Actual_Qty]]</f>
        <v>0.98571428571428577</v>
      </c>
      <c r="V223" t="str">
        <f>IF(OR(Table13[[#This Row],[Performance_%]]&gt;=1,Table13[[#This Row],[Performance_%]]&lt;=0),"Error","OK")</f>
        <v>OK</v>
      </c>
      <c r="W223" t="str">
        <f>IF(OR(Table13[[#This Row],[Quality_%]]&gt;=1,Table13[[#This Row],[Quality_%]]&lt;=0),"Error","OK")</f>
        <v>OK</v>
      </c>
      <c r="X223">
        <f>Table13[[#This Row],[Performance_%]]*Table13[[#This Row],[Quality_%]]*[2]Availability_KPI!K223</f>
        <v>0.70001777777777785</v>
      </c>
      <c r="Y223" t="str">
        <f>IF(OR(Table13[[#This Row],[OEE_%]]&gt;1,Table13[[#This Row],[OEE_%]]&lt;0),"Error","OK")</f>
        <v>OK</v>
      </c>
    </row>
    <row r="224" spans="1:25" x14ac:dyDescent="0.2">
      <c r="A224" t="s">
        <v>301</v>
      </c>
      <c r="B224" t="s">
        <v>295</v>
      </c>
      <c r="C224" s="2">
        <v>46248</v>
      </c>
      <c r="D224" t="s">
        <v>27</v>
      </c>
      <c r="E224" t="s">
        <v>46</v>
      </c>
      <c r="F224" t="s">
        <v>97</v>
      </c>
      <c r="G224" t="s">
        <v>47</v>
      </c>
      <c r="H224">
        <v>539</v>
      </c>
      <c r="I224">
        <v>535</v>
      </c>
      <c r="J224">
        <v>4</v>
      </c>
      <c r="K224">
        <v>26.75</v>
      </c>
      <c r="L224">
        <v>29.27</v>
      </c>
      <c r="M224">
        <v>262.91000000000003</v>
      </c>
      <c r="N224">
        <f>_xlfn.XLOOKUP(Table13[[#This Row],[Production_Order_ID]],[1]Sheet1!$A$2:$A$391,[1]Sheet1!$F$2:$F$391,"No Match")</f>
        <v>550</v>
      </c>
      <c r="O224" s="3">
        <f>Table13[[#This Row],[Good_Qty]]/Table13[[#This Row],[Planned_Production]]</f>
        <v>0.97272727272727277</v>
      </c>
      <c r="P224" t="str">
        <f>IF(Table13[[#This Row],[Good_Qty]]&gt;=Table13[[#This Row],[Planned_Production]],"Met","Not Met")</f>
        <v>Not Met</v>
      </c>
      <c r="Q224">
        <f>Table13[[#This Row],[Good_Qty]]-Table13[[#This Row],[Planned_Production]]</f>
        <v>-15</v>
      </c>
      <c r="R224" s="3">
        <f>IF(Table13[[#This Row],[Actual_Qty]]=0,0,Table13[[#This Row],[Reject_Qty]]/Table13[[#This Row],[Actual_Qty]])</f>
        <v>7.4211502782931356E-3</v>
      </c>
      <c r="S224">
        <v>431.48</v>
      </c>
      <c r="T224">
        <f>(Table13[[#This Row],[Ideal_Cycle_Time_sec]]*Table13[[#This Row],[Actual_Qty]])/(Table13[[#This Row],[Operational_Time_min]]*60)</f>
        <v>0.55693002379407308</v>
      </c>
      <c r="U224">
        <f>Table13[[#This Row],[Good_Qty]]/Table13[[#This Row],[Actual_Qty]]</f>
        <v>0.99257884972170685</v>
      </c>
      <c r="V224" t="str">
        <f>IF(OR(Table13[[#This Row],[Performance_%]]&gt;=1,Table13[[#This Row],[Performance_%]]&lt;=0),"Error","OK")</f>
        <v>OK</v>
      </c>
      <c r="W224" t="str">
        <f>IF(OR(Table13[[#This Row],[Quality_%]]&gt;=1,Table13[[#This Row],[Quality_%]]&lt;=0),"Error","OK")</f>
        <v>OK</v>
      </c>
      <c r="X224">
        <f>Table13[[#This Row],[Performance_%]]*Table13[[#This Row],[Quality_%]]*[2]Availability_KPI!K224</f>
        <v>0.53004629629629629</v>
      </c>
      <c r="Y224" t="str">
        <f>IF(OR(Table13[[#This Row],[OEE_%]]&gt;1,Table13[[#This Row],[OEE_%]]&lt;0),"Error","OK")</f>
        <v>OK</v>
      </c>
    </row>
    <row r="225" spans="1:25" x14ac:dyDescent="0.2">
      <c r="A225" t="s">
        <v>302</v>
      </c>
      <c r="B225" t="s">
        <v>295</v>
      </c>
      <c r="C225" s="2">
        <v>46248</v>
      </c>
      <c r="D225" t="s">
        <v>27</v>
      </c>
      <c r="E225" t="s">
        <v>49</v>
      </c>
      <c r="F225" t="s">
        <v>97</v>
      </c>
      <c r="G225" t="s">
        <v>50</v>
      </c>
      <c r="H225">
        <v>562</v>
      </c>
      <c r="I225">
        <v>561</v>
      </c>
      <c r="J225">
        <v>1</v>
      </c>
      <c r="K225">
        <v>21.4</v>
      </c>
      <c r="L225">
        <v>21.83</v>
      </c>
      <c r="M225">
        <v>204.44</v>
      </c>
      <c r="N225">
        <f>_xlfn.XLOOKUP(Table13[[#This Row],[Production_Order_ID]],[1]Sheet1!$A$2:$A$391,[1]Sheet1!$F$2:$F$391,"No Match")</f>
        <v>550</v>
      </c>
      <c r="O225" s="3">
        <f>Table13[[#This Row],[Good_Qty]]/Table13[[#This Row],[Planned_Production]]</f>
        <v>1.02</v>
      </c>
      <c r="P225" t="str">
        <f>IF(Table13[[#This Row],[Good_Qty]]&gt;=Table13[[#This Row],[Planned_Production]],"Met","Not Met")</f>
        <v>Met</v>
      </c>
      <c r="Q225">
        <f>Table13[[#This Row],[Good_Qty]]-Table13[[#This Row],[Planned_Production]]</f>
        <v>11</v>
      </c>
      <c r="R225" s="3">
        <f>IF(Table13[[#This Row],[Actual_Qty]]=0,0,Table13[[#This Row],[Reject_Qty]]/Table13[[#This Row],[Actual_Qty]])</f>
        <v>1.7793594306049821E-3</v>
      </c>
      <c r="S225">
        <v>442.38</v>
      </c>
      <c r="T225">
        <f>(Table13[[#This Row],[Ideal_Cycle_Time_sec]]*Table13[[#This Row],[Actual_Qty]])/(Table13[[#This Row],[Operational_Time_min]]*60)</f>
        <v>0.45310969453109695</v>
      </c>
      <c r="U225">
        <f>Table13[[#This Row],[Good_Qty]]/Table13[[#This Row],[Actual_Qty]]</f>
        <v>0.99822064056939497</v>
      </c>
      <c r="V225" t="str">
        <f>IF(OR(Table13[[#This Row],[Performance_%]]&gt;=1,Table13[[#This Row],[Performance_%]]&lt;=0),"Error","OK")</f>
        <v>OK</v>
      </c>
      <c r="W225" t="str">
        <f>IF(OR(Table13[[#This Row],[Quality_%]]&gt;=1,Table13[[#This Row],[Quality_%]]&lt;=0),"Error","OK")</f>
        <v>OK</v>
      </c>
      <c r="X225">
        <f>Table13[[#This Row],[Performance_%]]*Table13[[#This Row],[Quality_%]]*[2]Availability_KPI!K225</f>
        <v>0.4446444444444444</v>
      </c>
      <c r="Y225" t="str">
        <f>IF(OR(Table13[[#This Row],[OEE_%]]&gt;1,Table13[[#This Row],[OEE_%]]&lt;0),"Error","OK")</f>
        <v>OK</v>
      </c>
    </row>
    <row r="226" spans="1:25" x14ac:dyDescent="0.2">
      <c r="A226" t="s">
        <v>303</v>
      </c>
      <c r="B226" t="s">
        <v>304</v>
      </c>
      <c r="C226" s="2">
        <v>46248</v>
      </c>
      <c r="D226" t="s">
        <v>53</v>
      </c>
      <c r="E226" t="s">
        <v>28</v>
      </c>
      <c r="F226" t="s">
        <v>54</v>
      </c>
      <c r="G226" t="s">
        <v>36</v>
      </c>
      <c r="H226">
        <v>553</v>
      </c>
      <c r="I226">
        <v>552</v>
      </c>
      <c r="J226">
        <v>1</v>
      </c>
      <c r="K226">
        <v>18</v>
      </c>
      <c r="L226">
        <v>18.440000000000001</v>
      </c>
      <c r="M226">
        <v>169.92</v>
      </c>
      <c r="N226">
        <f>_xlfn.XLOOKUP(Table13[[#This Row],[Production_Order_ID]],[1]Sheet1!$A$2:$A$391,[1]Sheet1!$F$2:$F$391,"No Match")</f>
        <v>480</v>
      </c>
      <c r="O226" s="3">
        <f>Table13[[#This Row],[Good_Qty]]/Table13[[#This Row],[Planned_Production]]</f>
        <v>1.1499999999999999</v>
      </c>
      <c r="P226" t="str">
        <f>IF(Table13[[#This Row],[Good_Qty]]&gt;=Table13[[#This Row],[Planned_Production]],"Met","Not Met")</f>
        <v>Met</v>
      </c>
      <c r="Q226">
        <f>Table13[[#This Row],[Good_Qty]]-Table13[[#This Row],[Planned_Production]]</f>
        <v>72</v>
      </c>
      <c r="R226" s="3">
        <f>IF(Table13[[#This Row],[Actual_Qty]]=0,0,Table13[[#This Row],[Reject_Qty]]/Table13[[#This Row],[Actual_Qty]])</f>
        <v>1.8083182640144665E-3</v>
      </c>
      <c r="S226">
        <v>443.58</v>
      </c>
      <c r="T226">
        <f>(Table13[[#This Row],[Ideal_Cycle_Time_sec]]*Table13[[#This Row],[Actual_Qty]])/(Table13[[#This Row],[Operational_Time_min]]*60)</f>
        <v>0.37400243473556066</v>
      </c>
      <c r="U226">
        <f>Table13[[#This Row],[Good_Qty]]/Table13[[#This Row],[Actual_Qty]]</f>
        <v>0.99819168173598549</v>
      </c>
      <c r="V226" t="str">
        <f>IF(OR(Table13[[#This Row],[Performance_%]]&gt;=1,Table13[[#This Row],[Performance_%]]&lt;=0),"Error","OK")</f>
        <v>OK</v>
      </c>
      <c r="W226" t="str">
        <f>IF(OR(Table13[[#This Row],[Quality_%]]&gt;=1,Table13[[#This Row],[Quality_%]]&lt;=0),"Error","OK")</f>
        <v>OK</v>
      </c>
      <c r="X226">
        <f>Table13[[#This Row],[Performance_%]]*Table13[[#This Row],[Quality_%]]*[2]Availability_KPI!K226</f>
        <v>0.36799999999999999</v>
      </c>
      <c r="Y226" t="str">
        <f>IF(OR(Table13[[#This Row],[OEE_%]]&gt;1,Table13[[#This Row],[OEE_%]]&lt;0),"Error","OK")</f>
        <v>OK</v>
      </c>
    </row>
    <row r="227" spans="1:25" x14ac:dyDescent="0.2">
      <c r="A227" t="s">
        <v>305</v>
      </c>
      <c r="B227" t="s">
        <v>304</v>
      </c>
      <c r="C227" s="2">
        <v>46248</v>
      </c>
      <c r="D227" t="s">
        <v>53</v>
      </c>
      <c r="E227" t="s">
        <v>32</v>
      </c>
      <c r="F227" t="s">
        <v>54</v>
      </c>
      <c r="G227" t="s">
        <v>39</v>
      </c>
      <c r="H227">
        <v>546</v>
      </c>
      <c r="I227">
        <v>544</v>
      </c>
      <c r="J227">
        <v>2</v>
      </c>
      <c r="K227">
        <v>20</v>
      </c>
      <c r="L227">
        <v>20.95</v>
      </c>
      <c r="M227">
        <v>190.68</v>
      </c>
      <c r="N227">
        <f>_xlfn.XLOOKUP(Table13[[#This Row],[Production_Order_ID]],[1]Sheet1!$A$2:$A$391,[1]Sheet1!$F$2:$F$391,"No Match")</f>
        <v>480</v>
      </c>
      <c r="O227" s="3">
        <f>Table13[[#This Row],[Good_Qty]]/Table13[[#This Row],[Planned_Production]]</f>
        <v>1.1333333333333333</v>
      </c>
      <c r="P227" t="str">
        <f>IF(Table13[[#This Row],[Good_Qty]]&gt;=Table13[[#This Row],[Planned_Production]],"Met","Not Met")</f>
        <v>Met</v>
      </c>
      <c r="Q227">
        <f>Table13[[#This Row],[Good_Qty]]-Table13[[#This Row],[Planned_Production]]</f>
        <v>64</v>
      </c>
      <c r="R227" s="3">
        <f>IF(Table13[[#This Row],[Actual_Qty]]=0,0,Table13[[#This Row],[Reject_Qty]]/Table13[[#This Row],[Actual_Qty]])</f>
        <v>3.663003663003663E-3</v>
      </c>
      <c r="S227">
        <v>440.5</v>
      </c>
      <c r="T227">
        <f>(Table13[[#This Row],[Ideal_Cycle_Time_sec]]*Table13[[#This Row],[Actual_Qty]])/(Table13[[#This Row],[Operational_Time_min]]*60)</f>
        <v>0.41316685584562995</v>
      </c>
      <c r="U227">
        <f>Table13[[#This Row],[Good_Qty]]/Table13[[#This Row],[Actual_Qty]]</f>
        <v>0.99633699633699635</v>
      </c>
      <c r="V227" t="str">
        <f>IF(OR(Table13[[#This Row],[Performance_%]]&gt;=1,Table13[[#This Row],[Performance_%]]&lt;=0),"Error","OK")</f>
        <v>OK</v>
      </c>
      <c r="W227" t="str">
        <f>IF(OR(Table13[[#This Row],[Quality_%]]&gt;=1,Table13[[#This Row],[Quality_%]]&lt;=0),"Error","OK")</f>
        <v>OK</v>
      </c>
      <c r="X227">
        <f>Table13[[#This Row],[Performance_%]]*Table13[[#This Row],[Quality_%]]*[2]Availability_KPI!K227</f>
        <v>0.40296296296296297</v>
      </c>
      <c r="Y227" t="str">
        <f>IF(OR(Table13[[#This Row],[OEE_%]]&gt;1,Table13[[#This Row],[OEE_%]]&lt;0),"Error","OK")</f>
        <v>OK</v>
      </c>
    </row>
    <row r="228" spans="1:25" x14ac:dyDescent="0.2">
      <c r="A228" t="s">
        <v>306</v>
      </c>
      <c r="B228" t="s">
        <v>304</v>
      </c>
      <c r="C228" s="2">
        <v>46248</v>
      </c>
      <c r="D228" t="s">
        <v>53</v>
      </c>
      <c r="E228" t="s">
        <v>35</v>
      </c>
      <c r="F228" t="s">
        <v>54</v>
      </c>
      <c r="G228" t="s">
        <v>47</v>
      </c>
      <c r="H228">
        <v>558</v>
      </c>
      <c r="I228">
        <v>556</v>
      </c>
      <c r="J228">
        <v>2</v>
      </c>
      <c r="K228">
        <v>22</v>
      </c>
      <c r="L228">
        <v>22.72</v>
      </c>
      <c r="M228">
        <v>211.28</v>
      </c>
      <c r="N228">
        <f>_xlfn.XLOOKUP(Table13[[#This Row],[Production_Order_ID]],[1]Sheet1!$A$2:$A$391,[1]Sheet1!$F$2:$F$391,"No Match")</f>
        <v>480</v>
      </c>
      <c r="O228" s="3">
        <f>Table13[[#This Row],[Good_Qty]]/Table13[[#This Row],[Planned_Production]]</f>
        <v>1.1583333333333334</v>
      </c>
      <c r="P228" t="str">
        <f>IF(Table13[[#This Row],[Good_Qty]]&gt;=Table13[[#This Row],[Planned_Production]],"Met","Not Met")</f>
        <v>Met</v>
      </c>
      <c r="Q228">
        <f>Table13[[#This Row],[Good_Qty]]-Table13[[#This Row],[Planned_Production]]</f>
        <v>76</v>
      </c>
      <c r="R228" s="3">
        <f>IF(Table13[[#This Row],[Actual_Qty]]=0,0,Table13[[#This Row],[Reject_Qty]]/Table13[[#This Row],[Actual_Qty]])</f>
        <v>3.5842293906810036E-3</v>
      </c>
      <c r="S228">
        <v>434.52</v>
      </c>
      <c r="T228">
        <f>(Table13[[#This Row],[Ideal_Cycle_Time_sec]]*Table13[[#This Row],[Actual_Qty]])/(Table13[[#This Row],[Operational_Time_min]]*60)</f>
        <v>0.47086440209886776</v>
      </c>
      <c r="U228">
        <f>Table13[[#This Row],[Good_Qty]]/Table13[[#This Row],[Actual_Qty]]</f>
        <v>0.99641577060931896</v>
      </c>
      <c r="V228" t="str">
        <f>IF(OR(Table13[[#This Row],[Performance_%]]&gt;=1,Table13[[#This Row],[Performance_%]]&lt;=0),"Error","OK")</f>
        <v>OK</v>
      </c>
      <c r="W228" t="str">
        <f>IF(OR(Table13[[#This Row],[Quality_%]]&gt;=1,Table13[[#This Row],[Quality_%]]&lt;=0),"Error","OK")</f>
        <v>OK</v>
      </c>
      <c r="X228">
        <f>Table13[[#This Row],[Performance_%]]*Table13[[#This Row],[Quality_%]]*[2]Availability_KPI!K228</f>
        <v>0.45303703703703707</v>
      </c>
      <c r="Y228" t="str">
        <f>IF(OR(Table13[[#This Row],[OEE_%]]&gt;1,Table13[[#This Row],[OEE_%]]&lt;0),"Error","OK")</f>
        <v>OK</v>
      </c>
    </row>
    <row r="229" spans="1:25" x14ac:dyDescent="0.2">
      <c r="A229" t="s">
        <v>307</v>
      </c>
      <c r="B229" t="s">
        <v>304</v>
      </c>
      <c r="C229" s="2">
        <v>46248</v>
      </c>
      <c r="D229" t="s">
        <v>53</v>
      </c>
      <c r="E229" t="s">
        <v>38</v>
      </c>
      <c r="F229" t="s">
        <v>54</v>
      </c>
      <c r="G229" t="s">
        <v>36</v>
      </c>
      <c r="H229">
        <v>558</v>
      </c>
      <c r="I229">
        <v>554</v>
      </c>
      <c r="J229">
        <v>4</v>
      </c>
      <c r="K229">
        <v>20</v>
      </c>
      <c r="L229">
        <v>21.19</v>
      </c>
      <c r="M229">
        <v>197.06</v>
      </c>
      <c r="N229">
        <f>_xlfn.XLOOKUP(Table13[[#This Row],[Production_Order_ID]],[1]Sheet1!$A$2:$A$391,[1]Sheet1!$F$2:$F$391,"No Match")</f>
        <v>480</v>
      </c>
      <c r="O229" s="3">
        <f>Table13[[#This Row],[Good_Qty]]/Table13[[#This Row],[Planned_Production]]</f>
        <v>1.1541666666666666</v>
      </c>
      <c r="P229" t="str">
        <f>IF(Table13[[#This Row],[Good_Qty]]&gt;=Table13[[#This Row],[Planned_Production]],"Met","Not Met")</f>
        <v>Met</v>
      </c>
      <c r="Q229">
        <f>Table13[[#This Row],[Good_Qty]]-Table13[[#This Row],[Planned_Production]]</f>
        <v>74</v>
      </c>
      <c r="R229" s="3">
        <f>IF(Table13[[#This Row],[Actual_Qty]]=0,0,Table13[[#This Row],[Reject_Qty]]/Table13[[#This Row],[Actual_Qty]])</f>
        <v>7.1684587813620072E-3</v>
      </c>
      <c r="S229">
        <v>439.77</v>
      </c>
      <c r="T229">
        <f>(Table13[[#This Row],[Ideal_Cycle_Time_sec]]*Table13[[#This Row],[Actual_Qty]])/(Table13[[#This Row],[Operational_Time_min]]*60)</f>
        <v>0.42294835936967057</v>
      </c>
      <c r="U229">
        <f>Table13[[#This Row],[Good_Qty]]/Table13[[#This Row],[Actual_Qty]]</f>
        <v>0.99283154121863804</v>
      </c>
      <c r="V229" t="str">
        <f>IF(OR(Table13[[#This Row],[Performance_%]]&gt;=1,Table13[[#This Row],[Performance_%]]&lt;=0),"Error","OK")</f>
        <v>OK</v>
      </c>
      <c r="W229" t="str">
        <f>IF(OR(Table13[[#This Row],[Quality_%]]&gt;=1,Table13[[#This Row],[Quality_%]]&lt;=0),"Error","OK")</f>
        <v>OK</v>
      </c>
      <c r="X229">
        <f>Table13[[#This Row],[Performance_%]]*Table13[[#This Row],[Quality_%]]*[2]Availability_KPI!K229</f>
        <v>0.41037037037037039</v>
      </c>
      <c r="Y229" t="str">
        <f>IF(OR(Table13[[#This Row],[OEE_%]]&gt;1,Table13[[#This Row],[OEE_%]]&lt;0),"Error","OK")</f>
        <v>OK</v>
      </c>
    </row>
    <row r="230" spans="1:25" x14ac:dyDescent="0.2">
      <c r="A230" t="s">
        <v>308</v>
      </c>
      <c r="B230" t="s">
        <v>304</v>
      </c>
      <c r="C230" s="2">
        <v>46248</v>
      </c>
      <c r="D230" t="s">
        <v>53</v>
      </c>
      <c r="E230" t="s">
        <v>41</v>
      </c>
      <c r="F230" t="s">
        <v>54</v>
      </c>
      <c r="G230" t="s">
        <v>47</v>
      </c>
      <c r="H230">
        <v>550</v>
      </c>
      <c r="I230">
        <v>546</v>
      </c>
      <c r="J230">
        <v>4</v>
      </c>
      <c r="K230">
        <v>18</v>
      </c>
      <c r="L230">
        <v>18.63</v>
      </c>
      <c r="M230">
        <v>170.81</v>
      </c>
      <c r="N230">
        <f>_xlfn.XLOOKUP(Table13[[#This Row],[Production_Order_ID]],[1]Sheet1!$A$2:$A$391,[1]Sheet1!$F$2:$F$391,"No Match")</f>
        <v>480</v>
      </c>
      <c r="O230" s="3">
        <f>Table13[[#This Row],[Good_Qty]]/Table13[[#This Row],[Planned_Production]]</f>
        <v>1.1375</v>
      </c>
      <c r="P230" t="str">
        <f>IF(Table13[[#This Row],[Good_Qty]]&gt;=Table13[[#This Row],[Planned_Production]],"Met","Not Met")</f>
        <v>Met</v>
      </c>
      <c r="Q230">
        <f>Table13[[#This Row],[Good_Qty]]-Table13[[#This Row],[Planned_Production]]</f>
        <v>66</v>
      </c>
      <c r="R230" s="3">
        <f>IF(Table13[[#This Row],[Actual_Qty]]=0,0,Table13[[#This Row],[Reject_Qty]]/Table13[[#This Row],[Actual_Qty]])</f>
        <v>7.2727272727272727E-3</v>
      </c>
      <c r="S230">
        <v>440.15</v>
      </c>
      <c r="T230">
        <f>(Table13[[#This Row],[Ideal_Cycle_Time_sec]]*Table13[[#This Row],[Actual_Qty]])/(Table13[[#This Row],[Operational_Time_min]]*60)</f>
        <v>0.37487220265818472</v>
      </c>
      <c r="U230">
        <f>Table13[[#This Row],[Good_Qty]]/Table13[[#This Row],[Actual_Qty]]</f>
        <v>0.99272727272727268</v>
      </c>
      <c r="V230" t="str">
        <f>IF(OR(Table13[[#This Row],[Performance_%]]&gt;=1,Table13[[#This Row],[Performance_%]]&lt;=0),"Error","OK")</f>
        <v>OK</v>
      </c>
      <c r="W230" t="str">
        <f>IF(OR(Table13[[#This Row],[Quality_%]]&gt;=1,Table13[[#This Row],[Quality_%]]&lt;=0),"Error","OK")</f>
        <v>OK</v>
      </c>
      <c r="X230">
        <f>Table13[[#This Row],[Performance_%]]*Table13[[#This Row],[Quality_%]]*[2]Availability_KPI!K230</f>
        <v>0.36399999999999993</v>
      </c>
      <c r="Y230" t="str">
        <f>IF(OR(Table13[[#This Row],[OEE_%]]&gt;1,Table13[[#This Row],[OEE_%]]&lt;0),"Error","OK")</f>
        <v>OK</v>
      </c>
    </row>
    <row r="231" spans="1:25" x14ac:dyDescent="0.2">
      <c r="A231" t="s">
        <v>309</v>
      </c>
      <c r="B231" t="s">
        <v>304</v>
      </c>
      <c r="C231" s="2">
        <v>46248</v>
      </c>
      <c r="D231" t="s">
        <v>53</v>
      </c>
      <c r="E231" t="s">
        <v>43</v>
      </c>
      <c r="F231" t="s">
        <v>54</v>
      </c>
      <c r="G231" t="s">
        <v>71</v>
      </c>
      <c r="H231">
        <v>548</v>
      </c>
      <c r="I231">
        <v>539</v>
      </c>
      <c r="J231">
        <v>9</v>
      </c>
      <c r="K231">
        <v>32</v>
      </c>
      <c r="L231">
        <v>34.22</v>
      </c>
      <c r="M231">
        <v>312.52999999999997</v>
      </c>
      <c r="N231">
        <f>_xlfn.XLOOKUP(Table13[[#This Row],[Production_Order_ID]],[1]Sheet1!$A$2:$A$391,[1]Sheet1!$F$2:$F$391,"No Match")</f>
        <v>480</v>
      </c>
      <c r="O231" s="3">
        <f>Table13[[#This Row],[Good_Qty]]/Table13[[#This Row],[Planned_Production]]</f>
        <v>1.1229166666666666</v>
      </c>
      <c r="P231" t="str">
        <f>IF(Table13[[#This Row],[Good_Qty]]&gt;=Table13[[#This Row],[Planned_Production]],"Met","Not Met")</f>
        <v>Met</v>
      </c>
      <c r="Q231">
        <f>Table13[[#This Row],[Good_Qty]]-Table13[[#This Row],[Planned_Production]]</f>
        <v>59</v>
      </c>
      <c r="R231" s="3">
        <f>IF(Table13[[#This Row],[Actual_Qty]]=0,0,Table13[[#This Row],[Reject_Qty]]/Table13[[#This Row],[Actual_Qty]])</f>
        <v>1.6423357664233577E-2</v>
      </c>
      <c r="S231">
        <v>417.40999999999997</v>
      </c>
      <c r="T231">
        <f>(Table13[[#This Row],[Ideal_Cycle_Time_sec]]*Table13[[#This Row],[Actual_Qty]])/(Table13[[#This Row],[Operational_Time_min]]*60)</f>
        <v>0.70019085950664017</v>
      </c>
      <c r="U231">
        <f>Table13[[#This Row],[Good_Qty]]/Table13[[#This Row],[Actual_Qty]]</f>
        <v>0.98357664233576647</v>
      </c>
      <c r="V231" t="str">
        <f>IF(OR(Table13[[#This Row],[Performance_%]]&gt;=1,Table13[[#This Row],[Performance_%]]&lt;=0),"Error","OK")</f>
        <v>OK</v>
      </c>
      <c r="W231" t="str">
        <f>IF(OR(Table13[[#This Row],[Quality_%]]&gt;=1,Table13[[#This Row],[Quality_%]]&lt;=0),"Error","OK")</f>
        <v>OK</v>
      </c>
      <c r="X231">
        <f>Table13[[#This Row],[Performance_%]]*Table13[[#This Row],[Quality_%]]*[2]Availability_KPI!K231</f>
        <v>0.63881481481481484</v>
      </c>
      <c r="Y231" t="str">
        <f>IF(OR(Table13[[#This Row],[OEE_%]]&gt;1,Table13[[#This Row],[OEE_%]]&lt;0),"Error","OK")</f>
        <v>OK</v>
      </c>
    </row>
    <row r="232" spans="1:25" x14ac:dyDescent="0.2">
      <c r="A232" t="s">
        <v>310</v>
      </c>
      <c r="B232" t="s">
        <v>304</v>
      </c>
      <c r="C232" s="2">
        <v>46248</v>
      </c>
      <c r="D232" t="s">
        <v>53</v>
      </c>
      <c r="E232" t="s">
        <v>46</v>
      </c>
      <c r="F232" t="s">
        <v>54</v>
      </c>
      <c r="G232" t="s">
        <v>39</v>
      </c>
      <c r="H232">
        <v>548</v>
      </c>
      <c r="I232">
        <v>542</v>
      </c>
      <c r="J232">
        <v>6</v>
      </c>
      <c r="K232">
        <v>25</v>
      </c>
      <c r="L232">
        <v>26.99</v>
      </c>
      <c r="M232">
        <v>246.5</v>
      </c>
      <c r="N232">
        <f>_xlfn.XLOOKUP(Table13[[#This Row],[Production_Order_ID]],[1]Sheet1!$A$2:$A$391,[1]Sheet1!$F$2:$F$391,"No Match")</f>
        <v>480</v>
      </c>
      <c r="O232" s="3">
        <f>Table13[[#This Row],[Good_Qty]]/Table13[[#This Row],[Planned_Production]]</f>
        <v>1.1291666666666667</v>
      </c>
      <c r="P232" t="str">
        <f>IF(Table13[[#This Row],[Good_Qty]]&gt;=Table13[[#This Row],[Planned_Production]],"Met","Not Met")</f>
        <v>Met</v>
      </c>
      <c r="Q232">
        <f>Table13[[#This Row],[Good_Qty]]-Table13[[#This Row],[Planned_Production]]</f>
        <v>62</v>
      </c>
      <c r="R232" s="3">
        <f>IF(Table13[[#This Row],[Actual_Qty]]=0,0,Table13[[#This Row],[Reject_Qty]]/Table13[[#This Row],[Actual_Qty]])</f>
        <v>1.0948905109489052E-2</v>
      </c>
      <c r="S232">
        <v>435.7</v>
      </c>
      <c r="T232">
        <f>(Table13[[#This Row],[Ideal_Cycle_Time_sec]]*Table13[[#This Row],[Actual_Qty]])/(Table13[[#This Row],[Operational_Time_min]]*60)</f>
        <v>0.52406089817152479</v>
      </c>
      <c r="U232">
        <f>Table13[[#This Row],[Good_Qty]]/Table13[[#This Row],[Actual_Qty]]</f>
        <v>0.98905109489051091</v>
      </c>
      <c r="V232" t="str">
        <f>IF(OR(Table13[[#This Row],[Performance_%]]&gt;=1,Table13[[#This Row],[Performance_%]]&lt;=0),"Error","OK")</f>
        <v>OK</v>
      </c>
      <c r="W232" t="str">
        <f>IF(OR(Table13[[#This Row],[Quality_%]]&gt;=1,Table13[[#This Row],[Quality_%]]&lt;=0),"Error","OK")</f>
        <v>OK</v>
      </c>
      <c r="X232">
        <f>Table13[[#This Row],[Performance_%]]*Table13[[#This Row],[Quality_%]]*[2]Availability_KPI!K232</f>
        <v>0.50185185185185188</v>
      </c>
      <c r="Y232" t="str">
        <f>IF(OR(Table13[[#This Row],[OEE_%]]&gt;1,Table13[[#This Row],[OEE_%]]&lt;0),"Error","OK")</f>
        <v>OK</v>
      </c>
    </row>
    <row r="233" spans="1:25" x14ac:dyDescent="0.2">
      <c r="A233" t="s">
        <v>311</v>
      </c>
      <c r="B233" t="s">
        <v>304</v>
      </c>
      <c r="C233" s="2">
        <v>46248</v>
      </c>
      <c r="D233" t="s">
        <v>53</v>
      </c>
      <c r="E233" t="s">
        <v>49</v>
      </c>
      <c r="F233" t="s">
        <v>54</v>
      </c>
      <c r="G233" t="s">
        <v>61</v>
      </c>
      <c r="H233">
        <v>556</v>
      </c>
      <c r="I233">
        <v>554</v>
      </c>
      <c r="J233">
        <v>2</v>
      </c>
      <c r="K233">
        <v>20</v>
      </c>
      <c r="L233">
        <v>21.18</v>
      </c>
      <c r="M233">
        <v>196.29</v>
      </c>
      <c r="N233">
        <f>_xlfn.XLOOKUP(Table13[[#This Row],[Production_Order_ID]],[1]Sheet1!$A$2:$A$391,[1]Sheet1!$F$2:$F$391,"No Match")</f>
        <v>480</v>
      </c>
      <c r="O233" s="3">
        <f>Table13[[#This Row],[Good_Qty]]/Table13[[#This Row],[Planned_Production]]</f>
        <v>1.1541666666666666</v>
      </c>
      <c r="P233" t="str">
        <f>IF(Table13[[#This Row],[Good_Qty]]&gt;=Table13[[#This Row],[Planned_Production]],"Met","Not Met")</f>
        <v>Met</v>
      </c>
      <c r="Q233">
        <f>Table13[[#This Row],[Good_Qty]]-Table13[[#This Row],[Planned_Production]]</f>
        <v>74</v>
      </c>
      <c r="R233" s="3">
        <f>IF(Table13[[#This Row],[Actual_Qty]]=0,0,Table13[[#This Row],[Reject_Qty]]/Table13[[#This Row],[Actual_Qty]])</f>
        <v>3.5971223021582736E-3</v>
      </c>
      <c r="S233">
        <v>440.81</v>
      </c>
      <c r="T233">
        <f>(Table13[[#This Row],[Ideal_Cycle_Time_sec]]*Table13[[#This Row],[Actual_Qty]])/(Table13[[#This Row],[Operational_Time_min]]*60)</f>
        <v>0.42043813283122738</v>
      </c>
      <c r="U233">
        <f>Table13[[#This Row],[Good_Qty]]/Table13[[#This Row],[Actual_Qty]]</f>
        <v>0.99640287769784175</v>
      </c>
      <c r="V233" t="str">
        <f>IF(OR(Table13[[#This Row],[Performance_%]]&gt;=1,Table13[[#This Row],[Performance_%]]&lt;=0),"Error","OK")</f>
        <v>OK</v>
      </c>
      <c r="W233" t="str">
        <f>IF(OR(Table13[[#This Row],[Quality_%]]&gt;=1,Table13[[#This Row],[Quality_%]]&lt;=0),"Error","OK")</f>
        <v>OK</v>
      </c>
      <c r="X233">
        <f>Table13[[#This Row],[Performance_%]]*Table13[[#This Row],[Quality_%]]*[2]Availability_KPI!K233</f>
        <v>0.41037037037037039</v>
      </c>
      <c r="Y233" t="str">
        <f>IF(OR(Table13[[#This Row],[OEE_%]]&gt;1,Table13[[#This Row],[OEE_%]]&lt;0),"Error","OK")</f>
        <v>OK</v>
      </c>
    </row>
    <row r="234" spans="1:25" x14ac:dyDescent="0.2">
      <c r="A234" t="s">
        <v>312</v>
      </c>
      <c r="B234" t="s">
        <v>313</v>
      </c>
      <c r="C234" s="2">
        <v>46248</v>
      </c>
      <c r="D234" t="s">
        <v>67</v>
      </c>
      <c r="E234" t="s">
        <v>28</v>
      </c>
      <c r="F234" t="s">
        <v>54</v>
      </c>
      <c r="G234" t="s">
        <v>50</v>
      </c>
      <c r="H234">
        <v>650</v>
      </c>
      <c r="I234">
        <v>647</v>
      </c>
      <c r="J234">
        <v>3</v>
      </c>
      <c r="K234">
        <v>18</v>
      </c>
      <c r="L234">
        <v>18.27</v>
      </c>
      <c r="M234">
        <v>197.9</v>
      </c>
      <c r="N234">
        <f>_xlfn.XLOOKUP(Table13[[#This Row],[Production_Order_ID]],[1]Sheet1!$A$2:$A$391,[1]Sheet1!$F$2:$F$391,"No Match")</f>
        <v>650</v>
      </c>
      <c r="O234" s="3">
        <f>Table13[[#This Row],[Good_Qty]]/Table13[[#This Row],[Planned_Production]]</f>
        <v>0.99538461538461542</v>
      </c>
      <c r="P234" t="str">
        <f>IF(Table13[[#This Row],[Good_Qty]]&gt;=Table13[[#This Row],[Planned_Production]],"Met","Not Met")</f>
        <v>Not Met</v>
      </c>
      <c r="Q234">
        <f>Table13[[#This Row],[Good_Qty]]-Table13[[#This Row],[Planned_Production]]</f>
        <v>-3</v>
      </c>
      <c r="R234" s="3">
        <f>IF(Table13[[#This Row],[Actual_Qty]]=0,0,Table13[[#This Row],[Reject_Qty]]/Table13[[#This Row],[Actual_Qty]])</f>
        <v>4.6153846153846158E-3</v>
      </c>
      <c r="S234">
        <v>443.14</v>
      </c>
      <c r="T234">
        <f>(Table13[[#This Row],[Ideal_Cycle_Time_sec]]*Table13[[#This Row],[Actual_Qty]])/(Table13[[#This Row],[Operational_Time_min]]*60)</f>
        <v>0.44004152186667872</v>
      </c>
      <c r="U234">
        <f>Table13[[#This Row],[Good_Qty]]/Table13[[#This Row],[Actual_Qty]]</f>
        <v>0.99538461538461542</v>
      </c>
      <c r="V234" t="str">
        <f>IF(OR(Table13[[#This Row],[Performance_%]]&gt;=1,Table13[[#This Row],[Performance_%]]&lt;=0),"Error","OK")</f>
        <v>OK</v>
      </c>
      <c r="W234" t="str">
        <f>IF(OR(Table13[[#This Row],[Quality_%]]&gt;=1,Table13[[#This Row],[Quality_%]]&lt;=0),"Error","OK")</f>
        <v>OK</v>
      </c>
      <c r="X234">
        <f>Table13[[#This Row],[Performance_%]]*Table13[[#This Row],[Quality_%]]*[2]Availability_KPI!K234</f>
        <v>0.43133333333333335</v>
      </c>
      <c r="Y234" t="str">
        <f>IF(OR(Table13[[#This Row],[OEE_%]]&gt;1,Table13[[#This Row],[OEE_%]]&lt;0),"Error","OK")</f>
        <v>OK</v>
      </c>
    </row>
    <row r="235" spans="1:25" x14ac:dyDescent="0.2">
      <c r="A235" t="s">
        <v>314</v>
      </c>
      <c r="B235" t="s">
        <v>313</v>
      </c>
      <c r="C235" s="2">
        <v>46248</v>
      </c>
      <c r="D235" t="s">
        <v>67</v>
      </c>
      <c r="E235" t="s">
        <v>32</v>
      </c>
      <c r="F235" t="s">
        <v>54</v>
      </c>
      <c r="G235" t="s">
        <v>50</v>
      </c>
      <c r="H235">
        <v>656</v>
      </c>
      <c r="I235">
        <v>650</v>
      </c>
      <c r="J235">
        <v>6</v>
      </c>
      <c r="K235">
        <v>20</v>
      </c>
      <c r="L235">
        <v>21.6</v>
      </c>
      <c r="M235">
        <v>236.19</v>
      </c>
      <c r="N235">
        <f>_xlfn.XLOOKUP(Table13[[#This Row],[Production_Order_ID]],[1]Sheet1!$A$2:$A$391,[1]Sheet1!$F$2:$F$391,"No Match")</f>
        <v>650</v>
      </c>
      <c r="O235" s="3">
        <f>Table13[[#This Row],[Good_Qty]]/Table13[[#This Row],[Planned_Production]]</f>
        <v>1</v>
      </c>
      <c r="P235" t="str">
        <f>IF(Table13[[#This Row],[Good_Qty]]&gt;=Table13[[#This Row],[Planned_Production]],"Met","Not Met")</f>
        <v>Met</v>
      </c>
      <c r="Q235">
        <f>Table13[[#This Row],[Good_Qty]]-Table13[[#This Row],[Planned_Production]]</f>
        <v>0</v>
      </c>
      <c r="R235" s="3">
        <f>IF(Table13[[#This Row],[Actual_Qty]]=0,0,Table13[[#This Row],[Reject_Qty]]/Table13[[#This Row],[Actual_Qty]])</f>
        <v>9.1463414634146336E-3</v>
      </c>
      <c r="S235">
        <v>433.79</v>
      </c>
      <c r="T235">
        <f>(Table13[[#This Row],[Ideal_Cycle_Time_sec]]*Table13[[#This Row],[Actual_Qty]])/(Table13[[#This Row],[Operational_Time_min]]*60)</f>
        <v>0.50408415746482549</v>
      </c>
      <c r="U235">
        <f>Table13[[#This Row],[Good_Qty]]/Table13[[#This Row],[Actual_Qty]]</f>
        <v>0.99085365853658536</v>
      </c>
      <c r="V235" t="str">
        <f>IF(OR(Table13[[#This Row],[Performance_%]]&gt;=1,Table13[[#This Row],[Performance_%]]&lt;=0),"Error","OK")</f>
        <v>OK</v>
      </c>
      <c r="W235" t="str">
        <f>IF(OR(Table13[[#This Row],[Quality_%]]&gt;=1,Table13[[#This Row],[Quality_%]]&lt;=0),"Error","OK")</f>
        <v>OK</v>
      </c>
      <c r="X235">
        <f>Table13[[#This Row],[Performance_%]]*Table13[[#This Row],[Quality_%]]*[2]Availability_KPI!K235</f>
        <v>0.48148148148148145</v>
      </c>
      <c r="Y235" t="str">
        <f>IF(OR(Table13[[#This Row],[OEE_%]]&gt;1,Table13[[#This Row],[OEE_%]]&lt;0),"Error","OK")</f>
        <v>OK</v>
      </c>
    </row>
    <row r="236" spans="1:25" x14ac:dyDescent="0.2">
      <c r="A236" t="s">
        <v>315</v>
      </c>
      <c r="B236" t="s">
        <v>313</v>
      </c>
      <c r="C236" s="2">
        <v>46248</v>
      </c>
      <c r="D236" t="s">
        <v>67</v>
      </c>
      <c r="E236" t="s">
        <v>35</v>
      </c>
      <c r="F236" t="s">
        <v>54</v>
      </c>
      <c r="G236" t="s">
        <v>39</v>
      </c>
      <c r="H236">
        <v>648</v>
      </c>
      <c r="I236">
        <v>645</v>
      </c>
      <c r="J236">
        <v>3</v>
      </c>
      <c r="K236">
        <v>22</v>
      </c>
      <c r="L236">
        <v>22.8</v>
      </c>
      <c r="M236">
        <v>246.25</v>
      </c>
      <c r="N236">
        <f>_xlfn.XLOOKUP(Table13[[#This Row],[Production_Order_ID]],[1]Sheet1!$A$2:$A$391,[1]Sheet1!$F$2:$F$391,"No Match")</f>
        <v>650</v>
      </c>
      <c r="O236" s="3">
        <f>Table13[[#This Row],[Good_Qty]]/Table13[[#This Row],[Planned_Production]]</f>
        <v>0.99230769230769234</v>
      </c>
      <c r="P236" t="str">
        <f>IF(Table13[[#This Row],[Good_Qty]]&gt;=Table13[[#This Row],[Planned_Production]],"Met","Not Met")</f>
        <v>Not Met</v>
      </c>
      <c r="Q236">
        <f>Table13[[#This Row],[Good_Qty]]-Table13[[#This Row],[Planned_Production]]</f>
        <v>-5</v>
      </c>
      <c r="R236" s="3">
        <f>IF(Table13[[#This Row],[Actual_Qty]]=0,0,Table13[[#This Row],[Reject_Qty]]/Table13[[#This Row],[Actual_Qty]])</f>
        <v>4.6296296296296294E-3</v>
      </c>
      <c r="S236">
        <v>437.98</v>
      </c>
      <c r="T236">
        <f>(Table13[[#This Row],[Ideal_Cycle_Time_sec]]*Table13[[#This Row],[Actual_Qty]])/(Table13[[#This Row],[Operational_Time_min]]*60)</f>
        <v>0.54249052468149228</v>
      </c>
      <c r="U236">
        <f>Table13[[#This Row],[Good_Qty]]/Table13[[#This Row],[Actual_Qty]]</f>
        <v>0.99537037037037035</v>
      </c>
      <c r="V236" t="str">
        <f>IF(OR(Table13[[#This Row],[Performance_%]]&gt;=1,Table13[[#This Row],[Performance_%]]&lt;=0),"Error","OK")</f>
        <v>OK</v>
      </c>
      <c r="W236" t="str">
        <f>IF(OR(Table13[[#This Row],[Quality_%]]&gt;=1,Table13[[#This Row],[Quality_%]]&lt;=0),"Error","OK")</f>
        <v>OK</v>
      </c>
      <c r="X236">
        <f>Table13[[#This Row],[Performance_%]]*Table13[[#This Row],[Quality_%]]*[2]Availability_KPI!K236</f>
        <v>0.52555555555555555</v>
      </c>
      <c r="Y236" t="str">
        <f>IF(OR(Table13[[#This Row],[OEE_%]]&gt;1,Table13[[#This Row],[OEE_%]]&lt;0),"Error","OK")</f>
        <v>OK</v>
      </c>
    </row>
    <row r="237" spans="1:25" x14ac:dyDescent="0.2">
      <c r="A237" t="s">
        <v>316</v>
      </c>
      <c r="B237" t="s">
        <v>313</v>
      </c>
      <c r="C237" s="2">
        <v>46248</v>
      </c>
      <c r="D237" t="s">
        <v>67</v>
      </c>
      <c r="E237" t="s">
        <v>38</v>
      </c>
      <c r="F237" t="s">
        <v>54</v>
      </c>
      <c r="G237" t="s">
        <v>36</v>
      </c>
      <c r="H237">
        <v>646</v>
      </c>
      <c r="I237">
        <v>644</v>
      </c>
      <c r="J237">
        <v>2</v>
      </c>
      <c r="K237">
        <v>20</v>
      </c>
      <c r="L237">
        <v>20.52</v>
      </c>
      <c r="M237">
        <v>220.93</v>
      </c>
      <c r="N237">
        <f>_xlfn.XLOOKUP(Table13[[#This Row],[Production_Order_ID]],[1]Sheet1!$A$2:$A$391,[1]Sheet1!$F$2:$F$391,"No Match")</f>
        <v>650</v>
      </c>
      <c r="O237" s="3">
        <f>Table13[[#This Row],[Good_Qty]]/Table13[[#This Row],[Planned_Production]]</f>
        <v>0.99076923076923074</v>
      </c>
      <c r="P237" t="str">
        <f>IF(Table13[[#This Row],[Good_Qty]]&gt;=Table13[[#This Row],[Planned_Production]],"Met","Not Met")</f>
        <v>Not Met</v>
      </c>
      <c r="Q237">
        <f>Table13[[#This Row],[Good_Qty]]-Table13[[#This Row],[Planned_Production]]</f>
        <v>-6</v>
      </c>
      <c r="R237" s="3">
        <f>IF(Table13[[#This Row],[Actual_Qty]]=0,0,Table13[[#This Row],[Reject_Qty]]/Table13[[#This Row],[Actual_Qty]])</f>
        <v>3.0959752321981426E-3</v>
      </c>
      <c r="S237">
        <v>437.82</v>
      </c>
      <c r="T237">
        <f>(Table13[[#This Row],[Ideal_Cycle_Time_sec]]*Table13[[#This Row],[Actual_Qty]])/(Table13[[#This Row],[Operational_Time_min]]*60)</f>
        <v>0.49183073713702741</v>
      </c>
      <c r="U237">
        <f>Table13[[#This Row],[Good_Qty]]/Table13[[#This Row],[Actual_Qty]]</f>
        <v>0.99690402476780182</v>
      </c>
      <c r="V237" t="str">
        <f>IF(OR(Table13[[#This Row],[Performance_%]]&gt;=1,Table13[[#This Row],[Performance_%]]&lt;=0),"Error","OK")</f>
        <v>OK</v>
      </c>
      <c r="W237" t="str">
        <f>IF(OR(Table13[[#This Row],[Quality_%]]&gt;=1,Table13[[#This Row],[Quality_%]]&lt;=0),"Error","OK")</f>
        <v>OK</v>
      </c>
      <c r="X237">
        <f>Table13[[#This Row],[Performance_%]]*Table13[[#This Row],[Quality_%]]*[2]Availability_KPI!K237</f>
        <v>0.47703703703703704</v>
      </c>
      <c r="Y237" t="str">
        <f>IF(OR(Table13[[#This Row],[OEE_%]]&gt;1,Table13[[#This Row],[OEE_%]]&lt;0),"Error","OK")</f>
        <v>OK</v>
      </c>
    </row>
    <row r="238" spans="1:25" x14ac:dyDescent="0.2">
      <c r="A238" t="s">
        <v>317</v>
      </c>
      <c r="B238" t="s">
        <v>313</v>
      </c>
      <c r="C238" s="2">
        <v>46248</v>
      </c>
      <c r="D238" t="s">
        <v>67</v>
      </c>
      <c r="E238" t="s">
        <v>41</v>
      </c>
      <c r="F238" t="s">
        <v>54</v>
      </c>
      <c r="G238" t="s">
        <v>44</v>
      </c>
      <c r="H238">
        <v>657</v>
      </c>
      <c r="I238">
        <v>654</v>
      </c>
      <c r="J238">
        <v>3</v>
      </c>
      <c r="K238">
        <v>18</v>
      </c>
      <c r="L238">
        <v>19.66</v>
      </c>
      <c r="M238">
        <v>215.23</v>
      </c>
      <c r="N238">
        <f>_xlfn.XLOOKUP(Table13[[#This Row],[Production_Order_ID]],[1]Sheet1!$A$2:$A$391,[1]Sheet1!$F$2:$F$391,"No Match")</f>
        <v>650</v>
      </c>
      <c r="O238" s="3">
        <f>Table13[[#This Row],[Good_Qty]]/Table13[[#This Row],[Planned_Production]]</f>
        <v>1.0061538461538462</v>
      </c>
      <c r="P238" t="str">
        <f>IF(Table13[[#This Row],[Good_Qty]]&gt;=Table13[[#This Row],[Planned_Production]],"Met","Not Met")</f>
        <v>Met</v>
      </c>
      <c r="Q238">
        <f>Table13[[#This Row],[Good_Qty]]-Table13[[#This Row],[Planned_Production]]</f>
        <v>4</v>
      </c>
      <c r="R238" s="3">
        <f>IF(Table13[[#This Row],[Actual_Qty]]=0,0,Table13[[#This Row],[Reject_Qty]]/Table13[[#This Row],[Actual_Qty]])</f>
        <v>4.5662100456621002E-3</v>
      </c>
      <c r="S238">
        <v>435.72</v>
      </c>
      <c r="T238">
        <f>(Table13[[#This Row],[Ideal_Cycle_Time_sec]]*Table13[[#This Row],[Actual_Qty]])/(Table13[[#This Row],[Operational_Time_min]]*60)</f>
        <v>0.45235472321674469</v>
      </c>
      <c r="U238">
        <f>Table13[[#This Row],[Good_Qty]]/Table13[[#This Row],[Actual_Qty]]</f>
        <v>0.99543378995433784</v>
      </c>
      <c r="V238" t="str">
        <f>IF(OR(Table13[[#This Row],[Performance_%]]&gt;=1,Table13[[#This Row],[Performance_%]]&lt;=0),"Error","OK")</f>
        <v>OK</v>
      </c>
      <c r="W238" t="str">
        <f>IF(OR(Table13[[#This Row],[Quality_%]]&gt;=1,Table13[[#This Row],[Quality_%]]&lt;=0),"Error","OK")</f>
        <v>OK</v>
      </c>
      <c r="X238">
        <f>Table13[[#This Row],[Performance_%]]*Table13[[#This Row],[Quality_%]]*[2]Availability_KPI!K238</f>
        <v>0.436</v>
      </c>
      <c r="Y238" t="str">
        <f>IF(OR(Table13[[#This Row],[OEE_%]]&gt;1,Table13[[#This Row],[OEE_%]]&lt;0),"Error","OK")</f>
        <v>OK</v>
      </c>
    </row>
    <row r="239" spans="1:25" x14ac:dyDescent="0.2">
      <c r="A239" t="s">
        <v>318</v>
      </c>
      <c r="B239" t="s">
        <v>313</v>
      </c>
      <c r="C239" s="2">
        <v>46248</v>
      </c>
      <c r="D239" t="s">
        <v>67</v>
      </c>
      <c r="E239" t="s">
        <v>43</v>
      </c>
      <c r="F239" t="s">
        <v>54</v>
      </c>
      <c r="G239" t="s">
        <v>44</v>
      </c>
      <c r="H239">
        <v>648</v>
      </c>
      <c r="I239">
        <v>641</v>
      </c>
      <c r="J239">
        <v>7</v>
      </c>
      <c r="K239">
        <v>32</v>
      </c>
      <c r="L239">
        <v>32.78</v>
      </c>
      <c r="M239">
        <v>354.03</v>
      </c>
      <c r="N239">
        <f>_xlfn.XLOOKUP(Table13[[#This Row],[Production_Order_ID]],[1]Sheet1!$A$2:$A$391,[1]Sheet1!$F$2:$F$391,"No Match")</f>
        <v>650</v>
      </c>
      <c r="O239" s="3">
        <f>Table13[[#This Row],[Good_Qty]]/Table13[[#This Row],[Planned_Production]]</f>
        <v>0.98615384615384616</v>
      </c>
      <c r="P239" t="str">
        <f>IF(Table13[[#This Row],[Good_Qty]]&gt;=Table13[[#This Row],[Planned_Production]],"Met","Not Met")</f>
        <v>Not Met</v>
      </c>
      <c r="Q239">
        <f>Table13[[#This Row],[Good_Qty]]-Table13[[#This Row],[Planned_Production]]</f>
        <v>-9</v>
      </c>
      <c r="R239" s="3">
        <f>IF(Table13[[#This Row],[Actual_Qty]]=0,0,Table13[[#This Row],[Reject_Qty]]/Table13[[#This Row],[Actual_Qty]])</f>
        <v>1.0802469135802469E-2</v>
      </c>
      <c r="S239">
        <v>412.03</v>
      </c>
      <c r="T239">
        <f>(Table13[[#This Row],[Ideal_Cycle_Time_sec]]*Table13[[#This Row],[Actual_Qty]])/(Table13[[#This Row],[Operational_Time_min]]*60)</f>
        <v>0.83877387568866346</v>
      </c>
      <c r="U239">
        <f>Table13[[#This Row],[Good_Qty]]/Table13[[#This Row],[Actual_Qty]]</f>
        <v>0.98919753086419748</v>
      </c>
      <c r="V239" t="str">
        <f>IF(OR(Table13[[#This Row],[Performance_%]]&gt;=1,Table13[[#This Row],[Performance_%]]&lt;=0),"Error","OK")</f>
        <v>OK</v>
      </c>
      <c r="W239" t="str">
        <f>IF(OR(Table13[[#This Row],[Quality_%]]&gt;=1,Table13[[#This Row],[Quality_%]]&lt;=0),"Error","OK")</f>
        <v>OK</v>
      </c>
      <c r="X239">
        <f>Table13[[#This Row],[Performance_%]]*Table13[[#This Row],[Quality_%]]*[2]Availability_KPI!K239</f>
        <v>0.75970370370370355</v>
      </c>
      <c r="Y239" t="str">
        <f>IF(OR(Table13[[#This Row],[OEE_%]]&gt;1,Table13[[#This Row],[OEE_%]]&lt;0),"Error","OK")</f>
        <v>OK</v>
      </c>
    </row>
    <row r="240" spans="1:25" x14ac:dyDescent="0.2">
      <c r="A240" t="s">
        <v>319</v>
      </c>
      <c r="B240" t="s">
        <v>313</v>
      </c>
      <c r="C240" s="2">
        <v>46248</v>
      </c>
      <c r="D240" t="s">
        <v>67</v>
      </c>
      <c r="E240" t="s">
        <v>46</v>
      </c>
      <c r="F240" t="s">
        <v>54</v>
      </c>
      <c r="G240" t="s">
        <v>36</v>
      </c>
      <c r="H240">
        <v>661</v>
      </c>
      <c r="I240">
        <v>656</v>
      </c>
      <c r="J240">
        <v>5</v>
      </c>
      <c r="K240">
        <v>25</v>
      </c>
      <c r="L240">
        <v>26.06</v>
      </c>
      <c r="M240">
        <v>287.04000000000002</v>
      </c>
      <c r="N240">
        <f>_xlfn.XLOOKUP(Table13[[#This Row],[Production_Order_ID]],[1]Sheet1!$A$2:$A$391,[1]Sheet1!$F$2:$F$391,"No Match")</f>
        <v>650</v>
      </c>
      <c r="O240" s="3">
        <f>Table13[[#This Row],[Good_Qty]]/Table13[[#This Row],[Planned_Production]]</f>
        <v>1.0092307692307692</v>
      </c>
      <c r="P240" t="str">
        <f>IF(Table13[[#This Row],[Good_Qty]]&gt;=Table13[[#This Row],[Planned_Production]],"Met","Not Met")</f>
        <v>Met</v>
      </c>
      <c r="Q240">
        <f>Table13[[#This Row],[Good_Qty]]-Table13[[#This Row],[Planned_Production]]</f>
        <v>6</v>
      </c>
      <c r="R240" s="3">
        <f>IF(Table13[[#This Row],[Actual_Qty]]=0,0,Table13[[#This Row],[Reject_Qty]]/Table13[[#This Row],[Actual_Qty]])</f>
        <v>7.5642965204236008E-3</v>
      </c>
      <c r="S240">
        <v>428.48</v>
      </c>
      <c r="T240">
        <f>(Table13[[#This Row],[Ideal_Cycle_Time_sec]]*Table13[[#This Row],[Actual_Qty]])/(Table13[[#This Row],[Operational_Time_min]]*60)</f>
        <v>0.64277601443863575</v>
      </c>
      <c r="U240">
        <f>Table13[[#This Row],[Good_Qty]]/Table13[[#This Row],[Actual_Qty]]</f>
        <v>0.99243570347957644</v>
      </c>
      <c r="V240" t="str">
        <f>IF(OR(Table13[[#This Row],[Performance_%]]&gt;=1,Table13[[#This Row],[Performance_%]]&lt;=0),"Error","OK")</f>
        <v>OK</v>
      </c>
      <c r="W240" t="str">
        <f>IF(OR(Table13[[#This Row],[Quality_%]]&gt;=1,Table13[[#This Row],[Quality_%]]&lt;=0),"Error","OK")</f>
        <v>OK</v>
      </c>
      <c r="X240">
        <f>Table13[[#This Row],[Performance_%]]*Table13[[#This Row],[Quality_%]]*[2]Availability_KPI!K240</f>
        <v>0.6074074074074074</v>
      </c>
      <c r="Y240" t="str">
        <f>IF(OR(Table13[[#This Row],[OEE_%]]&gt;1,Table13[[#This Row],[OEE_%]]&lt;0),"Error","OK")</f>
        <v>OK</v>
      </c>
    </row>
    <row r="241" spans="1:25" x14ac:dyDescent="0.2">
      <c r="A241" t="s">
        <v>320</v>
      </c>
      <c r="B241" t="s">
        <v>313</v>
      </c>
      <c r="C241" s="2">
        <v>46248</v>
      </c>
      <c r="D241" t="s">
        <v>67</v>
      </c>
      <c r="E241" t="s">
        <v>49</v>
      </c>
      <c r="F241" t="s">
        <v>54</v>
      </c>
      <c r="G241" t="s">
        <v>44</v>
      </c>
      <c r="H241">
        <v>650</v>
      </c>
      <c r="I241">
        <v>645</v>
      </c>
      <c r="J241">
        <v>5</v>
      </c>
      <c r="K241">
        <v>20</v>
      </c>
      <c r="L241">
        <v>20.85</v>
      </c>
      <c r="M241">
        <v>225.9</v>
      </c>
      <c r="N241">
        <f>_xlfn.XLOOKUP(Table13[[#This Row],[Production_Order_ID]],[1]Sheet1!$A$2:$A$391,[1]Sheet1!$F$2:$F$391,"No Match")</f>
        <v>650</v>
      </c>
      <c r="O241" s="3">
        <f>Table13[[#This Row],[Good_Qty]]/Table13[[#This Row],[Planned_Production]]</f>
        <v>0.99230769230769234</v>
      </c>
      <c r="P241" t="str">
        <f>IF(Table13[[#This Row],[Good_Qty]]&gt;=Table13[[#This Row],[Planned_Production]],"Met","Not Met")</f>
        <v>Not Met</v>
      </c>
      <c r="Q241">
        <f>Table13[[#This Row],[Good_Qty]]-Table13[[#This Row],[Planned_Production]]</f>
        <v>-5</v>
      </c>
      <c r="R241" s="3">
        <f>IF(Table13[[#This Row],[Actual_Qty]]=0,0,Table13[[#This Row],[Reject_Qty]]/Table13[[#This Row],[Actual_Qty]])</f>
        <v>7.6923076923076927E-3</v>
      </c>
      <c r="S241">
        <v>442.97</v>
      </c>
      <c r="T241">
        <f>(Table13[[#This Row],[Ideal_Cycle_Time_sec]]*Table13[[#This Row],[Actual_Qty]])/(Table13[[#This Row],[Operational_Time_min]]*60)</f>
        <v>0.48912266443927727</v>
      </c>
      <c r="U241">
        <f>Table13[[#This Row],[Good_Qty]]/Table13[[#This Row],[Actual_Qty]]</f>
        <v>0.99230769230769234</v>
      </c>
      <c r="V241" t="str">
        <f>IF(OR(Table13[[#This Row],[Performance_%]]&gt;=1,Table13[[#This Row],[Performance_%]]&lt;=0),"Error","OK")</f>
        <v>OK</v>
      </c>
      <c r="W241" t="str">
        <f>IF(OR(Table13[[#This Row],[Quality_%]]&gt;=1,Table13[[#This Row],[Quality_%]]&lt;=0),"Error","OK")</f>
        <v>OK</v>
      </c>
      <c r="X241">
        <f>Table13[[#This Row],[Performance_%]]*Table13[[#This Row],[Quality_%]]*[2]Availability_KPI!K241</f>
        <v>0.4777777777777778</v>
      </c>
      <c r="Y241" t="str">
        <f>IF(OR(Table13[[#This Row],[OEE_%]]&gt;1,Table13[[#This Row],[OEE_%]]&lt;0),"Error","OK")</f>
        <v>OK</v>
      </c>
    </row>
    <row r="242" spans="1:25" x14ac:dyDescent="0.2">
      <c r="A242" t="s">
        <v>321</v>
      </c>
      <c r="B242" t="s">
        <v>322</v>
      </c>
      <c r="C242" s="2">
        <v>46251</v>
      </c>
      <c r="D242" t="s">
        <v>27</v>
      </c>
      <c r="E242" t="s">
        <v>28</v>
      </c>
      <c r="F242" t="s">
        <v>54</v>
      </c>
      <c r="G242" t="s">
        <v>75</v>
      </c>
      <c r="H242">
        <v>596</v>
      </c>
      <c r="I242">
        <v>595</v>
      </c>
      <c r="J242">
        <v>1</v>
      </c>
      <c r="K242">
        <v>18</v>
      </c>
      <c r="L242">
        <v>19.309999999999999</v>
      </c>
      <c r="M242">
        <v>191.79</v>
      </c>
      <c r="N242">
        <f>_xlfn.XLOOKUP(Table13[[#This Row],[Production_Order_ID]],[1]Sheet1!$A$2:$A$391,[1]Sheet1!$F$2:$F$391,"No Match")</f>
        <v>500</v>
      </c>
      <c r="O242" s="3">
        <f>Table13[[#This Row],[Good_Qty]]/Table13[[#This Row],[Planned_Production]]</f>
        <v>1.19</v>
      </c>
      <c r="P242" t="str">
        <f>IF(Table13[[#This Row],[Good_Qty]]&gt;=Table13[[#This Row],[Planned_Production]],"Met","Not Met")</f>
        <v>Met</v>
      </c>
      <c r="Q242">
        <f>Table13[[#This Row],[Good_Qty]]-Table13[[#This Row],[Planned_Production]]</f>
        <v>95</v>
      </c>
      <c r="R242" s="3">
        <f>IF(Table13[[#This Row],[Actual_Qty]]=0,0,Table13[[#This Row],[Reject_Qty]]/Table13[[#This Row],[Actual_Qty]])</f>
        <v>1.6778523489932886E-3</v>
      </c>
      <c r="S242">
        <v>441.2</v>
      </c>
      <c r="T242">
        <f>(Table13[[#This Row],[Ideal_Cycle_Time_sec]]*Table13[[#This Row],[Actual_Qty]])/(Table13[[#This Row],[Operational_Time_min]]*60)</f>
        <v>0.40525838621940163</v>
      </c>
      <c r="U242">
        <f>Table13[[#This Row],[Good_Qty]]/Table13[[#This Row],[Actual_Qty]]</f>
        <v>0.99832214765100669</v>
      </c>
      <c r="V242" t="str">
        <f>IF(OR(Table13[[#This Row],[Performance_%]]&gt;=1,Table13[[#This Row],[Performance_%]]&lt;=0),"Error","OK")</f>
        <v>OK</v>
      </c>
      <c r="W242" t="str">
        <f>IF(OR(Table13[[#This Row],[Quality_%]]&gt;=1,Table13[[#This Row],[Quality_%]]&lt;=0),"Error","OK")</f>
        <v>OK</v>
      </c>
      <c r="X242">
        <f>Table13[[#This Row],[Performance_%]]*Table13[[#This Row],[Quality_%]]*[2]Availability_KPI!K242</f>
        <v>0.39666666666666667</v>
      </c>
      <c r="Y242" t="str">
        <f>IF(OR(Table13[[#This Row],[OEE_%]]&gt;1,Table13[[#This Row],[OEE_%]]&lt;0),"Error","OK")</f>
        <v>OK</v>
      </c>
    </row>
    <row r="243" spans="1:25" x14ac:dyDescent="0.2">
      <c r="A243" t="s">
        <v>323</v>
      </c>
      <c r="B243" t="s">
        <v>322</v>
      </c>
      <c r="C243" s="2">
        <v>46251</v>
      </c>
      <c r="D243" t="s">
        <v>27</v>
      </c>
      <c r="E243" t="s">
        <v>32</v>
      </c>
      <c r="F243" t="s">
        <v>54</v>
      </c>
      <c r="G243" t="s">
        <v>39</v>
      </c>
      <c r="H243">
        <v>589</v>
      </c>
      <c r="I243">
        <v>586</v>
      </c>
      <c r="J243">
        <v>3</v>
      </c>
      <c r="K243">
        <v>20</v>
      </c>
      <c r="L243">
        <v>20.65</v>
      </c>
      <c r="M243">
        <v>202.7</v>
      </c>
      <c r="N243">
        <f>_xlfn.XLOOKUP(Table13[[#This Row],[Production_Order_ID]],[1]Sheet1!$A$2:$A$391,[1]Sheet1!$F$2:$F$391,"No Match")</f>
        <v>500</v>
      </c>
      <c r="O243" s="3">
        <f>Table13[[#This Row],[Good_Qty]]/Table13[[#This Row],[Planned_Production]]</f>
        <v>1.1719999999999999</v>
      </c>
      <c r="P243" t="str">
        <f>IF(Table13[[#This Row],[Good_Qty]]&gt;=Table13[[#This Row],[Planned_Production]],"Met","Not Met")</f>
        <v>Met</v>
      </c>
      <c r="Q243">
        <f>Table13[[#This Row],[Good_Qty]]-Table13[[#This Row],[Planned_Production]]</f>
        <v>86</v>
      </c>
      <c r="R243" s="3">
        <f>IF(Table13[[#This Row],[Actual_Qty]]=0,0,Table13[[#This Row],[Reject_Qty]]/Table13[[#This Row],[Actual_Qty]])</f>
        <v>5.0933786078098476E-3</v>
      </c>
      <c r="S243">
        <v>437.75</v>
      </c>
      <c r="T243">
        <f>(Table13[[#This Row],[Ideal_Cycle_Time_sec]]*Table13[[#This Row],[Actual_Qty]])/(Table13[[#This Row],[Operational_Time_min]]*60)</f>
        <v>0.44850561583856846</v>
      </c>
      <c r="U243">
        <f>Table13[[#This Row],[Good_Qty]]/Table13[[#This Row],[Actual_Qty]]</f>
        <v>0.9949066213921901</v>
      </c>
      <c r="V243" t="str">
        <f>IF(OR(Table13[[#This Row],[Performance_%]]&gt;=1,Table13[[#This Row],[Performance_%]]&lt;=0),"Error","OK")</f>
        <v>OK</v>
      </c>
      <c r="W243" t="str">
        <f>IF(OR(Table13[[#This Row],[Quality_%]]&gt;=1,Table13[[#This Row],[Quality_%]]&lt;=0),"Error","OK")</f>
        <v>OK</v>
      </c>
      <c r="X243">
        <f>Table13[[#This Row],[Performance_%]]*Table13[[#This Row],[Quality_%]]*[2]Availability_KPI!K243</f>
        <v>0.43407407407407406</v>
      </c>
      <c r="Y243" t="str">
        <f>IF(OR(Table13[[#This Row],[OEE_%]]&gt;1,Table13[[#This Row],[OEE_%]]&lt;0),"Error","OK")</f>
        <v>OK</v>
      </c>
    </row>
    <row r="244" spans="1:25" x14ac:dyDescent="0.2">
      <c r="A244" t="s">
        <v>324</v>
      </c>
      <c r="B244" t="s">
        <v>322</v>
      </c>
      <c r="C244" s="2">
        <v>46251</v>
      </c>
      <c r="D244" t="s">
        <v>27</v>
      </c>
      <c r="E244" t="s">
        <v>35</v>
      </c>
      <c r="F244" t="s">
        <v>54</v>
      </c>
      <c r="G244" t="s">
        <v>61</v>
      </c>
      <c r="H244">
        <v>598</v>
      </c>
      <c r="I244">
        <v>594</v>
      </c>
      <c r="J244">
        <v>4</v>
      </c>
      <c r="K244">
        <v>22</v>
      </c>
      <c r="L244">
        <v>23.9</v>
      </c>
      <c r="M244">
        <v>238.22</v>
      </c>
      <c r="N244">
        <f>_xlfn.XLOOKUP(Table13[[#This Row],[Production_Order_ID]],[1]Sheet1!$A$2:$A$391,[1]Sheet1!$F$2:$F$391,"No Match")</f>
        <v>500</v>
      </c>
      <c r="O244" s="3">
        <f>Table13[[#This Row],[Good_Qty]]/Table13[[#This Row],[Planned_Production]]</f>
        <v>1.1879999999999999</v>
      </c>
      <c r="P244" t="str">
        <f>IF(Table13[[#This Row],[Good_Qty]]&gt;=Table13[[#This Row],[Planned_Production]],"Met","Not Met")</f>
        <v>Met</v>
      </c>
      <c r="Q244">
        <f>Table13[[#This Row],[Good_Qty]]-Table13[[#This Row],[Planned_Production]]</f>
        <v>94</v>
      </c>
      <c r="R244" s="3">
        <f>IF(Table13[[#This Row],[Actual_Qty]]=0,0,Table13[[#This Row],[Reject_Qty]]/Table13[[#This Row],[Actual_Qty]])</f>
        <v>6.688963210702341E-3</v>
      </c>
      <c r="S244">
        <v>431.76</v>
      </c>
      <c r="T244">
        <f>(Table13[[#This Row],[Ideal_Cycle_Time_sec]]*Table13[[#This Row],[Actual_Qty]])/(Table13[[#This Row],[Operational_Time_min]]*60)</f>
        <v>0.50784386387499236</v>
      </c>
      <c r="U244">
        <f>Table13[[#This Row],[Good_Qty]]/Table13[[#This Row],[Actual_Qty]]</f>
        <v>0.99331103678929766</v>
      </c>
      <c r="V244" t="str">
        <f>IF(OR(Table13[[#This Row],[Performance_%]]&gt;=1,Table13[[#This Row],[Performance_%]]&lt;=0),"Error","OK")</f>
        <v>OK</v>
      </c>
      <c r="W244" t="str">
        <f>IF(OR(Table13[[#This Row],[Quality_%]]&gt;=1,Table13[[#This Row],[Quality_%]]&lt;=0),"Error","OK")</f>
        <v>OK</v>
      </c>
      <c r="X244">
        <f>Table13[[#This Row],[Performance_%]]*Table13[[#This Row],[Quality_%]]*[2]Availability_KPI!K244</f>
        <v>0.4840000000000001</v>
      </c>
      <c r="Y244" t="str">
        <f>IF(OR(Table13[[#This Row],[OEE_%]]&gt;1,Table13[[#This Row],[OEE_%]]&lt;0),"Error","OK")</f>
        <v>OK</v>
      </c>
    </row>
    <row r="245" spans="1:25" x14ac:dyDescent="0.2">
      <c r="A245" t="s">
        <v>325</v>
      </c>
      <c r="B245" t="s">
        <v>322</v>
      </c>
      <c r="C245" s="2">
        <v>46251</v>
      </c>
      <c r="D245" t="s">
        <v>27</v>
      </c>
      <c r="E245" t="s">
        <v>38</v>
      </c>
      <c r="F245" t="s">
        <v>54</v>
      </c>
      <c r="G245" t="s">
        <v>47</v>
      </c>
      <c r="H245">
        <v>594</v>
      </c>
      <c r="I245">
        <v>591</v>
      </c>
      <c r="J245">
        <v>3</v>
      </c>
      <c r="K245">
        <v>20</v>
      </c>
      <c r="L245">
        <v>21.74</v>
      </c>
      <c r="M245">
        <v>215.19</v>
      </c>
      <c r="N245">
        <f>_xlfn.XLOOKUP(Table13[[#This Row],[Production_Order_ID]],[1]Sheet1!$A$2:$A$391,[1]Sheet1!$F$2:$F$391,"No Match")</f>
        <v>500</v>
      </c>
      <c r="O245" s="3">
        <f>Table13[[#This Row],[Good_Qty]]/Table13[[#This Row],[Planned_Production]]</f>
        <v>1.1819999999999999</v>
      </c>
      <c r="P245" t="str">
        <f>IF(Table13[[#This Row],[Good_Qty]]&gt;=Table13[[#This Row],[Planned_Production]],"Met","Not Met")</f>
        <v>Met</v>
      </c>
      <c r="Q245">
        <f>Table13[[#This Row],[Good_Qty]]-Table13[[#This Row],[Planned_Production]]</f>
        <v>91</v>
      </c>
      <c r="R245" s="3">
        <f>IF(Table13[[#This Row],[Actual_Qty]]=0,0,Table13[[#This Row],[Reject_Qty]]/Table13[[#This Row],[Actual_Qty]])</f>
        <v>5.0505050505050509E-3</v>
      </c>
      <c r="S245">
        <v>437.92</v>
      </c>
      <c r="T245">
        <f>(Table13[[#This Row],[Ideal_Cycle_Time_sec]]*Table13[[#This Row],[Actual_Qty]])/(Table13[[#This Row],[Operational_Time_min]]*60)</f>
        <v>0.45213737668980636</v>
      </c>
      <c r="U245">
        <f>Table13[[#This Row],[Good_Qty]]/Table13[[#This Row],[Actual_Qty]]</f>
        <v>0.99494949494949492</v>
      </c>
      <c r="V245" t="str">
        <f>IF(OR(Table13[[#This Row],[Performance_%]]&gt;=1,Table13[[#This Row],[Performance_%]]&lt;=0),"Error","OK")</f>
        <v>OK</v>
      </c>
      <c r="W245" t="str">
        <f>IF(OR(Table13[[#This Row],[Quality_%]]&gt;=1,Table13[[#This Row],[Quality_%]]&lt;=0),"Error","OK")</f>
        <v>OK</v>
      </c>
      <c r="X245">
        <f>Table13[[#This Row],[Performance_%]]*Table13[[#This Row],[Quality_%]]*[2]Availability_KPI!K245</f>
        <v>0.43777777777777777</v>
      </c>
      <c r="Y245" t="str">
        <f>IF(OR(Table13[[#This Row],[OEE_%]]&gt;1,Table13[[#This Row],[OEE_%]]&lt;0),"Error","OK")</f>
        <v>OK</v>
      </c>
    </row>
    <row r="246" spans="1:25" x14ac:dyDescent="0.2">
      <c r="A246" t="s">
        <v>326</v>
      </c>
      <c r="B246" t="s">
        <v>322</v>
      </c>
      <c r="C246" s="2">
        <v>46251</v>
      </c>
      <c r="D246" t="s">
        <v>27</v>
      </c>
      <c r="E246" t="s">
        <v>41</v>
      </c>
      <c r="F246" t="s">
        <v>54</v>
      </c>
      <c r="G246" t="s">
        <v>47</v>
      </c>
      <c r="H246">
        <v>586</v>
      </c>
      <c r="I246">
        <v>581</v>
      </c>
      <c r="J246">
        <v>5</v>
      </c>
      <c r="K246">
        <v>18</v>
      </c>
      <c r="L246">
        <v>18.41</v>
      </c>
      <c r="M246">
        <v>179.79</v>
      </c>
      <c r="N246">
        <f>_xlfn.XLOOKUP(Table13[[#This Row],[Production_Order_ID]],[1]Sheet1!$A$2:$A$391,[1]Sheet1!$F$2:$F$391,"No Match")</f>
        <v>500</v>
      </c>
      <c r="O246" s="3">
        <f>Table13[[#This Row],[Good_Qty]]/Table13[[#This Row],[Planned_Production]]</f>
        <v>1.1619999999999999</v>
      </c>
      <c r="P246" t="str">
        <f>IF(Table13[[#This Row],[Good_Qty]]&gt;=Table13[[#This Row],[Planned_Production]],"Met","Not Met")</f>
        <v>Met</v>
      </c>
      <c r="Q246">
        <f>Table13[[#This Row],[Good_Qty]]-Table13[[#This Row],[Planned_Production]]</f>
        <v>81</v>
      </c>
      <c r="R246" s="3">
        <f>IF(Table13[[#This Row],[Actual_Qty]]=0,0,Table13[[#This Row],[Reject_Qty]]/Table13[[#This Row],[Actual_Qty]])</f>
        <v>8.5324232081911266E-3</v>
      </c>
      <c r="S246">
        <v>437.59</v>
      </c>
      <c r="T246">
        <f>(Table13[[#This Row],[Ideal_Cycle_Time_sec]]*Table13[[#This Row],[Actual_Qty]])/(Table13[[#This Row],[Operational_Time_min]]*60)</f>
        <v>0.40174592655225216</v>
      </c>
      <c r="U246">
        <f>Table13[[#This Row],[Good_Qty]]/Table13[[#This Row],[Actual_Qty]]</f>
        <v>0.99146757679180886</v>
      </c>
      <c r="V246" t="str">
        <f>IF(OR(Table13[[#This Row],[Performance_%]]&gt;=1,Table13[[#This Row],[Performance_%]]&lt;=0),"Error","OK")</f>
        <v>OK</v>
      </c>
      <c r="W246" t="str">
        <f>IF(OR(Table13[[#This Row],[Quality_%]]&gt;=1,Table13[[#This Row],[Quality_%]]&lt;=0),"Error","OK")</f>
        <v>OK</v>
      </c>
      <c r="X246">
        <f>Table13[[#This Row],[Performance_%]]*Table13[[#This Row],[Quality_%]]*[2]Availability_KPI!K246</f>
        <v>0.38733333333333336</v>
      </c>
      <c r="Y246" t="str">
        <f>IF(OR(Table13[[#This Row],[OEE_%]]&gt;1,Table13[[#This Row],[OEE_%]]&lt;0),"Error","OK")</f>
        <v>OK</v>
      </c>
    </row>
    <row r="247" spans="1:25" x14ac:dyDescent="0.2">
      <c r="A247" t="s">
        <v>327</v>
      </c>
      <c r="B247" t="s">
        <v>322</v>
      </c>
      <c r="C247" s="2">
        <v>46251</v>
      </c>
      <c r="D247" t="s">
        <v>27</v>
      </c>
      <c r="E247" t="s">
        <v>43</v>
      </c>
      <c r="F247" t="s">
        <v>54</v>
      </c>
      <c r="G247" t="s">
        <v>33</v>
      </c>
      <c r="H247">
        <v>587</v>
      </c>
      <c r="I247">
        <v>579</v>
      </c>
      <c r="J247">
        <v>8</v>
      </c>
      <c r="K247">
        <v>32</v>
      </c>
      <c r="L247">
        <v>35.619999999999997</v>
      </c>
      <c r="M247">
        <v>348.46</v>
      </c>
      <c r="N247">
        <f>_xlfn.XLOOKUP(Table13[[#This Row],[Production_Order_ID]],[1]Sheet1!$A$2:$A$391,[1]Sheet1!$F$2:$F$391,"No Match")</f>
        <v>500</v>
      </c>
      <c r="O247" s="3">
        <f>Table13[[#This Row],[Good_Qty]]/Table13[[#This Row],[Planned_Production]]</f>
        <v>1.1579999999999999</v>
      </c>
      <c r="P247" t="str">
        <f>IF(Table13[[#This Row],[Good_Qty]]&gt;=Table13[[#This Row],[Planned_Production]],"Met","Not Met")</f>
        <v>Met</v>
      </c>
      <c r="Q247">
        <f>Table13[[#This Row],[Good_Qty]]-Table13[[#This Row],[Planned_Production]]</f>
        <v>79</v>
      </c>
      <c r="R247" s="3">
        <f>IF(Table13[[#This Row],[Actual_Qty]]=0,0,Table13[[#This Row],[Reject_Qty]]/Table13[[#This Row],[Actual_Qty]])</f>
        <v>1.3628620102214651E-2</v>
      </c>
      <c r="S247">
        <v>413.72</v>
      </c>
      <c r="T247">
        <f>(Table13[[#This Row],[Ideal_Cycle_Time_sec]]*Table13[[#This Row],[Actual_Qty]])/(Table13[[#This Row],[Operational_Time_min]]*60)</f>
        <v>0.75671146346965734</v>
      </c>
      <c r="U247">
        <f>Table13[[#This Row],[Good_Qty]]/Table13[[#This Row],[Actual_Qty]]</f>
        <v>0.98637137989778534</v>
      </c>
      <c r="V247" t="str">
        <f>IF(OR(Table13[[#This Row],[Performance_%]]&gt;=1,Table13[[#This Row],[Performance_%]]&lt;=0),"Error","OK")</f>
        <v>OK</v>
      </c>
      <c r="W247" t="str">
        <f>IF(OR(Table13[[#This Row],[Quality_%]]&gt;=1,Table13[[#This Row],[Quality_%]]&lt;=0),"Error","OK")</f>
        <v>OK</v>
      </c>
      <c r="X247">
        <f>Table13[[#This Row],[Performance_%]]*Table13[[#This Row],[Quality_%]]*[2]Availability_KPI!K247</f>
        <v>0.68622222222222218</v>
      </c>
      <c r="Y247" t="str">
        <f>IF(OR(Table13[[#This Row],[OEE_%]]&gt;1,Table13[[#This Row],[OEE_%]]&lt;0),"Error","OK")</f>
        <v>OK</v>
      </c>
    </row>
    <row r="248" spans="1:25" x14ac:dyDescent="0.2">
      <c r="A248" t="s">
        <v>328</v>
      </c>
      <c r="B248" t="s">
        <v>322</v>
      </c>
      <c r="C248" s="2">
        <v>46251</v>
      </c>
      <c r="D248" t="s">
        <v>27</v>
      </c>
      <c r="E248" t="s">
        <v>46</v>
      </c>
      <c r="F248" t="s">
        <v>54</v>
      </c>
      <c r="G248" t="s">
        <v>57</v>
      </c>
      <c r="H248">
        <v>600</v>
      </c>
      <c r="I248">
        <v>592</v>
      </c>
      <c r="J248">
        <v>8</v>
      </c>
      <c r="K248">
        <v>25</v>
      </c>
      <c r="L248">
        <v>26.5</v>
      </c>
      <c r="M248">
        <v>265</v>
      </c>
      <c r="N248">
        <f>_xlfn.XLOOKUP(Table13[[#This Row],[Production_Order_ID]],[1]Sheet1!$A$2:$A$391,[1]Sheet1!$F$2:$F$391,"No Match")</f>
        <v>500</v>
      </c>
      <c r="O248" s="3">
        <f>Table13[[#This Row],[Good_Qty]]/Table13[[#This Row],[Planned_Production]]</f>
        <v>1.1839999999999999</v>
      </c>
      <c r="P248" t="str">
        <f>IF(Table13[[#This Row],[Good_Qty]]&gt;=Table13[[#This Row],[Planned_Production]],"Met","Not Met")</f>
        <v>Met</v>
      </c>
      <c r="Q248">
        <f>Table13[[#This Row],[Good_Qty]]-Table13[[#This Row],[Planned_Production]]</f>
        <v>92</v>
      </c>
      <c r="R248" s="3">
        <f>IF(Table13[[#This Row],[Actual_Qty]]=0,0,Table13[[#This Row],[Reject_Qty]]/Table13[[#This Row],[Actual_Qty]])</f>
        <v>1.3333333333333334E-2</v>
      </c>
      <c r="S248">
        <v>434.67</v>
      </c>
      <c r="T248">
        <f>(Table13[[#This Row],[Ideal_Cycle_Time_sec]]*Table13[[#This Row],[Actual_Qty]])/(Table13[[#This Row],[Operational_Time_min]]*60)</f>
        <v>0.57514896358156764</v>
      </c>
      <c r="U248">
        <f>Table13[[#This Row],[Good_Qty]]/Table13[[#This Row],[Actual_Qty]]</f>
        <v>0.98666666666666669</v>
      </c>
      <c r="V248" t="str">
        <f>IF(OR(Table13[[#This Row],[Performance_%]]&gt;=1,Table13[[#This Row],[Performance_%]]&lt;=0),"Error","OK")</f>
        <v>OK</v>
      </c>
      <c r="W248" t="str">
        <f>IF(OR(Table13[[#This Row],[Quality_%]]&gt;=1,Table13[[#This Row],[Quality_%]]&lt;=0),"Error","OK")</f>
        <v>OK</v>
      </c>
      <c r="X248">
        <f>Table13[[#This Row],[Performance_%]]*Table13[[#This Row],[Quality_%]]*[2]Availability_KPI!K248</f>
        <v>0.54814814814814827</v>
      </c>
      <c r="Y248" t="str">
        <f>IF(OR(Table13[[#This Row],[OEE_%]]&gt;1,Table13[[#This Row],[OEE_%]]&lt;0),"Error","OK")</f>
        <v>OK</v>
      </c>
    </row>
    <row r="249" spans="1:25" x14ac:dyDescent="0.2">
      <c r="A249" t="s">
        <v>329</v>
      </c>
      <c r="B249" t="s">
        <v>322</v>
      </c>
      <c r="C249" s="2">
        <v>46251</v>
      </c>
      <c r="D249" t="s">
        <v>27</v>
      </c>
      <c r="E249" t="s">
        <v>49</v>
      </c>
      <c r="F249" t="s">
        <v>54</v>
      </c>
      <c r="G249" t="s">
        <v>75</v>
      </c>
      <c r="H249">
        <v>590</v>
      </c>
      <c r="I249">
        <v>587</v>
      </c>
      <c r="J249">
        <v>3</v>
      </c>
      <c r="K249">
        <v>20</v>
      </c>
      <c r="L249">
        <v>20.329999999999998</v>
      </c>
      <c r="M249">
        <v>199.91</v>
      </c>
      <c r="N249">
        <f>_xlfn.XLOOKUP(Table13[[#This Row],[Production_Order_ID]],[1]Sheet1!$A$2:$A$391,[1]Sheet1!$F$2:$F$391,"No Match")</f>
        <v>500</v>
      </c>
      <c r="O249" s="3">
        <f>Table13[[#This Row],[Good_Qty]]/Table13[[#This Row],[Planned_Production]]</f>
        <v>1.1739999999999999</v>
      </c>
      <c r="P249" t="str">
        <f>IF(Table13[[#This Row],[Good_Qty]]&gt;=Table13[[#This Row],[Planned_Production]],"Met","Not Met")</f>
        <v>Met</v>
      </c>
      <c r="Q249">
        <f>Table13[[#This Row],[Good_Qty]]-Table13[[#This Row],[Planned_Production]]</f>
        <v>87</v>
      </c>
      <c r="R249" s="3">
        <f>IF(Table13[[#This Row],[Actual_Qty]]=0,0,Table13[[#This Row],[Reject_Qty]]/Table13[[#This Row],[Actual_Qty]])</f>
        <v>5.084745762711864E-3</v>
      </c>
      <c r="S249">
        <v>441.58</v>
      </c>
      <c r="T249">
        <f>(Table13[[#This Row],[Ideal_Cycle_Time_sec]]*Table13[[#This Row],[Actual_Qty]])/(Table13[[#This Row],[Operational_Time_min]]*60)</f>
        <v>0.44537041230732072</v>
      </c>
      <c r="U249">
        <f>Table13[[#This Row],[Good_Qty]]/Table13[[#This Row],[Actual_Qty]]</f>
        <v>0.9949152542372881</v>
      </c>
      <c r="V249" t="str">
        <f>IF(OR(Table13[[#This Row],[Performance_%]]&gt;=1,Table13[[#This Row],[Performance_%]]&lt;=0),"Error","OK")</f>
        <v>OK</v>
      </c>
      <c r="W249" t="str">
        <f>IF(OR(Table13[[#This Row],[Quality_%]]&gt;=1,Table13[[#This Row],[Quality_%]]&lt;=0),"Error","OK")</f>
        <v>OK</v>
      </c>
      <c r="X249">
        <f>Table13[[#This Row],[Performance_%]]*Table13[[#This Row],[Quality_%]]*[2]Availability_KPI!K249</f>
        <v>0.43481481481481482</v>
      </c>
      <c r="Y249" t="str">
        <f>IF(OR(Table13[[#This Row],[OEE_%]]&gt;1,Table13[[#This Row],[OEE_%]]&lt;0),"Error","OK")</f>
        <v>OK</v>
      </c>
    </row>
    <row r="250" spans="1:25" x14ac:dyDescent="0.2">
      <c r="A250" t="s">
        <v>330</v>
      </c>
      <c r="B250" t="s">
        <v>331</v>
      </c>
      <c r="C250" s="2">
        <v>46251</v>
      </c>
      <c r="D250" t="s">
        <v>53</v>
      </c>
      <c r="E250" t="s">
        <v>28</v>
      </c>
      <c r="F250" t="s">
        <v>54</v>
      </c>
      <c r="G250" t="s">
        <v>55</v>
      </c>
      <c r="H250">
        <v>620</v>
      </c>
      <c r="I250">
        <v>617</v>
      </c>
      <c r="J250">
        <v>3</v>
      </c>
      <c r="K250">
        <v>18</v>
      </c>
      <c r="L250">
        <v>19.03</v>
      </c>
      <c r="M250">
        <v>196.64</v>
      </c>
      <c r="N250">
        <f>_xlfn.XLOOKUP(Table13[[#This Row],[Production_Order_ID]],[1]Sheet1!$A$2:$A$391,[1]Sheet1!$F$2:$F$391,"No Match")</f>
        <v>400</v>
      </c>
      <c r="O250" s="3">
        <f>Table13[[#This Row],[Good_Qty]]/Table13[[#This Row],[Planned_Production]]</f>
        <v>1.5425</v>
      </c>
      <c r="P250" t="str">
        <f>IF(Table13[[#This Row],[Good_Qty]]&gt;=Table13[[#This Row],[Planned_Production]],"Met","Not Met")</f>
        <v>Met</v>
      </c>
      <c r="Q250">
        <f>Table13[[#This Row],[Good_Qty]]-Table13[[#This Row],[Planned_Production]]</f>
        <v>217</v>
      </c>
      <c r="R250" s="3">
        <f>IF(Table13[[#This Row],[Actual_Qty]]=0,0,Table13[[#This Row],[Reject_Qty]]/Table13[[#This Row],[Actual_Qty]])</f>
        <v>4.8387096774193551E-3</v>
      </c>
      <c r="S250">
        <v>442.97</v>
      </c>
      <c r="T250">
        <f>(Table13[[#This Row],[Ideal_Cycle_Time_sec]]*Table13[[#This Row],[Actual_Qty]])/(Table13[[#This Row],[Operational_Time_min]]*60)</f>
        <v>0.41989299501094879</v>
      </c>
      <c r="U250">
        <f>Table13[[#This Row],[Good_Qty]]/Table13[[#This Row],[Actual_Qty]]</f>
        <v>0.99516129032258061</v>
      </c>
      <c r="V250" t="str">
        <f>IF(OR(Table13[[#This Row],[Performance_%]]&gt;=1,Table13[[#This Row],[Performance_%]]&lt;=0),"Error","OK")</f>
        <v>OK</v>
      </c>
      <c r="W250" t="str">
        <f>IF(OR(Table13[[#This Row],[Quality_%]]&gt;=1,Table13[[#This Row],[Quality_%]]&lt;=0),"Error","OK")</f>
        <v>OK</v>
      </c>
      <c r="X250">
        <f>Table13[[#This Row],[Performance_%]]*Table13[[#This Row],[Quality_%]]*[2]Availability_KPI!K250</f>
        <v>0.41133333333333327</v>
      </c>
      <c r="Y250" t="str">
        <f>IF(OR(Table13[[#This Row],[OEE_%]]&gt;1,Table13[[#This Row],[OEE_%]]&lt;0),"Error","OK")</f>
        <v>OK</v>
      </c>
    </row>
    <row r="251" spans="1:25" x14ac:dyDescent="0.2">
      <c r="A251" t="s">
        <v>332</v>
      </c>
      <c r="B251" t="s">
        <v>331</v>
      </c>
      <c r="C251" s="2">
        <v>46251</v>
      </c>
      <c r="D251" t="s">
        <v>53</v>
      </c>
      <c r="E251" t="s">
        <v>32</v>
      </c>
      <c r="F251" t="s">
        <v>54</v>
      </c>
      <c r="G251" t="s">
        <v>75</v>
      </c>
      <c r="H251">
        <v>619</v>
      </c>
      <c r="I251">
        <v>615</v>
      </c>
      <c r="J251">
        <v>4</v>
      </c>
      <c r="K251">
        <v>20</v>
      </c>
      <c r="L251">
        <v>20</v>
      </c>
      <c r="M251">
        <v>206.33</v>
      </c>
      <c r="N251">
        <f>_xlfn.XLOOKUP(Table13[[#This Row],[Production_Order_ID]],[1]Sheet1!$A$2:$A$391,[1]Sheet1!$F$2:$F$391,"No Match")</f>
        <v>400</v>
      </c>
      <c r="O251" s="3">
        <f>Table13[[#This Row],[Good_Qty]]/Table13[[#This Row],[Planned_Production]]</f>
        <v>1.5375000000000001</v>
      </c>
      <c r="P251" t="str">
        <f>IF(Table13[[#This Row],[Good_Qty]]&gt;=Table13[[#This Row],[Planned_Production]],"Met","Not Met")</f>
        <v>Met</v>
      </c>
      <c r="Q251">
        <f>Table13[[#This Row],[Good_Qty]]-Table13[[#This Row],[Planned_Production]]</f>
        <v>215</v>
      </c>
      <c r="R251" s="3">
        <f>IF(Table13[[#This Row],[Actual_Qty]]=0,0,Table13[[#This Row],[Reject_Qty]]/Table13[[#This Row],[Actual_Qty]])</f>
        <v>6.462035541195477E-3</v>
      </c>
      <c r="S251">
        <v>437.67</v>
      </c>
      <c r="T251">
        <f>(Table13[[#This Row],[Ideal_Cycle_Time_sec]]*Table13[[#This Row],[Actual_Qty]])/(Table13[[#This Row],[Operational_Time_min]]*60)</f>
        <v>0.47143586111301511</v>
      </c>
      <c r="U251">
        <f>Table13[[#This Row],[Good_Qty]]/Table13[[#This Row],[Actual_Qty]]</f>
        <v>0.99353796445880449</v>
      </c>
      <c r="V251" t="str">
        <f>IF(OR(Table13[[#This Row],[Performance_%]]&gt;=1,Table13[[#This Row],[Performance_%]]&lt;=0),"Error","OK")</f>
        <v>OK</v>
      </c>
      <c r="W251" t="str">
        <f>IF(OR(Table13[[#This Row],[Quality_%]]&gt;=1,Table13[[#This Row],[Quality_%]]&lt;=0),"Error","OK")</f>
        <v>OK</v>
      </c>
      <c r="X251">
        <f>Table13[[#This Row],[Performance_%]]*Table13[[#This Row],[Quality_%]]*[2]Availability_KPI!K251</f>
        <v>0.45555555555555555</v>
      </c>
      <c r="Y251" t="str">
        <f>IF(OR(Table13[[#This Row],[OEE_%]]&gt;1,Table13[[#This Row],[OEE_%]]&lt;0),"Error","OK")</f>
        <v>OK</v>
      </c>
    </row>
    <row r="252" spans="1:25" x14ac:dyDescent="0.2">
      <c r="A252" t="s">
        <v>333</v>
      </c>
      <c r="B252" t="s">
        <v>331</v>
      </c>
      <c r="C252" s="2">
        <v>46251</v>
      </c>
      <c r="D252" t="s">
        <v>53</v>
      </c>
      <c r="E252" t="s">
        <v>35</v>
      </c>
      <c r="F252" t="s">
        <v>54</v>
      </c>
      <c r="G252" t="s">
        <v>57</v>
      </c>
      <c r="H252">
        <v>630</v>
      </c>
      <c r="I252">
        <v>626</v>
      </c>
      <c r="J252">
        <v>4</v>
      </c>
      <c r="K252">
        <v>22</v>
      </c>
      <c r="L252">
        <v>22.75</v>
      </c>
      <c r="M252">
        <v>238.83</v>
      </c>
      <c r="N252">
        <f>_xlfn.XLOOKUP(Table13[[#This Row],[Production_Order_ID]],[1]Sheet1!$A$2:$A$391,[1]Sheet1!$F$2:$F$391,"No Match")</f>
        <v>400</v>
      </c>
      <c r="O252" s="3">
        <f>Table13[[#This Row],[Good_Qty]]/Table13[[#This Row],[Planned_Production]]</f>
        <v>1.5649999999999999</v>
      </c>
      <c r="P252" t="str">
        <f>IF(Table13[[#This Row],[Good_Qty]]&gt;=Table13[[#This Row],[Planned_Production]],"Met","Not Met")</f>
        <v>Met</v>
      </c>
      <c r="Q252">
        <f>Table13[[#This Row],[Good_Qty]]-Table13[[#This Row],[Planned_Production]]</f>
        <v>226</v>
      </c>
      <c r="R252" s="3">
        <f>IF(Table13[[#This Row],[Actual_Qty]]=0,0,Table13[[#This Row],[Reject_Qty]]/Table13[[#This Row],[Actual_Qty]])</f>
        <v>6.3492063492063492E-3</v>
      </c>
      <c r="S252">
        <v>431.74</v>
      </c>
      <c r="T252">
        <f>(Table13[[#This Row],[Ideal_Cycle_Time_sec]]*Table13[[#This Row],[Actual_Qty]])/(Table13[[#This Row],[Operational_Time_min]]*60)</f>
        <v>0.53504423958864133</v>
      </c>
      <c r="U252">
        <f>Table13[[#This Row],[Good_Qty]]/Table13[[#This Row],[Actual_Qty]]</f>
        <v>0.99365079365079367</v>
      </c>
      <c r="V252" t="str">
        <f>IF(OR(Table13[[#This Row],[Performance_%]]&gt;=1,Table13[[#This Row],[Performance_%]]&lt;=0),"Error","OK")</f>
        <v>OK</v>
      </c>
      <c r="W252" t="str">
        <f>IF(OR(Table13[[#This Row],[Quality_%]]&gt;=1,Table13[[#This Row],[Quality_%]]&lt;=0),"Error","OK")</f>
        <v>OK</v>
      </c>
      <c r="X252">
        <f>Table13[[#This Row],[Performance_%]]*Table13[[#This Row],[Quality_%]]*[2]Availability_KPI!K252</f>
        <v>0.51007407407407412</v>
      </c>
      <c r="Y252" t="str">
        <f>IF(OR(Table13[[#This Row],[OEE_%]]&gt;1,Table13[[#This Row],[OEE_%]]&lt;0),"Error","OK")</f>
        <v>OK</v>
      </c>
    </row>
    <row r="253" spans="1:25" x14ac:dyDescent="0.2">
      <c r="A253" t="s">
        <v>334</v>
      </c>
      <c r="B253" t="s">
        <v>331</v>
      </c>
      <c r="C253" s="2">
        <v>46251</v>
      </c>
      <c r="D253" t="s">
        <v>53</v>
      </c>
      <c r="E253" t="s">
        <v>38</v>
      </c>
      <c r="F253" t="s">
        <v>54</v>
      </c>
      <c r="G253" t="s">
        <v>36</v>
      </c>
      <c r="H253">
        <v>623</v>
      </c>
      <c r="I253">
        <v>618</v>
      </c>
      <c r="J253">
        <v>5</v>
      </c>
      <c r="K253">
        <v>20</v>
      </c>
      <c r="L253">
        <v>20.5</v>
      </c>
      <c r="M253">
        <v>212.9</v>
      </c>
      <c r="N253">
        <f>_xlfn.XLOOKUP(Table13[[#This Row],[Production_Order_ID]],[1]Sheet1!$A$2:$A$391,[1]Sheet1!$F$2:$F$391,"No Match")</f>
        <v>400</v>
      </c>
      <c r="O253" s="3">
        <f>Table13[[#This Row],[Good_Qty]]/Table13[[#This Row],[Planned_Production]]</f>
        <v>1.5449999999999999</v>
      </c>
      <c r="P253" t="str">
        <f>IF(Table13[[#This Row],[Good_Qty]]&gt;=Table13[[#This Row],[Planned_Production]],"Met","Not Met")</f>
        <v>Met</v>
      </c>
      <c r="Q253">
        <f>Table13[[#This Row],[Good_Qty]]-Table13[[#This Row],[Planned_Production]]</f>
        <v>218</v>
      </c>
      <c r="R253" s="3">
        <f>IF(Table13[[#This Row],[Actual_Qty]]=0,0,Table13[[#This Row],[Reject_Qty]]/Table13[[#This Row],[Actual_Qty]])</f>
        <v>8.0256821829855531E-3</v>
      </c>
      <c r="S253">
        <v>439.59</v>
      </c>
      <c r="T253">
        <f>(Table13[[#This Row],[Ideal_Cycle_Time_sec]]*Table13[[#This Row],[Actual_Qty]])/(Table13[[#This Row],[Operational_Time_min]]*60)</f>
        <v>0.47240989710108666</v>
      </c>
      <c r="U253">
        <f>Table13[[#This Row],[Good_Qty]]/Table13[[#This Row],[Actual_Qty]]</f>
        <v>0.99197431781701439</v>
      </c>
      <c r="V253" t="str">
        <f>IF(OR(Table13[[#This Row],[Performance_%]]&gt;=1,Table13[[#This Row],[Performance_%]]&lt;=0),"Error","OK")</f>
        <v>OK</v>
      </c>
      <c r="W253" t="str">
        <f>IF(OR(Table13[[#This Row],[Quality_%]]&gt;=1,Table13[[#This Row],[Quality_%]]&lt;=0),"Error","OK")</f>
        <v>OK</v>
      </c>
      <c r="X253">
        <f>Table13[[#This Row],[Performance_%]]*Table13[[#This Row],[Quality_%]]*[2]Availability_KPI!K253</f>
        <v>0.45777777777777778</v>
      </c>
      <c r="Y253" t="str">
        <f>IF(OR(Table13[[#This Row],[OEE_%]]&gt;1,Table13[[#This Row],[OEE_%]]&lt;0),"Error","OK")</f>
        <v>OK</v>
      </c>
    </row>
    <row r="254" spans="1:25" x14ac:dyDescent="0.2">
      <c r="A254" t="s">
        <v>335</v>
      </c>
      <c r="B254" t="s">
        <v>331</v>
      </c>
      <c r="C254" s="2">
        <v>46251</v>
      </c>
      <c r="D254" t="s">
        <v>53</v>
      </c>
      <c r="E254" t="s">
        <v>41</v>
      </c>
      <c r="F254" t="s">
        <v>54</v>
      </c>
      <c r="G254" t="s">
        <v>57</v>
      </c>
      <c r="H254">
        <v>622</v>
      </c>
      <c r="I254">
        <v>617</v>
      </c>
      <c r="J254">
        <v>5</v>
      </c>
      <c r="K254">
        <v>18</v>
      </c>
      <c r="L254">
        <v>18.88</v>
      </c>
      <c r="M254">
        <v>195.68</v>
      </c>
      <c r="N254">
        <f>_xlfn.XLOOKUP(Table13[[#This Row],[Production_Order_ID]],[1]Sheet1!$A$2:$A$391,[1]Sheet1!$F$2:$F$391,"No Match")</f>
        <v>400</v>
      </c>
      <c r="O254" s="3">
        <f>Table13[[#This Row],[Good_Qty]]/Table13[[#This Row],[Planned_Production]]</f>
        <v>1.5425</v>
      </c>
      <c r="P254" t="str">
        <f>IF(Table13[[#This Row],[Good_Qty]]&gt;=Table13[[#This Row],[Planned_Production]],"Met","Not Met")</f>
        <v>Met</v>
      </c>
      <c r="Q254">
        <f>Table13[[#This Row],[Good_Qty]]-Table13[[#This Row],[Planned_Production]]</f>
        <v>217</v>
      </c>
      <c r="R254" s="3">
        <f>IF(Table13[[#This Row],[Actual_Qty]]=0,0,Table13[[#This Row],[Reject_Qty]]/Table13[[#This Row],[Actual_Qty]])</f>
        <v>8.0385852090032149E-3</v>
      </c>
      <c r="S254">
        <v>440.6</v>
      </c>
      <c r="T254">
        <f>(Table13[[#This Row],[Ideal_Cycle_Time_sec]]*Table13[[#This Row],[Actual_Qty]])/(Table13[[#This Row],[Operational_Time_min]]*60)</f>
        <v>0.42351339083068545</v>
      </c>
      <c r="U254">
        <f>Table13[[#This Row],[Good_Qty]]/Table13[[#This Row],[Actual_Qty]]</f>
        <v>0.99196141479099675</v>
      </c>
      <c r="V254" t="str">
        <f>IF(OR(Table13[[#This Row],[Performance_%]]&gt;=1,Table13[[#This Row],[Performance_%]]&lt;=0),"Error","OK")</f>
        <v>OK</v>
      </c>
      <c r="W254" t="str">
        <f>IF(OR(Table13[[#This Row],[Quality_%]]&gt;=1,Table13[[#This Row],[Quality_%]]&lt;=0),"Error","OK")</f>
        <v>OK</v>
      </c>
      <c r="X254">
        <f>Table13[[#This Row],[Performance_%]]*Table13[[#This Row],[Quality_%]]*[2]Availability_KPI!K254</f>
        <v>0.41133333333333338</v>
      </c>
      <c r="Y254" t="str">
        <f>IF(OR(Table13[[#This Row],[OEE_%]]&gt;1,Table13[[#This Row],[OEE_%]]&lt;0),"Error","OK")</f>
        <v>OK</v>
      </c>
    </row>
    <row r="255" spans="1:25" x14ac:dyDescent="0.2">
      <c r="A255" t="s">
        <v>336</v>
      </c>
      <c r="B255" t="s">
        <v>331</v>
      </c>
      <c r="C255" s="2">
        <v>46251</v>
      </c>
      <c r="D255" t="s">
        <v>53</v>
      </c>
      <c r="E255" t="s">
        <v>43</v>
      </c>
      <c r="F255" t="s">
        <v>54</v>
      </c>
      <c r="G255" t="s">
        <v>50</v>
      </c>
      <c r="H255">
        <v>604</v>
      </c>
      <c r="I255">
        <v>596</v>
      </c>
      <c r="J255">
        <v>8</v>
      </c>
      <c r="K255">
        <v>32</v>
      </c>
      <c r="L255">
        <v>34.380000000000003</v>
      </c>
      <c r="M255">
        <v>346.11</v>
      </c>
      <c r="N255">
        <f>_xlfn.XLOOKUP(Table13[[#This Row],[Production_Order_ID]],[1]Sheet1!$A$2:$A$391,[1]Sheet1!$F$2:$F$391,"No Match")</f>
        <v>400</v>
      </c>
      <c r="O255" s="3">
        <f>Table13[[#This Row],[Good_Qty]]/Table13[[#This Row],[Planned_Production]]</f>
        <v>1.49</v>
      </c>
      <c r="P255" t="str">
        <f>IF(Table13[[#This Row],[Good_Qty]]&gt;=Table13[[#This Row],[Planned_Production]],"Met","Not Met")</f>
        <v>Met</v>
      </c>
      <c r="Q255">
        <f>Table13[[#This Row],[Good_Qty]]-Table13[[#This Row],[Planned_Production]]</f>
        <v>196</v>
      </c>
      <c r="R255" s="3">
        <f>IF(Table13[[#This Row],[Actual_Qty]]=0,0,Table13[[#This Row],[Reject_Qty]]/Table13[[#This Row],[Actual_Qty]])</f>
        <v>1.3245033112582781E-2</v>
      </c>
      <c r="S255">
        <v>416.08</v>
      </c>
      <c r="T255">
        <f>(Table13[[#This Row],[Ideal_Cycle_Time_sec]]*Table13[[#This Row],[Actual_Qty]])/(Table13[[#This Row],[Operational_Time_min]]*60)</f>
        <v>0.77421008780362754</v>
      </c>
      <c r="U255">
        <f>Table13[[#This Row],[Good_Qty]]/Table13[[#This Row],[Actual_Qty]]</f>
        <v>0.98675496688741726</v>
      </c>
      <c r="V255" t="str">
        <f>IF(OR(Table13[[#This Row],[Performance_%]]&gt;=1,Table13[[#This Row],[Performance_%]]&lt;=0),"Error","OK")</f>
        <v>OK</v>
      </c>
      <c r="W255" t="str">
        <f>IF(OR(Table13[[#This Row],[Quality_%]]&gt;=1,Table13[[#This Row],[Quality_%]]&lt;=0),"Error","OK")</f>
        <v>OK</v>
      </c>
      <c r="X255">
        <f>Table13[[#This Row],[Performance_%]]*Table13[[#This Row],[Quality_%]]*[2]Availability_KPI!K255</f>
        <v>0.70637037037037054</v>
      </c>
      <c r="Y255" t="str">
        <f>IF(OR(Table13[[#This Row],[OEE_%]]&gt;1,Table13[[#This Row],[OEE_%]]&lt;0),"Error","OK")</f>
        <v>OK</v>
      </c>
    </row>
    <row r="256" spans="1:25" x14ac:dyDescent="0.2">
      <c r="A256" t="s">
        <v>337</v>
      </c>
      <c r="B256" t="s">
        <v>331</v>
      </c>
      <c r="C256" s="2">
        <v>46251</v>
      </c>
      <c r="D256" t="s">
        <v>53</v>
      </c>
      <c r="E256" t="s">
        <v>46</v>
      </c>
      <c r="F256" t="s">
        <v>54</v>
      </c>
      <c r="G256" t="s">
        <v>50</v>
      </c>
      <c r="H256">
        <v>629</v>
      </c>
      <c r="I256">
        <v>619</v>
      </c>
      <c r="J256">
        <v>10</v>
      </c>
      <c r="K256">
        <v>25</v>
      </c>
      <c r="L256">
        <v>25.86</v>
      </c>
      <c r="M256">
        <v>271.07</v>
      </c>
      <c r="N256">
        <f>_xlfn.XLOOKUP(Table13[[#This Row],[Production_Order_ID]],[1]Sheet1!$A$2:$A$391,[1]Sheet1!$F$2:$F$391,"No Match")</f>
        <v>400</v>
      </c>
      <c r="O256" s="3">
        <f>Table13[[#This Row],[Good_Qty]]/Table13[[#This Row],[Planned_Production]]</f>
        <v>1.5475000000000001</v>
      </c>
      <c r="P256" t="str">
        <f>IF(Table13[[#This Row],[Good_Qty]]&gt;=Table13[[#This Row],[Planned_Production]],"Met","Not Met")</f>
        <v>Met</v>
      </c>
      <c r="Q256">
        <f>Table13[[#This Row],[Good_Qty]]-Table13[[#This Row],[Planned_Production]]</f>
        <v>219</v>
      </c>
      <c r="R256" s="3">
        <f>IF(Table13[[#This Row],[Actual_Qty]]=0,0,Table13[[#This Row],[Reject_Qty]]/Table13[[#This Row],[Actual_Qty]])</f>
        <v>1.5898251192368838E-2</v>
      </c>
      <c r="S256">
        <v>433.8</v>
      </c>
      <c r="T256">
        <f>(Table13[[#This Row],[Ideal_Cycle_Time_sec]]*Table13[[#This Row],[Actual_Qty]])/(Table13[[#This Row],[Operational_Time_min]]*60)</f>
        <v>0.60415706162594129</v>
      </c>
      <c r="U256">
        <f>Table13[[#This Row],[Good_Qty]]/Table13[[#This Row],[Actual_Qty]]</f>
        <v>0.98410174880763113</v>
      </c>
      <c r="V256" t="str">
        <f>IF(OR(Table13[[#This Row],[Performance_%]]&gt;=1,Table13[[#This Row],[Performance_%]]&lt;=0),"Error","OK")</f>
        <v>OK</v>
      </c>
      <c r="W256" t="str">
        <f>IF(OR(Table13[[#This Row],[Quality_%]]&gt;=1,Table13[[#This Row],[Quality_%]]&lt;=0),"Error","OK")</f>
        <v>OK</v>
      </c>
      <c r="X256">
        <f>Table13[[#This Row],[Performance_%]]*Table13[[#This Row],[Quality_%]]*[2]Availability_KPI!K256</f>
        <v>0.57314814814814818</v>
      </c>
      <c r="Y256" t="str">
        <f>IF(OR(Table13[[#This Row],[OEE_%]]&gt;1,Table13[[#This Row],[OEE_%]]&lt;0),"Error","OK")</f>
        <v>OK</v>
      </c>
    </row>
    <row r="257" spans="1:25" x14ac:dyDescent="0.2">
      <c r="A257" t="s">
        <v>338</v>
      </c>
      <c r="B257" t="s">
        <v>331</v>
      </c>
      <c r="C257" s="2">
        <v>46251</v>
      </c>
      <c r="D257" t="s">
        <v>53</v>
      </c>
      <c r="E257" t="s">
        <v>49</v>
      </c>
      <c r="F257" t="s">
        <v>54</v>
      </c>
      <c r="G257" t="s">
        <v>30</v>
      </c>
      <c r="H257">
        <v>626</v>
      </c>
      <c r="I257">
        <v>624</v>
      </c>
      <c r="J257">
        <v>2</v>
      </c>
      <c r="K257">
        <v>20</v>
      </c>
      <c r="L257">
        <v>21.25</v>
      </c>
      <c r="M257">
        <v>221.76</v>
      </c>
      <c r="N257">
        <f>_xlfn.XLOOKUP(Table13[[#This Row],[Production_Order_ID]],[1]Sheet1!$A$2:$A$391,[1]Sheet1!$F$2:$F$391,"No Match")</f>
        <v>400</v>
      </c>
      <c r="O257" s="3">
        <f>Table13[[#This Row],[Good_Qty]]/Table13[[#This Row],[Planned_Production]]</f>
        <v>1.56</v>
      </c>
      <c r="P257" t="str">
        <f>IF(Table13[[#This Row],[Good_Qty]]&gt;=Table13[[#This Row],[Planned_Production]],"Met","Not Met")</f>
        <v>Met</v>
      </c>
      <c r="Q257">
        <f>Table13[[#This Row],[Good_Qty]]-Table13[[#This Row],[Planned_Production]]</f>
        <v>224</v>
      </c>
      <c r="R257" s="3">
        <f>IF(Table13[[#This Row],[Actual_Qty]]=0,0,Table13[[#This Row],[Reject_Qty]]/Table13[[#This Row],[Actual_Qty]])</f>
        <v>3.1948881789137379E-3</v>
      </c>
      <c r="S257">
        <v>439.62</v>
      </c>
      <c r="T257">
        <f>(Table13[[#This Row],[Ideal_Cycle_Time_sec]]*Table13[[#This Row],[Actual_Qty]])/(Table13[[#This Row],[Operational_Time_min]]*60)</f>
        <v>0.47465235127306915</v>
      </c>
      <c r="U257">
        <f>Table13[[#This Row],[Good_Qty]]/Table13[[#This Row],[Actual_Qty]]</f>
        <v>0.99680511182108622</v>
      </c>
      <c r="V257" t="str">
        <f>IF(OR(Table13[[#This Row],[Performance_%]]&gt;=1,Table13[[#This Row],[Performance_%]]&lt;=0),"Error","OK")</f>
        <v>OK</v>
      </c>
      <c r="W257" t="str">
        <f>IF(OR(Table13[[#This Row],[Quality_%]]&gt;=1,Table13[[#This Row],[Quality_%]]&lt;=0),"Error","OK")</f>
        <v>OK</v>
      </c>
      <c r="X257">
        <f>Table13[[#This Row],[Performance_%]]*Table13[[#This Row],[Quality_%]]*[2]Availability_KPI!K257</f>
        <v>0.4622222222222222</v>
      </c>
      <c r="Y257" t="str">
        <f>IF(OR(Table13[[#This Row],[OEE_%]]&gt;1,Table13[[#This Row],[OEE_%]]&lt;0),"Error","OK")</f>
        <v>OK</v>
      </c>
    </row>
    <row r="258" spans="1:25" x14ac:dyDescent="0.2">
      <c r="A258" t="s">
        <v>339</v>
      </c>
      <c r="B258" t="s">
        <v>340</v>
      </c>
      <c r="C258" s="2">
        <v>46251</v>
      </c>
      <c r="D258" t="s">
        <v>67</v>
      </c>
      <c r="E258" t="s">
        <v>28</v>
      </c>
      <c r="F258" t="s">
        <v>29</v>
      </c>
      <c r="G258" t="s">
        <v>33</v>
      </c>
      <c r="H258">
        <v>576</v>
      </c>
      <c r="I258">
        <v>575</v>
      </c>
      <c r="J258">
        <v>1</v>
      </c>
      <c r="K258">
        <v>19.8</v>
      </c>
      <c r="L258">
        <v>20.02</v>
      </c>
      <c r="M258">
        <v>192.15</v>
      </c>
      <c r="N258">
        <f>_xlfn.XLOOKUP(Table13[[#This Row],[Production_Order_ID]],[1]Sheet1!$A$2:$A$391,[1]Sheet1!$F$2:$F$391,"No Match")</f>
        <v>500</v>
      </c>
      <c r="O258" s="3">
        <f>Table13[[#This Row],[Good_Qty]]/Table13[[#This Row],[Planned_Production]]</f>
        <v>1.1499999999999999</v>
      </c>
      <c r="P258" t="str">
        <f>IF(Table13[[#This Row],[Good_Qty]]&gt;=Table13[[#This Row],[Planned_Production]],"Met","Not Met")</f>
        <v>Met</v>
      </c>
      <c r="Q258">
        <f>Table13[[#This Row],[Good_Qty]]-Table13[[#This Row],[Planned_Production]]</f>
        <v>75</v>
      </c>
      <c r="R258" s="3">
        <f>IF(Table13[[#This Row],[Actual_Qty]]=0,0,Table13[[#This Row],[Reject_Qty]]/Table13[[#This Row],[Actual_Qty]])</f>
        <v>1.736111111111111E-3</v>
      </c>
      <c r="S258">
        <v>446.33</v>
      </c>
      <c r="T258">
        <f>(Table13[[#This Row],[Ideal_Cycle_Time_sec]]*Table13[[#This Row],[Actual_Qty]])/(Table13[[#This Row],[Operational_Time_min]]*60)</f>
        <v>0.42587323280980444</v>
      </c>
      <c r="U258">
        <f>Table13[[#This Row],[Good_Qty]]/Table13[[#This Row],[Actual_Qty]]</f>
        <v>0.99826388888888884</v>
      </c>
      <c r="V258" t="str">
        <f>IF(OR(Table13[[#This Row],[Performance_%]]&gt;=1,Table13[[#This Row],[Performance_%]]&lt;=0),"Error","OK")</f>
        <v>OK</v>
      </c>
      <c r="W258" t="str">
        <f>IF(OR(Table13[[#This Row],[Quality_%]]&gt;=1,Table13[[#This Row],[Quality_%]]&lt;=0),"Error","OK")</f>
        <v>OK</v>
      </c>
      <c r="X258">
        <f>Table13[[#This Row],[Performance_%]]*Table13[[#This Row],[Quality_%]]*[2]Availability_KPI!K258</f>
        <v>0.42166666666666663</v>
      </c>
      <c r="Y258" t="str">
        <f>IF(OR(Table13[[#This Row],[OEE_%]]&gt;1,Table13[[#This Row],[OEE_%]]&lt;0),"Error","OK")</f>
        <v>OK</v>
      </c>
    </row>
    <row r="259" spans="1:25" x14ac:dyDescent="0.2">
      <c r="A259" t="s">
        <v>341</v>
      </c>
      <c r="B259" t="s">
        <v>340</v>
      </c>
      <c r="C259" s="2">
        <v>46251</v>
      </c>
      <c r="D259" t="s">
        <v>67</v>
      </c>
      <c r="E259" t="s">
        <v>32</v>
      </c>
      <c r="F259" t="s">
        <v>29</v>
      </c>
      <c r="G259" t="s">
        <v>47</v>
      </c>
      <c r="H259">
        <v>580</v>
      </c>
      <c r="I259">
        <v>575</v>
      </c>
      <c r="J259">
        <v>5</v>
      </c>
      <c r="K259">
        <v>22</v>
      </c>
      <c r="L259">
        <v>23.07</v>
      </c>
      <c r="M259">
        <v>223</v>
      </c>
      <c r="N259">
        <f>_xlfn.XLOOKUP(Table13[[#This Row],[Production_Order_ID]],[1]Sheet1!$A$2:$A$391,[1]Sheet1!$F$2:$F$391,"No Match")</f>
        <v>500</v>
      </c>
      <c r="O259" s="3">
        <f>Table13[[#This Row],[Good_Qty]]/Table13[[#This Row],[Planned_Production]]</f>
        <v>1.1499999999999999</v>
      </c>
      <c r="P259" t="str">
        <f>IF(Table13[[#This Row],[Good_Qty]]&gt;=Table13[[#This Row],[Planned_Production]],"Met","Not Met")</f>
        <v>Met</v>
      </c>
      <c r="Q259">
        <f>Table13[[#This Row],[Good_Qty]]-Table13[[#This Row],[Planned_Production]]</f>
        <v>75</v>
      </c>
      <c r="R259" s="3">
        <f>IF(Table13[[#This Row],[Actual_Qty]]=0,0,Table13[[#This Row],[Reject_Qty]]/Table13[[#This Row],[Actual_Qty]])</f>
        <v>8.6206896551724137E-3</v>
      </c>
      <c r="S259">
        <v>440.29</v>
      </c>
      <c r="T259">
        <f>(Table13[[#This Row],[Ideal_Cycle_Time_sec]]*Table13[[#This Row],[Actual_Qty]])/(Table13[[#This Row],[Operational_Time_min]]*60)</f>
        <v>0.4830149825493803</v>
      </c>
      <c r="U259">
        <f>Table13[[#This Row],[Good_Qty]]/Table13[[#This Row],[Actual_Qty]]</f>
        <v>0.99137931034482762</v>
      </c>
      <c r="V259" t="str">
        <f>IF(OR(Table13[[#This Row],[Performance_%]]&gt;=1,Table13[[#This Row],[Performance_%]]&lt;=0),"Error","OK")</f>
        <v>OK</v>
      </c>
      <c r="W259" t="str">
        <f>IF(OR(Table13[[#This Row],[Quality_%]]&gt;=1,Table13[[#This Row],[Quality_%]]&lt;=0),"Error","OK")</f>
        <v>OK</v>
      </c>
      <c r="X259">
        <f>Table13[[#This Row],[Performance_%]]*Table13[[#This Row],[Quality_%]]*[2]Availability_KPI!K259</f>
        <v>0.46851851851851856</v>
      </c>
      <c r="Y259" t="str">
        <f>IF(OR(Table13[[#This Row],[OEE_%]]&gt;1,Table13[[#This Row],[OEE_%]]&lt;0),"Error","OK")</f>
        <v>OK</v>
      </c>
    </row>
    <row r="260" spans="1:25" x14ac:dyDescent="0.2">
      <c r="A260" t="s">
        <v>342</v>
      </c>
      <c r="B260" t="s">
        <v>340</v>
      </c>
      <c r="C260" s="2">
        <v>46251</v>
      </c>
      <c r="D260" t="s">
        <v>67</v>
      </c>
      <c r="E260" t="s">
        <v>35</v>
      </c>
      <c r="F260" t="s">
        <v>29</v>
      </c>
      <c r="G260" t="s">
        <v>44</v>
      </c>
      <c r="H260">
        <v>568</v>
      </c>
      <c r="I260">
        <v>564</v>
      </c>
      <c r="J260">
        <v>4</v>
      </c>
      <c r="K260">
        <v>24.2</v>
      </c>
      <c r="L260">
        <v>26.07</v>
      </c>
      <c r="M260">
        <v>246.84</v>
      </c>
      <c r="N260">
        <f>_xlfn.XLOOKUP(Table13[[#This Row],[Production_Order_ID]],[1]Sheet1!$A$2:$A$391,[1]Sheet1!$F$2:$F$391,"No Match")</f>
        <v>500</v>
      </c>
      <c r="O260" s="3">
        <f>Table13[[#This Row],[Good_Qty]]/Table13[[#This Row],[Planned_Production]]</f>
        <v>1.1279999999999999</v>
      </c>
      <c r="P260" t="str">
        <f>IF(Table13[[#This Row],[Good_Qty]]&gt;=Table13[[#This Row],[Planned_Production]],"Met","Not Met")</f>
        <v>Met</v>
      </c>
      <c r="Q260">
        <f>Table13[[#This Row],[Good_Qty]]-Table13[[#This Row],[Planned_Production]]</f>
        <v>64</v>
      </c>
      <c r="R260" s="3">
        <f>IF(Table13[[#This Row],[Actual_Qty]]=0,0,Table13[[#This Row],[Reject_Qty]]/Table13[[#This Row],[Actual_Qty]])</f>
        <v>7.0422535211267607E-3</v>
      </c>
      <c r="S260">
        <v>433.71</v>
      </c>
      <c r="T260">
        <f>(Table13[[#This Row],[Ideal_Cycle_Time_sec]]*Table13[[#This Row],[Actual_Qty]])/(Table13[[#This Row],[Operational_Time_min]]*60)</f>
        <v>0.52821777992975338</v>
      </c>
      <c r="U260">
        <f>Table13[[#This Row],[Good_Qty]]/Table13[[#This Row],[Actual_Qty]]</f>
        <v>0.99295774647887325</v>
      </c>
      <c r="V260" t="str">
        <f>IF(OR(Table13[[#This Row],[Performance_%]]&gt;=1,Table13[[#This Row],[Performance_%]]&lt;=0),"Error","OK")</f>
        <v>OK</v>
      </c>
      <c r="W260" t="str">
        <f>IF(OR(Table13[[#This Row],[Quality_%]]&gt;=1,Table13[[#This Row],[Quality_%]]&lt;=0),"Error","OK")</f>
        <v>OK</v>
      </c>
      <c r="X260">
        <f>Table13[[#This Row],[Performance_%]]*Table13[[#This Row],[Quality_%]]*[2]Availability_KPI!K260</f>
        <v>0.50551111111111113</v>
      </c>
      <c r="Y260" t="str">
        <f>IF(OR(Table13[[#This Row],[OEE_%]]&gt;1,Table13[[#This Row],[OEE_%]]&lt;0),"Error","OK")</f>
        <v>OK</v>
      </c>
    </row>
    <row r="261" spans="1:25" x14ac:dyDescent="0.2">
      <c r="A261" t="s">
        <v>343</v>
      </c>
      <c r="B261" t="s">
        <v>340</v>
      </c>
      <c r="C261" s="2">
        <v>46251</v>
      </c>
      <c r="D261" t="s">
        <v>67</v>
      </c>
      <c r="E261" t="s">
        <v>38</v>
      </c>
      <c r="F261" t="s">
        <v>29</v>
      </c>
      <c r="G261" t="s">
        <v>36</v>
      </c>
      <c r="H261">
        <v>593</v>
      </c>
      <c r="I261">
        <v>590</v>
      </c>
      <c r="J261">
        <v>3</v>
      </c>
      <c r="K261">
        <v>22</v>
      </c>
      <c r="L261">
        <v>22.95</v>
      </c>
      <c r="M261">
        <v>226.85</v>
      </c>
      <c r="N261">
        <f>_xlfn.XLOOKUP(Table13[[#This Row],[Production_Order_ID]],[1]Sheet1!$A$2:$A$391,[1]Sheet1!$F$2:$F$391,"No Match")</f>
        <v>500</v>
      </c>
      <c r="O261" s="3">
        <f>Table13[[#This Row],[Good_Qty]]/Table13[[#This Row],[Planned_Production]]</f>
        <v>1.18</v>
      </c>
      <c r="P261" t="str">
        <f>IF(Table13[[#This Row],[Good_Qty]]&gt;=Table13[[#This Row],[Planned_Production]],"Met","Not Met")</f>
        <v>Met</v>
      </c>
      <c r="Q261">
        <f>Table13[[#This Row],[Good_Qty]]-Table13[[#This Row],[Planned_Production]]</f>
        <v>90</v>
      </c>
      <c r="R261" s="3">
        <f>IF(Table13[[#This Row],[Actual_Qty]]=0,0,Table13[[#This Row],[Reject_Qty]]/Table13[[#This Row],[Actual_Qty]])</f>
        <v>5.0590219224283303E-3</v>
      </c>
      <c r="S261">
        <v>440.16</v>
      </c>
      <c r="T261">
        <f>(Table13[[#This Row],[Ideal_Cycle_Time_sec]]*Table13[[#This Row],[Actual_Qty]])/(Table13[[#This Row],[Operational_Time_min]]*60)</f>
        <v>0.49398703501756935</v>
      </c>
      <c r="U261">
        <f>Table13[[#This Row],[Good_Qty]]/Table13[[#This Row],[Actual_Qty]]</f>
        <v>0.99494097807757165</v>
      </c>
      <c r="V261" t="str">
        <f>IF(OR(Table13[[#This Row],[Performance_%]]&gt;=1,Table13[[#This Row],[Performance_%]]&lt;=0),"Error","OK")</f>
        <v>OK</v>
      </c>
      <c r="W261" t="str">
        <f>IF(OR(Table13[[#This Row],[Quality_%]]&gt;=1,Table13[[#This Row],[Quality_%]]&lt;=0),"Error","OK")</f>
        <v>OK</v>
      </c>
      <c r="X261">
        <f>Table13[[#This Row],[Performance_%]]*Table13[[#This Row],[Quality_%]]*[2]Availability_KPI!K261</f>
        <v>0.48074074074074075</v>
      </c>
      <c r="Y261" t="str">
        <f>IF(OR(Table13[[#This Row],[OEE_%]]&gt;1,Table13[[#This Row],[OEE_%]]&lt;0),"Error","OK")</f>
        <v>OK</v>
      </c>
    </row>
    <row r="262" spans="1:25" x14ac:dyDescent="0.2">
      <c r="A262" t="s">
        <v>344</v>
      </c>
      <c r="B262" t="s">
        <v>340</v>
      </c>
      <c r="C262" s="2">
        <v>46251</v>
      </c>
      <c r="D262" t="s">
        <v>67</v>
      </c>
      <c r="E262" t="s">
        <v>41</v>
      </c>
      <c r="F262" t="s">
        <v>29</v>
      </c>
      <c r="G262" t="s">
        <v>36</v>
      </c>
      <c r="H262">
        <v>589</v>
      </c>
      <c r="I262">
        <v>584</v>
      </c>
      <c r="J262">
        <v>5</v>
      </c>
      <c r="K262">
        <v>19.8</v>
      </c>
      <c r="L262">
        <v>21.07</v>
      </c>
      <c r="M262">
        <v>206.86</v>
      </c>
      <c r="N262">
        <f>_xlfn.XLOOKUP(Table13[[#This Row],[Production_Order_ID]],[1]Sheet1!$A$2:$A$391,[1]Sheet1!$F$2:$F$391,"No Match")</f>
        <v>500</v>
      </c>
      <c r="O262" s="3">
        <f>Table13[[#This Row],[Good_Qty]]/Table13[[#This Row],[Planned_Production]]</f>
        <v>1.1679999999999999</v>
      </c>
      <c r="P262" t="str">
        <f>IF(Table13[[#This Row],[Good_Qty]]&gt;=Table13[[#This Row],[Planned_Production]],"Met","Not Met")</f>
        <v>Met</v>
      </c>
      <c r="Q262">
        <f>Table13[[#This Row],[Good_Qty]]-Table13[[#This Row],[Planned_Production]]</f>
        <v>84</v>
      </c>
      <c r="R262" s="3">
        <f>IF(Table13[[#This Row],[Actual_Qty]]=0,0,Table13[[#This Row],[Reject_Qty]]/Table13[[#This Row],[Actual_Qty]])</f>
        <v>8.4889643463497456E-3</v>
      </c>
      <c r="S262">
        <v>436.81</v>
      </c>
      <c r="T262">
        <f>(Table13[[#This Row],[Ideal_Cycle_Time_sec]]*Table13[[#This Row],[Actual_Qty]])/(Table13[[#This Row],[Operational_Time_min]]*60)</f>
        <v>0.44497607655502397</v>
      </c>
      <c r="U262">
        <f>Table13[[#This Row],[Good_Qty]]/Table13[[#This Row],[Actual_Qty]]</f>
        <v>0.99151103565365029</v>
      </c>
      <c r="V262" t="str">
        <f>IF(OR(Table13[[#This Row],[Performance_%]]&gt;=1,Table13[[#This Row],[Performance_%]]&lt;=0),"Error","OK")</f>
        <v>OK</v>
      </c>
      <c r="W262" t="str">
        <f>IF(OR(Table13[[#This Row],[Quality_%]]&gt;=1,Table13[[#This Row],[Quality_%]]&lt;=0),"Error","OK")</f>
        <v>OK</v>
      </c>
      <c r="X262">
        <f>Table13[[#This Row],[Performance_%]]*Table13[[#This Row],[Quality_%]]*[2]Availability_KPI!K262</f>
        <v>0.42826666666666674</v>
      </c>
      <c r="Y262" t="str">
        <f>IF(OR(Table13[[#This Row],[OEE_%]]&gt;1,Table13[[#This Row],[OEE_%]]&lt;0),"Error","OK")</f>
        <v>OK</v>
      </c>
    </row>
    <row r="263" spans="1:25" x14ac:dyDescent="0.2">
      <c r="A263" t="s">
        <v>345</v>
      </c>
      <c r="B263" t="s">
        <v>340</v>
      </c>
      <c r="C263" s="2">
        <v>46251</v>
      </c>
      <c r="D263" t="s">
        <v>67</v>
      </c>
      <c r="E263" t="s">
        <v>43</v>
      </c>
      <c r="F263" t="s">
        <v>29</v>
      </c>
      <c r="G263" t="s">
        <v>57</v>
      </c>
      <c r="H263">
        <v>588</v>
      </c>
      <c r="I263">
        <v>579</v>
      </c>
      <c r="J263">
        <v>9</v>
      </c>
      <c r="K263">
        <v>35.200000000000003</v>
      </c>
      <c r="L263">
        <v>35.99</v>
      </c>
      <c r="M263">
        <v>352.74</v>
      </c>
      <c r="N263">
        <f>_xlfn.XLOOKUP(Table13[[#This Row],[Production_Order_ID]],[1]Sheet1!$A$2:$A$391,[1]Sheet1!$F$2:$F$391,"No Match")</f>
        <v>500</v>
      </c>
      <c r="O263" s="3">
        <f>Table13[[#This Row],[Good_Qty]]/Table13[[#This Row],[Planned_Production]]</f>
        <v>1.1579999999999999</v>
      </c>
      <c r="P263" t="str">
        <f>IF(Table13[[#This Row],[Good_Qty]]&gt;=Table13[[#This Row],[Planned_Production]],"Met","Not Met")</f>
        <v>Met</v>
      </c>
      <c r="Q263">
        <f>Table13[[#This Row],[Good_Qty]]-Table13[[#This Row],[Planned_Production]]</f>
        <v>79</v>
      </c>
      <c r="R263" s="3">
        <f>IF(Table13[[#This Row],[Actual_Qty]]=0,0,Table13[[#This Row],[Reject_Qty]]/Table13[[#This Row],[Actual_Qty]])</f>
        <v>1.5306122448979591E-2</v>
      </c>
      <c r="S263">
        <v>404.32</v>
      </c>
      <c r="T263">
        <f>(Table13[[#This Row],[Ideal_Cycle_Time_sec]]*Table13[[#This Row],[Actual_Qty]])/(Table13[[#This Row],[Operational_Time_min]]*60)</f>
        <v>0.85318559556786711</v>
      </c>
      <c r="U263">
        <f>Table13[[#This Row],[Good_Qty]]/Table13[[#This Row],[Actual_Qty]]</f>
        <v>0.98469387755102045</v>
      </c>
      <c r="V263" t="str">
        <f>IF(OR(Table13[[#This Row],[Performance_%]]&gt;=1,Table13[[#This Row],[Performance_%]]&lt;=0),"Error","OK")</f>
        <v>OK</v>
      </c>
      <c r="W263" t="str">
        <f>IF(OR(Table13[[#This Row],[Quality_%]]&gt;=1,Table13[[#This Row],[Quality_%]]&lt;=0),"Error","OK")</f>
        <v>OK</v>
      </c>
      <c r="X263">
        <f>Table13[[#This Row],[Performance_%]]*Table13[[#This Row],[Quality_%]]*[2]Availability_KPI!K263</f>
        <v>0.75484444444444454</v>
      </c>
      <c r="Y263" t="str">
        <f>IF(OR(Table13[[#This Row],[OEE_%]]&gt;1,Table13[[#This Row],[OEE_%]]&lt;0),"Error","OK")</f>
        <v>OK</v>
      </c>
    </row>
    <row r="264" spans="1:25" x14ac:dyDescent="0.2">
      <c r="A264" t="s">
        <v>346</v>
      </c>
      <c r="B264" t="s">
        <v>340</v>
      </c>
      <c r="C264" s="2">
        <v>46251</v>
      </c>
      <c r="D264" t="s">
        <v>67</v>
      </c>
      <c r="E264" t="s">
        <v>46</v>
      </c>
      <c r="F264" t="s">
        <v>29</v>
      </c>
      <c r="G264" t="s">
        <v>75</v>
      </c>
      <c r="H264">
        <v>578</v>
      </c>
      <c r="I264">
        <v>571</v>
      </c>
      <c r="J264">
        <v>7</v>
      </c>
      <c r="K264">
        <v>27.5</v>
      </c>
      <c r="L264">
        <v>27.87</v>
      </c>
      <c r="M264">
        <v>268.51</v>
      </c>
      <c r="N264">
        <f>_xlfn.XLOOKUP(Table13[[#This Row],[Production_Order_ID]],[1]Sheet1!$A$2:$A$391,[1]Sheet1!$F$2:$F$391,"No Match")</f>
        <v>500</v>
      </c>
      <c r="O264" s="3">
        <f>Table13[[#This Row],[Good_Qty]]/Table13[[#This Row],[Planned_Production]]</f>
        <v>1.1419999999999999</v>
      </c>
      <c r="P264" t="str">
        <f>IF(Table13[[#This Row],[Good_Qty]]&gt;=Table13[[#This Row],[Planned_Production]],"Met","Not Met")</f>
        <v>Met</v>
      </c>
      <c r="Q264">
        <f>Table13[[#This Row],[Good_Qty]]-Table13[[#This Row],[Planned_Production]]</f>
        <v>71</v>
      </c>
      <c r="R264" s="3">
        <f>IF(Table13[[#This Row],[Actual_Qty]]=0,0,Table13[[#This Row],[Reject_Qty]]/Table13[[#This Row],[Actual_Qty]])</f>
        <v>1.2110726643598616E-2</v>
      </c>
      <c r="S264">
        <v>433.55</v>
      </c>
      <c r="T264">
        <f>(Table13[[#This Row],[Ideal_Cycle_Time_sec]]*Table13[[#This Row],[Actual_Qty]])/(Table13[[#This Row],[Operational_Time_min]]*60)</f>
        <v>0.6110406335293892</v>
      </c>
      <c r="U264">
        <f>Table13[[#This Row],[Good_Qty]]/Table13[[#This Row],[Actual_Qty]]</f>
        <v>0.98788927335640142</v>
      </c>
      <c r="V264" t="str">
        <f>IF(OR(Table13[[#This Row],[Performance_%]]&gt;=1,Table13[[#This Row],[Performance_%]]&lt;=0),"Error","OK")</f>
        <v>OK</v>
      </c>
      <c r="W264" t="str">
        <f>IF(OR(Table13[[#This Row],[Quality_%]]&gt;=1,Table13[[#This Row],[Quality_%]]&lt;=0),"Error","OK")</f>
        <v>OK</v>
      </c>
      <c r="X264">
        <f>Table13[[#This Row],[Performance_%]]*Table13[[#This Row],[Quality_%]]*[2]Availability_KPI!K264</f>
        <v>0.58157407407407413</v>
      </c>
      <c r="Y264" t="str">
        <f>IF(OR(Table13[[#This Row],[OEE_%]]&gt;1,Table13[[#This Row],[OEE_%]]&lt;0),"Error","OK")</f>
        <v>OK</v>
      </c>
    </row>
    <row r="265" spans="1:25" x14ac:dyDescent="0.2">
      <c r="A265" t="s">
        <v>347</v>
      </c>
      <c r="B265" t="s">
        <v>340</v>
      </c>
      <c r="C265" s="2">
        <v>46251</v>
      </c>
      <c r="D265" t="s">
        <v>67</v>
      </c>
      <c r="E265" t="s">
        <v>49</v>
      </c>
      <c r="F265" t="s">
        <v>29</v>
      </c>
      <c r="G265" t="s">
        <v>61</v>
      </c>
      <c r="H265">
        <v>581</v>
      </c>
      <c r="I265">
        <v>578</v>
      </c>
      <c r="J265">
        <v>3</v>
      </c>
      <c r="K265">
        <v>22</v>
      </c>
      <c r="L265">
        <v>22.72</v>
      </c>
      <c r="M265">
        <v>219.99</v>
      </c>
      <c r="N265">
        <f>_xlfn.XLOOKUP(Table13[[#This Row],[Production_Order_ID]],[1]Sheet1!$A$2:$A$391,[1]Sheet1!$F$2:$F$391,"No Match")</f>
        <v>500</v>
      </c>
      <c r="O265" s="3">
        <f>Table13[[#This Row],[Good_Qty]]/Table13[[#This Row],[Planned_Production]]</f>
        <v>1.1559999999999999</v>
      </c>
      <c r="P265" t="str">
        <f>IF(Table13[[#This Row],[Good_Qty]]&gt;=Table13[[#This Row],[Planned_Production]],"Met","Not Met")</f>
        <v>Met</v>
      </c>
      <c r="Q265">
        <f>Table13[[#This Row],[Good_Qty]]-Table13[[#This Row],[Planned_Production]]</f>
        <v>78</v>
      </c>
      <c r="R265" s="3">
        <f>IF(Table13[[#This Row],[Actual_Qty]]=0,0,Table13[[#This Row],[Reject_Qty]]/Table13[[#This Row],[Actual_Qty]])</f>
        <v>5.1635111876075735E-3</v>
      </c>
      <c r="S265">
        <v>441.36</v>
      </c>
      <c r="T265">
        <f>(Table13[[#This Row],[Ideal_Cycle_Time_sec]]*Table13[[#This Row],[Actual_Qty]])/(Table13[[#This Row],[Operational_Time_min]]*60)</f>
        <v>0.48267476285420818</v>
      </c>
      <c r="U265">
        <f>Table13[[#This Row],[Good_Qty]]/Table13[[#This Row],[Actual_Qty]]</f>
        <v>0.99483648881239239</v>
      </c>
      <c r="V265" t="str">
        <f>IF(OR(Table13[[#This Row],[Performance_%]]&gt;=1,Table13[[#This Row],[Performance_%]]&lt;=0),"Error","OK")</f>
        <v>OK</v>
      </c>
      <c r="W265" t="str">
        <f>IF(OR(Table13[[#This Row],[Quality_%]]&gt;=1,Table13[[#This Row],[Quality_%]]&lt;=0),"Error","OK")</f>
        <v>OK</v>
      </c>
      <c r="X265">
        <f>Table13[[#This Row],[Performance_%]]*Table13[[#This Row],[Quality_%]]*[2]Availability_KPI!K265</f>
        <v>0.47096296296296292</v>
      </c>
      <c r="Y265" t="str">
        <f>IF(OR(Table13[[#This Row],[OEE_%]]&gt;1,Table13[[#This Row],[OEE_%]]&lt;0),"Error","OK")</f>
        <v>OK</v>
      </c>
    </row>
    <row r="266" spans="1:25" x14ac:dyDescent="0.2">
      <c r="A266" t="s">
        <v>348</v>
      </c>
      <c r="B266" t="s">
        <v>349</v>
      </c>
      <c r="C266" s="2">
        <v>46252</v>
      </c>
      <c r="D266" t="s">
        <v>27</v>
      </c>
      <c r="E266" t="s">
        <v>28</v>
      </c>
      <c r="F266" t="s">
        <v>29</v>
      </c>
      <c r="G266" t="s">
        <v>55</v>
      </c>
      <c r="H266">
        <v>570</v>
      </c>
      <c r="I266">
        <v>569</v>
      </c>
      <c r="J266">
        <v>1</v>
      </c>
      <c r="K266">
        <v>19.8</v>
      </c>
      <c r="L266">
        <v>20.9</v>
      </c>
      <c r="M266">
        <v>198.57</v>
      </c>
      <c r="N266">
        <f>_xlfn.XLOOKUP(Table13[[#This Row],[Production_Order_ID]],[1]Sheet1!$A$2:$A$391,[1]Sheet1!$F$2:$F$391,"No Match")</f>
        <v>540</v>
      </c>
      <c r="O266" s="3">
        <f>Table13[[#This Row],[Good_Qty]]/Table13[[#This Row],[Planned_Production]]</f>
        <v>1.0537037037037038</v>
      </c>
      <c r="P266" t="str">
        <f>IF(Table13[[#This Row],[Good_Qty]]&gt;=Table13[[#This Row],[Planned_Production]],"Met","Not Met")</f>
        <v>Met</v>
      </c>
      <c r="Q266">
        <f>Table13[[#This Row],[Good_Qty]]-Table13[[#This Row],[Planned_Production]]</f>
        <v>29</v>
      </c>
      <c r="R266" s="3">
        <f>IF(Table13[[#This Row],[Actual_Qty]]=0,0,Table13[[#This Row],[Reject_Qty]]/Table13[[#This Row],[Actual_Qty]])</f>
        <v>1.7543859649122807E-3</v>
      </c>
      <c r="S266">
        <v>439.87</v>
      </c>
      <c r="T266">
        <f>(Table13[[#This Row],[Ideal_Cycle_Time_sec]]*Table13[[#This Row],[Actual_Qty]])/(Table13[[#This Row],[Operational_Time_min]]*60)</f>
        <v>0.42762634414713435</v>
      </c>
      <c r="U266">
        <f>Table13[[#This Row],[Good_Qty]]/Table13[[#This Row],[Actual_Qty]]</f>
        <v>0.99824561403508771</v>
      </c>
      <c r="V266" t="str">
        <f>IF(OR(Table13[[#This Row],[Performance_%]]&gt;=1,Table13[[#This Row],[Performance_%]]&lt;=0),"Error","OK")</f>
        <v>OK</v>
      </c>
      <c r="W266" t="str">
        <f>IF(OR(Table13[[#This Row],[Quality_%]]&gt;=1,Table13[[#This Row],[Quality_%]]&lt;=0),"Error","OK")</f>
        <v>OK</v>
      </c>
      <c r="X266">
        <f>Table13[[#This Row],[Performance_%]]*Table13[[#This Row],[Quality_%]]*[2]Availability_KPI!K266</f>
        <v>0.41726666666666662</v>
      </c>
      <c r="Y266" t="str">
        <f>IF(OR(Table13[[#This Row],[OEE_%]]&gt;1,Table13[[#This Row],[OEE_%]]&lt;0),"Error","OK")</f>
        <v>OK</v>
      </c>
    </row>
    <row r="267" spans="1:25" x14ac:dyDescent="0.2">
      <c r="A267" t="s">
        <v>350</v>
      </c>
      <c r="B267" t="s">
        <v>349</v>
      </c>
      <c r="C267" s="2">
        <v>46252</v>
      </c>
      <c r="D267" t="s">
        <v>27</v>
      </c>
      <c r="E267" t="s">
        <v>32</v>
      </c>
      <c r="F267" t="s">
        <v>29</v>
      </c>
      <c r="G267" t="s">
        <v>61</v>
      </c>
      <c r="H267">
        <v>565</v>
      </c>
      <c r="I267">
        <v>561</v>
      </c>
      <c r="J267">
        <v>4</v>
      </c>
      <c r="K267">
        <v>22</v>
      </c>
      <c r="L267">
        <v>23.69</v>
      </c>
      <c r="M267">
        <v>223.07</v>
      </c>
      <c r="N267">
        <f>_xlfn.XLOOKUP(Table13[[#This Row],[Production_Order_ID]],[1]Sheet1!$A$2:$A$391,[1]Sheet1!$F$2:$F$391,"No Match")</f>
        <v>540</v>
      </c>
      <c r="O267" s="3">
        <f>Table13[[#This Row],[Good_Qty]]/Table13[[#This Row],[Planned_Production]]</f>
        <v>1.038888888888889</v>
      </c>
      <c r="P267" t="str">
        <f>IF(Table13[[#This Row],[Good_Qty]]&gt;=Table13[[#This Row],[Planned_Production]],"Met","Not Met")</f>
        <v>Met</v>
      </c>
      <c r="Q267">
        <f>Table13[[#This Row],[Good_Qty]]-Table13[[#This Row],[Planned_Production]]</f>
        <v>21</v>
      </c>
      <c r="R267" s="3">
        <f>IF(Table13[[#This Row],[Actual_Qty]]=0,0,Table13[[#This Row],[Reject_Qty]]/Table13[[#This Row],[Actual_Qty]])</f>
        <v>7.0796460176991149E-3</v>
      </c>
      <c r="S267">
        <v>440.19</v>
      </c>
      <c r="T267">
        <f>(Table13[[#This Row],[Ideal_Cycle_Time_sec]]*Table13[[#This Row],[Actual_Qty]])/(Table13[[#This Row],[Operational_Time_min]]*60)</f>
        <v>0.4706301066963508</v>
      </c>
      <c r="U267">
        <f>Table13[[#This Row],[Good_Qty]]/Table13[[#This Row],[Actual_Qty]]</f>
        <v>0.99292035398230083</v>
      </c>
      <c r="V267" t="str">
        <f>IF(OR(Table13[[#This Row],[Performance_%]]&gt;=1,Table13[[#This Row],[Performance_%]]&lt;=0),"Error","OK")</f>
        <v>OK</v>
      </c>
      <c r="W267" t="str">
        <f>IF(OR(Table13[[#This Row],[Quality_%]]&gt;=1,Table13[[#This Row],[Quality_%]]&lt;=0),"Error","OK")</f>
        <v>OK</v>
      </c>
      <c r="X267">
        <f>Table13[[#This Row],[Performance_%]]*Table13[[#This Row],[Quality_%]]*[2]Availability_KPI!K267</f>
        <v>0.45711111111111102</v>
      </c>
      <c r="Y267" t="str">
        <f>IF(OR(Table13[[#This Row],[OEE_%]]&gt;1,Table13[[#This Row],[OEE_%]]&lt;0),"Error","OK")</f>
        <v>OK</v>
      </c>
    </row>
    <row r="268" spans="1:25" x14ac:dyDescent="0.2">
      <c r="A268" t="s">
        <v>351</v>
      </c>
      <c r="B268" t="s">
        <v>349</v>
      </c>
      <c r="C268" s="2">
        <v>46252</v>
      </c>
      <c r="D268" t="s">
        <v>27</v>
      </c>
      <c r="E268" t="s">
        <v>35</v>
      </c>
      <c r="F268" t="s">
        <v>29</v>
      </c>
      <c r="G268" t="s">
        <v>75</v>
      </c>
      <c r="H268">
        <v>562</v>
      </c>
      <c r="I268">
        <v>557</v>
      </c>
      <c r="J268">
        <v>5</v>
      </c>
      <c r="K268">
        <v>24.2</v>
      </c>
      <c r="L268">
        <v>26.38</v>
      </c>
      <c r="M268">
        <v>247.13</v>
      </c>
      <c r="N268">
        <f>_xlfn.XLOOKUP(Table13[[#This Row],[Production_Order_ID]],[1]Sheet1!$A$2:$A$391,[1]Sheet1!$F$2:$F$391,"No Match")</f>
        <v>540</v>
      </c>
      <c r="O268" s="3">
        <f>Table13[[#This Row],[Good_Qty]]/Table13[[#This Row],[Planned_Production]]</f>
        <v>1.0314814814814814</v>
      </c>
      <c r="P268" t="str">
        <f>IF(Table13[[#This Row],[Good_Qty]]&gt;=Table13[[#This Row],[Planned_Production]],"Met","Not Met")</f>
        <v>Met</v>
      </c>
      <c r="Q268">
        <f>Table13[[#This Row],[Good_Qty]]-Table13[[#This Row],[Planned_Production]]</f>
        <v>17</v>
      </c>
      <c r="R268" s="3">
        <f>IF(Table13[[#This Row],[Actual_Qty]]=0,0,Table13[[#This Row],[Reject_Qty]]/Table13[[#This Row],[Actual_Qty]])</f>
        <v>8.8967971530249119E-3</v>
      </c>
      <c r="S268">
        <v>437.33</v>
      </c>
      <c r="T268">
        <f>(Table13[[#This Row],[Ideal_Cycle_Time_sec]]*Table13[[#This Row],[Actual_Qty]])/(Table13[[#This Row],[Operational_Time_min]]*60)</f>
        <v>0.51831187737711415</v>
      </c>
      <c r="U268">
        <f>Table13[[#This Row],[Good_Qty]]/Table13[[#This Row],[Actual_Qty]]</f>
        <v>0.99110320284697506</v>
      </c>
      <c r="V268" t="str">
        <f>IF(OR(Table13[[#This Row],[Performance_%]]&gt;=1,Table13[[#This Row],[Performance_%]]&lt;=0),"Error","OK")</f>
        <v>OK</v>
      </c>
      <c r="W268" t="str">
        <f>IF(OR(Table13[[#This Row],[Quality_%]]&gt;=1,Table13[[#This Row],[Quality_%]]&lt;=0),"Error","OK")</f>
        <v>OK</v>
      </c>
      <c r="X268">
        <f>Table13[[#This Row],[Performance_%]]*Table13[[#This Row],[Quality_%]]*[2]Availability_KPI!K268</f>
        <v>0.49923703703703703</v>
      </c>
      <c r="Y268" t="str">
        <f>IF(OR(Table13[[#This Row],[OEE_%]]&gt;1,Table13[[#This Row],[OEE_%]]&lt;0),"Error","OK")</f>
        <v>OK</v>
      </c>
    </row>
    <row r="269" spans="1:25" x14ac:dyDescent="0.2">
      <c r="A269" t="s">
        <v>352</v>
      </c>
      <c r="B269" t="s">
        <v>349</v>
      </c>
      <c r="C269" s="2">
        <v>46252</v>
      </c>
      <c r="D269" t="s">
        <v>27</v>
      </c>
      <c r="E269" t="s">
        <v>38</v>
      </c>
      <c r="F269" t="s">
        <v>29</v>
      </c>
      <c r="G269" t="s">
        <v>47</v>
      </c>
      <c r="H269">
        <v>564</v>
      </c>
      <c r="I269">
        <v>559</v>
      </c>
      <c r="J269">
        <v>5</v>
      </c>
      <c r="K269">
        <v>22</v>
      </c>
      <c r="L269">
        <v>23.69</v>
      </c>
      <c r="M269">
        <v>222.68</v>
      </c>
      <c r="N269">
        <f>_xlfn.XLOOKUP(Table13[[#This Row],[Production_Order_ID]],[1]Sheet1!$A$2:$A$391,[1]Sheet1!$F$2:$F$391,"No Match")</f>
        <v>540</v>
      </c>
      <c r="O269" s="3">
        <f>Table13[[#This Row],[Good_Qty]]/Table13[[#This Row],[Planned_Production]]</f>
        <v>1.0351851851851852</v>
      </c>
      <c r="P269" t="str">
        <f>IF(Table13[[#This Row],[Good_Qty]]&gt;=Table13[[#This Row],[Planned_Production]],"Met","Not Met")</f>
        <v>Met</v>
      </c>
      <c r="Q269">
        <f>Table13[[#This Row],[Good_Qty]]-Table13[[#This Row],[Planned_Production]]</f>
        <v>19</v>
      </c>
      <c r="R269" s="3">
        <f>IF(Table13[[#This Row],[Actual_Qty]]=0,0,Table13[[#This Row],[Reject_Qty]]/Table13[[#This Row],[Actual_Qty]])</f>
        <v>8.8652482269503553E-3</v>
      </c>
      <c r="S269">
        <v>440.67</v>
      </c>
      <c r="T269">
        <f>(Table13[[#This Row],[Ideal_Cycle_Time_sec]]*Table13[[#This Row],[Actual_Qty]])/(Table13[[#This Row],[Operational_Time_min]]*60)</f>
        <v>0.46928540631311411</v>
      </c>
      <c r="U269">
        <f>Table13[[#This Row],[Good_Qty]]/Table13[[#This Row],[Actual_Qty]]</f>
        <v>0.99113475177304966</v>
      </c>
      <c r="V269" t="str">
        <f>IF(OR(Table13[[#This Row],[Performance_%]]&gt;=1,Table13[[#This Row],[Performance_%]]&lt;=0),"Error","OK")</f>
        <v>OK</v>
      </c>
      <c r="W269" t="str">
        <f>IF(OR(Table13[[#This Row],[Quality_%]]&gt;=1,Table13[[#This Row],[Quality_%]]&lt;=0),"Error","OK")</f>
        <v>OK</v>
      </c>
      <c r="X269">
        <f>Table13[[#This Row],[Performance_%]]*Table13[[#This Row],[Quality_%]]*[2]Availability_KPI!K269</f>
        <v>0.45548148148148149</v>
      </c>
      <c r="Y269" t="str">
        <f>IF(OR(Table13[[#This Row],[OEE_%]]&gt;1,Table13[[#This Row],[OEE_%]]&lt;0),"Error","OK")</f>
        <v>OK</v>
      </c>
    </row>
    <row r="270" spans="1:25" x14ac:dyDescent="0.2">
      <c r="A270" t="s">
        <v>353</v>
      </c>
      <c r="B270" t="s">
        <v>349</v>
      </c>
      <c r="C270" s="2">
        <v>46252</v>
      </c>
      <c r="D270" t="s">
        <v>27</v>
      </c>
      <c r="E270" t="s">
        <v>41</v>
      </c>
      <c r="F270" t="s">
        <v>29</v>
      </c>
      <c r="G270" t="s">
        <v>55</v>
      </c>
      <c r="H270">
        <v>560</v>
      </c>
      <c r="I270">
        <v>555</v>
      </c>
      <c r="J270">
        <v>5</v>
      </c>
      <c r="K270">
        <v>19.8</v>
      </c>
      <c r="L270">
        <v>21.02</v>
      </c>
      <c r="M270">
        <v>196.19</v>
      </c>
      <c r="N270">
        <f>_xlfn.XLOOKUP(Table13[[#This Row],[Production_Order_ID]],[1]Sheet1!$A$2:$A$391,[1]Sheet1!$F$2:$F$391,"No Match")</f>
        <v>540</v>
      </c>
      <c r="O270" s="3">
        <f>Table13[[#This Row],[Good_Qty]]/Table13[[#This Row],[Planned_Production]]</f>
        <v>1.0277777777777777</v>
      </c>
      <c r="P270" t="str">
        <f>IF(Table13[[#This Row],[Good_Qty]]&gt;=Table13[[#This Row],[Planned_Production]],"Met","Not Met")</f>
        <v>Met</v>
      </c>
      <c r="Q270">
        <f>Table13[[#This Row],[Good_Qty]]-Table13[[#This Row],[Planned_Production]]</f>
        <v>15</v>
      </c>
      <c r="R270" s="3">
        <f>IF(Table13[[#This Row],[Actual_Qty]]=0,0,Table13[[#This Row],[Reject_Qty]]/Table13[[#This Row],[Actual_Qty]])</f>
        <v>8.9285714285714281E-3</v>
      </c>
      <c r="S270">
        <v>437.76</v>
      </c>
      <c r="T270">
        <f>(Table13[[#This Row],[Ideal_Cycle_Time_sec]]*Table13[[#This Row],[Actual_Qty]])/(Table13[[#This Row],[Operational_Time_min]]*60)</f>
        <v>0.42214912280701755</v>
      </c>
      <c r="U270">
        <f>Table13[[#This Row],[Good_Qty]]/Table13[[#This Row],[Actual_Qty]]</f>
        <v>0.9910714285714286</v>
      </c>
      <c r="V270" t="str">
        <f>IF(OR(Table13[[#This Row],[Performance_%]]&gt;=1,Table13[[#This Row],[Performance_%]]&lt;=0),"Error","OK")</f>
        <v>OK</v>
      </c>
      <c r="W270" t="str">
        <f>IF(OR(Table13[[#This Row],[Quality_%]]&gt;=1,Table13[[#This Row],[Quality_%]]&lt;=0),"Error","OK")</f>
        <v>OK</v>
      </c>
      <c r="X270">
        <f>Table13[[#This Row],[Performance_%]]*Table13[[#This Row],[Quality_%]]*[2]Availability_KPI!K270</f>
        <v>0.40700000000000003</v>
      </c>
      <c r="Y270" t="str">
        <f>IF(OR(Table13[[#This Row],[OEE_%]]&gt;1,Table13[[#This Row],[OEE_%]]&lt;0),"Error","OK")</f>
        <v>OK</v>
      </c>
    </row>
    <row r="271" spans="1:25" x14ac:dyDescent="0.2">
      <c r="A271" t="s">
        <v>354</v>
      </c>
      <c r="B271" t="s">
        <v>349</v>
      </c>
      <c r="C271" s="2">
        <v>46252</v>
      </c>
      <c r="D271" t="s">
        <v>27</v>
      </c>
      <c r="E271" t="s">
        <v>43</v>
      </c>
      <c r="F271" t="s">
        <v>29</v>
      </c>
      <c r="G271" t="s">
        <v>50</v>
      </c>
      <c r="H271">
        <v>564</v>
      </c>
      <c r="I271">
        <v>555</v>
      </c>
      <c r="J271">
        <v>9</v>
      </c>
      <c r="K271">
        <v>35.200000000000003</v>
      </c>
      <c r="L271">
        <v>38.33</v>
      </c>
      <c r="M271">
        <v>360.35</v>
      </c>
      <c r="N271">
        <f>_xlfn.XLOOKUP(Table13[[#This Row],[Production_Order_ID]],[1]Sheet1!$A$2:$A$391,[1]Sheet1!$F$2:$F$391,"No Match")</f>
        <v>540</v>
      </c>
      <c r="O271" s="3">
        <f>Table13[[#This Row],[Good_Qty]]/Table13[[#This Row],[Planned_Production]]</f>
        <v>1.0277777777777777</v>
      </c>
      <c r="P271" t="str">
        <f>IF(Table13[[#This Row],[Good_Qty]]&gt;=Table13[[#This Row],[Planned_Production]],"Met","Not Met")</f>
        <v>Met</v>
      </c>
      <c r="Q271">
        <f>Table13[[#This Row],[Good_Qty]]-Table13[[#This Row],[Planned_Production]]</f>
        <v>15</v>
      </c>
      <c r="R271" s="3">
        <f>IF(Table13[[#This Row],[Actual_Qty]]=0,0,Table13[[#This Row],[Reject_Qty]]/Table13[[#This Row],[Actual_Qty]])</f>
        <v>1.5957446808510637E-2</v>
      </c>
      <c r="S271">
        <v>421.33</v>
      </c>
      <c r="T271">
        <f>(Table13[[#This Row],[Ideal_Cycle_Time_sec]]*Table13[[#This Row],[Actual_Qty]])/(Table13[[#This Row],[Operational_Time_min]]*60)</f>
        <v>0.78532266869199929</v>
      </c>
      <c r="U271">
        <f>Table13[[#This Row],[Good_Qty]]/Table13[[#This Row],[Actual_Qty]]</f>
        <v>0.98404255319148937</v>
      </c>
      <c r="V271" t="str">
        <f>IF(OR(Table13[[#This Row],[Performance_%]]&gt;=1,Table13[[#This Row],[Performance_%]]&lt;=0),"Error","OK")</f>
        <v>OK</v>
      </c>
      <c r="W271" t="str">
        <f>IF(OR(Table13[[#This Row],[Quality_%]]&gt;=1,Table13[[#This Row],[Quality_%]]&lt;=0),"Error","OK")</f>
        <v>OK</v>
      </c>
      <c r="X271">
        <f>Table13[[#This Row],[Performance_%]]*Table13[[#This Row],[Quality_%]]*[2]Availability_KPI!K271</f>
        <v>0.72355555555555562</v>
      </c>
      <c r="Y271" t="str">
        <f>IF(OR(Table13[[#This Row],[OEE_%]]&gt;1,Table13[[#This Row],[OEE_%]]&lt;0),"Error","OK")</f>
        <v>OK</v>
      </c>
    </row>
    <row r="272" spans="1:25" x14ac:dyDescent="0.2">
      <c r="A272" t="s">
        <v>355</v>
      </c>
      <c r="B272" t="s">
        <v>349</v>
      </c>
      <c r="C272" s="2">
        <v>46252</v>
      </c>
      <c r="D272" t="s">
        <v>27</v>
      </c>
      <c r="E272" t="s">
        <v>46</v>
      </c>
      <c r="F272" t="s">
        <v>29</v>
      </c>
      <c r="G272" t="s">
        <v>47</v>
      </c>
      <c r="H272">
        <v>569</v>
      </c>
      <c r="I272">
        <v>564</v>
      </c>
      <c r="J272">
        <v>5</v>
      </c>
      <c r="K272">
        <v>27.5</v>
      </c>
      <c r="L272">
        <v>30.06</v>
      </c>
      <c r="M272">
        <v>285.08999999999997</v>
      </c>
      <c r="N272">
        <f>_xlfn.XLOOKUP(Table13[[#This Row],[Production_Order_ID]],[1]Sheet1!$A$2:$A$391,[1]Sheet1!$F$2:$F$391,"No Match")</f>
        <v>540</v>
      </c>
      <c r="O272" s="3">
        <f>Table13[[#This Row],[Good_Qty]]/Table13[[#This Row],[Planned_Production]]</f>
        <v>1.0444444444444445</v>
      </c>
      <c r="P272" t="str">
        <f>IF(Table13[[#This Row],[Good_Qty]]&gt;=Table13[[#This Row],[Planned_Production]],"Met","Not Met")</f>
        <v>Met</v>
      </c>
      <c r="Q272">
        <f>Table13[[#This Row],[Good_Qty]]-Table13[[#This Row],[Planned_Production]]</f>
        <v>24</v>
      </c>
      <c r="R272" s="3">
        <f>IF(Table13[[#This Row],[Actual_Qty]]=0,0,Table13[[#This Row],[Reject_Qty]]/Table13[[#This Row],[Actual_Qty]])</f>
        <v>8.7873462214411256E-3</v>
      </c>
      <c r="S272">
        <v>432.26</v>
      </c>
      <c r="T272">
        <f>(Table13[[#This Row],[Ideal_Cycle_Time_sec]]*Table13[[#This Row],[Actual_Qty]])/(Table13[[#This Row],[Operational_Time_min]]*60)</f>
        <v>0.60332130353645186</v>
      </c>
      <c r="U272">
        <f>Table13[[#This Row],[Good_Qty]]/Table13[[#This Row],[Actual_Qty]]</f>
        <v>0.99121265377855883</v>
      </c>
      <c r="V272" t="str">
        <f>IF(OR(Table13[[#This Row],[Performance_%]]&gt;=1,Table13[[#This Row],[Performance_%]]&lt;=0),"Error","OK")</f>
        <v>OK</v>
      </c>
      <c r="W272" t="str">
        <f>IF(OR(Table13[[#This Row],[Quality_%]]&gt;=1,Table13[[#This Row],[Quality_%]]&lt;=0),"Error","OK")</f>
        <v>OK</v>
      </c>
      <c r="X272">
        <f>Table13[[#This Row],[Performance_%]]*Table13[[#This Row],[Quality_%]]*[2]Availability_KPI!K272</f>
        <v>0.57444444444444442</v>
      </c>
      <c r="Y272" t="str">
        <f>IF(OR(Table13[[#This Row],[OEE_%]]&gt;1,Table13[[#This Row],[OEE_%]]&lt;0),"Error","OK")</f>
        <v>OK</v>
      </c>
    </row>
    <row r="273" spans="1:25" x14ac:dyDescent="0.2">
      <c r="A273" t="s">
        <v>356</v>
      </c>
      <c r="B273" t="s">
        <v>349</v>
      </c>
      <c r="C273" s="2">
        <v>46252</v>
      </c>
      <c r="D273" t="s">
        <v>27</v>
      </c>
      <c r="E273" t="s">
        <v>49</v>
      </c>
      <c r="F273" t="s">
        <v>29</v>
      </c>
      <c r="G273" t="s">
        <v>33</v>
      </c>
      <c r="H273">
        <v>555</v>
      </c>
      <c r="I273">
        <v>551</v>
      </c>
      <c r="J273">
        <v>4</v>
      </c>
      <c r="K273">
        <v>22</v>
      </c>
      <c r="L273">
        <v>23.37</v>
      </c>
      <c r="M273">
        <v>216.14</v>
      </c>
      <c r="N273">
        <f>_xlfn.XLOOKUP(Table13[[#This Row],[Production_Order_ID]],[1]Sheet1!$A$2:$A$391,[1]Sheet1!$F$2:$F$391,"No Match")</f>
        <v>540</v>
      </c>
      <c r="O273" s="3">
        <f>Table13[[#This Row],[Good_Qty]]/Table13[[#This Row],[Planned_Production]]</f>
        <v>1.0203703703703704</v>
      </c>
      <c r="P273" t="str">
        <f>IF(Table13[[#This Row],[Good_Qty]]&gt;=Table13[[#This Row],[Planned_Production]],"Met","Not Met")</f>
        <v>Met</v>
      </c>
      <c r="Q273">
        <f>Table13[[#This Row],[Good_Qty]]-Table13[[#This Row],[Planned_Production]]</f>
        <v>11</v>
      </c>
      <c r="R273" s="3">
        <f>IF(Table13[[#This Row],[Actual_Qty]]=0,0,Table13[[#This Row],[Reject_Qty]]/Table13[[#This Row],[Actual_Qty]])</f>
        <v>7.2072072072072073E-3</v>
      </c>
      <c r="S273">
        <v>439.68</v>
      </c>
      <c r="T273">
        <f>(Table13[[#This Row],[Ideal_Cycle_Time_sec]]*Table13[[#This Row],[Actual_Qty]])/(Table13[[#This Row],[Operational_Time_min]]*60)</f>
        <v>0.46283660844250363</v>
      </c>
      <c r="U273">
        <f>Table13[[#This Row],[Good_Qty]]/Table13[[#This Row],[Actual_Qty]]</f>
        <v>0.99279279279279276</v>
      </c>
      <c r="V273" t="str">
        <f>IF(OR(Table13[[#This Row],[Performance_%]]&gt;=1,Table13[[#This Row],[Performance_%]]&lt;=0),"Error","OK")</f>
        <v>OK</v>
      </c>
      <c r="W273" t="str">
        <f>IF(OR(Table13[[#This Row],[Quality_%]]&gt;=1,Table13[[#This Row],[Quality_%]]&lt;=0),"Error","OK")</f>
        <v>OK</v>
      </c>
      <c r="X273">
        <f>Table13[[#This Row],[Performance_%]]*Table13[[#This Row],[Quality_%]]*[2]Availability_KPI!K273</f>
        <v>0.44896296296296295</v>
      </c>
      <c r="Y273" t="str">
        <f>IF(OR(Table13[[#This Row],[OEE_%]]&gt;1,Table13[[#This Row],[OEE_%]]&lt;0),"Error","OK")</f>
        <v>OK</v>
      </c>
    </row>
    <row r="274" spans="1:25" x14ac:dyDescent="0.2">
      <c r="A274" t="s">
        <v>357</v>
      </c>
      <c r="B274" t="s">
        <v>358</v>
      </c>
      <c r="C274" s="2">
        <v>46252</v>
      </c>
      <c r="D274" t="s">
        <v>53</v>
      </c>
      <c r="E274" t="s">
        <v>28</v>
      </c>
      <c r="F274" t="s">
        <v>54</v>
      </c>
      <c r="G274" t="s">
        <v>47</v>
      </c>
      <c r="H274">
        <v>694</v>
      </c>
      <c r="I274">
        <v>690</v>
      </c>
      <c r="J274">
        <v>4</v>
      </c>
      <c r="K274">
        <v>18</v>
      </c>
      <c r="L274">
        <v>18.45</v>
      </c>
      <c r="M274">
        <v>213.36</v>
      </c>
      <c r="N274">
        <f>_xlfn.XLOOKUP(Table13[[#This Row],[Production_Order_ID]],[1]Sheet1!$A$2:$A$391,[1]Sheet1!$F$2:$F$391,"No Match")</f>
        <v>400</v>
      </c>
      <c r="O274" s="3">
        <f>Table13[[#This Row],[Good_Qty]]/Table13[[#This Row],[Planned_Production]]</f>
        <v>1.7250000000000001</v>
      </c>
      <c r="P274" t="str">
        <f>IF(Table13[[#This Row],[Good_Qty]]&gt;=Table13[[#This Row],[Planned_Production]],"Met","Not Met")</f>
        <v>Met</v>
      </c>
      <c r="Q274">
        <f>Table13[[#This Row],[Good_Qty]]-Table13[[#This Row],[Planned_Production]]</f>
        <v>290</v>
      </c>
      <c r="R274" s="3">
        <f>IF(Table13[[#This Row],[Actual_Qty]]=0,0,Table13[[#This Row],[Reject_Qty]]/Table13[[#This Row],[Actual_Qty]])</f>
        <v>5.763688760806916E-3</v>
      </c>
      <c r="S274">
        <v>438.26</v>
      </c>
      <c r="T274">
        <f>(Table13[[#This Row],[Ideal_Cycle_Time_sec]]*Table13[[#This Row],[Actual_Qty]])/(Table13[[#This Row],[Operational_Time_min]]*60)</f>
        <v>0.47506046638981431</v>
      </c>
      <c r="U274">
        <f>Table13[[#This Row],[Good_Qty]]/Table13[[#This Row],[Actual_Qty]]</f>
        <v>0.99423631123919309</v>
      </c>
      <c r="V274" t="str">
        <f>IF(OR(Table13[[#This Row],[Performance_%]]&gt;=1,Table13[[#This Row],[Performance_%]]&lt;=0),"Error","OK")</f>
        <v>OK</v>
      </c>
      <c r="W274" t="str">
        <f>IF(OR(Table13[[#This Row],[Quality_%]]&gt;=1,Table13[[#This Row],[Quality_%]]&lt;=0),"Error","OK")</f>
        <v>OK</v>
      </c>
      <c r="X274">
        <f>Table13[[#This Row],[Performance_%]]*Table13[[#This Row],[Quality_%]]*[2]Availability_KPI!K274</f>
        <v>0.46</v>
      </c>
      <c r="Y274" t="str">
        <f>IF(OR(Table13[[#This Row],[OEE_%]]&gt;1,Table13[[#This Row],[OEE_%]]&lt;0),"Error","OK")</f>
        <v>OK</v>
      </c>
    </row>
    <row r="275" spans="1:25" x14ac:dyDescent="0.2">
      <c r="A275" t="s">
        <v>359</v>
      </c>
      <c r="B275" t="s">
        <v>358</v>
      </c>
      <c r="C275" s="2">
        <v>46252</v>
      </c>
      <c r="D275" t="s">
        <v>53</v>
      </c>
      <c r="E275" t="s">
        <v>32</v>
      </c>
      <c r="F275" t="s">
        <v>54</v>
      </c>
      <c r="G275" t="s">
        <v>44</v>
      </c>
      <c r="H275">
        <v>675</v>
      </c>
      <c r="I275">
        <v>670</v>
      </c>
      <c r="J275">
        <v>5</v>
      </c>
      <c r="K275">
        <v>20</v>
      </c>
      <c r="L275">
        <v>20.95</v>
      </c>
      <c r="M275">
        <v>235.64</v>
      </c>
      <c r="N275">
        <f>_xlfn.XLOOKUP(Table13[[#This Row],[Production_Order_ID]],[1]Sheet1!$A$2:$A$391,[1]Sheet1!$F$2:$F$391,"No Match")</f>
        <v>400</v>
      </c>
      <c r="O275" s="3">
        <f>Table13[[#This Row],[Good_Qty]]/Table13[[#This Row],[Planned_Production]]</f>
        <v>1.675</v>
      </c>
      <c r="P275" t="str">
        <f>IF(Table13[[#This Row],[Good_Qty]]&gt;=Table13[[#This Row],[Planned_Production]],"Met","Not Met")</f>
        <v>Met</v>
      </c>
      <c r="Q275">
        <f>Table13[[#This Row],[Good_Qty]]-Table13[[#This Row],[Planned_Production]]</f>
        <v>270</v>
      </c>
      <c r="R275" s="3">
        <f>IF(Table13[[#This Row],[Actual_Qty]]=0,0,Table13[[#This Row],[Reject_Qty]]/Table13[[#This Row],[Actual_Qty]])</f>
        <v>7.4074074074074077E-3</v>
      </c>
      <c r="S275">
        <v>436.96</v>
      </c>
      <c r="T275">
        <f>(Table13[[#This Row],[Ideal_Cycle_Time_sec]]*Table13[[#This Row],[Actual_Qty]])/(Table13[[#This Row],[Operational_Time_min]]*60)</f>
        <v>0.51492127425851342</v>
      </c>
      <c r="U275">
        <f>Table13[[#This Row],[Good_Qty]]/Table13[[#This Row],[Actual_Qty]]</f>
        <v>0.99259259259259258</v>
      </c>
      <c r="V275" t="str">
        <f>IF(OR(Table13[[#This Row],[Performance_%]]&gt;=1,Table13[[#This Row],[Performance_%]]&lt;=0),"Error","OK")</f>
        <v>OK</v>
      </c>
      <c r="W275" t="str">
        <f>IF(OR(Table13[[#This Row],[Quality_%]]&gt;=1,Table13[[#This Row],[Quality_%]]&lt;=0),"Error","OK")</f>
        <v>OK</v>
      </c>
      <c r="X275">
        <f>Table13[[#This Row],[Performance_%]]*Table13[[#This Row],[Quality_%]]*[2]Availability_KPI!K275</f>
        <v>0.49629629629629629</v>
      </c>
      <c r="Y275" t="str">
        <f>IF(OR(Table13[[#This Row],[OEE_%]]&gt;1,Table13[[#This Row],[OEE_%]]&lt;0),"Error","OK")</f>
        <v>OK</v>
      </c>
    </row>
    <row r="276" spans="1:25" x14ac:dyDescent="0.2">
      <c r="A276" t="s">
        <v>360</v>
      </c>
      <c r="B276" t="s">
        <v>358</v>
      </c>
      <c r="C276" s="2">
        <v>46252</v>
      </c>
      <c r="D276" t="s">
        <v>53</v>
      </c>
      <c r="E276" t="s">
        <v>35</v>
      </c>
      <c r="F276" t="s">
        <v>54</v>
      </c>
      <c r="G276" t="s">
        <v>30</v>
      </c>
      <c r="H276">
        <v>701</v>
      </c>
      <c r="I276">
        <v>696</v>
      </c>
      <c r="J276">
        <v>5</v>
      </c>
      <c r="K276">
        <v>22</v>
      </c>
      <c r="L276">
        <v>23.82</v>
      </c>
      <c r="M276">
        <v>278.29000000000002</v>
      </c>
      <c r="N276">
        <f>_xlfn.XLOOKUP(Table13[[#This Row],[Production_Order_ID]],[1]Sheet1!$A$2:$A$391,[1]Sheet1!$F$2:$F$391,"No Match")</f>
        <v>400</v>
      </c>
      <c r="O276" s="3">
        <f>Table13[[#This Row],[Good_Qty]]/Table13[[#This Row],[Planned_Production]]</f>
        <v>1.74</v>
      </c>
      <c r="P276" t="str">
        <f>IF(Table13[[#This Row],[Good_Qty]]&gt;=Table13[[#This Row],[Planned_Production]],"Met","Not Met")</f>
        <v>Met</v>
      </c>
      <c r="Q276">
        <f>Table13[[#This Row],[Good_Qty]]-Table13[[#This Row],[Planned_Production]]</f>
        <v>296</v>
      </c>
      <c r="R276" s="3">
        <f>IF(Table13[[#This Row],[Actual_Qty]]=0,0,Table13[[#This Row],[Reject_Qty]]/Table13[[#This Row],[Actual_Qty]])</f>
        <v>7.1326676176890159E-3</v>
      </c>
      <c r="S276">
        <v>431.55</v>
      </c>
      <c r="T276">
        <f>(Table13[[#This Row],[Ideal_Cycle_Time_sec]]*Table13[[#This Row],[Actual_Qty]])/(Table13[[#This Row],[Operational_Time_min]]*60)</f>
        <v>0.59560498976557374</v>
      </c>
      <c r="U276">
        <f>Table13[[#This Row],[Good_Qty]]/Table13[[#This Row],[Actual_Qty]]</f>
        <v>0.99286733238231095</v>
      </c>
      <c r="V276" t="str">
        <f>IF(OR(Table13[[#This Row],[Performance_%]]&gt;=1,Table13[[#This Row],[Performance_%]]&lt;=0),"Error","OK")</f>
        <v>OK</v>
      </c>
      <c r="W276" t="str">
        <f>IF(OR(Table13[[#This Row],[Quality_%]]&gt;=1,Table13[[#This Row],[Quality_%]]&lt;=0),"Error","OK")</f>
        <v>OK</v>
      </c>
      <c r="X276">
        <f>Table13[[#This Row],[Performance_%]]*Table13[[#This Row],[Quality_%]]*[2]Availability_KPI!K276</f>
        <v>0.56711111111111112</v>
      </c>
      <c r="Y276" t="str">
        <f>IF(OR(Table13[[#This Row],[OEE_%]]&gt;1,Table13[[#This Row],[OEE_%]]&lt;0),"Error","OK")</f>
        <v>OK</v>
      </c>
    </row>
    <row r="277" spans="1:25" x14ac:dyDescent="0.2">
      <c r="A277" t="s">
        <v>361</v>
      </c>
      <c r="B277" t="s">
        <v>358</v>
      </c>
      <c r="C277" s="2">
        <v>46252</v>
      </c>
      <c r="D277" t="s">
        <v>53</v>
      </c>
      <c r="E277" t="s">
        <v>38</v>
      </c>
      <c r="F277" t="s">
        <v>54</v>
      </c>
      <c r="G277" t="s">
        <v>57</v>
      </c>
      <c r="H277">
        <v>694</v>
      </c>
      <c r="I277">
        <v>690</v>
      </c>
      <c r="J277">
        <v>4</v>
      </c>
      <c r="K277">
        <v>20</v>
      </c>
      <c r="L277">
        <v>20.83</v>
      </c>
      <c r="M277">
        <v>240.97</v>
      </c>
      <c r="N277">
        <f>_xlfn.XLOOKUP(Table13[[#This Row],[Production_Order_ID]],[1]Sheet1!$A$2:$A$391,[1]Sheet1!$F$2:$F$391,"No Match")</f>
        <v>400</v>
      </c>
      <c r="O277" s="3">
        <f>Table13[[#This Row],[Good_Qty]]/Table13[[#This Row],[Planned_Production]]</f>
        <v>1.7250000000000001</v>
      </c>
      <c r="P277" t="str">
        <f>IF(Table13[[#This Row],[Good_Qty]]&gt;=Table13[[#This Row],[Planned_Production]],"Met","Not Met")</f>
        <v>Met</v>
      </c>
      <c r="Q277">
        <f>Table13[[#This Row],[Good_Qty]]-Table13[[#This Row],[Planned_Production]]</f>
        <v>290</v>
      </c>
      <c r="R277" s="3">
        <f>IF(Table13[[#This Row],[Actual_Qty]]=0,0,Table13[[#This Row],[Reject_Qty]]/Table13[[#This Row],[Actual_Qty]])</f>
        <v>5.763688760806916E-3</v>
      </c>
      <c r="S277">
        <v>436.19</v>
      </c>
      <c r="T277">
        <f>(Table13[[#This Row],[Ideal_Cycle_Time_sec]]*Table13[[#This Row],[Actual_Qty]])/(Table13[[#This Row],[Operational_Time_min]]*60)</f>
        <v>0.53034992396279901</v>
      </c>
      <c r="U277">
        <f>Table13[[#This Row],[Good_Qty]]/Table13[[#This Row],[Actual_Qty]]</f>
        <v>0.99423631123919309</v>
      </c>
      <c r="V277" t="str">
        <f>IF(OR(Table13[[#This Row],[Performance_%]]&gt;=1,Table13[[#This Row],[Performance_%]]&lt;=0),"Error","OK")</f>
        <v>OK</v>
      </c>
      <c r="W277" t="str">
        <f>IF(OR(Table13[[#This Row],[Quality_%]]&gt;=1,Table13[[#This Row],[Quality_%]]&lt;=0),"Error","OK")</f>
        <v>OK</v>
      </c>
      <c r="X277">
        <f>Table13[[#This Row],[Performance_%]]*Table13[[#This Row],[Quality_%]]*[2]Availability_KPI!K277</f>
        <v>0.51111111111111107</v>
      </c>
      <c r="Y277" t="str">
        <f>IF(OR(Table13[[#This Row],[OEE_%]]&gt;1,Table13[[#This Row],[OEE_%]]&lt;0),"Error","OK")</f>
        <v>OK</v>
      </c>
    </row>
    <row r="278" spans="1:25" x14ac:dyDescent="0.2">
      <c r="A278" t="s">
        <v>362</v>
      </c>
      <c r="B278" t="s">
        <v>358</v>
      </c>
      <c r="C278" s="2">
        <v>46252</v>
      </c>
      <c r="D278" t="s">
        <v>53</v>
      </c>
      <c r="E278" t="s">
        <v>41</v>
      </c>
      <c r="F278" t="s">
        <v>54</v>
      </c>
      <c r="G278" t="s">
        <v>39</v>
      </c>
      <c r="H278">
        <v>696</v>
      </c>
      <c r="I278">
        <v>690</v>
      </c>
      <c r="J278">
        <v>6</v>
      </c>
      <c r="K278">
        <v>18</v>
      </c>
      <c r="L278">
        <v>19.53</v>
      </c>
      <c r="M278">
        <v>226.59</v>
      </c>
      <c r="N278">
        <f>_xlfn.XLOOKUP(Table13[[#This Row],[Production_Order_ID]],[1]Sheet1!$A$2:$A$391,[1]Sheet1!$F$2:$F$391,"No Match")</f>
        <v>400</v>
      </c>
      <c r="O278" s="3">
        <f>Table13[[#This Row],[Good_Qty]]/Table13[[#This Row],[Planned_Production]]</f>
        <v>1.7250000000000001</v>
      </c>
      <c r="P278" t="str">
        <f>IF(Table13[[#This Row],[Good_Qty]]&gt;=Table13[[#This Row],[Planned_Production]],"Met","Not Met")</f>
        <v>Met</v>
      </c>
      <c r="Q278">
        <f>Table13[[#This Row],[Good_Qty]]-Table13[[#This Row],[Planned_Production]]</f>
        <v>290</v>
      </c>
      <c r="R278" s="3">
        <f>IF(Table13[[#This Row],[Actual_Qty]]=0,0,Table13[[#This Row],[Reject_Qty]]/Table13[[#This Row],[Actual_Qty]])</f>
        <v>8.6206896551724137E-3</v>
      </c>
      <c r="S278">
        <v>433.67</v>
      </c>
      <c r="T278">
        <f>(Table13[[#This Row],[Ideal_Cycle_Time_sec]]*Table13[[#This Row],[Actual_Qty]])/(Table13[[#This Row],[Operational_Time_min]]*60)</f>
        <v>0.48147208707081418</v>
      </c>
      <c r="U278">
        <f>Table13[[#This Row],[Good_Qty]]/Table13[[#This Row],[Actual_Qty]]</f>
        <v>0.99137931034482762</v>
      </c>
      <c r="V278" t="str">
        <f>IF(OR(Table13[[#This Row],[Performance_%]]&gt;=1,Table13[[#This Row],[Performance_%]]&lt;=0),"Error","OK")</f>
        <v>OK</v>
      </c>
      <c r="W278" t="str">
        <f>IF(OR(Table13[[#This Row],[Quality_%]]&gt;=1,Table13[[#This Row],[Quality_%]]&lt;=0),"Error","OK")</f>
        <v>OK</v>
      </c>
      <c r="X278">
        <f>Table13[[#This Row],[Performance_%]]*Table13[[#This Row],[Quality_%]]*[2]Availability_KPI!K278</f>
        <v>0.46</v>
      </c>
      <c r="Y278" t="str">
        <f>IF(OR(Table13[[#This Row],[OEE_%]]&gt;1,Table13[[#This Row],[OEE_%]]&lt;0),"Error","OK")</f>
        <v>OK</v>
      </c>
    </row>
    <row r="279" spans="1:25" x14ac:dyDescent="0.2">
      <c r="A279" t="s">
        <v>363</v>
      </c>
      <c r="B279" t="s">
        <v>358</v>
      </c>
      <c r="C279" s="2">
        <v>46252</v>
      </c>
      <c r="D279" t="s">
        <v>53</v>
      </c>
      <c r="E279" t="s">
        <v>43</v>
      </c>
      <c r="F279" t="s">
        <v>54</v>
      </c>
      <c r="G279" t="s">
        <v>50</v>
      </c>
      <c r="H279">
        <v>722</v>
      </c>
      <c r="I279">
        <v>712</v>
      </c>
      <c r="J279">
        <v>10</v>
      </c>
      <c r="K279">
        <v>32</v>
      </c>
      <c r="L279">
        <v>32.96</v>
      </c>
      <c r="M279">
        <v>396.6</v>
      </c>
      <c r="N279">
        <f>_xlfn.XLOOKUP(Table13[[#This Row],[Production_Order_ID]],[1]Sheet1!$A$2:$A$391,[1]Sheet1!$F$2:$F$391,"No Match")</f>
        <v>400</v>
      </c>
      <c r="O279" s="3">
        <f>Table13[[#This Row],[Good_Qty]]/Table13[[#This Row],[Planned_Production]]</f>
        <v>1.78</v>
      </c>
      <c r="P279" t="str">
        <f>IF(Table13[[#This Row],[Good_Qty]]&gt;=Table13[[#This Row],[Planned_Production]],"Met","Not Met")</f>
        <v>Met</v>
      </c>
      <c r="Q279">
        <f>Table13[[#This Row],[Good_Qty]]-Table13[[#This Row],[Planned_Production]]</f>
        <v>312</v>
      </c>
      <c r="R279" s="3">
        <f>IF(Table13[[#This Row],[Actual_Qty]]=0,0,Table13[[#This Row],[Reject_Qty]]/Table13[[#This Row],[Actual_Qty]])</f>
        <v>1.3850415512465374E-2</v>
      </c>
      <c r="S279">
        <v>404.58</v>
      </c>
      <c r="T279">
        <f>(Table13[[#This Row],[Ideal_Cycle_Time_sec]]*Table13[[#This Row],[Actual_Qty]])/(Table13[[#This Row],[Operational_Time_min]]*60)</f>
        <v>0.95176891261719976</v>
      </c>
      <c r="U279">
        <f>Table13[[#This Row],[Good_Qty]]/Table13[[#This Row],[Actual_Qty]]</f>
        <v>0.98614958448753465</v>
      </c>
      <c r="V279" t="str">
        <f>IF(OR(Table13[[#This Row],[Performance_%]]&gt;=1,Table13[[#This Row],[Performance_%]]&lt;=0),"Error","OK")</f>
        <v>OK</v>
      </c>
      <c r="W279" t="str">
        <f>IF(OR(Table13[[#This Row],[Quality_%]]&gt;=1,Table13[[#This Row],[Quality_%]]&lt;=0),"Error","OK")</f>
        <v>OK</v>
      </c>
      <c r="X279">
        <f>Table13[[#This Row],[Performance_%]]*Table13[[#This Row],[Quality_%]]*[2]Availability_KPI!K279</f>
        <v>0.84385185185185185</v>
      </c>
      <c r="Y279" t="str">
        <f>IF(OR(Table13[[#This Row],[OEE_%]]&gt;1,Table13[[#This Row],[OEE_%]]&lt;0),"Error","OK")</f>
        <v>OK</v>
      </c>
    </row>
    <row r="280" spans="1:25" x14ac:dyDescent="0.2">
      <c r="A280" t="s">
        <v>364</v>
      </c>
      <c r="B280" t="s">
        <v>358</v>
      </c>
      <c r="C280" s="2">
        <v>46252</v>
      </c>
      <c r="D280" t="s">
        <v>53</v>
      </c>
      <c r="E280" t="s">
        <v>46</v>
      </c>
      <c r="F280" t="s">
        <v>54</v>
      </c>
      <c r="G280" t="s">
        <v>36</v>
      </c>
      <c r="H280">
        <v>714</v>
      </c>
      <c r="I280">
        <v>708</v>
      </c>
      <c r="J280">
        <v>6</v>
      </c>
      <c r="K280">
        <v>25</v>
      </c>
      <c r="L280">
        <v>26.51</v>
      </c>
      <c r="M280">
        <v>315.5</v>
      </c>
      <c r="N280">
        <f>_xlfn.XLOOKUP(Table13[[#This Row],[Production_Order_ID]],[1]Sheet1!$A$2:$A$391,[1]Sheet1!$F$2:$F$391,"No Match")</f>
        <v>400</v>
      </c>
      <c r="O280" s="3">
        <f>Table13[[#This Row],[Good_Qty]]/Table13[[#This Row],[Planned_Production]]</f>
        <v>1.77</v>
      </c>
      <c r="P280" t="str">
        <f>IF(Table13[[#This Row],[Good_Qty]]&gt;=Table13[[#This Row],[Planned_Production]],"Met","Not Met")</f>
        <v>Met</v>
      </c>
      <c r="Q280">
        <f>Table13[[#This Row],[Good_Qty]]-Table13[[#This Row],[Planned_Production]]</f>
        <v>308</v>
      </c>
      <c r="R280" s="3">
        <f>IF(Table13[[#This Row],[Actual_Qty]]=0,0,Table13[[#This Row],[Reject_Qty]]/Table13[[#This Row],[Actual_Qty]])</f>
        <v>8.4033613445378148E-3</v>
      </c>
      <c r="S280">
        <v>421.57</v>
      </c>
      <c r="T280">
        <f>(Table13[[#This Row],[Ideal_Cycle_Time_sec]]*Table13[[#This Row],[Actual_Qty]])/(Table13[[#This Row],[Operational_Time_min]]*60)</f>
        <v>0.7056953768057499</v>
      </c>
      <c r="U280">
        <f>Table13[[#This Row],[Good_Qty]]/Table13[[#This Row],[Actual_Qty]]</f>
        <v>0.99159663865546221</v>
      </c>
      <c r="V280" t="str">
        <f>IF(OR(Table13[[#This Row],[Performance_%]]&gt;=1,Table13[[#This Row],[Performance_%]]&lt;=0),"Error","OK")</f>
        <v>OK</v>
      </c>
      <c r="W280" t="str">
        <f>IF(OR(Table13[[#This Row],[Quality_%]]&gt;=1,Table13[[#This Row],[Quality_%]]&lt;=0),"Error","OK")</f>
        <v>OK</v>
      </c>
      <c r="X280">
        <f>Table13[[#This Row],[Performance_%]]*Table13[[#This Row],[Quality_%]]*[2]Availability_KPI!K280</f>
        <v>0.65555555555555556</v>
      </c>
      <c r="Y280" t="str">
        <f>IF(OR(Table13[[#This Row],[OEE_%]]&gt;1,Table13[[#This Row],[OEE_%]]&lt;0),"Error","OK")</f>
        <v>OK</v>
      </c>
    </row>
    <row r="281" spans="1:25" x14ac:dyDescent="0.2">
      <c r="A281" t="s">
        <v>365</v>
      </c>
      <c r="B281" t="s">
        <v>358</v>
      </c>
      <c r="C281" s="2">
        <v>46252</v>
      </c>
      <c r="D281" t="s">
        <v>53</v>
      </c>
      <c r="E281" t="s">
        <v>49</v>
      </c>
      <c r="F281" t="s">
        <v>54</v>
      </c>
      <c r="G281" t="s">
        <v>33</v>
      </c>
      <c r="H281">
        <v>690</v>
      </c>
      <c r="I281">
        <v>687</v>
      </c>
      <c r="J281">
        <v>3</v>
      </c>
      <c r="K281">
        <v>20</v>
      </c>
      <c r="L281">
        <v>21.46</v>
      </c>
      <c r="M281">
        <v>246.79</v>
      </c>
      <c r="N281">
        <f>_xlfn.XLOOKUP(Table13[[#This Row],[Production_Order_ID]],[1]Sheet1!$A$2:$A$391,[1]Sheet1!$F$2:$F$391,"No Match")</f>
        <v>400</v>
      </c>
      <c r="O281" s="3">
        <f>Table13[[#This Row],[Good_Qty]]/Table13[[#This Row],[Planned_Production]]</f>
        <v>1.7175</v>
      </c>
      <c r="P281" t="str">
        <f>IF(Table13[[#This Row],[Good_Qty]]&gt;=Table13[[#This Row],[Planned_Production]],"Met","Not Met")</f>
        <v>Met</v>
      </c>
      <c r="Q281">
        <f>Table13[[#This Row],[Good_Qty]]-Table13[[#This Row],[Planned_Production]]</f>
        <v>287</v>
      </c>
      <c r="R281" s="3">
        <f>IF(Table13[[#This Row],[Actual_Qty]]=0,0,Table13[[#This Row],[Reject_Qty]]/Table13[[#This Row],[Actual_Qty]])</f>
        <v>4.3478260869565218E-3</v>
      </c>
      <c r="S281">
        <v>440.67</v>
      </c>
      <c r="T281">
        <f>(Table13[[#This Row],[Ideal_Cycle_Time_sec]]*Table13[[#This Row],[Actual_Qty]])/(Table13[[#This Row],[Operational_Time_min]]*60)</f>
        <v>0.52193251185694511</v>
      </c>
      <c r="U281">
        <f>Table13[[#This Row],[Good_Qty]]/Table13[[#This Row],[Actual_Qty]]</f>
        <v>0.9956521739130435</v>
      </c>
      <c r="V281" t="str">
        <f>IF(OR(Table13[[#This Row],[Performance_%]]&gt;=1,Table13[[#This Row],[Performance_%]]&lt;=0),"Error","OK")</f>
        <v>OK</v>
      </c>
      <c r="W281" t="str">
        <f>IF(OR(Table13[[#This Row],[Quality_%]]&gt;=1,Table13[[#This Row],[Quality_%]]&lt;=0),"Error","OK")</f>
        <v>OK</v>
      </c>
      <c r="X281">
        <f>Table13[[#This Row],[Performance_%]]*Table13[[#This Row],[Quality_%]]*[2]Availability_KPI!K281</f>
        <v>0.50888888888888895</v>
      </c>
      <c r="Y281" t="str">
        <f>IF(OR(Table13[[#This Row],[OEE_%]]&gt;1,Table13[[#This Row],[OEE_%]]&lt;0),"Error","OK")</f>
        <v>OK</v>
      </c>
    </row>
    <row r="282" spans="1:25" x14ac:dyDescent="0.2">
      <c r="A282" t="s">
        <v>366</v>
      </c>
      <c r="B282" t="s">
        <v>367</v>
      </c>
      <c r="C282" s="2">
        <v>46252</v>
      </c>
      <c r="D282" t="s">
        <v>67</v>
      </c>
      <c r="E282" t="s">
        <v>28</v>
      </c>
      <c r="F282" t="s">
        <v>54</v>
      </c>
      <c r="G282" t="s">
        <v>61</v>
      </c>
      <c r="H282">
        <v>709</v>
      </c>
      <c r="I282">
        <v>704</v>
      </c>
      <c r="J282">
        <v>5</v>
      </c>
      <c r="K282">
        <v>18</v>
      </c>
      <c r="L282">
        <v>18.809999999999999</v>
      </c>
      <c r="M282">
        <v>222.28</v>
      </c>
      <c r="N282">
        <f>_xlfn.XLOOKUP(Table13[[#This Row],[Production_Order_ID]],[1]Sheet1!$A$2:$A$391,[1]Sheet1!$F$2:$F$391,"No Match")</f>
        <v>420</v>
      </c>
      <c r="O282" s="3">
        <f>Table13[[#This Row],[Good_Qty]]/Table13[[#This Row],[Planned_Production]]</f>
        <v>1.6761904761904762</v>
      </c>
      <c r="P282" t="str">
        <f>IF(Table13[[#This Row],[Good_Qty]]&gt;=Table13[[#This Row],[Planned_Production]],"Met","Not Met")</f>
        <v>Met</v>
      </c>
      <c r="Q282">
        <f>Table13[[#This Row],[Good_Qty]]-Table13[[#This Row],[Planned_Production]]</f>
        <v>284</v>
      </c>
      <c r="R282" s="3">
        <f>IF(Table13[[#This Row],[Actual_Qty]]=0,0,Table13[[#This Row],[Reject_Qty]]/Table13[[#This Row],[Actual_Qty]])</f>
        <v>7.052186177715092E-3</v>
      </c>
      <c r="S282">
        <v>440.13</v>
      </c>
      <c r="T282">
        <f>(Table13[[#This Row],[Ideal_Cycle_Time_sec]]*Table13[[#This Row],[Actual_Qty]])/(Table13[[#This Row],[Operational_Time_min]]*60)</f>
        <v>0.48326630768182127</v>
      </c>
      <c r="U282">
        <f>Table13[[#This Row],[Good_Qty]]/Table13[[#This Row],[Actual_Qty]]</f>
        <v>0.99294781382228492</v>
      </c>
      <c r="V282" t="str">
        <f>IF(OR(Table13[[#This Row],[Performance_%]]&gt;=1,Table13[[#This Row],[Performance_%]]&lt;=0),"Error","OK")</f>
        <v>OK</v>
      </c>
      <c r="W282" t="str">
        <f>IF(OR(Table13[[#This Row],[Quality_%]]&gt;=1,Table13[[#This Row],[Quality_%]]&lt;=0),"Error","OK")</f>
        <v>OK</v>
      </c>
      <c r="X282">
        <f>Table13[[#This Row],[Performance_%]]*Table13[[#This Row],[Quality_%]]*[2]Availability_KPI!K282</f>
        <v>0.46933333333333332</v>
      </c>
      <c r="Y282" t="str">
        <f>IF(OR(Table13[[#This Row],[OEE_%]]&gt;1,Table13[[#This Row],[OEE_%]]&lt;0),"Error","OK")</f>
        <v>OK</v>
      </c>
    </row>
    <row r="283" spans="1:25" x14ac:dyDescent="0.2">
      <c r="A283" t="s">
        <v>368</v>
      </c>
      <c r="B283" t="s">
        <v>367</v>
      </c>
      <c r="C283" s="2">
        <v>46252</v>
      </c>
      <c r="D283" t="s">
        <v>67</v>
      </c>
      <c r="E283" t="s">
        <v>32</v>
      </c>
      <c r="F283" t="s">
        <v>54</v>
      </c>
      <c r="G283" t="s">
        <v>57</v>
      </c>
      <c r="H283">
        <v>725</v>
      </c>
      <c r="I283">
        <v>721</v>
      </c>
      <c r="J283">
        <v>4</v>
      </c>
      <c r="K283">
        <v>20</v>
      </c>
      <c r="L283">
        <v>21.03</v>
      </c>
      <c r="M283">
        <v>254.05</v>
      </c>
      <c r="N283">
        <f>_xlfn.XLOOKUP(Table13[[#This Row],[Production_Order_ID]],[1]Sheet1!$A$2:$A$391,[1]Sheet1!$F$2:$F$391,"No Match")</f>
        <v>420</v>
      </c>
      <c r="O283" s="3">
        <f>Table13[[#This Row],[Good_Qty]]/Table13[[#This Row],[Planned_Production]]</f>
        <v>1.7166666666666666</v>
      </c>
      <c r="P283" t="str">
        <f>IF(Table13[[#This Row],[Good_Qty]]&gt;=Table13[[#This Row],[Planned_Production]],"Met","Not Met")</f>
        <v>Met</v>
      </c>
      <c r="Q283">
        <f>Table13[[#This Row],[Good_Qty]]-Table13[[#This Row],[Planned_Production]]</f>
        <v>301</v>
      </c>
      <c r="R283" s="3">
        <f>IF(Table13[[#This Row],[Actual_Qty]]=0,0,Table13[[#This Row],[Reject_Qty]]/Table13[[#This Row],[Actual_Qty]])</f>
        <v>5.5172413793103444E-3</v>
      </c>
      <c r="S283">
        <v>437.8</v>
      </c>
      <c r="T283">
        <f>(Table13[[#This Row],[Ideal_Cycle_Time_sec]]*Table13[[#This Row],[Actual_Qty]])/(Table13[[#This Row],[Operational_Time_min]]*60)</f>
        <v>0.55200243642454694</v>
      </c>
      <c r="U283">
        <f>Table13[[#This Row],[Good_Qty]]/Table13[[#This Row],[Actual_Qty]]</f>
        <v>0.99448275862068969</v>
      </c>
      <c r="V283" t="str">
        <f>IF(OR(Table13[[#This Row],[Performance_%]]&gt;=1,Table13[[#This Row],[Performance_%]]&lt;=0),"Error","OK")</f>
        <v>OK</v>
      </c>
      <c r="W283" t="str">
        <f>IF(OR(Table13[[#This Row],[Quality_%]]&gt;=1,Table13[[#This Row],[Quality_%]]&lt;=0),"Error","OK")</f>
        <v>OK</v>
      </c>
      <c r="X283">
        <f>Table13[[#This Row],[Performance_%]]*Table13[[#This Row],[Quality_%]]*[2]Availability_KPI!K283</f>
        <v>0.53407407407407403</v>
      </c>
      <c r="Y283" t="str">
        <f>IF(OR(Table13[[#This Row],[OEE_%]]&gt;1,Table13[[#This Row],[OEE_%]]&lt;0),"Error","OK")</f>
        <v>OK</v>
      </c>
    </row>
    <row r="284" spans="1:25" x14ac:dyDescent="0.2">
      <c r="A284" t="s">
        <v>369</v>
      </c>
      <c r="B284" t="s">
        <v>367</v>
      </c>
      <c r="C284" s="2">
        <v>46252</v>
      </c>
      <c r="D284" t="s">
        <v>67</v>
      </c>
      <c r="E284" t="s">
        <v>35</v>
      </c>
      <c r="F284" t="s">
        <v>54</v>
      </c>
      <c r="G284" t="s">
        <v>44</v>
      </c>
      <c r="H284">
        <v>723</v>
      </c>
      <c r="I284">
        <v>718</v>
      </c>
      <c r="J284">
        <v>5</v>
      </c>
      <c r="K284">
        <v>22</v>
      </c>
      <c r="L284">
        <v>23.81</v>
      </c>
      <c r="M284">
        <v>286.89</v>
      </c>
      <c r="N284">
        <f>_xlfn.XLOOKUP(Table13[[#This Row],[Production_Order_ID]],[1]Sheet1!$A$2:$A$391,[1]Sheet1!$F$2:$F$391,"No Match")</f>
        <v>420</v>
      </c>
      <c r="O284" s="3">
        <f>Table13[[#This Row],[Good_Qty]]/Table13[[#This Row],[Planned_Production]]</f>
        <v>1.7095238095238094</v>
      </c>
      <c r="P284" t="str">
        <f>IF(Table13[[#This Row],[Good_Qty]]&gt;=Table13[[#This Row],[Planned_Production]],"Met","Not Met")</f>
        <v>Met</v>
      </c>
      <c r="Q284">
        <f>Table13[[#This Row],[Good_Qty]]-Table13[[#This Row],[Planned_Production]]</f>
        <v>298</v>
      </c>
      <c r="R284" s="3">
        <f>IF(Table13[[#This Row],[Actual_Qty]]=0,0,Table13[[#This Row],[Reject_Qty]]/Table13[[#This Row],[Actual_Qty]])</f>
        <v>6.9156293222683261E-3</v>
      </c>
      <c r="S284">
        <v>430.97</v>
      </c>
      <c r="T284">
        <f>(Table13[[#This Row],[Ideal_Cycle_Time_sec]]*Table13[[#This Row],[Actual_Qty]])/(Table13[[#This Row],[Operational_Time_min]]*60)</f>
        <v>0.61512402255377407</v>
      </c>
      <c r="U284">
        <f>Table13[[#This Row],[Good_Qty]]/Table13[[#This Row],[Actual_Qty]]</f>
        <v>0.9930843706777317</v>
      </c>
      <c r="V284" t="str">
        <f>IF(OR(Table13[[#This Row],[Performance_%]]&gt;=1,Table13[[#This Row],[Performance_%]]&lt;=0),"Error","OK")</f>
        <v>OK</v>
      </c>
      <c r="W284" t="str">
        <f>IF(OR(Table13[[#This Row],[Quality_%]]&gt;=1,Table13[[#This Row],[Quality_%]]&lt;=0),"Error","OK")</f>
        <v>OK</v>
      </c>
      <c r="X284">
        <f>Table13[[#This Row],[Performance_%]]*Table13[[#This Row],[Quality_%]]*[2]Availability_KPI!K284</f>
        <v>0.58503703703703713</v>
      </c>
      <c r="Y284" t="str">
        <f>IF(OR(Table13[[#This Row],[OEE_%]]&gt;1,Table13[[#This Row],[OEE_%]]&lt;0),"Error","OK")</f>
        <v>OK</v>
      </c>
    </row>
    <row r="285" spans="1:25" x14ac:dyDescent="0.2">
      <c r="A285" t="s">
        <v>370</v>
      </c>
      <c r="B285" t="s">
        <v>367</v>
      </c>
      <c r="C285" s="2">
        <v>46252</v>
      </c>
      <c r="D285" t="s">
        <v>67</v>
      </c>
      <c r="E285" t="s">
        <v>38</v>
      </c>
      <c r="F285" t="s">
        <v>54</v>
      </c>
      <c r="G285" t="s">
        <v>33</v>
      </c>
      <c r="H285">
        <v>715</v>
      </c>
      <c r="I285">
        <v>711</v>
      </c>
      <c r="J285">
        <v>4</v>
      </c>
      <c r="K285">
        <v>20</v>
      </c>
      <c r="L285">
        <v>20.64</v>
      </c>
      <c r="M285">
        <v>245.9</v>
      </c>
      <c r="N285">
        <f>_xlfn.XLOOKUP(Table13[[#This Row],[Production_Order_ID]],[1]Sheet1!$A$2:$A$391,[1]Sheet1!$F$2:$F$391,"No Match")</f>
        <v>420</v>
      </c>
      <c r="O285" s="3">
        <f>Table13[[#This Row],[Good_Qty]]/Table13[[#This Row],[Planned_Production]]</f>
        <v>1.6928571428571428</v>
      </c>
      <c r="P285" t="str">
        <f>IF(Table13[[#This Row],[Good_Qty]]&gt;=Table13[[#This Row],[Planned_Production]],"Met","Not Met")</f>
        <v>Met</v>
      </c>
      <c r="Q285">
        <f>Table13[[#This Row],[Good_Qty]]-Table13[[#This Row],[Planned_Production]]</f>
        <v>291</v>
      </c>
      <c r="R285" s="3">
        <f>IF(Table13[[#This Row],[Actual_Qty]]=0,0,Table13[[#This Row],[Reject_Qty]]/Table13[[#This Row],[Actual_Qty]])</f>
        <v>5.5944055944055944E-3</v>
      </c>
      <c r="S285">
        <v>438.59</v>
      </c>
      <c r="T285">
        <f>(Table13[[#This Row],[Ideal_Cycle_Time_sec]]*Table13[[#This Row],[Actual_Qty]])/(Table13[[#This Row],[Operational_Time_min]]*60)</f>
        <v>0.54340804243902818</v>
      </c>
      <c r="U285">
        <f>Table13[[#This Row],[Good_Qty]]/Table13[[#This Row],[Actual_Qty]]</f>
        <v>0.9944055944055944</v>
      </c>
      <c r="V285" t="str">
        <f>IF(OR(Table13[[#This Row],[Performance_%]]&gt;=1,Table13[[#This Row],[Performance_%]]&lt;=0),"Error","OK")</f>
        <v>OK</v>
      </c>
      <c r="W285" t="str">
        <f>IF(OR(Table13[[#This Row],[Quality_%]]&gt;=1,Table13[[#This Row],[Quality_%]]&lt;=0),"Error","OK")</f>
        <v>OK</v>
      </c>
      <c r="X285">
        <f>Table13[[#This Row],[Performance_%]]*Table13[[#This Row],[Quality_%]]*[2]Availability_KPI!K285</f>
        <v>0.52666666666666673</v>
      </c>
      <c r="Y285" t="str">
        <f>IF(OR(Table13[[#This Row],[OEE_%]]&gt;1,Table13[[#This Row],[OEE_%]]&lt;0),"Error","OK")</f>
        <v>OK</v>
      </c>
    </row>
    <row r="286" spans="1:25" x14ac:dyDescent="0.2">
      <c r="A286" t="s">
        <v>371</v>
      </c>
      <c r="B286" t="s">
        <v>367</v>
      </c>
      <c r="C286" s="2">
        <v>46252</v>
      </c>
      <c r="D286" t="s">
        <v>67</v>
      </c>
      <c r="E286" t="s">
        <v>41</v>
      </c>
      <c r="F286" t="s">
        <v>54</v>
      </c>
      <c r="G286" t="s">
        <v>44</v>
      </c>
      <c r="H286">
        <v>730</v>
      </c>
      <c r="I286">
        <v>724</v>
      </c>
      <c r="J286">
        <v>6</v>
      </c>
      <c r="K286">
        <v>18</v>
      </c>
      <c r="L286">
        <v>18.91</v>
      </c>
      <c r="M286">
        <v>230.06</v>
      </c>
      <c r="N286">
        <f>_xlfn.XLOOKUP(Table13[[#This Row],[Production_Order_ID]],[1]Sheet1!$A$2:$A$391,[1]Sheet1!$F$2:$F$391,"No Match")</f>
        <v>420</v>
      </c>
      <c r="O286" s="3">
        <f>Table13[[#This Row],[Good_Qty]]/Table13[[#This Row],[Planned_Production]]</f>
        <v>1.7238095238095239</v>
      </c>
      <c r="P286" t="str">
        <f>IF(Table13[[#This Row],[Good_Qty]]&gt;=Table13[[#This Row],[Planned_Production]],"Met","Not Met")</f>
        <v>Met</v>
      </c>
      <c r="Q286">
        <f>Table13[[#This Row],[Good_Qty]]-Table13[[#This Row],[Planned_Production]]</f>
        <v>304</v>
      </c>
      <c r="R286" s="3">
        <f>IF(Table13[[#This Row],[Actual_Qty]]=0,0,Table13[[#This Row],[Reject_Qty]]/Table13[[#This Row],[Actual_Qty]])</f>
        <v>8.21917808219178E-3</v>
      </c>
      <c r="S286">
        <v>435.79</v>
      </c>
      <c r="T286">
        <f>(Table13[[#This Row],[Ideal_Cycle_Time_sec]]*Table13[[#This Row],[Actual_Qty]])/(Table13[[#This Row],[Operational_Time_min]]*60)</f>
        <v>0.50253562495697468</v>
      </c>
      <c r="U286">
        <f>Table13[[#This Row],[Good_Qty]]/Table13[[#This Row],[Actual_Qty]]</f>
        <v>0.99178082191780825</v>
      </c>
      <c r="V286" t="str">
        <f>IF(OR(Table13[[#This Row],[Performance_%]]&gt;=1,Table13[[#This Row],[Performance_%]]&lt;=0),"Error","OK")</f>
        <v>OK</v>
      </c>
      <c r="W286" t="str">
        <f>IF(OR(Table13[[#This Row],[Quality_%]]&gt;=1,Table13[[#This Row],[Quality_%]]&lt;=0),"Error","OK")</f>
        <v>OK</v>
      </c>
      <c r="X286">
        <f>Table13[[#This Row],[Performance_%]]*Table13[[#This Row],[Quality_%]]*[2]Availability_KPI!K286</f>
        <v>0.48266666666666674</v>
      </c>
      <c r="Y286" t="str">
        <f>IF(OR(Table13[[#This Row],[OEE_%]]&gt;1,Table13[[#This Row],[OEE_%]]&lt;0),"Error","OK")</f>
        <v>OK</v>
      </c>
    </row>
    <row r="287" spans="1:25" x14ac:dyDescent="0.2">
      <c r="A287" t="s">
        <v>372</v>
      </c>
      <c r="B287" t="s">
        <v>367</v>
      </c>
      <c r="C287" s="2">
        <v>46252</v>
      </c>
      <c r="D287" t="s">
        <v>67</v>
      </c>
      <c r="E287" t="s">
        <v>43</v>
      </c>
      <c r="F287" t="s">
        <v>54</v>
      </c>
      <c r="G287" t="s">
        <v>50</v>
      </c>
      <c r="H287">
        <v>725</v>
      </c>
      <c r="I287">
        <v>715</v>
      </c>
      <c r="J287">
        <v>10</v>
      </c>
      <c r="K287">
        <v>32</v>
      </c>
      <c r="L287">
        <v>34.9</v>
      </c>
      <c r="M287">
        <v>421.66</v>
      </c>
      <c r="N287">
        <f>_xlfn.XLOOKUP(Table13[[#This Row],[Production_Order_ID]],[1]Sheet1!$A$2:$A$391,[1]Sheet1!$F$2:$F$391,"No Match")</f>
        <v>420</v>
      </c>
      <c r="O287" s="3">
        <f>Table13[[#This Row],[Good_Qty]]/Table13[[#This Row],[Planned_Production]]</f>
        <v>1.7023809523809523</v>
      </c>
      <c r="P287" t="str">
        <f>IF(Table13[[#This Row],[Good_Qty]]&gt;=Table13[[#This Row],[Planned_Production]],"Met","Not Met")</f>
        <v>Met</v>
      </c>
      <c r="Q287">
        <f>Table13[[#This Row],[Good_Qty]]-Table13[[#This Row],[Planned_Production]]</f>
        <v>295</v>
      </c>
      <c r="R287" s="3">
        <f>IF(Table13[[#This Row],[Actual_Qty]]=0,0,Table13[[#This Row],[Reject_Qty]]/Table13[[#This Row],[Actual_Qty]])</f>
        <v>1.3793103448275862E-2</v>
      </c>
      <c r="S287">
        <v>408.54</v>
      </c>
      <c r="T287">
        <f>(Table13[[#This Row],[Ideal_Cycle_Time_sec]]*Table13[[#This Row],[Actual_Qty]])/(Table13[[#This Row],[Operational_Time_min]]*60)</f>
        <v>0.94645975098317581</v>
      </c>
      <c r="U287">
        <f>Table13[[#This Row],[Good_Qty]]/Table13[[#This Row],[Actual_Qty]]</f>
        <v>0.98620689655172411</v>
      </c>
      <c r="V287" t="str">
        <f>IF(OR(Table13[[#This Row],[Performance_%]]&gt;=1,Table13[[#This Row],[Performance_%]]&lt;=0),"Error","OK")</f>
        <v>OK</v>
      </c>
      <c r="W287" t="str">
        <f>IF(OR(Table13[[#This Row],[Quality_%]]&gt;=1,Table13[[#This Row],[Quality_%]]&lt;=0),"Error","OK")</f>
        <v>OK</v>
      </c>
      <c r="X287">
        <f>Table13[[#This Row],[Performance_%]]*Table13[[#This Row],[Quality_%]]*[2]Availability_KPI!K287</f>
        <v>0.84740740740740739</v>
      </c>
      <c r="Y287" t="str">
        <f>IF(OR(Table13[[#This Row],[OEE_%]]&gt;1,Table13[[#This Row],[OEE_%]]&lt;0),"Error","OK")</f>
        <v>OK</v>
      </c>
    </row>
    <row r="288" spans="1:25" x14ac:dyDescent="0.2">
      <c r="A288" t="s">
        <v>373</v>
      </c>
      <c r="B288" t="s">
        <v>367</v>
      </c>
      <c r="C288" s="2">
        <v>46252</v>
      </c>
      <c r="D288" t="s">
        <v>67</v>
      </c>
      <c r="E288" t="s">
        <v>46</v>
      </c>
      <c r="F288" t="s">
        <v>54</v>
      </c>
      <c r="G288" t="s">
        <v>39</v>
      </c>
      <c r="H288">
        <v>716</v>
      </c>
      <c r="I288">
        <v>709</v>
      </c>
      <c r="J288">
        <v>7</v>
      </c>
      <c r="K288">
        <v>25</v>
      </c>
      <c r="L288">
        <v>25.48</v>
      </c>
      <c r="M288">
        <v>304.06</v>
      </c>
      <c r="N288">
        <f>_xlfn.XLOOKUP(Table13[[#This Row],[Production_Order_ID]],[1]Sheet1!$A$2:$A$391,[1]Sheet1!$F$2:$F$391,"No Match")</f>
        <v>420</v>
      </c>
      <c r="O288" s="3">
        <f>Table13[[#This Row],[Good_Qty]]/Table13[[#This Row],[Planned_Production]]</f>
        <v>1.6880952380952381</v>
      </c>
      <c r="P288" t="str">
        <f>IF(Table13[[#This Row],[Good_Qty]]&gt;=Table13[[#This Row],[Planned_Production]],"Met","Not Met")</f>
        <v>Met</v>
      </c>
      <c r="Q288">
        <f>Table13[[#This Row],[Good_Qty]]-Table13[[#This Row],[Planned_Production]]</f>
        <v>289</v>
      </c>
      <c r="R288" s="3">
        <f>IF(Table13[[#This Row],[Actual_Qty]]=0,0,Table13[[#This Row],[Reject_Qty]]/Table13[[#This Row],[Actual_Qty]])</f>
        <v>9.7765363128491621E-3</v>
      </c>
      <c r="S288">
        <v>427.6</v>
      </c>
      <c r="T288">
        <f>(Table13[[#This Row],[Ideal_Cycle_Time_sec]]*Table13[[#This Row],[Actual_Qty]])/(Table13[[#This Row],[Operational_Time_min]]*60)</f>
        <v>0.69769254755222954</v>
      </c>
      <c r="U288">
        <f>Table13[[#This Row],[Good_Qty]]/Table13[[#This Row],[Actual_Qty]]</f>
        <v>0.99022346368715086</v>
      </c>
      <c r="V288" t="str">
        <f>IF(OR(Table13[[#This Row],[Performance_%]]&gt;=1,Table13[[#This Row],[Performance_%]]&lt;=0),"Error","OK")</f>
        <v>OK</v>
      </c>
      <c r="W288" t="str">
        <f>IF(OR(Table13[[#This Row],[Quality_%]]&gt;=1,Table13[[#This Row],[Quality_%]]&lt;=0),"Error","OK")</f>
        <v>OK</v>
      </c>
      <c r="X288">
        <f>Table13[[#This Row],[Performance_%]]*Table13[[#This Row],[Quality_%]]*[2]Availability_KPI!K288</f>
        <v>0.65648148148148155</v>
      </c>
      <c r="Y288" t="str">
        <f>IF(OR(Table13[[#This Row],[OEE_%]]&gt;1,Table13[[#This Row],[OEE_%]]&lt;0),"Error","OK")</f>
        <v>OK</v>
      </c>
    </row>
    <row r="289" spans="1:25" x14ac:dyDescent="0.2">
      <c r="A289" t="s">
        <v>374</v>
      </c>
      <c r="B289" t="s">
        <v>367</v>
      </c>
      <c r="C289" s="2">
        <v>46252</v>
      </c>
      <c r="D289" t="s">
        <v>67</v>
      </c>
      <c r="E289" t="s">
        <v>49</v>
      </c>
      <c r="F289" t="s">
        <v>54</v>
      </c>
      <c r="G289" t="s">
        <v>55</v>
      </c>
      <c r="H289">
        <v>725</v>
      </c>
      <c r="I289">
        <v>719</v>
      </c>
      <c r="J289">
        <v>6</v>
      </c>
      <c r="K289">
        <v>20</v>
      </c>
      <c r="L289">
        <v>20.99</v>
      </c>
      <c r="M289">
        <v>253.68</v>
      </c>
      <c r="N289">
        <f>_xlfn.XLOOKUP(Table13[[#This Row],[Production_Order_ID]],[1]Sheet1!$A$2:$A$391,[1]Sheet1!$F$2:$F$391,"No Match")</f>
        <v>420</v>
      </c>
      <c r="O289" s="3">
        <f>Table13[[#This Row],[Good_Qty]]/Table13[[#This Row],[Planned_Production]]</f>
        <v>1.7119047619047618</v>
      </c>
      <c r="P289" t="str">
        <f>IF(Table13[[#This Row],[Good_Qty]]&gt;=Table13[[#This Row],[Planned_Production]],"Met","Not Met")</f>
        <v>Met</v>
      </c>
      <c r="Q289">
        <f>Table13[[#This Row],[Good_Qty]]-Table13[[#This Row],[Planned_Production]]</f>
        <v>299</v>
      </c>
      <c r="R289" s="3">
        <f>IF(Table13[[#This Row],[Actual_Qty]]=0,0,Table13[[#This Row],[Reject_Qty]]/Table13[[#This Row],[Actual_Qty]])</f>
        <v>8.2758620689655175E-3</v>
      </c>
      <c r="S289">
        <v>439.13</v>
      </c>
      <c r="T289">
        <f>(Table13[[#This Row],[Ideal_Cycle_Time_sec]]*Table13[[#This Row],[Actual_Qty]])/(Table13[[#This Row],[Operational_Time_min]]*60)</f>
        <v>0.55033057788506068</v>
      </c>
      <c r="U289">
        <f>Table13[[#This Row],[Good_Qty]]/Table13[[#This Row],[Actual_Qty]]</f>
        <v>0.99172413793103453</v>
      </c>
      <c r="V289" t="str">
        <f>IF(OR(Table13[[#This Row],[Performance_%]]&gt;=1,Table13[[#This Row],[Performance_%]]&lt;=0),"Error","OK")</f>
        <v>OK</v>
      </c>
      <c r="W289" t="str">
        <f>IF(OR(Table13[[#This Row],[Quality_%]]&gt;=1,Table13[[#This Row],[Quality_%]]&lt;=0),"Error","OK")</f>
        <v>OK</v>
      </c>
      <c r="X289">
        <f>Table13[[#This Row],[Performance_%]]*Table13[[#This Row],[Quality_%]]*[2]Availability_KPI!K289</f>
        <v>0.53259259259259273</v>
      </c>
      <c r="Y289" t="str">
        <f>IF(OR(Table13[[#This Row],[OEE_%]]&gt;1,Table13[[#This Row],[OEE_%]]&lt;0),"Error","OK")</f>
        <v>OK</v>
      </c>
    </row>
    <row r="290" spans="1:25" x14ac:dyDescent="0.2">
      <c r="A290" t="s">
        <v>375</v>
      </c>
      <c r="B290" t="s">
        <v>376</v>
      </c>
      <c r="C290" s="2">
        <v>46253</v>
      </c>
      <c r="D290" t="s">
        <v>27</v>
      </c>
      <c r="E290" t="s">
        <v>28</v>
      </c>
      <c r="F290" t="s">
        <v>54</v>
      </c>
      <c r="G290" t="s">
        <v>71</v>
      </c>
      <c r="H290">
        <v>660</v>
      </c>
      <c r="I290">
        <v>654</v>
      </c>
      <c r="J290">
        <v>6</v>
      </c>
      <c r="K290">
        <v>18</v>
      </c>
      <c r="L290">
        <v>19.34</v>
      </c>
      <c r="M290">
        <v>212.72</v>
      </c>
      <c r="N290">
        <f>_xlfn.XLOOKUP(Table13[[#This Row],[Production_Order_ID]],[1]Sheet1!$A$2:$A$391,[1]Sheet1!$F$2:$F$391,"No Match")</f>
        <v>470</v>
      </c>
      <c r="O290" s="3">
        <f>Table13[[#This Row],[Good_Qty]]/Table13[[#This Row],[Planned_Production]]</f>
        <v>1.3914893617021276</v>
      </c>
      <c r="P290" t="str">
        <f>IF(Table13[[#This Row],[Good_Qty]]&gt;=Table13[[#This Row],[Planned_Production]],"Met","Not Met")</f>
        <v>Met</v>
      </c>
      <c r="Q290">
        <f>Table13[[#This Row],[Good_Qty]]-Table13[[#This Row],[Planned_Production]]</f>
        <v>184</v>
      </c>
      <c r="R290" s="3">
        <f>IF(Table13[[#This Row],[Actual_Qty]]=0,0,Table13[[#This Row],[Reject_Qty]]/Table13[[#This Row],[Actual_Qty]])</f>
        <v>9.0909090909090905E-3</v>
      </c>
      <c r="S290">
        <v>439.52</v>
      </c>
      <c r="T290">
        <f>(Table13[[#This Row],[Ideal_Cycle_Time_sec]]*Table13[[#This Row],[Actual_Qty]])/(Table13[[#This Row],[Operational_Time_min]]*60)</f>
        <v>0.45049144521295964</v>
      </c>
      <c r="U290">
        <f>Table13[[#This Row],[Good_Qty]]/Table13[[#This Row],[Actual_Qty]]</f>
        <v>0.99090909090909096</v>
      </c>
      <c r="V290" t="str">
        <f>IF(OR(Table13[[#This Row],[Performance_%]]&gt;=1,Table13[[#This Row],[Performance_%]]&lt;=0),"Error","OK")</f>
        <v>OK</v>
      </c>
      <c r="W290" t="str">
        <f>IF(OR(Table13[[#This Row],[Quality_%]]&gt;=1,Table13[[#This Row],[Quality_%]]&lt;=0),"Error","OK")</f>
        <v>OK</v>
      </c>
      <c r="X290">
        <f>Table13[[#This Row],[Performance_%]]*Table13[[#This Row],[Quality_%]]*[2]Availability_KPI!K290</f>
        <v>0.43600000000000005</v>
      </c>
      <c r="Y290" t="str">
        <f>IF(OR(Table13[[#This Row],[OEE_%]]&gt;1,Table13[[#This Row],[OEE_%]]&lt;0),"Error","OK")</f>
        <v>OK</v>
      </c>
    </row>
    <row r="291" spans="1:25" x14ac:dyDescent="0.2">
      <c r="A291" t="s">
        <v>377</v>
      </c>
      <c r="B291" t="s">
        <v>376</v>
      </c>
      <c r="C291" s="2">
        <v>46253</v>
      </c>
      <c r="D291" t="s">
        <v>27</v>
      </c>
      <c r="E291" t="s">
        <v>32</v>
      </c>
      <c r="F291" t="s">
        <v>54</v>
      </c>
      <c r="G291" t="s">
        <v>47</v>
      </c>
      <c r="H291">
        <v>650</v>
      </c>
      <c r="I291">
        <v>644</v>
      </c>
      <c r="J291">
        <v>6</v>
      </c>
      <c r="K291">
        <v>20</v>
      </c>
      <c r="L291">
        <v>21.82</v>
      </c>
      <c r="M291">
        <v>236.44</v>
      </c>
      <c r="N291">
        <f>_xlfn.XLOOKUP(Table13[[#This Row],[Production_Order_ID]],[1]Sheet1!$A$2:$A$391,[1]Sheet1!$F$2:$F$391,"No Match")</f>
        <v>470</v>
      </c>
      <c r="O291" s="3">
        <f>Table13[[#This Row],[Good_Qty]]/Table13[[#This Row],[Planned_Production]]</f>
        <v>1.3702127659574468</v>
      </c>
      <c r="P291" t="str">
        <f>IF(Table13[[#This Row],[Good_Qty]]&gt;=Table13[[#This Row],[Planned_Production]],"Met","Not Met")</f>
        <v>Met</v>
      </c>
      <c r="Q291">
        <f>Table13[[#This Row],[Good_Qty]]-Table13[[#This Row],[Planned_Production]]</f>
        <v>174</v>
      </c>
      <c r="R291" s="3">
        <f>IF(Table13[[#This Row],[Actual_Qty]]=0,0,Table13[[#This Row],[Reject_Qty]]/Table13[[#This Row],[Actual_Qty]])</f>
        <v>9.2307692307692316E-3</v>
      </c>
      <c r="S291">
        <v>436.05</v>
      </c>
      <c r="T291">
        <f>(Table13[[#This Row],[Ideal_Cycle_Time_sec]]*Table13[[#This Row],[Actual_Qty]])/(Table13[[#This Row],[Operational_Time_min]]*60)</f>
        <v>0.49688491380957839</v>
      </c>
      <c r="U291">
        <f>Table13[[#This Row],[Good_Qty]]/Table13[[#This Row],[Actual_Qty]]</f>
        <v>0.99076923076923074</v>
      </c>
      <c r="V291" t="str">
        <f>IF(OR(Table13[[#This Row],[Performance_%]]&gt;=1,Table13[[#This Row],[Performance_%]]&lt;=0),"Error","OK")</f>
        <v>OK</v>
      </c>
      <c r="W291" t="str">
        <f>IF(OR(Table13[[#This Row],[Quality_%]]&gt;=1,Table13[[#This Row],[Quality_%]]&lt;=0),"Error","OK")</f>
        <v>OK</v>
      </c>
      <c r="X291">
        <f>Table13[[#This Row],[Performance_%]]*Table13[[#This Row],[Quality_%]]*[2]Availability_KPI!K291</f>
        <v>0.47703703703703698</v>
      </c>
      <c r="Y291" t="str">
        <f>IF(OR(Table13[[#This Row],[OEE_%]]&gt;1,Table13[[#This Row],[OEE_%]]&lt;0),"Error","OK")</f>
        <v>OK</v>
      </c>
    </row>
    <row r="292" spans="1:25" x14ac:dyDescent="0.2">
      <c r="A292" t="s">
        <v>378</v>
      </c>
      <c r="B292" t="s">
        <v>376</v>
      </c>
      <c r="C292" s="2">
        <v>46253</v>
      </c>
      <c r="D292" t="s">
        <v>27</v>
      </c>
      <c r="E292" t="s">
        <v>35</v>
      </c>
      <c r="F292" t="s">
        <v>54</v>
      </c>
      <c r="G292" t="s">
        <v>30</v>
      </c>
      <c r="H292">
        <v>657</v>
      </c>
      <c r="I292">
        <v>654</v>
      </c>
      <c r="J292">
        <v>3</v>
      </c>
      <c r="K292">
        <v>22</v>
      </c>
      <c r="L292">
        <v>24.32</v>
      </c>
      <c r="M292">
        <v>266.27</v>
      </c>
      <c r="N292">
        <f>_xlfn.XLOOKUP(Table13[[#This Row],[Production_Order_ID]],[1]Sheet1!$A$2:$A$391,[1]Sheet1!$F$2:$F$391,"No Match")</f>
        <v>470</v>
      </c>
      <c r="O292" s="3">
        <f>Table13[[#This Row],[Good_Qty]]/Table13[[#This Row],[Planned_Production]]</f>
        <v>1.3914893617021276</v>
      </c>
      <c r="P292" t="str">
        <f>IF(Table13[[#This Row],[Good_Qty]]&gt;=Table13[[#This Row],[Planned_Production]],"Met","Not Met")</f>
        <v>Met</v>
      </c>
      <c r="Q292">
        <f>Table13[[#This Row],[Good_Qty]]-Table13[[#This Row],[Planned_Production]]</f>
        <v>184</v>
      </c>
      <c r="R292" s="3">
        <f>IF(Table13[[#This Row],[Actual_Qty]]=0,0,Table13[[#This Row],[Reject_Qty]]/Table13[[#This Row],[Actual_Qty]])</f>
        <v>4.5662100456621002E-3</v>
      </c>
      <c r="S292">
        <v>429.07</v>
      </c>
      <c r="T292">
        <f>(Table13[[#This Row],[Ideal_Cycle_Time_sec]]*Table13[[#This Row],[Actual_Qty]])/(Table13[[#This Row],[Operational_Time_min]]*60)</f>
        <v>0.56144685016430884</v>
      </c>
      <c r="U292">
        <f>Table13[[#This Row],[Good_Qty]]/Table13[[#This Row],[Actual_Qty]]</f>
        <v>0.99543378995433784</v>
      </c>
      <c r="V292" t="str">
        <f>IF(OR(Table13[[#This Row],[Performance_%]]&gt;=1,Table13[[#This Row],[Performance_%]]&lt;=0),"Error","OK")</f>
        <v>OK</v>
      </c>
      <c r="W292" t="str">
        <f>IF(OR(Table13[[#This Row],[Quality_%]]&gt;=1,Table13[[#This Row],[Quality_%]]&lt;=0),"Error","OK")</f>
        <v>OK</v>
      </c>
      <c r="X292">
        <f>Table13[[#This Row],[Performance_%]]*Table13[[#This Row],[Quality_%]]*[2]Availability_KPI!K292</f>
        <v>0.53288888888888875</v>
      </c>
      <c r="Y292" t="str">
        <f>IF(OR(Table13[[#This Row],[OEE_%]]&gt;1,Table13[[#This Row],[OEE_%]]&lt;0),"Error","OK")</f>
        <v>OK</v>
      </c>
    </row>
    <row r="293" spans="1:25" x14ac:dyDescent="0.2">
      <c r="A293" t="s">
        <v>379</v>
      </c>
      <c r="B293" t="s">
        <v>376</v>
      </c>
      <c r="C293" s="2">
        <v>46253</v>
      </c>
      <c r="D293" t="s">
        <v>27</v>
      </c>
      <c r="E293" t="s">
        <v>38</v>
      </c>
      <c r="F293" t="s">
        <v>54</v>
      </c>
      <c r="G293" t="s">
        <v>75</v>
      </c>
      <c r="H293">
        <v>675</v>
      </c>
      <c r="I293">
        <v>671</v>
      </c>
      <c r="J293">
        <v>4</v>
      </c>
      <c r="K293">
        <v>20</v>
      </c>
      <c r="L293">
        <v>20.72</v>
      </c>
      <c r="M293">
        <v>233.13</v>
      </c>
      <c r="N293">
        <f>_xlfn.XLOOKUP(Table13[[#This Row],[Production_Order_ID]],[1]Sheet1!$A$2:$A$391,[1]Sheet1!$F$2:$F$391,"No Match")</f>
        <v>470</v>
      </c>
      <c r="O293" s="3">
        <f>Table13[[#This Row],[Good_Qty]]/Table13[[#This Row],[Planned_Production]]</f>
        <v>1.4276595744680851</v>
      </c>
      <c r="P293" t="str">
        <f>IF(Table13[[#This Row],[Good_Qty]]&gt;=Table13[[#This Row],[Planned_Production]],"Met","Not Met")</f>
        <v>Met</v>
      </c>
      <c r="Q293">
        <f>Table13[[#This Row],[Good_Qty]]-Table13[[#This Row],[Planned_Production]]</f>
        <v>201</v>
      </c>
      <c r="R293" s="3">
        <f>IF(Table13[[#This Row],[Actual_Qty]]=0,0,Table13[[#This Row],[Reject_Qty]]/Table13[[#This Row],[Actual_Qty]])</f>
        <v>5.9259259259259256E-3</v>
      </c>
      <c r="S293">
        <v>439.78</v>
      </c>
      <c r="T293">
        <f>(Table13[[#This Row],[Ideal_Cycle_Time_sec]]*Table13[[#This Row],[Actual_Qty]])/(Table13[[#This Row],[Operational_Time_min]]*60)</f>
        <v>0.51161944608667975</v>
      </c>
      <c r="U293">
        <f>Table13[[#This Row],[Good_Qty]]/Table13[[#This Row],[Actual_Qty]]</f>
        <v>0.99407407407407411</v>
      </c>
      <c r="V293" t="str">
        <f>IF(OR(Table13[[#This Row],[Performance_%]]&gt;=1,Table13[[#This Row],[Performance_%]]&lt;=0),"Error","OK")</f>
        <v>OK</v>
      </c>
      <c r="W293" t="str">
        <f>IF(OR(Table13[[#This Row],[Quality_%]]&gt;=1,Table13[[#This Row],[Quality_%]]&lt;=0),"Error","OK")</f>
        <v>OK</v>
      </c>
      <c r="X293">
        <f>Table13[[#This Row],[Performance_%]]*Table13[[#This Row],[Quality_%]]*[2]Availability_KPI!K293</f>
        <v>0.49703703703703711</v>
      </c>
      <c r="Y293" t="str">
        <f>IF(OR(Table13[[#This Row],[OEE_%]]&gt;1,Table13[[#This Row],[OEE_%]]&lt;0),"Error","OK")</f>
        <v>OK</v>
      </c>
    </row>
    <row r="294" spans="1:25" x14ac:dyDescent="0.2">
      <c r="A294" t="s">
        <v>380</v>
      </c>
      <c r="B294" t="s">
        <v>376</v>
      </c>
      <c r="C294" s="2">
        <v>46253</v>
      </c>
      <c r="D294" t="s">
        <v>27</v>
      </c>
      <c r="E294" t="s">
        <v>41</v>
      </c>
      <c r="F294" t="s">
        <v>54</v>
      </c>
      <c r="G294" t="s">
        <v>55</v>
      </c>
      <c r="H294">
        <v>664</v>
      </c>
      <c r="I294">
        <v>658</v>
      </c>
      <c r="J294">
        <v>6</v>
      </c>
      <c r="K294">
        <v>18</v>
      </c>
      <c r="L294">
        <v>19.100000000000001</v>
      </c>
      <c r="M294">
        <v>211.41</v>
      </c>
      <c r="N294">
        <f>_xlfn.XLOOKUP(Table13[[#This Row],[Production_Order_ID]],[1]Sheet1!$A$2:$A$391,[1]Sheet1!$F$2:$F$391,"No Match")</f>
        <v>470</v>
      </c>
      <c r="O294" s="3">
        <f>Table13[[#This Row],[Good_Qty]]/Table13[[#This Row],[Planned_Production]]</f>
        <v>1.4</v>
      </c>
      <c r="P294" t="str">
        <f>IF(Table13[[#This Row],[Good_Qty]]&gt;=Table13[[#This Row],[Planned_Production]],"Met","Not Met")</f>
        <v>Met</v>
      </c>
      <c r="Q294">
        <f>Table13[[#This Row],[Good_Qty]]-Table13[[#This Row],[Planned_Production]]</f>
        <v>188</v>
      </c>
      <c r="R294" s="3">
        <f>IF(Table13[[#This Row],[Actual_Qty]]=0,0,Table13[[#This Row],[Reject_Qty]]/Table13[[#This Row],[Actual_Qty]])</f>
        <v>9.0361445783132526E-3</v>
      </c>
      <c r="S294">
        <v>436.8</v>
      </c>
      <c r="T294">
        <f>(Table13[[#This Row],[Ideal_Cycle_Time_sec]]*Table13[[#This Row],[Actual_Qty]])/(Table13[[#This Row],[Operational_Time_min]]*60)</f>
        <v>0.45604395604395603</v>
      </c>
      <c r="U294">
        <f>Table13[[#This Row],[Good_Qty]]/Table13[[#This Row],[Actual_Qty]]</f>
        <v>0.99096385542168675</v>
      </c>
      <c r="V294" t="str">
        <f>IF(OR(Table13[[#This Row],[Performance_%]]&gt;=1,Table13[[#This Row],[Performance_%]]&lt;=0),"Error","OK")</f>
        <v>OK</v>
      </c>
      <c r="W294" t="str">
        <f>IF(OR(Table13[[#This Row],[Quality_%]]&gt;=1,Table13[[#This Row],[Quality_%]]&lt;=0),"Error","OK")</f>
        <v>OK</v>
      </c>
      <c r="X294">
        <f>Table13[[#This Row],[Performance_%]]*Table13[[#This Row],[Quality_%]]*[2]Availability_KPI!K294</f>
        <v>0.43866666666666665</v>
      </c>
      <c r="Y294" t="str">
        <f>IF(OR(Table13[[#This Row],[OEE_%]]&gt;1,Table13[[#This Row],[OEE_%]]&lt;0),"Error","OK")</f>
        <v>OK</v>
      </c>
    </row>
    <row r="295" spans="1:25" x14ac:dyDescent="0.2">
      <c r="A295" t="s">
        <v>381</v>
      </c>
      <c r="B295" t="s">
        <v>376</v>
      </c>
      <c r="C295" s="2">
        <v>46253</v>
      </c>
      <c r="D295" t="s">
        <v>27</v>
      </c>
      <c r="E295" t="s">
        <v>43</v>
      </c>
      <c r="F295" t="s">
        <v>54</v>
      </c>
      <c r="G295" t="s">
        <v>33</v>
      </c>
      <c r="H295">
        <v>671</v>
      </c>
      <c r="I295">
        <v>661</v>
      </c>
      <c r="J295">
        <v>10</v>
      </c>
      <c r="K295">
        <v>32</v>
      </c>
      <c r="L295">
        <v>33.28</v>
      </c>
      <c r="M295">
        <v>372.17</v>
      </c>
      <c r="N295">
        <f>_xlfn.XLOOKUP(Table13[[#This Row],[Production_Order_ID]],[1]Sheet1!$A$2:$A$391,[1]Sheet1!$F$2:$F$391,"No Match")</f>
        <v>470</v>
      </c>
      <c r="O295" s="3">
        <f>Table13[[#This Row],[Good_Qty]]/Table13[[#This Row],[Planned_Production]]</f>
        <v>1.4063829787234043</v>
      </c>
      <c r="P295" t="str">
        <f>IF(Table13[[#This Row],[Good_Qty]]&gt;=Table13[[#This Row],[Planned_Production]],"Met","Not Met")</f>
        <v>Met</v>
      </c>
      <c r="Q295">
        <f>Table13[[#This Row],[Good_Qty]]-Table13[[#This Row],[Planned_Production]]</f>
        <v>191</v>
      </c>
      <c r="R295" s="3">
        <f>IF(Table13[[#This Row],[Actual_Qty]]=0,0,Table13[[#This Row],[Reject_Qty]]/Table13[[#This Row],[Actual_Qty]])</f>
        <v>1.4903129657228018E-2</v>
      </c>
      <c r="S295">
        <v>411.88</v>
      </c>
      <c r="T295">
        <f>(Table13[[#This Row],[Ideal_Cycle_Time_sec]]*Table13[[#This Row],[Actual_Qty]])/(Table13[[#This Row],[Operational_Time_min]]*60)</f>
        <v>0.86886148069016866</v>
      </c>
      <c r="U295">
        <f>Table13[[#This Row],[Good_Qty]]/Table13[[#This Row],[Actual_Qty]]</f>
        <v>0.98509687034277194</v>
      </c>
      <c r="V295" t="str">
        <f>IF(OR(Table13[[#This Row],[Performance_%]]&gt;=1,Table13[[#This Row],[Performance_%]]&lt;=0),"Error","OK")</f>
        <v>OK</v>
      </c>
      <c r="W295" t="str">
        <f>IF(OR(Table13[[#This Row],[Quality_%]]&gt;=1,Table13[[#This Row],[Quality_%]]&lt;=0),"Error","OK")</f>
        <v>OK</v>
      </c>
      <c r="X295">
        <f>Table13[[#This Row],[Performance_%]]*Table13[[#This Row],[Quality_%]]*[2]Availability_KPI!K295</f>
        <v>0.78340740740740733</v>
      </c>
      <c r="Y295" t="str">
        <f>IF(OR(Table13[[#This Row],[OEE_%]]&gt;1,Table13[[#This Row],[OEE_%]]&lt;0),"Error","OK")</f>
        <v>OK</v>
      </c>
    </row>
    <row r="296" spans="1:25" x14ac:dyDescent="0.2">
      <c r="A296" t="s">
        <v>382</v>
      </c>
      <c r="B296" t="s">
        <v>376</v>
      </c>
      <c r="C296" s="2">
        <v>46253</v>
      </c>
      <c r="D296" t="s">
        <v>27</v>
      </c>
      <c r="E296" t="s">
        <v>46</v>
      </c>
      <c r="F296" t="s">
        <v>54</v>
      </c>
      <c r="G296" t="s">
        <v>75</v>
      </c>
      <c r="H296">
        <v>660</v>
      </c>
      <c r="I296">
        <v>654</v>
      </c>
      <c r="J296">
        <v>6</v>
      </c>
      <c r="K296">
        <v>25</v>
      </c>
      <c r="L296">
        <v>26.82</v>
      </c>
      <c r="M296">
        <v>294.98</v>
      </c>
      <c r="N296">
        <f>_xlfn.XLOOKUP(Table13[[#This Row],[Production_Order_ID]],[1]Sheet1!$A$2:$A$391,[1]Sheet1!$F$2:$F$391,"No Match")</f>
        <v>470</v>
      </c>
      <c r="O296" s="3">
        <f>Table13[[#This Row],[Good_Qty]]/Table13[[#This Row],[Planned_Production]]</f>
        <v>1.3914893617021276</v>
      </c>
      <c r="P296" t="str">
        <f>IF(Table13[[#This Row],[Good_Qty]]&gt;=Table13[[#This Row],[Planned_Production]],"Met","Not Met")</f>
        <v>Met</v>
      </c>
      <c r="Q296">
        <f>Table13[[#This Row],[Good_Qty]]-Table13[[#This Row],[Planned_Production]]</f>
        <v>184</v>
      </c>
      <c r="R296" s="3">
        <f>IF(Table13[[#This Row],[Actual_Qty]]=0,0,Table13[[#This Row],[Reject_Qty]]/Table13[[#This Row],[Actual_Qty]])</f>
        <v>9.0909090909090905E-3</v>
      </c>
      <c r="S296">
        <v>424.03</v>
      </c>
      <c r="T296">
        <f>(Table13[[#This Row],[Ideal_Cycle_Time_sec]]*Table13[[#This Row],[Actual_Qty]])/(Table13[[#This Row],[Operational_Time_min]]*60)</f>
        <v>0.64853901846567463</v>
      </c>
      <c r="U296">
        <f>Table13[[#This Row],[Good_Qty]]/Table13[[#This Row],[Actual_Qty]]</f>
        <v>0.99090909090909096</v>
      </c>
      <c r="V296" t="str">
        <f>IF(OR(Table13[[#This Row],[Performance_%]]&gt;=1,Table13[[#This Row],[Performance_%]]&lt;=0),"Error","OK")</f>
        <v>OK</v>
      </c>
      <c r="W296" t="str">
        <f>IF(OR(Table13[[#This Row],[Quality_%]]&gt;=1,Table13[[#This Row],[Quality_%]]&lt;=0),"Error","OK")</f>
        <v>OK</v>
      </c>
      <c r="X296">
        <f>Table13[[#This Row],[Performance_%]]*Table13[[#This Row],[Quality_%]]*[2]Availability_KPI!K296</f>
        <v>0.60555555555555551</v>
      </c>
      <c r="Y296" t="str">
        <f>IF(OR(Table13[[#This Row],[OEE_%]]&gt;1,Table13[[#This Row],[OEE_%]]&lt;0),"Error","OK")</f>
        <v>OK</v>
      </c>
    </row>
    <row r="297" spans="1:25" x14ac:dyDescent="0.2">
      <c r="A297" t="s">
        <v>383</v>
      </c>
      <c r="B297" t="s">
        <v>376</v>
      </c>
      <c r="C297" s="2">
        <v>46253</v>
      </c>
      <c r="D297" t="s">
        <v>27</v>
      </c>
      <c r="E297" t="s">
        <v>49</v>
      </c>
      <c r="F297" t="s">
        <v>54</v>
      </c>
      <c r="G297" t="s">
        <v>50</v>
      </c>
      <c r="H297">
        <v>659</v>
      </c>
      <c r="I297">
        <v>656</v>
      </c>
      <c r="J297">
        <v>3</v>
      </c>
      <c r="K297">
        <v>20</v>
      </c>
      <c r="L297">
        <v>21.32</v>
      </c>
      <c r="M297">
        <v>234.16</v>
      </c>
      <c r="N297">
        <f>_xlfn.XLOOKUP(Table13[[#This Row],[Production_Order_ID]],[1]Sheet1!$A$2:$A$391,[1]Sheet1!$F$2:$F$391,"No Match")</f>
        <v>470</v>
      </c>
      <c r="O297" s="3">
        <f>Table13[[#This Row],[Good_Qty]]/Table13[[#This Row],[Planned_Production]]</f>
        <v>1.3957446808510638</v>
      </c>
      <c r="P297" t="str">
        <f>IF(Table13[[#This Row],[Good_Qty]]&gt;=Table13[[#This Row],[Planned_Production]],"Met","Not Met")</f>
        <v>Met</v>
      </c>
      <c r="Q297">
        <f>Table13[[#This Row],[Good_Qty]]-Table13[[#This Row],[Planned_Production]]</f>
        <v>186</v>
      </c>
      <c r="R297" s="3">
        <f>IF(Table13[[#This Row],[Actual_Qty]]=0,0,Table13[[#This Row],[Reject_Qty]]/Table13[[#This Row],[Actual_Qty]])</f>
        <v>4.552352048558422E-3</v>
      </c>
      <c r="S297">
        <v>442.9</v>
      </c>
      <c r="T297">
        <f>(Table13[[#This Row],[Ideal_Cycle_Time_sec]]*Table13[[#This Row],[Actual_Qty]])/(Table13[[#This Row],[Operational_Time_min]]*60)</f>
        <v>0.49597350794009182</v>
      </c>
      <c r="U297">
        <f>Table13[[#This Row],[Good_Qty]]/Table13[[#This Row],[Actual_Qty]]</f>
        <v>0.99544764795144158</v>
      </c>
      <c r="V297" t="str">
        <f>IF(OR(Table13[[#This Row],[Performance_%]]&gt;=1,Table13[[#This Row],[Performance_%]]&lt;=0),"Error","OK")</f>
        <v>OK</v>
      </c>
      <c r="W297" t="str">
        <f>IF(OR(Table13[[#This Row],[Quality_%]]&gt;=1,Table13[[#This Row],[Quality_%]]&lt;=0),"Error","OK")</f>
        <v>OK</v>
      </c>
      <c r="X297">
        <f>Table13[[#This Row],[Performance_%]]*Table13[[#This Row],[Quality_%]]*[2]Availability_KPI!K297</f>
        <v>0.48592592592592593</v>
      </c>
      <c r="Y297" t="str">
        <f>IF(OR(Table13[[#This Row],[OEE_%]]&gt;1,Table13[[#This Row],[OEE_%]]&lt;0),"Error","OK")</f>
        <v>OK</v>
      </c>
    </row>
    <row r="298" spans="1:25" x14ac:dyDescent="0.2">
      <c r="A298" t="s">
        <v>384</v>
      </c>
      <c r="B298" t="s">
        <v>385</v>
      </c>
      <c r="C298" s="2">
        <v>46253</v>
      </c>
      <c r="D298" t="s">
        <v>53</v>
      </c>
      <c r="E298" t="s">
        <v>28</v>
      </c>
      <c r="F298" t="s">
        <v>97</v>
      </c>
      <c r="G298" t="s">
        <v>44</v>
      </c>
      <c r="H298">
        <v>544</v>
      </c>
      <c r="I298">
        <v>543</v>
      </c>
      <c r="J298">
        <v>1</v>
      </c>
      <c r="K298">
        <v>19.260000000000002</v>
      </c>
      <c r="L298">
        <v>19.97</v>
      </c>
      <c r="M298">
        <v>181.04</v>
      </c>
      <c r="N298">
        <f>_xlfn.XLOOKUP(Table13[[#This Row],[Production_Order_ID]],[1]Sheet1!$A$2:$A$391,[1]Sheet1!$F$2:$F$391,"No Match")</f>
        <v>540</v>
      </c>
      <c r="O298" s="3">
        <f>Table13[[#This Row],[Good_Qty]]/Table13[[#This Row],[Planned_Production]]</f>
        <v>1.0055555555555555</v>
      </c>
      <c r="P298" t="str">
        <f>IF(Table13[[#This Row],[Good_Qty]]&gt;=Table13[[#This Row],[Planned_Production]],"Met","Not Met")</f>
        <v>Met</v>
      </c>
      <c r="Q298">
        <f>Table13[[#This Row],[Good_Qty]]-Table13[[#This Row],[Planned_Production]]</f>
        <v>3</v>
      </c>
      <c r="R298" s="3">
        <f>IF(Table13[[#This Row],[Actual_Qty]]=0,0,Table13[[#This Row],[Reject_Qty]]/Table13[[#This Row],[Actual_Qty]])</f>
        <v>1.838235294117647E-3</v>
      </c>
      <c r="S298">
        <v>440.77</v>
      </c>
      <c r="T298">
        <f>(Table13[[#This Row],[Ideal_Cycle_Time_sec]]*Table13[[#This Row],[Actual_Qty]])/(Table13[[#This Row],[Operational_Time_min]]*60)</f>
        <v>0.39617941329945328</v>
      </c>
      <c r="U298">
        <f>Table13[[#This Row],[Good_Qty]]/Table13[[#This Row],[Actual_Qty]]</f>
        <v>0.99816176470588236</v>
      </c>
      <c r="V298" t="str">
        <f>IF(OR(Table13[[#This Row],[Performance_%]]&gt;=1,Table13[[#This Row],[Performance_%]]&lt;=0),"Error","OK")</f>
        <v>OK</v>
      </c>
      <c r="W298" t="str">
        <f>IF(OR(Table13[[#This Row],[Quality_%]]&gt;=1,Table13[[#This Row],[Quality_%]]&lt;=0),"Error","OK")</f>
        <v>OK</v>
      </c>
      <c r="X298">
        <f>Table13[[#This Row],[Performance_%]]*Table13[[#This Row],[Quality_%]]*[2]Availability_KPI!K298</f>
        <v>0.38734000000000007</v>
      </c>
      <c r="Y298" t="str">
        <f>IF(OR(Table13[[#This Row],[OEE_%]]&gt;1,Table13[[#This Row],[OEE_%]]&lt;0),"Error","OK")</f>
        <v>OK</v>
      </c>
    </row>
    <row r="299" spans="1:25" x14ac:dyDescent="0.2">
      <c r="A299" t="s">
        <v>386</v>
      </c>
      <c r="B299" t="s">
        <v>385</v>
      </c>
      <c r="C299" s="2">
        <v>46253</v>
      </c>
      <c r="D299" t="s">
        <v>53</v>
      </c>
      <c r="E299" t="s">
        <v>32</v>
      </c>
      <c r="F299" t="s">
        <v>97</v>
      </c>
      <c r="G299" t="s">
        <v>57</v>
      </c>
      <c r="H299">
        <v>549</v>
      </c>
      <c r="I299">
        <v>545</v>
      </c>
      <c r="J299">
        <v>4</v>
      </c>
      <c r="K299">
        <v>21.4</v>
      </c>
      <c r="L299">
        <v>21.4</v>
      </c>
      <c r="M299">
        <v>195.81</v>
      </c>
      <c r="N299">
        <f>_xlfn.XLOOKUP(Table13[[#This Row],[Production_Order_ID]],[1]Sheet1!$A$2:$A$391,[1]Sheet1!$F$2:$F$391,"No Match")</f>
        <v>540</v>
      </c>
      <c r="O299" s="3">
        <f>Table13[[#This Row],[Good_Qty]]/Table13[[#This Row],[Planned_Production]]</f>
        <v>1.0092592592592593</v>
      </c>
      <c r="P299" t="str">
        <f>IF(Table13[[#This Row],[Good_Qty]]&gt;=Table13[[#This Row],[Planned_Production]],"Met","Not Met")</f>
        <v>Met</v>
      </c>
      <c r="Q299">
        <f>Table13[[#This Row],[Good_Qty]]-Table13[[#This Row],[Planned_Production]]</f>
        <v>5</v>
      </c>
      <c r="R299" s="3">
        <f>IF(Table13[[#This Row],[Actual_Qty]]=0,0,Table13[[#This Row],[Reject_Qty]]/Table13[[#This Row],[Actual_Qty]])</f>
        <v>7.2859744990892532E-3</v>
      </c>
      <c r="S299">
        <v>439.89</v>
      </c>
      <c r="T299">
        <f>(Table13[[#This Row],[Ideal_Cycle_Time_sec]]*Table13[[#This Row],[Actual_Qty]])/(Table13[[#This Row],[Operational_Time_min]]*60)</f>
        <v>0.44513401077542109</v>
      </c>
      <c r="U299">
        <f>Table13[[#This Row],[Good_Qty]]/Table13[[#This Row],[Actual_Qty]]</f>
        <v>0.9927140255009107</v>
      </c>
      <c r="V299" t="str">
        <f>IF(OR(Table13[[#This Row],[Performance_%]]&gt;=1,Table13[[#This Row],[Performance_%]]&lt;=0),"Error","OK")</f>
        <v>OK</v>
      </c>
      <c r="W299" t="str">
        <f>IF(OR(Table13[[#This Row],[Quality_%]]&gt;=1,Table13[[#This Row],[Quality_%]]&lt;=0),"Error","OK")</f>
        <v>OK</v>
      </c>
      <c r="X299">
        <f>Table13[[#This Row],[Performance_%]]*Table13[[#This Row],[Quality_%]]*[2]Availability_KPI!K299</f>
        <v>0.43196296296296288</v>
      </c>
      <c r="Y299" t="str">
        <f>IF(OR(Table13[[#This Row],[OEE_%]]&gt;1,Table13[[#This Row],[OEE_%]]&lt;0),"Error","OK")</f>
        <v>OK</v>
      </c>
    </row>
    <row r="300" spans="1:25" x14ac:dyDescent="0.2">
      <c r="A300" t="s">
        <v>387</v>
      </c>
      <c r="B300" t="s">
        <v>385</v>
      </c>
      <c r="C300" s="2">
        <v>46253</v>
      </c>
      <c r="D300" t="s">
        <v>53</v>
      </c>
      <c r="E300" t="s">
        <v>35</v>
      </c>
      <c r="F300" t="s">
        <v>97</v>
      </c>
      <c r="G300" t="s">
        <v>39</v>
      </c>
      <c r="H300">
        <v>548</v>
      </c>
      <c r="I300">
        <v>544</v>
      </c>
      <c r="J300">
        <v>4</v>
      </c>
      <c r="K300">
        <v>23.54</v>
      </c>
      <c r="L300">
        <v>24.33</v>
      </c>
      <c r="M300">
        <v>222.23</v>
      </c>
      <c r="N300">
        <f>_xlfn.XLOOKUP(Table13[[#This Row],[Production_Order_ID]],[1]Sheet1!$A$2:$A$391,[1]Sheet1!$F$2:$F$391,"No Match")</f>
        <v>540</v>
      </c>
      <c r="O300" s="3">
        <f>Table13[[#This Row],[Good_Qty]]/Table13[[#This Row],[Planned_Production]]</f>
        <v>1.0074074074074073</v>
      </c>
      <c r="P300" t="str">
        <f>IF(Table13[[#This Row],[Good_Qty]]&gt;=Table13[[#This Row],[Planned_Production]],"Met","Not Met")</f>
        <v>Met</v>
      </c>
      <c r="Q300">
        <f>Table13[[#This Row],[Good_Qty]]-Table13[[#This Row],[Planned_Production]]</f>
        <v>4</v>
      </c>
      <c r="R300" s="3">
        <f>IF(Table13[[#This Row],[Actual_Qty]]=0,0,Table13[[#This Row],[Reject_Qty]]/Table13[[#This Row],[Actual_Qty]])</f>
        <v>7.2992700729927005E-3</v>
      </c>
      <c r="S300">
        <v>434.33</v>
      </c>
      <c r="T300">
        <f>(Table13[[#This Row],[Ideal_Cycle_Time_sec]]*Table13[[#This Row],[Actual_Qty]])/(Table13[[#This Row],[Operational_Time_min]]*60)</f>
        <v>0.49501224107629377</v>
      </c>
      <c r="U300">
        <f>Table13[[#This Row],[Good_Qty]]/Table13[[#This Row],[Actual_Qty]]</f>
        <v>0.99270072992700731</v>
      </c>
      <c r="V300" t="str">
        <f>IF(OR(Table13[[#This Row],[Performance_%]]&gt;=1,Table13[[#This Row],[Performance_%]]&lt;=0),"Error","OK")</f>
        <v>OK</v>
      </c>
      <c r="W300" t="str">
        <f>IF(OR(Table13[[#This Row],[Quality_%]]&gt;=1,Table13[[#This Row],[Quality_%]]&lt;=0),"Error","OK")</f>
        <v>OK</v>
      </c>
      <c r="X300">
        <f>Table13[[#This Row],[Performance_%]]*Table13[[#This Row],[Quality_%]]*[2]Availability_KPI!K300</f>
        <v>0.47428740740740738</v>
      </c>
      <c r="Y300" t="str">
        <f>IF(OR(Table13[[#This Row],[OEE_%]]&gt;1,Table13[[#This Row],[OEE_%]]&lt;0),"Error","OK")</f>
        <v>OK</v>
      </c>
    </row>
    <row r="301" spans="1:25" x14ac:dyDescent="0.2">
      <c r="A301" t="s">
        <v>388</v>
      </c>
      <c r="B301" t="s">
        <v>385</v>
      </c>
      <c r="C301" s="2">
        <v>46253</v>
      </c>
      <c r="D301" t="s">
        <v>53</v>
      </c>
      <c r="E301" t="s">
        <v>38</v>
      </c>
      <c r="F301" t="s">
        <v>97</v>
      </c>
      <c r="G301" t="s">
        <v>47</v>
      </c>
      <c r="H301">
        <v>563</v>
      </c>
      <c r="I301">
        <v>559</v>
      </c>
      <c r="J301">
        <v>4</v>
      </c>
      <c r="K301">
        <v>21.4</v>
      </c>
      <c r="L301">
        <v>22.61</v>
      </c>
      <c r="M301">
        <v>212.15</v>
      </c>
      <c r="N301">
        <f>_xlfn.XLOOKUP(Table13[[#This Row],[Production_Order_ID]],[1]Sheet1!$A$2:$A$391,[1]Sheet1!$F$2:$F$391,"No Match")</f>
        <v>540</v>
      </c>
      <c r="O301" s="3">
        <f>Table13[[#This Row],[Good_Qty]]/Table13[[#This Row],[Planned_Production]]</f>
        <v>1.0351851851851852</v>
      </c>
      <c r="P301" t="str">
        <f>IF(Table13[[#This Row],[Good_Qty]]&gt;=Table13[[#This Row],[Planned_Production]],"Met","Not Met")</f>
        <v>Met</v>
      </c>
      <c r="Q301">
        <f>Table13[[#This Row],[Good_Qty]]-Table13[[#This Row],[Planned_Production]]</f>
        <v>19</v>
      </c>
      <c r="R301" s="3">
        <f>IF(Table13[[#This Row],[Actual_Qty]]=0,0,Table13[[#This Row],[Reject_Qty]]/Table13[[#This Row],[Actual_Qty]])</f>
        <v>7.104795737122558E-3</v>
      </c>
      <c r="S301">
        <v>438.75</v>
      </c>
      <c r="T301">
        <f>(Table13[[#This Row],[Ideal_Cycle_Time_sec]]*Table13[[#This Row],[Actual_Qty]])/(Table13[[#This Row],[Operational_Time_min]]*60)</f>
        <v>0.45767141500474828</v>
      </c>
      <c r="U301">
        <f>Table13[[#This Row],[Good_Qty]]/Table13[[#This Row],[Actual_Qty]]</f>
        <v>0.99289520426287747</v>
      </c>
      <c r="V301" t="str">
        <f>IF(OR(Table13[[#This Row],[Performance_%]]&gt;=1,Table13[[#This Row],[Performance_%]]&lt;=0),"Error","OK")</f>
        <v>OK</v>
      </c>
      <c r="W301" t="str">
        <f>IF(OR(Table13[[#This Row],[Quality_%]]&gt;=1,Table13[[#This Row],[Quality_%]]&lt;=0),"Error","OK")</f>
        <v>OK</v>
      </c>
      <c r="X301">
        <f>Table13[[#This Row],[Performance_%]]*Table13[[#This Row],[Quality_%]]*[2]Availability_KPI!K301</f>
        <v>0.44305925925925921</v>
      </c>
      <c r="Y301" t="str">
        <f>IF(OR(Table13[[#This Row],[OEE_%]]&gt;1,Table13[[#This Row],[OEE_%]]&lt;0),"Error","OK")</f>
        <v>OK</v>
      </c>
    </row>
    <row r="302" spans="1:25" x14ac:dyDescent="0.2">
      <c r="A302" t="s">
        <v>389</v>
      </c>
      <c r="B302" t="s">
        <v>385</v>
      </c>
      <c r="C302" s="2">
        <v>46253</v>
      </c>
      <c r="D302" t="s">
        <v>53</v>
      </c>
      <c r="E302" t="s">
        <v>41</v>
      </c>
      <c r="F302" t="s">
        <v>97</v>
      </c>
      <c r="G302" t="s">
        <v>33</v>
      </c>
      <c r="H302">
        <v>543</v>
      </c>
      <c r="I302">
        <v>538</v>
      </c>
      <c r="J302">
        <v>5</v>
      </c>
      <c r="K302">
        <v>19.260000000000002</v>
      </c>
      <c r="L302">
        <v>19.760000000000002</v>
      </c>
      <c r="M302">
        <v>178.79</v>
      </c>
      <c r="N302">
        <f>_xlfn.XLOOKUP(Table13[[#This Row],[Production_Order_ID]],[1]Sheet1!$A$2:$A$391,[1]Sheet1!$F$2:$F$391,"No Match")</f>
        <v>540</v>
      </c>
      <c r="O302" s="3">
        <f>Table13[[#This Row],[Good_Qty]]/Table13[[#This Row],[Planned_Production]]</f>
        <v>0.99629629629629635</v>
      </c>
      <c r="P302" t="str">
        <f>IF(Table13[[#This Row],[Good_Qty]]&gt;=Table13[[#This Row],[Planned_Production]],"Met","Not Met")</f>
        <v>Not Met</v>
      </c>
      <c r="Q302">
        <f>Table13[[#This Row],[Good_Qty]]-Table13[[#This Row],[Planned_Production]]</f>
        <v>-2</v>
      </c>
      <c r="R302" s="3">
        <f>IF(Table13[[#This Row],[Actual_Qty]]=0,0,Table13[[#This Row],[Reject_Qty]]/Table13[[#This Row],[Actual_Qty]])</f>
        <v>9.2081031307550652E-3</v>
      </c>
      <c r="S302">
        <v>437.99</v>
      </c>
      <c r="T302">
        <f>(Table13[[#This Row],[Ideal_Cycle_Time_sec]]*Table13[[#This Row],[Actual_Qty]])/(Table13[[#This Row],[Operational_Time_min]]*60)</f>
        <v>0.39796114066531196</v>
      </c>
      <c r="U302">
        <f>Table13[[#This Row],[Good_Qty]]/Table13[[#This Row],[Actual_Qty]]</f>
        <v>0.99079189686924496</v>
      </c>
      <c r="V302" t="str">
        <f>IF(OR(Table13[[#This Row],[Performance_%]]&gt;=1,Table13[[#This Row],[Performance_%]]&lt;=0),"Error","OK")</f>
        <v>OK</v>
      </c>
      <c r="W302" t="str">
        <f>IF(OR(Table13[[#This Row],[Quality_%]]&gt;=1,Table13[[#This Row],[Quality_%]]&lt;=0),"Error","OK")</f>
        <v>OK</v>
      </c>
      <c r="X302">
        <f>Table13[[#This Row],[Performance_%]]*Table13[[#This Row],[Quality_%]]*[2]Availability_KPI!K302</f>
        <v>0.3837733333333333</v>
      </c>
      <c r="Y302" t="str">
        <f>IF(OR(Table13[[#This Row],[OEE_%]]&gt;1,Table13[[#This Row],[OEE_%]]&lt;0),"Error","OK")</f>
        <v>OK</v>
      </c>
    </row>
    <row r="303" spans="1:25" x14ac:dyDescent="0.2">
      <c r="A303" t="s">
        <v>390</v>
      </c>
      <c r="B303" t="s">
        <v>385</v>
      </c>
      <c r="C303" s="2">
        <v>46253</v>
      </c>
      <c r="D303" t="s">
        <v>53</v>
      </c>
      <c r="E303" t="s">
        <v>43</v>
      </c>
      <c r="F303" t="s">
        <v>97</v>
      </c>
      <c r="G303" t="s">
        <v>39</v>
      </c>
      <c r="H303">
        <v>553</v>
      </c>
      <c r="I303">
        <v>544</v>
      </c>
      <c r="J303">
        <v>9</v>
      </c>
      <c r="K303">
        <v>34.24</v>
      </c>
      <c r="L303">
        <v>37.130000000000003</v>
      </c>
      <c r="M303">
        <v>342.2</v>
      </c>
      <c r="N303">
        <f>_xlfn.XLOOKUP(Table13[[#This Row],[Production_Order_ID]],[1]Sheet1!$A$2:$A$391,[1]Sheet1!$F$2:$F$391,"No Match")</f>
        <v>540</v>
      </c>
      <c r="O303" s="3">
        <f>Table13[[#This Row],[Good_Qty]]/Table13[[#This Row],[Planned_Production]]</f>
        <v>1.0074074074074073</v>
      </c>
      <c r="P303" t="str">
        <f>IF(Table13[[#This Row],[Good_Qty]]&gt;=Table13[[#This Row],[Planned_Production]],"Met","Not Met")</f>
        <v>Met</v>
      </c>
      <c r="Q303">
        <f>Table13[[#This Row],[Good_Qty]]-Table13[[#This Row],[Planned_Production]]</f>
        <v>4</v>
      </c>
      <c r="R303" s="3">
        <f>IF(Table13[[#This Row],[Actual_Qty]]=0,0,Table13[[#This Row],[Reject_Qty]]/Table13[[#This Row],[Actual_Qty]])</f>
        <v>1.62748643761302E-2</v>
      </c>
      <c r="S303">
        <v>415.92</v>
      </c>
      <c r="T303">
        <f>(Table13[[#This Row],[Ideal_Cycle_Time_sec]]*Table13[[#This Row],[Actual_Qty]])/(Table13[[#This Row],[Operational_Time_min]]*60)</f>
        <v>0.75874847727127015</v>
      </c>
      <c r="U303">
        <f>Table13[[#This Row],[Good_Qty]]/Table13[[#This Row],[Actual_Qty]]</f>
        <v>0.98372513562386976</v>
      </c>
      <c r="V303" t="str">
        <f>IF(OR(Table13[[#This Row],[Performance_%]]&gt;=1,Table13[[#This Row],[Performance_%]]&lt;=0),"Error","OK")</f>
        <v>OK</v>
      </c>
      <c r="W303" t="str">
        <f>IF(OR(Table13[[#This Row],[Quality_%]]&gt;=1,Table13[[#This Row],[Quality_%]]&lt;=0),"Error","OK")</f>
        <v>OK</v>
      </c>
      <c r="X303">
        <f>Table13[[#This Row],[Performance_%]]*Table13[[#This Row],[Quality_%]]*[2]Availability_KPI!K303</f>
        <v>0.68987259259259259</v>
      </c>
      <c r="Y303" t="str">
        <f>IF(OR(Table13[[#This Row],[OEE_%]]&gt;1,Table13[[#This Row],[OEE_%]]&lt;0),"Error","OK")</f>
        <v>OK</v>
      </c>
    </row>
    <row r="304" spans="1:25" x14ac:dyDescent="0.2">
      <c r="A304" t="s">
        <v>391</v>
      </c>
      <c r="B304" t="s">
        <v>385</v>
      </c>
      <c r="C304" s="2">
        <v>46253</v>
      </c>
      <c r="D304" t="s">
        <v>53</v>
      </c>
      <c r="E304" t="s">
        <v>46</v>
      </c>
      <c r="F304" t="s">
        <v>97</v>
      </c>
      <c r="G304" t="s">
        <v>39</v>
      </c>
      <c r="H304">
        <v>553</v>
      </c>
      <c r="I304">
        <v>549</v>
      </c>
      <c r="J304">
        <v>4</v>
      </c>
      <c r="K304">
        <v>26.75</v>
      </c>
      <c r="L304">
        <v>27.25</v>
      </c>
      <c r="M304">
        <v>251.19</v>
      </c>
      <c r="N304">
        <f>_xlfn.XLOOKUP(Table13[[#This Row],[Production_Order_ID]],[1]Sheet1!$A$2:$A$391,[1]Sheet1!$F$2:$F$391,"No Match")</f>
        <v>540</v>
      </c>
      <c r="O304" s="3">
        <f>Table13[[#This Row],[Good_Qty]]/Table13[[#This Row],[Planned_Production]]</f>
        <v>1.0166666666666666</v>
      </c>
      <c r="P304" t="str">
        <f>IF(Table13[[#This Row],[Good_Qty]]&gt;=Table13[[#This Row],[Planned_Production]],"Met","Not Met")</f>
        <v>Met</v>
      </c>
      <c r="Q304">
        <f>Table13[[#This Row],[Good_Qty]]-Table13[[#This Row],[Planned_Production]]</f>
        <v>9</v>
      </c>
      <c r="R304" s="3">
        <f>IF(Table13[[#This Row],[Actual_Qty]]=0,0,Table13[[#This Row],[Reject_Qty]]/Table13[[#This Row],[Actual_Qty]])</f>
        <v>7.2332730560578659E-3</v>
      </c>
      <c r="S304">
        <v>433.92</v>
      </c>
      <c r="T304">
        <f>(Table13[[#This Row],[Ideal_Cycle_Time_sec]]*Table13[[#This Row],[Actual_Qty]])/(Table13[[#This Row],[Operational_Time_min]]*60)</f>
        <v>0.5681826911258604</v>
      </c>
      <c r="U304">
        <f>Table13[[#This Row],[Good_Qty]]/Table13[[#This Row],[Actual_Qty]]</f>
        <v>0.99276672694394208</v>
      </c>
      <c r="V304" t="str">
        <f>IF(OR(Table13[[#This Row],[Performance_%]]&gt;=1,Table13[[#This Row],[Performance_%]]&lt;=0),"Error","OK")</f>
        <v>OK</v>
      </c>
      <c r="W304" t="str">
        <f>IF(OR(Table13[[#This Row],[Quality_%]]&gt;=1,Table13[[#This Row],[Quality_%]]&lt;=0),"Error","OK")</f>
        <v>OK</v>
      </c>
      <c r="X304">
        <f>Table13[[#This Row],[Performance_%]]*Table13[[#This Row],[Quality_%]]*[2]Availability_KPI!K304</f>
        <v>0.54391666666666671</v>
      </c>
      <c r="Y304" t="str">
        <f>IF(OR(Table13[[#This Row],[OEE_%]]&gt;1,Table13[[#This Row],[OEE_%]]&lt;0),"Error","OK")</f>
        <v>OK</v>
      </c>
    </row>
    <row r="305" spans="1:25" x14ac:dyDescent="0.2">
      <c r="A305" t="s">
        <v>392</v>
      </c>
      <c r="B305" t="s">
        <v>385</v>
      </c>
      <c r="C305" s="2">
        <v>46253</v>
      </c>
      <c r="D305" t="s">
        <v>53</v>
      </c>
      <c r="E305" t="s">
        <v>49</v>
      </c>
      <c r="F305" t="s">
        <v>97</v>
      </c>
      <c r="G305" t="s">
        <v>39</v>
      </c>
      <c r="H305">
        <v>558</v>
      </c>
      <c r="I305">
        <v>556</v>
      </c>
      <c r="J305">
        <v>2</v>
      </c>
      <c r="K305">
        <v>21.4</v>
      </c>
      <c r="L305">
        <v>21.4</v>
      </c>
      <c r="M305">
        <v>199.02</v>
      </c>
      <c r="N305">
        <f>_xlfn.XLOOKUP(Table13[[#This Row],[Production_Order_ID]],[1]Sheet1!$A$2:$A$391,[1]Sheet1!$F$2:$F$391,"No Match")</f>
        <v>540</v>
      </c>
      <c r="O305" s="3">
        <f>Table13[[#This Row],[Good_Qty]]/Table13[[#This Row],[Planned_Production]]</f>
        <v>1.0296296296296297</v>
      </c>
      <c r="P305" t="str">
        <f>IF(Table13[[#This Row],[Good_Qty]]&gt;=Table13[[#This Row],[Planned_Production]],"Met","Not Met")</f>
        <v>Met</v>
      </c>
      <c r="Q305">
        <f>Table13[[#This Row],[Good_Qty]]-Table13[[#This Row],[Planned_Production]]</f>
        <v>16</v>
      </c>
      <c r="R305" s="3">
        <f>IF(Table13[[#This Row],[Actual_Qty]]=0,0,Table13[[#This Row],[Reject_Qty]]/Table13[[#This Row],[Actual_Qty]])</f>
        <v>3.5842293906810036E-3</v>
      </c>
      <c r="S305">
        <v>442.86</v>
      </c>
      <c r="T305">
        <f>(Table13[[#This Row],[Ideal_Cycle_Time_sec]]*Table13[[#This Row],[Actual_Qty]])/(Table13[[#This Row],[Operational_Time_min]]*60)</f>
        <v>0.44939710066386662</v>
      </c>
      <c r="U305">
        <f>Table13[[#This Row],[Good_Qty]]/Table13[[#This Row],[Actual_Qty]]</f>
        <v>0.99641577060931896</v>
      </c>
      <c r="V305" t="str">
        <f>IF(OR(Table13[[#This Row],[Performance_%]]&gt;=1,Table13[[#This Row],[Performance_%]]&lt;=0),"Error","OK")</f>
        <v>OK</v>
      </c>
      <c r="W305" t="str">
        <f>IF(OR(Table13[[#This Row],[Quality_%]]&gt;=1,Table13[[#This Row],[Quality_%]]&lt;=0),"Error","OK")</f>
        <v>OK</v>
      </c>
      <c r="X305">
        <f>Table13[[#This Row],[Performance_%]]*Table13[[#This Row],[Quality_%]]*[2]Availability_KPI!K305</f>
        <v>0.44068148148148145</v>
      </c>
      <c r="Y305" t="str">
        <f>IF(OR(Table13[[#This Row],[OEE_%]]&gt;1,Table13[[#This Row],[OEE_%]]&lt;0),"Error","OK")</f>
        <v>OK</v>
      </c>
    </row>
    <row r="306" spans="1:25" x14ac:dyDescent="0.2">
      <c r="A306" t="s">
        <v>393</v>
      </c>
      <c r="B306" t="s">
        <v>394</v>
      </c>
      <c r="C306" s="2">
        <v>46253</v>
      </c>
      <c r="D306" t="s">
        <v>67</v>
      </c>
      <c r="E306" t="s">
        <v>28</v>
      </c>
      <c r="F306" t="s">
        <v>29</v>
      </c>
      <c r="G306" t="s">
        <v>39</v>
      </c>
      <c r="H306">
        <v>584</v>
      </c>
      <c r="I306">
        <v>580</v>
      </c>
      <c r="J306">
        <v>4</v>
      </c>
      <c r="K306">
        <v>19.8</v>
      </c>
      <c r="L306">
        <v>20.36</v>
      </c>
      <c r="M306">
        <v>198.21</v>
      </c>
      <c r="N306">
        <f>_xlfn.XLOOKUP(Table13[[#This Row],[Production_Order_ID]],[1]Sheet1!$A$2:$A$391,[1]Sheet1!$F$2:$F$391,"No Match")</f>
        <v>550</v>
      </c>
      <c r="O306" s="3">
        <f>Table13[[#This Row],[Good_Qty]]/Table13[[#This Row],[Planned_Production]]</f>
        <v>1.0545454545454545</v>
      </c>
      <c r="P306" t="str">
        <f>IF(Table13[[#This Row],[Good_Qty]]&gt;=Table13[[#This Row],[Planned_Production]],"Met","Not Met")</f>
        <v>Met</v>
      </c>
      <c r="Q306">
        <f>Table13[[#This Row],[Good_Qty]]-Table13[[#This Row],[Planned_Production]]</f>
        <v>30</v>
      </c>
      <c r="R306" s="3">
        <f>IF(Table13[[#This Row],[Actual_Qty]]=0,0,Table13[[#This Row],[Reject_Qty]]/Table13[[#This Row],[Actual_Qty]])</f>
        <v>6.8493150684931503E-3</v>
      </c>
      <c r="S306">
        <v>440.82</v>
      </c>
      <c r="T306">
        <f>(Table13[[#This Row],[Ideal_Cycle_Time_sec]]*Table13[[#This Row],[Actual_Qty]])/(Table13[[#This Row],[Operational_Time_min]]*60)</f>
        <v>0.43718524567850825</v>
      </c>
      <c r="U306">
        <f>Table13[[#This Row],[Good_Qty]]/Table13[[#This Row],[Actual_Qty]]</f>
        <v>0.99315068493150682</v>
      </c>
      <c r="V306" t="str">
        <f>IF(OR(Table13[[#This Row],[Performance_%]]&gt;=1,Table13[[#This Row],[Performance_%]]&lt;=0),"Error","OK")</f>
        <v>OK</v>
      </c>
      <c r="W306" t="str">
        <f>IF(OR(Table13[[#This Row],[Quality_%]]&gt;=1,Table13[[#This Row],[Quality_%]]&lt;=0),"Error","OK")</f>
        <v>OK</v>
      </c>
      <c r="X306">
        <f>Table13[[#This Row],[Performance_%]]*Table13[[#This Row],[Quality_%]]*[2]Availability_KPI!K306</f>
        <v>0.42533333333333334</v>
      </c>
      <c r="Y306" t="str">
        <f>IF(OR(Table13[[#This Row],[OEE_%]]&gt;1,Table13[[#This Row],[OEE_%]]&lt;0),"Error","OK")</f>
        <v>OK</v>
      </c>
    </row>
    <row r="307" spans="1:25" x14ac:dyDescent="0.2">
      <c r="A307" t="s">
        <v>395</v>
      </c>
      <c r="B307" t="s">
        <v>394</v>
      </c>
      <c r="C307" s="2">
        <v>46253</v>
      </c>
      <c r="D307" t="s">
        <v>67</v>
      </c>
      <c r="E307" t="s">
        <v>32</v>
      </c>
      <c r="F307" t="s">
        <v>29</v>
      </c>
      <c r="G307" t="s">
        <v>75</v>
      </c>
      <c r="H307">
        <v>587</v>
      </c>
      <c r="I307">
        <v>584</v>
      </c>
      <c r="J307">
        <v>3</v>
      </c>
      <c r="K307">
        <v>22</v>
      </c>
      <c r="L307">
        <v>23.4</v>
      </c>
      <c r="M307">
        <v>228.9</v>
      </c>
      <c r="N307">
        <f>_xlfn.XLOOKUP(Table13[[#This Row],[Production_Order_ID]],[1]Sheet1!$A$2:$A$391,[1]Sheet1!$F$2:$F$391,"No Match")</f>
        <v>550</v>
      </c>
      <c r="O307" s="3">
        <f>Table13[[#This Row],[Good_Qty]]/Table13[[#This Row],[Planned_Production]]</f>
        <v>1.0618181818181818</v>
      </c>
      <c r="P307" t="str">
        <f>IF(Table13[[#This Row],[Good_Qty]]&gt;=Table13[[#This Row],[Planned_Production]],"Met","Not Met")</f>
        <v>Met</v>
      </c>
      <c r="Q307">
        <f>Table13[[#This Row],[Good_Qty]]-Table13[[#This Row],[Planned_Production]]</f>
        <v>34</v>
      </c>
      <c r="R307" s="3">
        <f>IF(Table13[[#This Row],[Actual_Qty]]=0,0,Table13[[#This Row],[Reject_Qty]]/Table13[[#This Row],[Actual_Qty]])</f>
        <v>5.1107325383304937E-3</v>
      </c>
      <c r="S307">
        <v>439.18</v>
      </c>
      <c r="T307">
        <f>(Table13[[#This Row],[Ideal_Cycle_Time_sec]]*Table13[[#This Row],[Actual_Qty]])/(Table13[[#This Row],[Operational_Time_min]]*60)</f>
        <v>0.49007999757123127</v>
      </c>
      <c r="U307">
        <f>Table13[[#This Row],[Good_Qty]]/Table13[[#This Row],[Actual_Qty]]</f>
        <v>0.9948892674616695</v>
      </c>
      <c r="V307" t="str">
        <f>IF(OR(Table13[[#This Row],[Performance_%]]&gt;=1,Table13[[#This Row],[Performance_%]]&lt;=0),"Error","OK")</f>
        <v>OK</v>
      </c>
      <c r="W307" t="str">
        <f>IF(OR(Table13[[#This Row],[Quality_%]]&gt;=1,Table13[[#This Row],[Quality_%]]&lt;=0),"Error","OK")</f>
        <v>OK</v>
      </c>
      <c r="X307">
        <f>Table13[[#This Row],[Performance_%]]*Table13[[#This Row],[Quality_%]]*[2]Availability_KPI!K307</f>
        <v>0.47585185185185191</v>
      </c>
      <c r="Y307" t="str">
        <f>IF(OR(Table13[[#This Row],[OEE_%]]&gt;1,Table13[[#This Row],[OEE_%]]&lt;0),"Error","OK")</f>
        <v>OK</v>
      </c>
    </row>
    <row r="308" spans="1:25" x14ac:dyDescent="0.2">
      <c r="A308" t="s">
        <v>396</v>
      </c>
      <c r="B308" t="s">
        <v>394</v>
      </c>
      <c r="C308" s="2">
        <v>46253</v>
      </c>
      <c r="D308" t="s">
        <v>67</v>
      </c>
      <c r="E308" t="s">
        <v>35</v>
      </c>
      <c r="F308" t="s">
        <v>29</v>
      </c>
      <c r="G308" t="s">
        <v>57</v>
      </c>
      <c r="H308">
        <v>584</v>
      </c>
      <c r="I308">
        <v>580</v>
      </c>
      <c r="J308">
        <v>4</v>
      </c>
      <c r="K308">
        <v>24.2</v>
      </c>
      <c r="L308">
        <v>26.15</v>
      </c>
      <c r="M308">
        <v>254.56</v>
      </c>
      <c r="N308">
        <f>_xlfn.XLOOKUP(Table13[[#This Row],[Production_Order_ID]],[1]Sheet1!$A$2:$A$391,[1]Sheet1!$F$2:$F$391,"No Match")</f>
        <v>550</v>
      </c>
      <c r="O308" s="3">
        <f>Table13[[#This Row],[Good_Qty]]/Table13[[#This Row],[Planned_Production]]</f>
        <v>1.0545454545454545</v>
      </c>
      <c r="P308" t="str">
        <f>IF(Table13[[#This Row],[Good_Qty]]&gt;=Table13[[#This Row],[Planned_Production]],"Met","Not Met")</f>
        <v>Met</v>
      </c>
      <c r="Q308">
        <f>Table13[[#This Row],[Good_Qty]]-Table13[[#This Row],[Planned_Production]]</f>
        <v>30</v>
      </c>
      <c r="R308" s="3">
        <f>IF(Table13[[#This Row],[Actual_Qty]]=0,0,Table13[[#This Row],[Reject_Qty]]/Table13[[#This Row],[Actual_Qty]])</f>
        <v>6.8493150684931503E-3</v>
      </c>
      <c r="S308">
        <v>431.66</v>
      </c>
      <c r="T308">
        <f>(Table13[[#This Row],[Ideal_Cycle_Time_sec]]*Table13[[#This Row],[Actual_Qty]])/(Table13[[#This Row],[Operational_Time_min]]*60)</f>
        <v>0.54567638110241079</v>
      </c>
      <c r="U308">
        <f>Table13[[#This Row],[Good_Qty]]/Table13[[#This Row],[Actual_Qty]]</f>
        <v>0.99315068493150682</v>
      </c>
      <c r="V308" t="str">
        <f>IF(OR(Table13[[#This Row],[Performance_%]]&gt;=1,Table13[[#This Row],[Performance_%]]&lt;=0),"Error","OK")</f>
        <v>OK</v>
      </c>
      <c r="W308" t="str">
        <f>IF(OR(Table13[[#This Row],[Quality_%]]&gt;=1,Table13[[#This Row],[Quality_%]]&lt;=0),"Error","OK")</f>
        <v>OK</v>
      </c>
      <c r="X308">
        <f>Table13[[#This Row],[Performance_%]]*Table13[[#This Row],[Quality_%]]*[2]Availability_KPI!K308</f>
        <v>0.51985185185185179</v>
      </c>
      <c r="Y308" t="str">
        <f>IF(OR(Table13[[#This Row],[OEE_%]]&gt;1,Table13[[#This Row],[OEE_%]]&lt;0),"Error","OK")</f>
        <v>OK</v>
      </c>
    </row>
    <row r="309" spans="1:25" x14ac:dyDescent="0.2">
      <c r="A309" t="s">
        <v>397</v>
      </c>
      <c r="B309" t="s">
        <v>394</v>
      </c>
      <c r="C309" s="2">
        <v>46253</v>
      </c>
      <c r="D309" t="s">
        <v>67</v>
      </c>
      <c r="E309" t="s">
        <v>38</v>
      </c>
      <c r="F309" t="s">
        <v>29</v>
      </c>
      <c r="G309" t="s">
        <v>50</v>
      </c>
      <c r="H309">
        <v>593</v>
      </c>
      <c r="I309">
        <v>590</v>
      </c>
      <c r="J309">
        <v>3</v>
      </c>
      <c r="K309">
        <v>22</v>
      </c>
      <c r="L309">
        <v>23.87</v>
      </c>
      <c r="M309">
        <v>235.92</v>
      </c>
      <c r="N309">
        <f>_xlfn.XLOOKUP(Table13[[#This Row],[Production_Order_ID]],[1]Sheet1!$A$2:$A$391,[1]Sheet1!$F$2:$F$391,"No Match")</f>
        <v>550</v>
      </c>
      <c r="O309" s="3">
        <f>Table13[[#This Row],[Good_Qty]]/Table13[[#This Row],[Planned_Production]]</f>
        <v>1.0727272727272728</v>
      </c>
      <c r="P309" t="str">
        <f>IF(Table13[[#This Row],[Good_Qty]]&gt;=Table13[[#This Row],[Planned_Production]],"Met","Not Met")</f>
        <v>Met</v>
      </c>
      <c r="Q309">
        <f>Table13[[#This Row],[Good_Qty]]-Table13[[#This Row],[Planned_Production]]</f>
        <v>40</v>
      </c>
      <c r="R309" s="3">
        <f>IF(Table13[[#This Row],[Actual_Qty]]=0,0,Table13[[#This Row],[Reject_Qty]]/Table13[[#This Row],[Actual_Qty]])</f>
        <v>5.0590219224283303E-3</v>
      </c>
      <c r="S309">
        <v>440.97</v>
      </c>
      <c r="T309">
        <f>(Table13[[#This Row],[Ideal_Cycle_Time_sec]]*Table13[[#This Row],[Actual_Qty]])/(Table13[[#This Row],[Operational_Time_min]]*60)</f>
        <v>0.49307965016516619</v>
      </c>
      <c r="U309">
        <f>Table13[[#This Row],[Good_Qty]]/Table13[[#This Row],[Actual_Qty]]</f>
        <v>0.99494097807757165</v>
      </c>
      <c r="V309" t="str">
        <f>IF(OR(Table13[[#This Row],[Performance_%]]&gt;=1,Table13[[#This Row],[Performance_%]]&lt;=0),"Error","OK")</f>
        <v>OK</v>
      </c>
      <c r="W309" t="str">
        <f>IF(OR(Table13[[#This Row],[Quality_%]]&gt;=1,Table13[[#This Row],[Quality_%]]&lt;=0),"Error","OK")</f>
        <v>OK</v>
      </c>
      <c r="X309">
        <f>Table13[[#This Row],[Performance_%]]*Table13[[#This Row],[Quality_%]]*[2]Availability_KPI!K309</f>
        <v>0.4807407407407408</v>
      </c>
      <c r="Y309" t="str">
        <f>IF(OR(Table13[[#This Row],[OEE_%]]&gt;1,Table13[[#This Row],[OEE_%]]&lt;0),"Error","OK")</f>
        <v>OK</v>
      </c>
    </row>
    <row r="310" spans="1:25" x14ac:dyDescent="0.2">
      <c r="A310" t="s">
        <v>398</v>
      </c>
      <c r="B310" t="s">
        <v>394</v>
      </c>
      <c r="C310" s="2">
        <v>46253</v>
      </c>
      <c r="D310" t="s">
        <v>67</v>
      </c>
      <c r="E310" t="s">
        <v>41</v>
      </c>
      <c r="F310" t="s">
        <v>29</v>
      </c>
      <c r="G310" t="s">
        <v>47</v>
      </c>
      <c r="H310">
        <v>592</v>
      </c>
      <c r="I310">
        <v>586</v>
      </c>
      <c r="J310">
        <v>6</v>
      </c>
      <c r="K310">
        <v>19.8</v>
      </c>
      <c r="L310">
        <v>20.99</v>
      </c>
      <c r="M310">
        <v>207.1</v>
      </c>
      <c r="N310">
        <f>_xlfn.XLOOKUP(Table13[[#This Row],[Production_Order_ID]],[1]Sheet1!$A$2:$A$391,[1]Sheet1!$F$2:$F$391,"No Match")</f>
        <v>550</v>
      </c>
      <c r="O310" s="3">
        <f>Table13[[#This Row],[Good_Qty]]/Table13[[#This Row],[Planned_Production]]</f>
        <v>1.0654545454545454</v>
      </c>
      <c r="P310" t="str">
        <f>IF(Table13[[#This Row],[Good_Qty]]&gt;=Table13[[#This Row],[Planned_Production]],"Met","Not Met")</f>
        <v>Met</v>
      </c>
      <c r="Q310">
        <f>Table13[[#This Row],[Good_Qty]]-Table13[[#This Row],[Planned_Production]]</f>
        <v>36</v>
      </c>
      <c r="R310" s="3">
        <f>IF(Table13[[#This Row],[Actual_Qty]]=0,0,Table13[[#This Row],[Reject_Qty]]/Table13[[#This Row],[Actual_Qty]])</f>
        <v>1.0135135135135136E-2</v>
      </c>
      <c r="S310">
        <v>437.71</v>
      </c>
      <c r="T310">
        <f>(Table13[[#This Row],[Ideal_Cycle_Time_sec]]*Table13[[#This Row],[Actual_Qty]])/(Table13[[#This Row],[Operational_Time_min]]*60)</f>
        <v>0.44632290786136941</v>
      </c>
      <c r="U310">
        <f>Table13[[#This Row],[Good_Qty]]/Table13[[#This Row],[Actual_Qty]]</f>
        <v>0.98986486486486491</v>
      </c>
      <c r="V310" t="str">
        <f>IF(OR(Table13[[#This Row],[Performance_%]]&gt;=1,Table13[[#This Row],[Performance_%]]&lt;=0),"Error","OK")</f>
        <v>OK</v>
      </c>
      <c r="W310" t="str">
        <f>IF(OR(Table13[[#This Row],[Quality_%]]&gt;=1,Table13[[#This Row],[Quality_%]]&lt;=0),"Error","OK")</f>
        <v>OK</v>
      </c>
      <c r="X310">
        <f>Table13[[#This Row],[Performance_%]]*Table13[[#This Row],[Quality_%]]*[2]Availability_KPI!K310</f>
        <v>0.4297333333333333</v>
      </c>
      <c r="Y310" t="str">
        <f>IF(OR(Table13[[#This Row],[OEE_%]]&gt;1,Table13[[#This Row],[OEE_%]]&lt;0),"Error","OK")</f>
        <v>OK</v>
      </c>
    </row>
    <row r="311" spans="1:25" x14ac:dyDescent="0.2">
      <c r="A311" t="s">
        <v>399</v>
      </c>
      <c r="B311" t="s">
        <v>394</v>
      </c>
      <c r="C311" s="2">
        <v>46253</v>
      </c>
      <c r="D311" t="s">
        <v>67</v>
      </c>
      <c r="E311" t="s">
        <v>43</v>
      </c>
      <c r="F311" t="s">
        <v>29</v>
      </c>
      <c r="G311" t="s">
        <v>75</v>
      </c>
      <c r="H311">
        <v>582</v>
      </c>
      <c r="I311">
        <v>574</v>
      </c>
      <c r="J311">
        <v>8</v>
      </c>
      <c r="K311">
        <v>35.200000000000003</v>
      </c>
      <c r="L311">
        <v>37.549999999999997</v>
      </c>
      <c r="M311">
        <v>364.26</v>
      </c>
      <c r="N311">
        <f>_xlfn.XLOOKUP(Table13[[#This Row],[Production_Order_ID]],[1]Sheet1!$A$2:$A$391,[1]Sheet1!$F$2:$F$391,"No Match")</f>
        <v>550</v>
      </c>
      <c r="O311" s="3">
        <f>Table13[[#This Row],[Good_Qty]]/Table13[[#This Row],[Planned_Production]]</f>
        <v>1.0436363636363637</v>
      </c>
      <c r="P311" t="str">
        <f>IF(Table13[[#This Row],[Good_Qty]]&gt;=Table13[[#This Row],[Planned_Production]],"Met","Not Met")</f>
        <v>Met</v>
      </c>
      <c r="Q311">
        <f>Table13[[#This Row],[Good_Qty]]-Table13[[#This Row],[Planned_Production]]</f>
        <v>24</v>
      </c>
      <c r="R311" s="3">
        <f>IF(Table13[[#This Row],[Actual_Qty]]=0,0,Table13[[#This Row],[Reject_Qty]]/Table13[[#This Row],[Actual_Qty]])</f>
        <v>1.3745704467353952E-2</v>
      </c>
      <c r="S311">
        <v>414.21</v>
      </c>
      <c r="T311">
        <f>(Table13[[#This Row],[Ideal_Cycle_Time_sec]]*Table13[[#This Row],[Actual_Qty]])/(Table13[[#This Row],[Operational_Time_min]]*60)</f>
        <v>0.82431616812727859</v>
      </c>
      <c r="U311">
        <f>Table13[[#This Row],[Good_Qty]]/Table13[[#This Row],[Actual_Qty]]</f>
        <v>0.9862542955326461</v>
      </c>
      <c r="V311" t="str">
        <f>IF(OR(Table13[[#This Row],[Performance_%]]&gt;=1,Table13[[#This Row],[Performance_%]]&lt;=0),"Error","OK")</f>
        <v>OK</v>
      </c>
      <c r="W311" t="str">
        <f>IF(OR(Table13[[#This Row],[Quality_%]]&gt;=1,Table13[[#This Row],[Quality_%]]&lt;=0),"Error","OK")</f>
        <v>OK</v>
      </c>
      <c r="X311">
        <f>Table13[[#This Row],[Performance_%]]*Table13[[#This Row],[Quality_%]]*[2]Availability_KPI!K311</f>
        <v>0.74832592592592617</v>
      </c>
      <c r="Y311" t="str">
        <f>IF(OR(Table13[[#This Row],[OEE_%]]&gt;1,Table13[[#This Row],[OEE_%]]&lt;0),"Error","OK")</f>
        <v>OK</v>
      </c>
    </row>
    <row r="312" spans="1:25" x14ac:dyDescent="0.2">
      <c r="A312" t="s">
        <v>400</v>
      </c>
      <c r="B312" t="s">
        <v>394</v>
      </c>
      <c r="C312" s="2">
        <v>46253</v>
      </c>
      <c r="D312" t="s">
        <v>67</v>
      </c>
      <c r="E312" t="s">
        <v>46</v>
      </c>
      <c r="F312" t="s">
        <v>29</v>
      </c>
      <c r="G312" t="s">
        <v>50</v>
      </c>
      <c r="H312">
        <v>571</v>
      </c>
      <c r="I312">
        <v>565</v>
      </c>
      <c r="J312">
        <v>6</v>
      </c>
      <c r="K312">
        <v>27.5</v>
      </c>
      <c r="L312">
        <v>29.81</v>
      </c>
      <c r="M312">
        <v>283.73</v>
      </c>
      <c r="N312">
        <f>_xlfn.XLOOKUP(Table13[[#This Row],[Production_Order_ID]],[1]Sheet1!$A$2:$A$391,[1]Sheet1!$F$2:$F$391,"No Match")</f>
        <v>550</v>
      </c>
      <c r="O312" s="3">
        <f>Table13[[#This Row],[Good_Qty]]/Table13[[#This Row],[Planned_Production]]</f>
        <v>1.0272727272727273</v>
      </c>
      <c r="P312" t="str">
        <f>IF(Table13[[#This Row],[Good_Qty]]&gt;=Table13[[#This Row],[Planned_Production]],"Met","Not Met")</f>
        <v>Met</v>
      </c>
      <c r="Q312">
        <f>Table13[[#This Row],[Good_Qty]]-Table13[[#This Row],[Planned_Production]]</f>
        <v>15</v>
      </c>
      <c r="R312" s="3">
        <f>IF(Table13[[#This Row],[Actual_Qty]]=0,0,Table13[[#This Row],[Reject_Qty]]/Table13[[#This Row],[Actual_Qty]])</f>
        <v>1.0507880910683012E-2</v>
      </c>
      <c r="S312">
        <v>427.02</v>
      </c>
      <c r="T312">
        <f>(Table13[[#This Row],[Ideal_Cycle_Time_sec]]*Table13[[#This Row],[Actual_Qty]])/(Table13[[#This Row],[Operational_Time_min]]*60)</f>
        <v>0.61287137214494258</v>
      </c>
      <c r="U312">
        <f>Table13[[#This Row],[Good_Qty]]/Table13[[#This Row],[Actual_Qty]]</f>
        <v>0.989492119089317</v>
      </c>
      <c r="V312" t="str">
        <f>IF(OR(Table13[[#This Row],[Performance_%]]&gt;=1,Table13[[#This Row],[Performance_%]]&lt;=0),"Error","OK")</f>
        <v>OK</v>
      </c>
      <c r="W312" t="str">
        <f>IF(OR(Table13[[#This Row],[Quality_%]]&gt;=1,Table13[[#This Row],[Quality_%]]&lt;=0),"Error","OK")</f>
        <v>OK</v>
      </c>
      <c r="X312">
        <f>Table13[[#This Row],[Performance_%]]*Table13[[#This Row],[Quality_%]]*[2]Availability_KPI!K312</f>
        <v>0.57546296296296306</v>
      </c>
      <c r="Y312" t="str">
        <f>IF(OR(Table13[[#This Row],[OEE_%]]&gt;1,Table13[[#This Row],[OEE_%]]&lt;0),"Error","OK")</f>
        <v>OK</v>
      </c>
    </row>
    <row r="313" spans="1:25" x14ac:dyDescent="0.2">
      <c r="A313" t="s">
        <v>401</v>
      </c>
      <c r="B313" t="s">
        <v>394</v>
      </c>
      <c r="C313" s="2">
        <v>46253</v>
      </c>
      <c r="D313" t="s">
        <v>67</v>
      </c>
      <c r="E313" t="s">
        <v>49</v>
      </c>
      <c r="F313" t="s">
        <v>29</v>
      </c>
      <c r="G313" t="s">
        <v>44</v>
      </c>
      <c r="H313">
        <v>586</v>
      </c>
      <c r="I313">
        <v>583</v>
      </c>
      <c r="J313">
        <v>3</v>
      </c>
      <c r="K313">
        <v>22</v>
      </c>
      <c r="L313">
        <v>22.89</v>
      </c>
      <c r="M313">
        <v>223.55</v>
      </c>
      <c r="N313">
        <f>_xlfn.XLOOKUP(Table13[[#This Row],[Production_Order_ID]],[1]Sheet1!$A$2:$A$391,[1]Sheet1!$F$2:$F$391,"No Match")</f>
        <v>550</v>
      </c>
      <c r="O313" s="3">
        <f>Table13[[#This Row],[Good_Qty]]/Table13[[#This Row],[Planned_Production]]</f>
        <v>1.06</v>
      </c>
      <c r="P313" t="str">
        <f>IF(Table13[[#This Row],[Good_Qty]]&gt;=Table13[[#This Row],[Planned_Production]],"Met","Not Met")</f>
        <v>Met</v>
      </c>
      <c r="Q313">
        <f>Table13[[#This Row],[Good_Qty]]-Table13[[#This Row],[Planned_Production]]</f>
        <v>33</v>
      </c>
      <c r="R313" s="3">
        <f>IF(Table13[[#This Row],[Actual_Qty]]=0,0,Table13[[#This Row],[Reject_Qty]]/Table13[[#This Row],[Actual_Qty]])</f>
        <v>5.1194539249146756E-3</v>
      </c>
      <c r="S313">
        <v>441.85</v>
      </c>
      <c r="T313">
        <f>(Table13[[#This Row],[Ideal_Cycle_Time_sec]]*Table13[[#This Row],[Actual_Qty]])/(Table13[[#This Row],[Operational_Time_min]]*60)</f>
        <v>0.48628871034664856</v>
      </c>
      <c r="U313">
        <f>Table13[[#This Row],[Good_Qty]]/Table13[[#This Row],[Actual_Qty]]</f>
        <v>0.99488054607508536</v>
      </c>
      <c r="V313" t="str">
        <f>IF(OR(Table13[[#This Row],[Performance_%]]&gt;=1,Table13[[#This Row],[Performance_%]]&lt;=0),"Error","OK")</f>
        <v>OK</v>
      </c>
      <c r="W313" t="str">
        <f>IF(OR(Table13[[#This Row],[Quality_%]]&gt;=1,Table13[[#This Row],[Quality_%]]&lt;=0),"Error","OK")</f>
        <v>OK</v>
      </c>
      <c r="X313">
        <f>Table13[[#This Row],[Performance_%]]*Table13[[#This Row],[Quality_%]]*[2]Availability_KPI!K313</f>
        <v>0.47503703703703704</v>
      </c>
      <c r="Y313" t="str">
        <f>IF(OR(Table13[[#This Row],[OEE_%]]&gt;1,Table13[[#This Row],[OEE_%]]&lt;0),"Error","OK")</f>
        <v>OK</v>
      </c>
    </row>
    <row r="314" spans="1:25" x14ac:dyDescent="0.2">
      <c r="A314" t="s">
        <v>402</v>
      </c>
      <c r="B314" t="s">
        <v>403</v>
      </c>
      <c r="C314" s="2">
        <v>46254</v>
      </c>
      <c r="D314" t="s">
        <v>27</v>
      </c>
      <c r="E314" t="s">
        <v>28</v>
      </c>
      <c r="F314" t="s">
        <v>54</v>
      </c>
      <c r="G314" t="s">
        <v>57</v>
      </c>
      <c r="H314">
        <v>619</v>
      </c>
      <c r="I314">
        <v>617</v>
      </c>
      <c r="J314">
        <v>2</v>
      </c>
      <c r="K314">
        <v>18</v>
      </c>
      <c r="L314">
        <v>18.760000000000002</v>
      </c>
      <c r="M314">
        <v>193.52</v>
      </c>
      <c r="N314">
        <f>_xlfn.XLOOKUP(Table13[[#This Row],[Production_Order_ID]],[1]Sheet1!$A$2:$A$391,[1]Sheet1!$F$2:$F$391,"No Match")</f>
        <v>410</v>
      </c>
      <c r="O314" s="3">
        <f>Table13[[#This Row],[Good_Qty]]/Table13[[#This Row],[Planned_Production]]</f>
        <v>1.5048780487804878</v>
      </c>
      <c r="P314" t="str">
        <f>IF(Table13[[#This Row],[Good_Qty]]&gt;=Table13[[#This Row],[Planned_Production]],"Met","Not Met")</f>
        <v>Met</v>
      </c>
      <c r="Q314">
        <f>Table13[[#This Row],[Good_Qty]]-Table13[[#This Row],[Planned_Production]]</f>
        <v>207</v>
      </c>
      <c r="R314" s="3">
        <f>IF(Table13[[#This Row],[Actual_Qty]]=0,0,Table13[[#This Row],[Reject_Qty]]/Table13[[#This Row],[Actual_Qty]])</f>
        <v>3.2310177705977385E-3</v>
      </c>
      <c r="S314">
        <v>441.64</v>
      </c>
      <c r="T314">
        <f>(Table13[[#This Row],[Ideal_Cycle_Time_sec]]*Table13[[#This Row],[Actual_Qty]])/(Table13[[#This Row],[Operational_Time_min]]*60)</f>
        <v>0.42047821755275794</v>
      </c>
      <c r="U314">
        <f>Table13[[#This Row],[Good_Qty]]/Table13[[#This Row],[Actual_Qty]]</f>
        <v>0.99676898222940225</v>
      </c>
      <c r="V314" t="str">
        <f>IF(OR(Table13[[#This Row],[Performance_%]]&gt;=1,Table13[[#This Row],[Performance_%]]&lt;=0),"Error","OK")</f>
        <v>OK</v>
      </c>
      <c r="W314" t="str">
        <f>IF(OR(Table13[[#This Row],[Quality_%]]&gt;=1,Table13[[#This Row],[Quality_%]]&lt;=0),"Error","OK")</f>
        <v>OK</v>
      </c>
      <c r="X314">
        <f>Table13[[#This Row],[Performance_%]]*Table13[[#This Row],[Quality_%]]*[2]Availability_KPI!K314</f>
        <v>0.41133333333333338</v>
      </c>
      <c r="Y314" t="str">
        <f>IF(OR(Table13[[#This Row],[OEE_%]]&gt;1,Table13[[#This Row],[OEE_%]]&lt;0),"Error","OK")</f>
        <v>OK</v>
      </c>
    </row>
    <row r="315" spans="1:25" x14ac:dyDescent="0.2">
      <c r="A315" t="s">
        <v>404</v>
      </c>
      <c r="B315" t="s">
        <v>403</v>
      </c>
      <c r="C315" s="2">
        <v>46254</v>
      </c>
      <c r="D315" t="s">
        <v>27</v>
      </c>
      <c r="E315" t="s">
        <v>32</v>
      </c>
      <c r="F315" t="s">
        <v>54</v>
      </c>
      <c r="G315" t="s">
        <v>33</v>
      </c>
      <c r="H315">
        <v>630</v>
      </c>
      <c r="I315">
        <v>625</v>
      </c>
      <c r="J315">
        <v>5</v>
      </c>
      <c r="K315">
        <v>20</v>
      </c>
      <c r="L315">
        <v>21.13</v>
      </c>
      <c r="M315">
        <v>221.88</v>
      </c>
      <c r="N315">
        <f>_xlfn.XLOOKUP(Table13[[#This Row],[Production_Order_ID]],[1]Sheet1!$A$2:$A$391,[1]Sheet1!$F$2:$F$391,"No Match")</f>
        <v>410</v>
      </c>
      <c r="O315" s="3">
        <f>Table13[[#This Row],[Good_Qty]]/Table13[[#This Row],[Planned_Production]]</f>
        <v>1.524390243902439</v>
      </c>
      <c r="P315" t="str">
        <f>IF(Table13[[#This Row],[Good_Qty]]&gt;=Table13[[#This Row],[Planned_Production]],"Met","Not Met")</f>
        <v>Met</v>
      </c>
      <c r="Q315">
        <f>Table13[[#This Row],[Good_Qty]]-Table13[[#This Row],[Planned_Production]]</f>
        <v>215</v>
      </c>
      <c r="R315" s="3">
        <f>IF(Table13[[#This Row],[Actual_Qty]]=0,0,Table13[[#This Row],[Reject_Qty]]/Table13[[#This Row],[Actual_Qty]])</f>
        <v>7.9365079365079361E-3</v>
      </c>
      <c r="S315">
        <v>439.31</v>
      </c>
      <c r="T315">
        <f>(Table13[[#This Row],[Ideal_Cycle_Time_sec]]*Table13[[#This Row],[Actual_Qty]])/(Table13[[#This Row],[Operational_Time_min]]*60)</f>
        <v>0.47802235323575609</v>
      </c>
      <c r="U315">
        <f>Table13[[#This Row],[Good_Qty]]/Table13[[#This Row],[Actual_Qty]]</f>
        <v>0.99206349206349209</v>
      </c>
      <c r="V315" t="str">
        <f>IF(OR(Table13[[#This Row],[Performance_%]]&gt;=1,Table13[[#This Row],[Performance_%]]&lt;=0),"Error","OK")</f>
        <v>OK</v>
      </c>
      <c r="W315" t="str">
        <f>IF(OR(Table13[[#This Row],[Quality_%]]&gt;=1,Table13[[#This Row],[Quality_%]]&lt;=0),"Error","OK")</f>
        <v>OK</v>
      </c>
      <c r="X315">
        <f>Table13[[#This Row],[Performance_%]]*Table13[[#This Row],[Quality_%]]*[2]Availability_KPI!K315</f>
        <v>0.46296296296296297</v>
      </c>
      <c r="Y315" t="str">
        <f>IF(OR(Table13[[#This Row],[OEE_%]]&gt;1,Table13[[#This Row],[OEE_%]]&lt;0),"Error","OK")</f>
        <v>OK</v>
      </c>
    </row>
    <row r="316" spans="1:25" x14ac:dyDescent="0.2">
      <c r="A316" t="s">
        <v>405</v>
      </c>
      <c r="B316" t="s">
        <v>403</v>
      </c>
      <c r="C316" s="2">
        <v>46254</v>
      </c>
      <c r="D316" t="s">
        <v>27</v>
      </c>
      <c r="E316" t="s">
        <v>35</v>
      </c>
      <c r="F316" t="s">
        <v>54</v>
      </c>
      <c r="G316" t="s">
        <v>36</v>
      </c>
      <c r="H316">
        <v>641</v>
      </c>
      <c r="I316">
        <v>638</v>
      </c>
      <c r="J316">
        <v>3</v>
      </c>
      <c r="K316">
        <v>22</v>
      </c>
      <c r="L316">
        <v>23.81</v>
      </c>
      <c r="M316">
        <v>254.36</v>
      </c>
      <c r="N316">
        <f>_xlfn.XLOOKUP(Table13[[#This Row],[Production_Order_ID]],[1]Sheet1!$A$2:$A$391,[1]Sheet1!$F$2:$F$391,"No Match")</f>
        <v>410</v>
      </c>
      <c r="O316" s="3">
        <f>Table13[[#This Row],[Good_Qty]]/Table13[[#This Row],[Planned_Production]]</f>
        <v>1.5560975609756098</v>
      </c>
      <c r="P316" t="str">
        <f>IF(Table13[[#This Row],[Good_Qty]]&gt;=Table13[[#This Row],[Planned_Production]],"Met","Not Met")</f>
        <v>Met</v>
      </c>
      <c r="Q316">
        <f>Table13[[#This Row],[Good_Qty]]-Table13[[#This Row],[Planned_Production]]</f>
        <v>228</v>
      </c>
      <c r="R316" s="3">
        <f>IF(Table13[[#This Row],[Actual_Qty]]=0,0,Table13[[#This Row],[Reject_Qty]]/Table13[[#This Row],[Actual_Qty]])</f>
        <v>4.6801872074882997E-3</v>
      </c>
      <c r="S316">
        <v>429.62</v>
      </c>
      <c r="T316">
        <f>(Table13[[#This Row],[Ideal_Cycle_Time_sec]]*Table13[[#This Row],[Actual_Qty]])/(Table13[[#This Row],[Operational_Time_min]]*60)</f>
        <v>0.54707260679980751</v>
      </c>
      <c r="U316">
        <f>Table13[[#This Row],[Good_Qty]]/Table13[[#This Row],[Actual_Qty]]</f>
        <v>0.99531981279251169</v>
      </c>
      <c r="V316" t="str">
        <f>IF(OR(Table13[[#This Row],[Performance_%]]&gt;=1,Table13[[#This Row],[Performance_%]]&lt;=0),"Error","OK")</f>
        <v>OK</v>
      </c>
      <c r="W316" t="str">
        <f>IF(OR(Table13[[#This Row],[Quality_%]]&gt;=1,Table13[[#This Row],[Quality_%]]&lt;=0),"Error","OK")</f>
        <v>OK</v>
      </c>
      <c r="X316">
        <f>Table13[[#This Row],[Performance_%]]*Table13[[#This Row],[Quality_%]]*[2]Availability_KPI!K316</f>
        <v>0.51985185185185179</v>
      </c>
      <c r="Y316" t="str">
        <f>IF(OR(Table13[[#This Row],[OEE_%]]&gt;1,Table13[[#This Row],[OEE_%]]&lt;0),"Error","OK")</f>
        <v>OK</v>
      </c>
    </row>
    <row r="317" spans="1:25" x14ac:dyDescent="0.2">
      <c r="A317" t="s">
        <v>406</v>
      </c>
      <c r="B317" t="s">
        <v>403</v>
      </c>
      <c r="C317" s="2">
        <v>46254</v>
      </c>
      <c r="D317" t="s">
        <v>27</v>
      </c>
      <c r="E317" t="s">
        <v>38</v>
      </c>
      <c r="F317" t="s">
        <v>54</v>
      </c>
      <c r="G317" t="s">
        <v>44</v>
      </c>
      <c r="H317">
        <v>624</v>
      </c>
      <c r="I317">
        <v>620</v>
      </c>
      <c r="J317">
        <v>4</v>
      </c>
      <c r="K317">
        <v>20</v>
      </c>
      <c r="L317">
        <v>21.34</v>
      </c>
      <c r="M317">
        <v>221.92</v>
      </c>
      <c r="N317">
        <f>_xlfn.XLOOKUP(Table13[[#This Row],[Production_Order_ID]],[1]Sheet1!$A$2:$A$391,[1]Sheet1!$F$2:$F$391,"No Match")</f>
        <v>410</v>
      </c>
      <c r="O317" s="3">
        <f>Table13[[#This Row],[Good_Qty]]/Table13[[#This Row],[Planned_Production]]</f>
        <v>1.5121951219512195</v>
      </c>
      <c r="P317" t="str">
        <f>IF(Table13[[#This Row],[Good_Qty]]&gt;=Table13[[#This Row],[Planned_Production]],"Met","Not Met")</f>
        <v>Met</v>
      </c>
      <c r="Q317">
        <f>Table13[[#This Row],[Good_Qty]]-Table13[[#This Row],[Planned_Production]]</f>
        <v>210</v>
      </c>
      <c r="R317" s="3">
        <f>IF(Table13[[#This Row],[Actual_Qty]]=0,0,Table13[[#This Row],[Reject_Qty]]/Table13[[#This Row],[Actual_Qty]])</f>
        <v>6.41025641025641E-3</v>
      </c>
      <c r="S317">
        <v>438.61</v>
      </c>
      <c r="T317">
        <f>(Table13[[#This Row],[Ideal_Cycle_Time_sec]]*Table13[[#This Row],[Actual_Qty]])/(Table13[[#This Row],[Operational_Time_min]]*60)</f>
        <v>0.47422539385786916</v>
      </c>
      <c r="U317">
        <f>Table13[[#This Row],[Good_Qty]]/Table13[[#This Row],[Actual_Qty]]</f>
        <v>0.99358974358974361</v>
      </c>
      <c r="V317" t="str">
        <f>IF(OR(Table13[[#This Row],[Performance_%]]&gt;=1,Table13[[#This Row],[Performance_%]]&lt;=0),"Error","OK")</f>
        <v>OK</v>
      </c>
      <c r="W317" t="str">
        <f>IF(OR(Table13[[#This Row],[Quality_%]]&gt;=1,Table13[[#This Row],[Quality_%]]&lt;=0),"Error","OK")</f>
        <v>OK</v>
      </c>
      <c r="X317">
        <f>Table13[[#This Row],[Performance_%]]*Table13[[#This Row],[Quality_%]]*[2]Availability_KPI!K317</f>
        <v>0.45925925925925931</v>
      </c>
      <c r="Y317" t="str">
        <f>IF(OR(Table13[[#This Row],[OEE_%]]&gt;1,Table13[[#This Row],[OEE_%]]&lt;0),"Error","OK")</f>
        <v>OK</v>
      </c>
    </row>
    <row r="318" spans="1:25" x14ac:dyDescent="0.2">
      <c r="A318" t="s">
        <v>407</v>
      </c>
      <c r="B318" t="s">
        <v>403</v>
      </c>
      <c r="C318" s="2">
        <v>46254</v>
      </c>
      <c r="D318" t="s">
        <v>27</v>
      </c>
      <c r="E318" t="s">
        <v>41</v>
      </c>
      <c r="F318" t="s">
        <v>54</v>
      </c>
      <c r="G318" t="s">
        <v>50</v>
      </c>
      <c r="H318">
        <v>630</v>
      </c>
      <c r="I318">
        <v>623</v>
      </c>
      <c r="J318">
        <v>7</v>
      </c>
      <c r="K318">
        <v>18</v>
      </c>
      <c r="L318">
        <v>18.84</v>
      </c>
      <c r="M318">
        <v>197.82</v>
      </c>
      <c r="N318">
        <f>_xlfn.XLOOKUP(Table13[[#This Row],[Production_Order_ID]],[1]Sheet1!$A$2:$A$391,[1]Sheet1!$F$2:$F$391,"No Match")</f>
        <v>410</v>
      </c>
      <c r="O318" s="3">
        <f>Table13[[#This Row],[Good_Qty]]/Table13[[#This Row],[Planned_Production]]</f>
        <v>1.5195121951219512</v>
      </c>
      <c r="P318" t="str">
        <f>IF(Table13[[#This Row],[Good_Qty]]&gt;=Table13[[#This Row],[Planned_Production]],"Met","Not Met")</f>
        <v>Met</v>
      </c>
      <c r="Q318">
        <f>Table13[[#This Row],[Good_Qty]]-Table13[[#This Row],[Planned_Production]]</f>
        <v>213</v>
      </c>
      <c r="R318" s="3">
        <f>IF(Table13[[#This Row],[Actual_Qty]]=0,0,Table13[[#This Row],[Reject_Qty]]/Table13[[#This Row],[Actual_Qty]])</f>
        <v>1.1111111111111112E-2</v>
      </c>
      <c r="S318">
        <v>440.49</v>
      </c>
      <c r="T318">
        <f>(Table13[[#This Row],[Ideal_Cycle_Time_sec]]*Table13[[#This Row],[Actual_Qty]])/(Table13[[#This Row],[Operational_Time_min]]*60)</f>
        <v>0.42906762923108355</v>
      </c>
      <c r="U318">
        <f>Table13[[#This Row],[Good_Qty]]/Table13[[#This Row],[Actual_Qty]]</f>
        <v>0.98888888888888893</v>
      </c>
      <c r="V318" t="str">
        <f>IF(OR(Table13[[#This Row],[Performance_%]]&gt;=1,Table13[[#This Row],[Performance_%]]&lt;=0),"Error","OK")</f>
        <v>OK</v>
      </c>
      <c r="W318" t="str">
        <f>IF(OR(Table13[[#This Row],[Quality_%]]&gt;=1,Table13[[#This Row],[Quality_%]]&lt;=0),"Error","OK")</f>
        <v>OK</v>
      </c>
      <c r="X318">
        <f>Table13[[#This Row],[Performance_%]]*Table13[[#This Row],[Quality_%]]*[2]Availability_KPI!K318</f>
        <v>0.41533333333333333</v>
      </c>
      <c r="Y318" t="str">
        <f>IF(OR(Table13[[#This Row],[OEE_%]]&gt;1,Table13[[#This Row],[OEE_%]]&lt;0),"Error","OK")</f>
        <v>OK</v>
      </c>
    </row>
    <row r="319" spans="1:25" x14ac:dyDescent="0.2">
      <c r="A319" t="s">
        <v>408</v>
      </c>
      <c r="B319" t="s">
        <v>403</v>
      </c>
      <c r="C319" s="2">
        <v>46254</v>
      </c>
      <c r="D319" t="s">
        <v>27</v>
      </c>
      <c r="E319" t="s">
        <v>43</v>
      </c>
      <c r="F319" t="s">
        <v>54</v>
      </c>
      <c r="G319" t="s">
        <v>57</v>
      </c>
      <c r="H319">
        <v>635</v>
      </c>
      <c r="I319">
        <v>625</v>
      </c>
      <c r="J319">
        <v>10</v>
      </c>
      <c r="K319">
        <v>32</v>
      </c>
      <c r="L319">
        <v>36.159999999999997</v>
      </c>
      <c r="M319">
        <v>382.64</v>
      </c>
      <c r="N319">
        <f>_xlfn.XLOOKUP(Table13[[#This Row],[Production_Order_ID]],[1]Sheet1!$A$2:$A$391,[1]Sheet1!$F$2:$F$391,"No Match")</f>
        <v>410</v>
      </c>
      <c r="O319" s="3">
        <f>Table13[[#This Row],[Good_Qty]]/Table13[[#This Row],[Planned_Production]]</f>
        <v>1.524390243902439</v>
      </c>
      <c r="P319" t="str">
        <f>IF(Table13[[#This Row],[Good_Qty]]&gt;=Table13[[#This Row],[Planned_Production]],"Met","Not Met")</f>
        <v>Met</v>
      </c>
      <c r="Q319">
        <f>Table13[[#This Row],[Good_Qty]]-Table13[[#This Row],[Planned_Production]]</f>
        <v>215</v>
      </c>
      <c r="R319" s="3">
        <f>IF(Table13[[#This Row],[Actual_Qty]]=0,0,Table13[[#This Row],[Reject_Qty]]/Table13[[#This Row],[Actual_Qty]])</f>
        <v>1.5748031496062992E-2</v>
      </c>
      <c r="S319">
        <v>401.44</v>
      </c>
      <c r="T319">
        <f>(Table13[[#This Row],[Ideal_Cycle_Time_sec]]*Table13[[#This Row],[Actual_Qty]])/(Table13[[#This Row],[Operational_Time_min]]*60)</f>
        <v>0.84362960010628396</v>
      </c>
      <c r="U319">
        <f>Table13[[#This Row],[Good_Qty]]/Table13[[#This Row],[Actual_Qty]]</f>
        <v>0.98425196850393704</v>
      </c>
      <c r="V319" t="str">
        <f>IF(OR(Table13[[#This Row],[Performance_%]]&gt;=1,Table13[[#This Row],[Performance_%]]&lt;=0),"Error","OK")</f>
        <v>OK</v>
      </c>
      <c r="W319" t="str">
        <f>IF(OR(Table13[[#This Row],[Quality_%]]&gt;=1,Table13[[#This Row],[Quality_%]]&lt;=0),"Error","OK")</f>
        <v>OK</v>
      </c>
      <c r="X319">
        <f>Table13[[#This Row],[Performance_%]]*Table13[[#This Row],[Quality_%]]*[2]Availability_KPI!K319</f>
        <v>0.7407407407407407</v>
      </c>
      <c r="Y319" t="str">
        <f>IF(OR(Table13[[#This Row],[OEE_%]]&gt;1,Table13[[#This Row],[OEE_%]]&lt;0),"Error","OK")</f>
        <v>OK</v>
      </c>
    </row>
    <row r="320" spans="1:25" x14ac:dyDescent="0.2">
      <c r="A320" t="s">
        <v>409</v>
      </c>
      <c r="B320" t="s">
        <v>403</v>
      </c>
      <c r="C320" s="2">
        <v>46254</v>
      </c>
      <c r="D320" t="s">
        <v>27</v>
      </c>
      <c r="E320" t="s">
        <v>46</v>
      </c>
      <c r="F320" t="s">
        <v>54</v>
      </c>
      <c r="G320" t="s">
        <v>50</v>
      </c>
      <c r="H320">
        <v>638</v>
      </c>
      <c r="I320">
        <v>633</v>
      </c>
      <c r="J320">
        <v>5</v>
      </c>
      <c r="K320">
        <v>25</v>
      </c>
      <c r="L320">
        <v>26.04</v>
      </c>
      <c r="M320">
        <v>276.89999999999998</v>
      </c>
      <c r="N320">
        <f>_xlfn.XLOOKUP(Table13[[#This Row],[Production_Order_ID]],[1]Sheet1!$A$2:$A$391,[1]Sheet1!$F$2:$F$391,"No Match")</f>
        <v>410</v>
      </c>
      <c r="O320" s="3">
        <f>Table13[[#This Row],[Good_Qty]]/Table13[[#This Row],[Planned_Production]]</f>
        <v>1.5439024390243903</v>
      </c>
      <c r="P320" t="str">
        <f>IF(Table13[[#This Row],[Good_Qty]]&gt;=Table13[[#This Row],[Planned_Production]],"Met","Not Met")</f>
        <v>Met</v>
      </c>
      <c r="Q320">
        <f>Table13[[#This Row],[Good_Qty]]-Table13[[#This Row],[Planned_Production]]</f>
        <v>223</v>
      </c>
      <c r="R320" s="3">
        <f>IF(Table13[[#This Row],[Actual_Qty]]=0,0,Table13[[#This Row],[Reject_Qty]]/Table13[[#This Row],[Actual_Qty]])</f>
        <v>7.8369905956112845E-3</v>
      </c>
      <c r="S320">
        <v>430.57</v>
      </c>
      <c r="T320">
        <f>(Table13[[#This Row],[Ideal_Cycle_Time_sec]]*Table13[[#This Row],[Actual_Qty]])/(Table13[[#This Row],[Operational_Time_min]]*60)</f>
        <v>0.61739864211007112</v>
      </c>
      <c r="U320">
        <f>Table13[[#This Row],[Good_Qty]]/Table13[[#This Row],[Actual_Qty]]</f>
        <v>0.99216300940438873</v>
      </c>
      <c r="V320" t="str">
        <f>IF(OR(Table13[[#This Row],[Performance_%]]&gt;=1,Table13[[#This Row],[Performance_%]]&lt;=0),"Error","OK")</f>
        <v>OK</v>
      </c>
      <c r="W320" t="str">
        <f>IF(OR(Table13[[#This Row],[Quality_%]]&gt;=1,Table13[[#This Row],[Quality_%]]&lt;=0),"Error","OK")</f>
        <v>OK</v>
      </c>
      <c r="X320">
        <f>Table13[[#This Row],[Performance_%]]*Table13[[#This Row],[Quality_%]]*[2]Availability_KPI!K320</f>
        <v>0.58611111111111114</v>
      </c>
      <c r="Y320" t="str">
        <f>IF(OR(Table13[[#This Row],[OEE_%]]&gt;1,Table13[[#This Row],[OEE_%]]&lt;0),"Error","OK")</f>
        <v>OK</v>
      </c>
    </row>
    <row r="321" spans="1:25" x14ac:dyDescent="0.2">
      <c r="A321" t="s">
        <v>410</v>
      </c>
      <c r="B321" t="s">
        <v>403</v>
      </c>
      <c r="C321" s="2">
        <v>46254</v>
      </c>
      <c r="D321" t="s">
        <v>27</v>
      </c>
      <c r="E321" t="s">
        <v>49</v>
      </c>
      <c r="F321" t="s">
        <v>54</v>
      </c>
      <c r="G321" t="s">
        <v>36</v>
      </c>
      <c r="H321">
        <v>637</v>
      </c>
      <c r="I321">
        <v>632</v>
      </c>
      <c r="J321">
        <v>5</v>
      </c>
      <c r="K321">
        <v>20</v>
      </c>
      <c r="L321">
        <v>21.17</v>
      </c>
      <c r="M321">
        <v>224.72</v>
      </c>
      <c r="N321">
        <f>_xlfn.XLOOKUP(Table13[[#This Row],[Production_Order_ID]],[1]Sheet1!$A$2:$A$391,[1]Sheet1!$F$2:$F$391,"No Match")</f>
        <v>410</v>
      </c>
      <c r="O321" s="3">
        <f>Table13[[#This Row],[Good_Qty]]/Table13[[#This Row],[Planned_Production]]</f>
        <v>1.5414634146341464</v>
      </c>
      <c r="P321" t="str">
        <f>IF(Table13[[#This Row],[Good_Qty]]&gt;=Table13[[#This Row],[Planned_Production]],"Met","Not Met")</f>
        <v>Met</v>
      </c>
      <c r="Q321">
        <f>Table13[[#This Row],[Good_Qty]]-Table13[[#This Row],[Planned_Production]]</f>
        <v>222</v>
      </c>
      <c r="R321" s="3">
        <f>IF(Table13[[#This Row],[Actual_Qty]]=0,0,Table13[[#This Row],[Reject_Qty]]/Table13[[#This Row],[Actual_Qty]])</f>
        <v>7.8492935635792772E-3</v>
      </c>
      <c r="S321">
        <v>443.06</v>
      </c>
      <c r="T321">
        <f>(Table13[[#This Row],[Ideal_Cycle_Time_sec]]*Table13[[#This Row],[Actual_Qty]])/(Table13[[#This Row],[Operational_Time_min]]*60)</f>
        <v>0.47924284145112028</v>
      </c>
      <c r="U321">
        <f>Table13[[#This Row],[Good_Qty]]/Table13[[#This Row],[Actual_Qty]]</f>
        <v>0.99215070643642067</v>
      </c>
      <c r="V321" t="str">
        <f>IF(OR(Table13[[#This Row],[Performance_%]]&gt;=1,Table13[[#This Row],[Performance_%]]&lt;=0),"Error","OK")</f>
        <v>OK</v>
      </c>
      <c r="W321" t="str">
        <f>IF(OR(Table13[[#This Row],[Quality_%]]&gt;=1,Table13[[#This Row],[Quality_%]]&lt;=0),"Error","OK")</f>
        <v>OK</v>
      </c>
      <c r="X321">
        <f>Table13[[#This Row],[Performance_%]]*Table13[[#This Row],[Quality_%]]*[2]Availability_KPI!K321</f>
        <v>0.46814814814814815</v>
      </c>
      <c r="Y321" t="str">
        <f>IF(OR(Table13[[#This Row],[OEE_%]]&gt;1,Table13[[#This Row],[OEE_%]]&lt;0),"Error","OK")</f>
        <v>OK</v>
      </c>
    </row>
    <row r="322" spans="1:25" x14ac:dyDescent="0.2">
      <c r="A322" t="s">
        <v>411</v>
      </c>
      <c r="B322" t="s">
        <v>412</v>
      </c>
      <c r="C322" s="2">
        <v>46254</v>
      </c>
      <c r="D322" t="s">
        <v>53</v>
      </c>
      <c r="E322" t="s">
        <v>28</v>
      </c>
      <c r="F322" t="s">
        <v>29</v>
      </c>
      <c r="G322" t="s">
        <v>39</v>
      </c>
      <c r="H322">
        <v>543</v>
      </c>
      <c r="I322">
        <v>542</v>
      </c>
      <c r="J322">
        <v>1</v>
      </c>
      <c r="K322">
        <v>19.8</v>
      </c>
      <c r="L322">
        <v>21.01</v>
      </c>
      <c r="M322">
        <v>190.16</v>
      </c>
      <c r="N322">
        <f>_xlfn.XLOOKUP(Table13[[#This Row],[Production_Order_ID]],[1]Sheet1!$A$2:$A$391,[1]Sheet1!$F$2:$F$391,"No Match")</f>
        <v>480</v>
      </c>
      <c r="O322" s="3">
        <f>Table13[[#This Row],[Good_Qty]]/Table13[[#This Row],[Planned_Production]]</f>
        <v>1.1291666666666667</v>
      </c>
      <c r="P322" t="str">
        <f>IF(Table13[[#This Row],[Good_Qty]]&gt;=Table13[[#This Row],[Planned_Production]],"Met","Not Met")</f>
        <v>Met</v>
      </c>
      <c r="Q322">
        <f>Table13[[#This Row],[Good_Qty]]-Table13[[#This Row],[Planned_Production]]</f>
        <v>62</v>
      </c>
      <c r="R322" s="3">
        <f>IF(Table13[[#This Row],[Actual_Qty]]=0,0,Table13[[#This Row],[Reject_Qty]]/Table13[[#This Row],[Actual_Qty]])</f>
        <v>1.841620626151013E-3</v>
      </c>
      <c r="S322">
        <v>442.02</v>
      </c>
      <c r="T322">
        <f>(Table13[[#This Row],[Ideal_Cycle_Time_sec]]*Table13[[#This Row],[Actual_Qty]])/(Table13[[#This Row],[Operational_Time_min]]*60)</f>
        <v>0.40538889643002585</v>
      </c>
      <c r="U322">
        <f>Table13[[#This Row],[Good_Qty]]/Table13[[#This Row],[Actual_Qty]]</f>
        <v>0.99815837937384899</v>
      </c>
      <c r="V322" t="str">
        <f>IF(OR(Table13[[#This Row],[Performance_%]]&gt;=1,Table13[[#This Row],[Performance_%]]&lt;=0),"Error","OK")</f>
        <v>OK</v>
      </c>
      <c r="W322" t="str">
        <f>IF(OR(Table13[[#This Row],[Quality_%]]&gt;=1,Table13[[#This Row],[Quality_%]]&lt;=0),"Error","OK")</f>
        <v>OK</v>
      </c>
      <c r="X322">
        <f>Table13[[#This Row],[Performance_%]]*Table13[[#This Row],[Quality_%]]*[2]Availability_KPI!K322</f>
        <v>0.39746666666666669</v>
      </c>
      <c r="Y322" t="str">
        <f>IF(OR(Table13[[#This Row],[OEE_%]]&gt;1,Table13[[#This Row],[OEE_%]]&lt;0),"Error","OK")</f>
        <v>OK</v>
      </c>
    </row>
    <row r="323" spans="1:25" x14ac:dyDescent="0.2">
      <c r="A323" t="s">
        <v>413</v>
      </c>
      <c r="B323" t="s">
        <v>412</v>
      </c>
      <c r="C323" s="2">
        <v>46254</v>
      </c>
      <c r="D323" t="s">
        <v>53</v>
      </c>
      <c r="E323" t="s">
        <v>32</v>
      </c>
      <c r="F323" t="s">
        <v>29</v>
      </c>
      <c r="G323" t="s">
        <v>36</v>
      </c>
      <c r="H323">
        <v>547</v>
      </c>
      <c r="I323">
        <v>542</v>
      </c>
      <c r="J323">
        <v>5</v>
      </c>
      <c r="K323">
        <v>22</v>
      </c>
      <c r="L323">
        <v>22.74</v>
      </c>
      <c r="M323">
        <v>207.32</v>
      </c>
      <c r="N323">
        <f>_xlfn.XLOOKUP(Table13[[#This Row],[Production_Order_ID]],[1]Sheet1!$A$2:$A$391,[1]Sheet1!$F$2:$F$391,"No Match")</f>
        <v>480</v>
      </c>
      <c r="O323" s="3">
        <f>Table13[[#This Row],[Good_Qty]]/Table13[[#This Row],[Planned_Production]]</f>
        <v>1.1291666666666667</v>
      </c>
      <c r="P323" t="str">
        <f>IF(Table13[[#This Row],[Good_Qty]]&gt;=Table13[[#This Row],[Planned_Production]],"Met","Not Met")</f>
        <v>Met</v>
      </c>
      <c r="Q323">
        <f>Table13[[#This Row],[Good_Qty]]-Table13[[#This Row],[Planned_Production]]</f>
        <v>62</v>
      </c>
      <c r="R323" s="3">
        <f>IF(Table13[[#This Row],[Actual_Qty]]=0,0,Table13[[#This Row],[Reject_Qty]]/Table13[[#This Row],[Actual_Qty]])</f>
        <v>9.140767824497258E-3</v>
      </c>
      <c r="S323">
        <v>436.08</v>
      </c>
      <c r="T323">
        <f>(Table13[[#This Row],[Ideal_Cycle_Time_sec]]*Table13[[#This Row],[Actual_Qty]])/(Table13[[#This Row],[Operational_Time_min]]*60)</f>
        <v>0.4599308995291384</v>
      </c>
      <c r="U323">
        <f>Table13[[#This Row],[Good_Qty]]/Table13[[#This Row],[Actual_Qty]]</f>
        <v>0.99085923217550276</v>
      </c>
      <c r="V323" t="str">
        <f>IF(OR(Table13[[#This Row],[Performance_%]]&gt;=1,Table13[[#This Row],[Performance_%]]&lt;=0),"Error","OK")</f>
        <v>OK</v>
      </c>
      <c r="W323" t="str">
        <f>IF(OR(Table13[[#This Row],[Quality_%]]&gt;=1,Table13[[#This Row],[Quality_%]]&lt;=0),"Error","OK")</f>
        <v>OK</v>
      </c>
      <c r="X323">
        <f>Table13[[#This Row],[Performance_%]]*Table13[[#This Row],[Quality_%]]*[2]Availability_KPI!K323</f>
        <v>0.44162962962962965</v>
      </c>
      <c r="Y323" t="str">
        <f>IF(OR(Table13[[#This Row],[OEE_%]]&gt;1,Table13[[#This Row],[OEE_%]]&lt;0),"Error","OK")</f>
        <v>OK</v>
      </c>
    </row>
    <row r="324" spans="1:25" x14ac:dyDescent="0.2">
      <c r="A324" t="s">
        <v>414</v>
      </c>
      <c r="B324" t="s">
        <v>412</v>
      </c>
      <c r="C324" s="2">
        <v>46254</v>
      </c>
      <c r="D324" t="s">
        <v>53</v>
      </c>
      <c r="E324" t="s">
        <v>35</v>
      </c>
      <c r="F324" t="s">
        <v>29</v>
      </c>
      <c r="G324" t="s">
        <v>44</v>
      </c>
      <c r="H324">
        <v>559</v>
      </c>
      <c r="I324">
        <v>554</v>
      </c>
      <c r="J324">
        <v>5</v>
      </c>
      <c r="K324">
        <v>24.2</v>
      </c>
      <c r="L324">
        <v>26.89</v>
      </c>
      <c r="M324">
        <v>250.56</v>
      </c>
      <c r="N324">
        <f>_xlfn.XLOOKUP(Table13[[#This Row],[Production_Order_ID]],[1]Sheet1!$A$2:$A$391,[1]Sheet1!$F$2:$F$391,"No Match")</f>
        <v>480</v>
      </c>
      <c r="O324" s="3">
        <f>Table13[[#This Row],[Good_Qty]]/Table13[[#This Row],[Planned_Production]]</f>
        <v>1.1541666666666666</v>
      </c>
      <c r="P324" t="str">
        <f>IF(Table13[[#This Row],[Good_Qty]]&gt;=Table13[[#This Row],[Planned_Production]],"Met","Not Met")</f>
        <v>Met</v>
      </c>
      <c r="Q324">
        <f>Table13[[#This Row],[Good_Qty]]-Table13[[#This Row],[Planned_Production]]</f>
        <v>74</v>
      </c>
      <c r="R324" s="3">
        <f>IF(Table13[[#This Row],[Actual_Qty]]=0,0,Table13[[#This Row],[Reject_Qty]]/Table13[[#This Row],[Actual_Qty]])</f>
        <v>8.9445438282647581E-3</v>
      </c>
      <c r="S324">
        <v>431.48</v>
      </c>
      <c r="T324">
        <f>(Table13[[#This Row],[Ideal_Cycle_Time_sec]]*Table13[[#This Row],[Actual_Qty]])/(Table13[[#This Row],[Operational_Time_min]]*60)</f>
        <v>0.52253484132134354</v>
      </c>
      <c r="U324">
        <f>Table13[[#This Row],[Good_Qty]]/Table13[[#This Row],[Actual_Qty]]</f>
        <v>0.99105545617173529</v>
      </c>
      <c r="V324" t="str">
        <f>IF(OR(Table13[[#This Row],[Performance_%]]&gt;=1,Table13[[#This Row],[Performance_%]]&lt;=0),"Error","OK")</f>
        <v>OK</v>
      </c>
      <c r="W324" t="str">
        <f>IF(OR(Table13[[#This Row],[Quality_%]]&gt;=1,Table13[[#This Row],[Quality_%]]&lt;=0),"Error","OK")</f>
        <v>OK</v>
      </c>
      <c r="X324">
        <f>Table13[[#This Row],[Performance_%]]*Table13[[#This Row],[Quality_%]]*[2]Availability_KPI!K324</f>
        <v>0.49654814814814813</v>
      </c>
      <c r="Y324" t="str">
        <f>IF(OR(Table13[[#This Row],[OEE_%]]&gt;1,Table13[[#This Row],[OEE_%]]&lt;0),"Error","OK")</f>
        <v>OK</v>
      </c>
    </row>
    <row r="325" spans="1:25" x14ac:dyDescent="0.2">
      <c r="A325" t="s">
        <v>415</v>
      </c>
      <c r="B325" t="s">
        <v>412</v>
      </c>
      <c r="C325" s="2">
        <v>46254</v>
      </c>
      <c r="D325" t="s">
        <v>53</v>
      </c>
      <c r="E325" t="s">
        <v>38</v>
      </c>
      <c r="F325" t="s">
        <v>29</v>
      </c>
      <c r="G325" t="s">
        <v>36</v>
      </c>
      <c r="H325">
        <v>549</v>
      </c>
      <c r="I325">
        <v>546</v>
      </c>
      <c r="J325">
        <v>3</v>
      </c>
      <c r="K325">
        <v>22</v>
      </c>
      <c r="L325">
        <v>22</v>
      </c>
      <c r="M325">
        <v>201.3</v>
      </c>
      <c r="N325">
        <f>_xlfn.XLOOKUP(Table13[[#This Row],[Production_Order_ID]],[1]Sheet1!$A$2:$A$391,[1]Sheet1!$F$2:$F$391,"No Match")</f>
        <v>480</v>
      </c>
      <c r="O325" s="3">
        <f>Table13[[#This Row],[Good_Qty]]/Table13[[#This Row],[Planned_Production]]</f>
        <v>1.1375</v>
      </c>
      <c r="P325" t="str">
        <f>IF(Table13[[#This Row],[Good_Qty]]&gt;=Table13[[#This Row],[Planned_Production]],"Met","Not Met")</f>
        <v>Met</v>
      </c>
      <c r="Q325">
        <f>Table13[[#This Row],[Good_Qty]]-Table13[[#This Row],[Planned_Production]]</f>
        <v>66</v>
      </c>
      <c r="R325" s="3">
        <f>IF(Table13[[#This Row],[Actual_Qty]]=0,0,Table13[[#This Row],[Reject_Qty]]/Table13[[#This Row],[Actual_Qty]])</f>
        <v>5.4644808743169399E-3</v>
      </c>
      <c r="S325">
        <v>440.16</v>
      </c>
      <c r="T325">
        <f>(Table13[[#This Row],[Ideal_Cycle_Time_sec]]*Table13[[#This Row],[Actual_Qty]])/(Table13[[#This Row],[Operational_Time_min]]*60)</f>
        <v>0.45733369683751357</v>
      </c>
      <c r="U325">
        <f>Table13[[#This Row],[Good_Qty]]/Table13[[#This Row],[Actual_Qty]]</f>
        <v>0.99453551912568305</v>
      </c>
      <c r="V325" t="str">
        <f>IF(OR(Table13[[#This Row],[Performance_%]]&gt;=1,Table13[[#This Row],[Performance_%]]&lt;=0),"Error","OK")</f>
        <v>OK</v>
      </c>
      <c r="W325" t="str">
        <f>IF(OR(Table13[[#This Row],[Quality_%]]&gt;=1,Table13[[#This Row],[Quality_%]]&lt;=0),"Error","OK")</f>
        <v>OK</v>
      </c>
      <c r="X325">
        <f>Table13[[#This Row],[Performance_%]]*Table13[[#This Row],[Quality_%]]*[2]Availability_KPI!K325</f>
        <v>0.44488888888888883</v>
      </c>
      <c r="Y325" t="str">
        <f>IF(OR(Table13[[#This Row],[OEE_%]]&gt;1,Table13[[#This Row],[OEE_%]]&lt;0),"Error","OK")</f>
        <v>OK</v>
      </c>
    </row>
    <row r="326" spans="1:25" x14ac:dyDescent="0.2">
      <c r="A326" t="s">
        <v>416</v>
      </c>
      <c r="B326" t="s">
        <v>412</v>
      </c>
      <c r="C326" s="2">
        <v>46254</v>
      </c>
      <c r="D326" t="s">
        <v>53</v>
      </c>
      <c r="E326" t="s">
        <v>41</v>
      </c>
      <c r="F326" t="s">
        <v>29</v>
      </c>
      <c r="G326" t="s">
        <v>36</v>
      </c>
      <c r="H326">
        <v>561</v>
      </c>
      <c r="I326">
        <v>558</v>
      </c>
      <c r="J326">
        <v>3</v>
      </c>
      <c r="K326">
        <v>19.8</v>
      </c>
      <c r="L326">
        <v>20.5</v>
      </c>
      <c r="M326">
        <v>191.7</v>
      </c>
      <c r="N326">
        <f>_xlfn.XLOOKUP(Table13[[#This Row],[Production_Order_ID]],[1]Sheet1!$A$2:$A$391,[1]Sheet1!$F$2:$F$391,"No Match")</f>
        <v>480</v>
      </c>
      <c r="O326" s="3">
        <f>Table13[[#This Row],[Good_Qty]]/Table13[[#This Row],[Planned_Production]]</f>
        <v>1.1625000000000001</v>
      </c>
      <c r="P326" t="str">
        <f>IF(Table13[[#This Row],[Good_Qty]]&gt;=Table13[[#This Row],[Planned_Production]],"Met","Not Met")</f>
        <v>Met</v>
      </c>
      <c r="Q326">
        <f>Table13[[#This Row],[Good_Qty]]-Table13[[#This Row],[Planned_Production]]</f>
        <v>78</v>
      </c>
      <c r="R326" s="3">
        <f>IF(Table13[[#This Row],[Actual_Qty]]=0,0,Table13[[#This Row],[Reject_Qty]]/Table13[[#This Row],[Actual_Qty]])</f>
        <v>5.3475935828877002E-3</v>
      </c>
      <c r="S326">
        <v>440.03</v>
      </c>
      <c r="T326">
        <f>(Table13[[#This Row],[Ideal_Cycle_Time_sec]]*Table13[[#This Row],[Actual_Qty]])/(Table13[[#This Row],[Operational_Time_min]]*60)</f>
        <v>0.42072131445583261</v>
      </c>
      <c r="U326">
        <f>Table13[[#This Row],[Good_Qty]]/Table13[[#This Row],[Actual_Qty]]</f>
        <v>0.99465240641711228</v>
      </c>
      <c r="V326" t="str">
        <f>IF(OR(Table13[[#This Row],[Performance_%]]&gt;=1,Table13[[#This Row],[Performance_%]]&lt;=0),"Error","OK")</f>
        <v>OK</v>
      </c>
      <c r="W326" t="str">
        <f>IF(OR(Table13[[#This Row],[Quality_%]]&gt;=1,Table13[[#This Row],[Quality_%]]&lt;=0),"Error","OK")</f>
        <v>OK</v>
      </c>
      <c r="X326">
        <f>Table13[[#This Row],[Performance_%]]*Table13[[#This Row],[Quality_%]]*[2]Availability_KPI!K326</f>
        <v>0.40920000000000001</v>
      </c>
      <c r="Y326" t="str">
        <f>IF(OR(Table13[[#This Row],[OEE_%]]&gt;1,Table13[[#This Row],[OEE_%]]&lt;0),"Error","OK")</f>
        <v>OK</v>
      </c>
    </row>
    <row r="327" spans="1:25" x14ac:dyDescent="0.2">
      <c r="A327" t="s">
        <v>417</v>
      </c>
      <c r="B327" t="s">
        <v>412</v>
      </c>
      <c r="C327" s="2">
        <v>46254</v>
      </c>
      <c r="D327" t="s">
        <v>53</v>
      </c>
      <c r="E327" t="s">
        <v>43</v>
      </c>
      <c r="F327" t="s">
        <v>29</v>
      </c>
      <c r="G327" t="s">
        <v>30</v>
      </c>
      <c r="H327">
        <v>552</v>
      </c>
      <c r="I327">
        <v>543</v>
      </c>
      <c r="J327">
        <v>9</v>
      </c>
      <c r="K327">
        <v>35.200000000000003</v>
      </c>
      <c r="L327">
        <v>36.119999999999997</v>
      </c>
      <c r="M327">
        <v>332.32</v>
      </c>
      <c r="N327">
        <f>_xlfn.XLOOKUP(Table13[[#This Row],[Production_Order_ID]],[1]Sheet1!$A$2:$A$391,[1]Sheet1!$F$2:$F$391,"No Match")</f>
        <v>480</v>
      </c>
      <c r="O327" s="3">
        <f>Table13[[#This Row],[Good_Qty]]/Table13[[#This Row],[Planned_Production]]</f>
        <v>1.1312500000000001</v>
      </c>
      <c r="P327" t="str">
        <f>IF(Table13[[#This Row],[Good_Qty]]&gt;=Table13[[#This Row],[Planned_Production]],"Met","Not Met")</f>
        <v>Met</v>
      </c>
      <c r="Q327">
        <f>Table13[[#This Row],[Good_Qty]]-Table13[[#This Row],[Planned_Production]]</f>
        <v>63</v>
      </c>
      <c r="R327" s="3">
        <f>IF(Table13[[#This Row],[Actual_Qty]]=0,0,Table13[[#This Row],[Reject_Qty]]/Table13[[#This Row],[Actual_Qty]])</f>
        <v>1.6304347826086956E-2</v>
      </c>
      <c r="S327">
        <v>410.25</v>
      </c>
      <c r="T327">
        <f>(Table13[[#This Row],[Ideal_Cycle_Time_sec]]*Table13[[#This Row],[Actual_Qty]])/(Table13[[#This Row],[Operational_Time_min]]*60)</f>
        <v>0.78937233394271789</v>
      </c>
      <c r="U327">
        <f>Table13[[#This Row],[Good_Qty]]/Table13[[#This Row],[Actual_Qty]]</f>
        <v>0.98369565217391308</v>
      </c>
      <c r="V327" t="str">
        <f>IF(OR(Table13[[#This Row],[Performance_%]]&gt;=1,Table13[[#This Row],[Performance_%]]&lt;=0),"Error","OK")</f>
        <v>OK</v>
      </c>
      <c r="W327" t="str">
        <f>IF(OR(Table13[[#This Row],[Quality_%]]&gt;=1,Table13[[#This Row],[Quality_%]]&lt;=0),"Error","OK")</f>
        <v>OK</v>
      </c>
      <c r="X327">
        <f>Table13[[#This Row],[Performance_%]]*Table13[[#This Row],[Quality_%]]*[2]Availability_KPI!K327</f>
        <v>0.70791111111111116</v>
      </c>
      <c r="Y327" t="str">
        <f>IF(OR(Table13[[#This Row],[OEE_%]]&gt;1,Table13[[#This Row],[OEE_%]]&lt;0),"Error","OK")</f>
        <v>OK</v>
      </c>
    </row>
    <row r="328" spans="1:25" x14ac:dyDescent="0.2">
      <c r="A328" t="s">
        <v>418</v>
      </c>
      <c r="B328" t="s">
        <v>412</v>
      </c>
      <c r="C328" s="2">
        <v>46254</v>
      </c>
      <c r="D328" t="s">
        <v>53</v>
      </c>
      <c r="E328" t="s">
        <v>46</v>
      </c>
      <c r="F328" t="s">
        <v>29</v>
      </c>
      <c r="G328" t="s">
        <v>61</v>
      </c>
      <c r="H328">
        <v>551</v>
      </c>
      <c r="I328">
        <v>546</v>
      </c>
      <c r="J328">
        <v>5</v>
      </c>
      <c r="K328">
        <v>27.5</v>
      </c>
      <c r="L328">
        <v>29.26</v>
      </c>
      <c r="M328">
        <v>268.70999999999998</v>
      </c>
      <c r="N328">
        <f>_xlfn.XLOOKUP(Table13[[#This Row],[Production_Order_ID]],[1]Sheet1!$A$2:$A$391,[1]Sheet1!$F$2:$F$391,"No Match")</f>
        <v>480</v>
      </c>
      <c r="O328" s="3">
        <f>Table13[[#This Row],[Good_Qty]]/Table13[[#This Row],[Planned_Production]]</f>
        <v>1.1375</v>
      </c>
      <c r="P328" t="str">
        <f>IF(Table13[[#This Row],[Good_Qty]]&gt;=Table13[[#This Row],[Planned_Production]],"Met","Not Met")</f>
        <v>Met</v>
      </c>
      <c r="Q328">
        <f>Table13[[#This Row],[Good_Qty]]-Table13[[#This Row],[Planned_Production]]</f>
        <v>66</v>
      </c>
      <c r="R328" s="3">
        <f>IF(Table13[[#This Row],[Actual_Qty]]=0,0,Table13[[#This Row],[Reject_Qty]]/Table13[[#This Row],[Actual_Qty]])</f>
        <v>9.0744101633393835E-3</v>
      </c>
      <c r="S328">
        <v>434.29</v>
      </c>
      <c r="T328">
        <f>(Table13[[#This Row],[Ideal_Cycle_Time_sec]]*Table13[[#This Row],[Actual_Qty]])/(Table13[[#This Row],[Operational_Time_min]]*60)</f>
        <v>0.58150467813365869</v>
      </c>
      <c r="U328">
        <f>Table13[[#This Row],[Good_Qty]]/Table13[[#This Row],[Actual_Qty]]</f>
        <v>0.99092558983666057</v>
      </c>
      <c r="V328" t="str">
        <f>IF(OR(Table13[[#This Row],[Performance_%]]&gt;=1,Table13[[#This Row],[Performance_%]]&lt;=0),"Error","OK")</f>
        <v>OK</v>
      </c>
      <c r="W328" t="str">
        <f>IF(OR(Table13[[#This Row],[Quality_%]]&gt;=1,Table13[[#This Row],[Quality_%]]&lt;=0),"Error","OK")</f>
        <v>OK</v>
      </c>
      <c r="X328">
        <f>Table13[[#This Row],[Performance_%]]*Table13[[#This Row],[Quality_%]]*[2]Availability_KPI!K328</f>
        <v>0.556111111111111</v>
      </c>
      <c r="Y328" t="str">
        <f>IF(OR(Table13[[#This Row],[OEE_%]]&gt;1,Table13[[#This Row],[OEE_%]]&lt;0),"Error","OK")</f>
        <v>OK</v>
      </c>
    </row>
    <row r="329" spans="1:25" x14ac:dyDescent="0.2">
      <c r="A329" t="s">
        <v>419</v>
      </c>
      <c r="B329" t="s">
        <v>412</v>
      </c>
      <c r="C329" s="2">
        <v>46254</v>
      </c>
      <c r="D329" t="s">
        <v>53</v>
      </c>
      <c r="E329" t="s">
        <v>49</v>
      </c>
      <c r="F329" t="s">
        <v>29</v>
      </c>
      <c r="G329" t="s">
        <v>57</v>
      </c>
      <c r="H329">
        <v>552</v>
      </c>
      <c r="I329">
        <v>549</v>
      </c>
      <c r="J329">
        <v>3</v>
      </c>
      <c r="K329">
        <v>22</v>
      </c>
      <c r="L329">
        <v>22.14</v>
      </c>
      <c r="M329">
        <v>203.72</v>
      </c>
      <c r="N329">
        <f>_xlfn.XLOOKUP(Table13[[#This Row],[Production_Order_ID]],[1]Sheet1!$A$2:$A$391,[1]Sheet1!$F$2:$F$391,"No Match")</f>
        <v>480</v>
      </c>
      <c r="O329" s="3">
        <f>Table13[[#This Row],[Good_Qty]]/Table13[[#This Row],[Planned_Production]]</f>
        <v>1.14375</v>
      </c>
      <c r="P329" t="str">
        <f>IF(Table13[[#This Row],[Good_Qty]]&gt;=Table13[[#This Row],[Planned_Production]],"Met","Not Met")</f>
        <v>Met</v>
      </c>
      <c r="Q329">
        <f>Table13[[#This Row],[Good_Qty]]-Table13[[#This Row],[Planned_Production]]</f>
        <v>69</v>
      </c>
      <c r="R329" s="3">
        <f>IF(Table13[[#This Row],[Actual_Qty]]=0,0,Table13[[#This Row],[Reject_Qty]]/Table13[[#This Row],[Actual_Qty]])</f>
        <v>5.434782608695652E-3</v>
      </c>
      <c r="S329">
        <v>443.13</v>
      </c>
      <c r="T329">
        <f>(Table13[[#This Row],[Ideal_Cycle_Time_sec]]*Table13[[#This Row],[Actual_Qty]])/(Table13[[#This Row],[Operational_Time_min]]*60)</f>
        <v>0.45675084061110738</v>
      </c>
      <c r="U329">
        <f>Table13[[#This Row],[Good_Qty]]/Table13[[#This Row],[Actual_Qty]]</f>
        <v>0.99456521739130432</v>
      </c>
      <c r="V329" t="str">
        <f>IF(OR(Table13[[#This Row],[Performance_%]]&gt;=1,Table13[[#This Row],[Performance_%]]&lt;=0),"Error","OK")</f>
        <v>OK</v>
      </c>
      <c r="W329" t="str">
        <f>IF(OR(Table13[[#This Row],[Quality_%]]&gt;=1,Table13[[#This Row],[Quality_%]]&lt;=0),"Error","OK")</f>
        <v>OK</v>
      </c>
      <c r="X329">
        <f>Table13[[#This Row],[Performance_%]]*Table13[[#This Row],[Quality_%]]*[2]Availability_KPI!K329</f>
        <v>0.44733333333333336</v>
      </c>
      <c r="Y329" t="str">
        <f>IF(OR(Table13[[#This Row],[OEE_%]]&gt;1,Table13[[#This Row],[OEE_%]]&lt;0),"Error","OK")</f>
        <v>OK</v>
      </c>
    </row>
    <row r="330" spans="1:25" x14ac:dyDescent="0.2">
      <c r="A330" t="s">
        <v>420</v>
      </c>
      <c r="B330" t="s">
        <v>421</v>
      </c>
      <c r="C330" s="2">
        <v>46254</v>
      </c>
      <c r="D330" t="s">
        <v>67</v>
      </c>
      <c r="E330" t="s">
        <v>28</v>
      </c>
      <c r="F330" t="s">
        <v>54</v>
      </c>
      <c r="G330" t="s">
        <v>55</v>
      </c>
      <c r="H330">
        <v>691</v>
      </c>
      <c r="I330">
        <v>689</v>
      </c>
      <c r="J330">
        <v>2</v>
      </c>
      <c r="K330">
        <v>18</v>
      </c>
      <c r="L330">
        <v>18</v>
      </c>
      <c r="M330">
        <v>207.3</v>
      </c>
      <c r="N330">
        <f>_xlfn.XLOOKUP(Table13[[#This Row],[Production_Order_ID]],[1]Sheet1!$A$2:$A$391,[1]Sheet1!$F$2:$F$391,"No Match")</f>
        <v>410</v>
      </c>
      <c r="O330" s="3">
        <f>Table13[[#This Row],[Good_Qty]]/Table13[[#This Row],[Planned_Production]]</f>
        <v>1.6804878048780487</v>
      </c>
      <c r="P330" t="str">
        <f>IF(Table13[[#This Row],[Good_Qty]]&gt;=Table13[[#This Row],[Planned_Production]],"Met","Not Met")</f>
        <v>Met</v>
      </c>
      <c r="Q330">
        <f>Table13[[#This Row],[Good_Qty]]-Table13[[#This Row],[Planned_Production]]</f>
        <v>279</v>
      </c>
      <c r="R330" s="3">
        <f>IF(Table13[[#This Row],[Actual_Qty]]=0,0,Table13[[#This Row],[Reject_Qty]]/Table13[[#This Row],[Actual_Qty]])</f>
        <v>2.8943560057887118E-3</v>
      </c>
      <c r="S330">
        <v>438.56</v>
      </c>
      <c r="T330">
        <f>(Table13[[#This Row],[Ideal_Cycle_Time_sec]]*Table13[[#This Row],[Actual_Qty]])/(Table13[[#This Row],[Operational_Time_min]]*60)</f>
        <v>0.47268332725282747</v>
      </c>
      <c r="U330">
        <f>Table13[[#This Row],[Good_Qty]]/Table13[[#This Row],[Actual_Qty]]</f>
        <v>0.99710564399421131</v>
      </c>
      <c r="V330" t="str">
        <f>IF(OR(Table13[[#This Row],[Performance_%]]&gt;=1,Table13[[#This Row],[Performance_%]]&lt;=0),"Error","OK")</f>
        <v>OK</v>
      </c>
      <c r="W330" t="str">
        <f>IF(OR(Table13[[#This Row],[Quality_%]]&gt;=1,Table13[[#This Row],[Quality_%]]&lt;=0),"Error","OK")</f>
        <v>OK</v>
      </c>
      <c r="X330">
        <f>Table13[[#This Row],[Performance_%]]*Table13[[#This Row],[Quality_%]]*[2]Availability_KPI!K330</f>
        <v>0.45933333333333337</v>
      </c>
      <c r="Y330" t="str">
        <f>IF(OR(Table13[[#This Row],[OEE_%]]&gt;1,Table13[[#This Row],[OEE_%]]&lt;0),"Error","OK")</f>
        <v>OK</v>
      </c>
    </row>
    <row r="331" spans="1:25" x14ac:dyDescent="0.2">
      <c r="A331" t="s">
        <v>422</v>
      </c>
      <c r="B331" t="s">
        <v>421</v>
      </c>
      <c r="C331" s="2">
        <v>46254</v>
      </c>
      <c r="D331" t="s">
        <v>67</v>
      </c>
      <c r="E331" t="s">
        <v>32</v>
      </c>
      <c r="F331" t="s">
        <v>54</v>
      </c>
      <c r="G331" t="s">
        <v>50</v>
      </c>
      <c r="H331">
        <v>675</v>
      </c>
      <c r="I331">
        <v>669</v>
      </c>
      <c r="J331">
        <v>6</v>
      </c>
      <c r="K331">
        <v>20</v>
      </c>
      <c r="L331">
        <v>21.05</v>
      </c>
      <c r="M331">
        <v>236.85</v>
      </c>
      <c r="N331">
        <f>_xlfn.XLOOKUP(Table13[[#This Row],[Production_Order_ID]],[1]Sheet1!$A$2:$A$391,[1]Sheet1!$F$2:$F$391,"No Match")</f>
        <v>410</v>
      </c>
      <c r="O331" s="3">
        <f>Table13[[#This Row],[Good_Qty]]/Table13[[#This Row],[Planned_Production]]</f>
        <v>1.6317073170731706</v>
      </c>
      <c r="P331" t="str">
        <f>IF(Table13[[#This Row],[Good_Qty]]&gt;=Table13[[#This Row],[Planned_Production]],"Met","Not Met")</f>
        <v>Met</v>
      </c>
      <c r="Q331">
        <f>Table13[[#This Row],[Good_Qty]]-Table13[[#This Row],[Planned_Production]]</f>
        <v>259</v>
      </c>
      <c r="R331" s="3">
        <f>IF(Table13[[#This Row],[Actual_Qty]]=0,0,Table13[[#This Row],[Reject_Qty]]/Table13[[#This Row],[Actual_Qty]])</f>
        <v>8.8888888888888889E-3</v>
      </c>
      <c r="S331">
        <v>437.44</v>
      </c>
      <c r="T331">
        <f>(Table13[[#This Row],[Ideal_Cycle_Time_sec]]*Table13[[#This Row],[Actual_Qty]])/(Table13[[#This Row],[Operational_Time_min]]*60)</f>
        <v>0.51435625457205558</v>
      </c>
      <c r="U331">
        <f>Table13[[#This Row],[Good_Qty]]/Table13[[#This Row],[Actual_Qty]]</f>
        <v>0.99111111111111116</v>
      </c>
      <c r="V331" t="str">
        <f>IF(OR(Table13[[#This Row],[Performance_%]]&gt;=1,Table13[[#This Row],[Performance_%]]&lt;=0),"Error","OK")</f>
        <v>OK</v>
      </c>
      <c r="W331" t="str">
        <f>IF(OR(Table13[[#This Row],[Quality_%]]&gt;=1,Table13[[#This Row],[Quality_%]]&lt;=0),"Error","OK")</f>
        <v>OK</v>
      </c>
      <c r="X331">
        <f>Table13[[#This Row],[Performance_%]]*Table13[[#This Row],[Quality_%]]*[2]Availability_KPI!K331</f>
        <v>0.49555555555555558</v>
      </c>
      <c r="Y331" t="str">
        <f>IF(OR(Table13[[#This Row],[OEE_%]]&gt;1,Table13[[#This Row],[OEE_%]]&lt;0),"Error","OK")</f>
        <v>OK</v>
      </c>
    </row>
    <row r="332" spans="1:25" x14ac:dyDescent="0.2">
      <c r="A332" t="s">
        <v>423</v>
      </c>
      <c r="B332" t="s">
        <v>421</v>
      </c>
      <c r="C332" s="2">
        <v>46254</v>
      </c>
      <c r="D332" t="s">
        <v>67</v>
      </c>
      <c r="E332" t="s">
        <v>35</v>
      </c>
      <c r="F332" t="s">
        <v>54</v>
      </c>
      <c r="G332" t="s">
        <v>57</v>
      </c>
      <c r="H332">
        <v>689</v>
      </c>
      <c r="I332">
        <v>685</v>
      </c>
      <c r="J332">
        <v>4</v>
      </c>
      <c r="K332">
        <v>22</v>
      </c>
      <c r="L332">
        <v>22.88</v>
      </c>
      <c r="M332">
        <v>262.68</v>
      </c>
      <c r="N332">
        <f>_xlfn.XLOOKUP(Table13[[#This Row],[Production_Order_ID]],[1]Sheet1!$A$2:$A$391,[1]Sheet1!$F$2:$F$391,"No Match")</f>
        <v>410</v>
      </c>
      <c r="O332" s="3">
        <f>Table13[[#This Row],[Good_Qty]]/Table13[[#This Row],[Planned_Production]]</f>
        <v>1.6707317073170731</v>
      </c>
      <c r="P332" t="str">
        <f>IF(Table13[[#This Row],[Good_Qty]]&gt;=Table13[[#This Row],[Planned_Production]],"Met","Not Met")</f>
        <v>Met</v>
      </c>
      <c r="Q332">
        <f>Table13[[#This Row],[Good_Qty]]-Table13[[#This Row],[Planned_Production]]</f>
        <v>275</v>
      </c>
      <c r="R332" s="3">
        <f>IF(Table13[[#This Row],[Actual_Qty]]=0,0,Table13[[#This Row],[Reject_Qty]]/Table13[[#This Row],[Actual_Qty]])</f>
        <v>5.8055152394775036E-3</v>
      </c>
      <c r="S332">
        <v>430.65</v>
      </c>
      <c r="T332">
        <f>(Table13[[#This Row],[Ideal_Cycle_Time_sec]]*Table13[[#This Row],[Actual_Qty]])/(Table13[[#This Row],[Operational_Time_min]]*60)</f>
        <v>0.58663260962111541</v>
      </c>
      <c r="U332">
        <f>Table13[[#This Row],[Good_Qty]]/Table13[[#This Row],[Actual_Qty]]</f>
        <v>0.99419448476052252</v>
      </c>
      <c r="V332" t="str">
        <f>IF(OR(Table13[[#This Row],[Performance_%]]&gt;=1,Table13[[#This Row],[Performance_%]]&lt;=0),"Error","OK")</f>
        <v>OK</v>
      </c>
      <c r="W332" t="str">
        <f>IF(OR(Table13[[#This Row],[Quality_%]]&gt;=1,Table13[[#This Row],[Quality_%]]&lt;=0),"Error","OK")</f>
        <v>OK</v>
      </c>
      <c r="X332">
        <f>Table13[[#This Row],[Performance_%]]*Table13[[#This Row],[Quality_%]]*[2]Availability_KPI!K332</f>
        <v>0.55814814814814817</v>
      </c>
      <c r="Y332" t="str">
        <f>IF(OR(Table13[[#This Row],[OEE_%]]&gt;1,Table13[[#This Row],[OEE_%]]&lt;0),"Error","OK")</f>
        <v>OK</v>
      </c>
    </row>
    <row r="333" spans="1:25" x14ac:dyDescent="0.2">
      <c r="A333" t="s">
        <v>424</v>
      </c>
      <c r="B333" t="s">
        <v>421</v>
      </c>
      <c r="C333" s="2">
        <v>46254</v>
      </c>
      <c r="D333" t="s">
        <v>67</v>
      </c>
      <c r="E333" t="s">
        <v>38</v>
      </c>
      <c r="F333" t="s">
        <v>54</v>
      </c>
      <c r="G333" t="s">
        <v>39</v>
      </c>
      <c r="H333">
        <v>684</v>
      </c>
      <c r="I333">
        <v>680</v>
      </c>
      <c r="J333">
        <v>4</v>
      </c>
      <c r="K333">
        <v>20</v>
      </c>
      <c r="L333">
        <v>21.56</v>
      </c>
      <c r="M333">
        <v>245.82</v>
      </c>
      <c r="N333">
        <f>_xlfn.XLOOKUP(Table13[[#This Row],[Production_Order_ID]],[1]Sheet1!$A$2:$A$391,[1]Sheet1!$F$2:$F$391,"No Match")</f>
        <v>410</v>
      </c>
      <c r="O333" s="3">
        <f>Table13[[#This Row],[Good_Qty]]/Table13[[#This Row],[Planned_Production]]</f>
        <v>1.6585365853658536</v>
      </c>
      <c r="P333" t="str">
        <f>IF(Table13[[#This Row],[Good_Qty]]&gt;=Table13[[#This Row],[Planned_Production]],"Met","Not Met")</f>
        <v>Met</v>
      </c>
      <c r="Q333">
        <f>Table13[[#This Row],[Good_Qty]]-Table13[[#This Row],[Planned_Production]]</f>
        <v>270</v>
      </c>
      <c r="R333" s="3">
        <f>IF(Table13[[#This Row],[Actual_Qty]]=0,0,Table13[[#This Row],[Reject_Qty]]/Table13[[#This Row],[Actual_Qty]])</f>
        <v>5.8479532163742687E-3</v>
      </c>
      <c r="S333">
        <v>435.62</v>
      </c>
      <c r="T333">
        <f>(Table13[[#This Row],[Ideal_Cycle_Time_sec]]*Table13[[#This Row],[Actual_Qty]])/(Table13[[#This Row],[Operational_Time_min]]*60)</f>
        <v>0.52339194710986636</v>
      </c>
      <c r="U333">
        <f>Table13[[#This Row],[Good_Qty]]/Table13[[#This Row],[Actual_Qty]]</f>
        <v>0.99415204678362568</v>
      </c>
      <c r="V333" t="str">
        <f>IF(OR(Table13[[#This Row],[Performance_%]]&gt;=1,Table13[[#This Row],[Performance_%]]&lt;=0),"Error","OK")</f>
        <v>OK</v>
      </c>
      <c r="W333" t="str">
        <f>IF(OR(Table13[[#This Row],[Quality_%]]&gt;=1,Table13[[#This Row],[Quality_%]]&lt;=0),"Error","OK")</f>
        <v>OK</v>
      </c>
      <c r="X333">
        <f>Table13[[#This Row],[Performance_%]]*Table13[[#This Row],[Quality_%]]*[2]Availability_KPI!K333</f>
        <v>0.50370370370370365</v>
      </c>
      <c r="Y333" t="str">
        <f>IF(OR(Table13[[#This Row],[OEE_%]]&gt;1,Table13[[#This Row],[OEE_%]]&lt;0),"Error","OK")</f>
        <v>OK</v>
      </c>
    </row>
    <row r="334" spans="1:25" x14ac:dyDescent="0.2">
      <c r="A334" t="s">
        <v>425</v>
      </c>
      <c r="B334" t="s">
        <v>421</v>
      </c>
      <c r="C334" s="2">
        <v>46254</v>
      </c>
      <c r="D334" t="s">
        <v>67</v>
      </c>
      <c r="E334" t="s">
        <v>41</v>
      </c>
      <c r="F334" t="s">
        <v>54</v>
      </c>
      <c r="G334" t="s">
        <v>30</v>
      </c>
      <c r="H334">
        <v>697</v>
      </c>
      <c r="I334">
        <v>695</v>
      </c>
      <c r="J334">
        <v>2</v>
      </c>
      <c r="K334">
        <v>18</v>
      </c>
      <c r="L334">
        <v>18.489999999999998</v>
      </c>
      <c r="M334">
        <v>214.82</v>
      </c>
      <c r="N334">
        <f>_xlfn.XLOOKUP(Table13[[#This Row],[Production_Order_ID]],[1]Sheet1!$A$2:$A$391,[1]Sheet1!$F$2:$F$391,"No Match")</f>
        <v>410</v>
      </c>
      <c r="O334" s="3">
        <f>Table13[[#This Row],[Good_Qty]]/Table13[[#This Row],[Planned_Production]]</f>
        <v>1.6951219512195121</v>
      </c>
      <c r="P334" t="str">
        <f>IF(Table13[[#This Row],[Good_Qty]]&gt;=Table13[[#This Row],[Planned_Production]],"Met","Not Met")</f>
        <v>Met</v>
      </c>
      <c r="Q334">
        <f>Table13[[#This Row],[Good_Qty]]-Table13[[#This Row],[Planned_Production]]</f>
        <v>285</v>
      </c>
      <c r="R334" s="3">
        <f>IF(Table13[[#This Row],[Actual_Qty]]=0,0,Table13[[#This Row],[Reject_Qty]]/Table13[[#This Row],[Actual_Qty]])</f>
        <v>2.8694404591104736E-3</v>
      </c>
      <c r="S334">
        <v>435.24</v>
      </c>
      <c r="T334">
        <f>(Table13[[#This Row],[Ideal_Cycle_Time_sec]]*Table13[[#This Row],[Actual_Qty]])/(Table13[[#This Row],[Operational_Time_min]]*60)</f>
        <v>0.48042459332781912</v>
      </c>
      <c r="U334">
        <f>Table13[[#This Row],[Good_Qty]]/Table13[[#This Row],[Actual_Qty]]</f>
        <v>0.99713055954088947</v>
      </c>
      <c r="V334" t="str">
        <f>IF(OR(Table13[[#This Row],[Performance_%]]&gt;=1,Table13[[#This Row],[Performance_%]]&lt;=0),"Error","OK")</f>
        <v>OK</v>
      </c>
      <c r="W334" t="str">
        <f>IF(OR(Table13[[#This Row],[Quality_%]]&gt;=1,Table13[[#This Row],[Quality_%]]&lt;=0),"Error","OK")</f>
        <v>OK</v>
      </c>
      <c r="X334">
        <f>Table13[[#This Row],[Performance_%]]*Table13[[#This Row],[Quality_%]]*[2]Availability_KPI!K334</f>
        <v>0.46333333333333332</v>
      </c>
      <c r="Y334" t="str">
        <f>IF(OR(Table13[[#This Row],[OEE_%]]&gt;1,Table13[[#This Row],[OEE_%]]&lt;0),"Error","OK")</f>
        <v>OK</v>
      </c>
    </row>
    <row r="335" spans="1:25" x14ac:dyDescent="0.2">
      <c r="A335" t="s">
        <v>426</v>
      </c>
      <c r="B335" t="s">
        <v>421</v>
      </c>
      <c r="C335" s="2">
        <v>46254</v>
      </c>
      <c r="D335" t="s">
        <v>67</v>
      </c>
      <c r="E335" t="s">
        <v>43</v>
      </c>
      <c r="F335" t="s">
        <v>54</v>
      </c>
      <c r="G335" t="s">
        <v>57</v>
      </c>
      <c r="H335">
        <v>676</v>
      </c>
      <c r="I335">
        <v>665</v>
      </c>
      <c r="J335">
        <v>11</v>
      </c>
      <c r="K335">
        <v>32</v>
      </c>
      <c r="L335">
        <v>33.07</v>
      </c>
      <c r="M335">
        <v>372.57</v>
      </c>
      <c r="N335">
        <f>_xlfn.XLOOKUP(Table13[[#This Row],[Production_Order_ID]],[1]Sheet1!$A$2:$A$391,[1]Sheet1!$F$2:$F$391,"No Match")</f>
        <v>410</v>
      </c>
      <c r="O335" s="3">
        <f>Table13[[#This Row],[Good_Qty]]/Table13[[#This Row],[Planned_Production]]</f>
        <v>1.6219512195121952</v>
      </c>
      <c r="P335" t="str">
        <f>IF(Table13[[#This Row],[Good_Qty]]&gt;=Table13[[#This Row],[Planned_Production]],"Met","Not Met")</f>
        <v>Met</v>
      </c>
      <c r="Q335">
        <f>Table13[[#This Row],[Good_Qty]]-Table13[[#This Row],[Planned_Production]]</f>
        <v>255</v>
      </c>
      <c r="R335" s="3">
        <f>IF(Table13[[#This Row],[Actual_Qty]]=0,0,Table13[[#This Row],[Reject_Qty]]/Table13[[#This Row],[Actual_Qty]])</f>
        <v>1.6272189349112426E-2</v>
      </c>
      <c r="S335">
        <v>414.46</v>
      </c>
      <c r="T335">
        <f>(Table13[[#This Row],[Ideal_Cycle_Time_sec]]*Table13[[#This Row],[Actual_Qty]])/(Table13[[#This Row],[Operational_Time_min]]*60)</f>
        <v>0.86988692113432742</v>
      </c>
      <c r="U335">
        <f>Table13[[#This Row],[Good_Qty]]/Table13[[#This Row],[Actual_Qty]]</f>
        <v>0.98372781065088755</v>
      </c>
      <c r="V335" t="str">
        <f>IF(OR(Table13[[#This Row],[Performance_%]]&gt;=1,Table13[[#This Row],[Performance_%]]&lt;=0),"Error","OK")</f>
        <v>OK</v>
      </c>
      <c r="W335" t="str">
        <f>IF(OR(Table13[[#This Row],[Quality_%]]&gt;=1,Table13[[#This Row],[Quality_%]]&lt;=0),"Error","OK")</f>
        <v>OK</v>
      </c>
      <c r="X335">
        <f>Table13[[#This Row],[Performance_%]]*Table13[[#This Row],[Quality_%]]*[2]Availability_KPI!K335</f>
        <v>0.78814814814814804</v>
      </c>
      <c r="Y335" t="str">
        <f>IF(OR(Table13[[#This Row],[OEE_%]]&gt;1,Table13[[#This Row],[OEE_%]]&lt;0),"Error","OK")</f>
        <v>OK</v>
      </c>
    </row>
    <row r="336" spans="1:25" x14ac:dyDescent="0.2">
      <c r="A336" t="s">
        <v>427</v>
      </c>
      <c r="B336" t="s">
        <v>421</v>
      </c>
      <c r="C336" s="2">
        <v>46254</v>
      </c>
      <c r="D336" t="s">
        <v>67</v>
      </c>
      <c r="E336" t="s">
        <v>46</v>
      </c>
      <c r="F336" t="s">
        <v>54</v>
      </c>
      <c r="G336" t="s">
        <v>50</v>
      </c>
      <c r="H336">
        <v>678</v>
      </c>
      <c r="I336">
        <v>669</v>
      </c>
      <c r="J336">
        <v>9</v>
      </c>
      <c r="K336">
        <v>25</v>
      </c>
      <c r="L336">
        <v>25.62</v>
      </c>
      <c r="M336">
        <v>289.47000000000003</v>
      </c>
      <c r="N336">
        <f>_xlfn.XLOOKUP(Table13[[#This Row],[Production_Order_ID]],[1]Sheet1!$A$2:$A$391,[1]Sheet1!$F$2:$F$391,"No Match")</f>
        <v>410</v>
      </c>
      <c r="O336" s="3">
        <f>Table13[[#This Row],[Good_Qty]]/Table13[[#This Row],[Planned_Production]]</f>
        <v>1.6317073170731706</v>
      </c>
      <c r="P336" t="str">
        <f>IF(Table13[[#This Row],[Good_Qty]]&gt;=Table13[[#This Row],[Planned_Production]],"Met","Not Met")</f>
        <v>Met</v>
      </c>
      <c r="Q336">
        <f>Table13[[#This Row],[Good_Qty]]-Table13[[#This Row],[Planned_Production]]</f>
        <v>259</v>
      </c>
      <c r="R336" s="3">
        <f>IF(Table13[[#This Row],[Actual_Qty]]=0,0,Table13[[#This Row],[Reject_Qty]]/Table13[[#This Row],[Actual_Qty]])</f>
        <v>1.3274336283185841E-2</v>
      </c>
      <c r="S336">
        <v>424.41</v>
      </c>
      <c r="T336">
        <f>(Table13[[#This Row],[Ideal_Cycle_Time_sec]]*Table13[[#This Row],[Actual_Qty]])/(Table13[[#This Row],[Operational_Time_min]]*60)</f>
        <v>0.66562993331919595</v>
      </c>
      <c r="U336">
        <f>Table13[[#This Row],[Good_Qty]]/Table13[[#This Row],[Actual_Qty]]</f>
        <v>0.98672566371681414</v>
      </c>
      <c r="V336" t="str">
        <f>IF(OR(Table13[[#This Row],[Performance_%]]&gt;=1,Table13[[#This Row],[Performance_%]]&lt;=0),"Error","OK")</f>
        <v>OK</v>
      </c>
      <c r="W336" t="str">
        <f>IF(OR(Table13[[#This Row],[Quality_%]]&gt;=1,Table13[[#This Row],[Quality_%]]&lt;=0),"Error","OK")</f>
        <v>OK</v>
      </c>
      <c r="X336">
        <f>Table13[[#This Row],[Performance_%]]*Table13[[#This Row],[Quality_%]]*[2]Availability_KPI!K336</f>
        <v>0.61944444444444435</v>
      </c>
      <c r="Y336" t="str">
        <f>IF(OR(Table13[[#This Row],[OEE_%]]&gt;1,Table13[[#This Row],[OEE_%]]&lt;0),"Error","OK")</f>
        <v>OK</v>
      </c>
    </row>
    <row r="337" spans="1:25" x14ac:dyDescent="0.2">
      <c r="A337" t="s">
        <v>428</v>
      </c>
      <c r="B337" t="s">
        <v>421</v>
      </c>
      <c r="C337" s="2">
        <v>46254</v>
      </c>
      <c r="D337" t="s">
        <v>67</v>
      </c>
      <c r="E337" t="s">
        <v>49</v>
      </c>
      <c r="F337" t="s">
        <v>54</v>
      </c>
      <c r="G337" t="s">
        <v>61</v>
      </c>
      <c r="H337">
        <v>676</v>
      </c>
      <c r="I337">
        <v>673</v>
      </c>
      <c r="J337">
        <v>3</v>
      </c>
      <c r="K337">
        <v>20</v>
      </c>
      <c r="L337">
        <v>20.59</v>
      </c>
      <c r="M337">
        <v>231.95</v>
      </c>
      <c r="N337">
        <f>_xlfn.XLOOKUP(Table13[[#This Row],[Production_Order_ID]],[1]Sheet1!$A$2:$A$391,[1]Sheet1!$F$2:$F$391,"No Match")</f>
        <v>410</v>
      </c>
      <c r="O337" s="3">
        <f>Table13[[#This Row],[Good_Qty]]/Table13[[#This Row],[Planned_Production]]</f>
        <v>1.6414634146341462</v>
      </c>
      <c r="P337" t="str">
        <f>IF(Table13[[#This Row],[Good_Qty]]&gt;=Table13[[#This Row],[Planned_Production]],"Met","Not Met")</f>
        <v>Met</v>
      </c>
      <c r="Q337">
        <f>Table13[[#This Row],[Good_Qty]]-Table13[[#This Row],[Planned_Production]]</f>
        <v>263</v>
      </c>
      <c r="R337" s="3">
        <f>IF(Table13[[#This Row],[Actual_Qty]]=0,0,Table13[[#This Row],[Reject_Qty]]/Table13[[#This Row],[Actual_Qty]])</f>
        <v>4.4378698224852072E-3</v>
      </c>
      <c r="S337">
        <v>438.63</v>
      </c>
      <c r="T337">
        <f>(Table13[[#This Row],[Ideal_Cycle_Time_sec]]*Table13[[#This Row],[Actual_Qty]])/(Table13[[#This Row],[Operational_Time_min]]*60)</f>
        <v>0.51372075173456744</v>
      </c>
      <c r="U337">
        <f>Table13[[#This Row],[Good_Qty]]/Table13[[#This Row],[Actual_Qty]]</f>
        <v>0.99556213017751483</v>
      </c>
      <c r="V337" t="str">
        <f>IF(OR(Table13[[#This Row],[Performance_%]]&gt;=1,Table13[[#This Row],[Performance_%]]&lt;=0),"Error","OK")</f>
        <v>OK</v>
      </c>
      <c r="W337" t="str">
        <f>IF(OR(Table13[[#This Row],[Quality_%]]&gt;=1,Table13[[#This Row],[Quality_%]]&lt;=0),"Error","OK")</f>
        <v>OK</v>
      </c>
      <c r="X337">
        <f>Table13[[#This Row],[Performance_%]]*Table13[[#This Row],[Quality_%]]*[2]Availability_KPI!K337</f>
        <v>0.49851851851851847</v>
      </c>
      <c r="Y337" t="str">
        <f>IF(OR(Table13[[#This Row],[OEE_%]]&gt;1,Table13[[#This Row],[OEE_%]]&lt;0),"Error","OK")</f>
        <v>OK</v>
      </c>
    </row>
    <row r="338" spans="1:25" x14ac:dyDescent="0.2">
      <c r="A338" t="s">
        <v>429</v>
      </c>
      <c r="B338" t="s">
        <v>430</v>
      </c>
      <c r="C338" s="2">
        <v>46255</v>
      </c>
      <c r="D338" t="s">
        <v>27</v>
      </c>
      <c r="E338" t="s">
        <v>28</v>
      </c>
      <c r="F338" t="s">
        <v>97</v>
      </c>
      <c r="G338" t="s">
        <v>44</v>
      </c>
      <c r="H338">
        <v>545</v>
      </c>
      <c r="I338">
        <v>542</v>
      </c>
      <c r="J338">
        <v>3</v>
      </c>
      <c r="K338">
        <v>19.260000000000002</v>
      </c>
      <c r="L338">
        <v>19.829999999999998</v>
      </c>
      <c r="M338">
        <v>180.13</v>
      </c>
      <c r="N338">
        <f>_xlfn.XLOOKUP(Table13[[#This Row],[Production_Order_ID]],[1]Sheet1!$A$2:$A$391,[1]Sheet1!$F$2:$F$391,"No Match")</f>
        <v>420</v>
      </c>
      <c r="O338" s="3">
        <f>Table13[[#This Row],[Good_Qty]]/Table13[[#This Row],[Planned_Production]]</f>
        <v>1.2904761904761906</v>
      </c>
      <c r="P338" t="str">
        <f>IF(Table13[[#This Row],[Good_Qty]]&gt;=Table13[[#This Row],[Planned_Production]],"Met","Not Met")</f>
        <v>Met</v>
      </c>
      <c r="Q338">
        <f>Table13[[#This Row],[Good_Qty]]-Table13[[#This Row],[Planned_Production]]</f>
        <v>122</v>
      </c>
      <c r="R338" s="3">
        <f>IF(Table13[[#This Row],[Actual_Qty]]=0,0,Table13[[#This Row],[Reject_Qty]]/Table13[[#This Row],[Actual_Qty]])</f>
        <v>5.5045871559633031E-3</v>
      </c>
      <c r="S338">
        <v>443.11</v>
      </c>
      <c r="T338">
        <f>(Table13[[#This Row],[Ideal_Cycle_Time_sec]]*Table13[[#This Row],[Actual_Qty]])/(Table13[[#This Row],[Operational_Time_min]]*60)</f>
        <v>0.39481167204531603</v>
      </c>
      <c r="U338">
        <f>Table13[[#This Row],[Good_Qty]]/Table13[[#This Row],[Actual_Qty]]</f>
        <v>0.99449541284403675</v>
      </c>
      <c r="V338" t="str">
        <f>IF(OR(Table13[[#This Row],[Performance_%]]&gt;=1,Table13[[#This Row],[Performance_%]]&lt;=0),"Error","OK")</f>
        <v>OK</v>
      </c>
      <c r="W338" t="str">
        <f>IF(OR(Table13[[#This Row],[Quality_%]]&gt;=1,Table13[[#This Row],[Quality_%]]&lt;=0),"Error","OK")</f>
        <v>OK</v>
      </c>
      <c r="X338">
        <f>Table13[[#This Row],[Performance_%]]*Table13[[#This Row],[Quality_%]]*[2]Availability_KPI!K338</f>
        <v>0.38662666666666667</v>
      </c>
      <c r="Y338" t="str">
        <f>IF(OR(Table13[[#This Row],[OEE_%]]&gt;1,Table13[[#This Row],[OEE_%]]&lt;0),"Error","OK")</f>
        <v>OK</v>
      </c>
    </row>
    <row r="339" spans="1:25" x14ac:dyDescent="0.2">
      <c r="A339" t="s">
        <v>431</v>
      </c>
      <c r="B339" t="s">
        <v>430</v>
      </c>
      <c r="C339" s="2">
        <v>46255</v>
      </c>
      <c r="D339" t="s">
        <v>27</v>
      </c>
      <c r="E339" t="s">
        <v>32</v>
      </c>
      <c r="F339" t="s">
        <v>97</v>
      </c>
      <c r="G339" t="s">
        <v>33</v>
      </c>
      <c r="H339">
        <v>550</v>
      </c>
      <c r="I339">
        <v>545</v>
      </c>
      <c r="J339">
        <v>5</v>
      </c>
      <c r="K339">
        <v>21.4</v>
      </c>
      <c r="L339">
        <v>21.66</v>
      </c>
      <c r="M339">
        <v>198.52</v>
      </c>
      <c r="N339">
        <f>_xlfn.XLOOKUP(Table13[[#This Row],[Production_Order_ID]],[1]Sheet1!$A$2:$A$391,[1]Sheet1!$F$2:$F$391,"No Match")</f>
        <v>420</v>
      </c>
      <c r="O339" s="3">
        <f>Table13[[#This Row],[Good_Qty]]/Table13[[#This Row],[Planned_Production]]</f>
        <v>1.2976190476190477</v>
      </c>
      <c r="P339" t="str">
        <f>IF(Table13[[#This Row],[Good_Qty]]&gt;=Table13[[#This Row],[Planned_Production]],"Met","Not Met")</f>
        <v>Met</v>
      </c>
      <c r="Q339">
        <f>Table13[[#This Row],[Good_Qty]]-Table13[[#This Row],[Planned_Production]]</f>
        <v>125</v>
      </c>
      <c r="R339" s="3">
        <f>IF(Table13[[#This Row],[Actual_Qty]]=0,0,Table13[[#This Row],[Reject_Qty]]/Table13[[#This Row],[Actual_Qty]])</f>
        <v>9.0909090909090905E-3</v>
      </c>
      <c r="S339">
        <v>439.91</v>
      </c>
      <c r="T339">
        <f>(Table13[[#This Row],[Ideal_Cycle_Time_sec]]*Table13[[#This Row],[Actual_Qty]])/(Table13[[#This Row],[Operational_Time_min]]*60)</f>
        <v>0.44592454517211849</v>
      </c>
      <c r="U339">
        <f>Table13[[#This Row],[Good_Qty]]/Table13[[#This Row],[Actual_Qty]]</f>
        <v>0.99090909090909096</v>
      </c>
      <c r="V339" t="str">
        <f>IF(OR(Table13[[#This Row],[Performance_%]]&gt;=1,Table13[[#This Row],[Performance_%]]&lt;=0),"Error","OK")</f>
        <v>OK</v>
      </c>
      <c r="W339" t="str">
        <f>IF(OR(Table13[[#This Row],[Quality_%]]&gt;=1,Table13[[#This Row],[Quality_%]]&lt;=0),"Error","OK")</f>
        <v>OK</v>
      </c>
      <c r="X339">
        <f>Table13[[#This Row],[Performance_%]]*Table13[[#This Row],[Quality_%]]*[2]Availability_KPI!K339</f>
        <v>0.43196296296296299</v>
      </c>
      <c r="Y339" t="str">
        <f>IF(OR(Table13[[#This Row],[OEE_%]]&gt;1,Table13[[#This Row],[OEE_%]]&lt;0),"Error","OK")</f>
        <v>OK</v>
      </c>
    </row>
    <row r="340" spans="1:25" x14ac:dyDescent="0.2">
      <c r="A340" t="s">
        <v>432</v>
      </c>
      <c r="B340" t="s">
        <v>430</v>
      </c>
      <c r="C340" s="2">
        <v>46255</v>
      </c>
      <c r="D340" t="s">
        <v>27</v>
      </c>
      <c r="E340" t="s">
        <v>35</v>
      </c>
      <c r="F340" t="s">
        <v>97</v>
      </c>
      <c r="G340" t="s">
        <v>44</v>
      </c>
      <c r="H340">
        <v>531</v>
      </c>
      <c r="I340">
        <v>527</v>
      </c>
      <c r="J340">
        <v>4</v>
      </c>
      <c r="K340">
        <v>23.54</v>
      </c>
      <c r="L340">
        <v>24.69</v>
      </c>
      <c r="M340">
        <v>218.53</v>
      </c>
      <c r="N340">
        <f>_xlfn.XLOOKUP(Table13[[#This Row],[Production_Order_ID]],[1]Sheet1!$A$2:$A$391,[1]Sheet1!$F$2:$F$391,"No Match")</f>
        <v>420</v>
      </c>
      <c r="O340" s="3">
        <f>Table13[[#This Row],[Good_Qty]]/Table13[[#This Row],[Planned_Production]]</f>
        <v>1.2547619047619047</v>
      </c>
      <c r="P340" t="str">
        <f>IF(Table13[[#This Row],[Good_Qty]]&gt;=Table13[[#This Row],[Planned_Production]],"Met","Not Met")</f>
        <v>Met</v>
      </c>
      <c r="Q340">
        <f>Table13[[#This Row],[Good_Qty]]-Table13[[#This Row],[Planned_Production]]</f>
        <v>107</v>
      </c>
      <c r="R340" s="3">
        <f>IF(Table13[[#This Row],[Actual_Qty]]=0,0,Table13[[#This Row],[Reject_Qty]]/Table13[[#This Row],[Actual_Qty]])</f>
        <v>7.5329566854990581E-3</v>
      </c>
      <c r="S340">
        <v>437.89</v>
      </c>
      <c r="T340">
        <f>(Table13[[#This Row],[Ideal_Cycle_Time_sec]]*Table13[[#This Row],[Actual_Qty]])/(Table13[[#This Row],[Operational_Time_min]]*60)</f>
        <v>0.47575646851949122</v>
      </c>
      <c r="U340">
        <f>Table13[[#This Row],[Good_Qty]]/Table13[[#This Row],[Actual_Qty]]</f>
        <v>0.99246704331450097</v>
      </c>
      <c r="V340" t="str">
        <f>IF(OR(Table13[[#This Row],[Performance_%]]&gt;=1,Table13[[#This Row],[Performance_%]]&lt;=0),"Error","OK")</f>
        <v>OK</v>
      </c>
      <c r="W340" t="str">
        <f>IF(OR(Table13[[#This Row],[Quality_%]]&gt;=1,Table13[[#This Row],[Quality_%]]&lt;=0),"Error","OK")</f>
        <v>OK</v>
      </c>
      <c r="X340">
        <f>Table13[[#This Row],[Performance_%]]*Table13[[#This Row],[Quality_%]]*[2]Availability_KPI!K340</f>
        <v>0.459465925925926</v>
      </c>
      <c r="Y340" t="str">
        <f>IF(OR(Table13[[#This Row],[OEE_%]]&gt;1,Table13[[#This Row],[OEE_%]]&lt;0),"Error","OK")</f>
        <v>OK</v>
      </c>
    </row>
    <row r="341" spans="1:25" x14ac:dyDescent="0.2">
      <c r="A341" t="s">
        <v>433</v>
      </c>
      <c r="B341" t="s">
        <v>430</v>
      </c>
      <c r="C341" s="2">
        <v>46255</v>
      </c>
      <c r="D341" t="s">
        <v>27</v>
      </c>
      <c r="E341" t="s">
        <v>38</v>
      </c>
      <c r="F341" t="s">
        <v>97</v>
      </c>
      <c r="G341" t="s">
        <v>75</v>
      </c>
      <c r="H341">
        <v>540</v>
      </c>
      <c r="I341">
        <v>536</v>
      </c>
      <c r="J341">
        <v>4</v>
      </c>
      <c r="K341">
        <v>21.4</v>
      </c>
      <c r="L341">
        <v>22.51</v>
      </c>
      <c r="M341">
        <v>202.6</v>
      </c>
      <c r="N341">
        <f>_xlfn.XLOOKUP(Table13[[#This Row],[Production_Order_ID]],[1]Sheet1!$A$2:$A$391,[1]Sheet1!$F$2:$F$391,"No Match")</f>
        <v>420</v>
      </c>
      <c r="O341" s="3">
        <f>Table13[[#This Row],[Good_Qty]]/Table13[[#This Row],[Planned_Production]]</f>
        <v>1.2761904761904761</v>
      </c>
      <c r="P341" t="str">
        <f>IF(Table13[[#This Row],[Good_Qty]]&gt;=Table13[[#This Row],[Planned_Production]],"Met","Not Met")</f>
        <v>Met</v>
      </c>
      <c r="Q341">
        <f>Table13[[#This Row],[Good_Qty]]-Table13[[#This Row],[Planned_Production]]</f>
        <v>116</v>
      </c>
      <c r="R341" s="3">
        <f>IF(Table13[[#This Row],[Actual_Qty]]=0,0,Table13[[#This Row],[Reject_Qty]]/Table13[[#This Row],[Actual_Qty]])</f>
        <v>7.4074074074074077E-3</v>
      </c>
      <c r="S341">
        <v>438.17</v>
      </c>
      <c r="T341">
        <f>(Table13[[#This Row],[Ideal_Cycle_Time_sec]]*Table13[[#This Row],[Actual_Qty]])/(Table13[[#This Row],[Operational_Time_min]]*60)</f>
        <v>0.43955542369400002</v>
      </c>
      <c r="U341">
        <f>Table13[[#This Row],[Good_Qty]]/Table13[[#This Row],[Actual_Qty]]</f>
        <v>0.99259259259259258</v>
      </c>
      <c r="V341" t="str">
        <f>IF(OR(Table13[[#This Row],[Performance_%]]&gt;=1,Table13[[#This Row],[Performance_%]]&lt;=0),"Error","OK")</f>
        <v>OK</v>
      </c>
      <c r="W341" t="str">
        <f>IF(OR(Table13[[#This Row],[Quality_%]]&gt;=1,Table13[[#This Row],[Quality_%]]&lt;=0),"Error","OK")</f>
        <v>OK</v>
      </c>
      <c r="X341">
        <f>Table13[[#This Row],[Performance_%]]*Table13[[#This Row],[Quality_%]]*[2]Availability_KPI!K341</f>
        <v>0.42482962962962967</v>
      </c>
      <c r="Y341" t="str">
        <f>IF(OR(Table13[[#This Row],[OEE_%]]&gt;1,Table13[[#This Row],[OEE_%]]&lt;0),"Error","OK")</f>
        <v>OK</v>
      </c>
    </row>
    <row r="342" spans="1:25" x14ac:dyDescent="0.2">
      <c r="A342" t="s">
        <v>434</v>
      </c>
      <c r="B342" t="s">
        <v>430</v>
      </c>
      <c r="C342" s="2">
        <v>46255</v>
      </c>
      <c r="D342" t="s">
        <v>27</v>
      </c>
      <c r="E342" t="s">
        <v>41</v>
      </c>
      <c r="F342" t="s">
        <v>97</v>
      </c>
      <c r="G342" t="s">
        <v>47</v>
      </c>
      <c r="H342">
        <v>542</v>
      </c>
      <c r="I342">
        <v>538</v>
      </c>
      <c r="J342">
        <v>4</v>
      </c>
      <c r="K342">
        <v>19.260000000000002</v>
      </c>
      <c r="L342">
        <v>19.260000000000002</v>
      </c>
      <c r="M342">
        <v>173.98</v>
      </c>
      <c r="N342">
        <f>_xlfn.XLOOKUP(Table13[[#This Row],[Production_Order_ID]],[1]Sheet1!$A$2:$A$391,[1]Sheet1!$F$2:$F$391,"No Match")</f>
        <v>420</v>
      </c>
      <c r="O342" s="3">
        <f>Table13[[#This Row],[Good_Qty]]/Table13[[#This Row],[Planned_Production]]</f>
        <v>1.2809523809523808</v>
      </c>
      <c r="P342" t="str">
        <f>IF(Table13[[#This Row],[Good_Qty]]&gt;=Table13[[#This Row],[Planned_Production]],"Met","Not Met")</f>
        <v>Met</v>
      </c>
      <c r="Q342">
        <f>Table13[[#This Row],[Good_Qty]]-Table13[[#This Row],[Planned_Production]]</f>
        <v>118</v>
      </c>
      <c r="R342" s="3">
        <f>IF(Table13[[#This Row],[Actual_Qty]]=0,0,Table13[[#This Row],[Reject_Qty]]/Table13[[#This Row],[Actual_Qty]])</f>
        <v>7.3800738007380072E-3</v>
      </c>
      <c r="S342">
        <v>439.39</v>
      </c>
      <c r="T342">
        <f>(Table13[[#This Row],[Ideal_Cycle_Time_sec]]*Table13[[#This Row],[Actual_Qty]])/(Table13[[#This Row],[Operational_Time_min]]*60)</f>
        <v>0.39596258449213684</v>
      </c>
      <c r="U342">
        <f>Table13[[#This Row],[Good_Qty]]/Table13[[#This Row],[Actual_Qty]]</f>
        <v>0.99261992619926198</v>
      </c>
      <c r="V342" t="str">
        <f>IF(OR(Table13[[#This Row],[Performance_%]]&gt;=1,Table13[[#This Row],[Performance_%]]&lt;=0),"Error","OK")</f>
        <v>OK</v>
      </c>
      <c r="W342" t="str">
        <f>IF(OR(Table13[[#This Row],[Quality_%]]&gt;=1,Table13[[#This Row],[Quality_%]]&lt;=0),"Error","OK")</f>
        <v>OK</v>
      </c>
      <c r="X342">
        <f>Table13[[#This Row],[Performance_%]]*Table13[[#This Row],[Quality_%]]*[2]Availability_KPI!K342</f>
        <v>0.38377333333333336</v>
      </c>
      <c r="Y342" t="str">
        <f>IF(OR(Table13[[#This Row],[OEE_%]]&gt;1,Table13[[#This Row],[OEE_%]]&lt;0),"Error","OK")</f>
        <v>OK</v>
      </c>
    </row>
    <row r="343" spans="1:25" x14ac:dyDescent="0.2">
      <c r="A343" t="s">
        <v>435</v>
      </c>
      <c r="B343" t="s">
        <v>430</v>
      </c>
      <c r="C343" s="2">
        <v>46255</v>
      </c>
      <c r="D343" t="s">
        <v>27</v>
      </c>
      <c r="E343" t="s">
        <v>43</v>
      </c>
      <c r="F343" t="s">
        <v>97</v>
      </c>
      <c r="G343" t="s">
        <v>30</v>
      </c>
      <c r="H343">
        <v>543</v>
      </c>
      <c r="I343">
        <v>533</v>
      </c>
      <c r="J343">
        <v>10</v>
      </c>
      <c r="K343">
        <v>34.24</v>
      </c>
      <c r="L343">
        <v>36.67</v>
      </c>
      <c r="M343">
        <v>331.89</v>
      </c>
      <c r="N343">
        <f>_xlfn.XLOOKUP(Table13[[#This Row],[Production_Order_ID]],[1]Sheet1!$A$2:$A$391,[1]Sheet1!$F$2:$F$391,"No Match")</f>
        <v>420</v>
      </c>
      <c r="O343" s="3">
        <f>Table13[[#This Row],[Good_Qty]]/Table13[[#This Row],[Planned_Production]]</f>
        <v>1.269047619047619</v>
      </c>
      <c r="P343" t="str">
        <f>IF(Table13[[#This Row],[Good_Qty]]&gt;=Table13[[#This Row],[Planned_Production]],"Met","Not Met")</f>
        <v>Met</v>
      </c>
      <c r="Q343">
        <f>Table13[[#This Row],[Good_Qty]]-Table13[[#This Row],[Planned_Production]]</f>
        <v>113</v>
      </c>
      <c r="R343" s="3">
        <f>IF(Table13[[#This Row],[Actual_Qty]]=0,0,Table13[[#This Row],[Reject_Qty]]/Table13[[#This Row],[Actual_Qty]])</f>
        <v>1.841620626151013E-2</v>
      </c>
      <c r="S343">
        <v>420.43</v>
      </c>
      <c r="T343">
        <f>(Table13[[#This Row],[Ideal_Cycle_Time_sec]]*Table13[[#This Row],[Actual_Qty]])/(Table13[[#This Row],[Operational_Time_min]]*60)</f>
        <v>0.73703589182503626</v>
      </c>
      <c r="U343">
        <f>Table13[[#This Row],[Good_Qty]]/Table13[[#This Row],[Actual_Qty]]</f>
        <v>0.98158379373848992</v>
      </c>
      <c r="V343" t="str">
        <f>IF(OR(Table13[[#This Row],[Performance_%]]&gt;=1,Table13[[#This Row],[Performance_%]]&lt;=0),"Error","OK")</f>
        <v>OK</v>
      </c>
      <c r="W343" t="str">
        <f>IF(OR(Table13[[#This Row],[Quality_%]]&gt;=1,Table13[[#This Row],[Quality_%]]&lt;=0),"Error","OK")</f>
        <v>OK</v>
      </c>
      <c r="X343">
        <f>Table13[[#This Row],[Performance_%]]*Table13[[#This Row],[Quality_%]]*[2]Availability_KPI!K343</f>
        <v>0.67592296296296306</v>
      </c>
      <c r="Y343" t="str">
        <f>IF(OR(Table13[[#This Row],[OEE_%]]&gt;1,Table13[[#This Row],[OEE_%]]&lt;0),"Error","OK")</f>
        <v>OK</v>
      </c>
    </row>
    <row r="344" spans="1:25" x14ac:dyDescent="0.2">
      <c r="A344" t="s">
        <v>436</v>
      </c>
      <c r="B344" t="s">
        <v>430</v>
      </c>
      <c r="C344" s="2">
        <v>46255</v>
      </c>
      <c r="D344" t="s">
        <v>27</v>
      </c>
      <c r="E344" t="s">
        <v>46</v>
      </c>
      <c r="F344" t="s">
        <v>97</v>
      </c>
      <c r="G344" t="s">
        <v>30</v>
      </c>
      <c r="H344">
        <v>549</v>
      </c>
      <c r="I344">
        <v>544</v>
      </c>
      <c r="J344">
        <v>5</v>
      </c>
      <c r="K344">
        <v>26.75</v>
      </c>
      <c r="L344">
        <v>27.26</v>
      </c>
      <c r="M344">
        <v>249.44</v>
      </c>
      <c r="N344">
        <f>_xlfn.XLOOKUP(Table13[[#This Row],[Production_Order_ID]],[1]Sheet1!$A$2:$A$391,[1]Sheet1!$F$2:$F$391,"No Match")</f>
        <v>420</v>
      </c>
      <c r="O344" s="3">
        <f>Table13[[#This Row],[Good_Qty]]/Table13[[#This Row],[Planned_Production]]</f>
        <v>1.2952380952380953</v>
      </c>
      <c r="P344" t="str">
        <f>IF(Table13[[#This Row],[Good_Qty]]&gt;=Table13[[#This Row],[Planned_Production]],"Met","Not Met")</f>
        <v>Met</v>
      </c>
      <c r="Q344">
        <f>Table13[[#This Row],[Good_Qty]]-Table13[[#This Row],[Planned_Production]]</f>
        <v>124</v>
      </c>
      <c r="R344" s="3">
        <f>IF(Table13[[#This Row],[Actual_Qty]]=0,0,Table13[[#This Row],[Reject_Qty]]/Table13[[#This Row],[Actual_Qty]])</f>
        <v>9.1074681238615673E-3</v>
      </c>
      <c r="S344">
        <v>435.46</v>
      </c>
      <c r="T344">
        <f>(Table13[[#This Row],[Ideal_Cycle_Time_sec]]*Table13[[#This Row],[Actual_Qty]])/(Table13[[#This Row],[Operational_Time_min]]*60)</f>
        <v>0.56207803242548116</v>
      </c>
      <c r="U344">
        <f>Table13[[#This Row],[Good_Qty]]/Table13[[#This Row],[Actual_Qty]]</f>
        <v>0.99089253187613846</v>
      </c>
      <c r="V344" t="str">
        <f>IF(OR(Table13[[#This Row],[Performance_%]]&gt;=1,Table13[[#This Row],[Performance_%]]&lt;=0),"Error","OK")</f>
        <v>OK</v>
      </c>
      <c r="W344" t="str">
        <f>IF(OR(Table13[[#This Row],[Quality_%]]&gt;=1,Table13[[#This Row],[Quality_%]]&lt;=0),"Error","OK")</f>
        <v>OK</v>
      </c>
      <c r="X344">
        <f>Table13[[#This Row],[Performance_%]]*Table13[[#This Row],[Quality_%]]*[2]Availability_KPI!K344</f>
        <v>0.53896296296296298</v>
      </c>
      <c r="Y344" t="str">
        <f>IF(OR(Table13[[#This Row],[OEE_%]]&gt;1,Table13[[#This Row],[OEE_%]]&lt;0),"Error","OK")</f>
        <v>OK</v>
      </c>
    </row>
    <row r="345" spans="1:25" x14ac:dyDescent="0.2">
      <c r="A345" t="s">
        <v>437</v>
      </c>
      <c r="B345" t="s">
        <v>430</v>
      </c>
      <c r="C345" s="2">
        <v>46255</v>
      </c>
      <c r="D345" t="s">
        <v>27</v>
      </c>
      <c r="E345" t="s">
        <v>49</v>
      </c>
      <c r="F345" t="s">
        <v>97</v>
      </c>
      <c r="G345" t="s">
        <v>39</v>
      </c>
      <c r="H345">
        <v>543</v>
      </c>
      <c r="I345">
        <v>540</v>
      </c>
      <c r="J345">
        <v>3</v>
      </c>
      <c r="K345">
        <v>21.4</v>
      </c>
      <c r="L345">
        <v>21.94</v>
      </c>
      <c r="M345">
        <v>198.52</v>
      </c>
      <c r="N345">
        <f>_xlfn.XLOOKUP(Table13[[#This Row],[Production_Order_ID]],[1]Sheet1!$A$2:$A$391,[1]Sheet1!$F$2:$F$391,"No Match")</f>
        <v>420</v>
      </c>
      <c r="O345" s="3">
        <f>Table13[[#This Row],[Good_Qty]]/Table13[[#This Row],[Planned_Production]]</f>
        <v>1.2857142857142858</v>
      </c>
      <c r="P345" t="str">
        <f>IF(Table13[[#This Row],[Good_Qty]]&gt;=Table13[[#This Row],[Planned_Production]],"Met","Not Met")</f>
        <v>Met</v>
      </c>
      <c r="Q345">
        <f>Table13[[#This Row],[Good_Qty]]-Table13[[#This Row],[Planned_Production]]</f>
        <v>120</v>
      </c>
      <c r="R345" s="3">
        <f>IF(Table13[[#This Row],[Actual_Qty]]=0,0,Table13[[#This Row],[Reject_Qty]]/Table13[[#This Row],[Actual_Qty]])</f>
        <v>5.5248618784530384E-3</v>
      </c>
      <c r="S345">
        <v>443.16</v>
      </c>
      <c r="T345">
        <f>(Table13[[#This Row],[Ideal_Cycle_Time_sec]]*Table13[[#This Row],[Actual_Qty]])/(Table13[[#This Row],[Operational_Time_min]]*60)</f>
        <v>0.43702048921382791</v>
      </c>
      <c r="U345">
        <f>Table13[[#This Row],[Good_Qty]]/Table13[[#This Row],[Actual_Qty]]</f>
        <v>0.99447513812154698</v>
      </c>
      <c r="V345" t="str">
        <f>IF(OR(Table13[[#This Row],[Performance_%]]&gt;=1,Table13[[#This Row],[Performance_%]]&lt;=0),"Error","OK")</f>
        <v>OK</v>
      </c>
      <c r="W345" t="str">
        <f>IF(OR(Table13[[#This Row],[Quality_%]]&gt;=1,Table13[[#This Row],[Quality_%]]&lt;=0),"Error","OK")</f>
        <v>OK</v>
      </c>
      <c r="X345">
        <f>Table13[[#This Row],[Performance_%]]*Table13[[#This Row],[Quality_%]]*[2]Availability_KPI!K345</f>
        <v>0.42799999999999994</v>
      </c>
      <c r="Y345" t="str">
        <f>IF(OR(Table13[[#This Row],[OEE_%]]&gt;1,Table13[[#This Row],[OEE_%]]&lt;0),"Error","OK")</f>
        <v>OK</v>
      </c>
    </row>
    <row r="346" spans="1:25" x14ac:dyDescent="0.2">
      <c r="A346" t="s">
        <v>438</v>
      </c>
      <c r="B346" t="s">
        <v>439</v>
      </c>
      <c r="C346" s="2">
        <v>46255</v>
      </c>
      <c r="D346" t="s">
        <v>53</v>
      </c>
      <c r="E346" t="s">
        <v>28</v>
      </c>
      <c r="F346" t="s">
        <v>97</v>
      </c>
      <c r="G346" t="s">
        <v>57</v>
      </c>
      <c r="H346">
        <v>653</v>
      </c>
      <c r="I346">
        <v>649</v>
      </c>
      <c r="J346">
        <v>4</v>
      </c>
      <c r="K346">
        <v>19.260000000000002</v>
      </c>
      <c r="L346">
        <v>19.5</v>
      </c>
      <c r="M346">
        <v>212.23</v>
      </c>
      <c r="N346">
        <f>_xlfn.XLOOKUP(Table13[[#This Row],[Production_Order_ID]],[1]Sheet1!$A$2:$A$391,[1]Sheet1!$F$2:$F$391,"No Match")</f>
        <v>570</v>
      </c>
      <c r="O346" s="3">
        <f>Table13[[#This Row],[Good_Qty]]/Table13[[#This Row],[Planned_Production]]</f>
        <v>1.1385964912280702</v>
      </c>
      <c r="P346" t="str">
        <f>IF(Table13[[#This Row],[Good_Qty]]&gt;=Table13[[#This Row],[Planned_Production]],"Met","Not Met")</f>
        <v>Met</v>
      </c>
      <c r="Q346">
        <f>Table13[[#This Row],[Good_Qty]]-Table13[[#This Row],[Planned_Production]]</f>
        <v>79</v>
      </c>
      <c r="R346" s="3">
        <f>IF(Table13[[#This Row],[Actual_Qty]]=0,0,Table13[[#This Row],[Reject_Qty]]/Table13[[#This Row],[Actual_Qty]])</f>
        <v>6.1255742725880554E-3</v>
      </c>
      <c r="S346">
        <v>439.83</v>
      </c>
      <c r="T346">
        <f>(Table13[[#This Row],[Ideal_Cycle_Time_sec]]*Table13[[#This Row],[Actual_Qty]])/(Table13[[#This Row],[Operational_Time_min]]*60)</f>
        <v>0.4765773139622127</v>
      </c>
      <c r="U346">
        <f>Table13[[#This Row],[Good_Qty]]/Table13[[#This Row],[Actual_Qty]]</f>
        <v>0.99387442572741191</v>
      </c>
      <c r="V346" t="str">
        <f>IF(OR(Table13[[#This Row],[Performance_%]]&gt;=1,Table13[[#This Row],[Performance_%]]&lt;=0),"Error","OK")</f>
        <v>OK</v>
      </c>
      <c r="W346" t="str">
        <f>IF(OR(Table13[[#This Row],[Quality_%]]&gt;=1,Table13[[#This Row],[Quality_%]]&lt;=0),"Error","OK")</f>
        <v>OK</v>
      </c>
      <c r="X346">
        <f>Table13[[#This Row],[Performance_%]]*Table13[[#This Row],[Quality_%]]*[2]Availability_KPI!K346</f>
        <v>0.46295333333333333</v>
      </c>
      <c r="Y346" t="str">
        <f>IF(OR(Table13[[#This Row],[OEE_%]]&gt;1,Table13[[#This Row],[OEE_%]]&lt;0),"Error","OK")</f>
        <v>OK</v>
      </c>
    </row>
    <row r="347" spans="1:25" x14ac:dyDescent="0.2">
      <c r="A347" t="s">
        <v>440</v>
      </c>
      <c r="B347" t="s">
        <v>439</v>
      </c>
      <c r="C347" s="2">
        <v>46255</v>
      </c>
      <c r="D347" t="s">
        <v>53</v>
      </c>
      <c r="E347" t="s">
        <v>32</v>
      </c>
      <c r="F347" t="s">
        <v>97</v>
      </c>
      <c r="G347" t="s">
        <v>47</v>
      </c>
      <c r="H347">
        <v>644</v>
      </c>
      <c r="I347">
        <v>638</v>
      </c>
      <c r="J347">
        <v>6</v>
      </c>
      <c r="K347">
        <v>21.4</v>
      </c>
      <c r="L347">
        <v>21.82</v>
      </c>
      <c r="M347">
        <v>234.15</v>
      </c>
      <c r="N347">
        <f>_xlfn.XLOOKUP(Table13[[#This Row],[Production_Order_ID]],[1]Sheet1!$A$2:$A$391,[1]Sheet1!$F$2:$F$391,"No Match")</f>
        <v>570</v>
      </c>
      <c r="O347" s="3">
        <f>Table13[[#This Row],[Good_Qty]]/Table13[[#This Row],[Planned_Production]]</f>
        <v>1.119298245614035</v>
      </c>
      <c r="P347" t="str">
        <f>IF(Table13[[#This Row],[Good_Qty]]&gt;=Table13[[#This Row],[Planned_Production]],"Met","Not Met")</f>
        <v>Met</v>
      </c>
      <c r="Q347">
        <f>Table13[[#This Row],[Good_Qty]]-Table13[[#This Row],[Planned_Production]]</f>
        <v>68</v>
      </c>
      <c r="R347" s="3">
        <f>IF(Table13[[#This Row],[Actual_Qty]]=0,0,Table13[[#This Row],[Reject_Qty]]/Table13[[#This Row],[Actual_Qty]])</f>
        <v>9.316770186335404E-3</v>
      </c>
      <c r="S347">
        <v>436.37</v>
      </c>
      <c r="T347">
        <f>(Table13[[#This Row],[Ideal_Cycle_Time_sec]]*Table13[[#This Row],[Actual_Qty]])/(Table13[[#This Row],[Operational_Time_min]]*60)</f>
        <v>0.52637287928439924</v>
      </c>
      <c r="U347">
        <f>Table13[[#This Row],[Good_Qty]]/Table13[[#This Row],[Actual_Qty]]</f>
        <v>0.99068322981366463</v>
      </c>
      <c r="V347" t="str">
        <f>IF(OR(Table13[[#This Row],[Performance_%]]&gt;=1,Table13[[#This Row],[Performance_%]]&lt;=0),"Error","OK")</f>
        <v>OK</v>
      </c>
      <c r="W347" t="str">
        <f>IF(OR(Table13[[#This Row],[Quality_%]]&gt;=1,Table13[[#This Row],[Quality_%]]&lt;=0),"Error","OK")</f>
        <v>OK</v>
      </c>
      <c r="X347">
        <f>Table13[[#This Row],[Performance_%]]*Table13[[#This Row],[Quality_%]]*[2]Availability_KPI!K347</f>
        <v>0.50567407407407405</v>
      </c>
      <c r="Y347" t="str">
        <f>IF(OR(Table13[[#This Row],[OEE_%]]&gt;1,Table13[[#This Row],[OEE_%]]&lt;0),"Error","OK")</f>
        <v>OK</v>
      </c>
    </row>
    <row r="348" spans="1:25" x14ac:dyDescent="0.2">
      <c r="A348" t="s">
        <v>441</v>
      </c>
      <c r="B348" t="s">
        <v>439</v>
      </c>
      <c r="C348" s="2">
        <v>46255</v>
      </c>
      <c r="D348" t="s">
        <v>53</v>
      </c>
      <c r="E348" t="s">
        <v>35</v>
      </c>
      <c r="F348" t="s">
        <v>97</v>
      </c>
      <c r="G348" t="s">
        <v>55</v>
      </c>
      <c r="H348">
        <v>645</v>
      </c>
      <c r="I348">
        <v>641</v>
      </c>
      <c r="J348">
        <v>4</v>
      </c>
      <c r="K348">
        <v>23.54</v>
      </c>
      <c r="L348">
        <v>25.23</v>
      </c>
      <c r="M348">
        <v>271.20999999999998</v>
      </c>
      <c r="N348">
        <f>_xlfn.XLOOKUP(Table13[[#This Row],[Production_Order_ID]],[1]Sheet1!$A$2:$A$391,[1]Sheet1!$F$2:$F$391,"No Match")</f>
        <v>570</v>
      </c>
      <c r="O348" s="3">
        <f>Table13[[#This Row],[Good_Qty]]/Table13[[#This Row],[Planned_Production]]</f>
        <v>1.1245614035087719</v>
      </c>
      <c r="P348" t="str">
        <f>IF(Table13[[#This Row],[Good_Qty]]&gt;=Table13[[#This Row],[Planned_Production]],"Met","Not Met")</f>
        <v>Met</v>
      </c>
      <c r="Q348">
        <f>Table13[[#This Row],[Good_Qty]]-Table13[[#This Row],[Planned_Production]]</f>
        <v>71</v>
      </c>
      <c r="R348" s="3">
        <f>IF(Table13[[#This Row],[Actual_Qty]]=0,0,Table13[[#This Row],[Reject_Qty]]/Table13[[#This Row],[Actual_Qty]])</f>
        <v>6.2015503875968991E-3</v>
      </c>
      <c r="S348">
        <v>433.58</v>
      </c>
      <c r="T348">
        <f>(Table13[[#This Row],[Ideal_Cycle_Time_sec]]*Table13[[#This Row],[Actual_Qty]])/(Table13[[#This Row],[Operational_Time_min]]*60)</f>
        <v>0.58364085059273951</v>
      </c>
      <c r="U348">
        <f>Table13[[#This Row],[Good_Qty]]/Table13[[#This Row],[Actual_Qty]]</f>
        <v>0.99379844961240305</v>
      </c>
      <c r="V348" t="str">
        <f>IF(OR(Table13[[#This Row],[Performance_%]]&gt;=1,Table13[[#This Row],[Performance_%]]&lt;=0),"Error","OK")</f>
        <v>OK</v>
      </c>
      <c r="W348" t="str">
        <f>IF(OR(Table13[[#This Row],[Quality_%]]&gt;=1,Table13[[#This Row],[Quality_%]]&lt;=0),"Error","OK")</f>
        <v>OK</v>
      </c>
      <c r="X348">
        <f>Table13[[#This Row],[Performance_%]]*Table13[[#This Row],[Quality_%]]*[2]Availability_KPI!K348</f>
        <v>0.55885703703703693</v>
      </c>
      <c r="Y348" t="str">
        <f>IF(OR(Table13[[#This Row],[OEE_%]]&gt;1,Table13[[#This Row],[OEE_%]]&lt;0),"Error","OK")</f>
        <v>OK</v>
      </c>
    </row>
    <row r="349" spans="1:25" x14ac:dyDescent="0.2">
      <c r="A349" t="s">
        <v>442</v>
      </c>
      <c r="B349" t="s">
        <v>439</v>
      </c>
      <c r="C349" s="2">
        <v>46255</v>
      </c>
      <c r="D349" t="s">
        <v>53</v>
      </c>
      <c r="E349" t="s">
        <v>38</v>
      </c>
      <c r="F349" t="s">
        <v>97</v>
      </c>
      <c r="G349" t="s">
        <v>55</v>
      </c>
      <c r="H349">
        <v>652</v>
      </c>
      <c r="I349">
        <v>648</v>
      </c>
      <c r="J349">
        <v>4</v>
      </c>
      <c r="K349">
        <v>21.4</v>
      </c>
      <c r="L349">
        <v>21.66</v>
      </c>
      <c r="M349">
        <v>235.37</v>
      </c>
      <c r="N349">
        <f>_xlfn.XLOOKUP(Table13[[#This Row],[Production_Order_ID]],[1]Sheet1!$A$2:$A$391,[1]Sheet1!$F$2:$F$391,"No Match")</f>
        <v>570</v>
      </c>
      <c r="O349" s="3">
        <f>Table13[[#This Row],[Good_Qty]]/Table13[[#This Row],[Planned_Production]]</f>
        <v>1.1368421052631579</v>
      </c>
      <c r="P349" t="str">
        <f>IF(Table13[[#This Row],[Good_Qty]]&gt;=Table13[[#This Row],[Planned_Production]],"Met","Not Met")</f>
        <v>Met</v>
      </c>
      <c r="Q349">
        <f>Table13[[#This Row],[Good_Qty]]-Table13[[#This Row],[Planned_Production]]</f>
        <v>78</v>
      </c>
      <c r="R349" s="3">
        <f>IF(Table13[[#This Row],[Actual_Qty]]=0,0,Table13[[#This Row],[Reject_Qty]]/Table13[[#This Row],[Actual_Qty]])</f>
        <v>6.1349693251533744E-3</v>
      </c>
      <c r="S349">
        <v>440.59</v>
      </c>
      <c r="T349">
        <f>(Table13[[#This Row],[Ideal_Cycle_Time_sec]]*Table13[[#This Row],[Actual_Qty]])/(Table13[[#This Row],[Operational_Time_min]]*60)</f>
        <v>0.52780740976115359</v>
      </c>
      <c r="U349">
        <f>Table13[[#This Row],[Good_Qty]]/Table13[[#This Row],[Actual_Qty]]</f>
        <v>0.99386503067484666</v>
      </c>
      <c r="V349" t="str">
        <f>IF(OR(Table13[[#This Row],[Performance_%]]&gt;=1,Table13[[#This Row],[Performance_%]]&lt;=0),"Error","OK")</f>
        <v>OK</v>
      </c>
      <c r="W349" t="str">
        <f>IF(OR(Table13[[#This Row],[Quality_%]]&gt;=1,Table13[[#This Row],[Quality_%]]&lt;=0),"Error","OK")</f>
        <v>OK</v>
      </c>
      <c r="X349">
        <f>Table13[[#This Row],[Performance_%]]*Table13[[#This Row],[Quality_%]]*[2]Availability_KPI!K349</f>
        <v>0.51359999999999995</v>
      </c>
      <c r="Y349" t="str">
        <f>IF(OR(Table13[[#This Row],[OEE_%]]&gt;1,Table13[[#This Row],[OEE_%]]&lt;0),"Error","OK")</f>
        <v>OK</v>
      </c>
    </row>
    <row r="350" spans="1:25" x14ac:dyDescent="0.2">
      <c r="A350" t="s">
        <v>443</v>
      </c>
      <c r="B350" t="s">
        <v>439</v>
      </c>
      <c r="C350" s="2">
        <v>46255</v>
      </c>
      <c r="D350" t="s">
        <v>53</v>
      </c>
      <c r="E350" t="s">
        <v>41</v>
      </c>
      <c r="F350" t="s">
        <v>97</v>
      </c>
      <c r="G350" t="s">
        <v>39</v>
      </c>
      <c r="H350">
        <v>651</v>
      </c>
      <c r="I350">
        <v>647</v>
      </c>
      <c r="J350">
        <v>4</v>
      </c>
      <c r="K350">
        <v>19.260000000000002</v>
      </c>
      <c r="L350">
        <v>19.260000000000002</v>
      </c>
      <c r="M350">
        <v>208.97</v>
      </c>
      <c r="N350">
        <f>_xlfn.XLOOKUP(Table13[[#This Row],[Production_Order_ID]],[1]Sheet1!$A$2:$A$391,[1]Sheet1!$F$2:$F$391,"No Match")</f>
        <v>570</v>
      </c>
      <c r="O350" s="3">
        <f>Table13[[#This Row],[Good_Qty]]/Table13[[#This Row],[Planned_Production]]</f>
        <v>1.1350877192982456</v>
      </c>
      <c r="P350" t="str">
        <f>IF(Table13[[#This Row],[Good_Qty]]&gt;=Table13[[#This Row],[Planned_Production]],"Met","Not Met")</f>
        <v>Met</v>
      </c>
      <c r="Q350">
        <f>Table13[[#This Row],[Good_Qty]]-Table13[[#This Row],[Planned_Production]]</f>
        <v>77</v>
      </c>
      <c r="R350" s="3">
        <f>IF(Table13[[#This Row],[Actual_Qty]]=0,0,Table13[[#This Row],[Reject_Qty]]/Table13[[#This Row],[Actual_Qty]])</f>
        <v>6.1443932411674347E-3</v>
      </c>
      <c r="S350">
        <v>434.39</v>
      </c>
      <c r="T350">
        <f>(Table13[[#This Row],[Ideal_Cycle_Time_sec]]*Table13[[#This Row],[Actual_Qty]])/(Table13[[#This Row],[Operational_Time_min]]*60)</f>
        <v>0.48106770413683564</v>
      </c>
      <c r="U350">
        <f>Table13[[#This Row],[Good_Qty]]/Table13[[#This Row],[Actual_Qty]]</f>
        <v>0.99385560675883255</v>
      </c>
      <c r="V350" t="str">
        <f>IF(OR(Table13[[#This Row],[Performance_%]]&gt;=1,Table13[[#This Row],[Performance_%]]&lt;=0),"Error","OK")</f>
        <v>OK</v>
      </c>
      <c r="W350" t="str">
        <f>IF(OR(Table13[[#This Row],[Quality_%]]&gt;=1,Table13[[#This Row],[Quality_%]]&lt;=0),"Error","OK")</f>
        <v>OK</v>
      </c>
      <c r="X350">
        <f>Table13[[#This Row],[Performance_%]]*Table13[[#This Row],[Quality_%]]*[2]Availability_KPI!K350</f>
        <v>0.46152666666666675</v>
      </c>
      <c r="Y350" t="str">
        <f>IF(OR(Table13[[#This Row],[OEE_%]]&gt;1,Table13[[#This Row],[OEE_%]]&lt;0),"Error","OK")</f>
        <v>OK</v>
      </c>
    </row>
    <row r="351" spans="1:25" x14ac:dyDescent="0.2">
      <c r="A351" t="s">
        <v>444</v>
      </c>
      <c r="B351" t="s">
        <v>439</v>
      </c>
      <c r="C351" s="2">
        <v>46255</v>
      </c>
      <c r="D351" t="s">
        <v>53</v>
      </c>
      <c r="E351" t="s">
        <v>43</v>
      </c>
      <c r="F351" t="s">
        <v>97</v>
      </c>
      <c r="G351" t="s">
        <v>75</v>
      </c>
      <c r="H351">
        <v>658</v>
      </c>
      <c r="I351">
        <v>651</v>
      </c>
      <c r="J351">
        <v>7</v>
      </c>
      <c r="K351">
        <v>34.24</v>
      </c>
      <c r="L351">
        <v>36.619999999999997</v>
      </c>
      <c r="M351">
        <v>401.56</v>
      </c>
      <c r="N351">
        <f>_xlfn.XLOOKUP(Table13[[#This Row],[Production_Order_ID]],[1]Sheet1!$A$2:$A$391,[1]Sheet1!$F$2:$F$391,"No Match")</f>
        <v>570</v>
      </c>
      <c r="O351" s="3">
        <f>Table13[[#This Row],[Good_Qty]]/Table13[[#This Row],[Planned_Production]]</f>
        <v>1.1421052631578947</v>
      </c>
      <c r="P351" t="str">
        <f>IF(Table13[[#This Row],[Good_Qty]]&gt;=Table13[[#This Row],[Planned_Production]],"Met","Not Met")</f>
        <v>Met</v>
      </c>
      <c r="Q351">
        <f>Table13[[#This Row],[Good_Qty]]-Table13[[#This Row],[Planned_Production]]</f>
        <v>81</v>
      </c>
      <c r="R351" s="3">
        <f>IF(Table13[[#This Row],[Actual_Qty]]=0,0,Table13[[#This Row],[Reject_Qty]]/Table13[[#This Row],[Actual_Qty]])</f>
        <v>1.0638297872340425E-2</v>
      </c>
      <c r="S351">
        <v>412.18</v>
      </c>
      <c r="T351">
        <f>(Table13[[#This Row],[Ideal_Cycle_Time_sec]]*Table13[[#This Row],[Actual_Qty]])/(Table13[[#This Row],[Operational_Time_min]]*60)</f>
        <v>0.91100651818784684</v>
      </c>
      <c r="U351">
        <f>Table13[[#This Row],[Good_Qty]]/Table13[[#This Row],[Actual_Qty]]</f>
        <v>0.98936170212765961</v>
      </c>
      <c r="V351" t="str">
        <f>IF(OR(Table13[[#This Row],[Performance_%]]&gt;=1,Table13[[#This Row],[Performance_%]]&lt;=0),"Error","OK")</f>
        <v>OK</v>
      </c>
      <c r="W351" t="str">
        <f>IF(OR(Table13[[#This Row],[Quality_%]]&gt;=1,Table13[[#This Row],[Quality_%]]&lt;=0),"Error","OK")</f>
        <v>OK</v>
      </c>
      <c r="X351">
        <f>Table13[[#This Row],[Performance_%]]*Table13[[#This Row],[Quality_%]]*[2]Availability_KPI!K351</f>
        <v>0.82556444444444455</v>
      </c>
      <c r="Y351" t="str">
        <f>IF(OR(Table13[[#This Row],[OEE_%]]&gt;1,Table13[[#This Row],[OEE_%]]&lt;0),"Error","OK")</f>
        <v>OK</v>
      </c>
    </row>
    <row r="352" spans="1:25" x14ac:dyDescent="0.2">
      <c r="A352" t="s">
        <v>445</v>
      </c>
      <c r="B352" t="s">
        <v>439</v>
      </c>
      <c r="C352" s="2">
        <v>46255</v>
      </c>
      <c r="D352" t="s">
        <v>53</v>
      </c>
      <c r="E352" t="s">
        <v>46</v>
      </c>
      <c r="F352" t="s">
        <v>97</v>
      </c>
      <c r="G352" t="s">
        <v>39</v>
      </c>
      <c r="H352">
        <v>653</v>
      </c>
      <c r="I352">
        <v>648</v>
      </c>
      <c r="J352">
        <v>5</v>
      </c>
      <c r="K352">
        <v>26.75</v>
      </c>
      <c r="L352">
        <v>28.41</v>
      </c>
      <c r="M352">
        <v>309.20999999999998</v>
      </c>
      <c r="N352">
        <f>_xlfn.XLOOKUP(Table13[[#This Row],[Production_Order_ID]],[1]Sheet1!$A$2:$A$391,[1]Sheet1!$F$2:$F$391,"No Match")</f>
        <v>570</v>
      </c>
      <c r="O352" s="3">
        <f>Table13[[#This Row],[Good_Qty]]/Table13[[#This Row],[Planned_Production]]</f>
        <v>1.1368421052631579</v>
      </c>
      <c r="P352" t="str">
        <f>IF(Table13[[#This Row],[Good_Qty]]&gt;=Table13[[#This Row],[Planned_Production]],"Met","Not Met")</f>
        <v>Met</v>
      </c>
      <c r="Q352">
        <f>Table13[[#This Row],[Good_Qty]]-Table13[[#This Row],[Planned_Production]]</f>
        <v>78</v>
      </c>
      <c r="R352" s="3">
        <f>IF(Table13[[#This Row],[Actual_Qty]]=0,0,Table13[[#This Row],[Reject_Qty]]/Table13[[#This Row],[Actual_Qty]])</f>
        <v>7.656967840735069E-3</v>
      </c>
      <c r="S352">
        <v>425.23</v>
      </c>
      <c r="T352">
        <f>(Table13[[#This Row],[Ideal_Cycle_Time_sec]]*Table13[[#This Row],[Actual_Qty]])/(Table13[[#This Row],[Operational_Time_min]]*60)</f>
        <v>0.6846392932452241</v>
      </c>
      <c r="U352">
        <f>Table13[[#This Row],[Good_Qty]]/Table13[[#This Row],[Actual_Qty]]</f>
        <v>0.99234303215926489</v>
      </c>
      <c r="V352" t="str">
        <f>IF(OR(Table13[[#This Row],[Performance_%]]&gt;=1,Table13[[#This Row],[Performance_%]]&lt;=0),"Error","OK")</f>
        <v>OK</v>
      </c>
      <c r="W352" t="str">
        <f>IF(OR(Table13[[#This Row],[Quality_%]]&gt;=1,Table13[[#This Row],[Quality_%]]&lt;=0),"Error","OK")</f>
        <v>OK</v>
      </c>
      <c r="X352">
        <f>Table13[[#This Row],[Performance_%]]*Table13[[#This Row],[Quality_%]]*[2]Availability_KPI!K352</f>
        <v>0.6419999999999999</v>
      </c>
      <c r="Y352" t="str">
        <f>IF(OR(Table13[[#This Row],[OEE_%]]&gt;1,Table13[[#This Row],[OEE_%]]&lt;0),"Error","OK")</f>
        <v>OK</v>
      </c>
    </row>
    <row r="353" spans="1:25" x14ac:dyDescent="0.2">
      <c r="A353" t="s">
        <v>446</v>
      </c>
      <c r="B353" t="s">
        <v>439</v>
      </c>
      <c r="C353" s="2">
        <v>46255</v>
      </c>
      <c r="D353" t="s">
        <v>53</v>
      </c>
      <c r="E353" t="s">
        <v>49</v>
      </c>
      <c r="F353" t="s">
        <v>97</v>
      </c>
      <c r="G353" t="s">
        <v>30</v>
      </c>
      <c r="H353">
        <v>645</v>
      </c>
      <c r="I353">
        <v>643</v>
      </c>
      <c r="J353">
        <v>2</v>
      </c>
      <c r="K353">
        <v>21.4</v>
      </c>
      <c r="L353">
        <v>22.59</v>
      </c>
      <c r="M353">
        <v>242.86</v>
      </c>
      <c r="N353">
        <f>_xlfn.XLOOKUP(Table13[[#This Row],[Production_Order_ID]],[1]Sheet1!$A$2:$A$391,[1]Sheet1!$F$2:$F$391,"No Match")</f>
        <v>570</v>
      </c>
      <c r="O353" s="3">
        <f>Table13[[#This Row],[Good_Qty]]/Table13[[#This Row],[Planned_Production]]</f>
        <v>1.1280701754385964</v>
      </c>
      <c r="P353" t="str">
        <f>IF(Table13[[#This Row],[Good_Qty]]&gt;=Table13[[#This Row],[Planned_Production]],"Met","Not Met")</f>
        <v>Met</v>
      </c>
      <c r="Q353">
        <f>Table13[[#This Row],[Good_Qty]]-Table13[[#This Row],[Planned_Production]]</f>
        <v>73</v>
      </c>
      <c r="R353" s="3">
        <f>IF(Table13[[#This Row],[Actual_Qty]]=0,0,Table13[[#This Row],[Reject_Qty]]/Table13[[#This Row],[Actual_Qty]])</f>
        <v>3.1007751937984496E-3</v>
      </c>
      <c r="S353">
        <v>438.09</v>
      </c>
      <c r="T353">
        <f>(Table13[[#This Row],[Ideal_Cycle_Time_sec]]*Table13[[#This Row],[Actual_Qty]])/(Table13[[#This Row],[Operational_Time_min]]*60)</f>
        <v>0.52512040904836899</v>
      </c>
      <c r="U353">
        <f>Table13[[#This Row],[Good_Qty]]/Table13[[#This Row],[Actual_Qty]]</f>
        <v>0.99689922480620152</v>
      </c>
      <c r="V353" t="str">
        <f>IF(OR(Table13[[#This Row],[Performance_%]]&gt;=1,Table13[[#This Row],[Performance_%]]&lt;=0),"Error","OK")</f>
        <v>OK</v>
      </c>
      <c r="W353" t="str">
        <f>IF(OR(Table13[[#This Row],[Quality_%]]&gt;=1,Table13[[#This Row],[Quality_%]]&lt;=0),"Error","OK")</f>
        <v>OK</v>
      </c>
      <c r="X353">
        <f>Table13[[#This Row],[Performance_%]]*Table13[[#This Row],[Quality_%]]*[2]Availability_KPI!K353</f>
        <v>0.509637037037037</v>
      </c>
      <c r="Y353" t="str">
        <f>IF(OR(Table13[[#This Row],[OEE_%]]&gt;1,Table13[[#This Row],[OEE_%]]&lt;0),"Error","OK")</f>
        <v>OK</v>
      </c>
    </row>
    <row r="354" spans="1:25" x14ac:dyDescent="0.2">
      <c r="A354" t="s">
        <v>447</v>
      </c>
      <c r="B354" t="s">
        <v>448</v>
      </c>
      <c r="C354" s="2">
        <v>46255</v>
      </c>
      <c r="D354" t="s">
        <v>67</v>
      </c>
      <c r="E354" t="s">
        <v>28</v>
      </c>
      <c r="F354" t="s">
        <v>97</v>
      </c>
      <c r="G354" t="s">
        <v>39</v>
      </c>
      <c r="H354">
        <v>640</v>
      </c>
      <c r="I354">
        <v>637</v>
      </c>
      <c r="J354">
        <v>3</v>
      </c>
      <c r="K354">
        <v>19.260000000000002</v>
      </c>
      <c r="L354">
        <v>19.78</v>
      </c>
      <c r="M354">
        <v>210.94</v>
      </c>
      <c r="N354">
        <f>_xlfn.XLOOKUP(Table13[[#This Row],[Production_Order_ID]],[1]Sheet1!$A$2:$A$391,[1]Sheet1!$F$2:$F$391,"No Match")</f>
        <v>580</v>
      </c>
      <c r="O354" s="3">
        <f>Table13[[#This Row],[Good_Qty]]/Table13[[#This Row],[Planned_Production]]</f>
        <v>1.0982758620689654</v>
      </c>
      <c r="P354" t="str">
        <f>IF(Table13[[#This Row],[Good_Qty]]&gt;=Table13[[#This Row],[Planned_Production]],"Met","Not Met")</f>
        <v>Met</v>
      </c>
      <c r="Q354">
        <f>Table13[[#This Row],[Good_Qty]]-Table13[[#This Row],[Planned_Production]]</f>
        <v>57</v>
      </c>
      <c r="R354" s="3">
        <f>IF(Table13[[#This Row],[Actual_Qty]]=0,0,Table13[[#This Row],[Reject_Qty]]/Table13[[#This Row],[Actual_Qty]])</f>
        <v>4.6874999999999998E-3</v>
      </c>
      <c r="S354">
        <v>441.28</v>
      </c>
      <c r="T354">
        <f>(Table13[[#This Row],[Ideal_Cycle_Time_sec]]*Table13[[#This Row],[Actual_Qty]])/(Table13[[#This Row],[Operational_Time_min]]*60)</f>
        <v>0.46555474981870926</v>
      </c>
      <c r="U354">
        <f>Table13[[#This Row],[Good_Qty]]/Table13[[#This Row],[Actual_Qty]]</f>
        <v>0.99531250000000004</v>
      </c>
      <c r="V354" t="str">
        <f>IF(OR(Table13[[#This Row],[Performance_%]]&gt;=1,Table13[[#This Row],[Performance_%]]&lt;=0),"Error","OK")</f>
        <v>OK</v>
      </c>
      <c r="W354" t="str">
        <f>IF(OR(Table13[[#This Row],[Quality_%]]&gt;=1,Table13[[#This Row],[Quality_%]]&lt;=0),"Error","OK")</f>
        <v>OK</v>
      </c>
      <c r="X354">
        <f>Table13[[#This Row],[Performance_%]]*Table13[[#This Row],[Quality_%]]*[2]Availability_KPI!K354</f>
        <v>0.45439333333333337</v>
      </c>
      <c r="Y354" t="str">
        <f>IF(OR(Table13[[#This Row],[OEE_%]]&gt;1,Table13[[#This Row],[OEE_%]]&lt;0),"Error","OK")</f>
        <v>OK</v>
      </c>
    </row>
    <row r="355" spans="1:25" x14ac:dyDescent="0.2">
      <c r="A355" t="s">
        <v>449</v>
      </c>
      <c r="B355" t="s">
        <v>448</v>
      </c>
      <c r="C355" s="2">
        <v>46255</v>
      </c>
      <c r="D355" t="s">
        <v>67</v>
      </c>
      <c r="E355" t="s">
        <v>32</v>
      </c>
      <c r="F355" t="s">
        <v>97</v>
      </c>
      <c r="G355" t="s">
        <v>33</v>
      </c>
      <c r="H355">
        <v>628</v>
      </c>
      <c r="I355">
        <v>622</v>
      </c>
      <c r="J355">
        <v>6</v>
      </c>
      <c r="K355">
        <v>21.4</v>
      </c>
      <c r="L355">
        <v>22.47</v>
      </c>
      <c r="M355">
        <v>235.22</v>
      </c>
      <c r="N355">
        <f>_xlfn.XLOOKUP(Table13[[#This Row],[Production_Order_ID]],[1]Sheet1!$A$2:$A$391,[1]Sheet1!$F$2:$F$391,"No Match")</f>
        <v>580</v>
      </c>
      <c r="O355" s="3">
        <f>Table13[[#This Row],[Good_Qty]]/Table13[[#This Row],[Planned_Production]]</f>
        <v>1.0724137931034483</v>
      </c>
      <c r="P355" t="str">
        <f>IF(Table13[[#This Row],[Good_Qty]]&gt;=Table13[[#This Row],[Planned_Production]],"Met","Not Met")</f>
        <v>Met</v>
      </c>
      <c r="Q355">
        <f>Table13[[#This Row],[Good_Qty]]-Table13[[#This Row],[Planned_Production]]</f>
        <v>42</v>
      </c>
      <c r="R355" s="3">
        <f>IF(Table13[[#This Row],[Actual_Qty]]=0,0,Table13[[#This Row],[Reject_Qty]]/Table13[[#This Row],[Actual_Qty]])</f>
        <v>9.5541401273885346E-3</v>
      </c>
      <c r="S355">
        <v>433.85</v>
      </c>
      <c r="T355">
        <f>(Table13[[#This Row],[Ideal_Cycle_Time_sec]]*Table13[[#This Row],[Actual_Qty]])/(Table13[[#This Row],[Operational_Time_min]]*60)</f>
        <v>0.51627674695555292</v>
      </c>
      <c r="U355">
        <f>Table13[[#This Row],[Good_Qty]]/Table13[[#This Row],[Actual_Qty]]</f>
        <v>0.99044585987261147</v>
      </c>
      <c r="V355" t="str">
        <f>IF(OR(Table13[[#This Row],[Performance_%]]&gt;=1,Table13[[#This Row],[Performance_%]]&lt;=0),"Error","OK")</f>
        <v>OK</v>
      </c>
      <c r="W355" t="str">
        <f>IF(OR(Table13[[#This Row],[Quality_%]]&gt;=1,Table13[[#This Row],[Quality_%]]&lt;=0),"Error","OK")</f>
        <v>OK</v>
      </c>
      <c r="X355">
        <f>Table13[[#This Row],[Performance_%]]*Table13[[#This Row],[Quality_%]]*[2]Availability_KPI!K355</f>
        <v>0.49299259259259259</v>
      </c>
      <c r="Y355" t="str">
        <f>IF(OR(Table13[[#This Row],[OEE_%]]&gt;1,Table13[[#This Row],[OEE_%]]&lt;0),"Error","OK")</f>
        <v>OK</v>
      </c>
    </row>
    <row r="356" spans="1:25" x14ac:dyDescent="0.2">
      <c r="A356" t="s">
        <v>450</v>
      </c>
      <c r="B356" t="s">
        <v>448</v>
      </c>
      <c r="C356" s="2">
        <v>46255</v>
      </c>
      <c r="D356" t="s">
        <v>67</v>
      </c>
      <c r="E356" t="s">
        <v>35</v>
      </c>
      <c r="F356" t="s">
        <v>97</v>
      </c>
      <c r="G356" t="s">
        <v>30</v>
      </c>
      <c r="H356">
        <v>637</v>
      </c>
      <c r="I356">
        <v>632</v>
      </c>
      <c r="J356">
        <v>5</v>
      </c>
      <c r="K356">
        <v>23.54</v>
      </c>
      <c r="L356">
        <v>24.71</v>
      </c>
      <c r="M356">
        <v>262.37</v>
      </c>
      <c r="N356">
        <f>_xlfn.XLOOKUP(Table13[[#This Row],[Production_Order_ID]],[1]Sheet1!$A$2:$A$391,[1]Sheet1!$F$2:$F$391,"No Match")</f>
        <v>580</v>
      </c>
      <c r="O356" s="3">
        <f>Table13[[#This Row],[Good_Qty]]/Table13[[#This Row],[Planned_Production]]</f>
        <v>1.0896551724137931</v>
      </c>
      <c r="P356" t="str">
        <f>IF(Table13[[#This Row],[Good_Qty]]&gt;=Table13[[#This Row],[Planned_Production]],"Met","Not Met")</f>
        <v>Met</v>
      </c>
      <c r="Q356">
        <f>Table13[[#This Row],[Good_Qty]]-Table13[[#This Row],[Planned_Production]]</f>
        <v>52</v>
      </c>
      <c r="R356" s="3">
        <f>IF(Table13[[#This Row],[Actual_Qty]]=0,0,Table13[[#This Row],[Reject_Qty]]/Table13[[#This Row],[Actual_Qty]])</f>
        <v>7.8492935635792772E-3</v>
      </c>
      <c r="S356">
        <v>436.5</v>
      </c>
      <c r="T356">
        <f>(Table13[[#This Row],[Ideal_Cycle_Time_sec]]*Table13[[#This Row],[Actual_Qty]])/(Table13[[#This Row],[Operational_Time_min]]*60)</f>
        <v>0.57254600992745319</v>
      </c>
      <c r="U356">
        <f>Table13[[#This Row],[Good_Qty]]/Table13[[#This Row],[Actual_Qty]]</f>
        <v>0.99215070643642067</v>
      </c>
      <c r="V356" t="str">
        <f>IF(OR(Table13[[#This Row],[Performance_%]]&gt;=1,Table13[[#This Row],[Performance_%]]&lt;=0),"Error","OK")</f>
        <v>OK</v>
      </c>
      <c r="W356" t="str">
        <f>IF(OR(Table13[[#This Row],[Quality_%]]&gt;=1,Table13[[#This Row],[Quality_%]]&lt;=0),"Error","OK")</f>
        <v>OK</v>
      </c>
      <c r="X356">
        <f>Table13[[#This Row],[Performance_%]]*Table13[[#This Row],[Quality_%]]*[2]Availability_KPI!K356</f>
        <v>0.55101037037037026</v>
      </c>
      <c r="Y356" t="str">
        <f>IF(OR(Table13[[#This Row],[OEE_%]]&gt;1,Table13[[#This Row],[OEE_%]]&lt;0),"Error","OK")</f>
        <v>OK</v>
      </c>
    </row>
    <row r="357" spans="1:25" x14ac:dyDescent="0.2">
      <c r="A357" t="s">
        <v>451</v>
      </c>
      <c r="B357" t="s">
        <v>448</v>
      </c>
      <c r="C357" s="2">
        <v>46255</v>
      </c>
      <c r="D357" t="s">
        <v>67</v>
      </c>
      <c r="E357" t="s">
        <v>38</v>
      </c>
      <c r="F357" t="s">
        <v>97</v>
      </c>
      <c r="G357" t="s">
        <v>61</v>
      </c>
      <c r="H357">
        <v>636</v>
      </c>
      <c r="I357">
        <v>631</v>
      </c>
      <c r="J357">
        <v>5</v>
      </c>
      <c r="K357">
        <v>21.4</v>
      </c>
      <c r="L357">
        <v>22.09</v>
      </c>
      <c r="M357">
        <v>234.11</v>
      </c>
      <c r="N357">
        <f>_xlfn.XLOOKUP(Table13[[#This Row],[Production_Order_ID]],[1]Sheet1!$A$2:$A$391,[1]Sheet1!$F$2:$F$391,"No Match")</f>
        <v>580</v>
      </c>
      <c r="O357" s="3">
        <f>Table13[[#This Row],[Good_Qty]]/Table13[[#This Row],[Planned_Production]]</f>
        <v>1.0879310344827586</v>
      </c>
      <c r="P357" t="str">
        <f>IF(Table13[[#This Row],[Good_Qty]]&gt;=Table13[[#This Row],[Planned_Production]],"Met","Not Met")</f>
        <v>Met</v>
      </c>
      <c r="Q357">
        <f>Table13[[#This Row],[Good_Qty]]-Table13[[#This Row],[Planned_Production]]</f>
        <v>51</v>
      </c>
      <c r="R357" s="3">
        <f>IF(Table13[[#This Row],[Actual_Qty]]=0,0,Table13[[#This Row],[Reject_Qty]]/Table13[[#This Row],[Actual_Qty]])</f>
        <v>7.8616352201257862E-3</v>
      </c>
      <c r="S357">
        <v>440.24</v>
      </c>
      <c r="T357">
        <f>(Table13[[#This Row],[Ideal_Cycle_Time_sec]]*Table13[[#This Row],[Actual_Qty]])/(Table13[[#This Row],[Operational_Time_min]]*60)</f>
        <v>0.51526440123568962</v>
      </c>
      <c r="U357">
        <f>Table13[[#This Row],[Good_Qty]]/Table13[[#This Row],[Actual_Qty]]</f>
        <v>0.99213836477987416</v>
      </c>
      <c r="V357" t="str">
        <f>IF(OR(Table13[[#This Row],[Performance_%]]&gt;=1,Table13[[#This Row],[Performance_%]]&lt;=0),"Error","OK")</f>
        <v>OK</v>
      </c>
      <c r="W357" t="str">
        <f>IF(OR(Table13[[#This Row],[Quality_%]]&gt;=1,Table13[[#This Row],[Quality_%]]&lt;=0),"Error","OK")</f>
        <v>OK</v>
      </c>
      <c r="X357">
        <f>Table13[[#This Row],[Performance_%]]*Table13[[#This Row],[Quality_%]]*[2]Availability_KPI!K357</f>
        <v>0.50012592592592597</v>
      </c>
      <c r="Y357" t="str">
        <f>IF(OR(Table13[[#This Row],[OEE_%]]&gt;1,Table13[[#This Row],[OEE_%]]&lt;0),"Error","OK")</f>
        <v>OK</v>
      </c>
    </row>
    <row r="358" spans="1:25" x14ac:dyDescent="0.2">
      <c r="A358" t="s">
        <v>452</v>
      </c>
      <c r="B358" t="s">
        <v>448</v>
      </c>
      <c r="C358" s="2">
        <v>46255</v>
      </c>
      <c r="D358" t="s">
        <v>67</v>
      </c>
      <c r="E358" t="s">
        <v>41</v>
      </c>
      <c r="F358" t="s">
        <v>97</v>
      </c>
      <c r="G358" t="s">
        <v>61</v>
      </c>
      <c r="H358">
        <v>622</v>
      </c>
      <c r="I358">
        <v>616</v>
      </c>
      <c r="J358">
        <v>6</v>
      </c>
      <c r="K358">
        <v>19.260000000000002</v>
      </c>
      <c r="L358">
        <v>20.93</v>
      </c>
      <c r="M358">
        <v>216.98</v>
      </c>
      <c r="N358">
        <f>_xlfn.XLOOKUP(Table13[[#This Row],[Production_Order_ID]],[1]Sheet1!$A$2:$A$391,[1]Sheet1!$F$2:$F$391,"No Match")</f>
        <v>580</v>
      </c>
      <c r="O358" s="3">
        <f>Table13[[#This Row],[Good_Qty]]/Table13[[#This Row],[Planned_Production]]</f>
        <v>1.0620689655172413</v>
      </c>
      <c r="P358" t="str">
        <f>IF(Table13[[#This Row],[Good_Qty]]&gt;=Table13[[#This Row],[Planned_Production]],"Met","Not Met")</f>
        <v>Met</v>
      </c>
      <c r="Q358">
        <f>Table13[[#This Row],[Good_Qty]]-Table13[[#This Row],[Planned_Production]]</f>
        <v>36</v>
      </c>
      <c r="R358" s="3">
        <f>IF(Table13[[#This Row],[Actual_Qty]]=0,0,Table13[[#This Row],[Reject_Qty]]/Table13[[#This Row],[Actual_Qty]])</f>
        <v>9.6463022508038593E-3</v>
      </c>
      <c r="S358">
        <v>439.73</v>
      </c>
      <c r="T358">
        <f>(Table13[[#This Row],[Ideal_Cycle_Time_sec]]*Table13[[#This Row],[Actual_Qty]])/(Table13[[#This Row],[Operational_Time_min]]*60)</f>
        <v>0.45405589793737067</v>
      </c>
      <c r="U358">
        <f>Table13[[#This Row],[Good_Qty]]/Table13[[#This Row],[Actual_Qty]]</f>
        <v>0.99035369774919613</v>
      </c>
      <c r="V358" t="str">
        <f>IF(OR(Table13[[#This Row],[Performance_%]]&gt;=1,Table13[[#This Row],[Performance_%]]&lt;=0),"Error","OK")</f>
        <v>OK</v>
      </c>
      <c r="W358" t="str">
        <f>IF(OR(Table13[[#This Row],[Quality_%]]&gt;=1,Table13[[#This Row],[Quality_%]]&lt;=0),"Error","OK")</f>
        <v>OK</v>
      </c>
      <c r="X358">
        <f>Table13[[#This Row],[Performance_%]]*Table13[[#This Row],[Quality_%]]*[2]Availability_KPI!K358</f>
        <v>0.43941333333333338</v>
      </c>
      <c r="Y358" t="str">
        <f>IF(OR(Table13[[#This Row],[OEE_%]]&gt;1,Table13[[#This Row],[OEE_%]]&lt;0),"Error","OK")</f>
        <v>OK</v>
      </c>
    </row>
    <row r="359" spans="1:25" x14ac:dyDescent="0.2">
      <c r="A359" t="s">
        <v>453</v>
      </c>
      <c r="B359" t="s">
        <v>448</v>
      </c>
      <c r="C359" s="2">
        <v>46255</v>
      </c>
      <c r="D359" t="s">
        <v>67</v>
      </c>
      <c r="E359" t="s">
        <v>43</v>
      </c>
      <c r="F359" t="s">
        <v>97</v>
      </c>
      <c r="G359" t="s">
        <v>55</v>
      </c>
      <c r="H359">
        <v>632</v>
      </c>
      <c r="I359">
        <v>622</v>
      </c>
      <c r="J359">
        <v>10</v>
      </c>
      <c r="K359">
        <v>34.24</v>
      </c>
      <c r="L359">
        <v>37.29</v>
      </c>
      <c r="M359">
        <v>392.83</v>
      </c>
      <c r="N359">
        <f>_xlfn.XLOOKUP(Table13[[#This Row],[Production_Order_ID]],[1]Sheet1!$A$2:$A$391,[1]Sheet1!$F$2:$F$391,"No Match")</f>
        <v>580</v>
      </c>
      <c r="O359" s="3">
        <f>Table13[[#This Row],[Good_Qty]]/Table13[[#This Row],[Planned_Production]]</f>
        <v>1.0724137931034483</v>
      </c>
      <c r="P359" t="str">
        <f>IF(Table13[[#This Row],[Good_Qty]]&gt;=Table13[[#This Row],[Planned_Production]],"Met","Not Met")</f>
        <v>Met</v>
      </c>
      <c r="Q359">
        <f>Table13[[#This Row],[Good_Qty]]-Table13[[#This Row],[Planned_Production]]</f>
        <v>42</v>
      </c>
      <c r="R359" s="3">
        <f>IF(Table13[[#This Row],[Actual_Qty]]=0,0,Table13[[#This Row],[Reject_Qty]]/Table13[[#This Row],[Actual_Qty]])</f>
        <v>1.5822784810126583E-2</v>
      </c>
      <c r="S359">
        <v>407.77</v>
      </c>
      <c r="T359">
        <f>(Table13[[#This Row],[Ideal_Cycle_Time_sec]]*Table13[[#This Row],[Actual_Qty]])/(Table13[[#This Row],[Operational_Time_min]]*60)</f>
        <v>0.88447245587790513</v>
      </c>
      <c r="U359">
        <f>Table13[[#This Row],[Good_Qty]]/Table13[[#This Row],[Actual_Qty]]</f>
        <v>0.98417721518987344</v>
      </c>
      <c r="V359" t="str">
        <f>IF(OR(Table13[[#This Row],[Performance_%]]&gt;=1,Table13[[#This Row],[Performance_%]]&lt;=0),"Error","OK")</f>
        <v>OK</v>
      </c>
      <c r="W359" t="str">
        <f>IF(OR(Table13[[#This Row],[Quality_%]]&gt;=1,Table13[[#This Row],[Quality_%]]&lt;=0),"Error","OK")</f>
        <v>OK</v>
      </c>
      <c r="X359">
        <f>Table13[[#This Row],[Performance_%]]*Table13[[#This Row],[Quality_%]]*[2]Availability_KPI!K359</f>
        <v>0.78878814814814824</v>
      </c>
      <c r="Y359" t="str">
        <f>IF(OR(Table13[[#This Row],[OEE_%]]&gt;1,Table13[[#This Row],[OEE_%]]&lt;0),"Error","OK")</f>
        <v>OK</v>
      </c>
    </row>
    <row r="360" spans="1:25" x14ac:dyDescent="0.2">
      <c r="A360" t="s">
        <v>454</v>
      </c>
      <c r="B360" t="s">
        <v>448</v>
      </c>
      <c r="C360" s="2">
        <v>46255</v>
      </c>
      <c r="D360" t="s">
        <v>67</v>
      </c>
      <c r="E360" t="s">
        <v>46</v>
      </c>
      <c r="F360" t="s">
        <v>97</v>
      </c>
      <c r="G360" t="s">
        <v>71</v>
      </c>
      <c r="H360">
        <v>638</v>
      </c>
      <c r="I360">
        <v>630</v>
      </c>
      <c r="J360">
        <v>8</v>
      </c>
      <c r="K360">
        <v>26.75</v>
      </c>
      <c r="L360">
        <v>27.7</v>
      </c>
      <c r="M360">
        <v>294.57</v>
      </c>
      <c r="N360">
        <f>_xlfn.XLOOKUP(Table13[[#This Row],[Production_Order_ID]],[1]Sheet1!$A$2:$A$391,[1]Sheet1!$F$2:$F$391,"No Match")</f>
        <v>580</v>
      </c>
      <c r="O360" s="3">
        <f>Table13[[#This Row],[Good_Qty]]/Table13[[#This Row],[Planned_Production]]</f>
        <v>1.0862068965517242</v>
      </c>
      <c r="P360" t="str">
        <f>IF(Table13[[#This Row],[Good_Qty]]&gt;=Table13[[#This Row],[Planned_Production]],"Met","Not Met")</f>
        <v>Met</v>
      </c>
      <c r="Q360">
        <f>Table13[[#This Row],[Good_Qty]]-Table13[[#This Row],[Planned_Production]]</f>
        <v>50</v>
      </c>
      <c r="R360" s="3">
        <f>IF(Table13[[#This Row],[Actual_Qty]]=0,0,Table13[[#This Row],[Reject_Qty]]/Table13[[#This Row],[Actual_Qty]])</f>
        <v>1.2539184952978056E-2</v>
      </c>
      <c r="S360">
        <v>429.33</v>
      </c>
      <c r="T360">
        <f>(Table13[[#This Row],[Ideal_Cycle_Time_sec]]*Table13[[#This Row],[Actual_Qty]])/(Table13[[#This Row],[Operational_Time_min]]*60)</f>
        <v>0.66252455376206343</v>
      </c>
      <c r="U360">
        <f>Table13[[#This Row],[Good_Qty]]/Table13[[#This Row],[Actual_Qty]]</f>
        <v>0.98746081504702199</v>
      </c>
      <c r="V360" t="str">
        <f>IF(OR(Table13[[#This Row],[Performance_%]]&gt;=1,Table13[[#This Row],[Performance_%]]&lt;=0),"Error","OK")</f>
        <v>OK</v>
      </c>
      <c r="W360" t="str">
        <f>IF(OR(Table13[[#This Row],[Quality_%]]&gt;=1,Table13[[#This Row],[Quality_%]]&lt;=0),"Error","OK")</f>
        <v>OK</v>
      </c>
      <c r="X360">
        <f>Table13[[#This Row],[Performance_%]]*Table13[[#This Row],[Quality_%]]*[2]Availability_KPI!K360</f>
        <v>0.62416666666666665</v>
      </c>
      <c r="Y360" t="str">
        <f>IF(OR(Table13[[#This Row],[OEE_%]]&gt;1,Table13[[#This Row],[OEE_%]]&lt;0),"Error","OK")</f>
        <v>OK</v>
      </c>
    </row>
    <row r="361" spans="1:25" x14ac:dyDescent="0.2">
      <c r="A361" t="s">
        <v>455</v>
      </c>
      <c r="B361" t="s">
        <v>448</v>
      </c>
      <c r="C361" s="2">
        <v>46255</v>
      </c>
      <c r="D361" t="s">
        <v>67</v>
      </c>
      <c r="E361" t="s">
        <v>49</v>
      </c>
      <c r="F361" t="s">
        <v>97</v>
      </c>
      <c r="G361" t="s">
        <v>44</v>
      </c>
      <c r="H361">
        <v>633</v>
      </c>
      <c r="I361">
        <v>631</v>
      </c>
      <c r="J361">
        <v>2</v>
      </c>
      <c r="K361">
        <v>21.4</v>
      </c>
      <c r="L361">
        <v>22.45</v>
      </c>
      <c r="M361">
        <v>236.85</v>
      </c>
      <c r="N361">
        <f>_xlfn.XLOOKUP(Table13[[#This Row],[Production_Order_ID]],[1]Sheet1!$A$2:$A$391,[1]Sheet1!$F$2:$F$391,"No Match")</f>
        <v>580</v>
      </c>
      <c r="O361" s="3">
        <f>Table13[[#This Row],[Good_Qty]]/Table13[[#This Row],[Planned_Production]]</f>
        <v>1.0879310344827586</v>
      </c>
      <c r="P361" t="str">
        <f>IF(Table13[[#This Row],[Good_Qty]]&gt;=Table13[[#This Row],[Planned_Production]],"Met","Not Met")</f>
        <v>Met</v>
      </c>
      <c r="Q361">
        <f>Table13[[#This Row],[Good_Qty]]-Table13[[#This Row],[Planned_Production]]</f>
        <v>51</v>
      </c>
      <c r="R361" s="3">
        <f>IF(Table13[[#This Row],[Actual_Qty]]=0,0,Table13[[#This Row],[Reject_Qty]]/Table13[[#This Row],[Actual_Qty]])</f>
        <v>3.1595576619273301E-3</v>
      </c>
      <c r="S361">
        <v>438.25</v>
      </c>
      <c r="T361">
        <f>(Table13[[#This Row],[Ideal_Cycle_Time_sec]]*Table13[[#This Row],[Actual_Qty]])/(Table13[[#This Row],[Operational_Time_min]]*60)</f>
        <v>0.51516257843696511</v>
      </c>
      <c r="U361">
        <f>Table13[[#This Row],[Good_Qty]]/Table13[[#This Row],[Actual_Qty]]</f>
        <v>0.99684044233807267</v>
      </c>
      <c r="V361" t="str">
        <f>IF(OR(Table13[[#This Row],[Performance_%]]&gt;=1,Table13[[#This Row],[Performance_%]]&lt;=0),"Error","OK")</f>
        <v>OK</v>
      </c>
      <c r="W361" t="str">
        <f>IF(OR(Table13[[#This Row],[Quality_%]]&gt;=1,Table13[[#This Row],[Quality_%]]&lt;=0),"Error","OK")</f>
        <v>OK</v>
      </c>
      <c r="X361">
        <f>Table13[[#This Row],[Performance_%]]*Table13[[#This Row],[Quality_%]]*[2]Availability_KPI!K361</f>
        <v>0.50012592592592586</v>
      </c>
      <c r="Y361" t="str">
        <f>IF(OR(Table13[[#This Row],[OEE_%]]&gt;1,Table13[[#This Row],[OEE_%]]&lt;0),"Error","OK")</f>
        <v>OK</v>
      </c>
    </row>
    <row r="362" spans="1:25" x14ac:dyDescent="0.2">
      <c r="A362" t="s">
        <v>456</v>
      </c>
      <c r="B362" t="s">
        <v>457</v>
      </c>
      <c r="C362" s="2">
        <v>46258</v>
      </c>
      <c r="D362" t="s">
        <v>27</v>
      </c>
      <c r="E362" t="s">
        <v>28</v>
      </c>
      <c r="F362" t="s">
        <v>54</v>
      </c>
      <c r="G362" t="s">
        <v>33</v>
      </c>
      <c r="H362">
        <v>620</v>
      </c>
      <c r="I362">
        <v>616</v>
      </c>
      <c r="J362">
        <v>4</v>
      </c>
      <c r="K362">
        <v>18</v>
      </c>
      <c r="L362">
        <v>18.78</v>
      </c>
      <c r="M362">
        <v>194.05</v>
      </c>
      <c r="N362">
        <f>_xlfn.XLOOKUP(Table13[[#This Row],[Production_Order_ID]],[1]Sheet1!$A$2:$A$391,[1]Sheet1!$F$2:$F$391,"No Match")</f>
        <v>640</v>
      </c>
      <c r="O362" s="3">
        <f>Table13[[#This Row],[Good_Qty]]/Table13[[#This Row],[Planned_Production]]</f>
        <v>0.96250000000000002</v>
      </c>
      <c r="P362" t="str">
        <f>IF(Table13[[#This Row],[Good_Qty]]&gt;=Table13[[#This Row],[Planned_Production]],"Met","Not Met")</f>
        <v>Not Met</v>
      </c>
      <c r="Q362">
        <f>Table13[[#This Row],[Good_Qty]]-Table13[[#This Row],[Planned_Production]]</f>
        <v>-24</v>
      </c>
      <c r="R362" s="3">
        <f>IF(Table13[[#This Row],[Actual_Qty]]=0,0,Table13[[#This Row],[Reject_Qty]]/Table13[[#This Row],[Actual_Qty]])</f>
        <v>6.4516129032258064E-3</v>
      </c>
      <c r="S362">
        <v>440.76</v>
      </c>
      <c r="T362">
        <f>(Table13[[#This Row],[Ideal_Cycle_Time_sec]]*Table13[[#This Row],[Actual_Qty]])/(Table13[[#This Row],[Operational_Time_min]]*60)</f>
        <v>0.42199836645793631</v>
      </c>
      <c r="U362">
        <f>Table13[[#This Row],[Good_Qty]]/Table13[[#This Row],[Actual_Qty]]</f>
        <v>0.99354838709677418</v>
      </c>
      <c r="V362" t="str">
        <f>IF(OR(Table13[[#This Row],[Performance_%]]&gt;=1,Table13[[#This Row],[Performance_%]]&lt;=0),"Error","OK")</f>
        <v>OK</v>
      </c>
      <c r="W362" t="str">
        <f>IF(OR(Table13[[#This Row],[Quality_%]]&gt;=1,Table13[[#This Row],[Quality_%]]&lt;=0),"Error","OK")</f>
        <v>OK</v>
      </c>
      <c r="X362">
        <f>Table13[[#This Row],[Performance_%]]*Table13[[#This Row],[Quality_%]]*[2]Availability_KPI!K362</f>
        <v>0.41066666666666662</v>
      </c>
      <c r="Y362" t="str">
        <f>IF(OR(Table13[[#This Row],[OEE_%]]&gt;1,Table13[[#This Row],[OEE_%]]&lt;0),"Error","OK")</f>
        <v>OK</v>
      </c>
    </row>
    <row r="363" spans="1:25" x14ac:dyDescent="0.2">
      <c r="A363" t="s">
        <v>458</v>
      </c>
      <c r="B363" t="s">
        <v>457</v>
      </c>
      <c r="C363" s="2">
        <v>46258</v>
      </c>
      <c r="D363" t="s">
        <v>27</v>
      </c>
      <c r="E363" t="s">
        <v>32</v>
      </c>
      <c r="F363" t="s">
        <v>54</v>
      </c>
      <c r="G363" t="s">
        <v>36</v>
      </c>
      <c r="H363">
        <v>623</v>
      </c>
      <c r="I363">
        <v>616</v>
      </c>
      <c r="J363">
        <v>7</v>
      </c>
      <c r="K363">
        <v>20</v>
      </c>
      <c r="L363">
        <v>21.38</v>
      </c>
      <c r="M363">
        <v>221.99</v>
      </c>
      <c r="N363">
        <f>_xlfn.XLOOKUP(Table13[[#This Row],[Production_Order_ID]],[1]Sheet1!$A$2:$A$391,[1]Sheet1!$F$2:$F$391,"No Match")</f>
        <v>640</v>
      </c>
      <c r="O363" s="3">
        <f>Table13[[#This Row],[Good_Qty]]/Table13[[#This Row],[Planned_Production]]</f>
        <v>0.96250000000000002</v>
      </c>
      <c r="P363" t="str">
        <f>IF(Table13[[#This Row],[Good_Qty]]&gt;=Table13[[#This Row],[Planned_Production]],"Met","Not Met")</f>
        <v>Not Met</v>
      </c>
      <c r="Q363">
        <f>Table13[[#This Row],[Good_Qty]]-Table13[[#This Row],[Planned_Production]]</f>
        <v>-24</v>
      </c>
      <c r="R363" s="3">
        <f>IF(Table13[[#This Row],[Actual_Qty]]=0,0,Table13[[#This Row],[Reject_Qty]]/Table13[[#This Row],[Actual_Qty]])</f>
        <v>1.1235955056179775E-2</v>
      </c>
      <c r="S363">
        <v>437.97</v>
      </c>
      <c r="T363">
        <f>(Table13[[#This Row],[Ideal_Cycle_Time_sec]]*Table13[[#This Row],[Actual_Qty]])/(Table13[[#This Row],[Operational_Time_min]]*60)</f>
        <v>0.47415728626770476</v>
      </c>
      <c r="U363">
        <f>Table13[[#This Row],[Good_Qty]]/Table13[[#This Row],[Actual_Qty]]</f>
        <v>0.9887640449438202</v>
      </c>
      <c r="V363" t="str">
        <f>IF(OR(Table13[[#This Row],[Performance_%]]&gt;=1,Table13[[#This Row],[Performance_%]]&lt;=0),"Error","OK")</f>
        <v>OK</v>
      </c>
      <c r="W363" t="str">
        <f>IF(OR(Table13[[#This Row],[Quality_%]]&gt;=1,Table13[[#This Row],[Quality_%]]&lt;=0),"Error","OK")</f>
        <v>OK</v>
      </c>
      <c r="X363">
        <f>Table13[[#This Row],[Performance_%]]*Table13[[#This Row],[Quality_%]]*[2]Availability_KPI!K363</f>
        <v>0.45629629629629626</v>
      </c>
      <c r="Y363" t="str">
        <f>IF(OR(Table13[[#This Row],[OEE_%]]&gt;1,Table13[[#This Row],[OEE_%]]&lt;0),"Error","OK")</f>
        <v>OK</v>
      </c>
    </row>
    <row r="364" spans="1:25" x14ac:dyDescent="0.2">
      <c r="A364" t="s">
        <v>459</v>
      </c>
      <c r="B364" t="s">
        <v>457</v>
      </c>
      <c r="C364" s="2">
        <v>46258</v>
      </c>
      <c r="D364" t="s">
        <v>27</v>
      </c>
      <c r="E364" t="s">
        <v>35</v>
      </c>
      <c r="F364" t="s">
        <v>54</v>
      </c>
      <c r="G364" t="s">
        <v>71</v>
      </c>
      <c r="H364">
        <v>629</v>
      </c>
      <c r="I364">
        <v>623</v>
      </c>
      <c r="J364">
        <v>6</v>
      </c>
      <c r="K364">
        <v>22</v>
      </c>
      <c r="L364">
        <v>22.82</v>
      </c>
      <c r="M364">
        <v>239.22</v>
      </c>
      <c r="N364">
        <f>_xlfn.XLOOKUP(Table13[[#This Row],[Production_Order_ID]],[1]Sheet1!$A$2:$A$391,[1]Sheet1!$F$2:$F$391,"No Match")</f>
        <v>640</v>
      </c>
      <c r="O364" s="3">
        <f>Table13[[#This Row],[Good_Qty]]/Table13[[#This Row],[Planned_Production]]</f>
        <v>0.97343749999999996</v>
      </c>
      <c r="P364" t="str">
        <f>IF(Table13[[#This Row],[Good_Qty]]&gt;=Table13[[#This Row],[Planned_Production]],"Met","Not Met")</f>
        <v>Not Met</v>
      </c>
      <c r="Q364">
        <f>Table13[[#This Row],[Good_Qty]]-Table13[[#This Row],[Planned_Production]]</f>
        <v>-17</v>
      </c>
      <c r="R364" s="3">
        <f>IF(Table13[[#This Row],[Actual_Qty]]=0,0,Table13[[#This Row],[Reject_Qty]]/Table13[[#This Row],[Actual_Qty]])</f>
        <v>9.538950715421303E-3</v>
      </c>
      <c r="S364">
        <v>436.87</v>
      </c>
      <c r="T364">
        <f>(Table13[[#This Row],[Ideal_Cycle_Time_sec]]*Table13[[#This Row],[Actual_Qty]])/(Table13[[#This Row],[Operational_Time_min]]*60)</f>
        <v>0.52792211260405464</v>
      </c>
      <c r="U364">
        <f>Table13[[#This Row],[Good_Qty]]/Table13[[#This Row],[Actual_Qty]]</f>
        <v>0.99046104928457868</v>
      </c>
      <c r="V364" t="str">
        <f>IF(OR(Table13[[#This Row],[Performance_%]]&gt;=1,Table13[[#This Row],[Performance_%]]&lt;=0),"Error","OK")</f>
        <v>OK</v>
      </c>
      <c r="W364" t="str">
        <f>IF(OR(Table13[[#This Row],[Quality_%]]&gt;=1,Table13[[#This Row],[Quality_%]]&lt;=0),"Error","OK")</f>
        <v>OK</v>
      </c>
      <c r="X364">
        <f>Table13[[#This Row],[Performance_%]]*Table13[[#This Row],[Quality_%]]*[2]Availability_KPI!K364</f>
        <v>0.50762962962962965</v>
      </c>
      <c r="Y364" t="str">
        <f>IF(OR(Table13[[#This Row],[OEE_%]]&gt;1,Table13[[#This Row],[OEE_%]]&lt;0),"Error","OK")</f>
        <v>OK</v>
      </c>
    </row>
    <row r="365" spans="1:25" x14ac:dyDescent="0.2">
      <c r="A365" t="s">
        <v>460</v>
      </c>
      <c r="B365" t="s">
        <v>457</v>
      </c>
      <c r="C365" s="2">
        <v>46258</v>
      </c>
      <c r="D365" t="s">
        <v>27</v>
      </c>
      <c r="E365" t="s">
        <v>38</v>
      </c>
      <c r="F365" t="s">
        <v>54</v>
      </c>
      <c r="G365" t="s">
        <v>36</v>
      </c>
      <c r="H365">
        <v>614</v>
      </c>
      <c r="I365">
        <v>607</v>
      </c>
      <c r="J365">
        <v>7</v>
      </c>
      <c r="K365">
        <v>20</v>
      </c>
      <c r="L365">
        <v>21.21</v>
      </c>
      <c r="M365">
        <v>217.08</v>
      </c>
      <c r="N365">
        <f>_xlfn.XLOOKUP(Table13[[#This Row],[Production_Order_ID]],[1]Sheet1!$A$2:$A$391,[1]Sheet1!$F$2:$F$391,"No Match")</f>
        <v>640</v>
      </c>
      <c r="O365" s="3">
        <f>Table13[[#This Row],[Good_Qty]]/Table13[[#This Row],[Planned_Production]]</f>
        <v>0.94843750000000004</v>
      </c>
      <c r="P365" t="str">
        <f>IF(Table13[[#This Row],[Good_Qty]]&gt;=Table13[[#This Row],[Planned_Production]],"Met","Not Met")</f>
        <v>Not Met</v>
      </c>
      <c r="Q365">
        <f>Table13[[#This Row],[Good_Qty]]-Table13[[#This Row],[Planned_Production]]</f>
        <v>-33</v>
      </c>
      <c r="R365" s="3">
        <f>IF(Table13[[#This Row],[Actual_Qty]]=0,0,Table13[[#This Row],[Reject_Qty]]/Table13[[#This Row],[Actual_Qty]])</f>
        <v>1.1400651465798045E-2</v>
      </c>
      <c r="S365">
        <v>441.28</v>
      </c>
      <c r="T365">
        <f>(Table13[[#This Row],[Ideal_Cycle_Time_sec]]*Table13[[#This Row],[Actual_Qty]])/(Table13[[#This Row],[Operational_Time_min]]*60)</f>
        <v>0.4638022721779067</v>
      </c>
      <c r="U365">
        <f>Table13[[#This Row],[Good_Qty]]/Table13[[#This Row],[Actual_Qty]]</f>
        <v>0.98859934853420195</v>
      </c>
      <c r="V365" t="str">
        <f>IF(OR(Table13[[#This Row],[Performance_%]]&gt;=1,Table13[[#This Row],[Performance_%]]&lt;=0),"Error","OK")</f>
        <v>OK</v>
      </c>
      <c r="W365" t="str">
        <f>IF(OR(Table13[[#This Row],[Quality_%]]&gt;=1,Table13[[#This Row],[Quality_%]]&lt;=0),"Error","OK")</f>
        <v>OK</v>
      </c>
      <c r="X365">
        <f>Table13[[#This Row],[Performance_%]]*Table13[[#This Row],[Quality_%]]*[2]Availability_KPI!K365</f>
        <v>0.44962962962962966</v>
      </c>
      <c r="Y365" t="str">
        <f>IF(OR(Table13[[#This Row],[OEE_%]]&gt;1,Table13[[#This Row],[OEE_%]]&lt;0),"Error","OK")</f>
        <v>OK</v>
      </c>
    </row>
    <row r="366" spans="1:25" x14ac:dyDescent="0.2">
      <c r="A366" t="s">
        <v>461</v>
      </c>
      <c r="B366" t="s">
        <v>457</v>
      </c>
      <c r="C366" s="2">
        <v>46258</v>
      </c>
      <c r="D366" t="s">
        <v>27</v>
      </c>
      <c r="E366" t="s">
        <v>41</v>
      </c>
      <c r="F366" t="s">
        <v>54</v>
      </c>
      <c r="G366" t="s">
        <v>44</v>
      </c>
      <c r="H366">
        <v>617</v>
      </c>
      <c r="I366">
        <v>614</v>
      </c>
      <c r="J366">
        <v>3</v>
      </c>
      <c r="K366">
        <v>18</v>
      </c>
      <c r="L366">
        <v>19.96</v>
      </c>
      <c r="M366">
        <v>205.28</v>
      </c>
      <c r="N366">
        <f>_xlfn.XLOOKUP(Table13[[#This Row],[Production_Order_ID]],[1]Sheet1!$A$2:$A$391,[1]Sheet1!$F$2:$F$391,"No Match")</f>
        <v>640</v>
      </c>
      <c r="O366" s="3">
        <f>Table13[[#This Row],[Good_Qty]]/Table13[[#This Row],[Planned_Production]]</f>
        <v>0.95937499999999998</v>
      </c>
      <c r="P366" t="str">
        <f>IF(Table13[[#This Row],[Good_Qty]]&gt;=Table13[[#This Row],[Planned_Production]],"Met","Not Met")</f>
        <v>Not Met</v>
      </c>
      <c r="Q366">
        <f>Table13[[#This Row],[Good_Qty]]-Table13[[#This Row],[Planned_Production]]</f>
        <v>-26</v>
      </c>
      <c r="R366" s="3">
        <f>IF(Table13[[#This Row],[Actual_Qty]]=0,0,Table13[[#This Row],[Reject_Qty]]/Table13[[#This Row],[Actual_Qty]])</f>
        <v>4.8622366288492711E-3</v>
      </c>
      <c r="S366">
        <v>439.91</v>
      </c>
      <c r="T366">
        <f>(Table13[[#This Row],[Ideal_Cycle_Time_sec]]*Table13[[#This Row],[Actual_Qty]])/(Table13[[#This Row],[Operational_Time_min]]*60)</f>
        <v>0.42076788433997858</v>
      </c>
      <c r="U366">
        <f>Table13[[#This Row],[Good_Qty]]/Table13[[#This Row],[Actual_Qty]]</f>
        <v>0.99513776337115067</v>
      </c>
      <c r="V366" t="str">
        <f>IF(OR(Table13[[#This Row],[Performance_%]]&gt;=1,Table13[[#This Row],[Performance_%]]&lt;=0),"Error","OK")</f>
        <v>OK</v>
      </c>
      <c r="W366" t="str">
        <f>IF(OR(Table13[[#This Row],[Quality_%]]&gt;=1,Table13[[#This Row],[Quality_%]]&lt;=0),"Error","OK")</f>
        <v>OK</v>
      </c>
      <c r="X366">
        <f>Table13[[#This Row],[Performance_%]]*Table13[[#This Row],[Quality_%]]*[2]Availability_KPI!K366</f>
        <v>0.40933333333333333</v>
      </c>
      <c r="Y366" t="str">
        <f>IF(OR(Table13[[#This Row],[OEE_%]]&gt;1,Table13[[#This Row],[OEE_%]]&lt;0),"Error","OK")</f>
        <v>OK</v>
      </c>
    </row>
    <row r="367" spans="1:25" x14ac:dyDescent="0.2">
      <c r="A367" t="s">
        <v>462</v>
      </c>
      <c r="B367" t="s">
        <v>457</v>
      </c>
      <c r="C367" s="2">
        <v>46258</v>
      </c>
      <c r="D367" t="s">
        <v>27</v>
      </c>
      <c r="E367" t="s">
        <v>43</v>
      </c>
      <c r="F367" t="s">
        <v>54</v>
      </c>
      <c r="G367" t="s">
        <v>30</v>
      </c>
      <c r="H367">
        <v>620</v>
      </c>
      <c r="I367">
        <v>611</v>
      </c>
      <c r="J367">
        <v>9</v>
      </c>
      <c r="K367">
        <v>32</v>
      </c>
      <c r="L367">
        <v>33.74</v>
      </c>
      <c r="M367">
        <v>348.65</v>
      </c>
      <c r="N367">
        <f>_xlfn.XLOOKUP(Table13[[#This Row],[Production_Order_ID]],[1]Sheet1!$A$2:$A$391,[1]Sheet1!$F$2:$F$391,"No Match")</f>
        <v>640</v>
      </c>
      <c r="O367" s="3">
        <f>Table13[[#This Row],[Good_Qty]]/Table13[[#This Row],[Planned_Production]]</f>
        <v>0.95468750000000002</v>
      </c>
      <c r="P367" t="str">
        <f>IF(Table13[[#This Row],[Good_Qty]]&gt;=Table13[[#This Row],[Planned_Production]],"Met","Not Met")</f>
        <v>Not Met</v>
      </c>
      <c r="Q367">
        <f>Table13[[#This Row],[Good_Qty]]-Table13[[#This Row],[Planned_Production]]</f>
        <v>-29</v>
      </c>
      <c r="R367" s="3">
        <f>IF(Table13[[#This Row],[Actual_Qty]]=0,0,Table13[[#This Row],[Reject_Qty]]/Table13[[#This Row],[Actual_Qty]])</f>
        <v>1.4516129032258065E-2</v>
      </c>
      <c r="S367">
        <v>409.84000000000003</v>
      </c>
      <c r="T367">
        <f>(Table13[[#This Row],[Ideal_Cycle_Time_sec]]*Table13[[#This Row],[Actual_Qty]])/(Table13[[#This Row],[Operational_Time_min]]*60)</f>
        <v>0.80681892120502308</v>
      </c>
      <c r="U367">
        <f>Table13[[#This Row],[Good_Qty]]/Table13[[#This Row],[Actual_Qty]]</f>
        <v>0.98548387096774193</v>
      </c>
      <c r="V367" t="str">
        <f>IF(OR(Table13[[#This Row],[Performance_%]]&gt;=1,Table13[[#This Row],[Performance_%]]&lt;=0),"Error","OK")</f>
        <v>OK</v>
      </c>
      <c r="W367" t="str">
        <f>IF(OR(Table13[[#This Row],[Quality_%]]&gt;=1,Table13[[#This Row],[Quality_%]]&lt;=0),"Error","OK")</f>
        <v>OK</v>
      </c>
      <c r="X367">
        <f>Table13[[#This Row],[Performance_%]]*Table13[[#This Row],[Quality_%]]*[2]Availability_KPI!K367</f>
        <v>0.72414814814814821</v>
      </c>
      <c r="Y367" t="str">
        <f>IF(OR(Table13[[#This Row],[OEE_%]]&gt;1,Table13[[#This Row],[OEE_%]]&lt;0),"Error","OK")</f>
        <v>OK</v>
      </c>
    </row>
    <row r="368" spans="1:25" x14ac:dyDescent="0.2">
      <c r="A368" t="s">
        <v>463</v>
      </c>
      <c r="B368" t="s">
        <v>457</v>
      </c>
      <c r="C368" s="2">
        <v>46258</v>
      </c>
      <c r="D368" t="s">
        <v>27</v>
      </c>
      <c r="E368" t="s">
        <v>46</v>
      </c>
      <c r="F368" t="s">
        <v>54</v>
      </c>
      <c r="G368" t="s">
        <v>50</v>
      </c>
      <c r="H368">
        <v>622</v>
      </c>
      <c r="I368">
        <v>615</v>
      </c>
      <c r="J368">
        <v>7</v>
      </c>
      <c r="K368">
        <v>25</v>
      </c>
      <c r="L368">
        <v>25.88</v>
      </c>
      <c r="M368">
        <v>268.26</v>
      </c>
      <c r="N368">
        <f>_xlfn.XLOOKUP(Table13[[#This Row],[Production_Order_ID]],[1]Sheet1!$A$2:$A$391,[1]Sheet1!$F$2:$F$391,"No Match")</f>
        <v>640</v>
      </c>
      <c r="O368" s="3">
        <f>Table13[[#This Row],[Good_Qty]]/Table13[[#This Row],[Planned_Production]]</f>
        <v>0.9609375</v>
      </c>
      <c r="P368" t="str">
        <f>IF(Table13[[#This Row],[Good_Qty]]&gt;=Table13[[#This Row],[Planned_Production]],"Met","Not Met")</f>
        <v>Not Met</v>
      </c>
      <c r="Q368">
        <f>Table13[[#This Row],[Good_Qty]]-Table13[[#This Row],[Planned_Production]]</f>
        <v>-25</v>
      </c>
      <c r="R368" s="3">
        <f>IF(Table13[[#This Row],[Actual_Qty]]=0,0,Table13[[#This Row],[Reject_Qty]]/Table13[[#This Row],[Actual_Qty]])</f>
        <v>1.1254019292604502E-2</v>
      </c>
      <c r="S368">
        <v>432.28</v>
      </c>
      <c r="T368">
        <f>(Table13[[#This Row],[Ideal_Cycle_Time_sec]]*Table13[[#This Row],[Actual_Qty]])/(Table13[[#This Row],[Operational_Time_min]]*60)</f>
        <v>0.59953425249066961</v>
      </c>
      <c r="U368">
        <f>Table13[[#This Row],[Good_Qty]]/Table13[[#This Row],[Actual_Qty]]</f>
        <v>0.9887459807073955</v>
      </c>
      <c r="V368" t="str">
        <f>IF(OR(Table13[[#This Row],[Performance_%]]&gt;=1,Table13[[#This Row],[Performance_%]]&lt;=0),"Error","OK")</f>
        <v>OK</v>
      </c>
      <c r="W368" t="str">
        <f>IF(OR(Table13[[#This Row],[Quality_%]]&gt;=1,Table13[[#This Row],[Quality_%]]&lt;=0),"Error","OK")</f>
        <v>OK</v>
      </c>
      <c r="X368">
        <f>Table13[[#This Row],[Performance_%]]*Table13[[#This Row],[Quality_%]]*[2]Availability_KPI!K368</f>
        <v>0.56944444444444442</v>
      </c>
      <c r="Y368" t="str">
        <f>IF(OR(Table13[[#This Row],[OEE_%]]&gt;1,Table13[[#This Row],[OEE_%]]&lt;0),"Error","OK")</f>
        <v>OK</v>
      </c>
    </row>
    <row r="369" spans="1:25" x14ac:dyDescent="0.2">
      <c r="A369" t="s">
        <v>464</v>
      </c>
      <c r="B369" t="s">
        <v>457</v>
      </c>
      <c r="C369" s="2">
        <v>46258</v>
      </c>
      <c r="D369" t="s">
        <v>27</v>
      </c>
      <c r="E369" t="s">
        <v>49</v>
      </c>
      <c r="F369" t="s">
        <v>54</v>
      </c>
      <c r="G369" t="s">
        <v>50</v>
      </c>
      <c r="H369">
        <v>613</v>
      </c>
      <c r="I369">
        <v>611</v>
      </c>
      <c r="J369">
        <v>2</v>
      </c>
      <c r="K369">
        <v>20</v>
      </c>
      <c r="L369">
        <v>21.4</v>
      </c>
      <c r="M369">
        <v>218.68</v>
      </c>
      <c r="N369">
        <f>_xlfn.XLOOKUP(Table13[[#This Row],[Production_Order_ID]],[1]Sheet1!$A$2:$A$391,[1]Sheet1!$F$2:$F$391,"No Match")</f>
        <v>640</v>
      </c>
      <c r="O369" s="3">
        <f>Table13[[#This Row],[Good_Qty]]/Table13[[#This Row],[Planned_Production]]</f>
        <v>0.95468750000000002</v>
      </c>
      <c r="P369" t="str">
        <f>IF(Table13[[#This Row],[Good_Qty]]&gt;=Table13[[#This Row],[Planned_Production]],"Met","Not Met")</f>
        <v>Not Met</v>
      </c>
      <c r="Q369">
        <f>Table13[[#This Row],[Good_Qty]]-Table13[[#This Row],[Planned_Production]]</f>
        <v>-29</v>
      </c>
      <c r="R369" s="3">
        <f>IF(Table13[[#This Row],[Actual_Qty]]=0,0,Table13[[#This Row],[Reject_Qty]]/Table13[[#This Row],[Actual_Qty]])</f>
        <v>3.2626427406199023E-3</v>
      </c>
      <c r="S369">
        <v>440.39</v>
      </c>
      <c r="T369">
        <f>(Table13[[#This Row],[Ideal_Cycle_Time_sec]]*Table13[[#This Row],[Actual_Qty]])/(Table13[[#This Row],[Operational_Time_min]]*60)</f>
        <v>0.46398268201669735</v>
      </c>
      <c r="U369">
        <f>Table13[[#This Row],[Good_Qty]]/Table13[[#This Row],[Actual_Qty]]</f>
        <v>0.99673735725938006</v>
      </c>
      <c r="V369" t="str">
        <f>IF(OR(Table13[[#This Row],[Performance_%]]&gt;=1,Table13[[#This Row],[Performance_%]]&lt;=0),"Error","OK")</f>
        <v>OK</v>
      </c>
      <c r="W369" t="str">
        <f>IF(OR(Table13[[#This Row],[Quality_%]]&gt;=1,Table13[[#This Row],[Quality_%]]&lt;=0),"Error","OK")</f>
        <v>OK</v>
      </c>
      <c r="X369">
        <f>Table13[[#This Row],[Performance_%]]*Table13[[#This Row],[Quality_%]]*[2]Availability_KPI!K369</f>
        <v>0.4525925925925926</v>
      </c>
      <c r="Y369" t="str">
        <f>IF(OR(Table13[[#This Row],[OEE_%]]&gt;1,Table13[[#This Row],[OEE_%]]&lt;0),"Error","OK")</f>
        <v>OK</v>
      </c>
    </row>
    <row r="370" spans="1:25" x14ac:dyDescent="0.2">
      <c r="A370" t="s">
        <v>465</v>
      </c>
      <c r="B370" t="s">
        <v>466</v>
      </c>
      <c r="C370" s="2">
        <v>46258</v>
      </c>
      <c r="D370" t="s">
        <v>53</v>
      </c>
      <c r="E370" t="s">
        <v>28</v>
      </c>
      <c r="F370" t="s">
        <v>54</v>
      </c>
      <c r="G370" t="s">
        <v>39</v>
      </c>
      <c r="H370">
        <v>596</v>
      </c>
      <c r="I370">
        <v>592</v>
      </c>
      <c r="J370">
        <v>4</v>
      </c>
      <c r="K370">
        <v>18</v>
      </c>
      <c r="L370">
        <v>19.43</v>
      </c>
      <c r="M370">
        <v>193.04</v>
      </c>
      <c r="N370">
        <f>_xlfn.XLOOKUP(Table13[[#This Row],[Production_Order_ID]],[1]Sheet1!$A$2:$A$391,[1]Sheet1!$F$2:$F$391,"No Match")</f>
        <v>650</v>
      </c>
      <c r="O370" s="3">
        <f>Table13[[#This Row],[Good_Qty]]/Table13[[#This Row],[Planned_Production]]</f>
        <v>0.91076923076923078</v>
      </c>
      <c r="P370" t="str">
        <f>IF(Table13[[#This Row],[Good_Qty]]&gt;=Table13[[#This Row],[Planned_Production]],"Met","Not Met")</f>
        <v>Not Met</v>
      </c>
      <c r="Q370">
        <f>Table13[[#This Row],[Good_Qty]]-Table13[[#This Row],[Planned_Production]]</f>
        <v>-58</v>
      </c>
      <c r="R370" s="3">
        <f>IF(Table13[[#This Row],[Actual_Qty]]=0,0,Table13[[#This Row],[Reject_Qty]]/Table13[[#This Row],[Actual_Qty]])</f>
        <v>6.7114093959731542E-3</v>
      </c>
      <c r="S370">
        <v>441.91</v>
      </c>
      <c r="T370">
        <f>(Table13[[#This Row],[Ideal_Cycle_Time_sec]]*Table13[[#This Row],[Actual_Qty]])/(Table13[[#This Row],[Operational_Time_min]]*60)</f>
        <v>0.40460727297413496</v>
      </c>
      <c r="U370">
        <f>Table13[[#This Row],[Good_Qty]]/Table13[[#This Row],[Actual_Qty]]</f>
        <v>0.99328859060402686</v>
      </c>
      <c r="V370" t="str">
        <f>IF(OR(Table13[[#This Row],[Performance_%]]&gt;=1,Table13[[#This Row],[Performance_%]]&lt;=0),"Error","OK")</f>
        <v>OK</v>
      </c>
      <c r="W370" t="str">
        <f>IF(OR(Table13[[#This Row],[Quality_%]]&gt;=1,Table13[[#This Row],[Quality_%]]&lt;=0),"Error","OK")</f>
        <v>OK</v>
      </c>
      <c r="X370">
        <f>Table13[[#This Row],[Performance_%]]*Table13[[#This Row],[Quality_%]]*[2]Availability_KPI!K370</f>
        <v>0.39466666666666661</v>
      </c>
      <c r="Y370" t="str">
        <f>IF(OR(Table13[[#This Row],[OEE_%]]&gt;1,Table13[[#This Row],[OEE_%]]&lt;0),"Error","OK")</f>
        <v>OK</v>
      </c>
    </row>
    <row r="371" spans="1:25" x14ac:dyDescent="0.2">
      <c r="A371" t="s">
        <v>467</v>
      </c>
      <c r="B371" t="s">
        <v>466</v>
      </c>
      <c r="C371" s="2">
        <v>46258</v>
      </c>
      <c r="D371" t="s">
        <v>53</v>
      </c>
      <c r="E371" t="s">
        <v>32</v>
      </c>
      <c r="F371" t="s">
        <v>54</v>
      </c>
      <c r="G371" t="s">
        <v>55</v>
      </c>
      <c r="H371">
        <v>600</v>
      </c>
      <c r="I371">
        <v>596</v>
      </c>
      <c r="J371">
        <v>4</v>
      </c>
      <c r="K371">
        <v>20</v>
      </c>
      <c r="L371">
        <v>20.440000000000001</v>
      </c>
      <c r="M371">
        <v>204.36</v>
      </c>
      <c r="N371">
        <f>_xlfn.XLOOKUP(Table13[[#This Row],[Production_Order_ID]],[1]Sheet1!$A$2:$A$391,[1]Sheet1!$F$2:$F$391,"No Match")</f>
        <v>650</v>
      </c>
      <c r="O371" s="3">
        <f>Table13[[#This Row],[Good_Qty]]/Table13[[#This Row],[Planned_Production]]</f>
        <v>0.91692307692307695</v>
      </c>
      <c r="P371" t="str">
        <f>IF(Table13[[#This Row],[Good_Qty]]&gt;=Table13[[#This Row],[Planned_Production]],"Met","Not Met")</f>
        <v>Not Met</v>
      </c>
      <c r="Q371">
        <f>Table13[[#This Row],[Good_Qty]]-Table13[[#This Row],[Planned_Production]]</f>
        <v>-54</v>
      </c>
      <c r="R371" s="3">
        <f>IF(Table13[[#This Row],[Actual_Qty]]=0,0,Table13[[#This Row],[Reject_Qty]]/Table13[[#This Row],[Actual_Qty]])</f>
        <v>6.6666666666666671E-3</v>
      </c>
      <c r="S371">
        <v>439.52</v>
      </c>
      <c r="T371">
        <f>(Table13[[#This Row],[Ideal_Cycle_Time_sec]]*Table13[[#This Row],[Actual_Qty]])/(Table13[[#This Row],[Operational_Time_min]]*60)</f>
        <v>0.45504186385147438</v>
      </c>
      <c r="U371">
        <f>Table13[[#This Row],[Good_Qty]]/Table13[[#This Row],[Actual_Qty]]</f>
        <v>0.99333333333333329</v>
      </c>
      <c r="V371" t="str">
        <f>IF(OR(Table13[[#This Row],[Performance_%]]&gt;=1,Table13[[#This Row],[Performance_%]]&lt;=0),"Error","OK")</f>
        <v>OK</v>
      </c>
      <c r="W371" t="str">
        <f>IF(OR(Table13[[#This Row],[Quality_%]]&gt;=1,Table13[[#This Row],[Quality_%]]&lt;=0),"Error","OK")</f>
        <v>OK</v>
      </c>
      <c r="X371">
        <f>Table13[[#This Row],[Performance_%]]*Table13[[#This Row],[Quality_%]]*[2]Availability_KPI!K371</f>
        <v>0.44148148148148147</v>
      </c>
      <c r="Y371" t="str">
        <f>IF(OR(Table13[[#This Row],[OEE_%]]&gt;1,Table13[[#This Row],[OEE_%]]&lt;0),"Error","OK")</f>
        <v>OK</v>
      </c>
    </row>
    <row r="372" spans="1:25" x14ac:dyDescent="0.2">
      <c r="A372" t="s">
        <v>468</v>
      </c>
      <c r="B372" t="s">
        <v>466</v>
      </c>
      <c r="C372" s="2">
        <v>46258</v>
      </c>
      <c r="D372" t="s">
        <v>53</v>
      </c>
      <c r="E372" t="s">
        <v>35</v>
      </c>
      <c r="F372" t="s">
        <v>54</v>
      </c>
      <c r="G372" t="s">
        <v>36</v>
      </c>
      <c r="H372">
        <v>586</v>
      </c>
      <c r="I372">
        <v>581</v>
      </c>
      <c r="J372">
        <v>5</v>
      </c>
      <c r="K372">
        <v>22</v>
      </c>
      <c r="L372">
        <v>23.82</v>
      </c>
      <c r="M372">
        <v>232.65</v>
      </c>
      <c r="N372">
        <f>_xlfn.XLOOKUP(Table13[[#This Row],[Production_Order_ID]],[1]Sheet1!$A$2:$A$391,[1]Sheet1!$F$2:$F$391,"No Match")</f>
        <v>650</v>
      </c>
      <c r="O372" s="3">
        <f>Table13[[#This Row],[Good_Qty]]/Table13[[#This Row],[Planned_Production]]</f>
        <v>0.89384615384615385</v>
      </c>
      <c r="P372" t="str">
        <f>IF(Table13[[#This Row],[Good_Qty]]&gt;=Table13[[#This Row],[Planned_Production]],"Met","Not Met")</f>
        <v>Not Met</v>
      </c>
      <c r="Q372">
        <f>Table13[[#This Row],[Good_Qty]]-Table13[[#This Row],[Planned_Production]]</f>
        <v>-69</v>
      </c>
      <c r="R372" s="3">
        <f>IF(Table13[[#This Row],[Actual_Qty]]=0,0,Table13[[#This Row],[Reject_Qty]]/Table13[[#This Row],[Actual_Qty]])</f>
        <v>8.5324232081911266E-3</v>
      </c>
      <c r="S372">
        <v>433.69</v>
      </c>
      <c r="T372">
        <f>(Table13[[#This Row],[Ideal_Cycle_Time_sec]]*Table13[[#This Row],[Actual_Qty]])/(Table13[[#This Row],[Operational_Time_min]]*60)</f>
        <v>0.49543836995703533</v>
      </c>
      <c r="U372">
        <f>Table13[[#This Row],[Good_Qty]]/Table13[[#This Row],[Actual_Qty]]</f>
        <v>0.99146757679180886</v>
      </c>
      <c r="V372" t="str">
        <f>IF(OR(Table13[[#This Row],[Performance_%]]&gt;=1,Table13[[#This Row],[Performance_%]]&lt;=0),"Error","OK")</f>
        <v>OK</v>
      </c>
      <c r="W372" t="str">
        <f>IF(OR(Table13[[#This Row],[Quality_%]]&gt;=1,Table13[[#This Row],[Quality_%]]&lt;=0),"Error","OK")</f>
        <v>OK</v>
      </c>
      <c r="X372">
        <f>Table13[[#This Row],[Performance_%]]*Table13[[#This Row],[Quality_%]]*[2]Availability_KPI!K372</f>
        <v>0.47340740740740739</v>
      </c>
      <c r="Y372" t="str">
        <f>IF(OR(Table13[[#This Row],[OEE_%]]&gt;1,Table13[[#This Row],[OEE_%]]&lt;0),"Error","OK")</f>
        <v>OK</v>
      </c>
    </row>
    <row r="373" spans="1:25" x14ac:dyDescent="0.2">
      <c r="A373" t="s">
        <v>469</v>
      </c>
      <c r="B373" t="s">
        <v>466</v>
      </c>
      <c r="C373" s="2">
        <v>46258</v>
      </c>
      <c r="D373" t="s">
        <v>53</v>
      </c>
      <c r="E373" t="s">
        <v>38</v>
      </c>
      <c r="F373" t="s">
        <v>54</v>
      </c>
      <c r="G373" t="s">
        <v>44</v>
      </c>
      <c r="H373">
        <v>585</v>
      </c>
      <c r="I373">
        <v>582</v>
      </c>
      <c r="J373">
        <v>3</v>
      </c>
      <c r="K373">
        <v>20</v>
      </c>
      <c r="L373">
        <v>21.15</v>
      </c>
      <c r="M373">
        <v>206.23</v>
      </c>
      <c r="N373">
        <f>_xlfn.XLOOKUP(Table13[[#This Row],[Production_Order_ID]],[1]Sheet1!$A$2:$A$391,[1]Sheet1!$F$2:$F$391,"No Match")</f>
        <v>650</v>
      </c>
      <c r="O373" s="3">
        <f>Table13[[#This Row],[Good_Qty]]/Table13[[#This Row],[Planned_Production]]</f>
        <v>0.89538461538461533</v>
      </c>
      <c r="P373" t="str">
        <f>IF(Table13[[#This Row],[Good_Qty]]&gt;=Table13[[#This Row],[Planned_Production]],"Met","Not Met")</f>
        <v>Not Met</v>
      </c>
      <c r="Q373">
        <f>Table13[[#This Row],[Good_Qty]]-Table13[[#This Row],[Planned_Production]]</f>
        <v>-68</v>
      </c>
      <c r="R373" s="3">
        <f>IF(Table13[[#This Row],[Actual_Qty]]=0,0,Table13[[#This Row],[Reject_Qty]]/Table13[[#This Row],[Actual_Qty]])</f>
        <v>5.1282051282051282E-3</v>
      </c>
      <c r="S373">
        <v>439.18</v>
      </c>
      <c r="T373">
        <f>(Table13[[#This Row],[Ideal_Cycle_Time_sec]]*Table13[[#This Row],[Actual_Qty]])/(Table13[[#This Row],[Operational_Time_min]]*60)</f>
        <v>0.44400929004053008</v>
      </c>
      <c r="U373">
        <f>Table13[[#This Row],[Good_Qty]]/Table13[[#This Row],[Actual_Qty]]</f>
        <v>0.99487179487179489</v>
      </c>
      <c r="V373" t="str">
        <f>IF(OR(Table13[[#This Row],[Performance_%]]&gt;=1,Table13[[#This Row],[Performance_%]]&lt;=0),"Error","OK")</f>
        <v>OK</v>
      </c>
      <c r="W373" t="str">
        <f>IF(OR(Table13[[#This Row],[Quality_%]]&gt;=1,Table13[[#This Row],[Quality_%]]&lt;=0),"Error","OK")</f>
        <v>OK</v>
      </c>
      <c r="X373">
        <f>Table13[[#This Row],[Performance_%]]*Table13[[#This Row],[Quality_%]]*[2]Availability_KPI!K373</f>
        <v>0.43111111111111111</v>
      </c>
      <c r="Y373" t="str">
        <f>IF(OR(Table13[[#This Row],[OEE_%]]&gt;1,Table13[[#This Row],[OEE_%]]&lt;0),"Error","OK")</f>
        <v>OK</v>
      </c>
    </row>
    <row r="374" spans="1:25" x14ac:dyDescent="0.2">
      <c r="A374" t="s">
        <v>470</v>
      </c>
      <c r="B374" t="s">
        <v>466</v>
      </c>
      <c r="C374" s="2">
        <v>46258</v>
      </c>
      <c r="D374" t="s">
        <v>53</v>
      </c>
      <c r="E374" t="s">
        <v>41</v>
      </c>
      <c r="F374" t="s">
        <v>54</v>
      </c>
      <c r="G374" t="s">
        <v>75</v>
      </c>
      <c r="H374">
        <v>587</v>
      </c>
      <c r="I374">
        <v>581</v>
      </c>
      <c r="J374">
        <v>6</v>
      </c>
      <c r="K374">
        <v>18</v>
      </c>
      <c r="L374">
        <v>18.829999999999998</v>
      </c>
      <c r="M374">
        <v>184.18</v>
      </c>
      <c r="N374">
        <f>_xlfn.XLOOKUP(Table13[[#This Row],[Production_Order_ID]],[1]Sheet1!$A$2:$A$391,[1]Sheet1!$F$2:$F$391,"No Match")</f>
        <v>650</v>
      </c>
      <c r="O374" s="3">
        <f>Table13[[#This Row],[Good_Qty]]/Table13[[#This Row],[Planned_Production]]</f>
        <v>0.89384615384615385</v>
      </c>
      <c r="P374" t="str">
        <f>IF(Table13[[#This Row],[Good_Qty]]&gt;=Table13[[#This Row],[Planned_Production]],"Met","Not Met")</f>
        <v>Not Met</v>
      </c>
      <c r="Q374">
        <f>Table13[[#This Row],[Good_Qty]]-Table13[[#This Row],[Planned_Production]]</f>
        <v>-69</v>
      </c>
      <c r="R374" s="3">
        <f>IF(Table13[[#This Row],[Actual_Qty]]=0,0,Table13[[#This Row],[Reject_Qty]]/Table13[[#This Row],[Actual_Qty]])</f>
        <v>1.0221465076660987E-2</v>
      </c>
      <c r="S374">
        <v>436.7</v>
      </c>
      <c r="T374">
        <f>(Table13[[#This Row],[Ideal_Cycle_Time_sec]]*Table13[[#This Row],[Actual_Qty]])/(Table13[[#This Row],[Operational_Time_min]]*60)</f>
        <v>0.4032516601786123</v>
      </c>
      <c r="U374">
        <f>Table13[[#This Row],[Good_Qty]]/Table13[[#This Row],[Actual_Qty]]</f>
        <v>0.989778534923339</v>
      </c>
      <c r="V374" t="str">
        <f>IF(OR(Table13[[#This Row],[Performance_%]]&gt;=1,Table13[[#This Row],[Performance_%]]&lt;=0),"Error","OK")</f>
        <v>OK</v>
      </c>
      <c r="W374" t="str">
        <f>IF(OR(Table13[[#This Row],[Quality_%]]&gt;=1,Table13[[#This Row],[Quality_%]]&lt;=0),"Error","OK")</f>
        <v>OK</v>
      </c>
      <c r="X374">
        <f>Table13[[#This Row],[Performance_%]]*Table13[[#This Row],[Quality_%]]*[2]Availability_KPI!K374</f>
        <v>0.38733333333333331</v>
      </c>
      <c r="Y374" t="str">
        <f>IF(OR(Table13[[#This Row],[OEE_%]]&gt;1,Table13[[#This Row],[OEE_%]]&lt;0),"Error","OK")</f>
        <v>OK</v>
      </c>
    </row>
    <row r="375" spans="1:25" x14ac:dyDescent="0.2">
      <c r="A375" t="s">
        <v>471</v>
      </c>
      <c r="B375" t="s">
        <v>466</v>
      </c>
      <c r="C375" s="2">
        <v>46258</v>
      </c>
      <c r="D375" t="s">
        <v>53</v>
      </c>
      <c r="E375" t="s">
        <v>43</v>
      </c>
      <c r="F375" t="s">
        <v>54</v>
      </c>
      <c r="G375" t="s">
        <v>55</v>
      </c>
      <c r="H375">
        <v>595</v>
      </c>
      <c r="I375">
        <v>588</v>
      </c>
      <c r="J375">
        <v>7</v>
      </c>
      <c r="K375">
        <v>32</v>
      </c>
      <c r="L375">
        <v>34.44</v>
      </c>
      <c r="M375">
        <v>341.54</v>
      </c>
      <c r="N375">
        <f>_xlfn.XLOOKUP(Table13[[#This Row],[Production_Order_ID]],[1]Sheet1!$A$2:$A$391,[1]Sheet1!$F$2:$F$391,"No Match")</f>
        <v>650</v>
      </c>
      <c r="O375" s="3">
        <f>Table13[[#This Row],[Good_Qty]]/Table13[[#This Row],[Planned_Production]]</f>
        <v>0.9046153846153846</v>
      </c>
      <c r="P375" t="str">
        <f>IF(Table13[[#This Row],[Good_Qty]]&gt;=Table13[[#This Row],[Planned_Production]],"Met","Not Met")</f>
        <v>Not Met</v>
      </c>
      <c r="Q375">
        <f>Table13[[#This Row],[Good_Qty]]-Table13[[#This Row],[Planned_Production]]</f>
        <v>-62</v>
      </c>
      <c r="R375" s="3">
        <f>IF(Table13[[#This Row],[Actual_Qty]]=0,0,Table13[[#This Row],[Reject_Qty]]/Table13[[#This Row],[Actual_Qty]])</f>
        <v>1.1764705882352941E-2</v>
      </c>
      <c r="S375">
        <v>412.24</v>
      </c>
      <c r="T375">
        <f>(Table13[[#This Row],[Ideal_Cycle_Time_sec]]*Table13[[#This Row],[Actual_Qty]])/(Table13[[#This Row],[Operational_Time_min]]*60)</f>
        <v>0.76977812277637614</v>
      </c>
      <c r="U375">
        <f>Table13[[#This Row],[Good_Qty]]/Table13[[#This Row],[Actual_Qty]]</f>
        <v>0.9882352941176471</v>
      </c>
      <c r="V375" t="str">
        <f>IF(OR(Table13[[#This Row],[Performance_%]]&gt;=1,Table13[[#This Row],[Performance_%]]&lt;=0),"Error","OK")</f>
        <v>OK</v>
      </c>
      <c r="W375" t="str">
        <f>IF(OR(Table13[[#This Row],[Quality_%]]&gt;=1,Table13[[#This Row],[Quality_%]]&lt;=0),"Error","OK")</f>
        <v>OK</v>
      </c>
      <c r="X375">
        <f>Table13[[#This Row],[Performance_%]]*Table13[[#This Row],[Quality_%]]*[2]Availability_KPI!K375</f>
        <v>0.69688888888888889</v>
      </c>
      <c r="Y375" t="str">
        <f>IF(OR(Table13[[#This Row],[OEE_%]]&gt;1,Table13[[#This Row],[OEE_%]]&lt;0),"Error","OK")</f>
        <v>OK</v>
      </c>
    </row>
    <row r="376" spans="1:25" x14ac:dyDescent="0.2">
      <c r="A376" t="s">
        <v>472</v>
      </c>
      <c r="B376" t="s">
        <v>466</v>
      </c>
      <c r="C376" s="2">
        <v>46258</v>
      </c>
      <c r="D376" t="s">
        <v>53</v>
      </c>
      <c r="E376" t="s">
        <v>46</v>
      </c>
      <c r="F376" t="s">
        <v>54</v>
      </c>
      <c r="G376" t="s">
        <v>61</v>
      </c>
      <c r="H376">
        <v>592</v>
      </c>
      <c r="I376">
        <v>586</v>
      </c>
      <c r="J376">
        <v>6</v>
      </c>
      <c r="K376">
        <v>25</v>
      </c>
      <c r="L376">
        <v>26.16</v>
      </c>
      <c r="M376">
        <v>258.07</v>
      </c>
      <c r="N376">
        <f>_xlfn.XLOOKUP(Table13[[#This Row],[Production_Order_ID]],[1]Sheet1!$A$2:$A$391,[1]Sheet1!$F$2:$F$391,"No Match")</f>
        <v>650</v>
      </c>
      <c r="O376" s="3">
        <f>Table13[[#This Row],[Good_Qty]]/Table13[[#This Row],[Planned_Production]]</f>
        <v>0.90153846153846151</v>
      </c>
      <c r="P376" t="str">
        <f>IF(Table13[[#This Row],[Good_Qty]]&gt;=Table13[[#This Row],[Planned_Production]],"Met","Not Met")</f>
        <v>Not Met</v>
      </c>
      <c r="Q376">
        <f>Table13[[#This Row],[Good_Qty]]-Table13[[#This Row],[Planned_Production]]</f>
        <v>-64</v>
      </c>
      <c r="R376" s="3">
        <f>IF(Table13[[#This Row],[Actual_Qty]]=0,0,Table13[[#This Row],[Reject_Qty]]/Table13[[#This Row],[Actual_Qty]])</f>
        <v>1.0135135135135136E-2</v>
      </c>
      <c r="S376">
        <v>428.12</v>
      </c>
      <c r="T376">
        <f>(Table13[[#This Row],[Ideal_Cycle_Time_sec]]*Table13[[#This Row],[Actual_Qty]])/(Table13[[#This Row],[Operational_Time_min]]*60)</f>
        <v>0.57616244666604377</v>
      </c>
      <c r="U376">
        <f>Table13[[#This Row],[Good_Qty]]/Table13[[#This Row],[Actual_Qty]]</f>
        <v>0.98986486486486491</v>
      </c>
      <c r="V376" t="str">
        <f>IF(OR(Table13[[#This Row],[Performance_%]]&gt;=1,Table13[[#This Row],[Performance_%]]&lt;=0),"Error","OK")</f>
        <v>OK</v>
      </c>
      <c r="W376" t="str">
        <f>IF(OR(Table13[[#This Row],[Quality_%]]&gt;=1,Table13[[#This Row],[Quality_%]]&lt;=0),"Error","OK")</f>
        <v>OK</v>
      </c>
      <c r="X376">
        <f>Table13[[#This Row],[Performance_%]]*Table13[[#This Row],[Quality_%]]*[2]Availability_KPI!K376</f>
        <v>0.54259259259259263</v>
      </c>
      <c r="Y376" t="str">
        <f>IF(OR(Table13[[#This Row],[OEE_%]]&gt;1,Table13[[#This Row],[OEE_%]]&lt;0),"Error","OK")</f>
        <v>OK</v>
      </c>
    </row>
    <row r="377" spans="1:25" x14ac:dyDescent="0.2">
      <c r="A377" t="s">
        <v>473</v>
      </c>
      <c r="B377" t="s">
        <v>466</v>
      </c>
      <c r="C377" s="2">
        <v>46258</v>
      </c>
      <c r="D377" t="s">
        <v>53</v>
      </c>
      <c r="E377" t="s">
        <v>49</v>
      </c>
      <c r="F377" t="s">
        <v>54</v>
      </c>
      <c r="G377" t="s">
        <v>36</v>
      </c>
      <c r="H377">
        <v>592</v>
      </c>
      <c r="I377">
        <v>591</v>
      </c>
      <c r="J377">
        <v>1</v>
      </c>
      <c r="K377">
        <v>20</v>
      </c>
      <c r="L377">
        <v>20.72</v>
      </c>
      <c r="M377">
        <v>204.41</v>
      </c>
      <c r="N377">
        <f>_xlfn.XLOOKUP(Table13[[#This Row],[Production_Order_ID]],[1]Sheet1!$A$2:$A$391,[1]Sheet1!$F$2:$F$391,"No Match")</f>
        <v>650</v>
      </c>
      <c r="O377" s="3">
        <f>Table13[[#This Row],[Good_Qty]]/Table13[[#This Row],[Planned_Production]]</f>
        <v>0.90923076923076918</v>
      </c>
      <c r="P377" t="str">
        <f>IF(Table13[[#This Row],[Good_Qty]]&gt;=Table13[[#This Row],[Planned_Production]],"Met","Not Met")</f>
        <v>Not Met</v>
      </c>
      <c r="Q377">
        <f>Table13[[#This Row],[Good_Qty]]-Table13[[#This Row],[Planned_Production]]</f>
        <v>-59</v>
      </c>
      <c r="R377" s="3">
        <f>IF(Table13[[#This Row],[Actual_Qty]]=0,0,Table13[[#This Row],[Reject_Qty]]/Table13[[#This Row],[Actual_Qty]])</f>
        <v>1.6891891891891893E-3</v>
      </c>
      <c r="S377">
        <v>440.08</v>
      </c>
      <c r="T377">
        <f>(Table13[[#This Row],[Ideal_Cycle_Time_sec]]*Table13[[#This Row],[Actual_Qty]])/(Table13[[#This Row],[Operational_Time_min]]*60)</f>
        <v>0.44840332060837423</v>
      </c>
      <c r="U377">
        <f>Table13[[#This Row],[Good_Qty]]/Table13[[#This Row],[Actual_Qty]]</f>
        <v>0.99831081081081086</v>
      </c>
      <c r="V377" t="str">
        <f>IF(OR(Table13[[#This Row],[Performance_%]]&gt;=1,Table13[[#This Row],[Performance_%]]&lt;=0),"Error","OK")</f>
        <v>OK</v>
      </c>
      <c r="W377" t="str">
        <f>IF(OR(Table13[[#This Row],[Quality_%]]&gt;=1,Table13[[#This Row],[Quality_%]]&lt;=0),"Error","OK")</f>
        <v>OK</v>
      </c>
      <c r="X377">
        <f>Table13[[#This Row],[Performance_%]]*Table13[[#This Row],[Quality_%]]*[2]Availability_KPI!K377</f>
        <v>0.43777777777777777</v>
      </c>
      <c r="Y377" t="str">
        <f>IF(OR(Table13[[#This Row],[OEE_%]]&gt;1,Table13[[#This Row],[OEE_%]]&lt;0),"Error","OK")</f>
        <v>OK</v>
      </c>
    </row>
    <row r="378" spans="1:25" x14ac:dyDescent="0.2">
      <c r="A378" t="s">
        <v>474</v>
      </c>
      <c r="B378" t="s">
        <v>475</v>
      </c>
      <c r="C378" s="2">
        <v>46258</v>
      </c>
      <c r="D378" t="s">
        <v>67</v>
      </c>
      <c r="E378" t="s">
        <v>28</v>
      </c>
      <c r="F378" t="s">
        <v>54</v>
      </c>
      <c r="G378" t="s">
        <v>50</v>
      </c>
      <c r="H378">
        <v>567</v>
      </c>
      <c r="I378">
        <v>564</v>
      </c>
      <c r="J378">
        <v>3</v>
      </c>
      <c r="K378">
        <v>18</v>
      </c>
      <c r="L378">
        <v>18.2</v>
      </c>
      <c r="M378">
        <v>172.01</v>
      </c>
      <c r="N378">
        <f>_xlfn.XLOOKUP(Table13[[#This Row],[Production_Order_ID]],[1]Sheet1!$A$2:$A$391,[1]Sheet1!$F$2:$F$391,"No Match")</f>
        <v>620</v>
      </c>
      <c r="O378" s="3">
        <f>Table13[[#This Row],[Good_Qty]]/Table13[[#This Row],[Planned_Production]]</f>
        <v>0.9096774193548387</v>
      </c>
      <c r="P378" t="str">
        <f>IF(Table13[[#This Row],[Good_Qty]]&gt;=Table13[[#This Row],[Planned_Production]],"Met","Not Met")</f>
        <v>Not Met</v>
      </c>
      <c r="Q378">
        <f>Table13[[#This Row],[Good_Qty]]-Table13[[#This Row],[Planned_Production]]</f>
        <v>-56</v>
      </c>
      <c r="R378" s="3">
        <f>IF(Table13[[#This Row],[Actual_Qty]]=0,0,Table13[[#This Row],[Reject_Qty]]/Table13[[#This Row],[Actual_Qty]])</f>
        <v>5.2910052910052907E-3</v>
      </c>
      <c r="S378">
        <v>440.61</v>
      </c>
      <c r="T378">
        <f>(Table13[[#This Row],[Ideal_Cycle_Time_sec]]*Table13[[#This Row],[Actual_Qty]])/(Table13[[#This Row],[Operational_Time_min]]*60)</f>
        <v>0.3860556955130387</v>
      </c>
      <c r="U378">
        <f>Table13[[#This Row],[Good_Qty]]/Table13[[#This Row],[Actual_Qty]]</f>
        <v>0.99470899470899465</v>
      </c>
      <c r="V378" t="str">
        <f>IF(OR(Table13[[#This Row],[Performance_%]]&gt;=1,Table13[[#This Row],[Performance_%]]&lt;=0),"Error","OK")</f>
        <v>OK</v>
      </c>
      <c r="W378" t="str">
        <f>IF(OR(Table13[[#This Row],[Quality_%]]&gt;=1,Table13[[#This Row],[Quality_%]]&lt;=0),"Error","OK")</f>
        <v>OK</v>
      </c>
      <c r="X378">
        <f>Table13[[#This Row],[Performance_%]]*Table13[[#This Row],[Quality_%]]*[2]Availability_KPI!K378</f>
        <v>0.376</v>
      </c>
      <c r="Y378" t="str">
        <f>IF(OR(Table13[[#This Row],[OEE_%]]&gt;1,Table13[[#This Row],[OEE_%]]&lt;0),"Error","OK")</f>
        <v>OK</v>
      </c>
    </row>
    <row r="379" spans="1:25" x14ac:dyDescent="0.2">
      <c r="A379" t="s">
        <v>476</v>
      </c>
      <c r="B379" t="s">
        <v>475</v>
      </c>
      <c r="C379" s="2">
        <v>46258</v>
      </c>
      <c r="D379" t="s">
        <v>67</v>
      </c>
      <c r="E379" t="s">
        <v>32</v>
      </c>
      <c r="F379" t="s">
        <v>54</v>
      </c>
      <c r="G379" t="s">
        <v>44</v>
      </c>
      <c r="H379">
        <v>574</v>
      </c>
      <c r="I379">
        <v>570</v>
      </c>
      <c r="J379">
        <v>4</v>
      </c>
      <c r="K379">
        <v>20</v>
      </c>
      <c r="L379">
        <v>21.86</v>
      </c>
      <c r="M379">
        <v>209.12</v>
      </c>
      <c r="N379">
        <f>_xlfn.XLOOKUP(Table13[[#This Row],[Production_Order_ID]],[1]Sheet1!$A$2:$A$391,[1]Sheet1!$F$2:$F$391,"No Match")</f>
        <v>620</v>
      </c>
      <c r="O379" s="3">
        <f>Table13[[#This Row],[Good_Qty]]/Table13[[#This Row],[Planned_Production]]</f>
        <v>0.91935483870967738</v>
      </c>
      <c r="P379" t="str">
        <f>IF(Table13[[#This Row],[Good_Qty]]&gt;=Table13[[#This Row],[Planned_Production]],"Met","Not Met")</f>
        <v>Not Met</v>
      </c>
      <c r="Q379">
        <f>Table13[[#This Row],[Good_Qty]]-Table13[[#This Row],[Planned_Production]]</f>
        <v>-50</v>
      </c>
      <c r="R379" s="3">
        <f>IF(Table13[[#This Row],[Actual_Qty]]=0,0,Table13[[#This Row],[Reject_Qty]]/Table13[[#This Row],[Actual_Qty]])</f>
        <v>6.9686411149825784E-3</v>
      </c>
      <c r="S379">
        <v>437.3</v>
      </c>
      <c r="T379">
        <f>(Table13[[#This Row],[Ideal_Cycle_Time_sec]]*Table13[[#This Row],[Actual_Qty]])/(Table13[[#This Row],[Operational_Time_min]]*60)</f>
        <v>0.43753334857839776</v>
      </c>
      <c r="U379">
        <f>Table13[[#This Row],[Good_Qty]]/Table13[[#This Row],[Actual_Qty]]</f>
        <v>0.99303135888501737</v>
      </c>
      <c r="V379" t="str">
        <f>IF(OR(Table13[[#This Row],[Performance_%]]&gt;=1,Table13[[#This Row],[Performance_%]]&lt;=0),"Error","OK")</f>
        <v>OK</v>
      </c>
      <c r="W379" t="str">
        <f>IF(OR(Table13[[#This Row],[Quality_%]]&gt;=1,Table13[[#This Row],[Quality_%]]&lt;=0),"Error","OK")</f>
        <v>OK</v>
      </c>
      <c r="X379">
        <f>Table13[[#This Row],[Performance_%]]*Table13[[#This Row],[Quality_%]]*[2]Availability_KPI!K379</f>
        <v>0.42222222222222228</v>
      </c>
      <c r="Y379" t="str">
        <f>IF(OR(Table13[[#This Row],[OEE_%]]&gt;1,Table13[[#This Row],[OEE_%]]&lt;0),"Error","OK")</f>
        <v>OK</v>
      </c>
    </row>
    <row r="380" spans="1:25" x14ac:dyDescent="0.2">
      <c r="A380" t="s">
        <v>477</v>
      </c>
      <c r="B380" t="s">
        <v>475</v>
      </c>
      <c r="C380" s="2">
        <v>46258</v>
      </c>
      <c r="D380" t="s">
        <v>67</v>
      </c>
      <c r="E380" t="s">
        <v>35</v>
      </c>
      <c r="F380" t="s">
        <v>54</v>
      </c>
      <c r="G380" t="s">
        <v>39</v>
      </c>
      <c r="H380">
        <v>566</v>
      </c>
      <c r="I380">
        <v>561</v>
      </c>
      <c r="J380">
        <v>5</v>
      </c>
      <c r="K380">
        <v>22</v>
      </c>
      <c r="L380">
        <v>23.36</v>
      </c>
      <c r="M380">
        <v>220.38</v>
      </c>
      <c r="N380">
        <f>_xlfn.XLOOKUP(Table13[[#This Row],[Production_Order_ID]],[1]Sheet1!$A$2:$A$391,[1]Sheet1!$F$2:$F$391,"No Match")</f>
        <v>620</v>
      </c>
      <c r="O380" s="3">
        <f>Table13[[#This Row],[Good_Qty]]/Table13[[#This Row],[Planned_Production]]</f>
        <v>0.90483870967741931</v>
      </c>
      <c r="P380" t="str">
        <f>IF(Table13[[#This Row],[Good_Qty]]&gt;=Table13[[#This Row],[Planned_Production]],"Met","Not Met")</f>
        <v>Not Met</v>
      </c>
      <c r="Q380">
        <f>Table13[[#This Row],[Good_Qty]]-Table13[[#This Row],[Planned_Production]]</f>
        <v>-59</v>
      </c>
      <c r="R380" s="3">
        <f>IF(Table13[[#This Row],[Actual_Qty]]=0,0,Table13[[#This Row],[Reject_Qty]]/Table13[[#This Row],[Actual_Qty]])</f>
        <v>8.8339222614840993E-3</v>
      </c>
      <c r="S380">
        <v>435.97</v>
      </c>
      <c r="T380">
        <f>(Table13[[#This Row],[Ideal_Cycle_Time_sec]]*Table13[[#This Row],[Actual_Qty]])/(Table13[[#This Row],[Operational_Time_min]]*60)</f>
        <v>0.47602663791851119</v>
      </c>
      <c r="U380">
        <f>Table13[[#This Row],[Good_Qty]]/Table13[[#This Row],[Actual_Qty]]</f>
        <v>0.99116607773851595</v>
      </c>
      <c r="V380" t="str">
        <f>IF(OR(Table13[[#This Row],[Performance_%]]&gt;=1,Table13[[#This Row],[Performance_%]]&lt;=0),"Error","OK")</f>
        <v>OK</v>
      </c>
      <c r="W380" t="str">
        <f>IF(OR(Table13[[#This Row],[Quality_%]]&gt;=1,Table13[[#This Row],[Quality_%]]&lt;=0),"Error","OK")</f>
        <v>OK</v>
      </c>
      <c r="X380">
        <f>Table13[[#This Row],[Performance_%]]*Table13[[#This Row],[Quality_%]]*[2]Availability_KPI!K380</f>
        <v>0.45711111111111108</v>
      </c>
      <c r="Y380" t="str">
        <f>IF(OR(Table13[[#This Row],[OEE_%]]&gt;1,Table13[[#This Row],[OEE_%]]&lt;0),"Error","OK")</f>
        <v>OK</v>
      </c>
    </row>
    <row r="381" spans="1:25" x14ac:dyDescent="0.2">
      <c r="A381" t="s">
        <v>478</v>
      </c>
      <c r="B381" t="s">
        <v>475</v>
      </c>
      <c r="C381" s="2">
        <v>46258</v>
      </c>
      <c r="D381" t="s">
        <v>67</v>
      </c>
      <c r="E381" t="s">
        <v>38</v>
      </c>
      <c r="F381" t="s">
        <v>54</v>
      </c>
      <c r="G381" t="s">
        <v>57</v>
      </c>
      <c r="H381">
        <v>579</v>
      </c>
      <c r="I381">
        <v>576</v>
      </c>
      <c r="J381">
        <v>3</v>
      </c>
      <c r="K381">
        <v>20</v>
      </c>
      <c r="L381">
        <v>21.14</v>
      </c>
      <c r="M381">
        <v>203.98</v>
      </c>
      <c r="N381">
        <f>_xlfn.XLOOKUP(Table13[[#This Row],[Production_Order_ID]],[1]Sheet1!$A$2:$A$391,[1]Sheet1!$F$2:$F$391,"No Match")</f>
        <v>620</v>
      </c>
      <c r="O381" s="3">
        <f>Table13[[#This Row],[Good_Qty]]/Table13[[#This Row],[Planned_Production]]</f>
        <v>0.92903225806451617</v>
      </c>
      <c r="P381" t="str">
        <f>IF(Table13[[#This Row],[Good_Qty]]&gt;=Table13[[#This Row],[Planned_Production]],"Met","Not Met")</f>
        <v>Not Met</v>
      </c>
      <c r="Q381">
        <f>Table13[[#This Row],[Good_Qty]]-Table13[[#This Row],[Planned_Production]]</f>
        <v>-44</v>
      </c>
      <c r="R381" s="3">
        <f>IF(Table13[[#This Row],[Actual_Qty]]=0,0,Table13[[#This Row],[Reject_Qty]]/Table13[[#This Row],[Actual_Qty]])</f>
        <v>5.1813471502590676E-3</v>
      </c>
      <c r="S381">
        <v>438.5</v>
      </c>
      <c r="T381">
        <f>(Table13[[#This Row],[Ideal_Cycle_Time_sec]]*Table13[[#This Row],[Actual_Qty]])/(Table13[[#This Row],[Operational_Time_min]]*60)</f>
        <v>0.44013683010262256</v>
      </c>
      <c r="U381">
        <f>Table13[[#This Row],[Good_Qty]]/Table13[[#This Row],[Actual_Qty]]</f>
        <v>0.99481865284974091</v>
      </c>
      <c r="V381" t="str">
        <f>IF(OR(Table13[[#This Row],[Performance_%]]&gt;=1,Table13[[#This Row],[Performance_%]]&lt;=0),"Error","OK")</f>
        <v>OK</v>
      </c>
      <c r="W381" t="str">
        <f>IF(OR(Table13[[#This Row],[Quality_%]]&gt;=1,Table13[[#This Row],[Quality_%]]&lt;=0),"Error","OK")</f>
        <v>OK</v>
      </c>
      <c r="X381">
        <f>Table13[[#This Row],[Performance_%]]*Table13[[#This Row],[Quality_%]]*[2]Availability_KPI!K381</f>
        <v>0.42666666666666664</v>
      </c>
      <c r="Y381" t="str">
        <f>IF(OR(Table13[[#This Row],[OEE_%]]&gt;1,Table13[[#This Row],[OEE_%]]&lt;0),"Error","OK")</f>
        <v>OK</v>
      </c>
    </row>
    <row r="382" spans="1:25" x14ac:dyDescent="0.2">
      <c r="A382" t="s">
        <v>479</v>
      </c>
      <c r="B382" t="s">
        <v>475</v>
      </c>
      <c r="C382" s="2">
        <v>46258</v>
      </c>
      <c r="D382" t="s">
        <v>67</v>
      </c>
      <c r="E382" t="s">
        <v>41</v>
      </c>
      <c r="F382" t="s">
        <v>54</v>
      </c>
      <c r="G382" t="s">
        <v>75</v>
      </c>
      <c r="H382">
        <v>571</v>
      </c>
      <c r="I382">
        <v>565</v>
      </c>
      <c r="J382">
        <v>6</v>
      </c>
      <c r="K382">
        <v>18</v>
      </c>
      <c r="L382">
        <v>19.37</v>
      </c>
      <c r="M382">
        <v>184.3</v>
      </c>
      <c r="N382">
        <f>_xlfn.XLOOKUP(Table13[[#This Row],[Production_Order_ID]],[1]Sheet1!$A$2:$A$391,[1]Sheet1!$F$2:$F$391,"No Match")</f>
        <v>620</v>
      </c>
      <c r="O382" s="3">
        <f>Table13[[#This Row],[Good_Qty]]/Table13[[#This Row],[Planned_Production]]</f>
        <v>0.91129032258064513</v>
      </c>
      <c r="P382" t="str">
        <f>IF(Table13[[#This Row],[Good_Qty]]&gt;=Table13[[#This Row],[Planned_Production]],"Met","Not Met")</f>
        <v>Not Met</v>
      </c>
      <c r="Q382">
        <f>Table13[[#This Row],[Good_Qty]]-Table13[[#This Row],[Planned_Production]]</f>
        <v>-55</v>
      </c>
      <c r="R382" s="3">
        <f>IF(Table13[[#This Row],[Actual_Qty]]=0,0,Table13[[#This Row],[Reject_Qty]]/Table13[[#This Row],[Actual_Qty]])</f>
        <v>1.0507880910683012E-2</v>
      </c>
      <c r="S382">
        <v>439.71</v>
      </c>
      <c r="T382">
        <f>(Table13[[#This Row],[Ideal_Cycle_Time_sec]]*Table13[[#This Row],[Actual_Qty]])/(Table13[[#This Row],[Operational_Time_min]]*60)</f>
        <v>0.38957494712424101</v>
      </c>
      <c r="U382">
        <f>Table13[[#This Row],[Good_Qty]]/Table13[[#This Row],[Actual_Qty]]</f>
        <v>0.989492119089317</v>
      </c>
      <c r="V382" t="str">
        <f>IF(OR(Table13[[#This Row],[Performance_%]]&gt;=1,Table13[[#This Row],[Performance_%]]&lt;=0),"Error","OK")</f>
        <v>OK</v>
      </c>
      <c r="W382" t="str">
        <f>IF(OR(Table13[[#This Row],[Quality_%]]&gt;=1,Table13[[#This Row],[Quality_%]]&lt;=0),"Error","OK")</f>
        <v>OK</v>
      </c>
      <c r="X382">
        <f>Table13[[#This Row],[Performance_%]]*Table13[[#This Row],[Quality_%]]*[2]Availability_KPI!K382</f>
        <v>0.37666666666666671</v>
      </c>
      <c r="Y382" t="str">
        <f>IF(OR(Table13[[#This Row],[OEE_%]]&gt;1,Table13[[#This Row],[OEE_%]]&lt;0),"Error","OK")</f>
        <v>OK</v>
      </c>
    </row>
    <row r="383" spans="1:25" x14ac:dyDescent="0.2">
      <c r="A383" t="s">
        <v>480</v>
      </c>
      <c r="B383" t="s">
        <v>475</v>
      </c>
      <c r="C383" s="2">
        <v>46258</v>
      </c>
      <c r="D383" t="s">
        <v>67</v>
      </c>
      <c r="E383" t="s">
        <v>43</v>
      </c>
      <c r="F383" t="s">
        <v>54</v>
      </c>
      <c r="G383" t="s">
        <v>57</v>
      </c>
      <c r="H383">
        <v>587</v>
      </c>
      <c r="I383">
        <v>576</v>
      </c>
      <c r="J383">
        <v>11</v>
      </c>
      <c r="K383">
        <v>32</v>
      </c>
      <c r="L383">
        <v>34.36</v>
      </c>
      <c r="M383">
        <v>336.19</v>
      </c>
      <c r="N383">
        <f>_xlfn.XLOOKUP(Table13[[#This Row],[Production_Order_ID]],[1]Sheet1!$A$2:$A$391,[1]Sheet1!$F$2:$F$391,"No Match")</f>
        <v>620</v>
      </c>
      <c r="O383" s="3">
        <f>Table13[[#This Row],[Good_Qty]]/Table13[[#This Row],[Planned_Production]]</f>
        <v>0.92903225806451617</v>
      </c>
      <c r="P383" t="str">
        <f>IF(Table13[[#This Row],[Good_Qty]]&gt;=Table13[[#This Row],[Planned_Production]],"Met","Not Met")</f>
        <v>Not Met</v>
      </c>
      <c r="Q383">
        <f>Table13[[#This Row],[Good_Qty]]-Table13[[#This Row],[Planned_Production]]</f>
        <v>-44</v>
      </c>
      <c r="R383" s="3">
        <f>IF(Table13[[#This Row],[Actual_Qty]]=0,0,Table13[[#This Row],[Reject_Qty]]/Table13[[#This Row],[Actual_Qty]])</f>
        <v>1.8739352640545145E-2</v>
      </c>
      <c r="S383">
        <v>409.73</v>
      </c>
      <c r="T383">
        <f>(Table13[[#This Row],[Ideal_Cycle_Time_sec]]*Table13[[#This Row],[Actual_Qty]])/(Table13[[#This Row],[Operational_Time_min]]*60)</f>
        <v>0.76408041067694976</v>
      </c>
      <c r="U383">
        <f>Table13[[#This Row],[Good_Qty]]/Table13[[#This Row],[Actual_Qty]]</f>
        <v>0.98126064735945484</v>
      </c>
      <c r="V383" t="str">
        <f>IF(OR(Table13[[#This Row],[Performance_%]]&gt;=1,Table13[[#This Row],[Performance_%]]&lt;=0),"Error","OK")</f>
        <v>OK</v>
      </c>
      <c r="W383" t="str">
        <f>IF(OR(Table13[[#This Row],[Quality_%]]&gt;=1,Table13[[#This Row],[Quality_%]]&lt;=0),"Error","OK")</f>
        <v>OK</v>
      </c>
      <c r="X383">
        <f>Table13[[#This Row],[Performance_%]]*Table13[[#This Row],[Quality_%]]*[2]Availability_KPI!K383</f>
        <v>0.68266666666666653</v>
      </c>
      <c r="Y383" t="str">
        <f>IF(OR(Table13[[#This Row],[OEE_%]]&gt;1,Table13[[#This Row],[OEE_%]]&lt;0),"Error","OK")</f>
        <v>OK</v>
      </c>
    </row>
    <row r="384" spans="1:25" x14ac:dyDescent="0.2">
      <c r="A384" t="s">
        <v>481</v>
      </c>
      <c r="B384" t="s">
        <v>475</v>
      </c>
      <c r="C384" s="2">
        <v>46258</v>
      </c>
      <c r="D384" t="s">
        <v>67</v>
      </c>
      <c r="E384" t="s">
        <v>46</v>
      </c>
      <c r="F384" t="s">
        <v>54</v>
      </c>
      <c r="G384" t="s">
        <v>44</v>
      </c>
      <c r="H384">
        <v>580</v>
      </c>
      <c r="I384">
        <v>575</v>
      </c>
      <c r="J384">
        <v>5</v>
      </c>
      <c r="K384">
        <v>25</v>
      </c>
      <c r="L384">
        <v>26.95</v>
      </c>
      <c r="M384">
        <v>260.52</v>
      </c>
      <c r="N384">
        <f>_xlfn.XLOOKUP(Table13[[#This Row],[Production_Order_ID]],[1]Sheet1!$A$2:$A$391,[1]Sheet1!$F$2:$F$391,"No Match")</f>
        <v>620</v>
      </c>
      <c r="O384" s="3">
        <f>Table13[[#This Row],[Good_Qty]]/Table13[[#This Row],[Planned_Production]]</f>
        <v>0.92741935483870963</v>
      </c>
      <c r="P384" t="str">
        <f>IF(Table13[[#This Row],[Good_Qty]]&gt;=Table13[[#This Row],[Planned_Production]],"Met","Not Met")</f>
        <v>Not Met</v>
      </c>
      <c r="Q384">
        <f>Table13[[#This Row],[Good_Qty]]-Table13[[#This Row],[Planned_Production]]</f>
        <v>-45</v>
      </c>
      <c r="R384" s="3">
        <f>IF(Table13[[#This Row],[Actual_Qty]]=0,0,Table13[[#This Row],[Reject_Qty]]/Table13[[#This Row],[Actual_Qty]])</f>
        <v>8.6206896551724137E-3</v>
      </c>
      <c r="S384">
        <v>429.68</v>
      </c>
      <c r="T384">
        <f>(Table13[[#This Row],[Ideal_Cycle_Time_sec]]*Table13[[#This Row],[Actual_Qty]])/(Table13[[#This Row],[Operational_Time_min]]*60)</f>
        <v>0.56243405945509839</v>
      </c>
      <c r="U384">
        <f>Table13[[#This Row],[Good_Qty]]/Table13[[#This Row],[Actual_Qty]]</f>
        <v>0.99137931034482762</v>
      </c>
      <c r="V384" t="str">
        <f>IF(OR(Table13[[#This Row],[Performance_%]]&gt;=1,Table13[[#This Row],[Performance_%]]&lt;=0),"Error","OK")</f>
        <v>OK</v>
      </c>
      <c r="W384" t="str">
        <f>IF(OR(Table13[[#This Row],[Quality_%]]&gt;=1,Table13[[#This Row],[Quality_%]]&lt;=0),"Error","OK")</f>
        <v>OK</v>
      </c>
      <c r="X384">
        <f>Table13[[#This Row],[Performance_%]]*Table13[[#This Row],[Quality_%]]*[2]Availability_KPI!K384</f>
        <v>0.53240740740740744</v>
      </c>
      <c r="Y384" t="str">
        <f>IF(OR(Table13[[#This Row],[OEE_%]]&gt;1,Table13[[#This Row],[OEE_%]]&lt;0),"Error","OK")</f>
        <v>OK</v>
      </c>
    </row>
    <row r="385" spans="1:25" x14ac:dyDescent="0.2">
      <c r="A385" t="s">
        <v>482</v>
      </c>
      <c r="B385" t="s">
        <v>475</v>
      </c>
      <c r="C385" s="2">
        <v>46258</v>
      </c>
      <c r="D385" t="s">
        <v>67</v>
      </c>
      <c r="E385" t="s">
        <v>49</v>
      </c>
      <c r="F385" t="s">
        <v>54</v>
      </c>
      <c r="G385" t="s">
        <v>75</v>
      </c>
      <c r="H385">
        <v>565</v>
      </c>
      <c r="I385">
        <v>561</v>
      </c>
      <c r="J385">
        <v>4</v>
      </c>
      <c r="K385">
        <v>20</v>
      </c>
      <c r="L385">
        <v>21.21</v>
      </c>
      <c r="M385">
        <v>199.75</v>
      </c>
      <c r="N385">
        <f>_xlfn.XLOOKUP(Table13[[#This Row],[Production_Order_ID]],[1]Sheet1!$A$2:$A$391,[1]Sheet1!$F$2:$F$391,"No Match")</f>
        <v>620</v>
      </c>
      <c r="O385" s="3">
        <f>Table13[[#This Row],[Good_Qty]]/Table13[[#This Row],[Planned_Production]]</f>
        <v>0.90483870967741931</v>
      </c>
      <c r="P385" t="str">
        <f>IF(Table13[[#This Row],[Good_Qty]]&gt;=Table13[[#This Row],[Planned_Production]],"Met","Not Met")</f>
        <v>Not Met</v>
      </c>
      <c r="Q385">
        <f>Table13[[#This Row],[Good_Qty]]-Table13[[#This Row],[Planned_Production]]</f>
        <v>-59</v>
      </c>
      <c r="R385" s="3">
        <f>IF(Table13[[#This Row],[Actual_Qty]]=0,0,Table13[[#This Row],[Reject_Qty]]/Table13[[#This Row],[Actual_Qty]])</f>
        <v>7.0796460176991149E-3</v>
      </c>
      <c r="S385">
        <v>442.69</v>
      </c>
      <c r="T385">
        <f>(Table13[[#This Row],[Ideal_Cycle_Time_sec]]*Table13[[#This Row],[Actual_Qty]])/(Table13[[#This Row],[Operational_Time_min]]*60)</f>
        <v>0.42542938248736889</v>
      </c>
      <c r="U385">
        <f>Table13[[#This Row],[Good_Qty]]/Table13[[#This Row],[Actual_Qty]]</f>
        <v>0.99292035398230083</v>
      </c>
      <c r="V385" t="str">
        <f>IF(OR(Table13[[#This Row],[Performance_%]]&gt;=1,Table13[[#This Row],[Performance_%]]&lt;=0),"Error","OK")</f>
        <v>OK</v>
      </c>
      <c r="W385" t="str">
        <f>IF(OR(Table13[[#This Row],[Quality_%]]&gt;=1,Table13[[#This Row],[Quality_%]]&lt;=0),"Error","OK")</f>
        <v>OK</v>
      </c>
      <c r="X385">
        <f>Table13[[#This Row],[Performance_%]]*Table13[[#This Row],[Quality_%]]*[2]Availability_KPI!K385</f>
        <v>0.41555555555555557</v>
      </c>
      <c r="Y385" t="str">
        <f>IF(OR(Table13[[#This Row],[OEE_%]]&gt;1,Table13[[#This Row],[OEE_%]]&lt;0),"Error","OK")</f>
        <v>OK</v>
      </c>
    </row>
    <row r="386" spans="1:25" x14ac:dyDescent="0.2">
      <c r="A386" t="s">
        <v>483</v>
      </c>
      <c r="B386" t="s">
        <v>484</v>
      </c>
      <c r="C386" s="2">
        <v>46259</v>
      </c>
      <c r="D386" t="s">
        <v>27</v>
      </c>
      <c r="E386" t="s">
        <v>28</v>
      </c>
      <c r="F386" t="s">
        <v>54</v>
      </c>
      <c r="G386" t="s">
        <v>55</v>
      </c>
      <c r="H386">
        <v>588</v>
      </c>
      <c r="I386">
        <v>586</v>
      </c>
      <c r="J386">
        <v>2</v>
      </c>
      <c r="K386">
        <v>18</v>
      </c>
      <c r="L386">
        <v>18.940000000000001</v>
      </c>
      <c r="M386">
        <v>185.65</v>
      </c>
      <c r="N386">
        <f>_xlfn.XLOOKUP(Table13[[#This Row],[Production_Order_ID]],[1]Sheet1!$A$2:$A$391,[1]Sheet1!$F$2:$F$391,"No Match")</f>
        <v>460</v>
      </c>
      <c r="O386" s="3">
        <f>Table13[[#This Row],[Good_Qty]]/Table13[[#This Row],[Planned_Production]]</f>
        <v>1.2739130434782608</v>
      </c>
      <c r="P386" t="str">
        <f>IF(Table13[[#This Row],[Good_Qty]]&gt;=Table13[[#This Row],[Planned_Production]],"Met","Not Met")</f>
        <v>Met</v>
      </c>
      <c r="Q386">
        <f>Table13[[#This Row],[Good_Qty]]-Table13[[#This Row],[Planned_Production]]</f>
        <v>126</v>
      </c>
      <c r="R386" s="3">
        <f>IF(Table13[[#This Row],[Actual_Qty]]=0,0,Table13[[#This Row],[Reject_Qty]]/Table13[[#This Row],[Actual_Qty]])</f>
        <v>3.4013605442176869E-3</v>
      </c>
      <c r="S386">
        <v>442.56</v>
      </c>
      <c r="T386">
        <f>(Table13[[#This Row],[Ideal_Cycle_Time_sec]]*Table13[[#This Row],[Actual_Qty]])/(Table13[[#This Row],[Operational_Time_min]]*60)</f>
        <v>0.39859002169197399</v>
      </c>
      <c r="U386">
        <f>Table13[[#This Row],[Good_Qty]]/Table13[[#This Row],[Actual_Qty]]</f>
        <v>0.99659863945578231</v>
      </c>
      <c r="V386" t="str">
        <f>IF(OR(Table13[[#This Row],[Performance_%]]&gt;=1,Table13[[#This Row],[Performance_%]]&lt;=0),"Error","OK")</f>
        <v>OK</v>
      </c>
      <c r="W386" t="str">
        <f>IF(OR(Table13[[#This Row],[Quality_%]]&gt;=1,Table13[[#This Row],[Quality_%]]&lt;=0),"Error","OK")</f>
        <v>OK</v>
      </c>
      <c r="X386">
        <f>Table13[[#This Row],[Performance_%]]*Table13[[#This Row],[Quality_%]]*[2]Availability_KPI!K386</f>
        <v>0.39066666666666672</v>
      </c>
      <c r="Y386" t="str">
        <f>IF(OR(Table13[[#This Row],[OEE_%]]&gt;1,Table13[[#This Row],[OEE_%]]&lt;0),"Error","OK")</f>
        <v>OK</v>
      </c>
    </row>
    <row r="387" spans="1:25" x14ac:dyDescent="0.2">
      <c r="A387" t="s">
        <v>485</v>
      </c>
      <c r="B387" t="s">
        <v>484</v>
      </c>
      <c r="C387" s="2">
        <v>46259</v>
      </c>
      <c r="D387" t="s">
        <v>27</v>
      </c>
      <c r="E387" t="s">
        <v>32</v>
      </c>
      <c r="F387" t="s">
        <v>54</v>
      </c>
      <c r="G387" t="s">
        <v>71</v>
      </c>
      <c r="H387">
        <v>597</v>
      </c>
      <c r="I387">
        <v>594</v>
      </c>
      <c r="J387">
        <v>3</v>
      </c>
      <c r="K387">
        <v>20</v>
      </c>
      <c r="L387">
        <v>21.13</v>
      </c>
      <c r="M387">
        <v>210.21</v>
      </c>
      <c r="N387">
        <f>_xlfn.XLOOKUP(Table13[[#This Row],[Production_Order_ID]],[1]Sheet1!$A$2:$A$391,[1]Sheet1!$F$2:$F$391,"No Match")</f>
        <v>460</v>
      </c>
      <c r="O387" s="3">
        <f>Table13[[#This Row],[Good_Qty]]/Table13[[#This Row],[Planned_Production]]</f>
        <v>1.2913043478260871</v>
      </c>
      <c r="P387" t="str">
        <f>IF(Table13[[#This Row],[Good_Qty]]&gt;=Table13[[#This Row],[Planned_Production]],"Met","Not Met")</f>
        <v>Met</v>
      </c>
      <c r="Q387">
        <f>Table13[[#This Row],[Good_Qty]]-Table13[[#This Row],[Planned_Production]]</f>
        <v>134</v>
      </c>
      <c r="R387" s="3">
        <f>IF(Table13[[#This Row],[Actual_Qty]]=0,0,Table13[[#This Row],[Reject_Qty]]/Table13[[#This Row],[Actual_Qty]])</f>
        <v>5.0251256281407036E-3</v>
      </c>
      <c r="S387">
        <v>437.88</v>
      </c>
      <c r="T387">
        <f>(Table13[[#This Row],[Ideal_Cycle_Time_sec]]*Table13[[#This Row],[Actual_Qty]])/(Table13[[#This Row],[Operational_Time_min]]*60)</f>
        <v>0.45446240979263725</v>
      </c>
      <c r="U387">
        <f>Table13[[#This Row],[Good_Qty]]/Table13[[#This Row],[Actual_Qty]]</f>
        <v>0.99497487437185927</v>
      </c>
      <c r="V387" t="str">
        <f>IF(OR(Table13[[#This Row],[Performance_%]]&gt;=1,Table13[[#This Row],[Performance_%]]&lt;=0),"Error","OK")</f>
        <v>OK</v>
      </c>
      <c r="W387" t="str">
        <f>IF(OR(Table13[[#This Row],[Quality_%]]&gt;=1,Table13[[#This Row],[Quality_%]]&lt;=0),"Error","OK")</f>
        <v>OK</v>
      </c>
      <c r="X387">
        <f>Table13[[#This Row],[Performance_%]]*Table13[[#This Row],[Quality_%]]*[2]Availability_KPI!K387</f>
        <v>0.44</v>
      </c>
      <c r="Y387" t="str">
        <f>IF(OR(Table13[[#This Row],[OEE_%]]&gt;1,Table13[[#This Row],[OEE_%]]&lt;0),"Error","OK")</f>
        <v>OK</v>
      </c>
    </row>
    <row r="388" spans="1:25" x14ac:dyDescent="0.2">
      <c r="A388" t="s">
        <v>486</v>
      </c>
      <c r="B388" t="s">
        <v>484</v>
      </c>
      <c r="C388" s="2">
        <v>46259</v>
      </c>
      <c r="D388" t="s">
        <v>27</v>
      </c>
      <c r="E388" t="s">
        <v>35</v>
      </c>
      <c r="F388" t="s">
        <v>54</v>
      </c>
      <c r="G388" t="s">
        <v>61</v>
      </c>
      <c r="H388">
        <v>597</v>
      </c>
      <c r="I388">
        <v>592</v>
      </c>
      <c r="J388">
        <v>5</v>
      </c>
      <c r="K388">
        <v>22</v>
      </c>
      <c r="L388">
        <v>24.11</v>
      </c>
      <c r="M388">
        <v>239.89</v>
      </c>
      <c r="N388">
        <f>_xlfn.XLOOKUP(Table13[[#This Row],[Production_Order_ID]],[1]Sheet1!$A$2:$A$391,[1]Sheet1!$F$2:$F$391,"No Match")</f>
        <v>460</v>
      </c>
      <c r="O388" s="3">
        <f>Table13[[#This Row],[Good_Qty]]/Table13[[#This Row],[Planned_Production]]</f>
        <v>1.2869565217391303</v>
      </c>
      <c r="P388" t="str">
        <f>IF(Table13[[#This Row],[Good_Qty]]&gt;=Table13[[#This Row],[Planned_Production]],"Met","Not Met")</f>
        <v>Met</v>
      </c>
      <c r="Q388">
        <f>Table13[[#This Row],[Good_Qty]]-Table13[[#This Row],[Planned_Production]]</f>
        <v>132</v>
      </c>
      <c r="R388" s="3">
        <f>IF(Table13[[#This Row],[Actual_Qty]]=0,0,Table13[[#This Row],[Reject_Qty]]/Table13[[#This Row],[Actual_Qty]])</f>
        <v>8.3752093802345051E-3</v>
      </c>
      <c r="S388">
        <v>433.93</v>
      </c>
      <c r="T388">
        <f>(Table13[[#This Row],[Ideal_Cycle_Time_sec]]*Table13[[#This Row],[Actual_Qty]])/(Table13[[#This Row],[Operational_Time_min]]*60)</f>
        <v>0.50445924457861868</v>
      </c>
      <c r="U388">
        <f>Table13[[#This Row],[Good_Qty]]/Table13[[#This Row],[Actual_Qty]]</f>
        <v>0.99162479061976549</v>
      </c>
      <c r="V388" t="str">
        <f>IF(OR(Table13[[#This Row],[Performance_%]]&gt;=1,Table13[[#This Row],[Performance_%]]&lt;=0),"Error","OK")</f>
        <v>OK</v>
      </c>
      <c r="W388" t="str">
        <f>IF(OR(Table13[[#This Row],[Quality_%]]&gt;=1,Table13[[#This Row],[Quality_%]]&lt;=0),"Error","OK")</f>
        <v>OK</v>
      </c>
      <c r="X388">
        <f>Table13[[#This Row],[Performance_%]]*Table13[[#This Row],[Quality_%]]*[2]Availability_KPI!K388</f>
        <v>0.48237037037037034</v>
      </c>
      <c r="Y388" t="str">
        <f>IF(OR(Table13[[#This Row],[OEE_%]]&gt;1,Table13[[#This Row],[OEE_%]]&lt;0),"Error","OK")</f>
        <v>OK</v>
      </c>
    </row>
    <row r="389" spans="1:25" x14ac:dyDescent="0.2">
      <c r="A389" t="s">
        <v>487</v>
      </c>
      <c r="B389" t="s">
        <v>484</v>
      </c>
      <c r="C389" s="2">
        <v>46259</v>
      </c>
      <c r="D389" t="s">
        <v>27</v>
      </c>
      <c r="E389" t="s">
        <v>38</v>
      </c>
      <c r="F389" t="s">
        <v>54</v>
      </c>
      <c r="G389" t="s">
        <v>61</v>
      </c>
      <c r="H389">
        <v>577</v>
      </c>
      <c r="I389">
        <v>575</v>
      </c>
      <c r="J389">
        <v>2</v>
      </c>
      <c r="K389">
        <v>20</v>
      </c>
      <c r="L389">
        <v>20.13</v>
      </c>
      <c r="M389">
        <v>193.54</v>
      </c>
      <c r="N389">
        <f>_xlfn.XLOOKUP(Table13[[#This Row],[Production_Order_ID]],[1]Sheet1!$A$2:$A$391,[1]Sheet1!$F$2:$F$391,"No Match")</f>
        <v>460</v>
      </c>
      <c r="O389" s="3">
        <f>Table13[[#This Row],[Good_Qty]]/Table13[[#This Row],[Planned_Production]]</f>
        <v>1.25</v>
      </c>
      <c r="P389" t="str">
        <f>IF(Table13[[#This Row],[Good_Qty]]&gt;=Table13[[#This Row],[Planned_Production]],"Met","Not Met")</f>
        <v>Met</v>
      </c>
      <c r="Q389">
        <f>Table13[[#This Row],[Good_Qty]]-Table13[[#This Row],[Planned_Production]]</f>
        <v>115</v>
      </c>
      <c r="R389" s="3">
        <f>IF(Table13[[#This Row],[Actual_Qty]]=0,0,Table13[[#This Row],[Reject_Qty]]/Table13[[#This Row],[Actual_Qty]])</f>
        <v>3.4662045060658577E-3</v>
      </c>
      <c r="S389">
        <v>440.59</v>
      </c>
      <c r="T389">
        <f>(Table13[[#This Row],[Ideal_Cycle_Time_sec]]*Table13[[#This Row],[Actual_Qty]])/(Table13[[#This Row],[Operational_Time_min]]*60)</f>
        <v>0.4365358572217557</v>
      </c>
      <c r="U389">
        <f>Table13[[#This Row],[Good_Qty]]/Table13[[#This Row],[Actual_Qty]]</f>
        <v>0.99653379549393417</v>
      </c>
      <c r="V389" t="str">
        <f>IF(OR(Table13[[#This Row],[Performance_%]]&gt;=1,Table13[[#This Row],[Performance_%]]&lt;=0),"Error","OK")</f>
        <v>OK</v>
      </c>
      <c r="W389" t="str">
        <f>IF(OR(Table13[[#This Row],[Quality_%]]&gt;=1,Table13[[#This Row],[Quality_%]]&lt;=0),"Error","OK")</f>
        <v>OK</v>
      </c>
      <c r="X389">
        <f>Table13[[#This Row],[Performance_%]]*Table13[[#This Row],[Quality_%]]*[2]Availability_KPI!K389</f>
        <v>0.42592592592592593</v>
      </c>
      <c r="Y389" t="str">
        <f>IF(OR(Table13[[#This Row],[OEE_%]]&gt;1,Table13[[#This Row],[OEE_%]]&lt;0),"Error","OK")</f>
        <v>OK</v>
      </c>
    </row>
    <row r="390" spans="1:25" x14ac:dyDescent="0.2">
      <c r="A390" t="s">
        <v>488</v>
      </c>
      <c r="B390" t="s">
        <v>484</v>
      </c>
      <c r="C390" s="2">
        <v>46259</v>
      </c>
      <c r="D390" t="s">
        <v>27</v>
      </c>
      <c r="E390" t="s">
        <v>41</v>
      </c>
      <c r="F390" t="s">
        <v>54</v>
      </c>
      <c r="G390" t="s">
        <v>33</v>
      </c>
      <c r="H390">
        <v>583</v>
      </c>
      <c r="I390">
        <v>577</v>
      </c>
      <c r="J390">
        <v>6</v>
      </c>
      <c r="K390">
        <v>18</v>
      </c>
      <c r="L390">
        <v>19.43</v>
      </c>
      <c r="M390">
        <v>188.78</v>
      </c>
      <c r="N390">
        <f>_xlfn.XLOOKUP(Table13[[#This Row],[Production_Order_ID]],[1]Sheet1!$A$2:$A$391,[1]Sheet1!$F$2:$F$391,"No Match")</f>
        <v>460</v>
      </c>
      <c r="O390" s="3">
        <f>Table13[[#This Row],[Good_Qty]]/Table13[[#This Row],[Planned_Production]]</f>
        <v>1.2543478260869565</v>
      </c>
      <c r="P390" t="str">
        <f>IF(Table13[[#This Row],[Good_Qty]]&gt;=Table13[[#This Row],[Planned_Production]],"Met","Not Met")</f>
        <v>Met</v>
      </c>
      <c r="Q390">
        <f>Table13[[#This Row],[Good_Qty]]-Table13[[#This Row],[Planned_Production]]</f>
        <v>117</v>
      </c>
      <c r="R390" s="3">
        <f>IF(Table13[[#This Row],[Actual_Qty]]=0,0,Table13[[#This Row],[Reject_Qty]]/Table13[[#This Row],[Actual_Qty]])</f>
        <v>1.0291595197255575E-2</v>
      </c>
      <c r="S390">
        <v>440.31</v>
      </c>
      <c r="T390">
        <f>(Table13[[#This Row],[Ideal_Cycle_Time_sec]]*Table13[[#This Row],[Actual_Qty]])/(Table13[[#This Row],[Operational_Time_min]]*60)</f>
        <v>0.39722014035565856</v>
      </c>
      <c r="U390">
        <f>Table13[[#This Row],[Good_Qty]]/Table13[[#This Row],[Actual_Qty]]</f>
        <v>0.98970840480274447</v>
      </c>
      <c r="V390" t="str">
        <f>IF(OR(Table13[[#This Row],[Performance_%]]&gt;=1,Table13[[#This Row],[Performance_%]]&lt;=0),"Error","OK")</f>
        <v>OK</v>
      </c>
      <c r="W390" t="str">
        <f>IF(OR(Table13[[#This Row],[Quality_%]]&gt;=1,Table13[[#This Row],[Quality_%]]&lt;=0),"Error","OK")</f>
        <v>OK</v>
      </c>
      <c r="X390">
        <f>Table13[[#This Row],[Performance_%]]*Table13[[#This Row],[Quality_%]]*[2]Availability_KPI!K390</f>
        <v>0.38466666666666677</v>
      </c>
      <c r="Y390" t="str">
        <f>IF(OR(Table13[[#This Row],[OEE_%]]&gt;1,Table13[[#This Row],[OEE_%]]&lt;0),"Error","OK")</f>
        <v>OK</v>
      </c>
    </row>
    <row r="391" spans="1:25" x14ac:dyDescent="0.2">
      <c r="A391" t="s">
        <v>489</v>
      </c>
      <c r="B391" t="s">
        <v>484</v>
      </c>
      <c r="C391" s="2">
        <v>46259</v>
      </c>
      <c r="D391" t="s">
        <v>27</v>
      </c>
      <c r="E391" t="s">
        <v>43</v>
      </c>
      <c r="F391" t="s">
        <v>54</v>
      </c>
      <c r="G391" t="s">
        <v>47</v>
      </c>
      <c r="H391">
        <v>600</v>
      </c>
      <c r="I391">
        <v>590</v>
      </c>
      <c r="J391">
        <v>10</v>
      </c>
      <c r="K391">
        <v>32</v>
      </c>
      <c r="L391">
        <v>33.85</v>
      </c>
      <c r="M391">
        <v>338.5</v>
      </c>
      <c r="N391">
        <f>_xlfn.XLOOKUP(Table13[[#This Row],[Production_Order_ID]],[1]Sheet1!$A$2:$A$391,[1]Sheet1!$F$2:$F$391,"No Match")</f>
        <v>460</v>
      </c>
      <c r="O391" s="3">
        <f>Table13[[#This Row],[Good_Qty]]/Table13[[#This Row],[Planned_Production]]</f>
        <v>1.2826086956521738</v>
      </c>
      <c r="P391" t="str">
        <f>IF(Table13[[#This Row],[Good_Qty]]&gt;=Table13[[#This Row],[Planned_Production]],"Met","Not Met")</f>
        <v>Met</v>
      </c>
      <c r="Q391">
        <f>Table13[[#This Row],[Good_Qty]]-Table13[[#This Row],[Planned_Production]]</f>
        <v>130</v>
      </c>
      <c r="R391" s="3">
        <f>IF(Table13[[#This Row],[Actual_Qty]]=0,0,Table13[[#This Row],[Reject_Qty]]/Table13[[#This Row],[Actual_Qty]])</f>
        <v>1.6666666666666666E-2</v>
      </c>
      <c r="S391">
        <v>419.91</v>
      </c>
      <c r="T391">
        <f>(Table13[[#This Row],[Ideal_Cycle_Time_sec]]*Table13[[#This Row],[Actual_Qty]])/(Table13[[#This Row],[Operational_Time_min]]*60)</f>
        <v>0.76206806220380552</v>
      </c>
      <c r="U391">
        <f>Table13[[#This Row],[Good_Qty]]/Table13[[#This Row],[Actual_Qty]]</f>
        <v>0.98333333333333328</v>
      </c>
      <c r="V391" t="str">
        <f>IF(OR(Table13[[#This Row],[Performance_%]]&gt;=1,Table13[[#This Row],[Performance_%]]&lt;=0),"Error","OK")</f>
        <v>OK</v>
      </c>
      <c r="W391" t="str">
        <f>IF(OR(Table13[[#This Row],[Quality_%]]&gt;=1,Table13[[#This Row],[Quality_%]]&lt;=0),"Error","OK")</f>
        <v>OK</v>
      </c>
      <c r="X391">
        <f>Table13[[#This Row],[Performance_%]]*Table13[[#This Row],[Quality_%]]*[2]Availability_KPI!K391</f>
        <v>0.69925925925925914</v>
      </c>
      <c r="Y391" t="str">
        <f>IF(OR(Table13[[#This Row],[OEE_%]]&gt;1,Table13[[#This Row],[OEE_%]]&lt;0),"Error","OK")</f>
        <v>OK</v>
      </c>
    </row>
    <row r="392" spans="1:25" x14ac:dyDescent="0.2">
      <c r="A392" t="s">
        <v>490</v>
      </c>
      <c r="B392" t="s">
        <v>484</v>
      </c>
      <c r="C392" s="2">
        <v>46259</v>
      </c>
      <c r="D392" t="s">
        <v>27</v>
      </c>
      <c r="E392" t="s">
        <v>46</v>
      </c>
      <c r="F392" t="s">
        <v>54</v>
      </c>
      <c r="G392" t="s">
        <v>47</v>
      </c>
      <c r="H392">
        <v>585</v>
      </c>
      <c r="I392">
        <v>579</v>
      </c>
      <c r="J392">
        <v>6</v>
      </c>
      <c r="K392">
        <v>25</v>
      </c>
      <c r="L392">
        <v>25.84</v>
      </c>
      <c r="M392">
        <v>251.95</v>
      </c>
      <c r="N392">
        <f>_xlfn.XLOOKUP(Table13[[#This Row],[Production_Order_ID]],[1]Sheet1!$A$2:$A$391,[1]Sheet1!$F$2:$F$391,"No Match")</f>
        <v>460</v>
      </c>
      <c r="O392" s="3">
        <f>Table13[[#This Row],[Good_Qty]]/Table13[[#This Row],[Planned_Production]]</f>
        <v>1.258695652173913</v>
      </c>
      <c r="P392" t="str">
        <f>IF(Table13[[#This Row],[Good_Qty]]&gt;=Table13[[#This Row],[Planned_Production]],"Met","Not Met")</f>
        <v>Met</v>
      </c>
      <c r="Q392">
        <f>Table13[[#This Row],[Good_Qty]]-Table13[[#This Row],[Planned_Production]]</f>
        <v>119</v>
      </c>
      <c r="R392" s="3">
        <f>IF(Table13[[#This Row],[Actual_Qty]]=0,0,Table13[[#This Row],[Reject_Qty]]/Table13[[#This Row],[Actual_Qty]])</f>
        <v>1.0256410256410256E-2</v>
      </c>
      <c r="S392">
        <v>433.83</v>
      </c>
      <c r="T392">
        <f>(Table13[[#This Row],[Ideal_Cycle_Time_sec]]*Table13[[#This Row],[Actual_Qty]])/(Table13[[#This Row],[Operational_Time_min]]*60)</f>
        <v>0.56185602655418021</v>
      </c>
      <c r="U392">
        <f>Table13[[#This Row],[Good_Qty]]/Table13[[#This Row],[Actual_Qty]]</f>
        <v>0.98974358974358978</v>
      </c>
      <c r="V392" t="str">
        <f>IF(OR(Table13[[#This Row],[Performance_%]]&gt;=1,Table13[[#This Row],[Performance_%]]&lt;=0),"Error","OK")</f>
        <v>OK</v>
      </c>
      <c r="W392" t="str">
        <f>IF(OR(Table13[[#This Row],[Quality_%]]&gt;=1,Table13[[#This Row],[Quality_%]]&lt;=0),"Error","OK")</f>
        <v>OK</v>
      </c>
      <c r="X392">
        <f>Table13[[#This Row],[Performance_%]]*Table13[[#This Row],[Quality_%]]*[2]Availability_KPI!K392</f>
        <v>0.53611111111111109</v>
      </c>
      <c r="Y392" t="str">
        <f>IF(OR(Table13[[#This Row],[OEE_%]]&gt;1,Table13[[#This Row],[OEE_%]]&lt;0),"Error","OK")</f>
        <v>OK</v>
      </c>
    </row>
    <row r="393" spans="1:25" x14ac:dyDescent="0.2">
      <c r="A393" t="s">
        <v>491</v>
      </c>
      <c r="B393" t="s">
        <v>484</v>
      </c>
      <c r="C393" s="2">
        <v>46259</v>
      </c>
      <c r="D393" t="s">
        <v>27</v>
      </c>
      <c r="E393" t="s">
        <v>49</v>
      </c>
      <c r="F393" t="s">
        <v>54</v>
      </c>
      <c r="G393" t="s">
        <v>44</v>
      </c>
      <c r="H393">
        <v>584</v>
      </c>
      <c r="I393">
        <v>582</v>
      </c>
      <c r="J393">
        <v>2</v>
      </c>
      <c r="K393">
        <v>20</v>
      </c>
      <c r="L393">
        <v>20</v>
      </c>
      <c r="M393">
        <v>194.67</v>
      </c>
      <c r="N393">
        <f>_xlfn.XLOOKUP(Table13[[#This Row],[Production_Order_ID]],[1]Sheet1!$A$2:$A$391,[1]Sheet1!$F$2:$F$391,"No Match")</f>
        <v>460</v>
      </c>
      <c r="O393" s="3">
        <f>Table13[[#This Row],[Good_Qty]]/Table13[[#This Row],[Planned_Production]]</f>
        <v>1.2652173913043478</v>
      </c>
      <c r="P393" t="str">
        <f>IF(Table13[[#This Row],[Good_Qty]]&gt;=Table13[[#This Row],[Planned_Production]],"Met","Not Met")</f>
        <v>Met</v>
      </c>
      <c r="Q393">
        <f>Table13[[#This Row],[Good_Qty]]-Table13[[#This Row],[Planned_Production]]</f>
        <v>122</v>
      </c>
      <c r="R393" s="3">
        <f>IF(Table13[[#This Row],[Actual_Qty]]=0,0,Table13[[#This Row],[Reject_Qty]]/Table13[[#This Row],[Actual_Qty]])</f>
        <v>3.4246575342465752E-3</v>
      </c>
      <c r="S393">
        <v>440.54</v>
      </c>
      <c r="T393">
        <f>(Table13[[#This Row],[Ideal_Cycle_Time_sec]]*Table13[[#This Row],[Actual_Qty]])/(Table13[[#This Row],[Operational_Time_min]]*60)</f>
        <v>0.44188193277946758</v>
      </c>
      <c r="U393">
        <f>Table13[[#This Row],[Good_Qty]]/Table13[[#This Row],[Actual_Qty]]</f>
        <v>0.99657534246575341</v>
      </c>
      <c r="V393" t="str">
        <f>IF(OR(Table13[[#This Row],[Performance_%]]&gt;=1,Table13[[#This Row],[Performance_%]]&lt;=0),"Error","OK")</f>
        <v>OK</v>
      </c>
      <c r="W393" t="str">
        <f>IF(OR(Table13[[#This Row],[Quality_%]]&gt;=1,Table13[[#This Row],[Quality_%]]&lt;=0),"Error","OK")</f>
        <v>OK</v>
      </c>
      <c r="X393">
        <f>Table13[[#This Row],[Performance_%]]*Table13[[#This Row],[Quality_%]]*[2]Availability_KPI!K393</f>
        <v>0.43111111111111111</v>
      </c>
      <c r="Y393" t="str">
        <f>IF(OR(Table13[[#This Row],[OEE_%]]&gt;1,Table13[[#This Row],[OEE_%]]&lt;0),"Error","OK")</f>
        <v>OK</v>
      </c>
    </row>
    <row r="394" spans="1:25" x14ac:dyDescent="0.2">
      <c r="A394" t="s">
        <v>492</v>
      </c>
      <c r="B394" t="s">
        <v>493</v>
      </c>
      <c r="C394" s="2">
        <v>46259</v>
      </c>
      <c r="D394" t="s">
        <v>53</v>
      </c>
      <c r="E394" t="s">
        <v>28</v>
      </c>
      <c r="F394" t="s">
        <v>29</v>
      </c>
      <c r="G394" t="s">
        <v>47</v>
      </c>
      <c r="H394">
        <v>503</v>
      </c>
      <c r="I394">
        <v>502</v>
      </c>
      <c r="J394">
        <v>1</v>
      </c>
      <c r="K394">
        <v>19.8</v>
      </c>
      <c r="L394">
        <v>21.02</v>
      </c>
      <c r="M394">
        <v>176.25</v>
      </c>
      <c r="N394">
        <f>_xlfn.XLOOKUP(Table13[[#This Row],[Production_Order_ID]],[1]Sheet1!$A$2:$A$391,[1]Sheet1!$F$2:$F$391,"No Match")</f>
        <v>400</v>
      </c>
      <c r="O394" s="3">
        <f>Table13[[#This Row],[Good_Qty]]/Table13[[#This Row],[Planned_Production]]</f>
        <v>1.2549999999999999</v>
      </c>
      <c r="P394" t="str">
        <f>IF(Table13[[#This Row],[Good_Qty]]&gt;=Table13[[#This Row],[Planned_Production]],"Met","Not Met")</f>
        <v>Met</v>
      </c>
      <c r="Q394">
        <f>Table13[[#This Row],[Good_Qty]]-Table13[[#This Row],[Planned_Production]]</f>
        <v>102</v>
      </c>
      <c r="R394" s="3">
        <f>IF(Table13[[#This Row],[Actual_Qty]]=0,0,Table13[[#This Row],[Reject_Qty]]/Table13[[#This Row],[Actual_Qty]])</f>
        <v>1.9880715705765406E-3</v>
      </c>
      <c r="S394">
        <v>441.01</v>
      </c>
      <c r="T394">
        <f>(Table13[[#This Row],[Ideal_Cycle_Time_sec]]*Table13[[#This Row],[Actual_Qty]])/(Table13[[#This Row],[Operational_Time_min]]*60)</f>
        <v>0.37638602299267593</v>
      </c>
      <c r="U394">
        <f>Table13[[#This Row],[Good_Qty]]/Table13[[#This Row],[Actual_Qty]]</f>
        <v>0.99801192842942343</v>
      </c>
      <c r="V394" t="str">
        <f>IF(OR(Table13[[#This Row],[Performance_%]]&gt;=1,Table13[[#This Row],[Performance_%]]&lt;=0),"Error","OK")</f>
        <v>OK</v>
      </c>
      <c r="W394" t="str">
        <f>IF(OR(Table13[[#This Row],[Quality_%]]&gt;=1,Table13[[#This Row],[Quality_%]]&lt;=0),"Error","OK")</f>
        <v>OK</v>
      </c>
      <c r="X394">
        <f>Table13[[#This Row],[Performance_%]]*Table13[[#This Row],[Quality_%]]*[2]Availability_KPI!K394</f>
        <v>0.36813333333333337</v>
      </c>
      <c r="Y394" t="str">
        <f>IF(OR(Table13[[#This Row],[OEE_%]]&gt;1,Table13[[#This Row],[OEE_%]]&lt;0),"Error","OK")</f>
        <v>OK</v>
      </c>
    </row>
    <row r="395" spans="1:25" x14ac:dyDescent="0.2">
      <c r="A395" t="s">
        <v>494</v>
      </c>
      <c r="B395" t="s">
        <v>493</v>
      </c>
      <c r="C395" s="2">
        <v>46259</v>
      </c>
      <c r="D395" t="s">
        <v>53</v>
      </c>
      <c r="E395" t="s">
        <v>32</v>
      </c>
      <c r="F395" t="s">
        <v>29</v>
      </c>
      <c r="G395" t="s">
        <v>36</v>
      </c>
      <c r="H395">
        <v>510</v>
      </c>
      <c r="I395">
        <v>508</v>
      </c>
      <c r="J395">
        <v>2</v>
      </c>
      <c r="K395">
        <v>22</v>
      </c>
      <c r="L395">
        <v>24.26</v>
      </c>
      <c r="M395">
        <v>206.22</v>
      </c>
      <c r="N395">
        <f>_xlfn.XLOOKUP(Table13[[#This Row],[Production_Order_ID]],[1]Sheet1!$A$2:$A$391,[1]Sheet1!$F$2:$F$391,"No Match")</f>
        <v>400</v>
      </c>
      <c r="O395" s="3">
        <f>Table13[[#This Row],[Good_Qty]]/Table13[[#This Row],[Planned_Production]]</f>
        <v>1.27</v>
      </c>
      <c r="P395" t="str">
        <f>IF(Table13[[#This Row],[Good_Qty]]&gt;=Table13[[#This Row],[Planned_Production]],"Met","Not Met")</f>
        <v>Met</v>
      </c>
      <c r="Q395">
        <f>Table13[[#This Row],[Good_Qty]]-Table13[[#This Row],[Planned_Production]]</f>
        <v>108</v>
      </c>
      <c r="R395" s="3">
        <f>IF(Table13[[#This Row],[Actual_Qty]]=0,0,Table13[[#This Row],[Reject_Qty]]/Table13[[#This Row],[Actual_Qty]])</f>
        <v>3.9215686274509803E-3</v>
      </c>
      <c r="S395">
        <v>438.63</v>
      </c>
      <c r="T395">
        <f>(Table13[[#This Row],[Ideal_Cycle_Time_sec]]*Table13[[#This Row],[Actual_Qty]])/(Table13[[#This Row],[Operational_Time_min]]*60)</f>
        <v>0.42632742858445616</v>
      </c>
      <c r="U395">
        <f>Table13[[#This Row],[Good_Qty]]/Table13[[#This Row],[Actual_Qty]]</f>
        <v>0.99607843137254903</v>
      </c>
      <c r="V395" t="str">
        <f>IF(OR(Table13[[#This Row],[Performance_%]]&gt;=1,Table13[[#This Row],[Performance_%]]&lt;=0),"Error","OK")</f>
        <v>OK</v>
      </c>
      <c r="W395" t="str">
        <f>IF(OR(Table13[[#This Row],[Quality_%]]&gt;=1,Table13[[#This Row],[Quality_%]]&lt;=0),"Error","OK")</f>
        <v>OK</v>
      </c>
      <c r="X395">
        <f>Table13[[#This Row],[Performance_%]]*Table13[[#This Row],[Quality_%]]*[2]Availability_KPI!K395</f>
        <v>0.41392592592592592</v>
      </c>
      <c r="Y395" t="str">
        <f>IF(OR(Table13[[#This Row],[OEE_%]]&gt;1,Table13[[#This Row],[OEE_%]]&lt;0),"Error","OK")</f>
        <v>OK</v>
      </c>
    </row>
    <row r="396" spans="1:25" x14ac:dyDescent="0.2">
      <c r="A396" t="s">
        <v>495</v>
      </c>
      <c r="B396" t="s">
        <v>493</v>
      </c>
      <c r="C396" s="2">
        <v>46259</v>
      </c>
      <c r="D396" t="s">
        <v>53</v>
      </c>
      <c r="E396" t="s">
        <v>35</v>
      </c>
      <c r="F396" t="s">
        <v>29</v>
      </c>
      <c r="G396" t="s">
        <v>30</v>
      </c>
      <c r="H396">
        <v>506</v>
      </c>
      <c r="I396">
        <v>501</v>
      </c>
      <c r="J396">
        <v>5</v>
      </c>
      <c r="K396">
        <v>24.2</v>
      </c>
      <c r="L396">
        <v>26.65</v>
      </c>
      <c r="M396">
        <v>224.76</v>
      </c>
      <c r="N396">
        <f>_xlfn.XLOOKUP(Table13[[#This Row],[Production_Order_ID]],[1]Sheet1!$A$2:$A$391,[1]Sheet1!$F$2:$F$391,"No Match")</f>
        <v>400</v>
      </c>
      <c r="O396" s="3">
        <f>Table13[[#This Row],[Good_Qty]]/Table13[[#This Row],[Planned_Production]]</f>
        <v>1.2524999999999999</v>
      </c>
      <c r="P396" t="str">
        <f>IF(Table13[[#This Row],[Good_Qty]]&gt;=Table13[[#This Row],[Planned_Production]],"Met","Not Met")</f>
        <v>Met</v>
      </c>
      <c r="Q396">
        <f>Table13[[#This Row],[Good_Qty]]-Table13[[#This Row],[Planned_Production]]</f>
        <v>101</v>
      </c>
      <c r="R396" s="3">
        <f>IF(Table13[[#This Row],[Actual_Qty]]=0,0,Table13[[#This Row],[Reject_Qty]]/Table13[[#This Row],[Actual_Qty]])</f>
        <v>9.881422924901186E-3</v>
      </c>
      <c r="S396">
        <v>432.27</v>
      </c>
      <c r="T396">
        <f>(Table13[[#This Row],[Ideal_Cycle_Time_sec]]*Table13[[#This Row],[Actual_Qty]])/(Table13[[#This Row],[Operational_Time_min]]*60)</f>
        <v>0.47212775965638759</v>
      </c>
      <c r="U396">
        <f>Table13[[#This Row],[Good_Qty]]/Table13[[#This Row],[Actual_Qty]]</f>
        <v>0.99011857707509876</v>
      </c>
      <c r="V396" t="str">
        <f>IF(OR(Table13[[#This Row],[Performance_%]]&gt;=1,Table13[[#This Row],[Performance_%]]&lt;=0),"Error","OK")</f>
        <v>OK</v>
      </c>
      <c r="W396" t="str">
        <f>IF(OR(Table13[[#This Row],[Quality_%]]&gt;=1,Table13[[#This Row],[Quality_%]]&lt;=0),"Error","OK")</f>
        <v>OK</v>
      </c>
      <c r="X396">
        <f>Table13[[#This Row],[Performance_%]]*Table13[[#This Row],[Quality_%]]*[2]Availability_KPI!K396</f>
        <v>0.44904444444444441</v>
      </c>
      <c r="Y396" t="str">
        <f>IF(OR(Table13[[#This Row],[OEE_%]]&gt;1,Table13[[#This Row],[OEE_%]]&lt;0),"Error","OK")</f>
        <v>OK</v>
      </c>
    </row>
    <row r="397" spans="1:25" x14ac:dyDescent="0.2">
      <c r="A397" t="s">
        <v>496</v>
      </c>
      <c r="B397" t="s">
        <v>493</v>
      </c>
      <c r="C397" s="2">
        <v>46259</v>
      </c>
      <c r="D397" t="s">
        <v>53</v>
      </c>
      <c r="E397" t="s">
        <v>38</v>
      </c>
      <c r="F397" t="s">
        <v>29</v>
      </c>
      <c r="G397" t="s">
        <v>44</v>
      </c>
      <c r="H397">
        <v>510</v>
      </c>
      <c r="I397">
        <v>505</v>
      </c>
      <c r="J397">
        <v>5</v>
      </c>
      <c r="K397">
        <v>22</v>
      </c>
      <c r="L397">
        <v>23.62</v>
      </c>
      <c r="M397">
        <v>200.73</v>
      </c>
      <c r="N397">
        <f>_xlfn.XLOOKUP(Table13[[#This Row],[Production_Order_ID]],[1]Sheet1!$A$2:$A$391,[1]Sheet1!$F$2:$F$391,"No Match")</f>
        <v>400</v>
      </c>
      <c r="O397" s="3">
        <f>Table13[[#This Row],[Good_Qty]]/Table13[[#This Row],[Planned_Production]]</f>
        <v>1.2625</v>
      </c>
      <c r="P397" t="str">
        <f>IF(Table13[[#This Row],[Good_Qty]]&gt;=Table13[[#This Row],[Planned_Production]],"Met","Not Met")</f>
        <v>Met</v>
      </c>
      <c r="Q397">
        <f>Table13[[#This Row],[Good_Qty]]-Table13[[#This Row],[Planned_Production]]</f>
        <v>105</v>
      </c>
      <c r="R397" s="3">
        <f>IF(Table13[[#This Row],[Actual_Qty]]=0,0,Table13[[#This Row],[Reject_Qty]]/Table13[[#This Row],[Actual_Qty]])</f>
        <v>9.8039215686274508E-3</v>
      </c>
      <c r="S397">
        <v>438.38</v>
      </c>
      <c r="T397">
        <f>(Table13[[#This Row],[Ideal_Cycle_Time_sec]]*Table13[[#This Row],[Actual_Qty]])/(Table13[[#This Row],[Operational_Time_min]]*60)</f>
        <v>0.42657055522605958</v>
      </c>
      <c r="U397">
        <f>Table13[[#This Row],[Good_Qty]]/Table13[[#This Row],[Actual_Qty]]</f>
        <v>0.99019607843137258</v>
      </c>
      <c r="V397" t="str">
        <f>IF(OR(Table13[[#This Row],[Performance_%]]&gt;=1,Table13[[#This Row],[Performance_%]]&lt;=0),"Error","OK")</f>
        <v>OK</v>
      </c>
      <c r="W397" t="str">
        <f>IF(OR(Table13[[#This Row],[Quality_%]]&gt;=1,Table13[[#This Row],[Quality_%]]&lt;=0),"Error","OK")</f>
        <v>OK</v>
      </c>
      <c r="X397">
        <f>Table13[[#This Row],[Performance_%]]*Table13[[#This Row],[Quality_%]]*[2]Availability_KPI!K397</f>
        <v>0.4114814814814815</v>
      </c>
      <c r="Y397" t="str">
        <f>IF(OR(Table13[[#This Row],[OEE_%]]&gt;1,Table13[[#This Row],[OEE_%]]&lt;0),"Error","OK")</f>
        <v>OK</v>
      </c>
    </row>
    <row r="398" spans="1:25" x14ac:dyDescent="0.2">
      <c r="A398" t="s">
        <v>497</v>
      </c>
      <c r="B398" t="s">
        <v>493</v>
      </c>
      <c r="C398" s="2">
        <v>46259</v>
      </c>
      <c r="D398" t="s">
        <v>53</v>
      </c>
      <c r="E398" t="s">
        <v>41</v>
      </c>
      <c r="F398" t="s">
        <v>29</v>
      </c>
      <c r="G398" t="s">
        <v>71</v>
      </c>
      <c r="H398">
        <v>505</v>
      </c>
      <c r="I398">
        <v>500</v>
      </c>
      <c r="J398">
        <v>5</v>
      </c>
      <c r="K398">
        <v>19.8</v>
      </c>
      <c r="L398">
        <v>21.01</v>
      </c>
      <c r="M398">
        <v>176.83</v>
      </c>
      <c r="N398">
        <f>_xlfn.XLOOKUP(Table13[[#This Row],[Production_Order_ID]],[1]Sheet1!$A$2:$A$391,[1]Sheet1!$F$2:$F$391,"No Match")</f>
        <v>400</v>
      </c>
      <c r="O398" s="3">
        <f>Table13[[#This Row],[Good_Qty]]/Table13[[#This Row],[Planned_Production]]</f>
        <v>1.25</v>
      </c>
      <c r="P398" t="str">
        <f>IF(Table13[[#This Row],[Good_Qty]]&gt;=Table13[[#This Row],[Planned_Production]],"Met","Not Met")</f>
        <v>Met</v>
      </c>
      <c r="Q398">
        <f>Table13[[#This Row],[Good_Qty]]-Table13[[#This Row],[Planned_Production]]</f>
        <v>100</v>
      </c>
      <c r="R398" s="3">
        <f>IF(Table13[[#This Row],[Actual_Qty]]=0,0,Table13[[#This Row],[Reject_Qty]]/Table13[[#This Row],[Actual_Qty]])</f>
        <v>9.9009900990099011E-3</v>
      </c>
      <c r="S398">
        <v>439.55</v>
      </c>
      <c r="T398">
        <f>(Table13[[#This Row],[Ideal_Cycle_Time_sec]]*Table13[[#This Row],[Actual_Qty]])/(Table13[[#This Row],[Operational_Time_min]]*60)</f>
        <v>0.37913775452166987</v>
      </c>
      <c r="U398">
        <f>Table13[[#This Row],[Good_Qty]]/Table13[[#This Row],[Actual_Qty]]</f>
        <v>0.99009900990099009</v>
      </c>
      <c r="V398" t="str">
        <f>IF(OR(Table13[[#This Row],[Performance_%]]&gt;=1,Table13[[#This Row],[Performance_%]]&lt;=0),"Error","OK")</f>
        <v>OK</v>
      </c>
      <c r="W398" t="str">
        <f>IF(OR(Table13[[#This Row],[Quality_%]]&gt;=1,Table13[[#This Row],[Quality_%]]&lt;=0),"Error","OK")</f>
        <v>OK</v>
      </c>
      <c r="X398">
        <f>Table13[[#This Row],[Performance_%]]*Table13[[#This Row],[Quality_%]]*[2]Availability_KPI!K398</f>
        <v>0.3666666666666667</v>
      </c>
      <c r="Y398" t="str">
        <f>IF(OR(Table13[[#This Row],[OEE_%]]&gt;1,Table13[[#This Row],[OEE_%]]&lt;0),"Error","OK")</f>
        <v>OK</v>
      </c>
    </row>
    <row r="399" spans="1:25" x14ac:dyDescent="0.2">
      <c r="A399" t="s">
        <v>498</v>
      </c>
      <c r="B399" t="s">
        <v>493</v>
      </c>
      <c r="C399" s="2">
        <v>46259</v>
      </c>
      <c r="D399" t="s">
        <v>53</v>
      </c>
      <c r="E399" t="s">
        <v>43</v>
      </c>
      <c r="F399" t="s">
        <v>29</v>
      </c>
      <c r="G399" t="s">
        <v>30</v>
      </c>
      <c r="H399">
        <v>516</v>
      </c>
      <c r="I399">
        <v>509</v>
      </c>
      <c r="J399">
        <v>7</v>
      </c>
      <c r="K399">
        <v>35.200000000000003</v>
      </c>
      <c r="L399">
        <v>37.369999999999997</v>
      </c>
      <c r="M399">
        <v>321.41000000000003</v>
      </c>
      <c r="N399">
        <f>_xlfn.XLOOKUP(Table13[[#This Row],[Production_Order_ID]],[1]Sheet1!$A$2:$A$391,[1]Sheet1!$F$2:$F$391,"No Match")</f>
        <v>400</v>
      </c>
      <c r="O399" s="3">
        <f>Table13[[#This Row],[Good_Qty]]/Table13[[#This Row],[Planned_Production]]</f>
        <v>1.2725</v>
      </c>
      <c r="P399" t="str">
        <f>IF(Table13[[#This Row],[Good_Qty]]&gt;=Table13[[#This Row],[Planned_Production]],"Met","Not Met")</f>
        <v>Met</v>
      </c>
      <c r="Q399">
        <f>Table13[[#This Row],[Good_Qty]]-Table13[[#This Row],[Planned_Production]]</f>
        <v>109</v>
      </c>
      <c r="R399" s="3">
        <f>IF(Table13[[#This Row],[Actual_Qty]]=0,0,Table13[[#This Row],[Reject_Qty]]/Table13[[#This Row],[Actual_Qty]])</f>
        <v>1.3565891472868217E-2</v>
      </c>
      <c r="S399">
        <v>424.97</v>
      </c>
      <c r="T399">
        <f>(Table13[[#This Row],[Ideal_Cycle_Time_sec]]*Table13[[#This Row],[Actual_Qty]])/(Table13[[#This Row],[Operational_Time_min]]*60)</f>
        <v>0.71233263524484081</v>
      </c>
      <c r="U399">
        <f>Table13[[#This Row],[Good_Qty]]/Table13[[#This Row],[Actual_Qty]]</f>
        <v>0.98643410852713176</v>
      </c>
      <c r="V399" t="str">
        <f>IF(OR(Table13[[#This Row],[Performance_%]]&gt;=1,Table13[[#This Row],[Performance_%]]&lt;=0),"Error","OK")</f>
        <v>OK</v>
      </c>
      <c r="W399" t="str">
        <f>IF(OR(Table13[[#This Row],[Quality_%]]&gt;=1,Table13[[#This Row],[Quality_%]]&lt;=0),"Error","OK")</f>
        <v>OK</v>
      </c>
      <c r="X399">
        <f>Table13[[#This Row],[Performance_%]]*Table13[[#This Row],[Quality_%]]*[2]Availability_KPI!K399</f>
        <v>0.66358518518518528</v>
      </c>
      <c r="Y399" t="str">
        <f>IF(OR(Table13[[#This Row],[OEE_%]]&gt;1,Table13[[#This Row],[OEE_%]]&lt;0),"Error","OK")</f>
        <v>OK</v>
      </c>
    </row>
    <row r="400" spans="1:25" x14ac:dyDescent="0.2">
      <c r="A400" t="s">
        <v>499</v>
      </c>
      <c r="B400" t="s">
        <v>493</v>
      </c>
      <c r="C400" s="2">
        <v>46259</v>
      </c>
      <c r="D400" t="s">
        <v>53</v>
      </c>
      <c r="E400" t="s">
        <v>46</v>
      </c>
      <c r="F400" t="s">
        <v>29</v>
      </c>
      <c r="G400" t="s">
        <v>36</v>
      </c>
      <c r="H400">
        <v>514</v>
      </c>
      <c r="I400">
        <v>510</v>
      </c>
      <c r="J400">
        <v>4</v>
      </c>
      <c r="K400">
        <v>27.5</v>
      </c>
      <c r="L400">
        <v>29.84</v>
      </c>
      <c r="M400">
        <v>255.59</v>
      </c>
      <c r="N400">
        <f>_xlfn.XLOOKUP(Table13[[#This Row],[Production_Order_ID]],[1]Sheet1!$A$2:$A$391,[1]Sheet1!$F$2:$F$391,"No Match")</f>
        <v>400</v>
      </c>
      <c r="O400" s="3">
        <f>Table13[[#This Row],[Good_Qty]]/Table13[[#This Row],[Planned_Production]]</f>
        <v>1.2749999999999999</v>
      </c>
      <c r="P400" t="str">
        <f>IF(Table13[[#This Row],[Good_Qty]]&gt;=Table13[[#This Row],[Planned_Production]],"Met","Not Met")</f>
        <v>Met</v>
      </c>
      <c r="Q400">
        <f>Table13[[#This Row],[Good_Qty]]-Table13[[#This Row],[Planned_Production]]</f>
        <v>110</v>
      </c>
      <c r="R400" s="3">
        <f>IF(Table13[[#This Row],[Actual_Qty]]=0,0,Table13[[#This Row],[Reject_Qty]]/Table13[[#This Row],[Actual_Qty]])</f>
        <v>7.7821011673151752E-3</v>
      </c>
      <c r="S400">
        <v>428.42</v>
      </c>
      <c r="T400">
        <f>(Table13[[#This Row],[Ideal_Cycle_Time_sec]]*Table13[[#This Row],[Actual_Qty]])/(Table13[[#This Row],[Operational_Time_min]]*60)</f>
        <v>0.5498887384653689</v>
      </c>
      <c r="U400">
        <f>Table13[[#This Row],[Good_Qty]]/Table13[[#This Row],[Actual_Qty]]</f>
        <v>0.99221789883268485</v>
      </c>
      <c r="V400" t="str">
        <f>IF(OR(Table13[[#This Row],[Performance_%]]&gt;=1,Table13[[#This Row],[Performance_%]]&lt;=0),"Error","OK")</f>
        <v>OK</v>
      </c>
      <c r="W400" t="str">
        <f>IF(OR(Table13[[#This Row],[Quality_%]]&gt;=1,Table13[[#This Row],[Quality_%]]&lt;=0),"Error","OK")</f>
        <v>OK</v>
      </c>
      <c r="X400">
        <f>Table13[[#This Row],[Performance_%]]*Table13[[#This Row],[Quality_%]]*[2]Availability_KPI!K400</f>
        <v>0.51944444444444449</v>
      </c>
      <c r="Y400" t="str">
        <f>IF(OR(Table13[[#This Row],[OEE_%]]&gt;1,Table13[[#This Row],[OEE_%]]&lt;0),"Error","OK")</f>
        <v>OK</v>
      </c>
    </row>
    <row r="401" spans="1:25" x14ac:dyDescent="0.2">
      <c r="A401" t="s">
        <v>500</v>
      </c>
      <c r="B401" t="s">
        <v>493</v>
      </c>
      <c r="C401" s="2">
        <v>46259</v>
      </c>
      <c r="D401" t="s">
        <v>53</v>
      </c>
      <c r="E401" t="s">
        <v>49</v>
      </c>
      <c r="F401" t="s">
        <v>29</v>
      </c>
      <c r="G401" t="s">
        <v>57</v>
      </c>
      <c r="H401">
        <v>514</v>
      </c>
      <c r="I401">
        <v>513</v>
      </c>
      <c r="J401">
        <v>1</v>
      </c>
      <c r="K401">
        <v>22</v>
      </c>
      <c r="L401">
        <v>23.17</v>
      </c>
      <c r="M401">
        <v>198.47</v>
      </c>
      <c r="N401">
        <f>_xlfn.XLOOKUP(Table13[[#This Row],[Production_Order_ID]],[1]Sheet1!$A$2:$A$391,[1]Sheet1!$F$2:$F$391,"No Match")</f>
        <v>400</v>
      </c>
      <c r="O401" s="3">
        <f>Table13[[#This Row],[Good_Qty]]/Table13[[#This Row],[Planned_Production]]</f>
        <v>1.2825</v>
      </c>
      <c r="P401" t="str">
        <f>IF(Table13[[#This Row],[Good_Qty]]&gt;=Table13[[#This Row],[Planned_Production]],"Met","Not Met")</f>
        <v>Met</v>
      </c>
      <c r="Q401">
        <f>Table13[[#This Row],[Good_Qty]]-Table13[[#This Row],[Planned_Production]]</f>
        <v>113</v>
      </c>
      <c r="R401" s="3">
        <f>IF(Table13[[#This Row],[Actual_Qty]]=0,0,Table13[[#This Row],[Reject_Qty]]/Table13[[#This Row],[Actual_Qty]])</f>
        <v>1.9455252918287938E-3</v>
      </c>
      <c r="S401">
        <v>443.62</v>
      </c>
      <c r="T401">
        <f>(Table13[[#This Row],[Ideal_Cycle_Time_sec]]*Table13[[#This Row],[Actual_Qty]])/(Table13[[#This Row],[Operational_Time_min]]*60)</f>
        <v>0.42483807462843576</v>
      </c>
      <c r="U401">
        <f>Table13[[#This Row],[Good_Qty]]/Table13[[#This Row],[Actual_Qty]]</f>
        <v>0.99805447470817121</v>
      </c>
      <c r="V401" t="str">
        <f>IF(OR(Table13[[#This Row],[Performance_%]]&gt;=1,Table13[[#This Row],[Performance_%]]&lt;=0),"Error","OK")</f>
        <v>OK</v>
      </c>
      <c r="W401" t="str">
        <f>IF(OR(Table13[[#This Row],[Quality_%]]&gt;=1,Table13[[#This Row],[Quality_%]]&lt;=0),"Error","OK")</f>
        <v>OK</v>
      </c>
      <c r="X401">
        <f>Table13[[#This Row],[Performance_%]]*Table13[[#This Row],[Quality_%]]*[2]Availability_KPI!K401</f>
        <v>0.41800000000000004</v>
      </c>
      <c r="Y401" t="str">
        <f>IF(OR(Table13[[#This Row],[OEE_%]]&gt;1,Table13[[#This Row],[OEE_%]]&lt;0),"Error","OK")</f>
        <v>OK</v>
      </c>
    </row>
    <row r="402" spans="1:25" x14ac:dyDescent="0.2">
      <c r="A402" t="s">
        <v>501</v>
      </c>
      <c r="B402" t="s">
        <v>502</v>
      </c>
      <c r="C402" s="2">
        <v>46259</v>
      </c>
      <c r="D402" t="s">
        <v>67</v>
      </c>
      <c r="E402" t="s">
        <v>28</v>
      </c>
      <c r="F402" t="s">
        <v>97</v>
      </c>
      <c r="G402" t="s">
        <v>75</v>
      </c>
      <c r="H402">
        <v>508</v>
      </c>
      <c r="I402">
        <v>506</v>
      </c>
      <c r="J402">
        <v>2</v>
      </c>
      <c r="K402">
        <v>19.260000000000002</v>
      </c>
      <c r="L402">
        <v>20.04</v>
      </c>
      <c r="M402">
        <v>169.67</v>
      </c>
      <c r="N402">
        <f>_xlfn.XLOOKUP(Table13[[#This Row],[Production_Order_ID]],[1]Sheet1!$A$2:$A$391,[1]Sheet1!$F$2:$F$391,"No Match")</f>
        <v>420</v>
      </c>
      <c r="O402" s="3">
        <f>Table13[[#This Row],[Good_Qty]]/Table13[[#This Row],[Planned_Production]]</f>
        <v>1.2047619047619047</v>
      </c>
      <c r="P402" t="str">
        <f>IF(Table13[[#This Row],[Good_Qty]]&gt;=Table13[[#This Row],[Planned_Production]],"Met","Not Met")</f>
        <v>Met</v>
      </c>
      <c r="Q402">
        <f>Table13[[#This Row],[Good_Qty]]-Table13[[#This Row],[Planned_Production]]</f>
        <v>86</v>
      </c>
      <c r="R402" s="3">
        <f>IF(Table13[[#This Row],[Actual_Qty]]=0,0,Table13[[#This Row],[Reject_Qty]]/Table13[[#This Row],[Actual_Qty]])</f>
        <v>3.937007874015748E-3</v>
      </c>
      <c r="S402">
        <v>440.61</v>
      </c>
      <c r="T402">
        <f>(Table13[[#This Row],[Ideal_Cycle_Time_sec]]*Table13[[#This Row],[Actual_Qty]])/(Table13[[#This Row],[Operational_Time_min]]*60)</f>
        <v>0.37009600326819631</v>
      </c>
      <c r="U402">
        <f>Table13[[#This Row],[Good_Qty]]/Table13[[#This Row],[Actual_Qty]]</f>
        <v>0.99606299212598426</v>
      </c>
      <c r="V402" t="str">
        <f>IF(OR(Table13[[#This Row],[Performance_%]]&gt;=1,Table13[[#This Row],[Performance_%]]&lt;=0),"Error","OK")</f>
        <v>OK</v>
      </c>
      <c r="W402" t="str">
        <f>IF(OR(Table13[[#This Row],[Quality_%]]&gt;=1,Table13[[#This Row],[Quality_%]]&lt;=0),"Error","OK")</f>
        <v>OK</v>
      </c>
      <c r="X402">
        <f>Table13[[#This Row],[Performance_%]]*Table13[[#This Row],[Quality_%]]*[2]Availability_KPI!K402</f>
        <v>0.36094666666666664</v>
      </c>
      <c r="Y402" t="str">
        <f>IF(OR(Table13[[#This Row],[OEE_%]]&gt;1,Table13[[#This Row],[OEE_%]]&lt;0),"Error","OK")</f>
        <v>OK</v>
      </c>
    </row>
    <row r="403" spans="1:25" x14ac:dyDescent="0.2">
      <c r="A403" t="s">
        <v>503</v>
      </c>
      <c r="B403" t="s">
        <v>502</v>
      </c>
      <c r="C403" s="2">
        <v>46259</v>
      </c>
      <c r="D403" t="s">
        <v>67</v>
      </c>
      <c r="E403" t="s">
        <v>32</v>
      </c>
      <c r="F403" t="s">
        <v>97</v>
      </c>
      <c r="G403" t="s">
        <v>71</v>
      </c>
      <c r="H403">
        <v>506</v>
      </c>
      <c r="I403">
        <v>504</v>
      </c>
      <c r="J403">
        <v>2</v>
      </c>
      <c r="K403">
        <v>21.4</v>
      </c>
      <c r="L403">
        <v>22.68</v>
      </c>
      <c r="M403">
        <v>191.25</v>
      </c>
      <c r="N403">
        <f>_xlfn.XLOOKUP(Table13[[#This Row],[Production_Order_ID]],[1]Sheet1!$A$2:$A$391,[1]Sheet1!$F$2:$F$391,"No Match")</f>
        <v>420</v>
      </c>
      <c r="O403" s="3">
        <f>Table13[[#This Row],[Good_Qty]]/Table13[[#This Row],[Planned_Production]]</f>
        <v>1.2</v>
      </c>
      <c r="P403" t="str">
        <f>IF(Table13[[#This Row],[Good_Qty]]&gt;=Table13[[#This Row],[Planned_Production]],"Met","Not Met")</f>
        <v>Met</v>
      </c>
      <c r="Q403">
        <f>Table13[[#This Row],[Good_Qty]]-Table13[[#This Row],[Planned_Production]]</f>
        <v>84</v>
      </c>
      <c r="R403" s="3">
        <f>IF(Table13[[#This Row],[Actual_Qty]]=0,0,Table13[[#This Row],[Reject_Qty]]/Table13[[#This Row],[Actual_Qty]])</f>
        <v>3.952569169960474E-3</v>
      </c>
      <c r="S403">
        <v>437.77</v>
      </c>
      <c r="T403">
        <f>(Table13[[#This Row],[Ideal_Cycle_Time_sec]]*Table13[[#This Row],[Actual_Qty]])/(Table13[[#This Row],[Operational_Time_min]]*60)</f>
        <v>0.41225605531062737</v>
      </c>
      <c r="U403">
        <f>Table13[[#This Row],[Good_Qty]]/Table13[[#This Row],[Actual_Qty]]</f>
        <v>0.99604743083003955</v>
      </c>
      <c r="V403" t="str">
        <f>IF(OR(Table13[[#This Row],[Performance_%]]&gt;=1,Table13[[#This Row],[Performance_%]]&lt;=0),"Error","OK")</f>
        <v>OK</v>
      </c>
      <c r="W403" t="str">
        <f>IF(OR(Table13[[#This Row],[Quality_%]]&gt;=1,Table13[[#This Row],[Quality_%]]&lt;=0),"Error","OK")</f>
        <v>OK</v>
      </c>
      <c r="X403">
        <f>Table13[[#This Row],[Performance_%]]*Table13[[#This Row],[Quality_%]]*[2]Availability_KPI!K403</f>
        <v>0.39946666666666664</v>
      </c>
      <c r="Y403" t="str">
        <f>IF(OR(Table13[[#This Row],[OEE_%]]&gt;1,Table13[[#This Row],[OEE_%]]&lt;0),"Error","OK")</f>
        <v>OK</v>
      </c>
    </row>
    <row r="404" spans="1:25" x14ac:dyDescent="0.2">
      <c r="A404" t="s">
        <v>504</v>
      </c>
      <c r="B404" t="s">
        <v>502</v>
      </c>
      <c r="C404" s="2">
        <v>46259</v>
      </c>
      <c r="D404" t="s">
        <v>67</v>
      </c>
      <c r="E404" t="s">
        <v>35</v>
      </c>
      <c r="F404" t="s">
        <v>97</v>
      </c>
      <c r="G404" t="s">
        <v>75</v>
      </c>
      <c r="H404">
        <v>506</v>
      </c>
      <c r="I404">
        <v>504</v>
      </c>
      <c r="J404">
        <v>2</v>
      </c>
      <c r="K404">
        <v>23.54</v>
      </c>
      <c r="L404">
        <v>25.25</v>
      </c>
      <c r="M404">
        <v>212.94</v>
      </c>
      <c r="N404">
        <f>_xlfn.XLOOKUP(Table13[[#This Row],[Production_Order_ID]],[1]Sheet1!$A$2:$A$391,[1]Sheet1!$F$2:$F$391,"No Match")</f>
        <v>420</v>
      </c>
      <c r="O404" s="3">
        <f>Table13[[#This Row],[Good_Qty]]/Table13[[#This Row],[Planned_Production]]</f>
        <v>1.2</v>
      </c>
      <c r="P404" t="str">
        <f>IF(Table13[[#This Row],[Good_Qty]]&gt;=Table13[[#This Row],[Planned_Production]],"Met","Not Met")</f>
        <v>Met</v>
      </c>
      <c r="Q404">
        <f>Table13[[#This Row],[Good_Qty]]-Table13[[#This Row],[Planned_Production]]</f>
        <v>84</v>
      </c>
      <c r="R404" s="3">
        <f>IF(Table13[[#This Row],[Actual_Qty]]=0,0,Table13[[#This Row],[Reject_Qty]]/Table13[[#This Row],[Actual_Qty]])</f>
        <v>3.952569169960474E-3</v>
      </c>
      <c r="S404">
        <v>439.57</v>
      </c>
      <c r="T404">
        <f>(Table13[[#This Row],[Ideal_Cycle_Time_sec]]*Table13[[#This Row],[Actual_Qty]])/(Table13[[#This Row],[Operational_Time_min]]*60)</f>
        <v>0.45162469382957587</v>
      </c>
      <c r="U404">
        <f>Table13[[#This Row],[Good_Qty]]/Table13[[#This Row],[Actual_Qty]]</f>
        <v>0.99604743083003955</v>
      </c>
      <c r="V404" t="str">
        <f>IF(OR(Table13[[#This Row],[Performance_%]]&gt;=1,Table13[[#This Row],[Performance_%]]&lt;=0),"Error","OK")</f>
        <v>OK</v>
      </c>
      <c r="W404" t="str">
        <f>IF(OR(Table13[[#This Row],[Quality_%]]&gt;=1,Table13[[#This Row],[Quality_%]]&lt;=0),"Error","OK")</f>
        <v>OK</v>
      </c>
      <c r="X404">
        <f>Table13[[#This Row],[Performance_%]]*Table13[[#This Row],[Quality_%]]*[2]Availability_KPI!K404</f>
        <v>0.43941333333333338</v>
      </c>
      <c r="Y404" t="str">
        <f>IF(OR(Table13[[#This Row],[OEE_%]]&gt;1,Table13[[#This Row],[OEE_%]]&lt;0),"Error","OK")</f>
        <v>OK</v>
      </c>
    </row>
    <row r="405" spans="1:25" x14ac:dyDescent="0.2">
      <c r="A405" t="s">
        <v>505</v>
      </c>
      <c r="B405" t="s">
        <v>502</v>
      </c>
      <c r="C405" s="2">
        <v>46259</v>
      </c>
      <c r="D405" t="s">
        <v>67</v>
      </c>
      <c r="E405" t="s">
        <v>38</v>
      </c>
      <c r="F405" t="s">
        <v>97</v>
      </c>
      <c r="G405" t="s">
        <v>57</v>
      </c>
      <c r="H405">
        <v>519</v>
      </c>
      <c r="I405">
        <v>516</v>
      </c>
      <c r="J405">
        <v>3</v>
      </c>
      <c r="K405">
        <v>21.4</v>
      </c>
      <c r="L405">
        <v>21.4</v>
      </c>
      <c r="M405">
        <v>185.11</v>
      </c>
      <c r="N405">
        <f>_xlfn.XLOOKUP(Table13[[#This Row],[Production_Order_ID]],[1]Sheet1!$A$2:$A$391,[1]Sheet1!$F$2:$F$391,"No Match")</f>
        <v>420</v>
      </c>
      <c r="O405" s="3">
        <f>Table13[[#This Row],[Good_Qty]]/Table13[[#This Row],[Planned_Production]]</f>
        <v>1.2285714285714286</v>
      </c>
      <c r="P405" t="str">
        <f>IF(Table13[[#This Row],[Good_Qty]]&gt;=Table13[[#This Row],[Planned_Production]],"Met","Not Met")</f>
        <v>Met</v>
      </c>
      <c r="Q405">
        <f>Table13[[#This Row],[Good_Qty]]-Table13[[#This Row],[Planned_Production]]</f>
        <v>96</v>
      </c>
      <c r="R405" s="3">
        <f>IF(Table13[[#This Row],[Actual_Qty]]=0,0,Table13[[#This Row],[Reject_Qty]]/Table13[[#This Row],[Actual_Qty]])</f>
        <v>5.7803468208092483E-3</v>
      </c>
      <c r="S405">
        <v>439.82</v>
      </c>
      <c r="T405">
        <f>(Table13[[#This Row],[Ideal_Cycle_Time_sec]]*Table13[[#This Row],[Actual_Qty]])/(Table13[[#This Row],[Operational_Time_min]]*60)</f>
        <v>0.42087672229548445</v>
      </c>
      <c r="U405">
        <f>Table13[[#This Row],[Good_Qty]]/Table13[[#This Row],[Actual_Qty]]</f>
        <v>0.9942196531791907</v>
      </c>
      <c r="V405" t="str">
        <f>IF(OR(Table13[[#This Row],[Performance_%]]&gt;=1,Table13[[#This Row],[Performance_%]]&lt;=0),"Error","OK")</f>
        <v>OK</v>
      </c>
      <c r="W405" t="str">
        <f>IF(OR(Table13[[#This Row],[Quality_%]]&gt;=1,Table13[[#This Row],[Quality_%]]&lt;=0),"Error","OK")</f>
        <v>OK</v>
      </c>
      <c r="X405">
        <f>Table13[[#This Row],[Performance_%]]*Table13[[#This Row],[Quality_%]]*[2]Availability_KPI!K405</f>
        <v>0.40897777777777766</v>
      </c>
      <c r="Y405" t="str">
        <f>IF(OR(Table13[[#This Row],[OEE_%]]&gt;1,Table13[[#This Row],[OEE_%]]&lt;0),"Error","OK")</f>
        <v>OK</v>
      </c>
    </row>
    <row r="406" spans="1:25" x14ac:dyDescent="0.2">
      <c r="A406" t="s">
        <v>506</v>
      </c>
      <c r="B406" t="s">
        <v>502</v>
      </c>
      <c r="C406" s="2">
        <v>46259</v>
      </c>
      <c r="D406" t="s">
        <v>67</v>
      </c>
      <c r="E406" t="s">
        <v>41</v>
      </c>
      <c r="F406" t="s">
        <v>97</v>
      </c>
      <c r="G406" t="s">
        <v>75</v>
      </c>
      <c r="H406">
        <v>516</v>
      </c>
      <c r="I406">
        <v>512</v>
      </c>
      <c r="J406">
        <v>4</v>
      </c>
      <c r="K406">
        <v>19.260000000000002</v>
      </c>
      <c r="L406">
        <v>20.079999999999998</v>
      </c>
      <c r="M406">
        <v>172.69</v>
      </c>
      <c r="N406">
        <f>_xlfn.XLOOKUP(Table13[[#This Row],[Production_Order_ID]],[1]Sheet1!$A$2:$A$391,[1]Sheet1!$F$2:$F$391,"No Match")</f>
        <v>420</v>
      </c>
      <c r="O406" s="3">
        <f>Table13[[#This Row],[Good_Qty]]/Table13[[#This Row],[Planned_Production]]</f>
        <v>1.2190476190476192</v>
      </c>
      <c r="P406" t="str">
        <f>IF(Table13[[#This Row],[Good_Qty]]&gt;=Table13[[#This Row],[Planned_Production]],"Met","Not Met")</f>
        <v>Met</v>
      </c>
      <c r="Q406">
        <f>Table13[[#This Row],[Good_Qty]]-Table13[[#This Row],[Planned_Production]]</f>
        <v>92</v>
      </c>
      <c r="R406" s="3">
        <f>IF(Table13[[#This Row],[Actual_Qty]]=0,0,Table13[[#This Row],[Reject_Qty]]/Table13[[#This Row],[Actual_Qty]])</f>
        <v>7.7519379844961239E-3</v>
      </c>
      <c r="S406">
        <v>437.99</v>
      </c>
      <c r="T406">
        <f>(Table13[[#This Row],[Ideal_Cycle_Time_sec]]*Table13[[#This Row],[Actual_Qty]])/(Table13[[#This Row],[Operational_Time_min]]*60)</f>
        <v>0.37817301764880479</v>
      </c>
      <c r="U406">
        <f>Table13[[#This Row],[Good_Qty]]/Table13[[#This Row],[Actual_Qty]]</f>
        <v>0.99224806201550386</v>
      </c>
      <c r="V406" t="str">
        <f>IF(OR(Table13[[#This Row],[Performance_%]]&gt;=1,Table13[[#This Row],[Performance_%]]&lt;=0),"Error","OK")</f>
        <v>OK</v>
      </c>
      <c r="W406" t="str">
        <f>IF(OR(Table13[[#This Row],[Quality_%]]&gt;=1,Table13[[#This Row],[Quality_%]]&lt;=0),"Error","OK")</f>
        <v>OK</v>
      </c>
      <c r="X406">
        <f>Table13[[#This Row],[Performance_%]]*Table13[[#This Row],[Quality_%]]*[2]Availability_KPI!K406</f>
        <v>0.3652266666666667</v>
      </c>
      <c r="Y406" t="str">
        <f>IF(OR(Table13[[#This Row],[OEE_%]]&gt;1,Table13[[#This Row],[OEE_%]]&lt;0),"Error","OK")</f>
        <v>OK</v>
      </c>
    </row>
    <row r="407" spans="1:25" x14ac:dyDescent="0.2">
      <c r="A407" t="s">
        <v>507</v>
      </c>
      <c r="B407" t="s">
        <v>502</v>
      </c>
      <c r="C407" s="2">
        <v>46259</v>
      </c>
      <c r="D407" t="s">
        <v>67</v>
      </c>
      <c r="E407" t="s">
        <v>43</v>
      </c>
      <c r="F407" t="s">
        <v>97</v>
      </c>
      <c r="G407" t="s">
        <v>33</v>
      </c>
      <c r="H407">
        <v>508</v>
      </c>
      <c r="I407">
        <v>500</v>
      </c>
      <c r="J407">
        <v>8</v>
      </c>
      <c r="K407">
        <v>34.24</v>
      </c>
      <c r="L407">
        <v>36.35</v>
      </c>
      <c r="M407">
        <v>307.77</v>
      </c>
      <c r="N407">
        <f>_xlfn.XLOOKUP(Table13[[#This Row],[Production_Order_ID]],[1]Sheet1!$A$2:$A$391,[1]Sheet1!$F$2:$F$391,"No Match")</f>
        <v>420</v>
      </c>
      <c r="O407" s="3">
        <f>Table13[[#This Row],[Good_Qty]]/Table13[[#This Row],[Planned_Production]]</f>
        <v>1.1904761904761905</v>
      </c>
      <c r="P407" t="str">
        <f>IF(Table13[[#This Row],[Good_Qty]]&gt;=Table13[[#This Row],[Planned_Production]],"Met","Not Met")</f>
        <v>Met</v>
      </c>
      <c r="Q407">
        <f>Table13[[#This Row],[Good_Qty]]-Table13[[#This Row],[Planned_Production]]</f>
        <v>80</v>
      </c>
      <c r="R407" s="3">
        <f>IF(Table13[[#This Row],[Actual_Qty]]=0,0,Table13[[#This Row],[Reject_Qty]]/Table13[[#This Row],[Actual_Qty]])</f>
        <v>1.5748031496062992E-2</v>
      </c>
      <c r="S407">
        <v>429.43</v>
      </c>
      <c r="T407">
        <f>(Table13[[#This Row],[Ideal_Cycle_Time_sec]]*Table13[[#This Row],[Actual_Qty]])/(Table13[[#This Row],[Operational_Time_min]]*60)</f>
        <v>0.67507781633017416</v>
      </c>
      <c r="U407">
        <f>Table13[[#This Row],[Good_Qty]]/Table13[[#This Row],[Actual_Qty]]</f>
        <v>0.98425196850393704</v>
      </c>
      <c r="V407" t="str">
        <f>IF(OR(Table13[[#This Row],[Performance_%]]&gt;=1,Table13[[#This Row],[Performance_%]]&lt;=0),"Error","OK")</f>
        <v>OK</v>
      </c>
      <c r="W407" t="str">
        <f>IF(OR(Table13[[#This Row],[Quality_%]]&gt;=1,Table13[[#This Row],[Quality_%]]&lt;=0),"Error","OK")</f>
        <v>OK</v>
      </c>
      <c r="X407">
        <f>Table13[[#This Row],[Performance_%]]*Table13[[#This Row],[Quality_%]]*[2]Availability_KPI!K407</f>
        <v>0.63407407407407412</v>
      </c>
      <c r="Y407" t="str">
        <f>IF(OR(Table13[[#This Row],[OEE_%]]&gt;1,Table13[[#This Row],[OEE_%]]&lt;0),"Error","OK")</f>
        <v>OK</v>
      </c>
    </row>
    <row r="408" spans="1:25" x14ac:dyDescent="0.2">
      <c r="A408" t="s">
        <v>508</v>
      </c>
      <c r="B408" t="s">
        <v>502</v>
      </c>
      <c r="C408" s="2">
        <v>46259</v>
      </c>
      <c r="D408" t="s">
        <v>67</v>
      </c>
      <c r="E408" t="s">
        <v>46</v>
      </c>
      <c r="F408" t="s">
        <v>97</v>
      </c>
      <c r="G408" t="s">
        <v>39</v>
      </c>
      <c r="H408">
        <v>510</v>
      </c>
      <c r="I408">
        <v>504</v>
      </c>
      <c r="J408">
        <v>6</v>
      </c>
      <c r="K408">
        <v>26.75</v>
      </c>
      <c r="L408">
        <v>27.79</v>
      </c>
      <c r="M408">
        <v>236.18</v>
      </c>
      <c r="N408">
        <f>_xlfn.XLOOKUP(Table13[[#This Row],[Production_Order_ID]],[1]Sheet1!$A$2:$A$391,[1]Sheet1!$F$2:$F$391,"No Match")</f>
        <v>420</v>
      </c>
      <c r="O408" s="3">
        <f>Table13[[#This Row],[Good_Qty]]/Table13[[#This Row],[Planned_Production]]</f>
        <v>1.2</v>
      </c>
      <c r="P408" t="str">
        <f>IF(Table13[[#This Row],[Good_Qty]]&gt;=Table13[[#This Row],[Planned_Production]],"Met","Not Met")</f>
        <v>Met</v>
      </c>
      <c r="Q408">
        <f>Table13[[#This Row],[Good_Qty]]-Table13[[#This Row],[Planned_Production]]</f>
        <v>84</v>
      </c>
      <c r="R408" s="3">
        <f>IF(Table13[[#This Row],[Actual_Qty]]=0,0,Table13[[#This Row],[Reject_Qty]]/Table13[[#This Row],[Actual_Qty]])</f>
        <v>1.1764705882352941E-2</v>
      </c>
      <c r="S408">
        <v>430.91</v>
      </c>
      <c r="T408">
        <f>(Table13[[#This Row],[Ideal_Cycle_Time_sec]]*Table13[[#This Row],[Actual_Qty]])/(Table13[[#This Row],[Operational_Time_min]]*60)</f>
        <v>0.52766238889791373</v>
      </c>
      <c r="U408">
        <f>Table13[[#This Row],[Good_Qty]]/Table13[[#This Row],[Actual_Qty]]</f>
        <v>0.9882352941176471</v>
      </c>
      <c r="V408" t="str">
        <f>IF(OR(Table13[[#This Row],[Performance_%]]&gt;=1,Table13[[#This Row],[Performance_%]]&lt;=0),"Error","OK")</f>
        <v>OK</v>
      </c>
      <c r="W408" t="str">
        <f>IF(OR(Table13[[#This Row],[Quality_%]]&gt;=1,Table13[[#This Row],[Quality_%]]&lt;=0),"Error","OK")</f>
        <v>OK</v>
      </c>
      <c r="X408">
        <f>Table13[[#This Row],[Performance_%]]*Table13[[#This Row],[Quality_%]]*[2]Availability_KPI!K408</f>
        <v>0.49933333333333335</v>
      </c>
      <c r="Y408" t="str">
        <f>IF(OR(Table13[[#This Row],[OEE_%]]&gt;1,Table13[[#This Row],[OEE_%]]&lt;0),"Error","OK")</f>
        <v>OK</v>
      </c>
    </row>
    <row r="409" spans="1:25" x14ac:dyDescent="0.2">
      <c r="A409" t="s">
        <v>509</v>
      </c>
      <c r="B409" t="s">
        <v>502</v>
      </c>
      <c r="C409" s="2">
        <v>46259</v>
      </c>
      <c r="D409" t="s">
        <v>67</v>
      </c>
      <c r="E409" t="s">
        <v>49</v>
      </c>
      <c r="F409" t="s">
        <v>97</v>
      </c>
      <c r="G409" t="s">
        <v>44</v>
      </c>
      <c r="H409">
        <v>517</v>
      </c>
      <c r="I409">
        <v>514</v>
      </c>
      <c r="J409">
        <v>3</v>
      </c>
      <c r="K409">
        <v>21.4</v>
      </c>
      <c r="L409">
        <v>22.64</v>
      </c>
      <c r="M409">
        <v>195.12</v>
      </c>
      <c r="N409">
        <f>_xlfn.XLOOKUP(Table13[[#This Row],[Production_Order_ID]],[1]Sheet1!$A$2:$A$391,[1]Sheet1!$F$2:$F$391,"No Match")</f>
        <v>420</v>
      </c>
      <c r="O409" s="3">
        <f>Table13[[#This Row],[Good_Qty]]/Table13[[#This Row],[Planned_Production]]</f>
        <v>1.2238095238095239</v>
      </c>
      <c r="P409" t="str">
        <f>IF(Table13[[#This Row],[Good_Qty]]&gt;=Table13[[#This Row],[Planned_Production]],"Met","Not Met")</f>
        <v>Met</v>
      </c>
      <c r="Q409">
        <f>Table13[[#This Row],[Good_Qty]]-Table13[[#This Row],[Planned_Production]]</f>
        <v>94</v>
      </c>
      <c r="R409" s="3">
        <f>IF(Table13[[#This Row],[Actual_Qty]]=0,0,Table13[[#This Row],[Reject_Qty]]/Table13[[#This Row],[Actual_Qty]])</f>
        <v>5.8027079303675051E-3</v>
      </c>
      <c r="S409">
        <v>440.31</v>
      </c>
      <c r="T409">
        <f>(Table13[[#This Row],[Ideal_Cycle_Time_sec]]*Table13[[#This Row],[Actual_Qty]])/(Table13[[#This Row],[Operational_Time_min]]*60)</f>
        <v>0.41878827795568274</v>
      </c>
      <c r="U409">
        <f>Table13[[#This Row],[Good_Qty]]/Table13[[#This Row],[Actual_Qty]]</f>
        <v>0.99419729206963248</v>
      </c>
      <c r="V409" t="str">
        <f>IF(OR(Table13[[#This Row],[Performance_%]]&gt;=1,Table13[[#This Row],[Performance_%]]&lt;=0),"Error","OK")</f>
        <v>OK</v>
      </c>
      <c r="W409" t="str">
        <f>IF(OR(Table13[[#This Row],[Quality_%]]&gt;=1,Table13[[#This Row],[Quality_%]]&lt;=0),"Error","OK")</f>
        <v>OK</v>
      </c>
      <c r="X409">
        <f>Table13[[#This Row],[Performance_%]]*Table13[[#This Row],[Quality_%]]*[2]Availability_KPI!K409</f>
        <v>0.40739259259259258</v>
      </c>
      <c r="Y409" t="str">
        <f>IF(OR(Table13[[#This Row],[OEE_%]]&gt;1,Table13[[#This Row],[OEE_%]]&lt;0),"Error","OK")</f>
        <v>OK</v>
      </c>
    </row>
    <row r="410" spans="1:25" x14ac:dyDescent="0.2">
      <c r="A410" t="s">
        <v>510</v>
      </c>
      <c r="B410" t="s">
        <v>511</v>
      </c>
      <c r="C410" s="2">
        <v>46260</v>
      </c>
      <c r="D410" t="s">
        <v>27</v>
      </c>
      <c r="E410" t="s">
        <v>28</v>
      </c>
      <c r="F410" t="s">
        <v>54</v>
      </c>
      <c r="G410" t="s">
        <v>36</v>
      </c>
      <c r="H410">
        <v>643</v>
      </c>
      <c r="I410">
        <v>641</v>
      </c>
      <c r="J410">
        <v>2</v>
      </c>
      <c r="K410">
        <v>18</v>
      </c>
      <c r="L410">
        <v>19.079999999999998</v>
      </c>
      <c r="M410">
        <v>204.51</v>
      </c>
      <c r="N410">
        <f>_xlfn.XLOOKUP(Table13[[#This Row],[Production_Order_ID]],[1]Sheet1!$A$2:$A$391,[1]Sheet1!$F$2:$F$391,"No Match")</f>
        <v>520</v>
      </c>
      <c r="O410" s="3">
        <f>Table13[[#This Row],[Good_Qty]]/Table13[[#This Row],[Planned_Production]]</f>
        <v>1.2326923076923078</v>
      </c>
      <c r="P410" t="str">
        <f>IF(Table13[[#This Row],[Good_Qty]]&gt;=Table13[[#This Row],[Planned_Production]],"Met","Not Met")</f>
        <v>Met</v>
      </c>
      <c r="Q410">
        <f>Table13[[#This Row],[Good_Qty]]-Table13[[#This Row],[Planned_Production]]</f>
        <v>121</v>
      </c>
      <c r="R410" s="3">
        <f>IF(Table13[[#This Row],[Actual_Qty]]=0,0,Table13[[#This Row],[Reject_Qty]]/Table13[[#This Row],[Actual_Qty]])</f>
        <v>3.1104199066874028E-3</v>
      </c>
      <c r="S410">
        <v>441.9</v>
      </c>
      <c r="T410">
        <f>(Table13[[#This Row],[Ideal_Cycle_Time_sec]]*Table13[[#This Row],[Actual_Qty]])/(Table13[[#This Row],[Operational_Time_min]]*60)</f>
        <v>0.43652410047522061</v>
      </c>
      <c r="U410">
        <f>Table13[[#This Row],[Good_Qty]]/Table13[[#This Row],[Actual_Qty]]</f>
        <v>0.99688958009331263</v>
      </c>
      <c r="V410" t="str">
        <f>IF(OR(Table13[[#This Row],[Performance_%]]&gt;=1,Table13[[#This Row],[Performance_%]]&lt;=0),"Error","OK")</f>
        <v>OK</v>
      </c>
      <c r="W410" t="str">
        <f>IF(OR(Table13[[#This Row],[Quality_%]]&gt;=1,Table13[[#This Row],[Quality_%]]&lt;=0),"Error","OK")</f>
        <v>OK</v>
      </c>
      <c r="X410">
        <f>Table13[[#This Row],[Performance_%]]*Table13[[#This Row],[Quality_%]]*[2]Availability_KPI!K410</f>
        <v>0.42733333333333329</v>
      </c>
      <c r="Y410" t="str">
        <f>IF(OR(Table13[[#This Row],[OEE_%]]&gt;1,Table13[[#This Row],[OEE_%]]&lt;0),"Error","OK")</f>
        <v>OK</v>
      </c>
    </row>
    <row r="411" spans="1:25" x14ac:dyDescent="0.2">
      <c r="A411" t="s">
        <v>512</v>
      </c>
      <c r="B411" t="s">
        <v>511</v>
      </c>
      <c r="C411" s="2">
        <v>46260</v>
      </c>
      <c r="D411" t="s">
        <v>27</v>
      </c>
      <c r="E411" t="s">
        <v>32</v>
      </c>
      <c r="F411" t="s">
        <v>54</v>
      </c>
      <c r="G411" t="s">
        <v>47</v>
      </c>
      <c r="H411">
        <v>646</v>
      </c>
      <c r="I411">
        <v>640</v>
      </c>
      <c r="J411">
        <v>6</v>
      </c>
      <c r="K411">
        <v>20</v>
      </c>
      <c r="L411">
        <v>21.01</v>
      </c>
      <c r="M411">
        <v>226.24</v>
      </c>
      <c r="N411">
        <f>_xlfn.XLOOKUP(Table13[[#This Row],[Production_Order_ID]],[1]Sheet1!$A$2:$A$391,[1]Sheet1!$F$2:$F$391,"No Match")</f>
        <v>520</v>
      </c>
      <c r="O411" s="3">
        <f>Table13[[#This Row],[Good_Qty]]/Table13[[#This Row],[Planned_Production]]</f>
        <v>1.2307692307692308</v>
      </c>
      <c r="P411" t="str">
        <f>IF(Table13[[#This Row],[Good_Qty]]&gt;=Table13[[#This Row],[Planned_Production]],"Met","Not Met")</f>
        <v>Met</v>
      </c>
      <c r="Q411">
        <f>Table13[[#This Row],[Good_Qty]]-Table13[[#This Row],[Planned_Production]]</f>
        <v>120</v>
      </c>
      <c r="R411" s="3">
        <f>IF(Table13[[#This Row],[Actual_Qty]]=0,0,Table13[[#This Row],[Reject_Qty]]/Table13[[#This Row],[Actual_Qty]])</f>
        <v>9.2879256965944269E-3</v>
      </c>
      <c r="S411">
        <v>437.65</v>
      </c>
      <c r="T411">
        <f>(Table13[[#This Row],[Ideal_Cycle_Time_sec]]*Table13[[#This Row],[Actual_Qty]])/(Table13[[#This Row],[Operational_Time_min]]*60)</f>
        <v>0.4920217830077307</v>
      </c>
      <c r="U411">
        <f>Table13[[#This Row],[Good_Qty]]/Table13[[#This Row],[Actual_Qty]]</f>
        <v>0.99071207430340558</v>
      </c>
      <c r="V411" t="str">
        <f>IF(OR(Table13[[#This Row],[Performance_%]]&gt;=1,Table13[[#This Row],[Performance_%]]&lt;=0),"Error","OK")</f>
        <v>OK</v>
      </c>
      <c r="W411" t="str">
        <f>IF(OR(Table13[[#This Row],[Quality_%]]&gt;=1,Table13[[#This Row],[Quality_%]]&lt;=0),"Error","OK")</f>
        <v>OK</v>
      </c>
      <c r="X411">
        <f>Table13[[#This Row],[Performance_%]]*Table13[[#This Row],[Quality_%]]*[2]Availability_KPI!K411</f>
        <v>0.47407407407407404</v>
      </c>
      <c r="Y411" t="str">
        <f>IF(OR(Table13[[#This Row],[OEE_%]]&gt;1,Table13[[#This Row],[OEE_%]]&lt;0),"Error","OK")</f>
        <v>OK</v>
      </c>
    </row>
    <row r="412" spans="1:25" x14ac:dyDescent="0.2">
      <c r="A412" t="s">
        <v>513</v>
      </c>
      <c r="B412" t="s">
        <v>511</v>
      </c>
      <c r="C412" s="2">
        <v>46260</v>
      </c>
      <c r="D412" t="s">
        <v>27</v>
      </c>
      <c r="E412" t="s">
        <v>35</v>
      </c>
      <c r="F412" t="s">
        <v>54</v>
      </c>
      <c r="G412" t="s">
        <v>75</v>
      </c>
      <c r="H412">
        <v>653</v>
      </c>
      <c r="I412">
        <v>647</v>
      </c>
      <c r="J412">
        <v>6</v>
      </c>
      <c r="K412">
        <v>22</v>
      </c>
      <c r="L412">
        <v>24.05</v>
      </c>
      <c r="M412">
        <v>261.8</v>
      </c>
      <c r="N412">
        <f>_xlfn.XLOOKUP(Table13[[#This Row],[Production_Order_ID]],[1]Sheet1!$A$2:$A$391,[1]Sheet1!$F$2:$F$391,"No Match")</f>
        <v>520</v>
      </c>
      <c r="O412" s="3">
        <f>Table13[[#This Row],[Good_Qty]]/Table13[[#This Row],[Planned_Production]]</f>
        <v>1.2442307692307693</v>
      </c>
      <c r="P412" t="str">
        <f>IF(Table13[[#This Row],[Good_Qty]]&gt;=Table13[[#This Row],[Planned_Production]],"Met","Not Met")</f>
        <v>Met</v>
      </c>
      <c r="Q412">
        <f>Table13[[#This Row],[Good_Qty]]-Table13[[#This Row],[Planned_Production]]</f>
        <v>127</v>
      </c>
      <c r="R412" s="3">
        <f>IF(Table13[[#This Row],[Actual_Qty]]=0,0,Table13[[#This Row],[Reject_Qty]]/Table13[[#This Row],[Actual_Qty]])</f>
        <v>9.1883614088820835E-3</v>
      </c>
      <c r="S412">
        <v>433.09</v>
      </c>
      <c r="T412">
        <f>(Table13[[#This Row],[Ideal_Cycle_Time_sec]]*Table13[[#This Row],[Actual_Qty]])/(Table13[[#This Row],[Operational_Time_min]]*60)</f>
        <v>0.55284890746342186</v>
      </c>
      <c r="U412">
        <f>Table13[[#This Row],[Good_Qty]]/Table13[[#This Row],[Actual_Qty]]</f>
        <v>0.99081163859111787</v>
      </c>
      <c r="V412" t="str">
        <f>IF(OR(Table13[[#This Row],[Performance_%]]&gt;=1,Table13[[#This Row],[Performance_%]]&lt;=0),"Error","OK")</f>
        <v>OK</v>
      </c>
      <c r="W412" t="str">
        <f>IF(OR(Table13[[#This Row],[Quality_%]]&gt;=1,Table13[[#This Row],[Quality_%]]&lt;=0),"Error","OK")</f>
        <v>OK</v>
      </c>
      <c r="X412">
        <f>Table13[[#This Row],[Performance_%]]*Table13[[#This Row],[Quality_%]]*[2]Availability_KPI!K412</f>
        <v>0.5271851851851852</v>
      </c>
      <c r="Y412" t="str">
        <f>IF(OR(Table13[[#This Row],[OEE_%]]&gt;1,Table13[[#This Row],[OEE_%]]&lt;0),"Error","OK")</f>
        <v>OK</v>
      </c>
    </row>
    <row r="413" spans="1:25" x14ac:dyDescent="0.2">
      <c r="A413" t="s">
        <v>514</v>
      </c>
      <c r="B413" t="s">
        <v>511</v>
      </c>
      <c r="C413" s="2">
        <v>46260</v>
      </c>
      <c r="D413" t="s">
        <v>27</v>
      </c>
      <c r="E413" t="s">
        <v>38</v>
      </c>
      <c r="F413" t="s">
        <v>54</v>
      </c>
      <c r="G413" t="s">
        <v>50</v>
      </c>
      <c r="H413">
        <v>658</v>
      </c>
      <c r="I413">
        <v>652</v>
      </c>
      <c r="J413">
        <v>6</v>
      </c>
      <c r="K413">
        <v>20</v>
      </c>
      <c r="L413">
        <v>20.93</v>
      </c>
      <c r="M413">
        <v>229.5</v>
      </c>
      <c r="N413">
        <f>_xlfn.XLOOKUP(Table13[[#This Row],[Production_Order_ID]],[1]Sheet1!$A$2:$A$391,[1]Sheet1!$F$2:$F$391,"No Match")</f>
        <v>520</v>
      </c>
      <c r="O413" s="3">
        <f>Table13[[#This Row],[Good_Qty]]/Table13[[#This Row],[Planned_Production]]</f>
        <v>1.2538461538461538</v>
      </c>
      <c r="P413" t="str">
        <f>IF(Table13[[#This Row],[Good_Qty]]&gt;=Table13[[#This Row],[Planned_Production]],"Met","Not Met")</f>
        <v>Met</v>
      </c>
      <c r="Q413">
        <f>Table13[[#This Row],[Good_Qty]]-Table13[[#This Row],[Planned_Production]]</f>
        <v>132</v>
      </c>
      <c r="R413" s="3">
        <f>IF(Table13[[#This Row],[Actual_Qty]]=0,0,Table13[[#This Row],[Reject_Qty]]/Table13[[#This Row],[Actual_Qty]])</f>
        <v>9.11854103343465E-3</v>
      </c>
      <c r="S413">
        <v>437.93</v>
      </c>
      <c r="T413">
        <f>(Table13[[#This Row],[Ideal_Cycle_Time_sec]]*Table13[[#This Row],[Actual_Qty]])/(Table13[[#This Row],[Operational_Time_min]]*60)</f>
        <v>0.50084107810228429</v>
      </c>
      <c r="U413">
        <f>Table13[[#This Row],[Good_Qty]]/Table13[[#This Row],[Actual_Qty]]</f>
        <v>0.99088145896656532</v>
      </c>
      <c r="V413" t="str">
        <f>IF(OR(Table13[[#This Row],[Performance_%]]&gt;=1,Table13[[#This Row],[Performance_%]]&lt;=0),"Error","OK")</f>
        <v>OK</v>
      </c>
      <c r="W413" t="str">
        <f>IF(OR(Table13[[#This Row],[Quality_%]]&gt;=1,Table13[[#This Row],[Quality_%]]&lt;=0),"Error","OK")</f>
        <v>OK</v>
      </c>
      <c r="X413">
        <f>Table13[[#This Row],[Performance_%]]*Table13[[#This Row],[Quality_%]]*[2]Availability_KPI!K413</f>
        <v>0.48296296296296304</v>
      </c>
      <c r="Y413" t="str">
        <f>IF(OR(Table13[[#This Row],[OEE_%]]&gt;1,Table13[[#This Row],[OEE_%]]&lt;0),"Error","OK")</f>
        <v>OK</v>
      </c>
    </row>
    <row r="414" spans="1:25" x14ac:dyDescent="0.2">
      <c r="A414" t="s">
        <v>515</v>
      </c>
      <c r="B414" t="s">
        <v>511</v>
      </c>
      <c r="C414" s="2">
        <v>46260</v>
      </c>
      <c r="D414" t="s">
        <v>27</v>
      </c>
      <c r="E414" t="s">
        <v>41</v>
      </c>
      <c r="F414" t="s">
        <v>54</v>
      </c>
      <c r="G414" t="s">
        <v>30</v>
      </c>
      <c r="H414">
        <v>636</v>
      </c>
      <c r="I414">
        <v>631</v>
      </c>
      <c r="J414">
        <v>5</v>
      </c>
      <c r="K414">
        <v>18</v>
      </c>
      <c r="L414">
        <v>18.739999999999998</v>
      </c>
      <c r="M414">
        <v>198.62</v>
      </c>
      <c r="N414">
        <f>_xlfn.XLOOKUP(Table13[[#This Row],[Production_Order_ID]],[1]Sheet1!$A$2:$A$391,[1]Sheet1!$F$2:$F$391,"No Match")</f>
        <v>520</v>
      </c>
      <c r="O414" s="3">
        <f>Table13[[#This Row],[Good_Qty]]/Table13[[#This Row],[Planned_Production]]</f>
        <v>1.2134615384615384</v>
      </c>
      <c r="P414" t="str">
        <f>IF(Table13[[#This Row],[Good_Qty]]&gt;=Table13[[#This Row],[Planned_Production]],"Met","Not Met")</f>
        <v>Met</v>
      </c>
      <c r="Q414">
        <f>Table13[[#This Row],[Good_Qty]]-Table13[[#This Row],[Planned_Production]]</f>
        <v>111</v>
      </c>
      <c r="R414" s="3">
        <f>IF(Table13[[#This Row],[Actual_Qty]]=0,0,Table13[[#This Row],[Reject_Qty]]/Table13[[#This Row],[Actual_Qty]])</f>
        <v>7.8616352201257862E-3</v>
      </c>
      <c r="S414">
        <v>436.97</v>
      </c>
      <c r="T414">
        <f>(Table13[[#This Row],[Ideal_Cycle_Time_sec]]*Table13[[#This Row],[Actual_Qty]])/(Table13[[#This Row],[Operational_Time_min]]*60)</f>
        <v>0.43664324782021646</v>
      </c>
      <c r="U414">
        <f>Table13[[#This Row],[Good_Qty]]/Table13[[#This Row],[Actual_Qty]]</f>
        <v>0.99213836477987416</v>
      </c>
      <c r="V414" t="str">
        <f>IF(OR(Table13[[#This Row],[Performance_%]]&gt;=1,Table13[[#This Row],[Performance_%]]&lt;=0),"Error","OK")</f>
        <v>OK</v>
      </c>
      <c r="W414" t="str">
        <f>IF(OR(Table13[[#This Row],[Quality_%]]&gt;=1,Table13[[#This Row],[Quality_%]]&lt;=0),"Error","OK")</f>
        <v>OK</v>
      </c>
      <c r="X414">
        <f>Table13[[#This Row],[Performance_%]]*Table13[[#This Row],[Quality_%]]*[2]Availability_KPI!K414</f>
        <v>0.42066666666666663</v>
      </c>
      <c r="Y414" t="str">
        <f>IF(OR(Table13[[#This Row],[OEE_%]]&gt;1,Table13[[#This Row],[OEE_%]]&lt;0),"Error","OK")</f>
        <v>OK</v>
      </c>
    </row>
    <row r="415" spans="1:25" x14ac:dyDescent="0.2">
      <c r="A415" t="s">
        <v>516</v>
      </c>
      <c r="B415" t="s">
        <v>511</v>
      </c>
      <c r="C415" s="2">
        <v>46260</v>
      </c>
      <c r="D415" t="s">
        <v>27</v>
      </c>
      <c r="E415" t="s">
        <v>43</v>
      </c>
      <c r="F415" t="s">
        <v>54</v>
      </c>
      <c r="G415" t="s">
        <v>55</v>
      </c>
      <c r="H415">
        <v>652</v>
      </c>
      <c r="I415">
        <v>643</v>
      </c>
      <c r="J415">
        <v>9</v>
      </c>
      <c r="K415">
        <v>32</v>
      </c>
      <c r="L415">
        <v>34.340000000000003</v>
      </c>
      <c r="M415">
        <v>373.12</v>
      </c>
      <c r="N415">
        <f>_xlfn.XLOOKUP(Table13[[#This Row],[Production_Order_ID]],[1]Sheet1!$A$2:$A$391,[1]Sheet1!$F$2:$F$391,"No Match")</f>
        <v>520</v>
      </c>
      <c r="O415" s="3">
        <f>Table13[[#This Row],[Good_Qty]]/Table13[[#This Row],[Planned_Production]]</f>
        <v>1.2365384615384616</v>
      </c>
      <c r="P415" t="str">
        <f>IF(Table13[[#This Row],[Good_Qty]]&gt;=Table13[[#This Row],[Planned_Production]],"Met","Not Met")</f>
        <v>Met</v>
      </c>
      <c r="Q415">
        <f>Table13[[#This Row],[Good_Qty]]-Table13[[#This Row],[Planned_Production]]</f>
        <v>123</v>
      </c>
      <c r="R415" s="3">
        <f>IF(Table13[[#This Row],[Actual_Qty]]=0,0,Table13[[#This Row],[Reject_Qty]]/Table13[[#This Row],[Actual_Qty]])</f>
        <v>1.3803680981595092E-2</v>
      </c>
      <c r="S415">
        <v>409.86</v>
      </c>
      <c r="T415">
        <f>(Table13[[#This Row],[Ideal_Cycle_Time_sec]]*Table13[[#This Row],[Actual_Qty]])/(Table13[[#This Row],[Operational_Time_min]]*60)</f>
        <v>0.84841978561785314</v>
      </c>
      <c r="U415">
        <f>Table13[[#This Row],[Good_Qty]]/Table13[[#This Row],[Actual_Qty]]</f>
        <v>0.98619631901840488</v>
      </c>
      <c r="V415" t="str">
        <f>IF(OR(Table13[[#This Row],[Performance_%]]&gt;=1,Table13[[#This Row],[Performance_%]]&lt;=0),"Error","OK")</f>
        <v>OK</v>
      </c>
      <c r="W415" t="str">
        <f>IF(OR(Table13[[#This Row],[Quality_%]]&gt;=1,Table13[[#This Row],[Quality_%]]&lt;=0),"Error","OK")</f>
        <v>OK</v>
      </c>
      <c r="X415">
        <f>Table13[[#This Row],[Performance_%]]*Table13[[#This Row],[Quality_%]]*[2]Availability_KPI!K415</f>
        <v>0.7620740740740739</v>
      </c>
      <c r="Y415" t="str">
        <f>IF(OR(Table13[[#This Row],[OEE_%]]&gt;1,Table13[[#This Row],[OEE_%]]&lt;0),"Error","OK")</f>
        <v>OK</v>
      </c>
    </row>
    <row r="416" spans="1:25" x14ac:dyDescent="0.2">
      <c r="A416" t="s">
        <v>517</v>
      </c>
      <c r="B416" t="s">
        <v>511</v>
      </c>
      <c r="C416" s="2">
        <v>46260</v>
      </c>
      <c r="D416" t="s">
        <v>27</v>
      </c>
      <c r="E416" t="s">
        <v>46</v>
      </c>
      <c r="F416" t="s">
        <v>54</v>
      </c>
      <c r="G416" t="s">
        <v>44</v>
      </c>
      <c r="H416">
        <v>660</v>
      </c>
      <c r="I416">
        <v>655</v>
      </c>
      <c r="J416">
        <v>5</v>
      </c>
      <c r="K416">
        <v>25</v>
      </c>
      <c r="L416">
        <v>27.04</v>
      </c>
      <c r="M416">
        <v>297.39</v>
      </c>
      <c r="N416">
        <f>_xlfn.XLOOKUP(Table13[[#This Row],[Production_Order_ID]],[1]Sheet1!$A$2:$A$391,[1]Sheet1!$F$2:$F$391,"No Match")</f>
        <v>520</v>
      </c>
      <c r="O416" s="3">
        <f>Table13[[#This Row],[Good_Qty]]/Table13[[#This Row],[Planned_Production]]</f>
        <v>1.2596153846153846</v>
      </c>
      <c r="P416" t="str">
        <f>IF(Table13[[#This Row],[Good_Qty]]&gt;=Table13[[#This Row],[Planned_Production]],"Met","Not Met")</f>
        <v>Met</v>
      </c>
      <c r="Q416">
        <f>Table13[[#This Row],[Good_Qty]]-Table13[[#This Row],[Planned_Production]]</f>
        <v>135</v>
      </c>
      <c r="R416" s="3">
        <f>IF(Table13[[#This Row],[Actual_Qty]]=0,0,Table13[[#This Row],[Reject_Qty]]/Table13[[#This Row],[Actual_Qty]])</f>
        <v>7.575757575757576E-3</v>
      </c>
      <c r="S416">
        <v>422.49</v>
      </c>
      <c r="T416">
        <f>(Table13[[#This Row],[Ideal_Cycle_Time_sec]]*Table13[[#This Row],[Actual_Qty]])/(Table13[[#This Row],[Operational_Time_min]]*60)</f>
        <v>0.65090297995218815</v>
      </c>
      <c r="U416">
        <f>Table13[[#This Row],[Good_Qty]]/Table13[[#This Row],[Actual_Qty]]</f>
        <v>0.99242424242424243</v>
      </c>
      <c r="V416" t="str">
        <f>IF(OR(Table13[[#This Row],[Performance_%]]&gt;=1,Table13[[#This Row],[Performance_%]]&lt;=0),"Error","OK")</f>
        <v>OK</v>
      </c>
      <c r="W416" t="str">
        <f>IF(OR(Table13[[#This Row],[Quality_%]]&gt;=1,Table13[[#This Row],[Quality_%]]&lt;=0),"Error","OK")</f>
        <v>OK</v>
      </c>
      <c r="X416">
        <f>Table13[[#This Row],[Performance_%]]*Table13[[#This Row],[Quality_%]]*[2]Availability_KPI!K416</f>
        <v>0.60648148148148151</v>
      </c>
      <c r="Y416" t="str">
        <f>IF(OR(Table13[[#This Row],[OEE_%]]&gt;1,Table13[[#This Row],[OEE_%]]&lt;0),"Error","OK")</f>
        <v>OK</v>
      </c>
    </row>
    <row r="417" spans="1:25" x14ac:dyDescent="0.2">
      <c r="A417" t="s">
        <v>518</v>
      </c>
      <c r="B417" t="s">
        <v>511</v>
      </c>
      <c r="C417" s="2">
        <v>46260</v>
      </c>
      <c r="D417" t="s">
        <v>27</v>
      </c>
      <c r="E417" t="s">
        <v>49</v>
      </c>
      <c r="F417" t="s">
        <v>54</v>
      </c>
      <c r="G417" t="s">
        <v>57</v>
      </c>
      <c r="H417">
        <v>640</v>
      </c>
      <c r="I417">
        <v>638</v>
      </c>
      <c r="J417">
        <v>2</v>
      </c>
      <c r="K417">
        <v>20</v>
      </c>
      <c r="L417">
        <v>20.79</v>
      </c>
      <c r="M417">
        <v>221.77</v>
      </c>
      <c r="N417">
        <f>_xlfn.XLOOKUP(Table13[[#This Row],[Production_Order_ID]],[1]Sheet1!$A$2:$A$391,[1]Sheet1!$F$2:$F$391,"No Match")</f>
        <v>520</v>
      </c>
      <c r="O417" s="3">
        <f>Table13[[#This Row],[Good_Qty]]/Table13[[#This Row],[Planned_Production]]</f>
        <v>1.226923076923077</v>
      </c>
      <c r="P417" t="str">
        <f>IF(Table13[[#This Row],[Good_Qty]]&gt;=Table13[[#This Row],[Planned_Production]],"Met","Not Met")</f>
        <v>Met</v>
      </c>
      <c r="Q417">
        <f>Table13[[#This Row],[Good_Qty]]-Table13[[#This Row],[Planned_Production]]</f>
        <v>118</v>
      </c>
      <c r="R417" s="3">
        <f>IF(Table13[[#This Row],[Actual_Qty]]=0,0,Table13[[#This Row],[Reject_Qty]]/Table13[[#This Row],[Actual_Qty]])</f>
        <v>3.1250000000000002E-3</v>
      </c>
      <c r="S417">
        <v>439.54</v>
      </c>
      <c r="T417">
        <f>(Table13[[#This Row],[Ideal_Cycle_Time_sec]]*Table13[[#This Row],[Actual_Qty]])/(Table13[[#This Row],[Operational_Time_min]]*60)</f>
        <v>0.48535590238279408</v>
      </c>
      <c r="U417">
        <f>Table13[[#This Row],[Good_Qty]]/Table13[[#This Row],[Actual_Qty]]</f>
        <v>0.99687499999999996</v>
      </c>
      <c r="V417" t="str">
        <f>IF(OR(Table13[[#This Row],[Performance_%]]&gt;=1,Table13[[#This Row],[Performance_%]]&lt;=0),"Error","OK")</f>
        <v>OK</v>
      </c>
      <c r="W417" t="str">
        <f>IF(OR(Table13[[#This Row],[Quality_%]]&gt;=1,Table13[[#This Row],[Quality_%]]&lt;=0),"Error","OK")</f>
        <v>OK</v>
      </c>
      <c r="X417">
        <f>Table13[[#This Row],[Performance_%]]*Table13[[#This Row],[Quality_%]]*[2]Availability_KPI!K417</f>
        <v>0.47259259259259251</v>
      </c>
      <c r="Y417" t="str">
        <f>IF(OR(Table13[[#This Row],[OEE_%]]&gt;1,Table13[[#This Row],[OEE_%]]&lt;0),"Error","OK")</f>
        <v>OK</v>
      </c>
    </row>
    <row r="418" spans="1:25" x14ac:dyDescent="0.2">
      <c r="A418" t="s">
        <v>519</v>
      </c>
      <c r="B418" t="s">
        <v>520</v>
      </c>
      <c r="C418" s="2">
        <v>46260</v>
      </c>
      <c r="D418" t="s">
        <v>53</v>
      </c>
      <c r="E418" t="s">
        <v>28</v>
      </c>
      <c r="F418" t="s">
        <v>54</v>
      </c>
      <c r="G418" t="s">
        <v>39</v>
      </c>
      <c r="H418">
        <v>664</v>
      </c>
      <c r="I418">
        <v>659</v>
      </c>
      <c r="J418">
        <v>5</v>
      </c>
      <c r="K418">
        <v>18</v>
      </c>
      <c r="L418">
        <v>18.350000000000001</v>
      </c>
      <c r="M418">
        <v>203.13</v>
      </c>
      <c r="N418">
        <f>_xlfn.XLOOKUP(Table13[[#This Row],[Production_Order_ID]],[1]Sheet1!$A$2:$A$391,[1]Sheet1!$F$2:$F$391,"No Match")</f>
        <v>630</v>
      </c>
      <c r="O418" s="3">
        <f>Table13[[#This Row],[Good_Qty]]/Table13[[#This Row],[Planned_Production]]</f>
        <v>1.0460317460317461</v>
      </c>
      <c r="P418" t="str">
        <f>IF(Table13[[#This Row],[Good_Qty]]&gt;=Table13[[#This Row],[Planned_Production]],"Met","Not Met")</f>
        <v>Met</v>
      </c>
      <c r="Q418">
        <f>Table13[[#This Row],[Good_Qty]]-Table13[[#This Row],[Planned_Production]]</f>
        <v>29</v>
      </c>
      <c r="R418" s="3">
        <f>IF(Table13[[#This Row],[Actual_Qty]]=0,0,Table13[[#This Row],[Reject_Qty]]/Table13[[#This Row],[Actual_Qty]])</f>
        <v>7.5301204819277108E-3</v>
      </c>
      <c r="S418">
        <v>439.16</v>
      </c>
      <c r="T418">
        <f>(Table13[[#This Row],[Ideal_Cycle_Time_sec]]*Table13[[#This Row],[Actual_Qty]])/(Table13[[#This Row],[Operational_Time_min]]*60)</f>
        <v>0.45359322342654151</v>
      </c>
      <c r="U418">
        <f>Table13[[#This Row],[Good_Qty]]/Table13[[#This Row],[Actual_Qty]]</f>
        <v>0.99246987951807231</v>
      </c>
      <c r="V418" t="str">
        <f>IF(OR(Table13[[#This Row],[Performance_%]]&gt;=1,Table13[[#This Row],[Performance_%]]&lt;=0),"Error","OK")</f>
        <v>OK</v>
      </c>
      <c r="W418" t="str">
        <f>IF(OR(Table13[[#This Row],[Quality_%]]&gt;=1,Table13[[#This Row],[Quality_%]]&lt;=0),"Error","OK")</f>
        <v>OK</v>
      </c>
      <c r="X418">
        <f>Table13[[#This Row],[Performance_%]]*Table13[[#This Row],[Quality_%]]*[2]Availability_KPI!K418</f>
        <v>0.4393333333333333</v>
      </c>
      <c r="Y418" t="str">
        <f>IF(OR(Table13[[#This Row],[OEE_%]]&gt;1,Table13[[#This Row],[OEE_%]]&lt;0),"Error","OK")</f>
        <v>OK</v>
      </c>
    </row>
    <row r="419" spans="1:25" x14ac:dyDescent="0.2">
      <c r="A419" t="s">
        <v>521</v>
      </c>
      <c r="B419" t="s">
        <v>520</v>
      </c>
      <c r="C419" s="2">
        <v>46260</v>
      </c>
      <c r="D419" t="s">
        <v>53</v>
      </c>
      <c r="E419" t="s">
        <v>32</v>
      </c>
      <c r="F419" t="s">
        <v>54</v>
      </c>
      <c r="G419" t="s">
        <v>75</v>
      </c>
      <c r="H419">
        <v>659</v>
      </c>
      <c r="I419">
        <v>652</v>
      </c>
      <c r="J419">
        <v>7</v>
      </c>
      <c r="K419">
        <v>20</v>
      </c>
      <c r="L419">
        <v>21.03</v>
      </c>
      <c r="M419">
        <v>231.02</v>
      </c>
      <c r="N419">
        <f>_xlfn.XLOOKUP(Table13[[#This Row],[Production_Order_ID]],[1]Sheet1!$A$2:$A$391,[1]Sheet1!$F$2:$F$391,"No Match")</f>
        <v>630</v>
      </c>
      <c r="O419" s="3">
        <f>Table13[[#This Row],[Good_Qty]]/Table13[[#This Row],[Planned_Production]]</f>
        <v>1.034920634920635</v>
      </c>
      <c r="P419" t="str">
        <f>IF(Table13[[#This Row],[Good_Qty]]&gt;=Table13[[#This Row],[Planned_Production]],"Met","Not Met")</f>
        <v>Met</v>
      </c>
      <c r="Q419">
        <f>Table13[[#This Row],[Good_Qty]]-Table13[[#This Row],[Planned_Production]]</f>
        <v>22</v>
      </c>
      <c r="R419" s="3">
        <f>IF(Table13[[#This Row],[Actual_Qty]]=0,0,Table13[[#This Row],[Reject_Qty]]/Table13[[#This Row],[Actual_Qty]])</f>
        <v>1.0622154779969651E-2</v>
      </c>
      <c r="S419">
        <v>435.61</v>
      </c>
      <c r="T419">
        <f>(Table13[[#This Row],[Ideal_Cycle_Time_sec]]*Table13[[#This Row],[Actual_Qty]])/(Table13[[#This Row],[Operational_Time_min]]*60)</f>
        <v>0.50427370048131737</v>
      </c>
      <c r="U419">
        <f>Table13[[#This Row],[Good_Qty]]/Table13[[#This Row],[Actual_Qty]]</f>
        <v>0.98937784522003036</v>
      </c>
      <c r="V419" t="str">
        <f>IF(OR(Table13[[#This Row],[Performance_%]]&gt;=1,Table13[[#This Row],[Performance_%]]&lt;=0),"Error","OK")</f>
        <v>OK</v>
      </c>
      <c r="W419" t="str">
        <f>IF(OR(Table13[[#This Row],[Quality_%]]&gt;=1,Table13[[#This Row],[Quality_%]]&lt;=0),"Error","OK")</f>
        <v>OK</v>
      </c>
      <c r="X419">
        <f>Table13[[#This Row],[Performance_%]]*Table13[[#This Row],[Quality_%]]*[2]Availability_KPI!K419</f>
        <v>0.48296296296296293</v>
      </c>
      <c r="Y419" t="str">
        <f>IF(OR(Table13[[#This Row],[OEE_%]]&gt;1,Table13[[#This Row],[OEE_%]]&lt;0),"Error","OK")</f>
        <v>OK</v>
      </c>
    </row>
    <row r="420" spans="1:25" x14ac:dyDescent="0.2">
      <c r="A420" t="s">
        <v>522</v>
      </c>
      <c r="B420" t="s">
        <v>520</v>
      </c>
      <c r="C420" s="2">
        <v>46260</v>
      </c>
      <c r="D420" t="s">
        <v>53</v>
      </c>
      <c r="E420" t="s">
        <v>35</v>
      </c>
      <c r="F420" t="s">
        <v>54</v>
      </c>
      <c r="G420" t="s">
        <v>33</v>
      </c>
      <c r="H420">
        <v>649</v>
      </c>
      <c r="I420">
        <v>644</v>
      </c>
      <c r="J420">
        <v>5</v>
      </c>
      <c r="K420">
        <v>22</v>
      </c>
      <c r="L420">
        <v>22.36</v>
      </c>
      <c r="M420">
        <v>241.91</v>
      </c>
      <c r="N420">
        <f>_xlfn.XLOOKUP(Table13[[#This Row],[Production_Order_ID]],[1]Sheet1!$A$2:$A$391,[1]Sheet1!$F$2:$F$391,"No Match")</f>
        <v>630</v>
      </c>
      <c r="O420" s="3">
        <f>Table13[[#This Row],[Good_Qty]]/Table13[[#This Row],[Planned_Production]]</f>
        <v>1.0222222222222221</v>
      </c>
      <c r="P420" t="str">
        <f>IF(Table13[[#This Row],[Good_Qty]]&gt;=Table13[[#This Row],[Planned_Production]],"Met","Not Met")</f>
        <v>Met</v>
      </c>
      <c r="Q420">
        <f>Table13[[#This Row],[Good_Qty]]-Table13[[#This Row],[Planned_Production]]</f>
        <v>14</v>
      </c>
      <c r="R420" s="3">
        <f>IF(Table13[[#This Row],[Actual_Qty]]=0,0,Table13[[#This Row],[Reject_Qty]]/Table13[[#This Row],[Actual_Qty]])</f>
        <v>7.7041602465331279E-3</v>
      </c>
      <c r="S420">
        <v>434.58</v>
      </c>
      <c r="T420">
        <f>(Table13[[#This Row],[Ideal_Cycle_Time_sec]]*Table13[[#This Row],[Actual_Qty]])/(Table13[[#This Row],[Operational_Time_min]]*60)</f>
        <v>0.54757850491662452</v>
      </c>
      <c r="U420">
        <f>Table13[[#This Row],[Good_Qty]]/Table13[[#This Row],[Actual_Qty]]</f>
        <v>0.99229583975346691</v>
      </c>
      <c r="V420" t="str">
        <f>IF(OR(Table13[[#This Row],[Performance_%]]&gt;=1,Table13[[#This Row],[Performance_%]]&lt;=0),"Error","OK")</f>
        <v>OK</v>
      </c>
      <c r="W420" t="str">
        <f>IF(OR(Table13[[#This Row],[Quality_%]]&gt;=1,Table13[[#This Row],[Quality_%]]&lt;=0),"Error","OK")</f>
        <v>OK</v>
      </c>
      <c r="X420">
        <f>Table13[[#This Row],[Performance_%]]*Table13[[#This Row],[Quality_%]]*[2]Availability_KPI!K420</f>
        <v>0.52474074074074084</v>
      </c>
      <c r="Y420" t="str">
        <f>IF(OR(Table13[[#This Row],[OEE_%]]&gt;1,Table13[[#This Row],[OEE_%]]&lt;0),"Error","OK")</f>
        <v>OK</v>
      </c>
    </row>
    <row r="421" spans="1:25" x14ac:dyDescent="0.2">
      <c r="A421" t="s">
        <v>523</v>
      </c>
      <c r="B421" t="s">
        <v>520</v>
      </c>
      <c r="C421" s="2">
        <v>46260</v>
      </c>
      <c r="D421" t="s">
        <v>53</v>
      </c>
      <c r="E421" t="s">
        <v>38</v>
      </c>
      <c r="F421" t="s">
        <v>54</v>
      </c>
      <c r="G421" t="s">
        <v>55</v>
      </c>
      <c r="H421">
        <v>652</v>
      </c>
      <c r="I421">
        <v>646</v>
      </c>
      <c r="J421">
        <v>6</v>
      </c>
      <c r="K421">
        <v>20</v>
      </c>
      <c r="L421">
        <v>20</v>
      </c>
      <c r="M421">
        <v>217.33</v>
      </c>
      <c r="N421">
        <f>_xlfn.XLOOKUP(Table13[[#This Row],[Production_Order_ID]],[1]Sheet1!$A$2:$A$391,[1]Sheet1!$F$2:$F$391,"No Match")</f>
        <v>630</v>
      </c>
      <c r="O421" s="3">
        <f>Table13[[#This Row],[Good_Qty]]/Table13[[#This Row],[Planned_Production]]</f>
        <v>1.0253968253968253</v>
      </c>
      <c r="P421" t="str">
        <f>IF(Table13[[#This Row],[Good_Qty]]&gt;=Table13[[#This Row],[Planned_Production]],"Met","Not Met")</f>
        <v>Met</v>
      </c>
      <c r="Q421">
        <f>Table13[[#This Row],[Good_Qty]]-Table13[[#This Row],[Planned_Production]]</f>
        <v>16</v>
      </c>
      <c r="R421" s="3">
        <f>IF(Table13[[#This Row],[Actual_Qty]]=0,0,Table13[[#This Row],[Reject_Qty]]/Table13[[#This Row],[Actual_Qty]])</f>
        <v>9.202453987730062E-3</v>
      </c>
      <c r="S421">
        <v>438.66</v>
      </c>
      <c r="T421">
        <f>(Table13[[#This Row],[Ideal_Cycle_Time_sec]]*Table13[[#This Row],[Actual_Qty]])/(Table13[[#This Row],[Operational_Time_min]]*60)</f>
        <v>0.4954482590920834</v>
      </c>
      <c r="U421">
        <f>Table13[[#This Row],[Good_Qty]]/Table13[[#This Row],[Actual_Qty]]</f>
        <v>0.99079754601226999</v>
      </c>
      <c r="V421" t="str">
        <f>IF(OR(Table13[[#This Row],[Performance_%]]&gt;=1,Table13[[#This Row],[Performance_%]]&lt;=0),"Error","OK")</f>
        <v>OK</v>
      </c>
      <c r="W421" t="str">
        <f>IF(OR(Table13[[#This Row],[Quality_%]]&gt;=1,Table13[[#This Row],[Quality_%]]&lt;=0),"Error","OK")</f>
        <v>OK</v>
      </c>
      <c r="X421">
        <f>Table13[[#This Row],[Performance_%]]*Table13[[#This Row],[Quality_%]]*[2]Availability_KPI!K421</f>
        <v>0.47851851851851857</v>
      </c>
      <c r="Y421" t="str">
        <f>IF(OR(Table13[[#This Row],[OEE_%]]&gt;1,Table13[[#This Row],[OEE_%]]&lt;0),"Error","OK")</f>
        <v>OK</v>
      </c>
    </row>
    <row r="422" spans="1:25" x14ac:dyDescent="0.2">
      <c r="A422" t="s">
        <v>524</v>
      </c>
      <c r="B422" t="s">
        <v>520</v>
      </c>
      <c r="C422" s="2">
        <v>46260</v>
      </c>
      <c r="D422" t="s">
        <v>53</v>
      </c>
      <c r="E422" t="s">
        <v>41</v>
      </c>
      <c r="F422" t="s">
        <v>54</v>
      </c>
      <c r="G422" t="s">
        <v>39</v>
      </c>
      <c r="H422">
        <v>646</v>
      </c>
      <c r="I422">
        <v>640</v>
      </c>
      <c r="J422">
        <v>6</v>
      </c>
      <c r="K422">
        <v>18</v>
      </c>
      <c r="L422">
        <v>18</v>
      </c>
      <c r="M422">
        <v>193.8</v>
      </c>
      <c r="N422">
        <f>_xlfn.XLOOKUP(Table13[[#This Row],[Production_Order_ID]],[1]Sheet1!$A$2:$A$391,[1]Sheet1!$F$2:$F$391,"No Match")</f>
        <v>630</v>
      </c>
      <c r="O422" s="3">
        <f>Table13[[#This Row],[Good_Qty]]/Table13[[#This Row],[Planned_Production]]</f>
        <v>1.0158730158730158</v>
      </c>
      <c r="P422" t="str">
        <f>IF(Table13[[#This Row],[Good_Qty]]&gt;=Table13[[#This Row],[Planned_Production]],"Met","Not Met")</f>
        <v>Met</v>
      </c>
      <c r="Q422">
        <f>Table13[[#This Row],[Good_Qty]]-Table13[[#This Row],[Planned_Production]]</f>
        <v>10</v>
      </c>
      <c r="R422" s="3">
        <f>IF(Table13[[#This Row],[Actual_Qty]]=0,0,Table13[[#This Row],[Reject_Qty]]/Table13[[#This Row],[Actual_Qty]])</f>
        <v>9.2879256965944269E-3</v>
      </c>
      <c r="S422">
        <v>440.93</v>
      </c>
      <c r="T422">
        <f>(Table13[[#This Row],[Ideal_Cycle_Time_sec]]*Table13[[#This Row],[Actual_Qty]])/(Table13[[#This Row],[Operational_Time_min]]*60)</f>
        <v>0.43952554827296852</v>
      </c>
      <c r="U422">
        <f>Table13[[#This Row],[Good_Qty]]/Table13[[#This Row],[Actual_Qty]]</f>
        <v>0.99071207430340558</v>
      </c>
      <c r="V422" t="str">
        <f>IF(OR(Table13[[#This Row],[Performance_%]]&gt;=1,Table13[[#This Row],[Performance_%]]&lt;=0),"Error","OK")</f>
        <v>OK</v>
      </c>
      <c r="W422" t="str">
        <f>IF(OR(Table13[[#This Row],[Quality_%]]&gt;=1,Table13[[#This Row],[Quality_%]]&lt;=0),"Error","OK")</f>
        <v>OK</v>
      </c>
      <c r="X422">
        <f>Table13[[#This Row],[Performance_%]]*Table13[[#This Row],[Quality_%]]*[2]Availability_KPI!K422</f>
        <v>0.42666666666666669</v>
      </c>
      <c r="Y422" t="str">
        <f>IF(OR(Table13[[#This Row],[OEE_%]]&gt;1,Table13[[#This Row],[OEE_%]]&lt;0),"Error","OK")</f>
        <v>OK</v>
      </c>
    </row>
    <row r="423" spans="1:25" x14ac:dyDescent="0.2">
      <c r="A423" t="s">
        <v>525</v>
      </c>
      <c r="B423" t="s">
        <v>520</v>
      </c>
      <c r="C423" s="2">
        <v>46260</v>
      </c>
      <c r="D423" t="s">
        <v>53</v>
      </c>
      <c r="E423" t="s">
        <v>43</v>
      </c>
      <c r="F423" t="s">
        <v>54</v>
      </c>
      <c r="G423" t="s">
        <v>55</v>
      </c>
      <c r="H423">
        <v>659</v>
      </c>
      <c r="I423">
        <v>649</v>
      </c>
      <c r="J423">
        <v>10</v>
      </c>
      <c r="K423">
        <v>32</v>
      </c>
      <c r="L423">
        <v>34.18</v>
      </c>
      <c r="M423">
        <v>375.44</v>
      </c>
      <c r="N423">
        <f>_xlfn.XLOOKUP(Table13[[#This Row],[Production_Order_ID]],[1]Sheet1!$A$2:$A$391,[1]Sheet1!$F$2:$F$391,"No Match")</f>
        <v>630</v>
      </c>
      <c r="O423" s="3">
        <f>Table13[[#This Row],[Good_Qty]]/Table13[[#This Row],[Planned_Production]]</f>
        <v>1.0301587301587301</v>
      </c>
      <c r="P423" t="str">
        <f>IF(Table13[[#This Row],[Good_Qty]]&gt;=Table13[[#This Row],[Planned_Production]],"Met","Not Met")</f>
        <v>Met</v>
      </c>
      <c r="Q423">
        <f>Table13[[#This Row],[Good_Qty]]-Table13[[#This Row],[Planned_Production]]</f>
        <v>19</v>
      </c>
      <c r="R423" s="3">
        <f>IF(Table13[[#This Row],[Actual_Qty]]=0,0,Table13[[#This Row],[Reject_Qty]]/Table13[[#This Row],[Actual_Qty]])</f>
        <v>1.5174506828528073E-2</v>
      </c>
      <c r="S423">
        <v>412.32</v>
      </c>
      <c r="T423">
        <f>(Table13[[#This Row],[Ideal_Cycle_Time_sec]]*Table13[[#This Row],[Actual_Qty]])/(Table13[[#This Row],[Operational_Time_min]]*60)</f>
        <v>0.85241236580002588</v>
      </c>
      <c r="U423">
        <f>Table13[[#This Row],[Good_Qty]]/Table13[[#This Row],[Actual_Qty]]</f>
        <v>0.98482549317147194</v>
      </c>
      <c r="V423" t="str">
        <f>IF(OR(Table13[[#This Row],[Performance_%]]&gt;=1,Table13[[#This Row],[Performance_%]]&lt;=0),"Error","OK")</f>
        <v>OK</v>
      </c>
      <c r="W423" t="str">
        <f>IF(OR(Table13[[#This Row],[Quality_%]]&gt;=1,Table13[[#This Row],[Quality_%]]&lt;=0),"Error","OK")</f>
        <v>OK</v>
      </c>
      <c r="X423">
        <f>Table13[[#This Row],[Performance_%]]*Table13[[#This Row],[Quality_%]]*[2]Availability_KPI!K423</f>
        <v>0.76918518518518519</v>
      </c>
      <c r="Y423" t="str">
        <f>IF(OR(Table13[[#This Row],[OEE_%]]&gt;1,Table13[[#This Row],[OEE_%]]&lt;0),"Error","OK")</f>
        <v>OK</v>
      </c>
    </row>
    <row r="424" spans="1:25" x14ac:dyDescent="0.2">
      <c r="A424" t="s">
        <v>526</v>
      </c>
      <c r="B424" t="s">
        <v>520</v>
      </c>
      <c r="C424" s="2">
        <v>46260</v>
      </c>
      <c r="D424" t="s">
        <v>53</v>
      </c>
      <c r="E424" t="s">
        <v>46</v>
      </c>
      <c r="F424" t="s">
        <v>54</v>
      </c>
      <c r="G424" t="s">
        <v>47</v>
      </c>
      <c r="H424">
        <v>653</v>
      </c>
      <c r="I424">
        <v>647</v>
      </c>
      <c r="J424">
        <v>6</v>
      </c>
      <c r="K424">
        <v>25</v>
      </c>
      <c r="L424">
        <v>25.52</v>
      </c>
      <c r="M424">
        <v>277.74</v>
      </c>
      <c r="N424">
        <f>_xlfn.XLOOKUP(Table13[[#This Row],[Production_Order_ID]],[1]Sheet1!$A$2:$A$391,[1]Sheet1!$F$2:$F$391,"No Match")</f>
        <v>630</v>
      </c>
      <c r="O424" s="3">
        <f>Table13[[#This Row],[Good_Qty]]/Table13[[#This Row],[Planned_Production]]</f>
        <v>1.0269841269841269</v>
      </c>
      <c r="P424" t="str">
        <f>IF(Table13[[#This Row],[Good_Qty]]&gt;=Table13[[#This Row],[Planned_Production]],"Met","Not Met")</f>
        <v>Met</v>
      </c>
      <c r="Q424">
        <f>Table13[[#This Row],[Good_Qty]]-Table13[[#This Row],[Planned_Production]]</f>
        <v>17</v>
      </c>
      <c r="R424" s="3">
        <f>IF(Table13[[#This Row],[Actual_Qty]]=0,0,Table13[[#This Row],[Reject_Qty]]/Table13[[#This Row],[Actual_Qty]])</f>
        <v>9.1883614088820835E-3</v>
      </c>
      <c r="S424">
        <v>430.86</v>
      </c>
      <c r="T424">
        <f>(Table13[[#This Row],[Ideal_Cycle_Time_sec]]*Table13[[#This Row],[Actual_Qty]])/(Table13[[#This Row],[Operational_Time_min]]*60)</f>
        <v>0.63148896006436739</v>
      </c>
      <c r="U424">
        <f>Table13[[#This Row],[Good_Qty]]/Table13[[#This Row],[Actual_Qty]]</f>
        <v>0.99081163859111787</v>
      </c>
      <c r="V424" t="str">
        <f>IF(OR(Table13[[#This Row],[Performance_%]]&gt;=1,Table13[[#This Row],[Performance_%]]&lt;=0),"Error","OK")</f>
        <v>OK</v>
      </c>
      <c r="W424" t="str">
        <f>IF(OR(Table13[[#This Row],[Quality_%]]&gt;=1,Table13[[#This Row],[Quality_%]]&lt;=0),"Error","OK")</f>
        <v>OK</v>
      </c>
      <c r="X424">
        <f>Table13[[#This Row],[Performance_%]]*Table13[[#This Row],[Quality_%]]*[2]Availability_KPI!K424</f>
        <v>0.59907407407407409</v>
      </c>
      <c r="Y424" t="str">
        <f>IF(OR(Table13[[#This Row],[OEE_%]]&gt;1,Table13[[#This Row],[OEE_%]]&lt;0),"Error","OK")</f>
        <v>OK</v>
      </c>
    </row>
    <row r="425" spans="1:25" x14ac:dyDescent="0.2">
      <c r="A425" t="s">
        <v>527</v>
      </c>
      <c r="B425" t="s">
        <v>520</v>
      </c>
      <c r="C425" s="2">
        <v>46260</v>
      </c>
      <c r="D425" t="s">
        <v>53</v>
      </c>
      <c r="E425" t="s">
        <v>49</v>
      </c>
      <c r="F425" t="s">
        <v>54</v>
      </c>
      <c r="G425" t="s">
        <v>30</v>
      </c>
      <c r="H425">
        <v>662</v>
      </c>
      <c r="I425">
        <v>659</v>
      </c>
      <c r="J425">
        <v>3</v>
      </c>
      <c r="K425">
        <v>20</v>
      </c>
      <c r="L425">
        <v>20.99</v>
      </c>
      <c r="M425">
        <v>231.54</v>
      </c>
      <c r="N425">
        <f>_xlfn.XLOOKUP(Table13[[#This Row],[Production_Order_ID]],[1]Sheet1!$A$2:$A$391,[1]Sheet1!$F$2:$F$391,"No Match")</f>
        <v>630</v>
      </c>
      <c r="O425" s="3">
        <f>Table13[[#This Row],[Good_Qty]]/Table13[[#This Row],[Planned_Production]]</f>
        <v>1.0460317460317461</v>
      </c>
      <c r="P425" t="str">
        <f>IF(Table13[[#This Row],[Good_Qty]]&gt;=Table13[[#This Row],[Planned_Production]],"Met","Not Met")</f>
        <v>Met</v>
      </c>
      <c r="Q425">
        <f>Table13[[#This Row],[Good_Qty]]-Table13[[#This Row],[Planned_Production]]</f>
        <v>29</v>
      </c>
      <c r="R425" s="3">
        <f>IF(Table13[[#This Row],[Actual_Qty]]=0,0,Table13[[#This Row],[Reject_Qty]]/Table13[[#This Row],[Actual_Qty]])</f>
        <v>4.5317220543806651E-3</v>
      </c>
      <c r="S425">
        <v>439.64</v>
      </c>
      <c r="T425">
        <f>(Table13[[#This Row],[Ideal_Cycle_Time_sec]]*Table13[[#This Row],[Actual_Qty]])/(Table13[[#This Row],[Operational_Time_min]]*60)</f>
        <v>0.50192581809359171</v>
      </c>
      <c r="U425">
        <f>Table13[[#This Row],[Good_Qty]]/Table13[[#This Row],[Actual_Qty]]</f>
        <v>0.99546827794561932</v>
      </c>
      <c r="V425" t="str">
        <f>IF(OR(Table13[[#This Row],[Performance_%]]&gt;=1,Table13[[#This Row],[Performance_%]]&lt;=0),"Error","OK")</f>
        <v>OK</v>
      </c>
      <c r="W425" t="str">
        <f>IF(OR(Table13[[#This Row],[Quality_%]]&gt;=1,Table13[[#This Row],[Quality_%]]&lt;=0),"Error","OK")</f>
        <v>OK</v>
      </c>
      <c r="X425">
        <f>Table13[[#This Row],[Performance_%]]*Table13[[#This Row],[Quality_%]]*[2]Availability_KPI!K425</f>
        <v>0.48814814814814805</v>
      </c>
      <c r="Y425" t="str">
        <f>IF(OR(Table13[[#This Row],[OEE_%]]&gt;1,Table13[[#This Row],[OEE_%]]&lt;0),"Error","OK")</f>
        <v>OK</v>
      </c>
    </row>
    <row r="426" spans="1:25" x14ac:dyDescent="0.2">
      <c r="A426" t="s">
        <v>528</v>
      </c>
      <c r="B426" t="s">
        <v>529</v>
      </c>
      <c r="C426" s="2">
        <v>46260</v>
      </c>
      <c r="D426" t="s">
        <v>67</v>
      </c>
      <c r="E426" t="s">
        <v>28</v>
      </c>
      <c r="F426" t="s">
        <v>54</v>
      </c>
      <c r="G426" t="s">
        <v>44</v>
      </c>
      <c r="H426">
        <v>575</v>
      </c>
      <c r="I426">
        <v>571</v>
      </c>
      <c r="J426">
        <v>4</v>
      </c>
      <c r="K426">
        <v>18</v>
      </c>
      <c r="L426">
        <v>18.920000000000002</v>
      </c>
      <c r="M426">
        <v>181.36</v>
      </c>
      <c r="N426">
        <f>_xlfn.XLOOKUP(Table13[[#This Row],[Production_Order_ID]],[1]Sheet1!$A$2:$A$391,[1]Sheet1!$F$2:$F$391,"No Match")</f>
        <v>650</v>
      </c>
      <c r="O426" s="3">
        <f>Table13[[#This Row],[Good_Qty]]/Table13[[#This Row],[Planned_Production]]</f>
        <v>0.87846153846153852</v>
      </c>
      <c r="P426" t="str">
        <f>IF(Table13[[#This Row],[Good_Qty]]&gt;=Table13[[#This Row],[Planned_Production]],"Met","Not Met")</f>
        <v>Not Met</v>
      </c>
      <c r="Q426">
        <f>Table13[[#This Row],[Good_Qty]]-Table13[[#This Row],[Planned_Production]]</f>
        <v>-79</v>
      </c>
      <c r="R426" s="3">
        <f>IF(Table13[[#This Row],[Actual_Qty]]=0,0,Table13[[#This Row],[Reject_Qty]]/Table13[[#This Row],[Actual_Qty]])</f>
        <v>6.956521739130435E-3</v>
      </c>
      <c r="S426">
        <v>443.11</v>
      </c>
      <c r="T426">
        <f>(Table13[[#This Row],[Ideal_Cycle_Time_sec]]*Table13[[#This Row],[Actual_Qty]])/(Table13[[#This Row],[Operational_Time_min]]*60)</f>
        <v>0.38929385479903406</v>
      </c>
      <c r="U426">
        <f>Table13[[#This Row],[Good_Qty]]/Table13[[#This Row],[Actual_Qty]]</f>
        <v>0.99304347826086958</v>
      </c>
      <c r="V426" t="str">
        <f>IF(OR(Table13[[#This Row],[Performance_%]]&gt;=1,Table13[[#This Row],[Performance_%]]&lt;=0),"Error","OK")</f>
        <v>OK</v>
      </c>
      <c r="W426" t="str">
        <f>IF(OR(Table13[[#This Row],[Quality_%]]&gt;=1,Table13[[#This Row],[Quality_%]]&lt;=0),"Error","OK")</f>
        <v>OK</v>
      </c>
      <c r="X426">
        <f>Table13[[#This Row],[Performance_%]]*Table13[[#This Row],[Quality_%]]*[2]Availability_KPI!K426</f>
        <v>0.38066666666666665</v>
      </c>
      <c r="Y426" t="str">
        <f>IF(OR(Table13[[#This Row],[OEE_%]]&gt;1,Table13[[#This Row],[OEE_%]]&lt;0),"Error","OK")</f>
        <v>OK</v>
      </c>
    </row>
    <row r="427" spans="1:25" x14ac:dyDescent="0.2">
      <c r="A427" t="s">
        <v>530</v>
      </c>
      <c r="B427" t="s">
        <v>529</v>
      </c>
      <c r="C427" s="2">
        <v>46260</v>
      </c>
      <c r="D427" t="s">
        <v>67</v>
      </c>
      <c r="E427" t="s">
        <v>32</v>
      </c>
      <c r="F427" t="s">
        <v>54</v>
      </c>
      <c r="G427" t="s">
        <v>33</v>
      </c>
      <c r="H427">
        <v>561</v>
      </c>
      <c r="I427">
        <v>557</v>
      </c>
      <c r="J427">
        <v>4</v>
      </c>
      <c r="K427">
        <v>20</v>
      </c>
      <c r="L427">
        <v>22.02</v>
      </c>
      <c r="M427">
        <v>205.89</v>
      </c>
      <c r="N427">
        <f>_xlfn.XLOOKUP(Table13[[#This Row],[Production_Order_ID]],[1]Sheet1!$A$2:$A$391,[1]Sheet1!$F$2:$F$391,"No Match")</f>
        <v>650</v>
      </c>
      <c r="O427" s="3">
        <f>Table13[[#This Row],[Good_Qty]]/Table13[[#This Row],[Planned_Production]]</f>
        <v>0.8569230769230769</v>
      </c>
      <c r="P427" t="str">
        <f>IF(Table13[[#This Row],[Good_Qty]]&gt;=Table13[[#This Row],[Planned_Production]],"Met","Not Met")</f>
        <v>Not Met</v>
      </c>
      <c r="Q427">
        <f>Table13[[#This Row],[Good_Qty]]-Table13[[#This Row],[Planned_Production]]</f>
        <v>-93</v>
      </c>
      <c r="R427" s="3">
        <f>IF(Table13[[#This Row],[Actual_Qty]]=0,0,Table13[[#This Row],[Reject_Qty]]/Table13[[#This Row],[Actual_Qty]])</f>
        <v>7.1301247771836003E-3</v>
      </c>
      <c r="S427">
        <v>436.65</v>
      </c>
      <c r="T427">
        <f>(Table13[[#This Row],[Ideal_Cycle_Time_sec]]*Table13[[#This Row],[Actual_Qty]])/(Table13[[#This Row],[Operational_Time_min]]*60)</f>
        <v>0.42826062063437537</v>
      </c>
      <c r="U427">
        <f>Table13[[#This Row],[Good_Qty]]/Table13[[#This Row],[Actual_Qty]]</f>
        <v>0.99286987522281644</v>
      </c>
      <c r="V427" t="str">
        <f>IF(OR(Table13[[#This Row],[Performance_%]]&gt;=1,Table13[[#This Row],[Performance_%]]&lt;=0),"Error","OK")</f>
        <v>OK</v>
      </c>
      <c r="W427" t="str">
        <f>IF(OR(Table13[[#This Row],[Quality_%]]&gt;=1,Table13[[#This Row],[Quality_%]]&lt;=0),"Error","OK")</f>
        <v>OK</v>
      </c>
      <c r="X427">
        <f>Table13[[#This Row],[Performance_%]]*Table13[[#This Row],[Quality_%]]*[2]Availability_KPI!K427</f>
        <v>0.41259259259259262</v>
      </c>
      <c r="Y427" t="str">
        <f>IF(OR(Table13[[#This Row],[OEE_%]]&gt;1,Table13[[#This Row],[OEE_%]]&lt;0),"Error","OK")</f>
        <v>OK</v>
      </c>
    </row>
    <row r="428" spans="1:25" x14ac:dyDescent="0.2">
      <c r="A428" t="s">
        <v>531</v>
      </c>
      <c r="B428" t="s">
        <v>529</v>
      </c>
      <c r="C428" s="2">
        <v>46260</v>
      </c>
      <c r="D428" t="s">
        <v>67</v>
      </c>
      <c r="E428" t="s">
        <v>35</v>
      </c>
      <c r="F428" t="s">
        <v>54</v>
      </c>
      <c r="G428" t="s">
        <v>36</v>
      </c>
      <c r="H428">
        <v>580</v>
      </c>
      <c r="I428">
        <v>577</v>
      </c>
      <c r="J428">
        <v>3</v>
      </c>
      <c r="K428">
        <v>22</v>
      </c>
      <c r="L428">
        <v>23.25</v>
      </c>
      <c r="M428">
        <v>224.74</v>
      </c>
      <c r="N428">
        <f>_xlfn.XLOOKUP(Table13[[#This Row],[Production_Order_ID]],[1]Sheet1!$A$2:$A$391,[1]Sheet1!$F$2:$F$391,"No Match")</f>
        <v>650</v>
      </c>
      <c r="O428" s="3">
        <f>Table13[[#This Row],[Good_Qty]]/Table13[[#This Row],[Planned_Production]]</f>
        <v>0.88769230769230767</v>
      </c>
      <c r="P428" t="str">
        <f>IF(Table13[[#This Row],[Good_Qty]]&gt;=Table13[[#This Row],[Planned_Production]],"Met","Not Met")</f>
        <v>Not Met</v>
      </c>
      <c r="Q428">
        <f>Table13[[#This Row],[Good_Qty]]-Table13[[#This Row],[Planned_Production]]</f>
        <v>-73</v>
      </c>
      <c r="R428" s="3">
        <f>IF(Table13[[#This Row],[Actual_Qty]]=0,0,Table13[[#This Row],[Reject_Qty]]/Table13[[#This Row],[Actual_Qty]])</f>
        <v>5.1724137931034482E-3</v>
      </c>
      <c r="S428">
        <v>438.22</v>
      </c>
      <c r="T428">
        <f>(Table13[[#This Row],[Ideal_Cycle_Time_sec]]*Table13[[#This Row],[Actual_Qty]])/(Table13[[#This Row],[Operational_Time_min]]*60)</f>
        <v>0.48529657858305569</v>
      </c>
      <c r="U428">
        <f>Table13[[#This Row],[Good_Qty]]/Table13[[#This Row],[Actual_Qty]]</f>
        <v>0.9948275862068966</v>
      </c>
      <c r="V428" t="str">
        <f>IF(OR(Table13[[#This Row],[Performance_%]]&gt;=1,Table13[[#This Row],[Performance_%]]&lt;=0),"Error","OK")</f>
        <v>OK</v>
      </c>
      <c r="W428" t="str">
        <f>IF(OR(Table13[[#This Row],[Quality_%]]&gt;=1,Table13[[#This Row],[Quality_%]]&lt;=0),"Error","OK")</f>
        <v>OK</v>
      </c>
      <c r="X428">
        <f>Table13[[#This Row],[Performance_%]]*Table13[[#This Row],[Quality_%]]*[2]Availability_KPI!K428</f>
        <v>0.4701481481481482</v>
      </c>
      <c r="Y428" t="str">
        <f>IF(OR(Table13[[#This Row],[OEE_%]]&gt;1,Table13[[#This Row],[OEE_%]]&lt;0),"Error","OK")</f>
        <v>OK</v>
      </c>
    </row>
    <row r="429" spans="1:25" x14ac:dyDescent="0.2">
      <c r="A429" t="s">
        <v>532</v>
      </c>
      <c r="B429" t="s">
        <v>529</v>
      </c>
      <c r="C429" s="2">
        <v>46260</v>
      </c>
      <c r="D429" t="s">
        <v>67</v>
      </c>
      <c r="E429" t="s">
        <v>38</v>
      </c>
      <c r="F429" t="s">
        <v>54</v>
      </c>
      <c r="G429" t="s">
        <v>55</v>
      </c>
      <c r="H429">
        <v>567</v>
      </c>
      <c r="I429">
        <v>564</v>
      </c>
      <c r="J429">
        <v>3</v>
      </c>
      <c r="K429">
        <v>20</v>
      </c>
      <c r="L429">
        <v>21.07</v>
      </c>
      <c r="M429">
        <v>199.11</v>
      </c>
      <c r="N429">
        <f>_xlfn.XLOOKUP(Table13[[#This Row],[Production_Order_ID]],[1]Sheet1!$A$2:$A$391,[1]Sheet1!$F$2:$F$391,"No Match")</f>
        <v>650</v>
      </c>
      <c r="O429" s="3">
        <f>Table13[[#This Row],[Good_Qty]]/Table13[[#This Row],[Planned_Production]]</f>
        <v>0.86769230769230765</v>
      </c>
      <c r="P429" t="str">
        <f>IF(Table13[[#This Row],[Good_Qty]]&gt;=Table13[[#This Row],[Planned_Production]],"Met","Not Met")</f>
        <v>Not Met</v>
      </c>
      <c r="Q429">
        <f>Table13[[#This Row],[Good_Qty]]-Table13[[#This Row],[Planned_Production]]</f>
        <v>-86</v>
      </c>
      <c r="R429" s="3">
        <f>IF(Table13[[#This Row],[Actual_Qty]]=0,0,Table13[[#This Row],[Reject_Qty]]/Table13[[#This Row],[Actual_Qty]])</f>
        <v>5.2910052910052907E-3</v>
      </c>
      <c r="S429">
        <v>441.47</v>
      </c>
      <c r="T429">
        <f>(Table13[[#This Row],[Ideal_Cycle_Time_sec]]*Table13[[#This Row],[Actual_Qty]])/(Table13[[#This Row],[Operational_Time_min]]*60)</f>
        <v>0.42811516071307221</v>
      </c>
      <c r="U429">
        <f>Table13[[#This Row],[Good_Qty]]/Table13[[#This Row],[Actual_Qty]]</f>
        <v>0.99470899470899465</v>
      </c>
      <c r="V429" t="str">
        <f>IF(OR(Table13[[#This Row],[Performance_%]]&gt;=1,Table13[[#This Row],[Performance_%]]&lt;=0),"Error","OK")</f>
        <v>OK</v>
      </c>
      <c r="W429" t="str">
        <f>IF(OR(Table13[[#This Row],[Quality_%]]&gt;=1,Table13[[#This Row],[Quality_%]]&lt;=0),"Error","OK")</f>
        <v>OK</v>
      </c>
      <c r="X429">
        <f>Table13[[#This Row],[Performance_%]]*Table13[[#This Row],[Quality_%]]*[2]Availability_KPI!K429</f>
        <v>0.41777777777777775</v>
      </c>
      <c r="Y429" t="str">
        <f>IF(OR(Table13[[#This Row],[OEE_%]]&gt;1,Table13[[#This Row],[OEE_%]]&lt;0),"Error","OK")</f>
        <v>OK</v>
      </c>
    </row>
    <row r="430" spans="1:25" x14ac:dyDescent="0.2">
      <c r="A430" t="s">
        <v>533</v>
      </c>
      <c r="B430" t="s">
        <v>529</v>
      </c>
      <c r="C430" s="2">
        <v>46260</v>
      </c>
      <c r="D430" t="s">
        <v>67</v>
      </c>
      <c r="E430" t="s">
        <v>41</v>
      </c>
      <c r="F430" t="s">
        <v>54</v>
      </c>
      <c r="G430" t="s">
        <v>30</v>
      </c>
      <c r="H430">
        <v>576</v>
      </c>
      <c r="I430">
        <v>570</v>
      </c>
      <c r="J430">
        <v>6</v>
      </c>
      <c r="K430">
        <v>18</v>
      </c>
      <c r="L430">
        <v>19.41</v>
      </c>
      <c r="M430">
        <v>186.31</v>
      </c>
      <c r="N430">
        <f>_xlfn.XLOOKUP(Table13[[#This Row],[Production_Order_ID]],[1]Sheet1!$A$2:$A$391,[1]Sheet1!$F$2:$F$391,"No Match")</f>
        <v>650</v>
      </c>
      <c r="O430" s="3">
        <f>Table13[[#This Row],[Good_Qty]]/Table13[[#This Row],[Planned_Production]]</f>
        <v>0.87692307692307692</v>
      </c>
      <c r="P430" t="str">
        <f>IF(Table13[[#This Row],[Good_Qty]]&gt;=Table13[[#This Row],[Planned_Production]],"Met","Not Met")</f>
        <v>Not Met</v>
      </c>
      <c r="Q430">
        <f>Table13[[#This Row],[Good_Qty]]-Table13[[#This Row],[Planned_Production]]</f>
        <v>-80</v>
      </c>
      <c r="R430" s="3">
        <f>IF(Table13[[#This Row],[Actual_Qty]]=0,0,Table13[[#This Row],[Reject_Qty]]/Table13[[#This Row],[Actual_Qty]])</f>
        <v>1.0416666666666666E-2</v>
      </c>
      <c r="S430">
        <v>437.23</v>
      </c>
      <c r="T430">
        <f>(Table13[[#This Row],[Ideal_Cycle_Time_sec]]*Table13[[#This Row],[Actual_Qty]])/(Table13[[#This Row],[Operational_Time_min]]*60)</f>
        <v>0.39521533289115562</v>
      </c>
      <c r="U430">
        <f>Table13[[#This Row],[Good_Qty]]/Table13[[#This Row],[Actual_Qty]]</f>
        <v>0.98958333333333337</v>
      </c>
      <c r="V430" t="str">
        <f>IF(OR(Table13[[#This Row],[Performance_%]]&gt;=1,Table13[[#This Row],[Performance_%]]&lt;=0),"Error","OK")</f>
        <v>OK</v>
      </c>
      <c r="W430" t="str">
        <f>IF(OR(Table13[[#This Row],[Quality_%]]&gt;=1,Table13[[#This Row],[Quality_%]]&lt;=0),"Error","OK")</f>
        <v>OK</v>
      </c>
      <c r="X430">
        <f>Table13[[#This Row],[Performance_%]]*Table13[[#This Row],[Quality_%]]*[2]Availability_KPI!K430</f>
        <v>0.38</v>
      </c>
      <c r="Y430" t="str">
        <f>IF(OR(Table13[[#This Row],[OEE_%]]&gt;1,Table13[[#This Row],[OEE_%]]&lt;0),"Error","OK")</f>
        <v>OK</v>
      </c>
    </row>
    <row r="431" spans="1:25" x14ac:dyDescent="0.2">
      <c r="A431" t="s">
        <v>534</v>
      </c>
      <c r="B431" t="s">
        <v>529</v>
      </c>
      <c r="C431" s="2">
        <v>46260</v>
      </c>
      <c r="D431" t="s">
        <v>67</v>
      </c>
      <c r="E431" t="s">
        <v>43</v>
      </c>
      <c r="F431" t="s">
        <v>54</v>
      </c>
      <c r="G431" t="s">
        <v>30</v>
      </c>
      <c r="H431">
        <v>569</v>
      </c>
      <c r="I431">
        <v>561</v>
      </c>
      <c r="J431">
        <v>8</v>
      </c>
      <c r="K431">
        <v>32</v>
      </c>
      <c r="L431">
        <v>33.229999999999997</v>
      </c>
      <c r="M431">
        <v>315.14</v>
      </c>
      <c r="N431">
        <f>_xlfn.XLOOKUP(Table13[[#This Row],[Production_Order_ID]],[1]Sheet1!$A$2:$A$391,[1]Sheet1!$F$2:$F$391,"No Match")</f>
        <v>650</v>
      </c>
      <c r="O431" s="3">
        <f>Table13[[#This Row],[Good_Qty]]/Table13[[#This Row],[Planned_Production]]</f>
        <v>0.86307692307692307</v>
      </c>
      <c r="P431" t="str">
        <f>IF(Table13[[#This Row],[Good_Qty]]&gt;=Table13[[#This Row],[Planned_Production]],"Met","Not Met")</f>
        <v>Not Met</v>
      </c>
      <c r="Q431">
        <f>Table13[[#This Row],[Good_Qty]]-Table13[[#This Row],[Planned_Production]]</f>
        <v>-89</v>
      </c>
      <c r="R431" s="3">
        <f>IF(Table13[[#This Row],[Actual_Qty]]=0,0,Table13[[#This Row],[Reject_Qty]]/Table13[[#This Row],[Actual_Qty]])</f>
        <v>1.4059753954305799E-2</v>
      </c>
      <c r="S431">
        <v>422.2</v>
      </c>
      <c r="T431">
        <f>(Table13[[#This Row],[Ideal_Cycle_Time_sec]]*Table13[[#This Row],[Actual_Qty]])/(Table13[[#This Row],[Operational_Time_min]]*60)</f>
        <v>0.71877467235117642</v>
      </c>
      <c r="U431">
        <f>Table13[[#This Row],[Good_Qty]]/Table13[[#This Row],[Actual_Qty]]</f>
        <v>0.98594024604569419</v>
      </c>
      <c r="V431" t="str">
        <f>IF(OR(Table13[[#This Row],[Performance_%]]&gt;=1,Table13[[#This Row],[Performance_%]]&lt;=0),"Error","OK")</f>
        <v>OK</v>
      </c>
      <c r="W431" t="str">
        <f>IF(OR(Table13[[#This Row],[Quality_%]]&gt;=1,Table13[[#This Row],[Quality_%]]&lt;=0),"Error","OK")</f>
        <v>OK</v>
      </c>
      <c r="X431">
        <f>Table13[[#This Row],[Performance_%]]*Table13[[#This Row],[Quality_%]]*[2]Availability_KPI!K431</f>
        <v>0.66488888888888897</v>
      </c>
      <c r="Y431" t="str">
        <f>IF(OR(Table13[[#This Row],[OEE_%]]&gt;1,Table13[[#This Row],[OEE_%]]&lt;0),"Error","OK")</f>
        <v>OK</v>
      </c>
    </row>
    <row r="432" spans="1:25" x14ac:dyDescent="0.2">
      <c r="A432" t="s">
        <v>535</v>
      </c>
      <c r="B432" t="s">
        <v>529</v>
      </c>
      <c r="C432" s="2">
        <v>46260</v>
      </c>
      <c r="D432" t="s">
        <v>67</v>
      </c>
      <c r="E432" t="s">
        <v>46</v>
      </c>
      <c r="F432" t="s">
        <v>54</v>
      </c>
      <c r="G432" t="s">
        <v>33</v>
      </c>
      <c r="H432">
        <v>566</v>
      </c>
      <c r="I432">
        <v>559</v>
      </c>
      <c r="J432">
        <v>7</v>
      </c>
      <c r="K432">
        <v>25</v>
      </c>
      <c r="L432">
        <v>27.33</v>
      </c>
      <c r="M432">
        <v>257.85000000000002</v>
      </c>
      <c r="N432">
        <f>_xlfn.XLOOKUP(Table13[[#This Row],[Production_Order_ID]],[1]Sheet1!$A$2:$A$391,[1]Sheet1!$F$2:$F$391,"No Match")</f>
        <v>650</v>
      </c>
      <c r="O432" s="3">
        <f>Table13[[#This Row],[Good_Qty]]/Table13[[#This Row],[Planned_Production]]</f>
        <v>0.86</v>
      </c>
      <c r="P432" t="str">
        <f>IF(Table13[[#This Row],[Good_Qty]]&gt;=Table13[[#This Row],[Planned_Production]],"Met","Not Met")</f>
        <v>Not Met</v>
      </c>
      <c r="Q432">
        <f>Table13[[#This Row],[Good_Qty]]-Table13[[#This Row],[Planned_Production]]</f>
        <v>-91</v>
      </c>
      <c r="R432" s="3">
        <f>IF(Table13[[#This Row],[Actual_Qty]]=0,0,Table13[[#This Row],[Reject_Qty]]/Table13[[#This Row],[Actual_Qty]])</f>
        <v>1.2367491166077738E-2</v>
      </c>
      <c r="S432">
        <v>431.85</v>
      </c>
      <c r="T432">
        <f>(Table13[[#This Row],[Ideal_Cycle_Time_sec]]*Table13[[#This Row],[Actual_Qty]])/(Table13[[#This Row],[Operational_Time_min]]*60)</f>
        <v>0.5461001119215777</v>
      </c>
      <c r="U432">
        <f>Table13[[#This Row],[Good_Qty]]/Table13[[#This Row],[Actual_Qty]]</f>
        <v>0.98763250883392228</v>
      </c>
      <c r="V432" t="str">
        <f>IF(OR(Table13[[#This Row],[Performance_%]]&gt;=1,Table13[[#This Row],[Performance_%]]&lt;=0),"Error","OK")</f>
        <v>OK</v>
      </c>
      <c r="W432" t="str">
        <f>IF(OR(Table13[[#This Row],[Quality_%]]&gt;=1,Table13[[#This Row],[Quality_%]]&lt;=0),"Error","OK")</f>
        <v>OK</v>
      </c>
      <c r="X432">
        <f>Table13[[#This Row],[Performance_%]]*Table13[[#This Row],[Quality_%]]*[2]Availability_KPI!K432</f>
        <v>0.5175925925925926</v>
      </c>
      <c r="Y432" t="str">
        <f>IF(OR(Table13[[#This Row],[OEE_%]]&gt;1,Table13[[#This Row],[OEE_%]]&lt;0),"Error","OK")</f>
        <v>OK</v>
      </c>
    </row>
    <row r="433" spans="1:25" x14ac:dyDescent="0.2">
      <c r="A433" t="s">
        <v>536</v>
      </c>
      <c r="B433" t="s">
        <v>529</v>
      </c>
      <c r="C433" s="2">
        <v>46260</v>
      </c>
      <c r="D433" t="s">
        <v>67</v>
      </c>
      <c r="E433" t="s">
        <v>49</v>
      </c>
      <c r="F433" t="s">
        <v>54</v>
      </c>
      <c r="G433" t="s">
        <v>55</v>
      </c>
      <c r="H433">
        <v>563</v>
      </c>
      <c r="I433">
        <v>559</v>
      </c>
      <c r="J433">
        <v>4</v>
      </c>
      <c r="K433">
        <v>20</v>
      </c>
      <c r="L433">
        <v>21.22</v>
      </c>
      <c r="M433">
        <v>199.13</v>
      </c>
      <c r="N433">
        <f>_xlfn.XLOOKUP(Table13[[#This Row],[Production_Order_ID]],[1]Sheet1!$A$2:$A$391,[1]Sheet1!$F$2:$F$391,"No Match")</f>
        <v>650</v>
      </c>
      <c r="O433" s="3">
        <f>Table13[[#This Row],[Good_Qty]]/Table13[[#This Row],[Planned_Production]]</f>
        <v>0.86</v>
      </c>
      <c r="P433" t="str">
        <f>IF(Table13[[#This Row],[Good_Qty]]&gt;=Table13[[#This Row],[Planned_Production]],"Met","Not Met")</f>
        <v>Not Met</v>
      </c>
      <c r="Q433">
        <f>Table13[[#This Row],[Good_Qty]]-Table13[[#This Row],[Planned_Production]]</f>
        <v>-91</v>
      </c>
      <c r="R433" s="3">
        <f>IF(Table13[[#This Row],[Actual_Qty]]=0,0,Table13[[#This Row],[Reject_Qty]]/Table13[[#This Row],[Actual_Qty]])</f>
        <v>7.104795737122558E-3</v>
      </c>
      <c r="S433">
        <v>441.41</v>
      </c>
      <c r="T433">
        <f>(Table13[[#This Row],[Ideal_Cycle_Time_sec]]*Table13[[#This Row],[Actual_Qty]])/(Table13[[#This Row],[Operational_Time_min]]*60)</f>
        <v>0.42515273026589034</v>
      </c>
      <c r="U433">
        <f>Table13[[#This Row],[Good_Qty]]/Table13[[#This Row],[Actual_Qty]]</f>
        <v>0.99289520426287747</v>
      </c>
      <c r="V433" t="str">
        <f>IF(OR(Table13[[#This Row],[Performance_%]]&gt;=1,Table13[[#This Row],[Performance_%]]&lt;=0),"Error","OK")</f>
        <v>OK</v>
      </c>
      <c r="W433" t="str">
        <f>IF(OR(Table13[[#This Row],[Quality_%]]&gt;=1,Table13[[#This Row],[Quality_%]]&lt;=0),"Error","OK")</f>
        <v>OK</v>
      </c>
      <c r="X433">
        <f>Table13[[#This Row],[Performance_%]]*Table13[[#This Row],[Quality_%]]*[2]Availability_KPI!K433</f>
        <v>0.41407407407407409</v>
      </c>
      <c r="Y433" t="str">
        <f>IF(OR(Table13[[#This Row],[OEE_%]]&gt;1,Table13[[#This Row],[OEE_%]]&lt;0),"Error","OK")</f>
        <v>OK</v>
      </c>
    </row>
    <row r="434" spans="1:25" x14ac:dyDescent="0.2">
      <c r="A434" t="s">
        <v>537</v>
      </c>
      <c r="B434" t="s">
        <v>538</v>
      </c>
      <c r="C434" s="2">
        <v>46261</v>
      </c>
      <c r="D434" t="s">
        <v>27</v>
      </c>
      <c r="E434" t="s">
        <v>28</v>
      </c>
      <c r="F434" t="s">
        <v>54</v>
      </c>
      <c r="G434" t="s">
        <v>33</v>
      </c>
      <c r="H434">
        <v>582</v>
      </c>
      <c r="I434">
        <v>579</v>
      </c>
      <c r="J434">
        <v>3</v>
      </c>
      <c r="K434">
        <v>18</v>
      </c>
      <c r="L434">
        <v>19.079999999999998</v>
      </c>
      <c r="M434">
        <v>185.04</v>
      </c>
      <c r="N434">
        <f>_xlfn.XLOOKUP(Table13[[#This Row],[Production_Order_ID]],[1]Sheet1!$A$2:$A$391,[1]Sheet1!$F$2:$F$391,"No Match")</f>
        <v>440</v>
      </c>
      <c r="O434" s="3">
        <f>Table13[[#This Row],[Good_Qty]]/Table13[[#This Row],[Planned_Production]]</f>
        <v>1.3159090909090909</v>
      </c>
      <c r="P434" t="str">
        <f>IF(Table13[[#This Row],[Good_Qty]]&gt;=Table13[[#This Row],[Planned_Production]],"Met","Not Met")</f>
        <v>Met</v>
      </c>
      <c r="Q434">
        <f>Table13[[#This Row],[Good_Qty]]-Table13[[#This Row],[Planned_Production]]</f>
        <v>139</v>
      </c>
      <c r="R434" s="3">
        <f>IF(Table13[[#This Row],[Actual_Qty]]=0,0,Table13[[#This Row],[Reject_Qty]]/Table13[[#This Row],[Actual_Qty]])</f>
        <v>5.1546391752577319E-3</v>
      </c>
      <c r="S434">
        <v>442.16</v>
      </c>
      <c r="T434">
        <f>(Table13[[#This Row],[Ideal_Cycle_Time_sec]]*Table13[[#This Row],[Actual_Qty]])/(Table13[[#This Row],[Operational_Time_min]]*60)</f>
        <v>0.394879681563235</v>
      </c>
      <c r="U434">
        <f>Table13[[#This Row],[Good_Qty]]/Table13[[#This Row],[Actual_Qty]]</f>
        <v>0.99484536082474229</v>
      </c>
      <c r="V434" t="str">
        <f>IF(OR(Table13[[#This Row],[Performance_%]]&gt;=1,Table13[[#This Row],[Performance_%]]&lt;=0),"Error","OK")</f>
        <v>OK</v>
      </c>
      <c r="W434" t="str">
        <f>IF(OR(Table13[[#This Row],[Quality_%]]&gt;=1,Table13[[#This Row],[Quality_%]]&lt;=0),"Error","OK")</f>
        <v>OK</v>
      </c>
      <c r="X434">
        <f>Table13[[#This Row],[Performance_%]]*Table13[[#This Row],[Quality_%]]*[2]Availability_KPI!K434</f>
        <v>0.38600000000000001</v>
      </c>
      <c r="Y434" t="str">
        <f>IF(OR(Table13[[#This Row],[OEE_%]]&gt;1,Table13[[#This Row],[OEE_%]]&lt;0),"Error","OK")</f>
        <v>OK</v>
      </c>
    </row>
    <row r="435" spans="1:25" x14ac:dyDescent="0.2">
      <c r="A435" t="s">
        <v>539</v>
      </c>
      <c r="B435" t="s">
        <v>538</v>
      </c>
      <c r="C435" s="2">
        <v>46261</v>
      </c>
      <c r="D435" t="s">
        <v>27</v>
      </c>
      <c r="E435" t="s">
        <v>32</v>
      </c>
      <c r="F435" t="s">
        <v>54</v>
      </c>
      <c r="G435" t="s">
        <v>47</v>
      </c>
      <c r="H435">
        <v>581</v>
      </c>
      <c r="I435">
        <v>578</v>
      </c>
      <c r="J435">
        <v>3</v>
      </c>
      <c r="K435">
        <v>20</v>
      </c>
      <c r="L435">
        <v>21.33</v>
      </c>
      <c r="M435">
        <v>206.51</v>
      </c>
      <c r="N435">
        <f>_xlfn.XLOOKUP(Table13[[#This Row],[Production_Order_ID]],[1]Sheet1!$A$2:$A$391,[1]Sheet1!$F$2:$F$391,"No Match")</f>
        <v>440</v>
      </c>
      <c r="O435" s="3">
        <f>Table13[[#This Row],[Good_Qty]]/Table13[[#This Row],[Planned_Production]]</f>
        <v>1.3136363636363637</v>
      </c>
      <c r="P435" t="str">
        <f>IF(Table13[[#This Row],[Good_Qty]]&gt;=Table13[[#This Row],[Planned_Production]],"Met","Not Met")</f>
        <v>Met</v>
      </c>
      <c r="Q435">
        <f>Table13[[#This Row],[Good_Qty]]-Table13[[#This Row],[Planned_Production]]</f>
        <v>138</v>
      </c>
      <c r="R435" s="3">
        <f>IF(Table13[[#This Row],[Actual_Qty]]=0,0,Table13[[#This Row],[Reject_Qty]]/Table13[[#This Row],[Actual_Qty]])</f>
        <v>5.1635111876075735E-3</v>
      </c>
      <c r="S435">
        <v>438.49</v>
      </c>
      <c r="T435">
        <f>(Table13[[#This Row],[Ideal_Cycle_Time_sec]]*Table13[[#This Row],[Actual_Qty]])/(Table13[[#This Row],[Operational_Time_min]]*60)</f>
        <v>0.44166723680509623</v>
      </c>
      <c r="U435">
        <f>Table13[[#This Row],[Good_Qty]]/Table13[[#This Row],[Actual_Qty]]</f>
        <v>0.99483648881239239</v>
      </c>
      <c r="V435" t="str">
        <f>IF(OR(Table13[[#This Row],[Performance_%]]&gt;=1,Table13[[#This Row],[Performance_%]]&lt;=0),"Error","OK")</f>
        <v>OK</v>
      </c>
      <c r="W435" t="str">
        <f>IF(OR(Table13[[#This Row],[Quality_%]]&gt;=1,Table13[[#This Row],[Quality_%]]&lt;=0),"Error","OK")</f>
        <v>OK</v>
      </c>
      <c r="X435">
        <f>Table13[[#This Row],[Performance_%]]*Table13[[#This Row],[Quality_%]]*[2]Availability_KPI!K435</f>
        <v>0.42814814814814806</v>
      </c>
      <c r="Y435" t="str">
        <f>IF(OR(Table13[[#This Row],[OEE_%]]&gt;1,Table13[[#This Row],[OEE_%]]&lt;0),"Error","OK")</f>
        <v>OK</v>
      </c>
    </row>
    <row r="436" spans="1:25" x14ac:dyDescent="0.2">
      <c r="A436" t="s">
        <v>540</v>
      </c>
      <c r="B436" t="s">
        <v>538</v>
      </c>
      <c r="C436" s="2">
        <v>46261</v>
      </c>
      <c r="D436" t="s">
        <v>27</v>
      </c>
      <c r="E436" t="s">
        <v>35</v>
      </c>
      <c r="F436" t="s">
        <v>54</v>
      </c>
      <c r="G436" t="s">
        <v>47</v>
      </c>
      <c r="H436">
        <v>592</v>
      </c>
      <c r="I436">
        <v>586</v>
      </c>
      <c r="J436">
        <v>6</v>
      </c>
      <c r="K436">
        <v>22</v>
      </c>
      <c r="L436">
        <v>22.82</v>
      </c>
      <c r="M436">
        <v>225.13</v>
      </c>
      <c r="N436">
        <f>_xlfn.XLOOKUP(Table13[[#This Row],[Production_Order_ID]],[1]Sheet1!$A$2:$A$391,[1]Sheet1!$F$2:$F$391,"No Match")</f>
        <v>440</v>
      </c>
      <c r="O436" s="3">
        <f>Table13[[#This Row],[Good_Qty]]/Table13[[#This Row],[Planned_Production]]</f>
        <v>1.3318181818181818</v>
      </c>
      <c r="P436" t="str">
        <f>IF(Table13[[#This Row],[Good_Qty]]&gt;=Table13[[#This Row],[Planned_Production]],"Met","Not Met")</f>
        <v>Met</v>
      </c>
      <c r="Q436">
        <f>Table13[[#This Row],[Good_Qty]]-Table13[[#This Row],[Planned_Production]]</f>
        <v>146</v>
      </c>
      <c r="R436" s="3">
        <f>IF(Table13[[#This Row],[Actual_Qty]]=0,0,Table13[[#This Row],[Reject_Qty]]/Table13[[#This Row],[Actual_Qty]])</f>
        <v>1.0135135135135136E-2</v>
      </c>
      <c r="S436">
        <v>438.1</v>
      </c>
      <c r="T436">
        <f>(Table13[[#This Row],[Ideal_Cycle_Time_sec]]*Table13[[#This Row],[Actual_Qty]])/(Table13[[#This Row],[Operational_Time_min]]*60)</f>
        <v>0.49547287529483375</v>
      </c>
      <c r="U436">
        <f>Table13[[#This Row],[Good_Qty]]/Table13[[#This Row],[Actual_Qty]]</f>
        <v>0.98986486486486491</v>
      </c>
      <c r="V436" t="str">
        <f>IF(OR(Table13[[#This Row],[Performance_%]]&gt;=1,Table13[[#This Row],[Performance_%]]&lt;=0),"Error","OK")</f>
        <v>OK</v>
      </c>
      <c r="W436" t="str">
        <f>IF(OR(Table13[[#This Row],[Quality_%]]&gt;=1,Table13[[#This Row],[Quality_%]]&lt;=0),"Error","OK")</f>
        <v>OK</v>
      </c>
      <c r="X436">
        <f>Table13[[#This Row],[Performance_%]]*Table13[[#This Row],[Quality_%]]*[2]Availability_KPI!K436</f>
        <v>0.47748148148148151</v>
      </c>
      <c r="Y436" t="str">
        <f>IF(OR(Table13[[#This Row],[OEE_%]]&gt;1,Table13[[#This Row],[OEE_%]]&lt;0),"Error","OK")</f>
        <v>OK</v>
      </c>
    </row>
    <row r="437" spans="1:25" x14ac:dyDescent="0.2">
      <c r="A437" t="s">
        <v>541</v>
      </c>
      <c r="B437" t="s">
        <v>538</v>
      </c>
      <c r="C437" s="2">
        <v>46261</v>
      </c>
      <c r="D437" t="s">
        <v>27</v>
      </c>
      <c r="E437" t="s">
        <v>38</v>
      </c>
      <c r="F437" t="s">
        <v>54</v>
      </c>
      <c r="G437" t="s">
        <v>47</v>
      </c>
      <c r="H437">
        <v>593</v>
      </c>
      <c r="I437">
        <v>590</v>
      </c>
      <c r="J437">
        <v>3</v>
      </c>
      <c r="K437">
        <v>20</v>
      </c>
      <c r="L437">
        <v>20.079999999999998</v>
      </c>
      <c r="M437">
        <v>198.5</v>
      </c>
      <c r="N437">
        <f>_xlfn.XLOOKUP(Table13[[#This Row],[Production_Order_ID]],[1]Sheet1!$A$2:$A$391,[1]Sheet1!$F$2:$F$391,"No Match")</f>
        <v>440</v>
      </c>
      <c r="O437" s="3">
        <f>Table13[[#This Row],[Good_Qty]]/Table13[[#This Row],[Planned_Production]]</f>
        <v>1.3409090909090908</v>
      </c>
      <c r="P437" t="str">
        <f>IF(Table13[[#This Row],[Good_Qty]]&gt;=Table13[[#This Row],[Planned_Production]],"Met","Not Met")</f>
        <v>Met</v>
      </c>
      <c r="Q437">
        <f>Table13[[#This Row],[Good_Qty]]-Table13[[#This Row],[Planned_Production]]</f>
        <v>150</v>
      </c>
      <c r="R437" s="3">
        <f>IF(Table13[[#This Row],[Actual_Qty]]=0,0,Table13[[#This Row],[Reject_Qty]]/Table13[[#This Row],[Actual_Qty]])</f>
        <v>5.0590219224283303E-3</v>
      </c>
      <c r="S437">
        <v>442.13</v>
      </c>
      <c r="T437">
        <f>(Table13[[#This Row],[Ideal_Cycle_Time_sec]]*Table13[[#This Row],[Actual_Qty]])/(Table13[[#This Row],[Operational_Time_min]]*60)</f>
        <v>0.44707815951567792</v>
      </c>
      <c r="U437">
        <f>Table13[[#This Row],[Good_Qty]]/Table13[[#This Row],[Actual_Qty]]</f>
        <v>0.99494097807757165</v>
      </c>
      <c r="V437" t="str">
        <f>IF(OR(Table13[[#This Row],[Performance_%]]&gt;=1,Table13[[#This Row],[Performance_%]]&lt;=0),"Error","OK")</f>
        <v>OK</v>
      </c>
      <c r="W437" t="str">
        <f>IF(OR(Table13[[#This Row],[Quality_%]]&gt;=1,Table13[[#This Row],[Quality_%]]&lt;=0),"Error","OK")</f>
        <v>OK</v>
      </c>
      <c r="X437">
        <f>Table13[[#This Row],[Performance_%]]*Table13[[#This Row],[Quality_%]]*[2]Availability_KPI!K437</f>
        <v>0.43703703703703706</v>
      </c>
      <c r="Y437" t="str">
        <f>IF(OR(Table13[[#This Row],[OEE_%]]&gt;1,Table13[[#This Row],[OEE_%]]&lt;0),"Error","OK")</f>
        <v>OK</v>
      </c>
    </row>
    <row r="438" spans="1:25" x14ac:dyDescent="0.2">
      <c r="A438" t="s">
        <v>542</v>
      </c>
      <c r="B438" t="s">
        <v>538</v>
      </c>
      <c r="C438" s="2">
        <v>46261</v>
      </c>
      <c r="D438" t="s">
        <v>27</v>
      </c>
      <c r="E438" t="s">
        <v>41</v>
      </c>
      <c r="F438" t="s">
        <v>54</v>
      </c>
      <c r="G438" t="s">
        <v>30</v>
      </c>
      <c r="H438">
        <v>590</v>
      </c>
      <c r="I438">
        <v>586</v>
      </c>
      <c r="J438">
        <v>4</v>
      </c>
      <c r="K438">
        <v>18</v>
      </c>
      <c r="L438">
        <v>19.02</v>
      </c>
      <c r="M438">
        <v>187.04</v>
      </c>
      <c r="N438">
        <f>_xlfn.XLOOKUP(Table13[[#This Row],[Production_Order_ID]],[1]Sheet1!$A$2:$A$391,[1]Sheet1!$F$2:$F$391,"No Match")</f>
        <v>440</v>
      </c>
      <c r="O438" s="3">
        <f>Table13[[#This Row],[Good_Qty]]/Table13[[#This Row],[Planned_Production]]</f>
        <v>1.3318181818181818</v>
      </c>
      <c r="P438" t="str">
        <f>IF(Table13[[#This Row],[Good_Qty]]&gt;=Table13[[#This Row],[Planned_Production]],"Met","Not Met")</f>
        <v>Met</v>
      </c>
      <c r="Q438">
        <f>Table13[[#This Row],[Good_Qty]]-Table13[[#This Row],[Planned_Production]]</f>
        <v>146</v>
      </c>
      <c r="R438" s="3">
        <f>IF(Table13[[#This Row],[Actual_Qty]]=0,0,Table13[[#This Row],[Reject_Qty]]/Table13[[#This Row],[Actual_Qty]])</f>
        <v>6.7796610169491523E-3</v>
      </c>
      <c r="S438">
        <v>436.95</v>
      </c>
      <c r="T438">
        <f>(Table13[[#This Row],[Ideal_Cycle_Time_sec]]*Table13[[#This Row],[Actual_Qty]])/(Table13[[#This Row],[Operational_Time_min]]*60)</f>
        <v>0.40508067284586335</v>
      </c>
      <c r="U438">
        <f>Table13[[#This Row],[Good_Qty]]/Table13[[#This Row],[Actual_Qty]]</f>
        <v>0.99322033898305084</v>
      </c>
      <c r="V438" t="str">
        <f>IF(OR(Table13[[#This Row],[Performance_%]]&gt;=1,Table13[[#This Row],[Performance_%]]&lt;=0),"Error","OK")</f>
        <v>OK</v>
      </c>
      <c r="W438" t="str">
        <f>IF(OR(Table13[[#This Row],[Quality_%]]&gt;=1,Table13[[#This Row],[Quality_%]]&lt;=0),"Error","OK")</f>
        <v>OK</v>
      </c>
      <c r="X438">
        <f>Table13[[#This Row],[Performance_%]]*Table13[[#This Row],[Quality_%]]*[2]Availability_KPI!K438</f>
        <v>0.39066666666666661</v>
      </c>
      <c r="Y438" t="str">
        <f>IF(OR(Table13[[#This Row],[OEE_%]]&gt;1,Table13[[#This Row],[OEE_%]]&lt;0),"Error","OK")</f>
        <v>OK</v>
      </c>
    </row>
    <row r="439" spans="1:25" x14ac:dyDescent="0.2">
      <c r="A439" t="s">
        <v>543</v>
      </c>
      <c r="B439" t="s">
        <v>538</v>
      </c>
      <c r="C439" s="2">
        <v>46261</v>
      </c>
      <c r="D439" t="s">
        <v>27</v>
      </c>
      <c r="E439" t="s">
        <v>43</v>
      </c>
      <c r="F439" t="s">
        <v>54</v>
      </c>
      <c r="G439" t="s">
        <v>30</v>
      </c>
      <c r="H439">
        <v>600</v>
      </c>
      <c r="I439">
        <v>590</v>
      </c>
      <c r="J439">
        <v>10</v>
      </c>
      <c r="K439">
        <v>32</v>
      </c>
      <c r="L439">
        <v>35.65</v>
      </c>
      <c r="M439">
        <v>356.52</v>
      </c>
      <c r="N439">
        <f>_xlfn.XLOOKUP(Table13[[#This Row],[Production_Order_ID]],[1]Sheet1!$A$2:$A$391,[1]Sheet1!$F$2:$F$391,"No Match")</f>
        <v>440</v>
      </c>
      <c r="O439" s="3">
        <f>Table13[[#This Row],[Good_Qty]]/Table13[[#This Row],[Planned_Production]]</f>
        <v>1.3409090909090908</v>
      </c>
      <c r="P439" t="str">
        <f>IF(Table13[[#This Row],[Good_Qty]]&gt;=Table13[[#This Row],[Planned_Production]],"Met","Not Met")</f>
        <v>Met</v>
      </c>
      <c r="Q439">
        <f>Table13[[#This Row],[Good_Qty]]-Table13[[#This Row],[Planned_Production]]</f>
        <v>150</v>
      </c>
      <c r="R439" s="3">
        <f>IF(Table13[[#This Row],[Actual_Qty]]=0,0,Table13[[#This Row],[Reject_Qty]]/Table13[[#This Row],[Actual_Qty]])</f>
        <v>1.6666666666666666E-2</v>
      </c>
      <c r="S439">
        <v>407.08</v>
      </c>
      <c r="T439">
        <f>(Table13[[#This Row],[Ideal_Cycle_Time_sec]]*Table13[[#This Row],[Actual_Qty]])/(Table13[[#This Row],[Operational_Time_min]]*60)</f>
        <v>0.78608627296845834</v>
      </c>
      <c r="U439">
        <f>Table13[[#This Row],[Good_Qty]]/Table13[[#This Row],[Actual_Qty]]</f>
        <v>0.98333333333333328</v>
      </c>
      <c r="V439" t="str">
        <f>IF(OR(Table13[[#This Row],[Performance_%]]&gt;=1,Table13[[#This Row],[Performance_%]]&lt;=0),"Error","OK")</f>
        <v>OK</v>
      </c>
      <c r="W439" t="str">
        <f>IF(OR(Table13[[#This Row],[Quality_%]]&gt;=1,Table13[[#This Row],[Quality_%]]&lt;=0),"Error","OK")</f>
        <v>OK</v>
      </c>
      <c r="X439">
        <f>Table13[[#This Row],[Performance_%]]*Table13[[#This Row],[Quality_%]]*[2]Availability_KPI!K439</f>
        <v>0.69925925925925925</v>
      </c>
      <c r="Y439" t="str">
        <f>IF(OR(Table13[[#This Row],[OEE_%]]&gt;1,Table13[[#This Row],[OEE_%]]&lt;0),"Error","OK")</f>
        <v>OK</v>
      </c>
    </row>
    <row r="440" spans="1:25" x14ac:dyDescent="0.2">
      <c r="A440" t="s">
        <v>544</v>
      </c>
      <c r="B440" t="s">
        <v>538</v>
      </c>
      <c r="C440" s="2">
        <v>46261</v>
      </c>
      <c r="D440" t="s">
        <v>27</v>
      </c>
      <c r="E440" t="s">
        <v>46</v>
      </c>
      <c r="F440" t="s">
        <v>54</v>
      </c>
      <c r="G440" t="s">
        <v>36</v>
      </c>
      <c r="H440">
        <v>595</v>
      </c>
      <c r="I440">
        <v>590</v>
      </c>
      <c r="J440">
        <v>5</v>
      </c>
      <c r="K440">
        <v>25</v>
      </c>
      <c r="L440">
        <v>26.67</v>
      </c>
      <c r="M440">
        <v>264.52</v>
      </c>
      <c r="N440">
        <f>_xlfn.XLOOKUP(Table13[[#This Row],[Production_Order_ID]],[1]Sheet1!$A$2:$A$391,[1]Sheet1!$F$2:$F$391,"No Match")</f>
        <v>440</v>
      </c>
      <c r="O440" s="3">
        <f>Table13[[#This Row],[Good_Qty]]/Table13[[#This Row],[Planned_Production]]</f>
        <v>1.3409090909090908</v>
      </c>
      <c r="P440" t="str">
        <f>IF(Table13[[#This Row],[Good_Qty]]&gt;=Table13[[#This Row],[Planned_Production]],"Met","Not Met")</f>
        <v>Met</v>
      </c>
      <c r="Q440">
        <f>Table13[[#This Row],[Good_Qty]]-Table13[[#This Row],[Planned_Production]]</f>
        <v>150</v>
      </c>
      <c r="R440" s="3">
        <f>IF(Table13[[#This Row],[Actual_Qty]]=0,0,Table13[[#This Row],[Reject_Qty]]/Table13[[#This Row],[Actual_Qty]])</f>
        <v>8.4033613445378148E-3</v>
      </c>
      <c r="S440">
        <v>428.65</v>
      </c>
      <c r="T440">
        <f>(Table13[[#This Row],[Ideal_Cycle_Time_sec]]*Table13[[#This Row],[Actual_Qty]])/(Table13[[#This Row],[Operational_Time_min]]*60)</f>
        <v>0.57836618842101173</v>
      </c>
      <c r="U440">
        <f>Table13[[#This Row],[Good_Qty]]/Table13[[#This Row],[Actual_Qty]]</f>
        <v>0.99159663865546221</v>
      </c>
      <c r="V440" t="str">
        <f>IF(OR(Table13[[#This Row],[Performance_%]]&gt;=1,Table13[[#This Row],[Performance_%]]&lt;=0),"Error","OK")</f>
        <v>OK</v>
      </c>
      <c r="W440" t="str">
        <f>IF(OR(Table13[[#This Row],[Quality_%]]&gt;=1,Table13[[#This Row],[Quality_%]]&lt;=0),"Error","OK")</f>
        <v>OK</v>
      </c>
      <c r="X440">
        <f>Table13[[#This Row],[Performance_%]]*Table13[[#This Row],[Quality_%]]*[2]Availability_KPI!K440</f>
        <v>0.54629629629629628</v>
      </c>
      <c r="Y440" t="str">
        <f>IF(OR(Table13[[#This Row],[OEE_%]]&gt;1,Table13[[#This Row],[OEE_%]]&lt;0),"Error","OK")</f>
        <v>OK</v>
      </c>
    </row>
    <row r="441" spans="1:25" x14ac:dyDescent="0.2">
      <c r="A441" t="s">
        <v>545</v>
      </c>
      <c r="B441" t="s">
        <v>538</v>
      </c>
      <c r="C441" s="2">
        <v>46261</v>
      </c>
      <c r="D441" t="s">
        <v>27</v>
      </c>
      <c r="E441" t="s">
        <v>49</v>
      </c>
      <c r="F441" t="s">
        <v>54</v>
      </c>
      <c r="G441" t="s">
        <v>71</v>
      </c>
      <c r="H441">
        <v>581</v>
      </c>
      <c r="I441">
        <v>578</v>
      </c>
      <c r="J441">
        <v>3</v>
      </c>
      <c r="K441">
        <v>20</v>
      </c>
      <c r="L441">
        <v>21.18</v>
      </c>
      <c r="M441">
        <v>205.14</v>
      </c>
      <c r="N441">
        <f>_xlfn.XLOOKUP(Table13[[#This Row],[Production_Order_ID]],[1]Sheet1!$A$2:$A$391,[1]Sheet1!$F$2:$F$391,"No Match")</f>
        <v>440</v>
      </c>
      <c r="O441" s="3">
        <f>Table13[[#This Row],[Good_Qty]]/Table13[[#This Row],[Planned_Production]]</f>
        <v>1.3136363636363637</v>
      </c>
      <c r="P441" t="str">
        <f>IF(Table13[[#This Row],[Good_Qty]]&gt;=Table13[[#This Row],[Planned_Production]],"Met","Not Met")</f>
        <v>Met</v>
      </c>
      <c r="Q441">
        <f>Table13[[#This Row],[Good_Qty]]-Table13[[#This Row],[Planned_Production]]</f>
        <v>138</v>
      </c>
      <c r="R441" s="3">
        <f>IF(Table13[[#This Row],[Actual_Qty]]=0,0,Table13[[#This Row],[Reject_Qty]]/Table13[[#This Row],[Actual_Qty]])</f>
        <v>5.1635111876075735E-3</v>
      </c>
      <c r="S441">
        <v>442.1</v>
      </c>
      <c r="T441">
        <f>(Table13[[#This Row],[Ideal_Cycle_Time_sec]]*Table13[[#This Row],[Actual_Qty]])/(Table13[[#This Row],[Operational_Time_min]]*60)</f>
        <v>0.43806077056472892</v>
      </c>
      <c r="U441">
        <f>Table13[[#This Row],[Good_Qty]]/Table13[[#This Row],[Actual_Qty]]</f>
        <v>0.99483648881239239</v>
      </c>
      <c r="V441" t="str">
        <f>IF(OR(Table13[[#This Row],[Performance_%]]&gt;=1,Table13[[#This Row],[Performance_%]]&lt;=0),"Error","OK")</f>
        <v>OK</v>
      </c>
      <c r="W441" t="str">
        <f>IF(OR(Table13[[#This Row],[Quality_%]]&gt;=1,Table13[[#This Row],[Quality_%]]&lt;=0),"Error","OK")</f>
        <v>OK</v>
      </c>
      <c r="X441">
        <f>Table13[[#This Row],[Performance_%]]*Table13[[#This Row],[Quality_%]]*[2]Availability_KPI!K441</f>
        <v>0.42814814814814811</v>
      </c>
      <c r="Y441" t="str">
        <f>IF(OR(Table13[[#This Row],[OEE_%]]&gt;1,Table13[[#This Row],[OEE_%]]&lt;0),"Error","OK")</f>
        <v>OK</v>
      </c>
    </row>
    <row r="442" spans="1:25" x14ac:dyDescent="0.2">
      <c r="A442" t="s">
        <v>546</v>
      </c>
      <c r="B442" t="s">
        <v>547</v>
      </c>
      <c r="C442" s="2">
        <v>46261</v>
      </c>
      <c r="D442" t="s">
        <v>53</v>
      </c>
      <c r="E442" t="s">
        <v>28</v>
      </c>
      <c r="F442" t="s">
        <v>54</v>
      </c>
      <c r="G442" t="s">
        <v>39</v>
      </c>
      <c r="H442">
        <v>726</v>
      </c>
      <c r="I442">
        <v>721</v>
      </c>
      <c r="J442">
        <v>5</v>
      </c>
      <c r="K442">
        <v>18</v>
      </c>
      <c r="L442">
        <v>18.88</v>
      </c>
      <c r="M442">
        <v>228.5</v>
      </c>
      <c r="N442">
        <f>_xlfn.XLOOKUP(Table13[[#This Row],[Production_Order_ID]],[1]Sheet1!$A$2:$A$391,[1]Sheet1!$F$2:$F$391,"No Match")</f>
        <v>610</v>
      </c>
      <c r="O442" s="3">
        <f>Table13[[#This Row],[Good_Qty]]/Table13[[#This Row],[Planned_Production]]</f>
        <v>1.1819672131147541</v>
      </c>
      <c r="P442" t="str">
        <f>IF(Table13[[#This Row],[Good_Qty]]&gt;=Table13[[#This Row],[Planned_Production]],"Met","Not Met")</f>
        <v>Met</v>
      </c>
      <c r="Q442">
        <f>Table13[[#This Row],[Good_Qty]]-Table13[[#This Row],[Planned_Production]]</f>
        <v>111</v>
      </c>
      <c r="R442" s="3">
        <f>IF(Table13[[#This Row],[Actual_Qty]]=0,0,Table13[[#This Row],[Reject_Qty]]/Table13[[#This Row],[Actual_Qty]])</f>
        <v>6.8870523415977963E-3</v>
      </c>
      <c r="S442">
        <v>441.34</v>
      </c>
      <c r="T442">
        <f>(Table13[[#This Row],[Ideal_Cycle_Time_sec]]*Table13[[#This Row],[Actual_Qty]])/(Table13[[#This Row],[Operational_Time_min]]*60)</f>
        <v>0.49349707708342777</v>
      </c>
      <c r="U442">
        <f>Table13[[#This Row],[Good_Qty]]/Table13[[#This Row],[Actual_Qty]]</f>
        <v>0.99311294765840219</v>
      </c>
      <c r="V442" t="str">
        <f>IF(OR(Table13[[#This Row],[Performance_%]]&gt;=1,Table13[[#This Row],[Performance_%]]&lt;=0),"Error","OK")</f>
        <v>OK</v>
      </c>
      <c r="W442" t="str">
        <f>IF(OR(Table13[[#This Row],[Quality_%]]&gt;=1,Table13[[#This Row],[Quality_%]]&lt;=0),"Error","OK")</f>
        <v>OK</v>
      </c>
      <c r="X442">
        <f>Table13[[#This Row],[Performance_%]]*Table13[[#This Row],[Quality_%]]*[2]Availability_KPI!K442</f>
        <v>0.48066666666666663</v>
      </c>
      <c r="Y442" t="str">
        <f>IF(OR(Table13[[#This Row],[OEE_%]]&gt;1,Table13[[#This Row],[OEE_%]]&lt;0),"Error","OK")</f>
        <v>OK</v>
      </c>
    </row>
    <row r="443" spans="1:25" x14ac:dyDescent="0.2">
      <c r="A443" t="s">
        <v>548</v>
      </c>
      <c r="B443" t="s">
        <v>547</v>
      </c>
      <c r="C443" s="2">
        <v>46261</v>
      </c>
      <c r="D443" t="s">
        <v>53</v>
      </c>
      <c r="E443" t="s">
        <v>32</v>
      </c>
      <c r="F443" t="s">
        <v>54</v>
      </c>
      <c r="G443" t="s">
        <v>44</v>
      </c>
      <c r="H443">
        <v>718</v>
      </c>
      <c r="I443">
        <v>708</v>
      </c>
      <c r="J443">
        <v>10</v>
      </c>
      <c r="K443">
        <v>20</v>
      </c>
      <c r="L443">
        <v>20.37</v>
      </c>
      <c r="M443">
        <v>243.81</v>
      </c>
      <c r="N443">
        <f>_xlfn.XLOOKUP(Table13[[#This Row],[Production_Order_ID]],[1]Sheet1!$A$2:$A$391,[1]Sheet1!$F$2:$F$391,"No Match")</f>
        <v>610</v>
      </c>
      <c r="O443" s="3">
        <f>Table13[[#This Row],[Good_Qty]]/Table13[[#This Row],[Planned_Production]]</f>
        <v>1.160655737704918</v>
      </c>
      <c r="P443" t="str">
        <f>IF(Table13[[#This Row],[Good_Qty]]&gt;=Table13[[#This Row],[Planned_Production]],"Met","Not Met")</f>
        <v>Met</v>
      </c>
      <c r="Q443">
        <f>Table13[[#This Row],[Good_Qty]]-Table13[[#This Row],[Planned_Production]]</f>
        <v>98</v>
      </c>
      <c r="R443" s="3">
        <f>IF(Table13[[#This Row],[Actual_Qty]]=0,0,Table13[[#This Row],[Reject_Qty]]/Table13[[#This Row],[Actual_Qty]])</f>
        <v>1.3927576601671309E-2</v>
      </c>
      <c r="S443">
        <v>433.71</v>
      </c>
      <c r="T443">
        <f>(Table13[[#This Row],[Ideal_Cycle_Time_sec]]*Table13[[#This Row],[Actual_Qty]])/(Table13[[#This Row],[Operational_Time_min]]*60)</f>
        <v>0.55182802640781481</v>
      </c>
      <c r="U443">
        <f>Table13[[#This Row],[Good_Qty]]/Table13[[#This Row],[Actual_Qty]]</f>
        <v>0.98607242339832868</v>
      </c>
      <c r="V443" t="str">
        <f>IF(OR(Table13[[#This Row],[Performance_%]]&gt;=1,Table13[[#This Row],[Performance_%]]&lt;=0),"Error","OK")</f>
        <v>OK</v>
      </c>
      <c r="W443" t="str">
        <f>IF(OR(Table13[[#This Row],[Quality_%]]&gt;=1,Table13[[#This Row],[Quality_%]]&lt;=0),"Error","OK")</f>
        <v>OK</v>
      </c>
      <c r="X443">
        <f>Table13[[#This Row],[Performance_%]]*Table13[[#This Row],[Quality_%]]*[2]Availability_KPI!K443</f>
        <v>0.52444444444444449</v>
      </c>
      <c r="Y443" t="str">
        <f>IF(OR(Table13[[#This Row],[OEE_%]]&gt;1,Table13[[#This Row],[OEE_%]]&lt;0),"Error","OK")</f>
        <v>OK</v>
      </c>
    </row>
    <row r="444" spans="1:25" x14ac:dyDescent="0.2">
      <c r="A444" t="s">
        <v>549</v>
      </c>
      <c r="B444" t="s">
        <v>547</v>
      </c>
      <c r="C444" s="2">
        <v>46261</v>
      </c>
      <c r="D444" t="s">
        <v>53</v>
      </c>
      <c r="E444" t="s">
        <v>35</v>
      </c>
      <c r="F444" t="s">
        <v>54</v>
      </c>
      <c r="G444" t="s">
        <v>61</v>
      </c>
      <c r="H444">
        <v>714</v>
      </c>
      <c r="I444">
        <v>707</v>
      </c>
      <c r="J444">
        <v>7</v>
      </c>
      <c r="K444">
        <v>22</v>
      </c>
      <c r="L444">
        <v>22.91</v>
      </c>
      <c r="M444">
        <v>272.60000000000002</v>
      </c>
      <c r="N444">
        <f>_xlfn.XLOOKUP(Table13[[#This Row],[Production_Order_ID]],[1]Sheet1!$A$2:$A$391,[1]Sheet1!$F$2:$F$391,"No Match")</f>
        <v>610</v>
      </c>
      <c r="O444" s="3">
        <f>Table13[[#This Row],[Good_Qty]]/Table13[[#This Row],[Planned_Production]]</f>
        <v>1.159016393442623</v>
      </c>
      <c r="P444" t="str">
        <f>IF(Table13[[#This Row],[Good_Qty]]&gt;=Table13[[#This Row],[Planned_Production]],"Met","Not Met")</f>
        <v>Met</v>
      </c>
      <c r="Q444">
        <f>Table13[[#This Row],[Good_Qty]]-Table13[[#This Row],[Planned_Production]]</f>
        <v>97</v>
      </c>
      <c r="R444" s="3">
        <f>IF(Table13[[#This Row],[Actual_Qty]]=0,0,Table13[[#This Row],[Reject_Qty]]/Table13[[#This Row],[Actual_Qty]])</f>
        <v>9.8039215686274508E-3</v>
      </c>
      <c r="S444">
        <v>435.28</v>
      </c>
      <c r="T444">
        <f>(Table13[[#This Row],[Ideal_Cycle_Time_sec]]*Table13[[#This Row],[Actual_Qty]])/(Table13[[#This Row],[Operational_Time_min]]*60)</f>
        <v>0.60145193898180482</v>
      </c>
      <c r="U444">
        <f>Table13[[#This Row],[Good_Qty]]/Table13[[#This Row],[Actual_Qty]]</f>
        <v>0.99019607843137258</v>
      </c>
      <c r="V444" t="str">
        <f>IF(OR(Table13[[#This Row],[Performance_%]]&gt;=1,Table13[[#This Row],[Performance_%]]&lt;=0),"Error","OK")</f>
        <v>OK</v>
      </c>
      <c r="W444" t="str">
        <f>IF(OR(Table13[[#This Row],[Quality_%]]&gt;=1,Table13[[#This Row],[Quality_%]]&lt;=0),"Error","OK")</f>
        <v>OK</v>
      </c>
      <c r="X444">
        <f>Table13[[#This Row],[Performance_%]]*Table13[[#This Row],[Quality_%]]*[2]Availability_KPI!K444</f>
        <v>0.57607407407407418</v>
      </c>
      <c r="Y444" t="str">
        <f>IF(OR(Table13[[#This Row],[OEE_%]]&gt;1,Table13[[#This Row],[OEE_%]]&lt;0),"Error","OK")</f>
        <v>OK</v>
      </c>
    </row>
    <row r="445" spans="1:25" x14ac:dyDescent="0.2">
      <c r="A445" t="s">
        <v>550</v>
      </c>
      <c r="B445" t="s">
        <v>547</v>
      </c>
      <c r="C445" s="2">
        <v>46261</v>
      </c>
      <c r="D445" t="s">
        <v>53</v>
      </c>
      <c r="E445" t="s">
        <v>38</v>
      </c>
      <c r="F445" t="s">
        <v>54</v>
      </c>
      <c r="G445" t="s">
        <v>75</v>
      </c>
      <c r="H445">
        <v>708</v>
      </c>
      <c r="I445">
        <v>704</v>
      </c>
      <c r="J445">
        <v>4</v>
      </c>
      <c r="K445">
        <v>20</v>
      </c>
      <c r="L445">
        <v>21.19</v>
      </c>
      <c r="M445">
        <v>250.02</v>
      </c>
      <c r="N445">
        <f>_xlfn.XLOOKUP(Table13[[#This Row],[Production_Order_ID]],[1]Sheet1!$A$2:$A$391,[1]Sheet1!$F$2:$F$391,"No Match")</f>
        <v>610</v>
      </c>
      <c r="O445" s="3">
        <f>Table13[[#This Row],[Good_Qty]]/Table13[[#This Row],[Planned_Production]]</f>
        <v>1.1540983606557378</v>
      </c>
      <c r="P445" t="str">
        <f>IF(Table13[[#This Row],[Good_Qty]]&gt;=Table13[[#This Row],[Planned_Production]],"Met","Not Met")</f>
        <v>Met</v>
      </c>
      <c r="Q445">
        <f>Table13[[#This Row],[Good_Qty]]-Table13[[#This Row],[Planned_Production]]</f>
        <v>94</v>
      </c>
      <c r="R445" s="3">
        <f>IF(Table13[[#This Row],[Actual_Qty]]=0,0,Table13[[#This Row],[Reject_Qty]]/Table13[[#This Row],[Actual_Qty]])</f>
        <v>5.6497175141242938E-3</v>
      </c>
      <c r="S445">
        <v>434.54</v>
      </c>
      <c r="T445">
        <f>(Table13[[#This Row],[Ideal_Cycle_Time_sec]]*Table13[[#This Row],[Actual_Qty]])/(Table13[[#This Row],[Operational_Time_min]]*60)</f>
        <v>0.54310305150273852</v>
      </c>
      <c r="U445">
        <f>Table13[[#This Row],[Good_Qty]]/Table13[[#This Row],[Actual_Qty]]</f>
        <v>0.99435028248587576</v>
      </c>
      <c r="V445" t="str">
        <f>IF(OR(Table13[[#This Row],[Performance_%]]&gt;=1,Table13[[#This Row],[Performance_%]]&lt;=0),"Error","OK")</f>
        <v>OK</v>
      </c>
      <c r="W445" t="str">
        <f>IF(OR(Table13[[#This Row],[Quality_%]]&gt;=1,Table13[[#This Row],[Quality_%]]&lt;=0),"Error","OK")</f>
        <v>OK</v>
      </c>
      <c r="X445">
        <f>Table13[[#This Row],[Performance_%]]*Table13[[#This Row],[Quality_%]]*[2]Availability_KPI!K445</f>
        <v>0.52148148148148155</v>
      </c>
      <c r="Y445" t="str">
        <f>IF(OR(Table13[[#This Row],[OEE_%]]&gt;1,Table13[[#This Row],[OEE_%]]&lt;0),"Error","OK")</f>
        <v>OK</v>
      </c>
    </row>
    <row r="446" spans="1:25" x14ac:dyDescent="0.2">
      <c r="A446" t="s">
        <v>551</v>
      </c>
      <c r="B446" t="s">
        <v>547</v>
      </c>
      <c r="C446" s="2">
        <v>46261</v>
      </c>
      <c r="D446" t="s">
        <v>53</v>
      </c>
      <c r="E446" t="s">
        <v>41</v>
      </c>
      <c r="F446" t="s">
        <v>54</v>
      </c>
      <c r="G446" t="s">
        <v>33</v>
      </c>
      <c r="H446">
        <v>725</v>
      </c>
      <c r="I446">
        <v>719</v>
      </c>
      <c r="J446">
        <v>6</v>
      </c>
      <c r="K446">
        <v>18</v>
      </c>
      <c r="L446">
        <v>19.329999999999998</v>
      </c>
      <c r="M446">
        <v>233.52</v>
      </c>
      <c r="N446">
        <f>_xlfn.XLOOKUP(Table13[[#This Row],[Production_Order_ID]],[1]Sheet1!$A$2:$A$391,[1]Sheet1!$F$2:$F$391,"No Match")</f>
        <v>610</v>
      </c>
      <c r="O446" s="3">
        <f>Table13[[#This Row],[Good_Qty]]/Table13[[#This Row],[Planned_Production]]</f>
        <v>1.1786885245901639</v>
      </c>
      <c r="P446" t="str">
        <f>IF(Table13[[#This Row],[Good_Qty]]&gt;=Table13[[#This Row],[Planned_Production]],"Met","Not Met")</f>
        <v>Met</v>
      </c>
      <c r="Q446">
        <f>Table13[[#This Row],[Good_Qty]]-Table13[[#This Row],[Planned_Production]]</f>
        <v>109</v>
      </c>
      <c r="R446" s="3">
        <f>IF(Table13[[#This Row],[Actual_Qty]]=0,0,Table13[[#This Row],[Reject_Qty]]/Table13[[#This Row],[Actual_Qty]])</f>
        <v>8.2758620689655175E-3</v>
      </c>
      <c r="S446">
        <v>435.06</v>
      </c>
      <c r="T446">
        <f>(Table13[[#This Row],[Ideal_Cycle_Time_sec]]*Table13[[#This Row],[Actual_Qty]])/(Table13[[#This Row],[Operational_Time_min]]*60)</f>
        <v>0.4999310439939319</v>
      </c>
      <c r="U446">
        <f>Table13[[#This Row],[Good_Qty]]/Table13[[#This Row],[Actual_Qty]]</f>
        <v>0.99172413793103453</v>
      </c>
      <c r="V446" t="str">
        <f>IF(OR(Table13[[#This Row],[Performance_%]]&gt;=1,Table13[[#This Row],[Performance_%]]&lt;=0),"Error","OK")</f>
        <v>OK</v>
      </c>
      <c r="W446" t="str">
        <f>IF(OR(Table13[[#This Row],[Quality_%]]&gt;=1,Table13[[#This Row],[Quality_%]]&lt;=0),"Error","OK")</f>
        <v>OK</v>
      </c>
      <c r="X446">
        <f>Table13[[#This Row],[Performance_%]]*Table13[[#This Row],[Quality_%]]*[2]Availability_KPI!K446</f>
        <v>0.47933333333333339</v>
      </c>
      <c r="Y446" t="str">
        <f>IF(OR(Table13[[#This Row],[OEE_%]]&gt;1,Table13[[#This Row],[OEE_%]]&lt;0),"Error","OK")</f>
        <v>OK</v>
      </c>
    </row>
    <row r="447" spans="1:25" x14ac:dyDescent="0.2">
      <c r="A447" t="s">
        <v>552</v>
      </c>
      <c r="B447" t="s">
        <v>547</v>
      </c>
      <c r="C447" s="2">
        <v>46261</v>
      </c>
      <c r="D447" t="s">
        <v>53</v>
      </c>
      <c r="E447" t="s">
        <v>43</v>
      </c>
      <c r="F447" t="s">
        <v>54</v>
      </c>
      <c r="G447" t="s">
        <v>30</v>
      </c>
      <c r="H447">
        <v>728</v>
      </c>
      <c r="I447">
        <v>717</v>
      </c>
      <c r="J447">
        <v>11</v>
      </c>
      <c r="K447">
        <v>32</v>
      </c>
      <c r="L447">
        <v>34.21</v>
      </c>
      <c r="M447">
        <v>415.07</v>
      </c>
      <c r="N447">
        <f>_xlfn.XLOOKUP(Table13[[#This Row],[Production_Order_ID]],[1]Sheet1!$A$2:$A$391,[1]Sheet1!$F$2:$F$391,"No Match")</f>
        <v>610</v>
      </c>
      <c r="O447" s="3">
        <f>Table13[[#This Row],[Good_Qty]]/Table13[[#This Row],[Planned_Production]]</f>
        <v>1.1754098360655738</v>
      </c>
      <c r="P447" t="str">
        <f>IF(Table13[[#This Row],[Good_Qty]]&gt;=Table13[[#This Row],[Planned_Production]],"Met","Not Met")</f>
        <v>Met</v>
      </c>
      <c r="Q447">
        <f>Table13[[#This Row],[Good_Qty]]-Table13[[#This Row],[Planned_Production]]</f>
        <v>107</v>
      </c>
      <c r="R447" s="3">
        <f>IF(Table13[[#This Row],[Actual_Qty]]=0,0,Table13[[#This Row],[Reject_Qty]]/Table13[[#This Row],[Actual_Qty]])</f>
        <v>1.510989010989011E-2</v>
      </c>
      <c r="S447">
        <v>403.47</v>
      </c>
      <c r="T447">
        <f>(Table13[[#This Row],[Ideal_Cycle_Time_sec]]*Table13[[#This Row],[Actual_Qty]])/(Table13[[#This Row],[Operational_Time_min]]*60)</f>
        <v>0.96231855321750481</v>
      </c>
      <c r="U447">
        <f>Table13[[#This Row],[Good_Qty]]/Table13[[#This Row],[Actual_Qty]]</f>
        <v>0.98489010989010994</v>
      </c>
      <c r="V447" t="str">
        <f>IF(OR(Table13[[#This Row],[Performance_%]]&gt;=1,Table13[[#This Row],[Performance_%]]&lt;=0),"Error","OK")</f>
        <v>OK</v>
      </c>
      <c r="W447" t="str">
        <f>IF(OR(Table13[[#This Row],[Quality_%]]&gt;=1,Table13[[#This Row],[Quality_%]]&lt;=0),"Error","OK")</f>
        <v>OK</v>
      </c>
      <c r="X447">
        <f>Table13[[#This Row],[Performance_%]]*Table13[[#This Row],[Quality_%]]*[2]Availability_KPI!K447</f>
        <v>0.84977777777777785</v>
      </c>
      <c r="Y447" t="str">
        <f>IF(OR(Table13[[#This Row],[OEE_%]]&gt;1,Table13[[#This Row],[OEE_%]]&lt;0),"Error","OK")</f>
        <v>OK</v>
      </c>
    </row>
    <row r="448" spans="1:25" x14ac:dyDescent="0.2">
      <c r="A448" t="s">
        <v>553</v>
      </c>
      <c r="B448" t="s">
        <v>547</v>
      </c>
      <c r="C448" s="2">
        <v>46261</v>
      </c>
      <c r="D448" t="s">
        <v>53</v>
      </c>
      <c r="E448" t="s">
        <v>46</v>
      </c>
      <c r="F448" t="s">
        <v>54</v>
      </c>
      <c r="G448" t="s">
        <v>57</v>
      </c>
      <c r="H448">
        <v>713</v>
      </c>
      <c r="I448">
        <v>706</v>
      </c>
      <c r="J448">
        <v>7</v>
      </c>
      <c r="K448">
        <v>25</v>
      </c>
      <c r="L448">
        <v>26.38</v>
      </c>
      <c r="M448">
        <v>313.51</v>
      </c>
      <c r="N448">
        <f>_xlfn.XLOOKUP(Table13[[#This Row],[Production_Order_ID]],[1]Sheet1!$A$2:$A$391,[1]Sheet1!$F$2:$F$391,"No Match")</f>
        <v>610</v>
      </c>
      <c r="O448" s="3">
        <f>Table13[[#This Row],[Good_Qty]]/Table13[[#This Row],[Planned_Production]]</f>
        <v>1.1573770491803279</v>
      </c>
      <c r="P448" t="str">
        <f>IF(Table13[[#This Row],[Good_Qty]]&gt;=Table13[[#This Row],[Planned_Production]],"Met","Not Met")</f>
        <v>Met</v>
      </c>
      <c r="Q448">
        <f>Table13[[#This Row],[Good_Qty]]-Table13[[#This Row],[Planned_Production]]</f>
        <v>96</v>
      </c>
      <c r="R448" s="3">
        <f>IF(Table13[[#This Row],[Actual_Qty]]=0,0,Table13[[#This Row],[Reject_Qty]]/Table13[[#This Row],[Actual_Qty]])</f>
        <v>9.8176718092566617E-3</v>
      </c>
      <c r="S448">
        <v>432.06</v>
      </c>
      <c r="T448">
        <f>(Table13[[#This Row],[Ideal_Cycle_Time_sec]]*Table13[[#This Row],[Actual_Qty]])/(Table13[[#This Row],[Operational_Time_min]]*60)</f>
        <v>0.68759740159545746</v>
      </c>
      <c r="U448">
        <f>Table13[[#This Row],[Good_Qty]]/Table13[[#This Row],[Actual_Qty]]</f>
        <v>0.99018232819074337</v>
      </c>
      <c r="V448" t="str">
        <f>IF(OR(Table13[[#This Row],[Performance_%]]&gt;=1,Table13[[#This Row],[Performance_%]]&lt;=0),"Error","OK")</f>
        <v>OK</v>
      </c>
      <c r="W448" t="str">
        <f>IF(OR(Table13[[#This Row],[Quality_%]]&gt;=1,Table13[[#This Row],[Quality_%]]&lt;=0),"Error","OK")</f>
        <v>OK</v>
      </c>
      <c r="X448">
        <f>Table13[[#This Row],[Performance_%]]*Table13[[#This Row],[Quality_%]]*[2]Availability_KPI!K448</f>
        <v>0.65370370370370379</v>
      </c>
      <c r="Y448" t="str">
        <f>IF(OR(Table13[[#This Row],[OEE_%]]&gt;1,Table13[[#This Row],[OEE_%]]&lt;0),"Error","OK")</f>
        <v>OK</v>
      </c>
    </row>
    <row r="449" spans="1:25" x14ac:dyDescent="0.2">
      <c r="A449" t="s">
        <v>554</v>
      </c>
      <c r="B449" t="s">
        <v>547</v>
      </c>
      <c r="C449" s="2">
        <v>46261</v>
      </c>
      <c r="D449" t="s">
        <v>53</v>
      </c>
      <c r="E449" t="s">
        <v>49</v>
      </c>
      <c r="F449" t="s">
        <v>54</v>
      </c>
      <c r="G449" t="s">
        <v>30</v>
      </c>
      <c r="H449">
        <v>703</v>
      </c>
      <c r="I449">
        <v>701</v>
      </c>
      <c r="J449">
        <v>2</v>
      </c>
      <c r="K449">
        <v>20</v>
      </c>
      <c r="L449">
        <v>20.260000000000002</v>
      </c>
      <c r="M449">
        <v>237.4</v>
      </c>
      <c r="N449">
        <f>_xlfn.XLOOKUP(Table13[[#This Row],[Production_Order_ID]],[1]Sheet1!$A$2:$A$391,[1]Sheet1!$F$2:$F$391,"No Match")</f>
        <v>610</v>
      </c>
      <c r="O449" s="3">
        <f>Table13[[#This Row],[Good_Qty]]/Table13[[#This Row],[Planned_Production]]</f>
        <v>1.1491803278688524</v>
      </c>
      <c r="P449" t="str">
        <f>IF(Table13[[#This Row],[Good_Qty]]&gt;=Table13[[#This Row],[Planned_Production]],"Met","Not Met")</f>
        <v>Met</v>
      </c>
      <c r="Q449">
        <f>Table13[[#This Row],[Good_Qty]]-Table13[[#This Row],[Planned_Production]]</f>
        <v>91</v>
      </c>
      <c r="R449" s="3">
        <f>IF(Table13[[#This Row],[Actual_Qty]]=0,0,Table13[[#This Row],[Reject_Qty]]/Table13[[#This Row],[Actual_Qty]])</f>
        <v>2.8449502133712661E-3</v>
      </c>
      <c r="S449">
        <v>441.36</v>
      </c>
      <c r="T449">
        <f>(Table13[[#This Row],[Ideal_Cycle_Time_sec]]*Table13[[#This Row],[Actual_Qty]])/(Table13[[#This Row],[Operational_Time_min]]*60)</f>
        <v>0.53093468672587751</v>
      </c>
      <c r="U449">
        <f>Table13[[#This Row],[Good_Qty]]/Table13[[#This Row],[Actual_Qty]]</f>
        <v>0.99715504978662872</v>
      </c>
      <c r="V449" t="str">
        <f>IF(OR(Table13[[#This Row],[Performance_%]]&gt;=1,Table13[[#This Row],[Performance_%]]&lt;=0),"Error","OK")</f>
        <v>OK</v>
      </c>
      <c r="W449" t="str">
        <f>IF(OR(Table13[[#This Row],[Quality_%]]&gt;=1,Table13[[#This Row],[Quality_%]]&lt;=0),"Error","OK")</f>
        <v>OK</v>
      </c>
      <c r="X449">
        <f>Table13[[#This Row],[Performance_%]]*Table13[[#This Row],[Quality_%]]*[2]Availability_KPI!K449</f>
        <v>0.5192592592592592</v>
      </c>
      <c r="Y449" t="str">
        <f>IF(OR(Table13[[#This Row],[OEE_%]]&gt;1,Table13[[#This Row],[OEE_%]]&lt;0),"Error","OK")</f>
        <v>OK</v>
      </c>
    </row>
    <row r="450" spans="1:25" x14ac:dyDescent="0.2">
      <c r="A450" t="s">
        <v>555</v>
      </c>
      <c r="B450" t="s">
        <v>556</v>
      </c>
      <c r="C450" s="2">
        <v>46261</v>
      </c>
      <c r="D450" t="s">
        <v>67</v>
      </c>
      <c r="E450" t="s">
        <v>28</v>
      </c>
      <c r="F450" t="s">
        <v>29</v>
      </c>
      <c r="G450" t="s">
        <v>50</v>
      </c>
      <c r="H450">
        <v>613</v>
      </c>
      <c r="I450">
        <v>611</v>
      </c>
      <c r="J450">
        <v>2</v>
      </c>
      <c r="K450">
        <v>19.8</v>
      </c>
      <c r="L450">
        <v>20.51</v>
      </c>
      <c r="M450">
        <v>209.51</v>
      </c>
      <c r="N450">
        <f>_xlfn.XLOOKUP(Table13[[#This Row],[Production_Order_ID]],[1]Sheet1!$A$2:$A$391,[1]Sheet1!$F$2:$F$391,"No Match")</f>
        <v>630</v>
      </c>
      <c r="O450" s="3">
        <f>Table13[[#This Row],[Good_Qty]]/Table13[[#This Row],[Planned_Production]]</f>
        <v>0.96984126984126984</v>
      </c>
      <c r="P450" t="str">
        <f>IF(Table13[[#This Row],[Good_Qty]]&gt;=Table13[[#This Row],[Planned_Production]],"Met","Not Met")</f>
        <v>Not Met</v>
      </c>
      <c r="Q450">
        <f>Table13[[#This Row],[Good_Qty]]-Table13[[#This Row],[Planned_Production]]</f>
        <v>-19</v>
      </c>
      <c r="R450" s="3">
        <f>IF(Table13[[#This Row],[Actual_Qty]]=0,0,Table13[[#This Row],[Reject_Qty]]/Table13[[#This Row],[Actual_Qty]])</f>
        <v>3.2626427406199023E-3</v>
      </c>
      <c r="S450">
        <v>438.29</v>
      </c>
      <c r="T450">
        <f>(Table13[[#This Row],[Ideal_Cycle_Time_sec]]*Table13[[#This Row],[Actual_Qty]])/(Table13[[#This Row],[Operational_Time_min]]*60)</f>
        <v>0.46154372675625721</v>
      </c>
      <c r="U450">
        <f>Table13[[#This Row],[Good_Qty]]/Table13[[#This Row],[Actual_Qty]]</f>
        <v>0.99673735725938006</v>
      </c>
      <c r="V450" t="str">
        <f>IF(OR(Table13[[#This Row],[Performance_%]]&gt;=1,Table13[[#This Row],[Performance_%]]&lt;=0),"Error","OK")</f>
        <v>OK</v>
      </c>
      <c r="W450" t="str">
        <f>IF(OR(Table13[[#This Row],[Quality_%]]&gt;=1,Table13[[#This Row],[Quality_%]]&lt;=0),"Error","OK")</f>
        <v>OK</v>
      </c>
      <c r="X450">
        <f>Table13[[#This Row],[Performance_%]]*Table13[[#This Row],[Quality_%]]*[2]Availability_KPI!K450</f>
        <v>0.44806666666666661</v>
      </c>
      <c r="Y450" t="str">
        <f>IF(OR(Table13[[#This Row],[OEE_%]]&gt;1,Table13[[#This Row],[OEE_%]]&lt;0),"Error","OK")</f>
        <v>OK</v>
      </c>
    </row>
    <row r="451" spans="1:25" x14ac:dyDescent="0.2">
      <c r="A451" t="s">
        <v>557</v>
      </c>
      <c r="B451" t="s">
        <v>556</v>
      </c>
      <c r="C451" s="2">
        <v>46261</v>
      </c>
      <c r="D451" t="s">
        <v>67</v>
      </c>
      <c r="E451" t="s">
        <v>32</v>
      </c>
      <c r="F451" t="s">
        <v>29</v>
      </c>
      <c r="G451" t="s">
        <v>44</v>
      </c>
      <c r="H451">
        <v>610</v>
      </c>
      <c r="I451">
        <v>605</v>
      </c>
      <c r="J451">
        <v>5</v>
      </c>
      <c r="K451">
        <v>22</v>
      </c>
      <c r="L451">
        <v>23.39</v>
      </c>
      <c r="M451">
        <v>237.83</v>
      </c>
      <c r="N451">
        <f>_xlfn.XLOOKUP(Table13[[#This Row],[Production_Order_ID]],[1]Sheet1!$A$2:$A$391,[1]Sheet1!$F$2:$F$391,"No Match")</f>
        <v>630</v>
      </c>
      <c r="O451" s="3">
        <f>Table13[[#This Row],[Good_Qty]]/Table13[[#This Row],[Planned_Production]]</f>
        <v>0.96031746031746035</v>
      </c>
      <c r="P451" t="str">
        <f>IF(Table13[[#This Row],[Good_Qty]]&gt;=Table13[[#This Row],[Planned_Production]],"Met","Not Met")</f>
        <v>Not Met</v>
      </c>
      <c r="Q451">
        <f>Table13[[#This Row],[Good_Qty]]-Table13[[#This Row],[Planned_Production]]</f>
        <v>-25</v>
      </c>
      <c r="R451" s="3">
        <f>IF(Table13[[#This Row],[Actual_Qty]]=0,0,Table13[[#This Row],[Reject_Qty]]/Table13[[#This Row],[Actual_Qty]])</f>
        <v>8.1967213114754103E-3</v>
      </c>
      <c r="S451">
        <v>435.57</v>
      </c>
      <c r="T451">
        <f>(Table13[[#This Row],[Ideal_Cycle_Time_sec]]*Table13[[#This Row],[Actual_Qty]])/(Table13[[#This Row],[Operational_Time_min]]*60)</f>
        <v>0.51350337871448137</v>
      </c>
      <c r="U451">
        <f>Table13[[#This Row],[Good_Qty]]/Table13[[#This Row],[Actual_Qty]]</f>
        <v>0.99180327868852458</v>
      </c>
      <c r="V451" t="str">
        <f>IF(OR(Table13[[#This Row],[Performance_%]]&gt;=1,Table13[[#This Row],[Performance_%]]&lt;=0),"Error","OK")</f>
        <v>OK</v>
      </c>
      <c r="W451" t="str">
        <f>IF(OR(Table13[[#This Row],[Quality_%]]&gt;=1,Table13[[#This Row],[Quality_%]]&lt;=0),"Error","OK")</f>
        <v>OK</v>
      </c>
      <c r="X451">
        <f>Table13[[#This Row],[Performance_%]]*Table13[[#This Row],[Quality_%]]*[2]Availability_KPI!K451</f>
        <v>0.49296296296296288</v>
      </c>
      <c r="Y451" t="str">
        <f>IF(OR(Table13[[#This Row],[OEE_%]]&gt;1,Table13[[#This Row],[OEE_%]]&lt;0),"Error","OK")</f>
        <v>OK</v>
      </c>
    </row>
    <row r="452" spans="1:25" x14ac:dyDescent="0.2">
      <c r="A452" t="s">
        <v>558</v>
      </c>
      <c r="B452" t="s">
        <v>556</v>
      </c>
      <c r="C452" s="2">
        <v>46261</v>
      </c>
      <c r="D452" t="s">
        <v>67</v>
      </c>
      <c r="E452" t="s">
        <v>35</v>
      </c>
      <c r="F452" t="s">
        <v>29</v>
      </c>
      <c r="G452" t="s">
        <v>71</v>
      </c>
      <c r="H452">
        <v>618</v>
      </c>
      <c r="I452">
        <v>613</v>
      </c>
      <c r="J452">
        <v>5</v>
      </c>
      <c r="K452">
        <v>24.2</v>
      </c>
      <c r="L452">
        <v>24.88</v>
      </c>
      <c r="M452">
        <v>256.23</v>
      </c>
      <c r="N452">
        <f>_xlfn.XLOOKUP(Table13[[#This Row],[Production_Order_ID]],[1]Sheet1!$A$2:$A$391,[1]Sheet1!$F$2:$F$391,"No Match")</f>
        <v>630</v>
      </c>
      <c r="O452" s="3">
        <f>Table13[[#This Row],[Good_Qty]]/Table13[[#This Row],[Planned_Production]]</f>
        <v>0.973015873015873</v>
      </c>
      <c r="P452" t="str">
        <f>IF(Table13[[#This Row],[Good_Qty]]&gt;=Table13[[#This Row],[Planned_Production]],"Met","Not Met")</f>
        <v>Not Met</v>
      </c>
      <c r="Q452">
        <f>Table13[[#This Row],[Good_Qty]]-Table13[[#This Row],[Planned_Production]]</f>
        <v>-17</v>
      </c>
      <c r="R452" s="3">
        <f>IF(Table13[[#This Row],[Actual_Qty]]=0,0,Table13[[#This Row],[Reject_Qty]]/Table13[[#This Row],[Actual_Qty]])</f>
        <v>8.0906148867313909E-3</v>
      </c>
      <c r="S452">
        <v>429.97</v>
      </c>
      <c r="T452">
        <f>(Table13[[#This Row],[Ideal_Cycle_Time_sec]]*Table13[[#This Row],[Actual_Qty]])/(Table13[[#This Row],[Operational_Time_min]]*60)</f>
        <v>0.57971486382770887</v>
      </c>
      <c r="U452">
        <f>Table13[[#This Row],[Good_Qty]]/Table13[[#This Row],[Actual_Qty]]</f>
        <v>0.99190938511326865</v>
      </c>
      <c r="V452" t="str">
        <f>IF(OR(Table13[[#This Row],[Performance_%]]&gt;=1,Table13[[#This Row],[Performance_%]]&lt;=0),"Error","OK")</f>
        <v>OK</v>
      </c>
      <c r="W452" t="str">
        <f>IF(OR(Table13[[#This Row],[Quality_%]]&gt;=1,Table13[[#This Row],[Quality_%]]&lt;=0),"Error","OK")</f>
        <v>OK</v>
      </c>
      <c r="X452">
        <f>Table13[[#This Row],[Performance_%]]*Table13[[#This Row],[Quality_%]]*[2]Availability_KPI!K452</f>
        <v>0.54942962962962971</v>
      </c>
      <c r="Y452" t="str">
        <f>IF(OR(Table13[[#This Row],[OEE_%]]&gt;1,Table13[[#This Row],[OEE_%]]&lt;0),"Error","OK")</f>
        <v>OK</v>
      </c>
    </row>
    <row r="453" spans="1:25" x14ac:dyDescent="0.2">
      <c r="A453" t="s">
        <v>559</v>
      </c>
      <c r="B453" t="s">
        <v>556</v>
      </c>
      <c r="C453" s="2">
        <v>46261</v>
      </c>
      <c r="D453" t="s">
        <v>67</v>
      </c>
      <c r="E453" t="s">
        <v>38</v>
      </c>
      <c r="F453" t="s">
        <v>29</v>
      </c>
      <c r="G453" t="s">
        <v>30</v>
      </c>
      <c r="H453">
        <v>597</v>
      </c>
      <c r="I453">
        <v>593</v>
      </c>
      <c r="J453">
        <v>4</v>
      </c>
      <c r="K453">
        <v>22</v>
      </c>
      <c r="L453">
        <v>23.38</v>
      </c>
      <c r="M453">
        <v>232.67</v>
      </c>
      <c r="N453">
        <f>_xlfn.XLOOKUP(Table13[[#This Row],[Production_Order_ID]],[1]Sheet1!$A$2:$A$391,[1]Sheet1!$F$2:$F$391,"No Match")</f>
        <v>630</v>
      </c>
      <c r="O453" s="3">
        <f>Table13[[#This Row],[Good_Qty]]/Table13[[#This Row],[Planned_Production]]</f>
        <v>0.94126984126984126</v>
      </c>
      <c r="P453" t="str">
        <f>IF(Table13[[#This Row],[Good_Qty]]&gt;=Table13[[#This Row],[Planned_Production]],"Met","Not Met")</f>
        <v>Not Met</v>
      </c>
      <c r="Q453">
        <f>Table13[[#This Row],[Good_Qty]]-Table13[[#This Row],[Planned_Production]]</f>
        <v>-37</v>
      </c>
      <c r="R453" s="3">
        <f>IF(Table13[[#This Row],[Actual_Qty]]=0,0,Table13[[#This Row],[Reject_Qty]]/Table13[[#This Row],[Actual_Qty]])</f>
        <v>6.7001675041876048E-3</v>
      </c>
      <c r="S453">
        <v>437.07</v>
      </c>
      <c r="T453">
        <f>(Table13[[#This Row],[Ideal_Cycle_Time_sec]]*Table13[[#This Row],[Actual_Qty]])/(Table13[[#This Row],[Operational_Time_min]]*60)</f>
        <v>0.50083510650467888</v>
      </c>
      <c r="U453">
        <f>Table13[[#This Row],[Good_Qty]]/Table13[[#This Row],[Actual_Qty]]</f>
        <v>0.99329983249581244</v>
      </c>
      <c r="V453" t="str">
        <f>IF(OR(Table13[[#This Row],[Performance_%]]&gt;=1,Table13[[#This Row],[Performance_%]]&lt;=0),"Error","OK")</f>
        <v>OK</v>
      </c>
      <c r="W453" t="str">
        <f>IF(OR(Table13[[#This Row],[Quality_%]]&gt;=1,Table13[[#This Row],[Quality_%]]&lt;=0),"Error","OK")</f>
        <v>OK</v>
      </c>
      <c r="X453">
        <f>Table13[[#This Row],[Performance_%]]*Table13[[#This Row],[Quality_%]]*[2]Availability_KPI!K453</f>
        <v>0.48318518518518522</v>
      </c>
      <c r="Y453" t="str">
        <f>IF(OR(Table13[[#This Row],[OEE_%]]&gt;1,Table13[[#This Row],[OEE_%]]&lt;0),"Error","OK")</f>
        <v>OK</v>
      </c>
    </row>
    <row r="454" spans="1:25" x14ac:dyDescent="0.2">
      <c r="A454" t="s">
        <v>560</v>
      </c>
      <c r="B454" t="s">
        <v>556</v>
      </c>
      <c r="C454" s="2">
        <v>46261</v>
      </c>
      <c r="D454" t="s">
        <v>67</v>
      </c>
      <c r="E454" t="s">
        <v>41</v>
      </c>
      <c r="F454" t="s">
        <v>29</v>
      </c>
      <c r="G454" t="s">
        <v>44</v>
      </c>
      <c r="H454">
        <v>614</v>
      </c>
      <c r="I454">
        <v>609</v>
      </c>
      <c r="J454">
        <v>5</v>
      </c>
      <c r="K454">
        <v>19.8</v>
      </c>
      <c r="L454">
        <v>19.8</v>
      </c>
      <c r="M454">
        <v>202.62</v>
      </c>
      <c r="N454">
        <f>_xlfn.XLOOKUP(Table13[[#This Row],[Production_Order_ID]],[1]Sheet1!$A$2:$A$391,[1]Sheet1!$F$2:$F$391,"No Match")</f>
        <v>630</v>
      </c>
      <c r="O454" s="3">
        <f>Table13[[#This Row],[Good_Qty]]/Table13[[#This Row],[Planned_Production]]</f>
        <v>0.96666666666666667</v>
      </c>
      <c r="P454" t="str">
        <f>IF(Table13[[#This Row],[Good_Qty]]&gt;=Table13[[#This Row],[Planned_Production]],"Met","Not Met")</f>
        <v>Not Met</v>
      </c>
      <c r="Q454">
        <f>Table13[[#This Row],[Good_Qty]]-Table13[[#This Row],[Planned_Production]]</f>
        <v>-21</v>
      </c>
      <c r="R454" s="3">
        <f>IF(Table13[[#This Row],[Actual_Qty]]=0,0,Table13[[#This Row],[Reject_Qty]]/Table13[[#This Row],[Actual_Qty]])</f>
        <v>8.1433224755700327E-3</v>
      </c>
      <c r="S454">
        <v>436.08</v>
      </c>
      <c r="T454">
        <f>(Table13[[#This Row],[Ideal_Cycle_Time_sec]]*Table13[[#This Row],[Actual_Qty]])/(Table13[[#This Row],[Operational_Time_min]]*60)</f>
        <v>0.4646395156851954</v>
      </c>
      <c r="U454">
        <f>Table13[[#This Row],[Good_Qty]]/Table13[[#This Row],[Actual_Qty]]</f>
        <v>0.99185667752442996</v>
      </c>
      <c r="V454" t="str">
        <f>IF(OR(Table13[[#This Row],[Performance_%]]&gt;=1,Table13[[#This Row],[Performance_%]]&lt;=0),"Error","OK")</f>
        <v>OK</v>
      </c>
      <c r="W454" t="str">
        <f>IF(OR(Table13[[#This Row],[Quality_%]]&gt;=1,Table13[[#This Row],[Quality_%]]&lt;=0),"Error","OK")</f>
        <v>OK</v>
      </c>
      <c r="X454">
        <f>Table13[[#This Row],[Performance_%]]*Table13[[#This Row],[Quality_%]]*[2]Availability_KPI!K454</f>
        <v>0.4466</v>
      </c>
      <c r="Y454" t="str">
        <f>IF(OR(Table13[[#This Row],[OEE_%]]&gt;1,Table13[[#This Row],[OEE_%]]&lt;0),"Error","OK")</f>
        <v>OK</v>
      </c>
    </row>
    <row r="455" spans="1:25" x14ac:dyDescent="0.2">
      <c r="A455" t="s">
        <v>561</v>
      </c>
      <c r="B455" t="s">
        <v>556</v>
      </c>
      <c r="C455" s="2">
        <v>46261</v>
      </c>
      <c r="D455" t="s">
        <v>67</v>
      </c>
      <c r="E455" t="s">
        <v>43</v>
      </c>
      <c r="F455" t="s">
        <v>29</v>
      </c>
      <c r="G455" t="s">
        <v>75</v>
      </c>
      <c r="H455">
        <v>609</v>
      </c>
      <c r="I455">
        <v>601</v>
      </c>
      <c r="J455">
        <v>8</v>
      </c>
      <c r="K455">
        <v>35.200000000000003</v>
      </c>
      <c r="L455">
        <v>38.340000000000003</v>
      </c>
      <c r="M455">
        <v>389.2</v>
      </c>
      <c r="N455">
        <f>_xlfn.XLOOKUP(Table13[[#This Row],[Production_Order_ID]],[1]Sheet1!$A$2:$A$391,[1]Sheet1!$F$2:$F$391,"No Match")</f>
        <v>630</v>
      </c>
      <c r="O455" s="3">
        <f>Table13[[#This Row],[Good_Qty]]/Table13[[#This Row],[Planned_Production]]</f>
        <v>0.95396825396825402</v>
      </c>
      <c r="P455" t="str">
        <f>IF(Table13[[#This Row],[Good_Qty]]&gt;=Table13[[#This Row],[Planned_Production]],"Met","Not Met")</f>
        <v>Not Met</v>
      </c>
      <c r="Q455">
        <f>Table13[[#This Row],[Good_Qty]]-Table13[[#This Row],[Planned_Production]]</f>
        <v>-29</v>
      </c>
      <c r="R455" s="3">
        <f>IF(Table13[[#This Row],[Actual_Qty]]=0,0,Table13[[#This Row],[Reject_Qty]]/Table13[[#This Row],[Actual_Qty]])</f>
        <v>1.3136288998357963E-2</v>
      </c>
      <c r="S455">
        <v>416.82</v>
      </c>
      <c r="T455">
        <f>(Table13[[#This Row],[Ideal_Cycle_Time_sec]]*Table13[[#This Row],[Actual_Qty]])/(Table13[[#This Row],[Operational_Time_min]]*60)</f>
        <v>0.85715656638357096</v>
      </c>
      <c r="U455">
        <f>Table13[[#This Row],[Good_Qty]]/Table13[[#This Row],[Actual_Qty]]</f>
        <v>0.98686371100164205</v>
      </c>
      <c r="V455" t="str">
        <f>IF(OR(Table13[[#This Row],[Performance_%]]&gt;=1,Table13[[#This Row],[Performance_%]]&lt;=0),"Error","OK")</f>
        <v>OK</v>
      </c>
      <c r="W455" t="str">
        <f>IF(OR(Table13[[#This Row],[Quality_%]]&gt;=1,Table13[[#This Row],[Quality_%]]&lt;=0),"Error","OK")</f>
        <v>OK</v>
      </c>
      <c r="X455">
        <f>Table13[[#This Row],[Performance_%]]*Table13[[#This Row],[Quality_%]]*[2]Availability_KPI!K455</f>
        <v>0.78352592592592607</v>
      </c>
      <c r="Y455" t="str">
        <f>IF(OR(Table13[[#This Row],[OEE_%]]&gt;1,Table13[[#This Row],[OEE_%]]&lt;0),"Error","OK")</f>
        <v>OK</v>
      </c>
    </row>
    <row r="456" spans="1:25" x14ac:dyDescent="0.2">
      <c r="A456" t="s">
        <v>562</v>
      </c>
      <c r="B456" t="s">
        <v>556</v>
      </c>
      <c r="C456" s="2">
        <v>46261</v>
      </c>
      <c r="D456" t="s">
        <v>67</v>
      </c>
      <c r="E456" t="s">
        <v>46</v>
      </c>
      <c r="F456" t="s">
        <v>29</v>
      </c>
      <c r="G456" t="s">
        <v>33</v>
      </c>
      <c r="H456">
        <v>601</v>
      </c>
      <c r="I456">
        <v>596</v>
      </c>
      <c r="J456">
        <v>5</v>
      </c>
      <c r="K456">
        <v>27.5</v>
      </c>
      <c r="L456">
        <v>28.3</v>
      </c>
      <c r="M456">
        <v>283.42</v>
      </c>
      <c r="N456">
        <f>_xlfn.XLOOKUP(Table13[[#This Row],[Production_Order_ID]],[1]Sheet1!$A$2:$A$391,[1]Sheet1!$F$2:$F$391,"No Match")</f>
        <v>630</v>
      </c>
      <c r="O456" s="3">
        <f>Table13[[#This Row],[Good_Qty]]/Table13[[#This Row],[Planned_Production]]</f>
        <v>0.946031746031746</v>
      </c>
      <c r="P456" t="str">
        <f>IF(Table13[[#This Row],[Good_Qty]]&gt;=Table13[[#This Row],[Planned_Production]],"Met","Not Met")</f>
        <v>Not Met</v>
      </c>
      <c r="Q456">
        <f>Table13[[#This Row],[Good_Qty]]-Table13[[#This Row],[Planned_Production]]</f>
        <v>-34</v>
      </c>
      <c r="R456" s="3">
        <f>IF(Table13[[#This Row],[Actual_Qty]]=0,0,Table13[[#This Row],[Reject_Qty]]/Table13[[#This Row],[Actual_Qty]])</f>
        <v>8.3194675540765387E-3</v>
      </c>
      <c r="S456">
        <v>430.56</v>
      </c>
      <c r="T456">
        <f>(Table13[[#This Row],[Ideal_Cycle_Time_sec]]*Table13[[#This Row],[Actual_Qty]])/(Table13[[#This Row],[Operational_Time_min]]*60)</f>
        <v>0.63976758949585044</v>
      </c>
      <c r="U456">
        <f>Table13[[#This Row],[Good_Qty]]/Table13[[#This Row],[Actual_Qty]]</f>
        <v>0.99168053244592347</v>
      </c>
      <c r="V456" t="str">
        <f>IF(OR(Table13[[#This Row],[Performance_%]]&gt;=1,Table13[[#This Row],[Performance_%]]&lt;=0),"Error","OK")</f>
        <v>OK</v>
      </c>
      <c r="W456" t="str">
        <f>IF(OR(Table13[[#This Row],[Quality_%]]&gt;=1,Table13[[#This Row],[Quality_%]]&lt;=0),"Error","OK")</f>
        <v>OK</v>
      </c>
      <c r="X456">
        <f>Table13[[#This Row],[Performance_%]]*Table13[[#This Row],[Quality_%]]*[2]Availability_KPI!K456</f>
        <v>0.60703703703703715</v>
      </c>
      <c r="Y456" t="str">
        <f>IF(OR(Table13[[#This Row],[OEE_%]]&gt;1,Table13[[#This Row],[OEE_%]]&lt;0),"Error","OK")</f>
        <v>OK</v>
      </c>
    </row>
    <row r="457" spans="1:25" x14ac:dyDescent="0.2">
      <c r="A457" t="s">
        <v>563</v>
      </c>
      <c r="B457" t="s">
        <v>556</v>
      </c>
      <c r="C457" s="2">
        <v>46261</v>
      </c>
      <c r="D457" t="s">
        <v>67</v>
      </c>
      <c r="E457" t="s">
        <v>49</v>
      </c>
      <c r="F457" t="s">
        <v>29</v>
      </c>
      <c r="G457" t="s">
        <v>47</v>
      </c>
      <c r="H457">
        <v>612</v>
      </c>
      <c r="I457">
        <v>610</v>
      </c>
      <c r="J457">
        <v>2</v>
      </c>
      <c r="K457">
        <v>22</v>
      </c>
      <c r="L457">
        <v>22.97</v>
      </c>
      <c r="M457">
        <v>234.3</v>
      </c>
      <c r="N457">
        <f>_xlfn.XLOOKUP(Table13[[#This Row],[Production_Order_ID]],[1]Sheet1!$A$2:$A$391,[1]Sheet1!$F$2:$F$391,"No Match")</f>
        <v>630</v>
      </c>
      <c r="O457" s="3">
        <f>Table13[[#This Row],[Good_Qty]]/Table13[[#This Row],[Planned_Production]]</f>
        <v>0.96825396825396826</v>
      </c>
      <c r="P457" t="str">
        <f>IF(Table13[[#This Row],[Good_Qty]]&gt;=Table13[[#This Row],[Planned_Production]],"Met","Not Met")</f>
        <v>Not Met</v>
      </c>
      <c r="Q457">
        <f>Table13[[#This Row],[Good_Qty]]-Table13[[#This Row],[Planned_Production]]</f>
        <v>-20</v>
      </c>
      <c r="R457" s="3">
        <f>IF(Table13[[#This Row],[Actual_Qty]]=0,0,Table13[[#This Row],[Reject_Qty]]/Table13[[#This Row],[Actual_Qty]])</f>
        <v>3.2679738562091504E-3</v>
      </c>
      <c r="S457">
        <v>440.9</v>
      </c>
      <c r="T457">
        <f>(Table13[[#This Row],[Ideal_Cycle_Time_sec]]*Table13[[#This Row],[Actual_Qty]])/(Table13[[#This Row],[Operational_Time_min]]*60)</f>
        <v>0.5089589476071672</v>
      </c>
      <c r="U457">
        <f>Table13[[#This Row],[Good_Qty]]/Table13[[#This Row],[Actual_Qty]]</f>
        <v>0.99673202614379086</v>
      </c>
      <c r="V457" t="str">
        <f>IF(OR(Table13[[#This Row],[Performance_%]]&gt;=1,Table13[[#This Row],[Performance_%]]&lt;=0),"Error","OK")</f>
        <v>OK</v>
      </c>
      <c r="W457" t="str">
        <f>IF(OR(Table13[[#This Row],[Quality_%]]&gt;=1,Table13[[#This Row],[Quality_%]]&lt;=0),"Error","OK")</f>
        <v>OK</v>
      </c>
      <c r="X457">
        <f>Table13[[#This Row],[Performance_%]]*Table13[[#This Row],[Quality_%]]*[2]Availability_KPI!K457</f>
        <v>0.49703703703703711</v>
      </c>
      <c r="Y457" t="str">
        <f>IF(OR(Table13[[#This Row],[OEE_%]]&gt;1,Table13[[#This Row],[OEE_%]]&lt;0),"Error","OK")</f>
        <v>OK</v>
      </c>
    </row>
    <row r="458" spans="1:25" x14ac:dyDescent="0.2">
      <c r="A458" t="s">
        <v>564</v>
      </c>
      <c r="B458" t="s">
        <v>565</v>
      </c>
      <c r="C458" s="2">
        <v>46262</v>
      </c>
      <c r="D458" t="s">
        <v>27</v>
      </c>
      <c r="E458" t="s">
        <v>28</v>
      </c>
      <c r="F458" t="s">
        <v>97</v>
      </c>
      <c r="G458" t="s">
        <v>75</v>
      </c>
      <c r="H458">
        <v>665</v>
      </c>
      <c r="I458">
        <v>661</v>
      </c>
      <c r="J458">
        <v>4</v>
      </c>
      <c r="K458">
        <v>19.260000000000002</v>
      </c>
      <c r="L458">
        <v>19.260000000000002</v>
      </c>
      <c r="M458">
        <v>213.47</v>
      </c>
      <c r="N458">
        <f>_xlfn.XLOOKUP(Table13[[#This Row],[Production_Order_ID]],[1]Sheet1!$A$2:$A$391,[1]Sheet1!$F$2:$F$391,"No Match")</f>
        <v>440</v>
      </c>
      <c r="O458" s="3">
        <f>Table13[[#This Row],[Good_Qty]]/Table13[[#This Row],[Planned_Production]]</f>
        <v>1.5022727272727272</v>
      </c>
      <c r="P458" t="str">
        <f>IF(Table13[[#This Row],[Good_Qty]]&gt;=Table13[[#This Row],[Planned_Production]],"Met","Not Met")</f>
        <v>Met</v>
      </c>
      <c r="Q458">
        <f>Table13[[#This Row],[Good_Qty]]-Table13[[#This Row],[Planned_Production]]</f>
        <v>221</v>
      </c>
      <c r="R458" s="3">
        <f>IF(Table13[[#This Row],[Actual_Qty]]=0,0,Table13[[#This Row],[Reject_Qty]]/Table13[[#This Row],[Actual_Qty]])</f>
        <v>6.0150375939849628E-3</v>
      </c>
      <c r="S458">
        <v>439.63</v>
      </c>
      <c r="T458">
        <f>(Table13[[#This Row],[Ideal_Cycle_Time_sec]]*Table13[[#This Row],[Actual_Qty]])/(Table13[[#This Row],[Operational_Time_min]]*60)</f>
        <v>0.48555603575734146</v>
      </c>
      <c r="U458">
        <f>Table13[[#This Row],[Good_Qty]]/Table13[[#This Row],[Actual_Qty]]</f>
        <v>0.99398496240601508</v>
      </c>
      <c r="V458" t="str">
        <f>IF(OR(Table13[[#This Row],[Performance_%]]&gt;=1,Table13[[#This Row],[Performance_%]]&lt;=0),"Error","OK")</f>
        <v>OK</v>
      </c>
      <c r="W458" t="str">
        <f>IF(OR(Table13[[#This Row],[Quality_%]]&gt;=1,Table13[[#This Row],[Quality_%]]&lt;=0),"Error","OK")</f>
        <v>OK</v>
      </c>
      <c r="X458">
        <f>Table13[[#This Row],[Performance_%]]*Table13[[#This Row],[Quality_%]]*[2]Availability_KPI!K458</f>
        <v>0.4715133333333334</v>
      </c>
      <c r="Y458" t="str">
        <f>IF(OR(Table13[[#This Row],[OEE_%]]&gt;1,Table13[[#This Row],[OEE_%]]&lt;0),"Error","OK")</f>
        <v>OK</v>
      </c>
    </row>
    <row r="459" spans="1:25" x14ac:dyDescent="0.2">
      <c r="A459" t="s">
        <v>566</v>
      </c>
      <c r="B459" t="s">
        <v>565</v>
      </c>
      <c r="C459" s="2">
        <v>46262</v>
      </c>
      <c r="D459" t="s">
        <v>27</v>
      </c>
      <c r="E459" t="s">
        <v>32</v>
      </c>
      <c r="F459" t="s">
        <v>97</v>
      </c>
      <c r="G459" t="s">
        <v>36</v>
      </c>
      <c r="H459">
        <v>666</v>
      </c>
      <c r="I459">
        <v>659</v>
      </c>
      <c r="J459">
        <v>7</v>
      </c>
      <c r="K459">
        <v>21.4</v>
      </c>
      <c r="L459">
        <v>22.39</v>
      </c>
      <c r="M459">
        <v>248.48</v>
      </c>
      <c r="N459">
        <f>_xlfn.XLOOKUP(Table13[[#This Row],[Production_Order_ID]],[1]Sheet1!$A$2:$A$391,[1]Sheet1!$F$2:$F$391,"No Match")</f>
        <v>440</v>
      </c>
      <c r="O459" s="3">
        <f>Table13[[#This Row],[Good_Qty]]/Table13[[#This Row],[Planned_Production]]</f>
        <v>1.4977272727272728</v>
      </c>
      <c r="P459" t="str">
        <f>IF(Table13[[#This Row],[Good_Qty]]&gt;=Table13[[#This Row],[Planned_Production]],"Met","Not Met")</f>
        <v>Met</v>
      </c>
      <c r="Q459">
        <f>Table13[[#This Row],[Good_Qty]]-Table13[[#This Row],[Planned_Production]]</f>
        <v>219</v>
      </c>
      <c r="R459" s="3">
        <f>IF(Table13[[#This Row],[Actual_Qty]]=0,0,Table13[[#This Row],[Reject_Qty]]/Table13[[#This Row],[Actual_Qty]])</f>
        <v>1.0510510510510511E-2</v>
      </c>
      <c r="S459">
        <v>437.07</v>
      </c>
      <c r="T459">
        <f>(Table13[[#This Row],[Ideal_Cycle_Time_sec]]*Table13[[#This Row],[Actual_Qty]])/(Table13[[#This Row],[Operational_Time_min]]*60)</f>
        <v>0.5434827373189649</v>
      </c>
      <c r="U459">
        <f>Table13[[#This Row],[Good_Qty]]/Table13[[#This Row],[Actual_Qty]]</f>
        <v>0.98948948948948945</v>
      </c>
      <c r="V459" t="str">
        <f>IF(OR(Table13[[#This Row],[Performance_%]]&gt;=1,Table13[[#This Row],[Performance_%]]&lt;=0),"Error","OK")</f>
        <v>OK</v>
      </c>
      <c r="W459" t="str">
        <f>IF(OR(Table13[[#This Row],[Quality_%]]&gt;=1,Table13[[#This Row],[Quality_%]]&lt;=0),"Error","OK")</f>
        <v>OK</v>
      </c>
      <c r="X459">
        <f>Table13[[#This Row],[Performance_%]]*Table13[[#This Row],[Quality_%]]*[2]Availability_KPI!K459</f>
        <v>0.5223185185185184</v>
      </c>
      <c r="Y459" t="str">
        <f>IF(OR(Table13[[#This Row],[OEE_%]]&gt;1,Table13[[#This Row],[OEE_%]]&lt;0),"Error","OK")</f>
        <v>OK</v>
      </c>
    </row>
    <row r="460" spans="1:25" x14ac:dyDescent="0.2">
      <c r="A460" t="s">
        <v>567</v>
      </c>
      <c r="B460" t="s">
        <v>565</v>
      </c>
      <c r="C460" s="2">
        <v>46262</v>
      </c>
      <c r="D460" t="s">
        <v>27</v>
      </c>
      <c r="E460" t="s">
        <v>35</v>
      </c>
      <c r="F460" t="s">
        <v>97</v>
      </c>
      <c r="G460" t="s">
        <v>55</v>
      </c>
      <c r="H460">
        <v>670</v>
      </c>
      <c r="I460">
        <v>665</v>
      </c>
      <c r="J460">
        <v>5</v>
      </c>
      <c r="K460">
        <v>23.54</v>
      </c>
      <c r="L460">
        <v>24.22</v>
      </c>
      <c r="M460">
        <v>270.47000000000003</v>
      </c>
      <c r="N460">
        <f>_xlfn.XLOOKUP(Table13[[#This Row],[Production_Order_ID]],[1]Sheet1!$A$2:$A$391,[1]Sheet1!$F$2:$F$391,"No Match")</f>
        <v>440</v>
      </c>
      <c r="O460" s="3">
        <f>Table13[[#This Row],[Good_Qty]]/Table13[[#This Row],[Planned_Production]]</f>
        <v>1.5113636363636365</v>
      </c>
      <c r="P460" t="str">
        <f>IF(Table13[[#This Row],[Good_Qty]]&gt;=Table13[[#This Row],[Planned_Production]],"Met","Not Met")</f>
        <v>Met</v>
      </c>
      <c r="Q460">
        <f>Table13[[#This Row],[Good_Qty]]-Table13[[#This Row],[Planned_Production]]</f>
        <v>225</v>
      </c>
      <c r="R460" s="3">
        <f>IF(Table13[[#This Row],[Actual_Qty]]=0,0,Table13[[#This Row],[Reject_Qty]]/Table13[[#This Row],[Actual_Qty]])</f>
        <v>7.462686567164179E-3</v>
      </c>
      <c r="S460">
        <v>431.93</v>
      </c>
      <c r="T460">
        <f>(Table13[[#This Row],[Ideal_Cycle_Time_sec]]*Table13[[#This Row],[Actual_Qty]])/(Table13[[#This Row],[Operational_Time_min]]*60)</f>
        <v>0.60857855053673815</v>
      </c>
      <c r="U460">
        <f>Table13[[#This Row],[Good_Qty]]/Table13[[#This Row],[Actual_Qty]]</f>
        <v>0.9925373134328358</v>
      </c>
      <c r="V460" t="str">
        <f>IF(OR(Table13[[#This Row],[Performance_%]]&gt;=1,Table13[[#This Row],[Performance_%]]&lt;=0),"Error","OK")</f>
        <v>OK</v>
      </c>
      <c r="W460" t="str">
        <f>IF(OR(Table13[[#This Row],[Quality_%]]&gt;=1,Table13[[#This Row],[Quality_%]]&lt;=0),"Error","OK")</f>
        <v>OK</v>
      </c>
      <c r="X460">
        <f>Table13[[#This Row],[Performance_%]]*Table13[[#This Row],[Quality_%]]*[2]Availability_KPI!K460</f>
        <v>0.57978148148148145</v>
      </c>
      <c r="Y460" t="str">
        <f>IF(OR(Table13[[#This Row],[OEE_%]]&gt;1,Table13[[#This Row],[OEE_%]]&lt;0),"Error","OK")</f>
        <v>OK</v>
      </c>
    </row>
    <row r="461" spans="1:25" x14ac:dyDescent="0.2">
      <c r="A461" t="s">
        <v>568</v>
      </c>
      <c r="B461" t="s">
        <v>565</v>
      </c>
      <c r="C461" s="2">
        <v>46262</v>
      </c>
      <c r="D461" t="s">
        <v>27</v>
      </c>
      <c r="E461" t="s">
        <v>38</v>
      </c>
      <c r="F461" t="s">
        <v>97</v>
      </c>
      <c r="G461" t="s">
        <v>44</v>
      </c>
      <c r="H461">
        <v>682</v>
      </c>
      <c r="I461">
        <v>679</v>
      </c>
      <c r="J461">
        <v>3</v>
      </c>
      <c r="K461">
        <v>21.4</v>
      </c>
      <c r="L461">
        <v>22.34</v>
      </c>
      <c r="M461">
        <v>253.9</v>
      </c>
      <c r="N461">
        <f>_xlfn.XLOOKUP(Table13[[#This Row],[Production_Order_ID]],[1]Sheet1!$A$2:$A$391,[1]Sheet1!$F$2:$F$391,"No Match")</f>
        <v>440</v>
      </c>
      <c r="O461" s="3">
        <f>Table13[[#This Row],[Good_Qty]]/Table13[[#This Row],[Planned_Production]]</f>
        <v>1.5431818181818182</v>
      </c>
      <c r="P461" t="str">
        <f>IF(Table13[[#This Row],[Good_Qty]]&gt;=Table13[[#This Row],[Planned_Production]],"Met","Not Met")</f>
        <v>Met</v>
      </c>
      <c r="Q461">
        <f>Table13[[#This Row],[Good_Qty]]-Table13[[#This Row],[Planned_Production]]</f>
        <v>239</v>
      </c>
      <c r="R461" s="3">
        <f>IF(Table13[[#This Row],[Actual_Qty]]=0,0,Table13[[#This Row],[Reject_Qty]]/Table13[[#This Row],[Actual_Qty]])</f>
        <v>4.3988269794721412E-3</v>
      </c>
      <c r="S461">
        <v>434.77</v>
      </c>
      <c r="T461">
        <f>(Table13[[#This Row],[Ideal_Cycle_Time_sec]]*Table13[[#This Row],[Actual_Qty]])/(Table13[[#This Row],[Operational_Time_min]]*60)</f>
        <v>0.55948355835652575</v>
      </c>
      <c r="U461">
        <f>Table13[[#This Row],[Good_Qty]]/Table13[[#This Row],[Actual_Qty]]</f>
        <v>0.99560117302052786</v>
      </c>
      <c r="V461" t="str">
        <f>IF(OR(Table13[[#This Row],[Performance_%]]&gt;=1,Table13[[#This Row],[Performance_%]]&lt;=0),"Error","OK")</f>
        <v>OK</v>
      </c>
      <c r="W461" t="str">
        <f>IF(OR(Table13[[#This Row],[Quality_%]]&gt;=1,Table13[[#This Row],[Quality_%]]&lt;=0),"Error","OK")</f>
        <v>OK</v>
      </c>
      <c r="X461">
        <f>Table13[[#This Row],[Performance_%]]*Table13[[#This Row],[Quality_%]]*[2]Availability_KPI!K461</f>
        <v>0.53817037037037041</v>
      </c>
      <c r="Y461" t="str">
        <f>IF(OR(Table13[[#This Row],[OEE_%]]&gt;1,Table13[[#This Row],[OEE_%]]&lt;0),"Error","OK")</f>
        <v>OK</v>
      </c>
    </row>
    <row r="462" spans="1:25" x14ac:dyDescent="0.2">
      <c r="A462" t="s">
        <v>569</v>
      </c>
      <c r="B462" t="s">
        <v>565</v>
      </c>
      <c r="C462" s="2">
        <v>46262</v>
      </c>
      <c r="D462" t="s">
        <v>27</v>
      </c>
      <c r="E462" t="s">
        <v>41</v>
      </c>
      <c r="F462" t="s">
        <v>97</v>
      </c>
      <c r="G462" t="s">
        <v>39</v>
      </c>
      <c r="H462">
        <v>660</v>
      </c>
      <c r="I462">
        <v>655</v>
      </c>
      <c r="J462">
        <v>5</v>
      </c>
      <c r="K462">
        <v>19.260000000000002</v>
      </c>
      <c r="L462">
        <v>20.32</v>
      </c>
      <c r="M462">
        <v>223.56</v>
      </c>
      <c r="N462">
        <f>_xlfn.XLOOKUP(Table13[[#This Row],[Production_Order_ID]],[1]Sheet1!$A$2:$A$391,[1]Sheet1!$F$2:$F$391,"No Match")</f>
        <v>440</v>
      </c>
      <c r="O462" s="3">
        <f>Table13[[#This Row],[Good_Qty]]/Table13[[#This Row],[Planned_Production]]</f>
        <v>1.4886363636363635</v>
      </c>
      <c r="P462" t="str">
        <f>IF(Table13[[#This Row],[Good_Qty]]&gt;=Table13[[#This Row],[Planned_Production]],"Met","Not Met")</f>
        <v>Met</v>
      </c>
      <c r="Q462">
        <f>Table13[[#This Row],[Good_Qty]]-Table13[[#This Row],[Planned_Production]]</f>
        <v>215</v>
      </c>
      <c r="R462" s="3">
        <f>IF(Table13[[#This Row],[Actual_Qty]]=0,0,Table13[[#This Row],[Reject_Qty]]/Table13[[#This Row],[Actual_Qty]])</f>
        <v>7.575757575757576E-3</v>
      </c>
      <c r="S462">
        <v>439.05</v>
      </c>
      <c r="T462">
        <f>(Table13[[#This Row],[Ideal_Cycle_Time_sec]]*Table13[[#This Row],[Actual_Qty]])/(Table13[[#This Row],[Operational_Time_min]]*60)</f>
        <v>0.48254185172531605</v>
      </c>
      <c r="U462">
        <f>Table13[[#This Row],[Good_Qty]]/Table13[[#This Row],[Actual_Qty]]</f>
        <v>0.99242424242424243</v>
      </c>
      <c r="V462" t="str">
        <f>IF(OR(Table13[[#This Row],[Performance_%]]&gt;=1,Table13[[#This Row],[Performance_%]]&lt;=0),"Error","OK")</f>
        <v>OK</v>
      </c>
      <c r="W462" t="str">
        <f>IF(OR(Table13[[#This Row],[Quality_%]]&gt;=1,Table13[[#This Row],[Quality_%]]&lt;=0),"Error","OK")</f>
        <v>OK</v>
      </c>
      <c r="X462">
        <f>Table13[[#This Row],[Performance_%]]*Table13[[#This Row],[Quality_%]]*[2]Availability_KPI!K462</f>
        <v>0.46723333333333339</v>
      </c>
      <c r="Y462" t="str">
        <f>IF(OR(Table13[[#This Row],[OEE_%]]&gt;1,Table13[[#This Row],[OEE_%]]&lt;0),"Error","OK")</f>
        <v>OK</v>
      </c>
    </row>
    <row r="463" spans="1:25" x14ac:dyDescent="0.2">
      <c r="A463" t="s">
        <v>570</v>
      </c>
      <c r="B463" t="s">
        <v>565</v>
      </c>
      <c r="C463" s="2">
        <v>46262</v>
      </c>
      <c r="D463" t="s">
        <v>27</v>
      </c>
      <c r="E463" t="s">
        <v>43</v>
      </c>
      <c r="F463" t="s">
        <v>97</v>
      </c>
      <c r="G463" t="s">
        <v>39</v>
      </c>
      <c r="H463">
        <v>685</v>
      </c>
      <c r="I463">
        <v>674</v>
      </c>
      <c r="J463">
        <v>11</v>
      </c>
      <c r="K463">
        <v>34.24</v>
      </c>
      <c r="L463">
        <v>35.74</v>
      </c>
      <c r="M463">
        <v>408.08</v>
      </c>
      <c r="N463">
        <f>_xlfn.XLOOKUP(Table13[[#This Row],[Production_Order_ID]],[1]Sheet1!$A$2:$A$391,[1]Sheet1!$F$2:$F$391,"No Match")</f>
        <v>440</v>
      </c>
      <c r="O463" s="3">
        <f>Table13[[#This Row],[Good_Qty]]/Table13[[#This Row],[Planned_Production]]</f>
        <v>1.5318181818181817</v>
      </c>
      <c r="P463" t="str">
        <f>IF(Table13[[#This Row],[Good_Qty]]&gt;=Table13[[#This Row],[Planned_Production]],"Met","Not Met")</f>
        <v>Met</v>
      </c>
      <c r="Q463">
        <f>Table13[[#This Row],[Good_Qty]]-Table13[[#This Row],[Planned_Production]]</f>
        <v>234</v>
      </c>
      <c r="R463" s="3">
        <f>IF(Table13[[#This Row],[Actual_Qty]]=0,0,Table13[[#This Row],[Reject_Qty]]/Table13[[#This Row],[Actual_Qty]])</f>
        <v>1.6058394160583942E-2</v>
      </c>
      <c r="S463">
        <v>412.81</v>
      </c>
      <c r="T463">
        <f>(Table13[[#This Row],[Ideal_Cycle_Time_sec]]*Table13[[#This Row],[Actual_Qty]])/(Table13[[#This Row],[Operational_Time_min]]*60)</f>
        <v>0.94694088482998651</v>
      </c>
      <c r="U463">
        <f>Table13[[#This Row],[Good_Qty]]/Table13[[#This Row],[Actual_Qty]]</f>
        <v>0.98394160583941603</v>
      </c>
      <c r="V463" t="str">
        <f>IF(OR(Table13[[#This Row],[Performance_%]]&gt;=1,Table13[[#This Row],[Performance_%]]&lt;=0),"Error","OK")</f>
        <v>OK</v>
      </c>
      <c r="W463" t="str">
        <f>IF(OR(Table13[[#This Row],[Quality_%]]&gt;=1,Table13[[#This Row],[Quality_%]]&lt;=0),"Error","OK")</f>
        <v>OK</v>
      </c>
      <c r="X463">
        <f>Table13[[#This Row],[Performance_%]]*Table13[[#This Row],[Quality_%]]*[2]Availability_KPI!K463</f>
        <v>0.85473185185185196</v>
      </c>
      <c r="Y463" t="str">
        <f>IF(OR(Table13[[#This Row],[OEE_%]]&gt;1,Table13[[#This Row],[OEE_%]]&lt;0),"Error","OK")</f>
        <v>OK</v>
      </c>
    </row>
    <row r="464" spans="1:25" x14ac:dyDescent="0.2">
      <c r="A464" t="s">
        <v>571</v>
      </c>
      <c r="B464" t="s">
        <v>565</v>
      </c>
      <c r="C464" s="2">
        <v>46262</v>
      </c>
      <c r="D464" t="s">
        <v>27</v>
      </c>
      <c r="E464" t="s">
        <v>46</v>
      </c>
      <c r="F464" t="s">
        <v>97</v>
      </c>
      <c r="G464" t="s">
        <v>44</v>
      </c>
      <c r="H464">
        <v>669</v>
      </c>
      <c r="I464">
        <v>663</v>
      </c>
      <c r="J464">
        <v>6</v>
      </c>
      <c r="K464">
        <v>26.75</v>
      </c>
      <c r="L464">
        <v>27.63</v>
      </c>
      <c r="M464">
        <v>308.12</v>
      </c>
      <c r="N464">
        <f>_xlfn.XLOOKUP(Table13[[#This Row],[Production_Order_ID]],[1]Sheet1!$A$2:$A$391,[1]Sheet1!$F$2:$F$391,"No Match")</f>
        <v>440</v>
      </c>
      <c r="O464" s="3">
        <f>Table13[[#This Row],[Good_Qty]]/Table13[[#This Row],[Planned_Production]]</f>
        <v>1.5068181818181818</v>
      </c>
      <c r="P464" t="str">
        <f>IF(Table13[[#This Row],[Good_Qty]]&gt;=Table13[[#This Row],[Planned_Production]],"Met","Not Met")</f>
        <v>Met</v>
      </c>
      <c r="Q464">
        <f>Table13[[#This Row],[Good_Qty]]-Table13[[#This Row],[Planned_Production]]</f>
        <v>223</v>
      </c>
      <c r="R464" s="3">
        <f>IF(Table13[[#This Row],[Actual_Qty]]=0,0,Table13[[#This Row],[Reject_Qty]]/Table13[[#This Row],[Actual_Qty]])</f>
        <v>8.9686098654708519E-3</v>
      </c>
      <c r="S464">
        <v>421.5</v>
      </c>
      <c r="T464">
        <f>(Table13[[#This Row],[Ideal_Cycle_Time_sec]]*Table13[[#This Row],[Actual_Qty]])/(Table13[[#This Row],[Operational_Time_min]]*60)</f>
        <v>0.70762158956109134</v>
      </c>
      <c r="U464">
        <f>Table13[[#This Row],[Good_Qty]]/Table13[[#This Row],[Actual_Qty]]</f>
        <v>0.99103139013452912</v>
      </c>
      <c r="V464" t="str">
        <f>IF(OR(Table13[[#This Row],[Performance_%]]&gt;=1,Table13[[#This Row],[Performance_%]]&lt;=0),"Error","OK")</f>
        <v>OK</v>
      </c>
      <c r="W464" t="str">
        <f>IF(OR(Table13[[#This Row],[Quality_%]]&gt;=1,Table13[[#This Row],[Quality_%]]&lt;=0),"Error","OK")</f>
        <v>OK</v>
      </c>
      <c r="X464">
        <f>Table13[[#This Row],[Performance_%]]*Table13[[#This Row],[Quality_%]]*[2]Availability_KPI!K464</f>
        <v>0.65686111111111101</v>
      </c>
      <c r="Y464" t="str">
        <f>IF(OR(Table13[[#This Row],[OEE_%]]&gt;1,Table13[[#This Row],[OEE_%]]&lt;0),"Error","OK")</f>
        <v>OK</v>
      </c>
    </row>
    <row r="465" spans="1:25" x14ac:dyDescent="0.2">
      <c r="A465" t="s">
        <v>572</v>
      </c>
      <c r="B465" t="s">
        <v>565</v>
      </c>
      <c r="C465" s="2">
        <v>46262</v>
      </c>
      <c r="D465" t="s">
        <v>27</v>
      </c>
      <c r="E465" t="s">
        <v>49</v>
      </c>
      <c r="F465" t="s">
        <v>97</v>
      </c>
      <c r="G465" t="s">
        <v>57</v>
      </c>
      <c r="H465">
        <v>683</v>
      </c>
      <c r="I465">
        <v>679</v>
      </c>
      <c r="J465">
        <v>4</v>
      </c>
      <c r="K465">
        <v>21.4</v>
      </c>
      <c r="L465">
        <v>21.4</v>
      </c>
      <c r="M465">
        <v>243.6</v>
      </c>
      <c r="N465">
        <f>_xlfn.XLOOKUP(Table13[[#This Row],[Production_Order_ID]],[1]Sheet1!$A$2:$A$391,[1]Sheet1!$F$2:$F$391,"No Match")</f>
        <v>440</v>
      </c>
      <c r="O465" s="3">
        <f>Table13[[#This Row],[Good_Qty]]/Table13[[#This Row],[Planned_Production]]</f>
        <v>1.5431818181818182</v>
      </c>
      <c r="P465" t="str">
        <f>IF(Table13[[#This Row],[Good_Qty]]&gt;=Table13[[#This Row],[Planned_Production]],"Met","Not Met")</f>
        <v>Met</v>
      </c>
      <c r="Q465">
        <f>Table13[[#This Row],[Good_Qty]]-Table13[[#This Row],[Planned_Production]]</f>
        <v>239</v>
      </c>
      <c r="R465" s="3">
        <f>IF(Table13[[#This Row],[Actual_Qty]]=0,0,Table13[[#This Row],[Reject_Qty]]/Table13[[#This Row],[Actual_Qty]])</f>
        <v>5.8565153733528552E-3</v>
      </c>
      <c r="S465">
        <v>439.13</v>
      </c>
      <c r="T465">
        <f>(Table13[[#This Row],[Ideal_Cycle_Time_sec]]*Table13[[#This Row],[Actual_Qty]])/(Table13[[#This Row],[Operational_Time_min]]*60)</f>
        <v>0.55474081327473257</v>
      </c>
      <c r="U465">
        <f>Table13[[#This Row],[Good_Qty]]/Table13[[#This Row],[Actual_Qty]]</f>
        <v>0.99414348462664714</v>
      </c>
      <c r="V465" t="str">
        <f>IF(OR(Table13[[#This Row],[Performance_%]]&gt;=1,Table13[[#This Row],[Performance_%]]&lt;=0),"Error","OK")</f>
        <v>OK</v>
      </c>
      <c r="W465" t="str">
        <f>IF(OR(Table13[[#This Row],[Quality_%]]&gt;=1,Table13[[#This Row],[Quality_%]]&lt;=0),"Error","OK")</f>
        <v>OK</v>
      </c>
      <c r="X465">
        <f>Table13[[#This Row],[Performance_%]]*Table13[[#This Row],[Quality_%]]*[2]Availability_KPI!K465</f>
        <v>0.5381703703703703</v>
      </c>
      <c r="Y465" t="str">
        <f>IF(OR(Table13[[#This Row],[OEE_%]]&gt;1,Table13[[#This Row],[OEE_%]]&lt;0),"Error","OK")</f>
        <v>OK</v>
      </c>
    </row>
    <row r="466" spans="1:25" x14ac:dyDescent="0.2">
      <c r="A466" t="s">
        <v>573</v>
      </c>
      <c r="B466" t="s">
        <v>574</v>
      </c>
      <c r="C466" s="2">
        <v>46262</v>
      </c>
      <c r="D466" t="s">
        <v>53</v>
      </c>
      <c r="E466" t="s">
        <v>28</v>
      </c>
      <c r="F466" t="s">
        <v>54</v>
      </c>
      <c r="G466" t="s">
        <v>71</v>
      </c>
      <c r="H466">
        <v>576</v>
      </c>
      <c r="I466">
        <v>574</v>
      </c>
      <c r="J466">
        <v>2</v>
      </c>
      <c r="K466">
        <v>18</v>
      </c>
      <c r="L466">
        <v>18.559999999999999</v>
      </c>
      <c r="M466">
        <v>178.21</v>
      </c>
      <c r="N466">
        <f>_xlfn.XLOOKUP(Table13[[#This Row],[Production_Order_ID]],[1]Sheet1!$A$2:$A$391,[1]Sheet1!$F$2:$F$391,"No Match")</f>
        <v>670</v>
      </c>
      <c r="O466" s="3">
        <f>Table13[[#This Row],[Good_Qty]]/Table13[[#This Row],[Planned_Production]]</f>
        <v>0.85671641791044773</v>
      </c>
      <c r="P466" t="str">
        <f>IF(Table13[[#This Row],[Good_Qty]]&gt;=Table13[[#This Row],[Planned_Production]],"Met","Not Met")</f>
        <v>Not Met</v>
      </c>
      <c r="Q466">
        <f>Table13[[#This Row],[Good_Qty]]-Table13[[#This Row],[Planned_Production]]</f>
        <v>-96</v>
      </c>
      <c r="R466" s="3">
        <f>IF(Table13[[#This Row],[Actual_Qty]]=0,0,Table13[[#This Row],[Reject_Qty]]/Table13[[#This Row],[Actual_Qty]])</f>
        <v>3.472222222222222E-3</v>
      </c>
      <c r="S466">
        <v>442.1</v>
      </c>
      <c r="T466">
        <f>(Table13[[#This Row],[Ideal_Cycle_Time_sec]]*Table13[[#This Row],[Actual_Qty]])/(Table13[[#This Row],[Operational_Time_min]]*60)</f>
        <v>0.39086179597376158</v>
      </c>
      <c r="U466">
        <f>Table13[[#This Row],[Good_Qty]]/Table13[[#This Row],[Actual_Qty]]</f>
        <v>0.99652777777777779</v>
      </c>
      <c r="V466" t="str">
        <f>IF(OR(Table13[[#This Row],[Performance_%]]&gt;=1,Table13[[#This Row],[Performance_%]]&lt;=0),"Error","OK")</f>
        <v>OK</v>
      </c>
      <c r="W466" t="str">
        <f>IF(OR(Table13[[#This Row],[Quality_%]]&gt;=1,Table13[[#This Row],[Quality_%]]&lt;=0),"Error","OK")</f>
        <v>OK</v>
      </c>
      <c r="X466">
        <f>Table13[[#This Row],[Performance_%]]*Table13[[#This Row],[Quality_%]]*[2]Availability_KPI!K466</f>
        <v>0.38266666666666665</v>
      </c>
      <c r="Y466" t="str">
        <f>IF(OR(Table13[[#This Row],[OEE_%]]&gt;1,Table13[[#This Row],[OEE_%]]&lt;0),"Error","OK")</f>
        <v>OK</v>
      </c>
    </row>
    <row r="467" spans="1:25" x14ac:dyDescent="0.2">
      <c r="A467" t="s">
        <v>575</v>
      </c>
      <c r="B467" t="s">
        <v>574</v>
      </c>
      <c r="C467" s="2">
        <v>46262</v>
      </c>
      <c r="D467" t="s">
        <v>53</v>
      </c>
      <c r="E467" t="s">
        <v>32</v>
      </c>
      <c r="F467" t="s">
        <v>54</v>
      </c>
      <c r="G467" t="s">
        <v>55</v>
      </c>
      <c r="H467">
        <v>590</v>
      </c>
      <c r="I467">
        <v>584</v>
      </c>
      <c r="J467">
        <v>6</v>
      </c>
      <c r="K467">
        <v>20</v>
      </c>
      <c r="L467">
        <v>20.49</v>
      </c>
      <c r="M467">
        <v>201.51</v>
      </c>
      <c r="N467">
        <f>_xlfn.XLOOKUP(Table13[[#This Row],[Production_Order_ID]],[1]Sheet1!$A$2:$A$391,[1]Sheet1!$F$2:$F$391,"No Match")</f>
        <v>670</v>
      </c>
      <c r="O467" s="3">
        <f>Table13[[#This Row],[Good_Qty]]/Table13[[#This Row],[Planned_Production]]</f>
        <v>0.87164179104477613</v>
      </c>
      <c r="P467" t="str">
        <f>IF(Table13[[#This Row],[Good_Qty]]&gt;=Table13[[#This Row],[Planned_Production]],"Met","Not Met")</f>
        <v>Not Met</v>
      </c>
      <c r="Q467">
        <f>Table13[[#This Row],[Good_Qty]]-Table13[[#This Row],[Planned_Production]]</f>
        <v>-86</v>
      </c>
      <c r="R467" s="3">
        <f>IF(Table13[[#This Row],[Actual_Qty]]=0,0,Table13[[#This Row],[Reject_Qty]]/Table13[[#This Row],[Actual_Qty]])</f>
        <v>1.0169491525423728E-2</v>
      </c>
      <c r="S467">
        <v>438.85</v>
      </c>
      <c r="T467">
        <f>(Table13[[#This Row],[Ideal_Cycle_Time_sec]]*Table13[[#This Row],[Actual_Qty]])/(Table13[[#This Row],[Operational_Time_min]]*60)</f>
        <v>0.44814097451672935</v>
      </c>
      <c r="U467">
        <f>Table13[[#This Row],[Good_Qty]]/Table13[[#This Row],[Actual_Qty]]</f>
        <v>0.98983050847457632</v>
      </c>
      <c r="V467" t="str">
        <f>IF(OR(Table13[[#This Row],[Performance_%]]&gt;=1,Table13[[#This Row],[Performance_%]]&lt;=0),"Error","OK")</f>
        <v>OK</v>
      </c>
      <c r="W467" t="str">
        <f>IF(OR(Table13[[#This Row],[Quality_%]]&gt;=1,Table13[[#This Row],[Quality_%]]&lt;=0),"Error","OK")</f>
        <v>OK</v>
      </c>
      <c r="X467">
        <f>Table13[[#This Row],[Performance_%]]*Table13[[#This Row],[Quality_%]]*[2]Availability_KPI!K467</f>
        <v>0.43259259259259264</v>
      </c>
      <c r="Y467" t="str">
        <f>IF(OR(Table13[[#This Row],[OEE_%]]&gt;1,Table13[[#This Row],[OEE_%]]&lt;0),"Error","OK")</f>
        <v>OK</v>
      </c>
    </row>
    <row r="468" spans="1:25" x14ac:dyDescent="0.2">
      <c r="A468" t="s">
        <v>576</v>
      </c>
      <c r="B468" t="s">
        <v>574</v>
      </c>
      <c r="C468" s="2">
        <v>46262</v>
      </c>
      <c r="D468" t="s">
        <v>53</v>
      </c>
      <c r="E468" t="s">
        <v>35</v>
      </c>
      <c r="F468" t="s">
        <v>54</v>
      </c>
      <c r="G468" t="s">
        <v>75</v>
      </c>
      <c r="H468">
        <v>582</v>
      </c>
      <c r="I468">
        <v>577</v>
      </c>
      <c r="J468">
        <v>5</v>
      </c>
      <c r="K468">
        <v>22</v>
      </c>
      <c r="L468">
        <v>23.66</v>
      </c>
      <c r="M468">
        <v>229.52</v>
      </c>
      <c r="N468">
        <f>_xlfn.XLOOKUP(Table13[[#This Row],[Production_Order_ID]],[1]Sheet1!$A$2:$A$391,[1]Sheet1!$F$2:$F$391,"No Match")</f>
        <v>670</v>
      </c>
      <c r="O468" s="3">
        <f>Table13[[#This Row],[Good_Qty]]/Table13[[#This Row],[Planned_Production]]</f>
        <v>0.86119402985074622</v>
      </c>
      <c r="P468" t="str">
        <f>IF(Table13[[#This Row],[Good_Qty]]&gt;=Table13[[#This Row],[Planned_Production]],"Met","Not Met")</f>
        <v>Not Met</v>
      </c>
      <c r="Q468">
        <f>Table13[[#This Row],[Good_Qty]]-Table13[[#This Row],[Planned_Production]]</f>
        <v>-93</v>
      </c>
      <c r="R468" s="3">
        <f>IF(Table13[[#This Row],[Actual_Qty]]=0,0,Table13[[#This Row],[Reject_Qty]]/Table13[[#This Row],[Actual_Qty]])</f>
        <v>8.5910652920962206E-3</v>
      </c>
      <c r="S468">
        <v>431.95</v>
      </c>
      <c r="T468">
        <f>(Table13[[#This Row],[Ideal_Cycle_Time_sec]]*Table13[[#This Row],[Actual_Qty]])/(Table13[[#This Row],[Operational_Time_min]]*60)</f>
        <v>0.49403866188216228</v>
      </c>
      <c r="U468">
        <f>Table13[[#This Row],[Good_Qty]]/Table13[[#This Row],[Actual_Qty]]</f>
        <v>0.99140893470790381</v>
      </c>
      <c r="V468" t="str">
        <f>IF(OR(Table13[[#This Row],[Performance_%]]&gt;=1,Table13[[#This Row],[Performance_%]]&lt;=0),"Error","OK")</f>
        <v>OK</v>
      </c>
      <c r="W468" t="str">
        <f>IF(OR(Table13[[#This Row],[Quality_%]]&gt;=1,Table13[[#This Row],[Quality_%]]&lt;=0),"Error","OK")</f>
        <v>OK</v>
      </c>
      <c r="X468">
        <f>Table13[[#This Row],[Performance_%]]*Table13[[#This Row],[Quality_%]]*[2]Availability_KPI!K468</f>
        <v>0.47014814814814815</v>
      </c>
      <c r="Y468" t="str">
        <f>IF(OR(Table13[[#This Row],[OEE_%]]&gt;1,Table13[[#This Row],[OEE_%]]&lt;0),"Error","OK")</f>
        <v>OK</v>
      </c>
    </row>
    <row r="469" spans="1:25" x14ac:dyDescent="0.2">
      <c r="A469" t="s">
        <v>577</v>
      </c>
      <c r="B469" t="s">
        <v>574</v>
      </c>
      <c r="C469" s="2">
        <v>46262</v>
      </c>
      <c r="D469" t="s">
        <v>53</v>
      </c>
      <c r="E469" t="s">
        <v>38</v>
      </c>
      <c r="F469" t="s">
        <v>54</v>
      </c>
      <c r="G469" t="s">
        <v>75</v>
      </c>
      <c r="H469">
        <v>586</v>
      </c>
      <c r="I469">
        <v>582</v>
      </c>
      <c r="J469">
        <v>4</v>
      </c>
      <c r="K469">
        <v>20</v>
      </c>
      <c r="L469">
        <v>20.87</v>
      </c>
      <c r="M469">
        <v>203.87</v>
      </c>
      <c r="N469">
        <f>_xlfn.XLOOKUP(Table13[[#This Row],[Production_Order_ID]],[1]Sheet1!$A$2:$A$391,[1]Sheet1!$F$2:$F$391,"No Match")</f>
        <v>670</v>
      </c>
      <c r="O469" s="3">
        <f>Table13[[#This Row],[Good_Qty]]/Table13[[#This Row],[Planned_Production]]</f>
        <v>0.86865671641791042</v>
      </c>
      <c r="P469" t="str">
        <f>IF(Table13[[#This Row],[Good_Qty]]&gt;=Table13[[#This Row],[Planned_Production]],"Met","Not Met")</f>
        <v>Not Met</v>
      </c>
      <c r="Q469">
        <f>Table13[[#This Row],[Good_Qty]]-Table13[[#This Row],[Planned_Production]]</f>
        <v>-88</v>
      </c>
      <c r="R469" s="3">
        <f>IF(Table13[[#This Row],[Actual_Qty]]=0,0,Table13[[#This Row],[Reject_Qty]]/Table13[[#This Row],[Actual_Qty]])</f>
        <v>6.8259385665529011E-3</v>
      </c>
      <c r="S469">
        <v>439.93</v>
      </c>
      <c r="T469">
        <f>(Table13[[#This Row],[Ideal_Cycle_Time_sec]]*Table13[[#This Row],[Actual_Qty]])/(Table13[[#This Row],[Operational_Time_min]]*60)</f>
        <v>0.44401003189901422</v>
      </c>
      <c r="U469">
        <f>Table13[[#This Row],[Good_Qty]]/Table13[[#This Row],[Actual_Qty]]</f>
        <v>0.99317406143344711</v>
      </c>
      <c r="V469" t="str">
        <f>IF(OR(Table13[[#This Row],[Performance_%]]&gt;=1,Table13[[#This Row],[Performance_%]]&lt;=0),"Error","OK")</f>
        <v>OK</v>
      </c>
      <c r="W469" t="str">
        <f>IF(OR(Table13[[#This Row],[Quality_%]]&gt;=1,Table13[[#This Row],[Quality_%]]&lt;=0),"Error","OK")</f>
        <v>OK</v>
      </c>
      <c r="X469">
        <f>Table13[[#This Row],[Performance_%]]*Table13[[#This Row],[Quality_%]]*[2]Availability_KPI!K469</f>
        <v>0.43111111111111117</v>
      </c>
      <c r="Y469" t="str">
        <f>IF(OR(Table13[[#This Row],[OEE_%]]&gt;1,Table13[[#This Row],[OEE_%]]&lt;0),"Error","OK")</f>
        <v>OK</v>
      </c>
    </row>
    <row r="470" spans="1:25" x14ac:dyDescent="0.2">
      <c r="A470" t="s">
        <v>578</v>
      </c>
      <c r="B470" t="s">
        <v>574</v>
      </c>
      <c r="C470" s="2">
        <v>46262</v>
      </c>
      <c r="D470" t="s">
        <v>53</v>
      </c>
      <c r="E470" t="s">
        <v>41</v>
      </c>
      <c r="F470" t="s">
        <v>54</v>
      </c>
      <c r="G470" t="s">
        <v>75</v>
      </c>
      <c r="H470">
        <v>575</v>
      </c>
      <c r="I470">
        <v>572</v>
      </c>
      <c r="J470">
        <v>3</v>
      </c>
      <c r="K470">
        <v>18</v>
      </c>
      <c r="L470">
        <v>18.489999999999998</v>
      </c>
      <c r="M470">
        <v>177.18</v>
      </c>
      <c r="N470">
        <f>_xlfn.XLOOKUP(Table13[[#This Row],[Production_Order_ID]],[1]Sheet1!$A$2:$A$391,[1]Sheet1!$F$2:$F$391,"No Match")</f>
        <v>670</v>
      </c>
      <c r="O470" s="3">
        <f>Table13[[#This Row],[Good_Qty]]/Table13[[#This Row],[Planned_Production]]</f>
        <v>0.85373134328358213</v>
      </c>
      <c r="P470" t="str">
        <f>IF(Table13[[#This Row],[Good_Qty]]&gt;=Table13[[#This Row],[Planned_Production]],"Met","Not Met")</f>
        <v>Not Met</v>
      </c>
      <c r="Q470">
        <f>Table13[[#This Row],[Good_Qty]]-Table13[[#This Row],[Planned_Production]]</f>
        <v>-98</v>
      </c>
      <c r="R470" s="3">
        <f>IF(Table13[[#This Row],[Actual_Qty]]=0,0,Table13[[#This Row],[Reject_Qty]]/Table13[[#This Row],[Actual_Qty]])</f>
        <v>5.2173913043478265E-3</v>
      </c>
      <c r="S470">
        <v>439.29</v>
      </c>
      <c r="T470">
        <f>(Table13[[#This Row],[Ideal_Cycle_Time_sec]]*Table13[[#This Row],[Actual_Qty]])/(Table13[[#This Row],[Operational_Time_min]]*60)</f>
        <v>0.39267909581369936</v>
      </c>
      <c r="U470">
        <f>Table13[[#This Row],[Good_Qty]]/Table13[[#This Row],[Actual_Qty]]</f>
        <v>0.99478260869565216</v>
      </c>
      <c r="V470" t="str">
        <f>IF(OR(Table13[[#This Row],[Performance_%]]&gt;=1,Table13[[#This Row],[Performance_%]]&lt;=0),"Error","OK")</f>
        <v>OK</v>
      </c>
      <c r="W470" t="str">
        <f>IF(OR(Table13[[#This Row],[Quality_%]]&gt;=1,Table13[[#This Row],[Quality_%]]&lt;=0),"Error","OK")</f>
        <v>OK</v>
      </c>
      <c r="X470">
        <f>Table13[[#This Row],[Performance_%]]*Table13[[#This Row],[Quality_%]]*[2]Availability_KPI!K470</f>
        <v>0.38133333333333336</v>
      </c>
      <c r="Y470" t="str">
        <f>IF(OR(Table13[[#This Row],[OEE_%]]&gt;1,Table13[[#This Row],[OEE_%]]&lt;0),"Error","OK")</f>
        <v>OK</v>
      </c>
    </row>
    <row r="471" spans="1:25" x14ac:dyDescent="0.2">
      <c r="A471" t="s">
        <v>579</v>
      </c>
      <c r="B471" t="s">
        <v>574</v>
      </c>
      <c r="C471" s="2">
        <v>46262</v>
      </c>
      <c r="D471" t="s">
        <v>53</v>
      </c>
      <c r="E471" t="s">
        <v>43</v>
      </c>
      <c r="F471" t="s">
        <v>54</v>
      </c>
      <c r="G471" t="s">
        <v>36</v>
      </c>
      <c r="H471">
        <v>578</v>
      </c>
      <c r="I471">
        <v>570</v>
      </c>
      <c r="J471">
        <v>8</v>
      </c>
      <c r="K471">
        <v>32</v>
      </c>
      <c r="L471">
        <v>35.04</v>
      </c>
      <c r="M471">
        <v>337.54</v>
      </c>
      <c r="N471">
        <f>_xlfn.XLOOKUP(Table13[[#This Row],[Production_Order_ID]],[1]Sheet1!$A$2:$A$391,[1]Sheet1!$F$2:$F$391,"No Match")</f>
        <v>670</v>
      </c>
      <c r="O471" s="3">
        <f>Table13[[#This Row],[Good_Qty]]/Table13[[#This Row],[Planned_Production]]</f>
        <v>0.85074626865671643</v>
      </c>
      <c r="P471" t="str">
        <f>IF(Table13[[#This Row],[Good_Qty]]&gt;=Table13[[#This Row],[Planned_Production]],"Met","Not Met")</f>
        <v>Not Met</v>
      </c>
      <c r="Q471">
        <f>Table13[[#This Row],[Good_Qty]]-Table13[[#This Row],[Planned_Production]]</f>
        <v>-100</v>
      </c>
      <c r="R471" s="3">
        <f>IF(Table13[[#This Row],[Actual_Qty]]=0,0,Table13[[#This Row],[Reject_Qty]]/Table13[[#This Row],[Actual_Qty]])</f>
        <v>1.384083044982699E-2</v>
      </c>
      <c r="S471">
        <v>420.96</v>
      </c>
      <c r="T471">
        <f>(Table13[[#This Row],[Ideal_Cycle_Time_sec]]*Table13[[#This Row],[Actual_Qty]])/(Table13[[#This Row],[Operational_Time_min]]*60)</f>
        <v>0.7322944381097175</v>
      </c>
      <c r="U471">
        <f>Table13[[#This Row],[Good_Qty]]/Table13[[#This Row],[Actual_Qty]]</f>
        <v>0.98615916955017302</v>
      </c>
      <c r="V471" t="str">
        <f>IF(OR(Table13[[#This Row],[Performance_%]]&gt;=1,Table13[[#This Row],[Performance_%]]&lt;=0),"Error","OK")</f>
        <v>OK</v>
      </c>
      <c r="W471" t="str">
        <f>IF(OR(Table13[[#This Row],[Quality_%]]&gt;=1,Table13[[#This Row],[Quality_%]]&lt;=0),"Error","OK")</f>
        <v>OK</v>
      </c>
      <c r="X471">
        <f>Table13[[#This Row],[Performance_%]]*Table13[[#This Row],[Quality_%]]*[2]Availability_KPI!K471</f>
        <v>0.67555555555555558</v>
      </c>
      <c r="Y471" t="str">
        <f>IF(OR(Table13[[#This Row],[OEE_%]]&gt;1,Table13[[#This Row],[OEE_%]]&lt;0),"Error","OK")</f>
        <v>OK</v>
      </c>
    </row>
    <row r="472" spans="1:25" x14ac:dyDescent="0.2">
      <c r="A472" t="s">
        <v>580</v>
      </c>
      <c r="B472" t="s">
        <v>574</v>
      </c>
      <c r="C472" s="2">
        <v>46262</v>
      </c>
      <c r="D472" t="s">
        <v>53</v>
      </c>
      <c r="E472" t="s">
        <v>46</v>
      </c>
      <c r="F472" t="s">
        <v>54</v>
      </c>
      <c r="G472" t="s">
        <v>75</v>
      </c>
      <c r="H472">
        <v>581</v>
      </c>
      <c r="I472">
        <v>574</v>
      </c>
      <c r="J472">
        <v>7</v>
      </c>
      <c r="K472">
        <v>25</v>
      </c>
      <c r="L472">
        <v>27.05</v>
      </c>
      <c r="M472">
        <v>261.89999999999998</v>
      </c>
      <c r="N472">
        <f>_xlfn.XLOOKUP(Table13[[#This Row],[Production_Order_ID]],[1]Sheet1!$A$2:$A$391,[1]Sheet1!$F$2:$F$391,"No Match")</f>
        <v>670</v>
      </c>
      <c r="O472" s="3">
        <f>Table13[[#This Row],[Good_Qty]]/Table13[[#This Row],[Planned_Production]]</f>
        <v>0.85671641791044773</v>
      </c>
      <c r="P472" t="str">
        <f>IF(Table13[[#This Row],[Good_Qty]]&gt;=Table13[[#This Row],[Planned_Production]],"Met","Not Met")</f>
        <v>Not Met</v>
      </c>
      <c r="Q472">
        <f>Table13[[#This Row],[Good_Qty]]-Table13[[#This Row],[Planned_Production]]</f>
        <v>-96</v>
      </c>
      <c r="R472" s="3">
        <f>IF(Table13[[#This Row],[Actual_Qty]]=0,0,Table13[[#This Row],[Reject_Qty]]/Table13[[#This Row],[Actual_Qty]])</f>
        <v>1.2048192771084338E-2</v>
      </c>
      <c r="S472">
        <v>435.18</v>
      </c>
      <c r="T472">
        <f>(Table13[[#This Row],[Ideal_Cycle_Time_sec]]*Table13[[#This Row],[Actual_Qty]])/(Table13[[#This Row],[Operational_Time_min]]*60)</f>
        <v>0.55628322380011341</v>
      </c>
      <c r="U472">
        <f>Table13[[#This Row],[Good_Qty]]/Table13[[#This Row],[Actual_Qty]]</f>
        <v>0.98795180722891562</v>
      </c>
      <c r="V472" t="str">
        <f>IF(OR(Table13[[#This Row],[Performance_%]]&gt;=1,Table13[[#This Row],[Performance_%]]&lt;=0),"Error","OK")</f>
        <v>OK</v>
      </c>
      <c r="W472" t="str">
        <f>IF(OR(Table13[[#This Row],[Quality_%]]&gt;=1,Table13[[#This Row],[Quality_%]]&lt;=0),"Error","OK")</f>
        <v>OK</v>
      </c>
      <c r="X472">
        <f>Table13[[#This Row],[Performance_%]]*Table13[[#This Row],[Quality_%]]*[2]Availability_KPI!K472</f>
        <v>0.53148148148148144</v>
      </c>
      <c r="Y472" t="str">
        <f>IF(OR(Table13[[#This Row],[OEE_%]]&gt;1,Table13[[#This Row],[OEE_%]]&lt;0),"Error","OK")</f>
        <v>OK</v>
      </c>
    </row>
    <row r="473" spans="1:25" x14ac:dyDescent="0.2">
      <c r="A473" t="s">
        <v>581</v>
      </c>
      <c r="B473" t="s">
        <v>574</v>
      </c>
      <c r="C473" s="2">
        <v>46262</v>
      </c>
      <c r="D473" t="s">
        <v>53</v>
      </c>
      <c r="E473" t="s">
        <v>49</v>
      </c>
      <c r="F473" t="s">
        <v>54</v>
      </c>
      <c r="G473" t="s">
        <v>33</v>
      </c>
      <c r="H473">
        <v>585</v>
      </c>
      <c r="I473">
        <v>584</v>
      </c>
      <c r="J473">
        <v>1</v>
      </c>
      <c r="K473">
        <v>20</v>
      </c>
      <c r="L473">
        <v>20.28</v>
      </c>
      <c r="M473">
        <v>197.69</v>
      </c>
      <c r="N473">
        <f>_xlfn.XLOOKUP(Table13[[#This Row],[Production_Order_ID]],[1]Sheet1!$A$2:$A$391,[1]Sheet1!$F$2:$F$391,"No Match")</f>
        <v>670</v>
      </c>
      <c r="O473" s="3">
        <f>Table13[[#This Row],[Good_Qty]]/Table13[[#This Row],[Planned_Production]]</f>
        <v>0.87164179104477613</v>
      </c>
      <c r="P473" t="str">
        <f>IF(Table13[[#This Row],[Good_Qty]]&gt;=Table13[[#This Row],[Planned_Production]],"Met","Not Met")</f>
        <v>Not Met</v>
      </c>
      <c r="Q473">
        <f>Table13[[#This Row],[Good_Qty]]-Table13[[#This Row],[Planned_Production]]</f>
        <v>-86</v>
      </c>
      <c r="R473" s="3">
        <f>IF(Table13[[#This Row],[Actual_Qty]]=0,0,Table13[[#This Row],[Reject_Qty]]/Table13[[#This Row],[Actual_Qty]])</f>
        <v>1.7094017094017094E-3</v>
      </c>
      <c r="S473">
        <v>440.22</v>
      </c>
      <c r="T473">
        <f>(Table13[[#This Row],[Ideal_Cycle_Time_sec]]*Table13[[#This Row],[Actual_Qty]])/(Table13[[#This Row],[Operational_Time_min]]*60)</f>
        <v>0.44296033801281176</v>
      </c>
      <c r="U473">
        <f>Table13[[#This Row],[Good_Qty]]/Table13[[#This Row],[Actual_Qty]]</f>
        <v>0.9982905982905983</v>
      </c>
      <c r="V473" t="str">
        <f>IF(OR(Table13[[#This Row],[Performance_%]]&gt;=1,Table13[[#This Row],[Performance_%]]&lt;=0),"Error","OK")</f>
        <v>OK</v>
      </c>
      <c r="W473" t="str">
        <f>IF(OR(Table13[[#This Row],[Quality_%]]&gt;=1,Table13[[#This Row],[Quality_%]]&lt;=0),"Error","OK")</f>
        <v>OK</v>
      </c>
      <c r="X473">
        <f>Table13[[#This Row],[Performance_%]]*Table13[[#This Row],[Quality_%]]*[2]Availability_KPI!K473</f>
        <v>0.43259259259259264</v>
      </c>
      <c r="Y473" t="str">
        <f>IF(OR(Table13[[#This Row],[OEE_%]]&gt;1,Table13[[#This Row],[OEE_%]]&lt;0),"Error","OK")</f>
        <v>OK</v>
      </c>
    </row>
    <row r="474" spans="1:25" x14ac:dyDescent="0.2">
      <c r="A474" t="s">
        <v>582</v>
      </c>
      <c r="B474" t="s">
        <v>583</v>
      </c>
      <c r="C474" s="2">
        <v>46262</v>
      </c>
      <c r="D474" t="s">
        <v>67</v>
      </c>
      <c r="E474" t="s">
        <v>28</v>
      </c>
      <c r="F474" t="s">
        <v>29</v>
      </c>
      <c r="G474" t="s">
        <v>30</v>
      </c>
      <c r="H474">
        <v>578</v>
      </c>
      <c r="I474">
        <v>573</v>
      </c>
      <c r="J474">
        <v>5</v>
      </c>
      <c r="K474">
        <v>19.8</v>
      </c>
      <c r="L474">
        <v>20.2</v>
      </c>
      <c r="M474">
        <v>194.64</v>
      </c>
      <c r="N474">
        <f>_xlfn.XLOOKUP(Table13[[#This Row],[Production_Order_ID]],[1]Sheet1!$A$2:$A$391,[1]Sheet1!$F$2:$F$391,"No Match")</f>
        <v>500</v>
      </c>
      <c r="O474" s="3">
        <f>Table13[[#This Row],[Good_Qty]]/Table13[[#This Row],[Planned_Production]]</f>
        <v>1.1459999999999999</v>
      </c>
      <c r="P474" t="str">
        <f>IF(Table13[[#This Row],[Good_Qty]]&gt;=Table13[[#This Row],[Planned_Production]],"Met","Not Met")</f>
        <v>Met</v>
      </c>
      <c r="Q474">
        <f>Table13[[#This Row],[Good_Qty]]-Table13[[#This Row],[Planned_Production]]</f>
        <v>73</v>
      </c>
      <c r="R474" s="3">
        <f>IF(Table13[[#This Row],[Actual_Qty]]=0,0,Table13[[#This Row],[Reject_Qty]]/Table13[[#This Row],[Actual_Qty]])</f>
        <v>8.6505190311418692E-3</v>
      </c>
      <c r="S474">
        <v>439.91</v>
      </c>
      <c r="T474">
        <f>(Table13[[#This Row],[Ideal_Cycle_Time_sec]]*Table13[[#This Row],[Actual_Qty]])/(Table13[[#This Row],[Operational_Time_min]]*60)</f>
        <v>0.43358868859539446</v>
      </c>
      <c r="U474">
        <f>Table13[[#This Row],[Good_Qty]]/Table13[[#This Row],[Actual_Qty]]</f>
        <v>0.99134948096885811</v>
      </c>
      <c r="V474" t="str">
        <f>IF(OR(Table13[[#This Row],[Performance_%]]&gt;=1,Table13[[#This Row],[Performance_%]]&lt;=0),"Error","OK")</f>
        <v>OK</v>
      </c>
      <c r="W474" t="str">
        <f>IF(OR(Table13[[#This Row],[Quality_%]]&gt;=1,Table13[[#This Row],[Quality_%]]&lt;=0),"Error","OK")</f>
        <v>OK</v>
      </c>
      <c r="X474">
        <f>Table13[[#This Row],[Performance_%]]*Table13[[#This Row],[Quality_%]]*[2]Availability_KPI!K474</f>
        <v>0.42019999999999996</v>
      </c>
      <c r="Y474" t="str">
        <f>IF(OR(Table13[[#This Row],[OEE_%]]&gt;1,Table13[[#This Row],[OEE_%]]&lt;0),"Error","OK")</f>
        <v>OK</v>
      </c>
    </row>
    <row r="475" spans="1:25" x14ac:dyDescent="0.2">
      <c r="A475" t="s">
        <v>584</v>
      </c>
      <c r="B475" t="s">
        <v>583</v>
      </c>
      <c r="C475" s="2">
        <v>46262</v>
      </c>
      <c r="D475" t="s">
        <v>67</v>
      </c>
      <c r="E475" t="s">
        <v>32</v>
      </c>
      <c r="F475" t="s">
        <v>29</v>
      </c>
      <c r="G475" t="s">
        <v>61</v>
      </c>
      <c r="H475">
        <v>572</v>
      </c>
      <c r="I475">
        <v>567</v>
      </c>
      <c r="J475">
        <v>5</v>
      </c>
      <c r="K475">
        <v>22</v>
      </c>
      <c r="L475">
        <v>22.93</v>
      </c>
      <c r="M475">
        <v>218.56</v>
      </c>
      <c r="N475">
        <f>_xlfn.XLOOKUP(Table13[[#This Row],[Production_Order_ID]],[1]Sheet1!$A$2:$A$391,[1]Sheet1!$F$2:$F$391,"No Match")</f>
        <v>500</v>
      </c>
      <c r="O475" s="3">
        <f>Table13[[#This Row],[Good_Qty]]/Table13[[#This Row],[Planned_Production]]</f>
        <v>1.1339999999999999</v>
      </c>
      <c r="P475" t="str">
        <f>IF(Table13[[#This Row],[Good_Qty]]&gt;=Table13[[#This Row],[Planned_Production]],"Met","Not Met")</f>
        <v>Met</v>
      </c>
      <c r="Q475">
        <f>Table13[[#This Row],[Good_Qty]]-Table13[[#This Row],[Planned_Production]]</f>
        <v>67</v>
      </c>
      <c r="R475" s="3">
        <f>IF(Table13[[#This Row],[Actual_Qty]]=0,0,Table13[[#This Row],[Reject_Qty]]/Table13[[#This Row],[Actual_Qty]])</f>
        <v>8.7412587412587419E-3</v>
      </c>
      <c r="S475">
        <v>436.61</v>
      </c>
      <c r="T475">
        <f>(Table13[[#This Row],[Ideal_Cycle_Time_sec]]*Table13[[#This Row],[Actual_Qty]])/(Table13[[#This Row],[Operational_Time_min]]*60)</f>
        <v>0.48036768130215368</v>
      </c>
      <c r="U475">
        <f>Table13[[#This Row],[Good_Qty]]/Table13[[#This Row],[Actual_Qty]]</f>
        <v>0.99125874125874125</v>
      </c>
      <c r="V475" t="str">
        <f>IF(OR(Table13[[#This Row],[Performance_%]]&gt;=1,Table13[[#This Row],[Performance_%]]&lt;=0),"Error","OK")</f>
        <v>OK</v>
      </c>
      <c r="W475" t="str">
        <f>IF(OR(Table13[[#This Row],[Quality_%]]&gt;=1,Table13[[#This Row],[Quality_%]]&lt;=0),"Error","OK")</f>
        <v>OK</v>
      </c>
      <c r="X475">
        <f>Table13[[#This Row],[Performance_%]]*Table13[[#This Row],[Quality_%]]*[2]Availability_KPI!K475</f>
        <v>0.46200000000000002</v>
      </c>
      <c r="Y475" t="str">
        <f>IF(OR(Table13[[#This Row],[OEE_%]]&gt;1,Table13[[#This Row],[OEE_%]]&lt;0),"Error","OK")</f>
        <v>OK</v>
      </c>
    </row>
    <row r="476" spans="1:25" x14ac:dyDescent="0.2">
      <c r="A476" t="s">
        <v>585</v>
      </c>
      <c r="B476" t="s">
        <v>583</v>
      </c>
      <c r="C476" s="2">
        <v>46262</v>
      </c>
      <c r="D476" t="s">
        <v>67</v>
      </c>
      <c r="E476" t="s">
        <v>35</v>
      </c>
      <c r="F476" t="s">
        <v>29</v>
      </c>
      <c r="G476" t="s">
        <v>55</v>
      </c>
      <c r="H476">
        <v>572</v>
      </c>
      <c r="I476">
        <v>569</v>
      </c>
      <c r="J476">
        <v>3</v>
      </c>
      <c r="K476">
        <v>24.2</v>
      </c>
      <c r="L476">
        <v>25.93</v>
      </c>
      <c r="M476">
        <v>247.24</v>
      </c>
      <c r="N476">
        <f>_xlfn.XLOOKUP(Table13[[#This Row],[Production_Order_ID]],[1]Sheet1!$A$2:$A$391,[1]Sheet1!$F$2:$F$391,"No Match")</f>
        <v>500</v>
      </c>
      <c r="O476" s="3">
        <f>Table13[[#This Row],[Good_Qty]]/Table13[[#This Row],[Planned_Production]]</f>
        <v>1.1379999999999999</v>
      </c>
      <c r="P476" t="str">
        <f>IF(Table13[[#This Row],[Good_Qty]]&gt;=Table13[[#This Row],[Planned_Production]],"Met","Not Met")</f>
        <v>Met</v>
      </c>
      <c r="Q476">
        <f>Table13[[#This Row],[Good_Qty]]-Table13[[#This Row],[Planned_Production]]</f>
        <v>69</v>
      </c>
      <c r="R476" s="3">
        <f>IF(Table13[[#This Row],[Actual_Qty]]=0,0,Table13[[#This Row],[Reject_Qty]]/Table13[[#This Row],[Actual_Qty]])</f>
        <v>5.244755244755245E-3</v>
      </c>
      <c r="S476">
        <v>429.95</v>
      </c>
      <c r="T476">
        <f>(Table13[[#This Row],[Ideal_Cycle_Time_sec]]*Table13[[#This Row],[Actual_Qty]])/(Table13[[#This Row],[Operational_Time_min]]*60)</f>
        <v>0.53658952591386599</v>
      </c>
      <c r="U476">
        <f>Table13[[#This Row],[Good_Qty]]/Table13[[#This Row],[Actual_Qty]]</f>
        <v>0.99475524475524479</v>
      </c>
      <c r="V476" t="str">
        <f>IF(OR(Table13[[#This Row],[Performance_%]]&gt;=1,Table13[[#This Row],[Performance_%]]&lt;=0),"Error","OK")</f>
        <v>OK</v>
      </c>
      <c r="W476" t="str">
        <f>IF(OR(Table13[[#This Row],[Quality_%]]&gt;=1,Table13[[#This Row],[Quality_%]]&lt;=0),"Error","OK")</f>
        <v>OK</v>
      </c>
      <c r="X476">
        <f>Table13[[#This Row],[Performance_%]]*Table13[[#This Row],[Quality_%]]*[2]Availability_KPI!K476</f>
        <v>0.50999259259259266</v>
      </c>
      <c r="Y476" t="str">
        <f>IF(OR(Table13[[#This Row],[OEE_%]]&gt;1,Table13[[#This Row],[OEE_%]]&lt;0),"Error","OK")</f>
        <v>OK</v>
      </c>
    </row>
    <row r="477" spans="1:25" x14ac:dyDescent="0.2">
      <c r="A477" t="s">
        <v>586</v>
      </c>
      <c r="B477" t="s">
        <v>583</v>
      </c>
      <c r="C477" s="2">
        <v>46262</v>
      </c>
      <c r="D477" t="s">
        <v>67</v>
      </c>
      <c r="E477" t="s">
        <v>38</v>
      </c>
      <c r="F477" t="s">
        <v>29</v>
      </c>
      <c r="G477" t="s">
        <v>50</v>
      </c>
      <c r="H477">
        <v>570</v>
      </c>
      <c r="I477">
        <v>568</v>
      </c>
      <c r="J477">
        <v>2</v>
      </c>
      <c r="K477">
        <v>22</v>
      </c>
      <c r="L477">
        <v>22</v>
      </c>
      <c r="M477">
        <v>209</v>
      </c>
      <c r="N477">
        <f>_xlfn.XLOOKUP(Table13[[#This Row],[Production_Order_ID]],[1]Sheet1!$A$2:$A$391,[1]Sheet1!$F$2:$F$391,"No Match")</f>
        <v>500</v>
      </c>
      <c r="O477" s="3">
        <f>Table13[[#This Row],[Good_Qty]]/Table13[[#This Row],[Planned_Production]]</f>
        <v>1.1359999999999999</v>
      </c>
      <c r="P477" t="str">
        <f>IF(Table13[[#This Row],[Good_Qty]]&gt;=Table13[[#This Row],[Planned_Production]],"Met","Not Met")</f>
        <v>Met</v>
      </c>
      <c r="Q477">
        <f>Table13[[#This Row],[Good_Qty]]-Table13[[#This Row],[Planned_Production]]</f>
        <v>68</v>
      </c>
      <c r="R477" s="3">
        <f>IF(Table13[[#This Row],[Actual_Qty]]=0,0,Table13[[#This Row],[Reject_Qty]]/Table13[[#This Row],[Actual_Qty]])</f>
        <v>3.5087719298245615E-3</v>
      </c>
      <c r="S477">
        <v>440.08</v>
      </c>
      <c r="T477">
        <f>(Table13[[#This Row],[Ideal_Cycle_Time_sec]]*Table13[[#This Row],[Actual_Qty]])/(Table13[[#This Row],[Operational_Time_min]]*60)</f>
        <v>0.47491365206326125</v>
      </c>
      <c r="U477">
        <f>Table13[[#This Row],[Good_Qty]]/Table13[[#This Row],[Actual_Qty]]</f>
        <v>0.99649122807017543</v>
      </c>
      <c r="V477" t="str">
        <f>IF(OR(Table13[[#This Row],[Performance_%]]&gt;=1,Table13[[#This Row],[Performance_%]]&lt;=0),"Error","OK")</f>
        <v>OK</v>
      </c>
      <c r="W477" t="str">
        <f>IF(OR(Table13[[#This Row],[Quality_%]]&gt;=1,Table13[[#This Row],[Quality_%]]&lt;=0),"Error","OK")</f>
        <v>OK</v>
      </c>
      <c r="X477">
        <f>Table13[[#This Row],[Performance_%]]*Table13[[#This Row],[Quality_%]]*[2]Availability_KPI!K477</f>
        <v>0.46281481481481479</v>
      </c>
      <c r="Y477" t="str">
        <f>IF(OR(Table13[[#This Row],[OEE_%]]&gt;1,Table13[[#This Row],[OEE_%]]&lt;0),"Error","OK")</f>
        <v>OK</v>
      </c>
    </row>
    <row r="478" spans="1:25" x14ac:dyDescent="0.2">
      <c r="A478" t="s">
        <v>587</v>
      </c>
      <c r="B478" t="s">
        <v>583</v>
      </c>
      <c r="C478" s="2">
        <v>46262</v>
      </c>
      <c r="D478" t="s">
        <v>67</v>
      </c>
      <c r="E478" t="s">
        <v>41</v>
      </c>
      <c r="F478" t="s">
        <v>29</v>
      </c>
      <c r="G478" t="s">
        <v>47</v>
      </c>
      <c r="H478">
        <v>556</v>
      </c>
      <c r="I478">
        <v>552</v>
      </c>
      <c r="J478">
        <v>4</v>
      </c>
      <c r="K478">
        <v>19.8</v>
      </c>
      <c r="L478">
        <v>20.84</v>
      </c>
      <c r="M478">
        <v>193.08</v>
      </c>
      <c r="N478">
        <f>_xlfn.XLOOKUP(Table13[[#This Row],[Production_Order_ID]],[1]Sheet1!$A$2:$A$391,[1]Sheet1!$F$2:$F$391,"No Match")</f>
        <v>500</v>
      </c>
      <c r="O478" s="3">
        <f>Table13[[#This Row],[Good_Qty]]/Table13[[#This Row],[Planned_Production]]</f>
        <v>1.1040000000000001</v>
      </c>
      <c r="P478" t="str">
        <f>IF(Table13[[#This Row],[Good_Qty]]&gt;=Table13[[#This Row],[Planned_Production]],"Met","Not Met")</f>
        <v>Met</v>
      </c>
      <c r="Q478">
        <f>Table13[[#This Row],[Good_Qty]]-Table13[[#This Row],[Planned_Production]]</f>
        <v>52</v>
      </c>
      <c r="R478" s="3">
        <f>IF(Table13[[#This Row],[Actual_Qty]]=0,0,Table13[[#This Row],[Reject_Qty]]/Table13[[#This Row],[Actual_Qty]])</f>
        <v>7.1942446043165471E-3</v>
      </c>
      <c r="S478">
        <v>437.7</v>
      </c>
      <c r="T478">
        <f>(Table13[[#This Row],[Ideal_Cycle_Time_sec]]*Table13[[#This Row],[Actual_Qty]])/(Table13[[#This Row],[Operational_Time_min]]*60)</f>
        <v>0.41919122686771765</v>
      </c>
      <c r="U478">
        <f>Table13[[#This Row],[Good_Qty]]/Table13[[#This Row],[Actual_Qty]]</f>
        <v>0.9928057553956835</v>
      </c>
      <c r="V478" t="str">
        <f>IF(OR(Table13[[#This Row],[Performance_%]]&gt;=1,Table13[[#This Row],[Performance_%]]&lt;=0),"Error","OK")</f>
        <v>OK</v>
      </c>
      <c r="W478" t="str">
        <f>IF(OR(Table13[[#This Row],[Quality_%]]&gt;=1,Table13[[#This Row],[Quality_%]]&lt;=0),"Error","OK")</f>
        <v>OK</v>
      </c>
      <c r="X478">
        <f>Table13[[#This Row],[Performance_%]]*Table13[[#This Row],[Quality_%]]*[2]Availability_KPI!K478</f>
        <v>0.40480000000000005</v>
      </c>
      <c r="Y478" t="str">
        <f>IF(OR(Table13[[#This Row],[OEE_%]]&gt;1,Table13[[#This Row],[OEE_%]]&lt;0),"Error","OK")</f>
        <v>OK</v>
      </c>
    </row>
    <row r="479" spans="1:25" x14ac:dyDescent="0.2">
      <c r="A479" t="s">
        <v>588</v>
      </c>
      <c r="B479" t="s">
        <v>583</v>
      </c>
      <c r="C479" s="2">
        <v>46262</v>
      </c>
      <c r="D479" t="s">
        <v>67</v>
      </c>
      <c r="E479" t="s">
        <v>43</v>
      </c>
      <c r="F479" t="s">
        <v>29</v>
      </c>
      <c r="G479" t="s">
        <v>30</v>
      </c>
      <c r="H479">
        <v>567</v>
      </c>
      <c r="I479">
        <v>560</v>
      </c>
      <c r="J479">
        <v>7</v>
      </c>
      <c r="K479">
        <v>35.200000000000003</v>
      </c>
      <c r="L479">
        <v>38.17</v>
      </c>
      <c r="M479">
        <v>360.72</v>
      </c>
      <c r="N479">
        <f>_xlfn.XLOOKUP(Table13[[#This Row],[Production_Order_ID]],[1]Sheet1!$A$2:$A$391,[1]Sheet1!$F$2:$F$391,"No Match")</f>
        <v>500</v>
      </c>
      <c r="O479" s="3">
        <f>Table13[[#This Row],[Good_Qty]]/Table13[[#This Row],[Planned_Production]]</f>
        <v>1.1200000000000001</v>
      </c>
      <c r="P479" t="str">
        <f>IF(Table13[[#This Row],[Good_Qty]]&gt;=Table13[[#This Row],[Planned_Production]],"Met","Not Met")</f>
        <v>Met</v>
      </c>
      <c r="Q479">
        <f>Table13[[#This Row],[Good_Qty]]-Table13[[#This Row],[Planned_Production]]</f>
        <v>60</v>
      </c>
      <c r="R479" s="3">
        <f>IF(Table13[[#This Row],[Actual_Qty]]=0,0,Table13[[#This Row],[Reject_Qty]]/Table13[[#This Row],[Actual_Qty]])</f>
        <v>1.2345679012345678E-2</v>
      </c>
      <c r="S479">
        <v>405.1</v>
      </c>
      <c r="T479">
        <f>(Table13[[#This Row],[Ideal_Cycle_Time_sec]]*Table13[[#This Row],[Actual_Qty]])/(Table13[[#This Row],[Operational_Time_min]]*60)</f>
        <v>0.82113058504073078</v>
      </c>
      <c r="U479">
        <f>Table13[[#This Row],[Good_Qty]]/Table13[[#This Row],[Actual_Qty]]</f>
        <v>0.98765432098765427</v>
      </c>
      <c r="V479" t="str">
        <f>IF(OR(Table13[[#This Row],[Performance_%]]&gt;=1,Table13[[#This Row],[Performance_%]]&lt;=0),"Error","OK")</f>
        <v>OK</v>
      </c>
      <c r="W479" t="str">
        <f>IF(OR(Table13[[#This Row],[Quality_%]]&gt;=1,Table13[[#This Row],[Quality_%]]&lt;=0),"Error","OK")</f>
        <v>OK</v>
      </c>
      <c r="X479">
        <f>Table13[[#This Row],[Performance_%]]*Table13[[#This Row],[Quality_%]]*[2]Availability_KPI!K479</f>
        <v>0.73007407407407421</v>
      </c>
      <c r="Y479" t="str">
        <f>IF(OR(Table13[[#This Row],[OEE_%]]&gt;1,Table13[[#This Row],[OEE_%]]&lt;0),"Error","OK")</f>
        <v>OK</v>
      </c>
    </row>
    <row r="480" spans="1:25" x14ac:dyDescent="0.2">
      <c r="A480" t="s">
        <v>589</v>
      </c>
      <c r="B480" t="s">
        <v>583</v>
      </c>
      <c r="C480" s="2">
        <v>46262</v>
      </c>
      <c r="D480" t="s">
        <v>67</v>
      </c>
      <c r="E480" t="s">
        <v>46</v>
      </c>
      <c r="F480" t="s">
        <v>29</v>
      </c>
      <c r="G480" t="s">
        <v>55</v>
      </c>
      <c r="H480">
        <v>569</v>
      </c>
      <c r="I480">
        <v>564</v>
      </c>
      <c r="J480">
        <v>5</v>
      </c>
      <c r="K480">
        <v>27.5</v>
      </c>
      <c r="L480">
        <v>28.76</v>
      </c>
      <c r="M480">
        <v>272.77999999999997</v>
      </c>
      <c r="N480">
        <f>_xlfn.XLOOKUP(Table13[[#This Row],[Production_Order_ID]],[1]Sheet1!$A$2:$A$391,[1]Sheet1!$F$2:$F$391,"No Match")</f>
        <v>500</v>
      </c>
      <c r="O480" s="3">
        <f>Table13[[#This Row],[Good_Qty]]/Table13[[#This Row],[Planned_Production]]</f>
        <v>1.1279999999999999</v>
      </c>
      <c r="P480" t="str">
        <f>IF(Table13[[#This Row],[Good_Qty]]&gt;=Table13[[#This Row],[Planned_Production]],"Met","Not Met")</f>
        <v>Met</v>
      </c>
      <c r="Q480">
        <f>Table13[[#This Row],[Good_Qty]]-Table13[[#This Row],[Planned_Production]]</f>
        <v>64</v>
      </c>
      <c r="R480" s="3">
        <f>IF(Table13[[#This Row],[Actual_Qty]]=0,0,Table13[[#This Row],[Reject_Qty]]/Table13[[#This Row],[Actual_Qty]])</f>
        <v>8.7873462214411256E-3</v>
      </c>
      <c r="S480">
        <v>429.52</v>
      </c>
      <c r="T480">
        <f>(Table13[[#This Row],[Ideal_Cycle_Time_sec]]*Table13[[#This Row],[Actual_Qty]])/(Table13[[#This Row],[Operational_Time_min]]*60)</f>
        <v>0.60717001924629055</v>
      </c>
      <c r="U480">
        <f>Table13[[#This Row],[Good_Qty]]/Table13[[#This Row],[Actual_Qty]]</f>
        <v>0.99121265377855883</v>
      </c>
      <c r="V480" t="str">
        <f>IF(OR(Table13[[#This Row],[Performance_%]]&gt;=1,Table13[[#This Row],[Performance_%]]&lt;=0),"Error","OK")</f>
        <v>OK</v>
      </c>
      <c r="W480" t="str">
        <f>IF(OR(Table13[[#This Row],[Quality_%]]&gt;=1,Table13[[#This Row],[Quality_%]]&lt;=0),"Error","OK")</f>
        <v>OK</v>
      </c>
      <c r="X480">
        <f>Table13[[#This Row],[Performance_%]]*Table13[[#This Row],[Quality_%]]*[2]Availability_KPI!K480</f>
        <v>0.57444444444444454</v>
      </c>
      <c r="Y480" t="str">
        <f>IF(OR(Table13[[#This Row],[OEE_%]]&gt;1,Table13[[#This Row],[OEE_%]]&lt;0),"Error","OK")</f>
        <v>OK</v>
      </c>
    </row>
    <row r="481" spans="1:25" x14ac:dyDescent="0.2">
      <c r="A481" t="s">
        <v>590</v>
      </c>
      <c r="B481" t="s">
        <v>583</v>
      </c>
      <c r="C481" s="2">
        <v>46262</v>
      </c>
      <c r="D481" t="s">
        <v>67</v>
      </c>
      <c r="E481" t="s">
        <v>49</v>
      </c>
      <c r="F481" t="s">
        <v>29</v>
      </c>
      <c r="G481" t="s">
        <v>75</v>
      </c>
      <c r="H481">
        <v>582</v>
      </c>
      <c r="I481">
        <v>580</v>
      </c>
      <c r="J481">
        <v>2</v>
      </c>
      <c r="K481">
        <v>22</v>
      </c>
      <c r="L481">
        <v>23.1</v>
      </c>
      <c r="M481">
        <v>224.1</v>
      </c>
      <c r="N481">
        <f>_xlfn.XLOOKUP(Table13[[#This Row],[Production_Order_ID]],[1]Sheet1!$A$2:$A$391,[1]Sheet1!$F$2:$F$391,"No Match")</f>
        <v>500</v>
      </c>
      <c r="O481" s="3">
        <f>Table13[[#This Row],[Good_Qty]]/Table13[[#This Row],[Planned_Production]]</f>
        <v>1.1599999999999999</v>
      </c>
      <c r="P481" t="str">
        <f>IF(Table13[[#This Row],[Good_Qty]]&gt;=Table13[[#This Row],[Planned_Production]],"Met","Not Met")</f>
        <v>Met</v>
      </c>
      <c r="Q481">
        <f>Table13[[#This Row],[Good_Qty]]-Table13[[#This Row],[Planned_Production]]</f>
        <v>80</v>
      </c>
      <c r="R481" s="3">
        <f>IF(Table13[[#This Row],[Actual_Qty]]=0,0,Table13[[#This Row],[Reject_Qty]]/Table13[[#This Row],[Actual_Qty]])</f>
        <v>3.4364261168384879E-3</v>
      </c>
      <c r="S481">
        <v>438.98</v>
      </c>
      <c r="T481">
        <f>(Table13[[#This Row],[Ideal_Cycle_Time_sec]]*Table13[[#This Row],[Actual_Qty]])/(Table13[[#This Row],[Operational_Time_min]]*60)</f>
        <v>0.4861269306118729</v>
      </c>
      <c r="U481">
        <f>Table13[[#This Row],[Good_Qty]]/Table13[[#This Row],[Actual_Qty]]</f>
        <v>0.99656357388316152</v>
      </c>
      <c r="V481" t="str">
        <f>IF(OR(Table13[[#This Row],[Performance_%]]&gt;=1,Table13[[#This Row],[Performance_%]]&lt;=0),"Error","OK")</f>
        <v>OK</v>
      </c>
      <c r="W481" t="str">
        <f>IF(OR(Table13[[#This Row],[Quality_%]]&gt;=1,Table13[[#This Row],[Quality_%]]&lt;=0),"Error","OK")</f>
        <v>OK</v>
      </c>
      <c r="X481">
        <f>Table13[[#This Row],[Performance_%]]*Table13[[#This Row],[Quality_%]]*[2]Availability_KPI!K481</f>
        <v>0.47259259259259251</v>
      </c>
      <c r="Y481" t="str">
        <f>IF(OR(Table13[[#This Row],[OEE_%]]&gt;1,Table13[[#This Row],[OEE_%]]&lt;0),"Error","OK")</f>
        <v>OK</v>
      </c>
    </row>
    <row r="482" spans="1:25" x14ac:dyDescent="0.2">
      <c r="A482" t="s">
        <v>591</v>
      </c>
      <c r="B482" t="s">
        <v>592</v>
      </c>
      <c r="C482" s="2">
        <v>46265</v>
      </c>
      <c r="D482" t="s">
        <v>27</v>
      </c>
      <c r="E482" t="s">
        <v>28</v>
      </c>
      <c r="F482" t="s">
        <v>54</v>
      </c>
      <c r="G482" t="s">
        <v>30</v>
      </c>
      <c r="H482">
        <v>590</v>
      </c>
      <c r="I482">
        <v>588</v>
      </c>
      <c r="J482">
        <v>2</v>
      </c>
      <c r="K482">
        <v>18</v>
      </c>
      <c r="L482">
        <v>18.170000000000002</v>
      </c>
      <c r="M482">
        <v>178.67</v>
      </c>
      <c r="N482">
        <f>_xlfn.XLOOKUP(Table13[[#This Row],[Production_Order_ID]],[1]Sheet1!$A$2:$A$391,[1]Sheet1!$F$2:$F$391,"No Match")</f>
        <v>640</v>
      </c>
      <c r="O482" s="3">
        <f>Table13[[#This Row],[Good_Qty]]/Table13[[#This Row],[Planned_Production]]</f>
        <v>0.91874999999999996</v>
      </c>
      <c r="P482" t="str">
        <f>IF(Table13[[#This Row],[Good_Qty]]&gt;=Table13[[#This Row],[Planned_Production]],"Met","Not Met")</f>
        <v>Not Met</v>
      </c>
      <c r="Q482">
        <f>Table13[[#This Row],[Good_Qty]]-Table13[[#This Row],[Planned_Production]]</f>
        <v>-52</v>
      </c>
      <c r="R482" s="3">
        <f>IF(Table13[[#This Row],[Actual_Qty]]=0,0,Table13[[#This Row],[Reject_Qty]]/Table13[[#This Row],[Actual_Qty]])</f>
        <v>3.3898305084745762E-3</v>
      </c>
      <c r="S482">
        <v>441.25</v>
      </c>
      <c r="T482">
        <f>(Table13[[#This Row],[Ideal_Cycle_Time_sec]]*Table13[[#This Row],[Actual_Qty]])/(Table13[[#This Row],[Operational_Time_min]]*60)</f>
        <v>0.40113314447592069</v>
      </c>
      <c r="U482">
        <f>Table13[[#This Row],[Good_Qty]]/Table13[[#This Row],[Actual_Qty]]</f>
        <v>0.99661016949152548</v>
      </c>
      <c r="V482" t="str">
        <f>IF(OR(Table13[[#This Row],[Performance_%]]&gt;=1,Table13[[#This Row],[Performance_%]]&lt;=0),"Error","OK")</f>
        <v>OK</v>
      </c>
      <c r="W482" t="str">
        <f>IF(OR(Table13[[#This Row],[Quality_%]]&gt;=1,Table13[[#This Row],[Quality_%]]&lt;=0),"Error","OK")</f>
        <v>OK</v>
      </c>
      <c r="X482">
        <f>Table13[[#This Row],[Performance_%]]*Table13[[#This Row],[Quality_%]]*[2]Availability_KPI!K482</f>
        <v>0.39199999999999996</v>
      </c>
      <c r="Y482" t="str">
        <f>IF(OR(Table13[[#This Row],[OEE_%]]&gt;1,Table13[[#This Row],[OEE_%]]&lt;0),"Error","OK")</f>
        <v>OK</v>
      </c>
    </row>
    <row r="483" spans="1:25" x14ac:dyDescent="0.2">
      <c r="A483" t="s">
        <v>593</v>
      </c>
      <c r="B483" t="s">
        <v>592</v>
      </c>
      <c r="C483" s="2">
        <v>46265</v>
      </c>
      <c r="D483" t="s">
        <v>27</v>
      </c>
      <c r="E483" t="s">
        <v>32</v>
      </c>
      <c r="F483" t="s">
        <v>54</v>
      </c>
      <c r="G483" t="s">
        <v>57</v>
      </c>
      <c r="H483">
        <v>581</v>
      </c>
      <c r="I483">
        <v>578</v>
      </c>
      <c r="J483">
        <v>3</v>
      </c>
      <c r="K483">
        <v>20</v>
      </c>
      <c r="L483">
        <v>20.16</v>
      </c>
      <c r="M483">
        <v>195.23</v>
      </c>
      <c r="N483">
        <f>_xlfn.XLOOKUP(Table13[[#This Row],[Production_Order_ID]],[1]Sheet1!$A$2:$A$391,[1]Sheet1!$F$2:$F$391,"No Match")</f>
        <v>640</v>
      </c>
      <c r="O483" s="3">
        <f>Table13[[#This Row],[Good_Qty]]/Table13[[#This Row],[Planned_Production]]</f>
        <v>0.90312499999999996</v>
      </c>
      <c r="P483" t="str">
        <f>IF(Table13[[#This Row],[Good_Qty]]&gt;=Table13[[#This Row],[Planned_Production]],"Met","Not Met")</f>
        <v>Not Met</v>
      </c>
      <c r="Q483">
        <f>Table13[[#This Row],[Good_Qty]]-Table13[[#This Row],[Planned_Production]]</f>
        <v>-62</v>
      </c>
      <c r="R483" s="3">
        <f>IF(Table13[[#This Row],[Actual_Qty]]=0,0,Table13[[#This Row],[Reject_Qty]]/Table13[[#This Row],[Actual_Qty]])</f>
        <v>5.1635111876075735E-3</v>
      </c>
      <c r="S483">
        <v>440.42</v>
      </c>
      <c r="T483">
        <f>(Table13[[#This Row],[Ideal_Cycle_Time_sec]]*Table13[[#This Row],[Actual_Qty]])/(Table13[[#This Row],[Operational_Time_min]]*60)</f>
        <v>0.4397317711881083</v>
      </c>
      <c r="U483">
        <f>Table13[[#This Row],[Good_Qty]]/Table13[[#This Row],[Actual_Qty]]</f>
        <v>0.99483648881239239</v>
      </c>
      <c r="V483" t="str">
        <f>IF(OR(Table13[[#This Row],[Performance_%]]&gt;=1,Table13[[#This Row],[Performance_%]]&lt;=0),"Error","OK")</f>
        <v>OK</v>
      </c>
      <c r="W483" t="str">
        <f>IF(OR(Table13[[#This Row],[Quality_%]]&gt;=1,Table13[[#This Row],[Quality_%]]&lt;=0),"Error","OK")</f>
        <v>OK</v>
      </c>
      <c r="X483">
        <f>Table13[[#This Row],[Performance_%]]*Table13[[#This Row],[Quality_%]]*[2]Availability_KPI!K483</f>
        <v>0.42814814814814817</v>
      </c>
      <c r="Y483" t="str">
        <f>IF(OR(Table13[[#This Row],[OEE_%]]&gt;1,Table13[[#This Row],[OEE_%]]&lt;0),"Error","OK")</f>
        <v>OK</v>
      </c>
    </row>
    <row r="484" spans="1:25" x14ac:dyDescent="0.2">
      <c r="A484" t="s">
        <v>594</v>
      </c>
      <c r="B484" t="s">
        <v>592</v>
      </c>
      <c r="C484" s="2">
        <v>46265</v>
      </c>
      <c r="D484" t="s">
        <v>27</v>
      </c>
      <c r="E484" t="s">
        <v>35</v>
      </c>
      <c r="F484" t="s">
        <v>54</v>
      </c>
      <c r="G484" t="s">
        <v>61</v>
      </c>
      <c r="H484">
        <v>594</v>
      </c>
      <c r="I484">
        <v>592</v>
      </c>
      <c r="J484">
        <v>2</v>
      </c>
      <c r="K484">
        <v>22</v>
      </c>
      <c r="L484">
        <v>23.17</v>
      </c>
      <c r="M484">
        <v>229.37</v>
      </c>
      <c r="N484">
        <f>_xlfn.XLOOKUP(Table13[[#This Row],[Production_Order_ID]],[1]Sheet1!$A$2:$A$391,[1]Sheet1!$F$2:$F$391,"No Match")</f>
        <v>640</v>
      </c>
      <c r="O484" s="3">
        <f>Table13[[#This Row],[Good_Qty]]/Table13[[#This Row],[Planned_Production]]</f>
        <v>0.92500000000000004</v>
      </c>
      <c r="P484" t="str">
        <f>IF(Table13[[#This Row],[Good_Qty]]&gt;=Table13[[#This Row],[Planned_Production]],"Met","Not Met")</f>
        <v>Not Met</v>
      </c>
      <c r="Q484">
        <f>Table13[[#This Row],[Good_Qty]]-Table13[[#This Row],[Planned_Production]]</f>
        <v>-48</v>
      </c>
      <c r="R484" s="3">
        <f>IF(Table13[[#This Row],[Actual_Qty]]=0,0,Table13[[#This Row],[Reject_Qty]]/Table13[[#This Row],[Actual_Qty]])</f>
        <v>3.3670033670033669E-3</v>
      </c>
      <c r="S484">
        <v>433.93</v>
      </c>
      <c r="T484">
        <f>(Table13[[#This Row],[Ideal_Cycle_Time_sec]]*Table13[[#This Row],[Actual_Qty]])/(Table13[[#This Row],[Operational_Time_min]]*60)</f>
        <v>0.50192427350033419</v>
      </c>
      <c r="U484">
        <f>Table13[[#This Row],[Good_Qty]]/Table13[[#This Row],[Actual_Qty]]</f>
        <v>0.99663299663299665</v>
      </c>
      <c r="V484" t="str">
        <f>IF(OR(Table13[[#This Row],[Performance_%]]&gt;=1,Table13[[#This Row],[Performance_%]]&lt;=0),"Error","OK")</f>
        <v>OK</v>
      </c>
      <c r="W484" t="str">
        <f>IF(OR(Table13[[#This Row],[Quality_%]]&gt;=1,Table13[[#This Row],[Quality_%]]&lt;=0),"Error","OK")</f>
        <v>OK</v>
      </c>
      <c r="X484">
        <f>Table13[[#This Row],[Performance_%]]*Table13[[#This Row],[Quality_%]]*[2]Availability_KPI!K484</f>
        <v>0.48237037037037045</v>
      </c>
      <c r="Y484" t="str">
        <f>IF(OR(Table13[[#This Row],[OEE_%]]&gt;1,Table13[[#This Row],[OEE_%]]&lt;0),"Error","OK")</f>
        <v>OK</v>
      </c>
    </row>
    <row r="485" spans="1:25" x14ac:dyDescent="0.2">
      <c r="A485" t="s">
        <v>595</v>
      </c>
      <c r="B485" t="s">
        <v>592</v>
      </c>
      <c r="C485" s="2">
        <v>46265</v>
      </c>
      <c r="D485" t="s">
        <v>27</v>
      </c>
      <c r="E485" t="s">
        <v>38</v>
      </c>
      <c r="F485" t="s">
        <v>54</v>
      </c>
      <c r="G485" t="s">
        <v>33</v>
      </c>
      <c r="H485">
        <v>580</v>
      </c>
      <c r="I485">
        <v>575</v>
      </c>
      <c r="J485">
        <v>5</v>
      </c>
      <c r="K485">
        <v>20</v>
      </c>
      <c r="L485">
        <v>21.49</v>
      </c>
      <c r="M485">
        <v>207.74</v>
      </c>
      <c r="N485">
        <f>_xlfn.XLOOKUP(Table13[[#This Row],[Production_Order_ID]],[1]Sheet1!$A$2:$A$391,[1]Sheet1!$F$2:$F$391,"No Match")</f>
        <v>640</v>
      </c>
      <c r="O485" s="3">
        <f>Table13[[#This Row],[Good_Qty]]/Table13[[#This Row],[Planned_Production]]</f>
        <v>0.8984375</v>
      </c>
      <c r="P485" t="str">
        <f>IF(Table13[[#This Row],[Good_Qty]]&gt;=Table13[[#This Row],[Planned_Production]],"Met","Not Met")</f>
        <v>Not Met</v>
      </c>
      <c r="Q485">
        <f>Table13[[#This Row],[Good_Qty]]-Table13[[#This Row],[Planned_Production]]</f>
        <v>-65</v>
      </c>
      <c r="R485" s="3">
        <f>IF(Table13[[#This Row],[Actual_Qty]]=0,0,Table13[[#This Row],[Reject_Qty]]/Table13[[#This Row],[Actual_Qty]])</f>
        <v>8.6206896551724137E-3</v>
      </c>
      <c r="S485">
        <v>439.3</v>
      </c>
      <c r="T485">
        <f>(Table13[[#This Row],[Ideal_Cycle_Time_sec]]*Table13[[#This Row],[Actual_Qty]])/(Table13[[#This Row],[Operational_Time_min]]*60)</f>
        <v>0.44009408908111392</v>
      </c>
      <c r="U485">
        <f>Table13[[#This Row],[Good_Qty]]/Table13[[#This Row],[Actual_Qty]]</f>
        <v>0.99137931034482762</v>
      </c>
      <c r="V485" t="str">
        <f>IF(OR(Table13[[#This Row],[Performance_%]]&gt;=1,Table13[[#This Row],[Performance_%]]&lt;=0),"Error","OK")</f>
        <v>OK</v>
      </c>
      <c r="W485" t="str">
        <f>IF(OR(Table13[[#This Row],[Quality_%]]&gt;=1,Table13[[#This Row],[Quality_%]]&lt;=0),"Error","OK")</f>
        <v>OK</v>
      </c>
      <c r="X485">
        <f>Table13[[#This Row],[Performance_%]]*Table13[[#This Row],[Quality_%]]*[2]Availability_KPI!K485</f>
        <v>0.42592592592592599</v>
      </c>
      <c r="Y485" t="str">
        <f>IF(OR(Table13[[#This Row],[OEE_%]]&gt;1,Table13[[#This Row],[OEE_%]]&lt;0),"Error","OK")</f>
        <v>OK</v>
      </c>
    </row>
    <row r="486" spans="1:25" x14ac:dyDescent="0.2">
      <c r="A486" t="s">
        <v>596</v>
      </c>
      <c r="B486" t="s">
        <v>592</v>
      </c>
      <c r="C486" s="2">
        <v>46265</v>
      </c>
      <c r="D486" t="s">
        <v>27</v>
      </c>
      <c r="E486" t="s">
        <v>41</v>
      </c>
      <c r="F486" t="s">
        <v>54</v>
      </c>
      <c r="G486" t="s">
        <v>57</v>
      </c>
      <c r="H486">
        <v>575</v>
      </c>
      <c r="I486">
        <v>571</v>
      </c>
      <c r="J486">
        <v>4</v>
      </c>
      <c r="K486">
        <v>18</v>
      </c>
      <c r="L486">
        <v>18.96</v>
      </c>
      <c r="M486">
        <v>181.74</v>
      </c>
      <c r="N486">
        <f>_xlfn.XLOOKUP(Table13[[#This Row],[Production_Order_ID]],[1]Sheet1!$A$2:$A$391,[1]Sheet1!$F$2:$F$391,"No Match")</f>
        <v>640</v>
      </c>
      <c r="O486" s="3">
        <f>Table13[[#This Row],[Good_Qty]]/Table13[[#This Row],[Planned_Production]]</f>
        <v>0.89218750000000002</v>
      </c>
      <c r="P486" t="str">
        <f>IF(Table13[[#This Row],[Good_Qty]]&gt;=Table13[[#This Row],[Planned_Production]],"Met","Not Met")</f>
        <v>Not Met</v>
      </c>
      <c r="Q486">
        <f>Table13[[#This Row],[Good_Qty]]-Table13[[#This Row],[Planned_Production]]</f>
        <v>-69</v>
      </c>
      <c r="R486" s="3">
        <f>IF(Table13[[#This Row],[Actual_Qty]]=0,0,Table13[[#This Row],[Reject_Qty]]/Table13[[#This Row],[Actual_Qty]])</f>
        <v>6.956521739130435E-3</v>
      </c>
      <c r="S486">
        <v>438.03</v>
      </c>
      <c r="T486">
        <f>(Table13[[#This Row],[Ideal_Cycle_Time_sec]]*Table13[[#This Row],[Actual_Qty]])/(Table13[[#This Row],[Operational_Time_min]]*60)</f>
        <v>0.39380864324361348</v>
      </c>
      <c r="U486">
        <f>Table13[[#This Row],[Good_Qty]]/Table13[[#This Row],[Actual_Qty]]</f>
        <v>0.99304347826086958</v>
      </c>
      <c r="V486" t="str">
        <f>IF(OR(Table13[[#This Row],[Performance_%]]&gt;=1,Table13[[#This Row],[Performance_%]]&lt;=0),"Error","OK")</f>
        <v>OK</v>
      </c>
      <c r="W486" t="str">
        <f>IF(OR(Table13[[#This Row],[Quality_%]]&gt;=1,Table13[[#This Row],[Quality_%]]&lt;=0),"Error","OK")</f>
        <v>OK</v>
      </c>
      <c r="X486">
        <f>Table13[[#This Row],[Performance_%]]*Table13[[#This Row],[Quality_%]]*[2]Availability_KPI!K486</f>
        <v>0.38066666666666671</v>
      </c>
      <c r="Y486" t="str">
        <f>IF(OR(Table13[[#This Row],[OEE_%]]&gt;1,Table13[[#This Row],[OEE_%]]&lt;0),"Error","OK")</f>
        <v>OK</v>
      </c>
    </row>
    <row r="487" spans="1:25" x14ac:dyDescent="0.2">
      <c r="A487" t="s">
        <v>597</v>
      </c>
      <c r="B487" t="s">
        <v>592</v>
      </c>
      <c r="C487" s="2">
        <v>46265</v>
      </c>
      <c r="D487" t="s">
        <v>27</v>
      </c>
      <c r="E487" t="s">
        <v>43</v>
      </c>
      <c r="F487" t="s">
        <v>54</v>
      </c>
      <c r="G487" t="s">
        <v>39</v>
      </c>
      <c r="H487">
        <v>576</v>
      </c>
      <c r="I487">
        <v>566</v>
      </c>
      <c r="J487">
        <v>10</v>
      </c>
      <c r="K487">
        <v>32</v>
      </c>
      <c r="L487">
        <v>34.159999999999997</v>
      </c>
      <c r="M487">
        <v>327.94</v>
      </c>
      <c r="N487">
        <f>_xlfn.XLOOKUP(Table13[[#This Row],[Production_Order_ID]],[1]Sheet1!$A$2:$A$391,[1]Sheet1!$F$2:$F$391,"No Match")</f>
        <v>640</v>
      </c>
      <c r="O487" s="3">
        <f>Table13[[#This Row],[Good_Qty]]/Table13[[#This Row],[Planned_Production]]</f>
        <v>0.88437500000000002</v>
      </c>
      <c r="P487" t="str">
        <f>IF(Table13[[#This Row],[Good_Qty]]&gt;=Table13[[#This Row],[Planned_Production]],"Met","Not Met")</f>
        <v>Not Met</v>
      </c>
      <c r="Q487">
        <f>Table13[[#This Row],[Good_Qty]]-Table13[[#This Row],[Planned_Production]]</f>
        <v>-74</v>
      </c>
      <c r="R487" s="3">
        <f>IF(Table13[[#This Row],[Actual_Qty]]=0,0,Table13[[#This Row],[Reject_Qty]]/Table13[[#This Row],[Actual_Qty]])</f>
        <v>1.7361111111111112E-2</v>
      </c>
      <c r="S487">
        <v>418.07</v>
      </c>
      <c r="T487">
        <f>(Table13[[#This Row],[Ideal_Cycle_Time_sec]]*Table13[[#This Row],[Actual_Qty]])/(Table13[[#This Row],[Operational_Time_min]]*60)</f>
        <v>0.73480517616667063</v>
      </c>
      <c r="U487">
        <f>Table13[[#This Row],[Good_Qty]]/Table13[[#This Row],[Actual_Qty]]</f>
        <v>0.98263888888888884</v>
      </c>
      <c r="V487" t="str">
        <f>IF(OR(Table13[[#This Row],[Performance_%]]&gt;=1,Table13[[#This Row],[Performance_%]]&lt;=0),"Error","OK")</f>
        <v>OK</v>
      </c>
      <c r="W487" t="str">
        <f>IF(OR(Table13[[#This Row],[Quality_%]]&gt;=1,Table13[[#This Row],[Quality_%]]&lt;=0),"Error","OK")</f>
        <v>OK</v>
      </c>
      <c r="X487">
        <f>Table13[[#This Row],[Performance_%]]*Table13[[#This Row],[Quality_%]]*[2]Availability_KPI!K487</f>
        <v>0.67081481481481475</v>
      </c>
      <c r="Y487" t="str">
        <f>IF(OR(Table13[[#This Row],[OEE_%]]&gt;1,Table13[[#This Row],[OEE_%]]&lt;0),"Error","OK")</f>
        <v>OK</v>
      </c>
    </row>
    <row r="488" spans="1:25" x14ac:dyDescent="0.2">
      <c r="A488" t="s">
        <v>598</v>
      </c>
      <c r="B488" t="s">
        <v>592</v>
      </c>
      <c r="C488" s="2">
        <v>46265</v>
      </c>
      <c r="D488" t="s">
        <v>27</v>
      </c>
      <c r="E488" t="s">
        <v>46</v>
      </c>
      <c r="F488" t="s">
        <v>54</v>
      </c>
      <c r="G488" t="s">
        <v>61</v>
      </c>
      <c r="H488">
        <v>575</v>
      </c>
      <c r="I488">
        <v>569</v>
      </c>
      <c r="J488">
        <v>6</v>
      </c>
      <c r="K488">
        <v>25</v>
      </c>
      <c r="L488">
        <v>26.82</v>
      </c>
      <c r="M488">
        <v>257.06</v>
      </c>
      <c r="N488">
        <f>_xlfn.XLOOKUP(Table13[[#This Row],[Production_Order_ID]],[1]Sheet1!$A$2:$A$391,[1]Sheet1!$F$2:$F$391,"No Match")</f>
        <v>640</v>
      </c>
      <c r="O488" s="3">
        <f>Table13[[#This Row],[Good_Qty]]/Table13[[#This Row],[Planned_Production]]</f>
        <v>0.88906249999999998</v>
      </c>
      <c r="P488" t="str">
        <f>IF(Table13[[#This Row],[Good_Qty]]&gt;=Table13[[#This Row],[Planned_Production]],"Met","Not Met")</f>
        <v>Not Met</v>
      </c>
      <c r="Q488">
        <f>Table13[[#This Row],[Good_Qty]]-Table13[[#This Row],[Planned_Production]]</f>
        <v>-71</v>
      </c>
      <c r="R488" s="3">
        <f>IF(Table13[[#This Row],[Actual_Qty]]=0,0,Table13[[#This Row],[Reject_Qty]]/Table13[[#This Row],[Actual_Qty]])</f>
        <v>1.0434782608695653E-2</v>
      </c>
      <c r="S488">
        <v>432.82</v>
      </c>
      <c r="T488">
        <f>(Table13[[#This Row],[Ideal_Cycle_Time_sec]]*Table13[[#This Row],[Actual_Qty]])/(Table13[[#This Row],[Operational_Time_min]]*60)</f>
        <v>0.55354034779662065</v>
      </c>
      <c r="U488">
        <f>Table13[[#This Row],[Good_Qty]]/Table13[[#This Row],[Actual_Qty]]</f>
        <v>0.98956521739130432</v>
      </c>
      <c r="V488" t="str">
        <f>IF(OR(Table13[[#This Row],[Performance_%]]&gt;=1,Table13[[#This Row],[Performance_%]]&lt;=0),"Error","OK")</f>
        <v>OK</v>
      </c>
      <c r="W488" t="str">
        <f>IF(OR(Table13[[#This Row],[Quality_%]]&gt;=1,Table13[[#This Row],[Quality_%]]&lt;=0),"Error","OK")</f>
        <v>OK</v>
      </c>
      <c r="X488">
        <f>Table13[[#This Row],[Performance_%]]*Table13[[#This Row],[Quality_%]]*[2]Availability_KPI!K488</f>
        <v>0.5268518518518519</v>
      </c>
      <c r="Y488" t="str">
        <f>IF(OR(Table13[[#This Row],[OEE_%]]&gt;1,Table13[[#This Row],[OEE_%]]&lt;0),"Error","OK")</f>
        <v>OK</v>
      </c>
    </row>
    <row r="489" spans="1:25" x14ac:dyDescent="0.2">
      <c r="A489" t="s">
        <v>599</v>
      </c>
      <c r="B489" t="s">
        <v>592</v>
      </c>
      <c r="C489" s="2">
        <v>46265</v>
      </c>
      <c r="D489" t="s">
        <v>27</v>
      </c>
      <c r="E489" t="s">
        <v>49</v>
      </c>
      <c r="F489" t="s">
        <v>54</v>
      </c>
      <c r="G489" t="s">
        <v>71</v>
      </c>
      <c r="H489">
        <v>573</v>
      </c>
      <c r="I489">
        <v>571</v>
      </c>
      <c r="J489">
        <v>2</v>
      </c>
      <c r="K489">
        <v>20</v>
      </c>
      <c r="L489">
        <v>20.87</v>
      </c>
      <c r="M489">
        <v>199.3</v>
      </c>
      <c r="N489">
        <f>_xlfn.XLOOKUP(Table13[[#This Row],[Production_Order_ID]],[1]Sheet1!$A$2:$A$391,[1]Sheet1!$F$2:$F$391,"No Match")</f>
        <v>640</v>
      </c>
      <c r="O489" s="3">
        <f>Table13[[#This Row],[Good_Qty]]/Table13[[#This Row],[Planned_Production]]</f>
        <v>0.89218750000000002</v>
      </c>
      <c r="P489" t="str">
        <f>IF(Table13[[#This Row],[Good_Qty]]&gt;=Table13[[#This Row],[Planned_Production]],"Met","Not Met")</f>
        <v>Not Met</v>
      </c>
      <c r="Q489">
        <f>Table13[[#This Row],[Good_Qty]]-Table13[[#This Row],[Planned_Production]]</f>
        <v>-69</v>
      </c>
      <c r="R489" s="3">
        <f>IF(Table13[[#This Row],[Actual_Qty]]=0,0,Table13[[#This Row],[Reject_Qty]]/Table13[[#This Row],[Actual_Qty]])</f>
        <v>3.4904013961605585E-3</v>
      </c>
      <c r="S489">
        <v>441.82</v>
      </c>
      <c r="T489">
        <f>(Table13[[#This Row],[Ideal_Cycle_Time_sec]]*Table13[[#This Row],[Actual_Qty]])/(Table13[[#This Row],[Operational_Time_min]]*60)</f>
        <v>0.43230274772531802</v>
      </c>
      <c r="U489">
        <f>Table13[[#This Row],[Good_Qty]]/Table13[[#This Row],[Actual_Qty]]</f>
        <v>0.99650959860383947</v>
      </c>
      <c r="V489" t="str">
        <f>IF(OR(Table13[[#This Row],[Performance_%]]&gt;=1,Table13[[#This Row],[Performance_%]]&lt;=0),"Error","OK")</f>
        <v>OK</v>
      </c>
      <c r="W489" t="str">
        <f>IF(OR(Table13[[#This Row],[Quality_%]]&gt;=1,Table13[[#This Row],[Quality_%]]&lt;=0),"Error","OK")</f>
        <v>OK</v>
      </c>
      <c r="X489">
        <f>Table13[[#This Row],[Performance_%]]*Table13[[#This Row],[Quality_%]]*[2]Availability_KPI!K489</f>
        <v>0.42296296296296293</v>
      </c>
      <c r="Y489" t="str">
        <f>IF(OR(Table13[[#This Row],[OEE_%]]&gt;1,Table13[[#This Row],[OEE_%]]&lt;0),"Error","OK")</f>
        <v>OK</v>
      </c>
    </row>
    <row r="490" spans="1:25" x14ac:dyDescent="0.2">
      <c r="A490" t="s">
        <v>600</v>
      </c>
      <c r="B490" t="s">
        <v>601</v>
      </c>
      <c r="C490" s="2">
        <v>46265</v>
      </c>
      <c r="D490" t="s">
        <v>53</v>
      </c>
      <c r="E490" t="s">
        <v>28</v>
      </c>
      <c r="F490" t="s">
        <v>54</v>
      </c>
      <c r="G490" t="s">
        <v>55</v>
      </c>
      <c r="H490">
        <v>636</v>
      </c>
      <c r="I490">
        <v>632</v>
      </c>
      <c r="J490">
        <v>4</v>
      </c>
      <c r="K490">
        <v>18</v>
      </c>
      <c r="L490">
        <v>19.21</v>
      </c>
      <c r="M490">
        <v>203.67</v>
      </c>
      <c r="N490">
        <f>_xlfn.XLOOKUP(Table13[[#This Row],[Production_Order_ID]],[1]Sheet1!$A$2:$A$391,[1]Sheet1!$F$2:$F$391,"No Match")</f>
        <v>450</v>
      </c>
      <c r="O490" s="3">
        <f>Table13[[#This Row],[Good_Qty]]/Table13[[#This Row],[Planned_Production]]</f>
        <v>1.4044444444444444</v>
      </c>
      <c r="P490" t="str">
        <f>IF(Table13[[#This Row],[Good_Qty]]&gt;=Table13[[#This Row],[Planned_Production]],"Met","Not Met")</f>
        <v>Met</v>
      </c>
      <c r="Q490">
        <f>Table13[[#This Row],[Good_Qty]]-Table13[[#This Row],[Planned_Production]]</f>
        <v>182</v>
      </c>
      <c r="R490" s="3">
        <f>IF(Table13[[#This Row],[Actual_Qty]]=0,0,Table13[[#This Row],[Reject_Qty]]/Table13[[#This Row],[Actual_Qty]])</f>
        <v>6.2893081761006293E-3</v>
      </c>
      <c r="S490">
        <v>442.15</v>
      </c>
      <c r="T490">
        <f>(Table13[[#This Row],[Ideal_Cycle_Time_sec]]*Table13[[#This Row],[Actual_Qty]])/(Table13[[#This Row],[Operational_Time_min]]*60)</f>
        <v>0.43152776207169513</v>
      </c>
      <c r="U490">
        <f>Table13[[#This Row],[Good_Qty]]/Table13[[#This Row],[Actual_Qty]]</f>
        <v>0.99371069182389937</v>
      </c>
      <c r="V490" t="str">
        <f>IF(OR(Table13[[#This Row],[Performance_%]]&gt;=1,Table13[[#This Row],[Performance_%]]&lt;=0),"Error","OK")</f>
        <v>OK</v>
      </c>
      <c r="W490" t="str">
        <f>IF(OR(Table13[[#This Row],[Quality_%]]&gt;=1,Table13[[#This Row],[Quality_%]]&lt;=0),"Error","OK")</f>
        <v>OK</v>
      </c>
      <c r="X490">
        <f>Table13[[#This Row],[Performance_%]]*Table13[[#This Row],[Quality_%]]*[2]Availability_KPI!K490</f>
        <v>0.42133333333333334</v>
      </c>
      <c r="Y490" t="str">
        <f>IF(OR(Table13[[#This Row],[OEE_%]]&gt;1,Table13[[#This Row],[OEE_%]]&lt;0),"Error","OK")</f>
        <v>OK</v>
      </c>
    </row>
    <row r="491" spans="1:25" x14ac:dyDescent="0.2">
      <c r="A491" t="s">
        <v>602</v>
      </c>
      <c r="B491" t="s">
        <v>601</v>
      </c>
      <c r="C491" s="2">
        <v>46265</v>
      </c>
      <c r="D491" t="s">
        <v>53</v>
      </c>
      <c r="E491" t="s">
        <v>32</v>
      </c>
      <c r="F491" t="s">
        <v>54</v>
      </c>
      <c r="G491" t="s">
        <v>71</v>
      </c>
      <c r="H491">
        <v>633</v>
      </c>
      <c r="I491">
        <v>629</v>
      </c>
      <c r="J491">
        <v>4</v>
      </c>
      <c r="K491">
        <v>20</v>
      </c>
      <c r="L491">
        <v>22.15</v>
      </c>
      <c r="M491">
        <v>233.71</v>
      </c>
      <c r="N491">
        <f>_xlfn.XLOOKUP(Table13[[#This Row],[Production_Order_ID]],[1]Sheet1!$A$2:$A$391,[1]Sheet1!$F$2:$F$391,"No Match")</f>
        <v>450</v>
      </c>
      <c r="O491" s="3">
        <f>Table13[[#This Row],[Good_Qty]]/Table13[[#This Row],[Planned_Production]]</f>
        <v>1.3977777777777778</v>
      </c>
      <c r="P491" t="str">
        <f>IF(Table13[[#This Row],[Good_Qty]]&gt;=Table13[[#This Row],[Planned_Production]],"Met","Not Met")</f>
        <v>Met</v>
      </c>
      <c r="Q491">
        <f>Table13[[#This Row],[Good_Qty]]-Table13[[#This Row],[Planned_Production]]</f>
        <v>179</v>
      </c>
      <c r="R491" s="3">
        <f>IF(Table13[[#This Row],[Actual_Qty]]=0,0,Table13[[#This Row],[Reject_Qty]]/Table13[[#This Row],[Actual_Qty]])</f>
        <v>6.3191153238546603E-3</v>
      </c>
      <c r="S491">
        <v>439.95</v>
      </c>
      <c r="T491">
        <f>(Table13[[#This Row],[Ideal_Cycle_Time_sec]]*Table13[[#This Row],[Actual_Qty]])/(Table13[[#This Row],[Operational_Time_min]]*60)</f>
        <v>0.47959995454028864</v>
      </c>
      <c r="U491">
        <f>Table13[[#This Row],[Good_Qty]]/Table13[[#This Row],[Actual_Qty]]</f>
        <v>0.99368088467614535</v>
      </c>
      <c r="V491" t="str">
        <f>IF(OR(Table13[[#This Row],[Performance_%]]&gt;=1,Table13[[#This Row],[Performance_%]]&lt;=0),"Error","OK")</f>
        <v>OK</v>
      </c>
      <c r="W491" t="str">
        <f>IF(OR(Table13[[#This Row],[Quality_%]]&gt;=1,Table13[[#This Row],[Quality_%]]&lt;=0),"Error","OK")</f>
        <v>OK</v>
      </c>
      <c r="X491">
        <f>Table13[[#This Row],[Performance_%]]*Table13[[#This Row],[Quality_%]]*[2]Availability_KPI!K491</f>
        <v>0.46592592592592591</v>
      </c>
      <c r="Y491" t="str">
        <f>IF(OR(Table13[[#This Row],[OEE_%]]&gt;1,Table13[[#This Row],[OEE_%]]&lt;0),"Error","OK")</f>
        <v>OK</v>
      </c>
    </row>
    <row r="492" spans="1:25" x14ac:dyDescent="0.2">
      <c r="A492" t="s">
        <v>603</v>
      </c>
      <c r="B492" t="s">
        <v>601</v>
      </c>
      <c r="C492" s="2">
        <v>46265</v>
      </c>
      <c r="D492" t="s">
        <v>53</v>
      </c>
      <c r="E492" t="s">
        <v>35</v>
      </c>
      <c r="F492" t="s">
        <v>54</v>
      </c>
      <c r="G492" t="s">
        <v>71</v>
      </c>
      <c r="H492">
        <v>646</v>
      </c>
      <c r="I492">
        <v>642</v>
      </c>
      <c r="J492">
        <v>4</v>
      </c>
      <c r="K492">
        <v>22</v>
      </c>
      <c r="L492">
        <v>22.79</v>
      </c>
      <c r="M492">
        <v>245.34</v>
      </c>
      <c r="N492">
        <f>_xlfn.XLOOKUP(Table13[[#This Row],[Production_Order_ID]],[1]Sheet1!$A$2:$A$391,[1]Sheet1!$F$2:$F$391,"No Match")</f>
        <v>450</v>
      </c>
      <c r="O492" s="3">
        <f>Table13[[#This Row],[Good_Qty]]/Table13[[#This Row],[Planned_Production]]</f>
        <v>1.4266666666666667</v>
      </c>
      <c r="P492" t="str">
        <f>IF(Table13[[#This Row],[Good_Qty]]&gt;=Table13[[#This Row],[Planned_Production]],"Met","Not Met")</f>
        <v>Met</v>
      </c>
      <c r="Q492">
        <f>Table13[[#This Row],[Good_Qty]]-Table13[[#This Row],[Planned_Production]]</f>
        <v>192</v>
      </c>
      <c r="R492" s="3">
        <f>IF(Table13[[#This Row],[Actual_Qty]]=0,0,Table13[[#This Row],[Reject_Qty]]/Table13[[#This Row],[Actual_Qty]])</f>
        <v>6.1919504643962852E-3</v>
      </c>
      <c r="S492">
        <v>434.06</v>
      </c>
      <c r="T492">
        <f>(Table13[[#This Row],[Ideal_Cycle_Time_sec]]*Table13[[#This Row],[Actual_Qty]])/(Table13[[#This Row],[Operational_Time_min]]*60)</f>
        <v>0.54570028721067754</v>
      </c>
      <c r="U492">
        <f>Table13[[#This Row],[Good_Qty]]/Table13[[#This Row],[Actual_Qty]]</f>
        <v>0.99380804953560375</v>
      </c>
      <c r="V492" t="str">
        <f>IF(OR(Table13[[#This Row],[Performance_%]]&gt;=1,Table13[[#This Row],[Performance_%]]&lt;=0),"Error","OK")</f>
        <v>OK</v>
      </c>
      <c r="W492" t="str">
        <f>IF(OR(Table13[[#This Row],[Quality_%]]&gt;=1,Table13[[#This Row],[Quality_%]]&lt;=0),"Error","OK")</f>
        <v>OK</v>
      </c>
      <c r="X492">
        <f>Table13[[#This Row],[Performance_%]]*Table13[[#This Row],[Quality_%]]*[2]Availability_KPI!K492</f>
        <v>0.52311111111111119</v>
      </c>
      <c r="Y492" t="str">
        <f>IF(OR(Table13[[#This Row],[OEE_%]]&gt;1,Table13[[#This Row],[OEE_%]]&lt;0),"Error","OK")</f>
        <v>OK</v>
      </c>
    </row>
    <row r="493" spans="1:25" x14ac:dyDescent="0.2">
      <c r="A493" t="s">
        <v>604</v>
      </c>
      <c r="B493" t="s">
        <v>601</v>
      </c>
      <c r="C493" s="2">
        <v>46265</v>
      </c>
      <c r="D493" t="s">
        <v>53</v>
      </c>
      <c r="E493" t="s">
        <v>38</v>
      </c>
      <c r="F493" t="s">
        <v>54</v>
      </c>
      <c r="G493" t="s">
        <v>75</v>
      </c>
      <c r="H493">
        <v>632</v>
      </c>
      <c r="I493">
        <v>629</v>
      </c>
      <c r="J493">
        <v>3</v>
      </c>
      <c r="K493">
        <v>20</v>
      </c>
      <c r="L493">
        <v>20.67</v>
      </c>
      <c r="M493">
        <v>217.77</v>
      </c>
      <c r="N493">
        <f>_xlfn.XLOOKUP(Table13[[#This Row],[Production_Order_ID]],[1]Sheet1!$A$2:$A$391,[1]Sheet1!$F$2:$F$391,"No Match")</f>
        <v>450</v>
      </c>
      <c r="O493" s="3">
        <f>Table13[[#This Row],[Good_Qty]]/Table13[[#This Row],[Planned_Production]]</f>
        <v>1.3977777777777778</v>
      </c>
      <c r="P493" t="str">
        <f>IF(Table13[[#This Row],[Good_Qty]]&gt;=Table13[[#This Row],[Planned_Production]],"Met","Not Met")</f>
        <v>Met</v>
      </c>
      <c r="Q493">
        <f>Table13[[#This Row],[Good_Qty]]-Table13[[#This Row],[Planned_Production]]</f>
        <v>179</v>
      </c>
      <c r="R493" s="3">
        <f>IF(Table13[[#This Row],[Actual_Qty]]=0,0,Table13[[#This Row],[Reject_Qty]]/Table13[[#This Row],[Actual_Qty]])</f>
        <v>4.7468354430379748E-3</v>
      </c>
      <c r="S493">
        <v>439.52</v>
      </c>
      <c r="T493">
        <f>(Table13[[#This Row],[Ideal_Cycle_Time_sec]]*Table13[[#This Row],[Actual_Qty]])/(Table13[[#This Row],[Operational_Time_min]]*60)</f>
        <v>0.47931076325688637</v>
      </c>
      <c r="U493">
        <f>Table13[[#This Row],[Good_Qty]]/Table13[[#This Row],[Actual_Qty]]</f>
        <v>0.995253164556962</v>
      </c>
      <c r="V493" t="str">
        <f>IF(OR(Table13[[#This Row],[Performance_%]]&gt;=1,Table13[[#This Row],[Performance_%]]&lt;=0),"Error","OK")</f>
        <v>OK</v>
      </c>
      <c r="W493" t="str">
        <f>IF(OR(Table13[[#This Row],[Quality_%]]&gt;=1,Table13[[#This Row],[Quality_%]]&lt;=0),"Error","OK")</f>
        <v>OK</v>
      </c>
      <c r="X493">
        <f>Table13[[#This Row],[Performance_%]]*Table13[[#This Row],[Quality_%]]*[2]Availability_KPI!K493</f>
        <v>0.46592592592592597</v>
      </c>
      <c r="Y493" t="str">
        <f>IF(OR(Table13[[#This Row],[OEE_%]]&gt;1,Table13[[#This Row],[OEE_%]]&lt;0),"Error","OK")</f>
        <v>OK</v>
      </c>
    </row>
    <row r="494" spans="1:25" x14ac:dyDescent="0.2">
      <c r="A494" t="s">
        <v>605</v>
      </c>
      <c r="B494" t="s">
        <v>601</v>
      </c>
      <c r="C494" s="2">
        <v>46265</v>
      </c>
      <c r="D494" t="s">
        <v>53</v>
      </c>
      <c r="E494" t="s">
        <v>41</v>
      </c>
      <c r="F494" t="s">
        <v>54</v>
      </c>
      <c r="G494" t="s">
        <v>44</v>
      </c>
      <c r="H494">
        <v>648</v>
      </c>
      <c r="I494">
        <v>645</v>
      </c>
      <c r="J494">
        <v>3</v>
      </c>
      <c r="K494">
        <v>18</v>
      </c>
      <c r="L494">
        <v>18.96</v>
      </c>
      <c r="M494">
        <v>204.73</v>
      </c>
      <c r="N494">
        <f>_xlfn.XLOOKUP(Table13[[#This Row],[Production_Order_ID]],[1]Sheet1!$A$2:$A$391,[1]Sheet1!$F$2:$F$391,"No Match")</f>
        <v>450</v>
      </c>
      <c r="O494" s="3">
        <f>Table13[[#This Row],[Good_Qty]]/Table13[[#This Row],[Planned_Production]]</f>
        <v>1.4333333333333333</v>
      </c>
      <c r="P494" t="str">
        <f>IF(Table13[[#This Row],[Good_Qty]]&gt;=Table13[[#This Row],[Planned_Production]],"Met","Not Met")</f>
        <v>Met</v>
      </c>
      <c r="Q494">
        <f>Table13[[#This Row],[Good_Qty]]-Table13[[#This Row],[Planned_Production]]</f>
        <v>195</v>
      </c>
      <c r="R494" s="3">
        <f>IF(Table13[[#This Row],[Actual_Qty]]=0,0,Table13[[#This Row],[Reject_Qty]]/Table13[[#This Row],[Actual_Qty]])</f>
        <v>4.6296296296296294E-3</v>
      </c>
      <c r="S494">
        <v>436.54</v>
      </c>
      <c r="T494">
        <f>(Table13[[#This Row],[Ideal_Cycle_Time_sec]]*Table13[[#This Row],[Actual_Qty]])/(Table13[[#This Row],[Operational_Time_min]]*60)</f>
        <v>0.44532001649333391</v>
      </c>
      <c r="U494">
        <f>Table13[[#This Row],[Good_Qty]]/Table13[[#This Row],[Actual_Qty]]</f>
        <v>0.99537037037037035</v>
      </c>
      <c r="V494" t="str">
        <f>IF(OR(Table13[[#This Row],[Performance_%]]&gt;=1,Table13[[#This Row],[Performance_%]]&lt;=0),"Error","OK")</f>
        <v>OK</v>
      </c>
      <c r="W494" t="str">
        <f>IF(OR(Table13[[#This Row],[Quality_%]]&gt;=1,Table13[[#This Row],[Quality_%]]&lt;=0),"Error","OK")</f>
        <v>OK</v>
      </c>
      <c r="X494">
        <f>Table13[[#This Row],[Performance_%]]*Table13[[#This Row],[Quality_%]]*[2]Availability_KPI!K494</f>
        <v>0.42999999999999994</v>
      </c>
      <c r="Y494" t="str">
        <f>IF(OR(Table13[[#This Row],[OEE_%]]&gt;1,Table13[[#This Row],[OEE_%]]&lt;0),"Error","OK")</f>
        <v>OK</v>
      </c>
    </row>
    <row r="495" spans="1:25" x14ac:dyDescent="0.2">
      <c r="A495" t="s">
        <v>606</v>
      </c>
      <c r="B495" t="s">
        <v>601</v>
      </c>
      <c r="C495" s="2">
        <v>46265</v>
      </c>
      <c r="D495" t="s">
        <v>53</v>
      </c>
      <c r="E495" t="s">
        <v>43</v>
      </c>
      <c r="F495" t="s">
        <v>54</v>
      </c>
      <c r="G495" t="s">
        <v>50</v>
      </c>
      <c r="H495">
        <v>651</v>
      </c>
      <c r="I495">
        <v>643</v>
      </c>
      <c r="J495">
        <v>8</v>
      </c>
      <c r="K495">
        <v>32</v>
      </c>
      <c r="L495">
        <v>35.549999999999997</v>
      </c>
      <c r="M495">
        <v>385.68</v>
      </c>
      <c r="N495">
        <f>_xlfn.XLOOKUP(Table13[[#This Row],[Production_Order_ID]],[1]Sheet1!$A$2:$A$391,[1]Sheet1!$F$2:$F$391,"No Match")</f>
        <v>450</v>
      </c>
      <c r="O495" s="3">
        <f>Table13[[#This Row],[Good_Qty]]/Table13[[#This Row],[Planned_Production]]</f>
        <v>1.4288888888888889</v>
      </c>
      <c r="P495" t="str">
        <f>IF(Table13[[#This Row],[Good_Qty]]&gt;=Table13[[#This Row],[Planned_Production]],"Met","Not Met")</f>
        <v>Met</v>
      </c>
      <c r="Q495">
        <f>Table13[[#This Row],[Good_Qty]]-Table13[[#This Row],[Planned_Production]]</f>
        <v>193</v>
      </c>
      <c r="R495" s="3">
        <f>IF(Table13[[#This Row],[Actual_Qty]]=0,0,Table13[[#This Row],[Reject_Qty]]/Table13[[#This Row],[Actual_Qty]])</f>
        <v>1.2288786482334869E-2</v>
      </c>
      <c r="S495">
        <v>417.32</v>
      </c>
      <c r="T495">
        <f>(Table13[[#This Row],[Ideal_Cycle_Time_sec]]*Table13[[#This Row],[Actual_Qty]])/(Table13[[#This Row],[Operational_Time_min]]*60)</f>
        <v>0.83197546247483944</v>
      </c>
      <c r="U495">
        <f>Table13[[#This Row],[Good_Qty]]/Table13[[#This Row],[Actual_Qty]]</f>
        <v>0.98771121351766511</v>
      </c>
      <c r="V495" t="str">
        <f>IF(OR(Table13[[#This Row],[Performance_%]]&gt;=1,Table13[[#This Row],[Performance_%]]&lt;=0),"Error","OK")</f>
        <v>OK</v>
      </c>
      <c r="W495" t="str">
        <f>IF(OR(Table13[[#This Row],[Quality_%]]&gt;=1,Table13[[#This Row],[Quality_%]]&lt;=0),"Error","OK")</f>
        <v>OK</v>
      </c>
      <c r="X495">
        <f>Table13[[#This Row],[Performance_%]]*Table13[[#This Row],[Quality_%]]*[2]Availability_KPI!K495</f>
        <v>0.76207407407407401</v>
      </c>
      <c r="Y495" t="str">
        <f>IF(OR(Table13[[#This Row],[OEE_%]]&gt;1,Table13[[#This Row],[OEE_%]]&lt;0),"Error","OK")</f>
        <v>OK</v>
      </c>
    </row>
    <row r="496" spans="1:25" x14ac:dyDescent="0.2">
      <c r="A496" t="s">
        <v>607</v>
      </c>
      <c r="B496" t="s">
        <v>601</v>
      </c>
      <c r="C496" s="2">
        <v>46265</v>
      </c>
      <c r="D496" t="s">
        <v>53</v>
      </c>
      <c r="E496" t="s">
        <v>46</v>
      </c>
      <c r="F496" t="s">
        <v>54</v>
      </c>
      <c r="G496" t="s">
        <v>36</v>
      </c>
      <c r="H496">
        <v>635</v>
      </c>
      <c r="I496">
        <v>629</v>
      </c>
      <c r="J496">
        <v>6</v>
      </c>
      <c r="K496">
        <v>25</v>
      </c>
      <c r="L496">
        <v>26.11</v>
      </c>
      <c r="M496">
        <v>276.27999999999997</v>
      </c>
      <c r="N496">
        <f>_xlfn.XLOOKUP(Table13[[#This Row],[Production_Order_ID]],[1]Sheet1!$A$2:$A$391,[1]Sheet1!$F$2:$F$391,"No Match")</f>
        <v>450</v>
      </c>
      <c r="O496" s="3">
        <f>Table13[[#This Row],[Good_Qty]]/Table13[[#This Row],[Planned_Production]]</f>
        <v>1.3977777777777778</v>
      </c>
      <c r="P496" t="str">
        <f>IF(Table13[[#This Row],[Good_Qty]]&gt;=Table13[[#This Row],[Planned_Production]],"Met","Not Met")</f>
        <v>Met</v>
      </c>
      <c r="Q496">
        <f>Table13[[#This Row],[Good_Qty]]-Table13[[#This Row],[Planned_Production]]</f>
        <v>179</v>
      </c>
      <c r="R496" s="3">
        <f>IF(Table13[[#This Row],[Actual_Qty]]=0,0,Table13[[#This Row],[Reject_Qty]]/Table13[[#This Row],[Actual_Qty]])</f>
        <v>9.4488188976377951E-3</v>
      </c>
      <c r="S496">
        <v>430.37</v>
      </c>
      <c r="T496">
        <f>(Table13[[#This Row],[Ideal_Cycle_Time_sec]]*Table13[[#This Row],[Actual_Qty]])/(Table13[[#This Row],[Operational_Time_min]]*60)</f>
        <v>0.61478107984602393</v>
      </c>
      <c r="U496">
        <f>Table13[[#This Row],[Good_Qty]]/Table13[[#This Row],[Actual_Qty]]</f>
        <v>0.99055118110236218</v>
      </c>
      <c r="V496" t="str">
        <f>IF(OR(Table13[[#This Row],[Performance_%]]&gt;=1,Table13[[#This Row],[Performance_%]]&lt;=0),"Error","OK")</f>
        <v>OK</v>
      </c>
      <c r="W496" t="str">
        <f>IF(OR(Table13[[#This Row],[Quality_%]]&gt;=1,Table13[[#This Row],[Quality_%]]&lt;=0),"Error","OK")</f>
        <v>OK</v>
      </c>
      <c r="X496">
        <f>Table13[[#This Row],[Performance_%]]*Table13[[#This Row],[Quality_%]]*[2]Availability_KPI!K496</f>
        <v>0.58240740740740737</v>
      </c>
      <c r="Y496" t="str">
        <f>IF(OR(Table13[[#This Row],[OEE_%]]&gt;1,Table13[[#This Row],[OEE_%]]&lt;0),"Error","OK")</f>
        <v>OK</v>
      </c>
    </row>
    <row r="497" spans="1:25" x14ac:dyDescent="0.2">
      <c r="A497" t="s">
        <v>608</v>
      </c>
      <c r="B497" t="s">
        <v>601</v>
      </c>
      <c r="C497" s="2">
        <v>46265</v>
      </c>
      <c r="D497" t="s">
        <v>53</v>
      </c>
      <c r="E497" t="s">
        <v>49</v>
      </c>
      <c r="F497" t="s">
        <v>54</v>
      </c>
      <c r="G497" t="s">
        <v>33</v>
      </c>
      <c r="H497">
        <v>628</v>
      </c>
      <c r="I497">
        <v>624</v>
      </c>
      <c r="J497">
        <v>4</v>
      </c>
      <c r="K497">
        <v>20</v>
      </c>
      <c r="L497">
        <v>20.41</v>
      </c>
      <c r="M497">
        <v>213.64</v>
      </c>
      <c r="N497">
        <f>_xlfn.XLOOKUP(Table13[[#This Row],[Production_Order_ID]],[1]Sheet1!$A$2:$A$391,[1]Sheet1!$F$2:$F$391,"No Match")</f>
        <v>450</v>
      </c>
      <c r="O497" s="3">
        <f>Table13[[#This Row],[Good_Qty]]/Table13[[#This Row],[Planned_Production]]</f>
        <v>1.3866666666666667</v>
      </c>
      <c r="P497" t="str">
        <f>IF(Table13[[#This Row],[Good_Qty]]&gt;=Table13[[#This Row],[Planned_Production]],"Met","Not Met")</f>
        <v>Met</v>
      </c>
      <c r="Q497">
        <f>Table13[[#This Row],[Good_Qty]]-Table13[[#This Row],[Planned_Production]]</f>
        <v>174</v>
      </c>
      <c r="R497" s="3">
        <f>IF(Table13[[#This Row],[Actual_Qty]]=0,0,Table13[[#This Row],[Reject_Qty]]/Table13[[#This Row],[Actual_Qty]])</f>
        <v>6.369426751592357E-3</v>
      </c>
      <c r="S497">
        <v>442.86</v>
      </c>
      <c r="T497">
        <f>(Table13[[#This Row],[Ideal_Cycle_Time_sec]]*Table13[[#This Row],[Actual_Qty]])/(Table13[[#This Row],[Operational_Time_min]]*60)</f>
        <v>0.47268512246157546</v>
      </c>
      <c r="U497">
        <f>Table13[[#This Row],[Good_Qty]]/Table13[[#This Row],[Actual_Qty]]</f>
        <v>0.99363057324840764</v>
      </c>
      <c r="V497" t="str">
        <f>IF(OR(Table13[[#This Row],[Performance_%]]&gt;=1,Table13[[#This Row],[Performance_%]]&lt;=0),"Error","OK")</f>
        <v>OK</v>
      </c>
      <c r="W497" t="str">
        <f>IF(OR(Table13[[#This Row],[Quality_%]]&gt;=1,Table13[[#This Row],[Quality_%]]&lt;=0),"Error","OK")</f>
        <v>OK</v>
      </c>
      <c r="X497">
        <f>Table13[[#This Row],[Performance_%]]*Table13[[#This Row],[Quality_%]]*[2]Availability_KPI!K497</f>
        <v>0.4622222222222222</v>
      </c>
      <c r="Y497" t="str">
        <f>IF(OR(Table13[[#This Row],[OEE_%]]&gt;1,Table13[[#This Row],[OEE_%]]&lt;0),"Error","OK")</f>
        <v>OK</v>
      </c>
    </row>
    <row r="498" spans="1:25" x14ac:dyDescent="0.2">
      <c r="A498" t="s">
        <v>609</v>
      </c>
      <c r="B498" t="s">
        <v>610</v>
      </c>
      <c r="C498" s="2">
        <v>46265</v>
      </c>
      <c r="D498" t="s">
        <v>67</v>
      </c>
      <c r="E498" t="s">
        <v>28</v>
      </c>
      <c r="F498" t="s">
        <v>97</v>
      </c>
      <c r="G498" t="s">
        <v>30</v>
      </c>
      <c r="H498">
        <v>626</v>
      </c>
      <c r="I498">
        <v>622</v>
      </c>
      <c r="J498">
        <v>4</v>
      </c>
      <c r="K498">
        <v>19.260000000000002</v>
      </c>
      <c r="L498">
        <v>19.8</v>
      </c>
      <c r="M498">
        <v>206.61</v>
      </c>
      <c r="N498">
        <f>_xlfn.XLOOKUP(Table13[[#This Row],[Production_Order_ID]],[1]Sheet1!$A$2:$A$391,[1]Sheet1!$F$2:$F$391,"No Match")</f>
        <v>490</v>
      </c>
      <c r="O498" s="3">
        <f>Table13[[#This Row],[Good_Qty]]/Table13[[#This Row],[Planned_Production]]</f>
        <v>1.2693877551020407</v>
      </c>
      <c r="P498" t="str">
        <f>IF(Table13[[#This Row],[Good_Qty]]&gt;=Table13[[#This Row],[Planned_Production]],"Met","Not Met")</f>
        <v>Met</v>
      </c>
      <c r="Q498">
        <f>Table13[[#This Row],[Good_Qty]]-Table13[[#This Row],[Planned_Production]]</f>
        <v>132</v>
      </c>
      <c r="R498" s="3">
        <f>IF(Table13[[#This Row],[Actual_Qty]]=0,0,Table13[[#This Row],[Reject_Qty]]/Table13[[#This Row],[Actual_Qty]])</f>
        <v>6.3897763578274758E-3</v>
      </c>
      <c r="S498">
        <v>439.15</v>
      </c>
      <c r="T498">
        <f>(Table13[[#This Row],[Ideal_Cycle_Time_sec]]*Table13[[#This Row],[Actual_Qty]])/(Table13[[#This Row],[Operational_Time_min]]*60)</f>
        <v>0.45757941477854946</v>
      </c>
      <c r="U498">
        <f>Table13[[#This Row],[Good_Qty]]/Table13[[#This Row],[Actual_Qty]]</f>
        <v>0.99361022364217255</v>
      </c>
      <c r="V498" t="str">
        <f>IF(OR(Table13[[#This Row],[Performance_%]]&gt;=1,Table13[[#This Row],[Performance_%]]&lt;=0),"Error","OK")</f>
        <v>OK</v>
      </c>
      <c r="W498" t="str">
        <f>IF(OR(Table13[[#This Row],[Quality_%]]&gt;=1,Table13[[#This Row],[Quality_%]]&lt;=0),"Error","OK")</f>
        <v>OK</v>
      </c>
      <c r="X498">
        <f>Table13[[#This Row],[Performance_%]]*Table13[[#This Row],[Quality_%]]*[2]Availability_KPI!K498</f>
        <v>0.44369333333333333</v>
      </c>
      <c r="Y498" t="str">
        <f>IF(OR(Table13[[#This Row],[OEE_%]]&gt;1,Table13[[#This Row],[OEE_%]]&lt;0),"Error","OK")</f>
        <v>OK</v>
      </c>
    </row>
    <row r="499" spans="1:25" x14ac:dyDescent="0.2">
      <c r="A499" t="s">
        <v>611</v>
      </c>
      <c r="B499" t="s">
        <v>610</v>
      </c>
      <c r="C499" s="2">
        <v>46265</v>
      </c>
      <c r="D499" t="s">
        <v>67</v>
      </c>
      <c r="E499" t="s">
        <v>32</v>
      </c>
      <c r="F499" t="s">
        <v>97</v>
      </c>
      <c r="G499" t="s">
        <v>47</v>
      </c>
      <c r="H499">
        <v>646</v>
      </c>
      <c r="I499">
        <v>642</v>
      </c>
      <c r="J499">
        <v>4</v>
      </c>
      <c r="K499">
        <v>21.4</v>
      </c>
      <c r="L499">
        <v>22.16</v>
      </c>
      <c r="M499">
        <v>238.63</v>
      </c>
      <c r="N499">
        <f>_xlfn.XLOOKUP(Table13[[#This Row],[Production_Order_ID]],[1]Sheet1!$A$2:$A$391,[1]Sheet1!$F$2:$F$391,"No Match")</f>
        <v>490</v>
      </c>
      <c r="O499" s="3">
        <f>Table13[[#This Row],[Good_Qty]]/Table13[[#This Row],[Planned_Production]]</f>
        <v>1.310204081632653</v>
      </c>
      <c r="P499" t="str">
        <f>IF(Table13[[#This Row],[Good_Qty]]&gt;=Table13[[#This Row],[Planned_Production]],"Met","Not Met")</f>
        <v>Met</v>
      </c>
      <c r="Q499">
        <f>Table13[[#This Row],[Good_Qty]]-Table13[[#This Row],[Planned_Production]]</f>
        <v>152</v>
      </c>
      <c r="R499" s="3">
        <f>IF(Table13[[#This Row],[Actual_Qty]]=0,0,Table13[[#This Row],[Reject_Qty]]/Table13[[#This Row],[Actual_Qty]])</f>
        <v>6.1919504643962852E-3</v>
      </c>
      <c r="S499">
        <v>435.05</v>
      </c>
      <c r="T499">
        <f>(Table13[[#This Row],[Ideal_Cycle_Time_sec]]*Table13[[#This Row],[Actual_Qty]])/(Table13[[#This Row],[Operational_Time_min]]*60)</f>
        <v>0.52960962341493312</v>
      </c>
      <c r="U499">
        <f>Table13[[#This Row],[Good_Qty]]/Table13[[#This Row],[Actual_Qty]]</f>
        <v>0.99380804953560375</v>
      </c>
      <c r="V499" t="str">
        <f>IF(OR(Table13[[#This Row],[Performance_%]]&gt;=1,Table13[[#This Row],[Performance_%]]&lt;=0),"Error","OK")</f>
        <v>OK</v>
      </c>
      <c r="W499" t="str">
        <f>IF(OR(Table13[[#This Row],[Quality_%]]&gt;=1,Table13[[#This Row],[Quality_%]]&lt;=0),"Error","OK")</f>
        <v>OK</v>
      </c>
      <c r="X499">
        <f>Table13[[#This Row],[Performance_%]]*Table13[[#This Row],[Quality_%]]*[2]Availability_KPI!K499</f>
        <v>0.50884444444444454</v>
      </c>
      <c r="Y499" t="str">
        <f>IF(OR(Table13[[#This Row],[OEE_%]]&gt;1,Table13[[#This Row],[OEE_%]]&lt;0),"Error","OK")</f>
        <v>OK</v>
      </c>
    </row>
    <row r="500" spans="1:25" x14ac:dyDescent="0.2">
      <c r="A500" t="s">
        <v>612</v>
      </c>
      <c r="B500" t="s">
        <v>610</v>
      </c>
      <c r="C500" s="2">
        <v>46265</v>
      </c>
      <c r="D500" t="s">
        <v>67</v>
      </c>
      <c r="E500" t="s">
        <v>35</v>
      </c>
      <c r="F500" t="s">
        <v>97</v>
      </c>
      <c r="G500" t="s">
        <v>61</v>
      </c>
      <c r="H500">
        <v>644</v>
      </c>
      <c r="I500">
        <v>637</v>
      </c>
      <c r="J500">
        <v>7</v>
      </c>
      <c r="K500">
        <v>23.54</v>
      </c>
      <c r="L500">
        <v>25.36</v>
      </c>
      <c r="M500">
        <v>272.22000000000003</v>
      </c>
      <c r="N500">
        <f>_xlfn.XLOOKUP(Table13[[#This Row],[Production_Order_ID]],[1]Sheet1!$A$2:$A$391,[1]Sheet1!$F$2:$F$391,"No Match")</f>
        <v>490</v>
      </c>
      <c r="O500" s="3">
        <f>Table13[[#This Row],[Good_Qty]]/Table13[[#This Row],[Planned_Production]]</f>
        <v>1.3</v>
      </c>
      <c r="P500" t="str">
        <f>IF(Table13[[#This Row],[Good_Qty]]&gt;=Table13[[#This Row],[Planned_Production]],"Met","Not Met")</f>
        <v>Met</v>
      </c>
      <c r="Q500">
        <f>Table13[[#This Row],[Good_Qty]]-Table13[[#This Row],[Planned_Production]]</f>
        <v>147</v>
      </c>
      <c r="R500" s="3">
        <f>IF(Table13[[#This Row],[Actual_Qty]]=0,0,Table13[[#This Row],[Reject_Qty]]/Table13[[#This Row],[Actual_Qty]])</f>
        <v>1.0869565217391304E-2</v>
      </c>
      <c r="S500">
        <v>428.2</v>
      </c>
      <c r="T500">
        <f>(Table13[[#This Row],[Ideal_Cycle_Time_sec]]*Table13[[#This Row],[Actual_Qty]])/(Table13[[#This Row],[Operational_Time_min]]*60)</f>
        <v>0.59005760548030517</v>
      </c>
      <c r="U500">
        <f>Table13[[#This Row],[Good_Qty]]/Table13[[#This Row],[Actual_Qty]]</f>
        <v>0.98913043478260865</v>
      </c>
      <c r="V500" t="str">
        <f>IF(OR(Table13[[#This Row],[Performance_%]]&gt;=1,Table13[[#This Row],[Performance_%]]&lt;=0),"Error","OK")</f>
        <v>OK</v>
      </c>
      <c r="W500" t="str">
        <f>IF(OR(Table13[[#This Row],[Quality_%]]&gt;=1,Table13[[#This Row],[Quality_%]]&lt;=0),"Error","OK")</f>
        <v>OK</v>
      </c>
      <c r="X500">
        <f>Table13[[#This Row],[Performance_%]]*Table13[[#This Row],[Quality_%]]*[2]Availability_KPI!K500</f>
        <v>0.55536962962962955</v>
      </c>
      <c r="Y500" t="str">
        <f>IF(OR(Table13[[#This Row],[OEE_%]]&gt;1,Table13[[#This Row],[OEE_%]]&lt;0),"Error","OK")</f>
        <v>OK</v>
      </c>
    </row>
    <row r="501" spans="1:25" x14ac:dyDescent="0.2">
      <c r="A501" t="s">
        <v>613</v>
      </c>
      <c r="B501" t="s">
        <v>610</v>
      </c>
      <c r="C501" s="2">
        <v>46265</v>
      </c>
      <c r="D501" t="s">
        <v>67</v>
      </c>
      <c r="E501" t="s">
        <v>38</v>
      </c>
      <c r="F501" t="s">
        <v>97</v>
      </c>
      <c r="G501" t="s">
        <v>36</v>
      </c>
      <c r="H501">
        <v>637</v>
      </c>
      <c r="I501">
        <v>633</v>
      </c>
      <c r="J501">
        <v>4</v>
      </c>
      <c r="K501">
        <v>21.4</v>
      </c>
      <c r="L501">
        <v>22.43</v>
      </c>
      <c r="M501">
        <v>238.15</v>
      </c>
      <c r="N501">
        <f>_xlfn.XLOOKUP(Table13[[#This Row],[Production_Order_ID]],[1]Sheet1!$A$2:$A$391,[1]Sheet1!$F$2:$F$391,"No Match")</f>
        <v>490</v>
      </c>
      <c r="O501" s="3">
        <f>Table13[[#This Row],[Good_Qty]]/Table13[[#This Row],[Planned_Production]]</f>
        <v>1.2918367346938775</v>
      </c>
      <c r="P501" t="str">
        <f>IF(Table13[[#This Row],[Good_Qty]]&gt;=Table13[[#This Row],[Planned_Production]],"Met","Not Met")</f>
        <v>Met</v>
      </c>
      <c r="Q501">
        <f>Table13[[#This Row],[Good_Qty]]-Table13[[#This Row],[Planned_Production]]</f>
        <v>143</v>
      </c>
      <c r="R501" s="3">
        <f>IF(Table13[[#This Row],[Actual_Qty]]=0,0,Table13[[#This Row],[Reject_Qty]]/Table13[[#This Row],[Actual_Qty]])</f>
        <v>6.2794348508634227E-3</v>
      </c>
      <c r="S501">
        <v>436.21</v>
      </c>
      <c r="T501">
        <f>(Table13[[#This Row],[Ideal_Cycle_Time_sec]]*Table13[[#This Row],[Actual_Qty]])/(Table13[[#This Row],[Operational_Time_min]]*60)</f>
        <v>0.52084240770882528</v>
      </c>
      <c r="U501">
        <f>Table13[[#This Row],[Good_Qty]]/Table13[[#This Row],[Actual_Qty]]</f>
        <v>0.99372056514913654</v>
      </c>
      <c r="V501" t="str">
        <f>IF(OR(Table13[[#This Row],[Performance_%]]&gt;=1,Table13[[#This Row],[Performance_%]]&lt;=0),"Error","OK")</f>
        <v>OK</v>
      </c>
      <c r="W501" t="str">
        <f>IF(OR(Table13[[#This Row],[Quality_%]]&gt;=1,Table13[[#This Row],[Quality_%]]&lt;=0),"Error","OK")</f>
        <v>OK</v>
      </c>
      <c r="X501">
        <f>Table13[[#This Row],[Performance_%]]*Table13[[#This Row],[Quality_%]]*[2]Availability_KPI!K501</f>
        <v>0.50171111111111111</v>
      </c>
      <c r="Y501" t="str">
        <f>IF(OR(Table13[[#This Row],[OEE_%]]&gt;1,Table13[[#This Row],[OEE_%]]&lt;0),"Error","OK")</f>
        <v>OK</v>
      </c>
    </row>
    <row r="502" spans="1:25" x14ac:dyDescent="0.2">
      <c r="A502" t="s">
        <v>614</v>
      </c>
      <c r="B502" t="s">
        <v>610</v>
      </c>
      <c r="C502" s="2">
        <v>46265</v>
      </c>
      <c r="D502" t="s">
        <v>67</v>
      </c>
      <c r="E502" t="s">
        <v>41</v>
      </c>
      <c r="F502" t="s">
        <v>97</v>
      </c>
      <c r="G502" t="s">
        <v>36</v>
      </c>
      <c r="H502">
        <v>638</v>
      </c>
      <c r="I502">
        <v>633</v>
      </c>
      <c r="J502">
        <v>5</v>
      </c>
      <c r="K502">
        <v>19.260000000000002</v>
      </c>
      <c r="L502">
        <v>20.64</v>
      </c>
      <c r="M502">
        <v>219.46</v>
      </c>
      <c r="N502">
        <f>_xlfn.XLOOKUP(Table13[[#This Row],[Production_Order_ID]],[1]Sheet1!$A$2:$A$391,[1]Sheet1!$F$2:$F$391,"No Match")</f>
        <v>490</v>
      </c>
      <c r="O502" s="3">
        <f>Table13[[#This Row],[Good_Qty]]/Table13[[#This Row],[Planned_Production]]</f>
        <v>1.2918367346938775</v>
      </c>
      <c r="P502" t="str">
        <f>IF(Table13[[#This Row],[Good_Qty]]&gt;=Table13[[#This Row],[Planned_Production]],"Met","Not Met")</f>
        <v>Met</v>
      </c>
      <c r="Q502">
        <f>Table13[[#This Row],[Good_Qty]]-Table13[[#This Row],[Planned_Production]]</f>
        <v>143</v>
      </c>
      <c r="R502" s="3">
        <f>IF(Table13[[#This Row],[Actual_Qty]]=0,0,Table13[[#This Row],[Reject_Qty]]/Table13[[#This Row],[Actual_Qty]])</f>
        <v>7.8369905956112845E-3</v>
      </c>
      <c r="S502">
        <v>437.69</v>
      </c>
      <c r="T502">
        <f>(Table13[[#This Row],[Ideal_Cycle_Time_sec]]*Table13[[#This Row],[Actual_Qty]])/(Table13[[#This Row],[Operational_Time_min]]*60)</f>
        <v>0.46790650917315912</v>
      </c>
      <c r="U502">
        <f>Table13[[#This Row],[Good_Qty]]/Table13[[#This Row],[Actual_Qty]]</f>
        <v>0.99216300940438873</v>
      </c>
      <c r="V502" t="str">
        <f>IF(OR(Table13[[#This Row],[Performance_%]]&gt;=1,Table13[[#This Row],[Performance_%]]&lt;=0),"Error","OK")</f>
        <v>OK</v>
      </c>
      <c r="W502" t="str">
        <f>IF(OR(Table13[[#This Row],[Quality_%]]&gt;=1,Table13[[#This Row],[Quality_%]]&lt;=0),"Error","OK")</f>
        <v>OK</v>
      </c>
      <c r="X502">
        <f>Table13[[#This Row],[Performance_%]]*Table13[[#This Row],[Quality_%]]*[2]Availability_KPI!K502</f>
        <v>0.45154000000000005</v>
      </c>
      <c r="Y502" t="str">
        <f>IF(OR(Table13[[#This Row],[OEE_%]]&gt;1,Table13[[#This Row],[OEE_%]]&lt;0),"Error","OK")</f>
        <v>OK</v>
      </c>
    </row>
    <row r="503" spans="1:25" x14ac:dyDescent="0.2">
      <c r="A503" t="s">
        <v>615</v>
      </c>
      <c r="B503" t="s">
        <v>610</v>
      </c>
      <c r="C503" s="2">
        <v>46265</v>
      </c>
      <c r="D503" t="s">
        <v>67</v>
      </c>
      <c r="E503" t="s">
        <v>43</v>
      </c>
      <c r="F503" t="s">
        <v>97</v>
      </c>
      <c r="G503" t="s">
        <v>55</v>
      </c>
      <c r="H503">
        <v>644</v>
      </c>
      <c r="I503">
        <v>634</v>
      </c>
      <c r="J503">
        <v>10</v>
      </c>
      <c r="K503">
        <v>34.24</v>
      </c>
      <c r="L503">
        <v>38.28</v>
      </c>
      <c r="M503">
        <v>410.88</v>
      </c>
      <c r="N503">
        <f>_xlfn.XLOOKUP(Table13[[#This Row],[Production_Order_ID]],[1]Sheet1!$A$2:$A$391,[1]Sheet1!$F$2:$F$391,"No Match")</f>
        <v>490</v>
      </c>
      <c r="O503" s="3">
        <f>Table13[[#This Row],[Good_Qty]]/Table13[[#This Row],[Planned_Production]]</f>
        <v>1.2938775510204081</v>
      </c>
      <c r="P503" t="str">
        <f>IF(Table13[[#This Row],[Good_Qty]]&gt;=Table13[[#This Row],[Planned_Production]],"Met","Not Met")</f>
        <v>Met</v>
      </c>
      <c r="Q503">
        <f>Table13[[#This Row],[Good_Qty]]-Table13[[#This Row],[Planned_Production]]</f>
        <v>144</v>
      </c>
      <c r="R503" s="3">
        <f>IF(Table13[[#This Row],[Actual_Qty]]=0,0,Table13[[#This Row],[Reject_Qty]]/Table13[[#This Row],[Actual_Qty]])</f>
        <v>1.5527950310559006E-2</v>
      </c>
      <c r="S503">
        <v>409.68</v>
      </c>
      <c r="T503">
        <f>(Table13[[#This Row],[Ideal_Cycle_Time_sec]]*Table13[[#This Row],[Actual_Qty]])/(Table13[[#This Row],[Operational_Time_min]]*60)</f>
        <v>0.89706437544750384</v>
      </c>
      <c r="U503">
        <f>Table13[[#This Row],[Good_Qty]]/Table13[[#This Row],[Actual_Qty]]</f>
        <v>0.98447204968944102</v>
      </c>
      <c r="V503" t="str">
        <f>IF(OR(Table13[[#This Row],[Performance_%]]&gt;=1,Table13[[#This Row],[Performance_%]]&lt;=0),"Error","OK")</f>
        <v>OK</v>
      </c>
      <c r="W503" t="str">
        <f>IF(OR(Table13[[#This Row],[Quality_%]]&gt;=1,Table13[[#This Row],[Quality_%]]&lt;=0),"Error","OK")</f>
        <v>OK</v>
      </c>
      <c r="X503">
        <f>Table13[[#This Row],[Performance_%]]*Table13[[#This Row],[Quality_%]]*[2]Availability_KPI!K503</f>
        <v>0.80400592592592601</v>
      </c>
      <c r="Y503" t="str">
        <f>IF(OR(Table13[[#This Row],[OEE_%]]&gt;1,Table13[[#This Row],[OEE_%]]&lt;0),"Error","OK")</f>
        <v>OK</v>
      </c>
    </row>
    <row r="504" spans="1:25" x14ac:dyDescent="0.2">
      <c r="A504" t="s">
        <v>616</v>
      </c>
      <c r="B504" t="s">
        <v>610</v>
      </c>
      <c r="C504" s="2">
        <v>46265</v>
      </c>
      <c r="D504" t="s">
        <v>67</v>
      </c>
      <c r="E504" t="s">
        <v>46</v>
      </c>
      <c r="F504" t="s">
        <v>97</v>
      </c>
      <c r="G504" t="s">
        <v>75</v>
      </c>
      <c r="H504">
        <v>651</v>
      </c>
      <c r="I504">
        <v>647</v>
      </c>
      <c r="J504">
        <v>4</v>
      </c>
      <c r="K504">
        <v>26.75</v>
      </c>
      <c r="L504">
        <v>27.86</v>
      </c>
      <c r="M504">
        <v>302.27999999999997</v>
      </c>
      <c r="N504">
        <f>_xlfn.XLOOKUP(Table13[[#This Row],[Production_Order_ID]],[1]Sheet1!$A$2:$A$391,[1]Sheet1!$F$2:$F$391,"No Match")</f>
        <v>490</v>
      </c>
      <c r="O504" s="3">
        <f>Table13[[#This Row],[Good_Qty]]/Table13[[#This Row],[Planned_Production]]</f>
        <v>1.3204081632653062</v>
      </c>
      <c r="P504" t="str">
        <f>IF(Table13[[#This Row],[Good_Qty]]&gt;=Table13[[#This Row],[Planned_Production]],"Met","Not Met")</f>
        <v>Met</v>
      </c>
      <c r="Q504">
        <f>Table13[[#This Row],[Good_Qty]]-Table13[[#This Row],[Planned_Production]]</f>
        <v>157</v>
      </c>
      <c r="R504" s="3">
        <f>IF(Table13[[#This Row],[Actual_Qty]]=0,0,Table13[[#This Row],[Reject_Qty]]/Table13[[#This Row],[Actual_Qty]])</f>
        <v>6.1443932411674347E-3</v>
      </c>
      <c r="S504">
        <v>422.12</v>
      </c>
      <c r="T504">
        <f>(Table13[[#This Row],[Ideal_Cycle_Time_sec]]*Table13[[#This Row],[Actual_Qty]])/(Table13[[#This Row],[Operational_Time_min]]*60)</f>
        <v>0.68757106983796079</v>
      </c>
      <c r="U504">
        <f>Table13[[#This Row],[Good_Qty]]/Table13[[#This Row],[Actual_Qty]]</f>
        <v>0.99385560675883255</v>
      </c>
      <c r="V504" t="str">
        <f>IF(OR(Table13[[#This Row],[Performance_%]]&gt;=1,Table13[[#This Row],[Performance_%]]&lt;=0),"Error","OK")</f>
        <v>OK</v>
      </c>
      <c r="W504" t="str">
        <f>IF(OR(Table13[[#This Row],[Quality_%]]&gt;=1,Table13[[#This Row],[Quality_%]]&lt;=0),"Error","OK")</f>
        <v>OK</v>
      </c>
      <c r="X504">
        <f>Table13[[#This Row],[Performance_%]]*Table13[[#This Row],[Quality_%]]*[2]Availability_KPI!K504</f>
        <v>0.64100925925925922</v>
      </c>
      <c r="Y504" t="str">
        <f>IF(OR(Table13[[#This Row],[OEE_%]]&gt;1,Table13[[#This Row],[OEE_%]]&lt;0),"Error","OK")</f>
        <v>OK</v>
      </c>
    </row>
    <row r="505" spans="1:25" x14ac:dyDescent="0.2">
      <c r="A505" t="s">
        <v>617</v>
      </c>
      <c r="B505" t="s">
        <v>610</v>
      </c>
      <c r="C505" s="2">
        <v>46265</v>
      </c>
      <c r="D505" t="s">
        <v>67</v>
      </c>
      <c r="E505" t="s">
        <v>49</v>
      </c>
      <c r="F505" t="s">
        <v>97</v>
      </c>
      <c r="G505" t="s">
        <v>71</v>
      </c>
      <c r="H505">
        <v>653</v>
      </c>
      <c r="I505">
        <v>648</v>
      </c>
      <c r="J505">
        <v>5</v>
      </c>
      <c r="K505">
        <v>21.4</v>
      </c>
      <c r="L505">
        <v>22.41</v>
      </c>
      <c r="M505">
        <v>243.89</v>
      </c>
      <c r="N505">
        <f>_xlfn.XLOOKUP(Table13[[#This Row],[Production_Order_ID]],[1]Sheet1!$A$2:$A$391,[1]Sheet1!$F$2:$F$391,"No Match")</f>
        <v>490</v>
      </c>
      <c r="O505" s="3">
        <f>Table13[[#This Row],[Good_Qty]]/Table13[[#This Row],[Planned_Production]]</f>
        <v>1.3224489795918368</v>
      </c>
      <c r="P505" t="str">
        <f>IF(Table13[[#This Row],[Good_Qty]]&gt;=Table13[[#This Row],[Planned_Production]],"Met","Not Met")</f>
        <v>Met</v>
      </c>
      <c r="Q505">
        <f>Table13[[#This Row],[Good_Qty]]-Table13[[#This Row],[Planned_Production]]</f>
        <v>158</v>
      </c>
      <c r="R505" s="3">
        <f>IF(Table13[[#This Row],[Actual_Qty]]=0,0,Table13[[#This Row],[Reject_Qty]]/Table13[[#This Row],[Actual_Qty]])</f>
        <v>7.656967840735069E-3</v>
      </c>
      <c r="S505">
        <v>439.67</v>
      </c>
      <c r="T505">
        <f>(Table13[[#This Row],[Ideal_Cycle_Time_sec]]*Table13[[#This Row],[Actual_Qty]])/(Table13[[#This Row],[Operational_Time_min]]*60)</f>
        <v>0.52972304986315488</v>
      </c>
      <c r="U505">
        <f>Table13[[#This Row],[Good_Qty]]/Table13[[#This Row],[Actual_Qty]]</f>
        <v>0.99234303215926489</v>
      </c>
      <c r="V505" t="str">
        <f>IF(OR(Table13[[#This Row],[Performance_%]]&gt;=1,Table13[[#This Row],[Performance_%]]&lt;=0),"Error","OK")</f>
        <v>OK</v>
      </c>
      <c r="W505" t="str">
        <f>IF(OR(Table13[[#This Row],[Quality_%]]&gt;=1,Table13[[#This Row],[Quality_%]]&lt;=0),"Error","OK")</f>
        <v>OK</v>
      </c>
      <c r="X505">
        <f>Table13[[#This Row],[Performance_%]]*Table13[[#This Row],[Quality_%]]*[2]Availability_KPI!K505</f>
        <v>0.51359999999999995</v>
      </c>
      <c r="Y505" t="str">
        <f>IF(OR(Table13[[#This Row],[OEE_%]]&gt;1,Table13[[#This Row],[OEE_%]]&lt;0),"Error","OK")</f>
        <v>OK</v>
      </c>
    </row>
    <row r="506" spans="1:25" x14ac:dyDescent="0.2">
      <c r="A506" t="s">
        <v>618</v>
      </c>
      <c r="B506" t="s">
        <v>619</v>
      </c>
      <c r="C506" s="2">
        <v>46266</v>
      </c>
      <c r="D506" t="s">
        <v>27</v>
      </c>
      <c r="E506" t="s">
        <v>28</v>
      </c>
      <c r="F506" t="s">
        <v>54</v>
      </c>
      <c r="G506" t="s">
        <v>57</v>
      </c>
      <c r="H506">
        <v>686</v>
      </c>
      <c r="I506">
        <v>683</v>
      </c>
      <c r="J506">
        <v>3</v>
      </c>
      <c r="K506">
        <v>18</v>
      </c>
      <c r="L506">
        <v>18</v>
      </c>
      <c r="M506">
        <v>205.8</v>
      </c>
      <c r="N506">
        <f>_xlfn.XLOOKUP(Table13[[#This Row],[Production_Order_ID]],[1]Sheet1!$A$2:$A$391,[1]Sheet1!$F$2:$F$391,"No Match")</f>
        <v>520</v>
      </c>
      <c r="O506" s="3">
        <f>Table13[[#This Row],[Good_Qty]]/Table13[[#This Row],[Planned_Production]]</f>
        <v>1.3134615384615385</v>
      </c>
      <c r="P506" t="str">
        <f>IF(Table13[[#This Row],[Good_Qty]]&gt;=Table13[[#This Row],[Planned_Production]],"Met","Not Met")</f>
        <v>Met</v>
      </c>
      <c r="Q506">
        <f>Table13[[#This Row],[Good_Qty]]-Table13[[#This Row],[Planned_Production]]</f>
        <v>163</v>
      </c>
      <c r="R506" s="3">
        <f>IF(Table13[[#This Row],[Actual_Qty]]=0,0,Table13[[#This Row],[Reject_Qty]]/Table13[[#This Row],[Actual_Qty]])</f>
        <v>4.3731778425655978E-3</v>
      </c>
      <c r="S506">
        <v>440.29</v>
      </c>
      <c r="T506">
        <f>(Table13[[#This Row],[Ideal_Cycle_Time_sec]]*Table13[[#This Row],[Actual_Qty]])/(Table13[[#This Row],[Operational_Time_min]]*60)</f>
        <v>0.46741920098117146</v>
      </c>
      <c r="U506">
        <f>Table13[[#This Row],[Good_Qty]]/Table13[[#This Row],[Actual_Qty]]</f>
        <v>0.99562682215743437</v>
      </c>
      <c r="V506" t="str">
        <f>IF(OR(Table13[[#This Row],[Performance_%]]&gt;=1,Table13[[#This Row],[Performance_%]]&lt;=0),"Error","OK")</f>
        <v>OK</v>
      </c>
      <c r="W506" t="str">
        <f>IF(OR(Table13[[#This Row],[Quality_%]]&gt;=1,Table13[[#This Row],[Quality_%]]&lt;=0),"Error","OK")</f>
        <v>OK</v>
      </c>
      <c r="X506">
        <f>Table13[[#This Row],[Performance_%]]*Table13[[#This Row],[Quality_%]]*[2]Availability_KPI!K506</f>
        <v>0.45533333333333331</v>
      </c>
      <c r="Y506" t="str">
        <f>IF(OR(Table13[[#This Row],[OEE_%]]&gt;1,Table13[[#This Row],[OEE_%]]&lt;0),"Error","OK")</f>
        <v>OK</v>
      </c>
    </row>
    <row r="507" spans="1:25" x14ac:dyDescent="0.2">
      <c r="A507" t="s">
        <v>620</v>
      </c>
      <c r="B507" t="s">
        <v>619</v>
      </c>
      <c r="C507" s="2">
        <v>46266</v>
      </c>
      <c r="D507" t="s">
        <v>27</v>
      </c>
      <c r="E507" t="s">
        <v>32</v>
      </c>
      <c r="F507" t="s">
        <v>54</v>
      </c>
      <c r="G507" t="s">
        <v>30</v>
      </c>
      <c r="H507">
        <v>700</v>
      </c>
      <c r="I507">
        <v>695</v>
      </c>
      <c r="J507">
        <v>5</v>
      </c>
      <c r="K507">
        <v>20</v>
      </c>
      <c r="L507">
        <v>20.81</v>
      </c>
      <c r="M507">
        <v>242.82</v>
      </c>
      <c r="N507">
        <f>_xlfn.XLOOKUP(Table13[[#This Row],[Production_Order_ID]],[1]Sheet1!$A$2:$A$391,[1]Sheet1!$F$2:$F$391,"No Match")</f>
        <v>520</v>
      </c>
      <c r="O507" s="3">
        <f>Table13[[#This Row],[Good_Qty]]/Table13[[#This Row],[Planned_Production]]</f>
        <v>1.3365384615384615</v>
      </c>
      <c r="P507" t="str">
        <f>IF(Table13[[#This Row],[Good_Qty]]&gt;=Table13[[#This Row],[Planned_Production]],"Met","Not Met")</f>
        <v>Met</v>
      </c>
      <c r="Q507">
        <f>Table13[[#This Row],[Good_Qty]]-Table13[[#This Row],[Planned_Production]]</f>
        <v>175</v>
      </c>
      <c r="R507" s="3">
        <f>IF(Table13[[#This Row],[Actual_Qty]]=0,0,Table13[[#This Row],[Reject_Qty]]/Table13[[#This Row],[Actual_Qty]])</f>
        <v>7.1428571428571426E-3</v>
      </c>
      <c r="S507">
        <v>437.61</v>
      </c>
      <c r="T507">
        <f>(Table13[[#This Row],[Ideal_Cycle_Time_sec]]*Table13[[#This Row],[Actual_Qty]])/(Table13[[#This Row],[Operational_Time_min]]*60)</f>
        <v>0.53319927180213733</v>
      </c>
      <c r="U507">
        <f>Table13[[#This Row],[Good_Qty]]/Table13[[#This Row],[Actual_Qty]]</f>
        <v>0.99285714285714288</v>
      </c>
      <c r="V507" t="str">
        <f>IF(OR(Table13[[#This Row],[Performance_%]]&gt;=1,Table13[[#This Row],[Performance_%]]&lt;=0),"Error","OK")</f>
        <v>OK</v>
      </c>
      <c r="W507" t="str">
        <f>IF(OR(Table13[[#This Row],[Quality_%]]&gt;=1,Table13[[#This Row],[Quality_%]]&lt;=0),"Error","OK")</f>
        <v>OK</v>
      </c>
      <c r="X507">
        <f>Table13[[#This Row],[Performance_%]]*Table13[[#This Row],[Quality_%]]*[2]Availability_KPI!K507</f>
        <v>0.51481481481481484</v>
      </c>
      <c r="Y507" t="str">
        <f>IF(OR(Table13[[#This Row],[OEE_%]]&gt;1,Table13[[#This Row],[OEE_%]]&lt;0),"Error","OK")</f>
        <v>OK</v>
      </c>
    </row>
    <row r="508" spans="1:25" x14ac:dyDescent="0.2">
      <c r="A508" t="s">
        <v>621</v>
      </c>
      <c r="B508" t="s">
        <v>619</v>
      </c>
      <c r="C508" s="2">
        <v>46266</v>
      </c>
      <c r="D508" t="s">
        <v>27</v>
      </c>
      <c r="E508" t="s">
        <v>35</v>
      </c>
      <c r="F508" t="s">
        <v>54</v>
      </c>
      <c r="G508" t="s">
        <v>44</v>
      </c>
      <c r="H508">
        <v>678</v>
      </c>
      <c r="I508">
        <v>675</v>
      </c>
      <c r="J508">
        <v>3</v>
      </c>
      <c r="K508">
        <v>22</v>
      </c>
      <c r="L508">
        <v>22.84</v>
      </c>
      <c r="M508">
        <v>258.07</v>
      </c>
      <c r="N508">
        <f>_xlfn.XLOOKUP(Table13[[#This Row],[Production_Order_ID]],[1]Sheet1!$A$2:$A$391,[1]Sheet1!$F$2:$F$391,"No Match")</f>
        <v>520</v>
      </c>
      <c r="O508" s="3">
        <f>Table13[[#This Row],[Good_Qty]]/Table13[[#This Row],[Planned_Production]]</f>
        <v>1.2980769230769231</v>
      </c>
      <c r="P508" t="str">
        <f>IF(Table13[[#This Row],[Good_Qty]]&gt;=Table13[[#This Row],[Planned_Production]],"Met","Not Met")</f>
        <v>Met</v>
      </c>
      <c r="Q508">
        <f>Table13[[#This Row],[Good_Qty]]-Table13[[#This Row],[Planned_Production]]</f>
        <v>155</v>
      </c>
      <c r="R508" s="3">
        <f>IF(Table13[[#This Row],[Actual_Qty]]=0,0,Table13[[#This Row],[Reject_Qty]]/Table13[[#This Row],[Actual_Qty]])</f>
        <v>4.4247787610619468E-3</v>
      </c>
      <c r="S508">
        <v>433.94</v>
      </c>
      <c r="T508">
        <f>(Table13[[#This Row],[Ideal_Cycle_Time_sec]]*Table13[[#This Row],[Actual_Qty]])/(Table13[[#This Row],[Operational_Time_min]]*60)</f>
        <v>0.5728902613264506</v>
      </c>
      <c r="U508">
        <f>Table13[[#This Row],[Good_Qty]]/Table13[[#This Row],[Actual_Qty]]</f>
        <v>0.99557522123893805</v>
      </c>
      <c r="V508" t="str">
        <f>IF(OR(Table13[[#This Row],[Performance_%]]&gt;=1,Table13[[#This Row],[Performance_%]]&lt;=0),"Error","OK")</f>
        <v>OK</v>
      </c>
      <c r="W508" t="str">
        <f>IF(OR(Table13[[#This Row],[Quality_%]]&gt;=1,Table13[[#This Row],[Quality_%]]&lt;=0),"Error","OK")</f>
        <v>OK</v>
      </c>
      <c r="X508">
        <f>Table13[[#This Row],[Performance_%]]*Table13[[#This Row],[Quality_%]]*[2]Availability_KPI!K508</f>
        <v>0.54999999999999993</v>
      </c>
      <c r="Y508" t="str">
        <f>IF(OR(Table13[[#This Row],[OEE_%]]&gt;1,Table13[[#This Row],[OEE_%]]&lt;0),"Error","OK")</f>
        <v>OK</v>
      </c>
    </row>
    <row r="509" spans="1:25" x14ac:dyDescent="0.2">
      <c r="A509" t="s">
        <v>622</v>
      </c>
      <c r="B509" t="s">
        <v>619</v>
      </c>
      <c r="C509" s="2">
        <v>46266</v>
      </c>
      <c r="D509" t="s">
        <v>27</v>
      </c>
      <c r="E509" t="s">
        <v>38</v>
      </c>
      <c r="F509" t="s">
        <v>54</v>
      </c>
      <c r="G509" t="s">
        <v>50</v>
      </c>
      <c r="H509">
        <v>701</v>
      </c>
      <c r="I509">
        <v>696</v>
      </c>
      <c r="J509">
        <v>5</v>
      </c>
      <c r="K509">
        <v>20</v>
      </c>
      <c r="L509">
        <v>21.49</v>
      </c>
      <c r="M509">
        <v>251.07</v>
      </c>
      <c r="N509">
        <f>_xlfn.XLOOKUP(Table13[[#This Row],[Production_Order_ID]],[1]Sheet1!$A$2:$A$391,[1]Sheet1!$F$2:$F$391,"No Match")</f>
        <v>520</v>
      </c>
      <c r="O509" s="3">
        <f>Table13[[#This Row],[Good_Qty]]/Table13[[#This Row],[Planned_Production]]</f>
        <v>1.3384615384615384</v>
      </c>
      <c r="P509" t="str">
        <f>IF(Table13[[#This Row],[Good_Qty]]&gt;=Table13[[#This Row],[Planned_Production]],"Met","Not Met")</f>
        <v>Met</v>
      </c>
      <c r="Q509">
        <f>Table13[[#This Row],[Good_Qty]]-Table13[[#This Row],[Planned_Production]]</f>
        <v>176</v>
      </c>
      <c r="R509" s="3">
        <f>IF(Table13[[#This Row],[Actual_Qty]]=0,0,Table13[[#This Row],[Reject_Qty]]/Table13[[#This Row],[Actual_Qty]])</f>
        <v>7.1326676176890159E-3</v>
      </c>
      <c r="S509">
        <v>437.85</v>
      </c>
      <c r="T509">
        <f>(Table13[[#This Row],[Ideal_Cycle_Time_sec]]*Table13[[#This Row],[Actual_Qty]])/(Table13[[#This Row],[Operational_Time_min]]*60)</f>
        <v>0.53366830345247607</v>
      </c>
      <c r="U509">
        <f>Table13[[#This Row],[Good_Qty]]/Table13[[#This Row],[Actual_Qty]]</f>
        <v>0.99286733238231095</v>
      </c>
      <c r="V509" t="str">
        <f>IF(OR(Table13[[#This Row],[Performance_%]]&gt;=1,Table13[[#This Row],[Performance_%]]&lt;=0),"Error","OK")</f>
        <v>OK</v>
      </c>
      <c r="W509" t="str">
        <f>IF(OR(Table13[[#This Row],[Quality_%]]&gt;=1,Table13[[#This Row],[Quality_%]]&lt;=0),"Error","OK")</f>
        <v>OK</v>
      </c>
      <c r="X509">
        <f>Table13[[#This Row],[Performance_%]]*Table13[[#This Row],[Quality_%]]*[2]Availability_KPI!K509</f>
        <v>0.51555555555555554</v>
      </c>
      <c r="Y509" t="str">
        <f>IF(OR(Table13[[#This Row],[OEE_%]]&gt;1,Table13[[#This Row],[OEE_%]]&lt;0),"Error","OK")</f>
        <v>OK</v>
      </c>
    </row>
    <row r="510" spans="1:25" x14ac:dyDescent="0.2">
      <c r="A510" t="s">
        <v>623</v>
      </c>
      <c r="B510" t="s">
        <v>619</v>
      </c>
      <c r="C510" s="2">
        <v>46266</v>
      </c>
      <c r="D510" t="s">
        <v>27</v>
      </c>
      <c r="E510" t="s">
        <v>41</v>
      </c>
      <c r="F510" t="s">
        <v>54</v>
      </c>
      <c r="G510" t="s">
        <v>75</v>
      </c>
      <c r="H510">
        <v>697</v>
      </c>
      <c r="I510">
        <v>694</v>
      </c>
      <c r="J510">
        <v>3</v>
      </c>
      <c r="K510">
        <v>18</v>
      </c>
      <c r="L510">
        <v>18.89</v>
      </c>
      <c r="M510">
        <v>219.45</v>
      </c>
      <c r="N510">
        <f>_xlfn.XLOOKUP(Table13[[#This Row],[Production_Order_ID]],[1]Sheet1!$A$2:$A$391,[1]Sheet1!$F$2:$F$391,"No Match")</f>
        <v>520</v>
      </c>
      <c r="O510" s="3">
        <f>Table13[[#This Row],[Good_Qty]]/Table13[[#This Row],[Planned_Production]]</f>
        <v>1.3346153846153845</v>
      </c>
      <c r="P510" t="str">
        <f>IF(Table13[[#This Row],[Good_Qty]]&gt;=Table13[[#This Row],[Planned_Production]],"Met","Not Met")</f>
        <v>Met</v>
      </c>
      <c r="Q510">
        <f>Table13[[#This Row],[Good_Qty]]-Table13[[#This Row],[Planned_Production]]</f>
        <v>174</v>
      </c>
      <c r="R510" s="3">
        <f>IF(Table13[[#This Row],[Actual_Qty]]=0,0,Table13[[#This Row],[Reject_Qty]]/Table13[[#This Row],[Actual_Qty]])</f>
        <v>4.30416068866571E-3</v>
      </c>
      <c r="S510">
        <v>435.01</v>
      </c>
      <c r="T510">
        <f>(Table13[[#This Row],[Ideal_Cycle_Time_sec]]*Table13[[#This Row],[Actual_Qty]])/(Table13[[#This Row],[Operational_Time_min]]*60)</f>
        <v>0.48067860508953819</v>
      </c>
      <c r="U510">
        <f>Table13[[#This Row],[Good_Qty]]/Table13[[#This Row],[Actual_Qty]]</f>
        <v>0.99569583931133432</v>
      </c>
      <c r="V510" t="str">
        <f>IF(OR(Table13[[#This Row],[Performance_%]]&gt;=1,Table13[[#This Row],[Performance_%]]&lt;=0),"Error","OK")</f>
        <v>OK</v>
      </c>
      <c r="W510" t="str">
        <f>IF(OR(Table13[[#This Row],[Quality_%]]&gt;=1,Table13[[#This Row],[Quality_%]]&lt;=0),"Error","OK")</f>
        <v>OK</v>
      </c>
      <c r="X510">
        <f>Table13[[#This Row],[Performance_%]]*Table13[[#This Row],[Quality_%]]*[2]Availability_KPI!K510</f>
        <v>0.46266666666666667</v>
      </c>
      <c r="Y510" t="str">
        <f>IF(OR(Table13[[#This Row],[OEE_%]]&gt;1,Table13[[#This Row],[OEE_%]]&lt;0),"Error","OK")</f>
        <v>OK</v>
      </c>
    </row>
    <row r="511" spans="1:25" x14ac:dyDescent="0.2">
      <c r="A511" t="s">
        <v>624</v>
      </c>
      <c r="B511" t="s">
        <v>619</v>
      </c>
      <c r="C511" s="2">
        <v>46266</v>
      </c>
      <c r="D511" t="s">
        <v>27</v>
      </c>
      <c r="E511" t="s">
        <v>43</v>
      </c>
      <c r="F511" t="s">
        <v>54</v>
      </c>
      <c r="G511" t="s">
        <v>47</v>
      </c>
      <c r="H511">
        <v>690</v>
      </c>
      <c r="I511">
        <v>679</v>
      </c>
      <c r="J511">
        <v>11</v>
      </c>
      <c r="K511">
        <v>32</v>
      </c>
      <c r="L511">
        <v>34.43</v>
      </c>
      <c r="M511">
        <v>395.93</v>
      </c>
      <c r="N511">
        <f>_xlfn.XLOOKUP(Table13[[#This Row],[Production_Order_ID]],[1]Sheet1!$A$2:$A$391,[1]Sheet1!$F$2:$F$391,"No Match")</f>
        <v>520</v>
      </c>
      <c r="O511" s="3">
        <f>Table13[[#This Row],[Good_Qty]]/Table13[[#This Row],[Planned_Production]]</f>
        <v>1.3057692307692308</v>
      </c>
      <c r="P511" t="str">
        <f>IF(Table13[[#This Row],[Good_Qty]]&gt;=Table13[[#This Row],[Planned_Production]],"Met","Not Met")</f>
        <v>Met</v>
      </c>
      <c r="Q511">
        <f>Table13[[#This Row],[Good_Qty]]-Table13[[#This Row],[Planned_Production]]</f>
        <v>159</v>
      </c>
      <c r="R511" s="3">
        <f>IF(Table13[[#This Row],[Actual_Qty]]=0,0,Table13[[#This Row],[Reject_Qty]]/Table13[[#This Row],[Actual_Qty]])</f>
        <v>1.5942028985507246E-2</v>
      </c>
      <c r="S511">
        <v>403.04</v>
      </c>
      <c r="T511">
        <f>(Table13[[#This Row],[Ideal_Cycle_Time_sec]]*Table13[[#This Row],[Actual_Qty]])/(Table13[[#This Row],[Operational_Time_min]]*60)</f>
        <v>0.9130607383882493</v>
      </c>
      <c r="U511">
        <f>Table13[[#This Row],[Good_Qty]]/Table13[[#This Row],[Actual_Qty]]</f>
        <v>0.98405797101449277</v>
      </c>
      <c r="V511" t="str">
        <f>IF(OR(Table13[[#This Row],[Performance_%]]&gt;=1,Table13[[#This Row],[Performance_%]]&lt;=0),"Error","OK")</f>
        <v>OK</v>
      </c>
      <c r="W511" t="str">
        <f>IF(OR(Table13[[#This Row],[Quality_%]]&gt;=1,Table13[[#This Row],[Quality_%]]&lt;=0),"Error","OK")</f>
        <v>OK</v>
      </c>
      <c r="X511">
        <f>Table13[[#This Row],[Performance_%]]*Table13[[#This Row],[Quality_%]]*[2]Availability_KPI!K511</f>
        <v>0.80474074074074076</v>
      </c>
      <c r="Y511" t="str">
        <f>IF(OR(Table13[[#This Row],[OEE_%]]&gt;1,Table13[[#This Row],[OEE_%]]&lt;0),"Error","OK")</f>
        <v>OK</v>
      </c>
    </row>
    <row r="512" spans="1:25" x14ac:dyDescent="0.2">
      <c r="A512" t="s">
        <v>625</v>
      </c>
      <c r="B512" t="s">
        <v>619</v>
      </c>
      <c r="C512" s="2">
        <v>46266</v>
      </c>
      <c r="D512" t="s">
        <v>27</v>
      </c>
      <c r="E512" t="s">
        <v>46</v>
      </c>
      <c r="F512" t="s">
        <v>54</v>
      </c>
      <c r="G512" t="s">
        <v>36</v>
      </c>
      <c r="H512">
        <v>668</v>
      </c>
      <c r="I512">
        <v>661</v>
      </c>
      <c r="J512">
        <v>7</v>
      </c>
      <c r="K512">
        <v>25</v>
      </c>
      <c r="L512">
        <v>26.33</v>
      </c>
      <c r="M512">
        <v>293.12</v>
      </c>
      <c r="N512">
        <f>_xlfn.XLOOKUP(Table13[[#This Row],[Production_Order_ID]],[1]Sheet1!$A$2:$A$391,[1]Sheet1!$F$2:$F$391,"No Match")</f>
        <v>520</v>
      </c>
      <c r="O512" s="3">
        <f>Table13[[#This Row],[Good_Qty]]/Table13[[#This Row],[Planned_Production]]</f>
        <v>1.2711538461538461</v>
      </c>
      <c r="P512" t="str">
        <f>IF(Table13[[#This Row],[Good_Qty]]&gt;=Table13[[#This Row],[Planned_Production]],"Met","Not Met")</f>
        <v>Met</v>
      </c>
      <c r="Q512">
        <f>Table13[[#This Row],[Good_Qty]]-Table13[[#This Row],[Planned_Production]]</f>
        <v>141</v>
      </c>
      <c r="R512" s="3">
        <f>IF(Table13[[#This Row],[Actual_Qty]]=0,0,Table13[[#This Row],[Reject_Qty]]/Table13[[#This Row],[Actual_Qty]])</f>
        <v>1.0479041916167664E-2</v>
      </c>
      <c r="S512">
        <v>426.71</v>
      </c>
      <c r="T512">
        <f>(Table13[[#This Row],[Ideal_Cycle_Time_sec]]*Table13[[#This Row],[Actual_Qty]])/(Table13[[#This Row],[Operational_Time_min]]*60)</f>
        <v>0.65227750306609489</v>
      </c>
      <c r="U512">
        <f>Table13[[#This Row],[Good_Qty]]/Table13[[#This Row],[Actual_Qty]]</f>
        <v>0.98952095808383234</v>
      </c>
      <c r="V512" t="str">
        <f>IF(OR(Table13[[#This Row],[Performance_%]]&gt;=1,Table13[[#This Row],[Performance_%]]&lt;=0),"Error","OK")</f>
        <v>OK</v>
      </c>
      <c r="W512" t="str">
        <f>IF(OR(Table13[[#This Row],[Quality_%]]&gt;=1,Table13[[#This Row],[Quality_%]]&lt;=0),"Error","OK")</f>
        <v>OK</v>
      </c>
      <c r="X512">
        <f>Table13[[#This Row],[Performance_%]]*Table13[[#This Row],[Quality_%]]*[2]Availability_KPI!K512</f>
        <v>0.61203703703703705</v>
      </c>
      <c r="Y512" t="str">
        <f>IF(OR(Table13[[#This Row],[OEE_%]]&gt;1,Table13[[#This Row],[OEE_%]]&lt;0),"Error","OK")</f>
        <v>OK</v>
      </c>
    </row>
    <row r="513" spans="1:25" x14ac:dyDescent="0.2">
      <c r="A513" t="s">
        <v>626</v>
      </c>
      <c r="B513" t="s">
        <v>619</v>
      </c>
      <c r="C513" s="2">
        <v>46266</v>
      </c>
      <c r="D513" t="s">
        <v>27</v>
      </c>
      <c r="E513" t="s">
        <v>49</v>
      </c>
      <c r="F513" t="s">
        <v>54</v>
      </c>
      <c r="G513" t="s">
        <v>71</v>
      </c>
      <c r="H513">
        <v>707</v>
      </c>
      <c r="I513">
        <v>703</v>
      </c>
      <c r="J513">
        <v>4</v>
      </c>
      <c r="K513">
        <v>20</v>
      </c>
      <c r="L513">
        <v>20.54</v>
      </c>
      <c r="M513">
        <v>242.03</v>
      </c>
      <c r="N513">
        <f>_xlfn.XLOOKUP(Table13[[#This Row],[Production_Order_ID]],[1]Sheet1!$A$2:$A$391,[1]Sheet1!$F$2:$F$391,"No Match")</f>
        <v>520</v>
      </c>
      <c r="O513" s="3">
        <f>Table13[[#This Row],[Good_Qty]]/Table13[[#This Row],[Planned_Production]]</f>
        <v>1.351923076923077</v>
      </c>
      <c r="P513" t="str">
        <f>IF(Table13[[#This Row],[Good_Qty]]&gt;=Table13[[#This Row],[Planned_Production]],"Met","Not Met")</f>
        <v>Met</v>
      </c>
      <c r="Q513">
        <f>Table13[[#This Row],[Good_Qty]]-Table13[[#This Row],[Planned_Production]]</f>
        <v>183</v>
      </c>
      <c r="R513" s="3">
        <f>IF(Table13[[#This Row],[Actual_Qty]]=0,0,Table13[[#This Row],[Reject_Qty]]/Table13[[#This Row],[Actual_Qty]])</f>
        <v>5.6577086280056579E-3</v>
      </c>
      <c r="S513">
        <v>440.24</v>
      </c>
      <c r="T513">
        <f>(Table13[[#This Row],[Ideal_Cycle_Time_sec]]*Table13[[#This Row],[Actual_Qty]])/(Table13[[#This Row],[Operational_Time_min]]*60)</f>
        <v>0.53531407111272633</v>
      </c>
      <c r="U513">
        <f>Table13[[#This Row],[Good_Qty]]/Table13[[#This Row],[Actual_Qty]]</f>
        <v>0.99434229137199437</v>
      </c>
      <c r="V513" t="str">
        <f>IF(OR(Table13[[#This Row],[Performance_%]]&gt;=1,Table13[[#This Row],[Performance_%]]&lt;=0),"Error","OK")</f>
        <v>OK</v>
      </c>
      <c r="W513" t="str">
        <f>IF(OR(Table13[[#This Row],[Quality_%]]&gt;=1,Table13[[#This Row],[Quality_%]]&lt;=0),"Error","OK")</f>
        <v>OK</v>
      </c>
      <c r="X513">
        <f>Table13[[#This Row],[Performance_%]]*Table13[[#This Row],[Quality_%]]*[2]Availability_KPI!K513</f>
        <v>0.52074074074074073</v>
      </c>
      <c r="Y513" t="str">
        <f>IF(OR(Table13[[#This Row],[OEE_%]]&gt;1,Table13[[#This Row],[OEE_%]]&lt;0),"Error","OK")</f>
        <v>OK</v>
      </c>
    </row>
    <row r="514" spans="1:25" x14ac:dyDescent="0.2">
      <c r="A514" t="s">
        <v>627</v>
      </c>
      <c r="B514" t="s">
        <v>628</v>
      </c>
      <c r="C514" s="2">
        <v>46266</v>
      </c>
      <c r="D514" t="s">
        <v>53</v>
      </c>
      <c r="E514" t="s">
        <v>28</v>
      </c>
      <c r="F514" t="s">
        <v>54</v>
      </c>
      <c r="G514" t="s">
        <v>33</v>
      </c>
      <c r="H514">
        <v>661</v>
      </c>
      <c r="I514">
        <v>659</v>
      </c>
      <c r="J514">
        <v>2</v>
      </c>
      <c r="K514">
        <v>18</v>
      </c>
      <c r="L514">
        <v>19.5</v>
      </c>
      <c r="M514">
        <v>214.8</v>
      </c>
      <c r="N514">
        <f>_xlfn.XLOOKUP(Table13[[#This Row],[Production_Order_ID]],[1]Sheet1!$A$2:$A$391,[1]Sheet1!$F$2:$F$391,"No Match")</f>
        <v>520</v>
      </c>
      <c r="O514" s="3">
        <f>Table13[[#This Row],[Good_Qty]]/Table13[[#This Row],[Planned_Production]]</f>
        <v>1.2673076923076922</v>
      </c>
      <c r="P514" t="str">
        <f>IF(Table13[[#This Row],[Good_Qty]]&gt;=Table13[[#This Row],[Planned_Production]],"Met","Not Met")</f>
        <v>Met</v>
      </c>
      <c r="Q514">
        <f>Table13[[#This Row],[Good_Qty]]-Table13[[#This Row],[Planned_Production]]</f>
        <v>139</v>
      </c>
      <c r="R514" s="3">
        <f>IF(Table13[[#This Row],[Actual_Qty]]=0,0,Table13[[#This Row],[Reject_Qty]]/Table13[[#This Row],[Actual_Qty]])</f>
        <v>3.0257186081694403E-3</v>
      </c>
      <c r="S514">
        <v>437.92</v>
      </c>
      <c r="T514">
        <f>(Table13[[#This Row],[Ideal_Cycle_Time_sec]]*Table13[[#This Row],[Actual_Qty]])/(Table13[[#This Row],[Operational_Time_min]]*60)</f>
        <v>0.45282243332115452</v>
      </c>
      <c r="U514">
        <f>Table13[[#This Row],[Good_Qty]]/Table13[[#This Row],[Actual_Qty]]</f>
        <v>0.99697428139183053</v>
      </c>
      <c r="V514" t="str">
        <f>IF(OR(Table13[[#This Row],[Performance_%]]&gt;=1,Table13[[#This Row],[Performance_%]]&lt;=0),"Error","OK")</f>
        <v>OK</v>
      </c>
      <c r="W514" t="str">
        <f>IF(OR(Table13[[#This Row],[Quality_%]]&gt;=1,Table13[[#This Row],[Quality_%]]&lt;=0),"Error","OK")</f>
        <v>OK</v>
      </c>
      <c r="X514">
        <f>Table13[[#This Row],[Performance_%]]*Table13[[#This Row],[Quality_%]]*[2]Availability_KPI!K514</f>
        <v>0.4393333333333333</v>
      </c>
      <c r="Y514" t="str">
        <f>IF(OR(Table13[[#This Row],[OEE_%]]&gt;1,Table13[[#This Row],[OEE_%]]&lt;0),"Error","OK")</f>
        <v>OK</v>
      </c>
    </row>
    <row r="515" spans="1:25" x14ac:dyDescent="0.2">
      <c r="A515" t="s">
        <v>629</v>
      </c>
      <c r="B515" t="s">
        <v>628</v>
      </c>
      <c r="C515" s="2">
        <v>46266</v>
      </c>
      <c r="D515" t="s">
        <v>53</v>
      </c>
      <c r="E515" t="s">
        <v>32</v>
      </c>
      <c r="F515" t="s">
        <v>54</v>
      </c>
      <c r="G515" t="s">
        <v>36</v>
      </c>
      <c r="H515">
        <v>650</v>
      </c>
      <c r="I515">
        <v>646</v>
      </c>
      <c r="J515">
        <v>4</v>
      </c>
      <c r="K515">
        <v>20</v>
      </c>
      <c r="L515">
        <v>20.45</v>
      </c>
      <c r="M515">
        <v>221.53</v>
      </c>
      <c r="N515">
        <f>_xlfn.XLOOKUP(Table13[[#This Row],[Production_Order_ID]],[1]Sheet1!$A$2:$A$391,[1]Sheet1!$F$2:$F$391,"No Match")</f>
        <v>520</v>
      </c>
      <c r="O515" s="3">
        <f>Table13[[#This Row],[Good_Qty]]/Table13[[#This Row],[Planned_Production]]</f>
        <v>1.2423076923076923</v>
      </c>
      <c r="P515" t="str">
        <f>IF(Table13[[#This Row],[Good_Qty]]&gt;=Table13[[#This Row],[Planned_Production]],"Met","Not Met")</f>
        <v>Met</v>
      </c>
      <c r="Q515">
        <f>Table13[[#This Row],[Good_Qty]]-Table13[[#This Row],[Planned_Production]]</f>
        <v>126</v>
      </c>
      <c r="R515" s="3">
        <f>IF(Table13[[#This Row],[Actual_Qty]]=0,0,Table13[[#This Row],[Reject_Qty]]/Table13[[#This Row],[Actual_Qty]])</f>
        <v>6.1538461538461538E-3</v>
      </c>
      <c r="S515">
        <v>439.11</v>
      </c>
      <c r="T515">
        <f>(Table13[[#This Row],[Ideal_Cycle_Time_sec]]*Table13[[#This Row],[Actual_Qty]])/(Table13[[#This Row],[Operational_Time_min]]*60)</f>
        <v>0.49342230116979036</v>
      </c>
      <c r="U515">
        <f>Table13[[#This Row],[Good_Qty]]/Table13[[#This Row],[Actual_Qty]]</f>
        <v>0.99384615384615382</v>
      </c>
      <c r="V515" t="str">
        <f>IF(OR(Table13[[#This Row],[Performance_%]]&gt;=1,Table13[[#This Row],[Performance_%]]&lt;=0),"Error","OK")</f>
        <v>OK</v>
      </c>
      <c r="W515" t="str">
        <f>IF(OR(Table13[[#This Row],[Quality_%]]&gt;=1,Table13[[#This Row],[Quality_%]]&lt;=0),"Error","OK")</f>
        <v>OK</v>
      </c>
      <c r="X515">
        <f>Table13[[#This Row],[Performance_%]]*Table13[[#This Row],[Quality_%]]*[2]Availability_KPI!K515</f>
        <v>0.47851851851851845</v>
      </c>
      <c r="Y515" t="str">
        <f>IF(OR(Table13[[#This Row],[OEE_%]]&gt;1,Table13[[#This Row],[OEE_%]]&lt;0),"Error","OK")</f>
        <v>OK</v>
      </c>
    </row>
    <row r="516" spans="1:25" x14ac:dyDescent="0.2">
      <c r="A516" t="s">
        <v>630</v>
      </c>
      <c r="B516" t="s">
        <v>628</v>
      </c>
      <c r="C516" s="2">
        <v>46266</v>
      </c>
      <c r="D516" t="s">
        <v>53</v>
      </c>
      <c r="E516" t="s">
        <v>35</v>
      </c>
      <c r="F516" t="s">
        <v>54</v>
      </c>
      <c r="G516" t="s">
        <v>44</v>
      </c>
      <c r="H516">
        <v>654</v>
      </c>
      <c r="I516">
        <v>650</v>
      </c>
      <c r="J516">
        <v>4</v>
      </c>
      <c r="K516">
        <v>22</v>
      </c>
      <c r="L516">
        <v>23</v>
      </c>
      <c r="M516">
        <v>250.65</v>
      </c>
      <c r="N516">
        <f>_xlfn.XLOOKUP(Table13[[#This Row],[Production_Order_ID]],[1]Sheet1!$A$2:$A$391,[1]Sheet1!$F$2:$F$391,"No Match")</f>
        <v>520</v>
      </c>
      <c r="O516" s="3">
        <f>Table13[[#This Row],[Good_Qty]]/Table13[[#This Row],[Planned_Production]]</f>
        <v>1.25</v>
      </c>
      <c r="P516" t="str">
        <f>IF(Table13[[#This Row],[Good_Qty]]&gt;=Table13[[#This Row],[Planned_Production]],"Met","Not Met")</f>
        <v>Met</v>
      </c>
      <c r="Q516">
        <f>Table13[[#This Row],[Good_Qty]]-Table13[[#This Row],[Planned_Production]]</f>
        <v>130</v>
      </c>
      <c r="R516" s="3">
        <f>IF(Table13[[#This Row],[Actual_Qty]]=0,0,Table13[[#This Row],[Reject_Qty]]/Table13[[#This Row],[Actual_Qty]])</f>
        <v>6.1162079510703364E-3</v>
      </c>
      <c r="S516">
        <v>430.69</v>
      </c>
      <c r="T516">
        <f>(Table13[[#This Row],[Ideal_Cycle_Time_sec]]*Table13[[#This Row],[Actual_Qty]])/(Table13[[#This Row],[Operational_Time_min]]*60)</f>
        <v>0.55678097935870341</v>
      </c>
      <c r="U516">
        <f>Table13[[#This Row],[Good_Qty]]/Table13[[#This Row],[Actual_Qty]]</f>
        <v>0.99388379204892963</v>
      </c>
      <c r="V516" t="str">
        <f>IF(OR(Table13[[#This Row],[Performance_%]]&gt;=1,Table13[[#This Row],[Performance_%]]&lt;=0),"Error","OK")</f>
        <v>OK</v>
      </c>
      <c r="W516" t="str">
        <f>IF(OR(Table13[[#This Row],[Quality_%]]&gt;=1,Table13[[#This Row],[Quality_%]]&lt;=0),"Error","OK")</f>
        <v>OK</v>
      </c>
      <c r="X516">
        <f>Table13[[#This Row],[Performance_%]]*Table13[[#This Row],[Quality_%]]*[2]Availability_KPI!K516</f>
        <v>0.52962962962962956</v>
      </c>
      <c r="Y516" t="str">
        <f>IF(OR(Table13[[#This Row],[OEE_%]]&gt;1,Table13[[#This Row],[OEE_%]]&lt;0),"Error","OK")</f>
        <v>OK</v>
      </c>
    </row>
    <row r="517" spans="1:25" x14ac:dyDescent="0.2">
      <c r="A517" t="s">
        <v>631</v>
      </c>
      <c r="B517" t="s">
        <v>628</v>
      </c>
      <c r="C517" s="2">
        <v>46266</v>
      </c>
      <c r="D517" t="s">
        <v>53</v>
      </c>
      <c r="E517" t="s">
        <v>38</v>
      </c>
      <c r="F517" t="s">
        <v>54</v>
      </c>
      <c r="G517" t="s">
        <v>71</v>
      </c>
      <c r="H517">
        <v>630</v>
      </c>
      <c r="I517">
        <v>625</v>
      </c>
      <c r="J517">
        <v>5</v>
      </c>
      <c r="K517">
        <v>20</v>
      </c>
      <c r="L517">
        <v>21.42</v>
      </c>
      <c r="M517">
        <v>224.89</v>
      </c>
      <c r="N517">
        <f>_xlfn.XLOOKUP(Table13[[#This Row],[Production_Order_ID]],[1]Sheet1!$A$2:$A$391,[1]Sheet1!$F$2:$F$391,"No Match")</f>
        <v>520</v>
      </c>
      <c r="O517" s="3">
        <f>Table13[[#This Row],[Good_Qty]]/Table13[[#This Row],[Planned_Production]]</f>
        <v>1.2019230769230769</v>
      </c>
      <c r="P517" t="str">
        <f>IF(Table13[[#This Row],[Good_Qty]]&gt;=Table13[[#This Row],[Planned_Production]],"Met","Not Met")</f>
        <v>Met</v>
      </c>
      <c r="Q517">
        <f>Table13[[#This Row],[Good_Qty]]-Table13[[#This Row],[Planned_Production]]</f>
        <v>105</v>
      </c>
      <c r="R517" s="3">
        <f>IF(Table13[[#This Row],[Actual_Qty]]=0,0,Table13[[#This Row],[Reject_Qty]]/Table13[[#This Row],[Actual_Qty]])</f>
        <v>7.9365079365079361E-3</v>
      </c>
      <c r="S517">
        <v>436.31</v>
      </c>
      <c r="T517">
        <f>(Table13[[#This Row],[Ideal_Cycle_Time_sec]]*Table13[[#This Row],[Actual_Qty]])/(Table13[[#This Row],[Operational_Time_min]]*60)</f>
        <v>0.48130916091769615</v>
      </c>
      <c r="U517">
        <f>Table13[[#This Row],[Good_Qty]]/Table13[[#This Row],[Actual_Qty]]</f>
        <v>0.99206349206349209</v>
      </c>
      <c r="V517" t="str">
        <f>IF(OR(Table13[[#This Row],[Performance_%]]&gt;=1,Table13[[#This Row],[Performance_%]]&lt;=0),"Error","OK")</f>
        <v>OK</v>
      </c>
      <c r="W517" t="str">
        <f>IF(OR(Table13[[#This Row],[Quality_%]]&gt;=1,Table13[[#This Row],[Quality_%]]&lt;=0),"Error","OK")</f>
        <v>OK</v>
      </c>
      <c r="X517">
        <f>Table13[[#This Row],[Performance_%]]*Table13[[#This Row],[Quality_%]]*[2]Availability_KPI!K517</f>
        <v>0.46296296296296297</v>
      </c>
      <c r="Y517" t="str">
        <f>IF(OR(Table13[[#This Row],[OEE_%]]&gt;1,Table13[[#This Row],[OEE_%]]&lt;0),"Error","OK")</f>
        <v>OK</v>
      </c>
    </row>
    <row r="518" spans="1:25" x14ac:dyDescent="0.2">
      <c r="A518" t="s">
        <v>632</v>
      </c>
      <c r="B518" t="s">
        <v>628</v>
      </c>
      <c r="C518" s="2">
        <v>46266</v>
      </c>
      <c r="D518" t="s">
        <v>53</v>
      </c>
      <c r="E518" t="s">
        <v>41</v>
      </c>
      <c r="F518" t="s">
        <v>54</v>
      </c>
      <c r="G518" t="s">
        <v>33</v>
      </c>
      <c r="H518">
        <v>641</v>
      </c>
      <c r="I518">
        <v>636</v>
      </c>
      <c r="J518">
        <v>5</v>
      </c>
      <c r="K518">
        <v>18</v>
      </c>
      <c r="L518">
        <v>18.54</v>
      </c>
      <c r="M518">
        <v>198.03</v>
      </c>
      <c r="N518">
        <f>_xlfn.XLOOKUP(Table13[[#This Row],[Production_Order_ID]],[1]Sheet1!$A$2:$A$391,[1]Sheet1!$F$2:$F$391,"No Match")</f>
        <v>520</v>
      </c>
      <c r="O518" s="3">
        <f>Table13[[#This Row],[Good_Qty]]/Table13[[#This Row],[Planned_Production]]</f>
        <v>1.2230769230769232</v>
      </c>
      <c r="P518" t="str">
        <f>IF(Table13[[#This Row],[Good_Qty]]&gt;=Table13[[#This Row],[Planned_Production]],"Met","Not Met")</f>
        <v>Met</v>
      </c>
      <c r="Q518">
        <f>Table13[[#This Row],[Good_Qty]]-Table13[[#This Row],[Planned_Production]]</f>
        <v>116</v>
      </c>
      <c r="R518" s="3">
        <f>IF(Table13[[#This Row],[Actual_Qty]]=0,0,Table13[[#This Row],[Reject_Qty]]/Table13[[#This Row],[Actual_Qty]])</f>
        <v>7.8003120124804995E-3</v>
      </c>
      <c r="S518">
        <v>440.94</v>
      </c>
      <c r="T518">
        <f>(Table13[[#This Row],[Ideal_Cycle_Time_sec]]*Table13[[#This Row],[Actual_Qty]])/(Table13[[#This Row],[Operational_Time_min]]*60)</f>
        <v>0.43611375697373789</v>
      </c>
      <c r="U518">
        <f>Table13[[#This Row],[Good_Qty]]/Table13[[#This Row],[Actual_Qty]]</f>
        <v>0.99219968798751945</v>
      </c>
      <c r="V518" t="str">
        <f>IF(OR(Table13[[#This Row],[Performance_%]]&gt;=1,Table13[[#This Row],[Performance_%]]&lt;=0),"Error","OK")</f>
        <v>OK</v>
      </c>
      <c r="W518" t="str">
        <f>IF(OR(Table13[[#This Row],[Quality_%]]&gt;=1,Table13[[#This Row],[Quality_%]]&lt;=0),"Error","OK")</f>
        <v>OK</v>
      </c>
      <c r="X518">
        <f>Table13[[#This Row],[Performance_%]]*Table13[[#This Row],[Quality_%]]*[2]Availability_KPI!K518</f>
        <v>0.42399999999999999</v>
      </c>
      <c r="Y518" t="str">
        <f>IF(OR(Table13[[#This Row],[OEE_%]]&gt;1,Table13[[#This Row],[OEE_%]]&lt;0),"Error","OK")</f>
        <v>OK</v>
      </c>
    </row>
    <row r="519" spans="1:25" x14ac:dyDescent="0.2">
      <c r="A519" t="s">
        <v>633</v>
      </c>
      <c r="B519" t="s">
        <v>628</v>
      </c>
      <c r="C519" s="2">
        <v>46266</v>
      </c>
      <c r="D519" t="s">
        <v>53</v>
      </c>
      <c r="E519" t="s">
        <v>43</v>
      </c>
      <c r="F519" t="s">
        <v>54</v>
      </c>
      <c r="G519" t="s">
        <v>47</v>
      </c>
      <c r="H519">
        <v>640</v>
      </c>
      <c r="I519">
        <v>629</v>
      </c>
      <c r="J519">
        <v>11</v>
      </c>
      <c r="K519">
        <v>32</v>
      </c>
      <c r="L519">
        <v>33.67</v>
      </c>
      <c r="M519">
        <v>359.17</v>
      </c>
      <c r="N519">
        <f>_xlfn.XLOOKUP(Table13[[#This Row],[Production_Order_ID]],[1]Sheet1!$A$2:$A$391,[1]Sheet1!$F$2:$F$391,"No Match")</f>
        <v>520</v>
      </c>
      <c r="O519" s="3">
        <f>Table13[[#This Row],[Good_Qty]]/Table13[[#This Row],[Planned_Production]]</f>
        <v>1.2096153846153845</v>
      </c>
      <c r="P519" t="str">
        <f>IF(Table13[[#This Row],[Good_Qty]]&gt;=Table13[[#This Row],[Planned_Production]],"Met","Not Met")</f>
        <v>Met</v>
      </c>
      <c r="Q519">
        <f>Table13[[#This Row],[Good_Qty]]-Table13[[#This Row],[Planned_Production]]</f>
        <v>109</v>
      </c>
      <c r="R519" s="3">
        <f>IF(Table13[[#This Row],[Actual_Qty]]=0,0,Table13[[#This Row],[Reject_Qty]]/Table13[[#This Row],[Actual_Qty]])</f>
        <v>1.7187500000000001E-2</v>
      </c>
      <c r="S519">
        <v>420.12</v>
      </c>
      <c r="T519">
        <f>(Table13[[#This Row],[Ideal_Cycle_Time_sec]]*Table13[[#This Row],[Actual_Qty]])/(Table13[[#This Row],[Operational_Time_min]]*60)</f>
        <v>0.81246627947570538</v>
      </c>
      <c r="U519">
        <f>Table13[[#This Row],[Good_Qty]]/Table13[[#This Row],[Actual_Qty]]</f>
        <v>0.98281249999999998</v>
      </c>
      <c r="V519" t="str">
        <f>IF(OR(Table13[[#This Row],[Performance_%]]&gt;=1,Table13[[#This Row],[Performance_%]]&lt;=0),"Error","OK")</f>
        <v>OK</v>
      </c>
      <c r="W519" t="str">
        <f>IF(OR(Table13[[#This Row],[Quality_%]]&gt;=1,Table13[[#This Row],[Quality_%]]&lt;=0),"Error","OK")</f>
        <v>OK</v>
      </c>
      <c r="X519">
        <f>Table13[[#This Row],[Performance_%]]*Table13[[#This Row],[Quality_%]]*[2]Availability_KPI!K519</f>
        <v>0.74548148148148141</v>
      </c>
      <c r="Y519" t="str">
        <f>IF(OR(Table13[[#This Row],[OEE_%]]&gt;1,Table13[[#This Row],[OEE_%]]&lt;0),"Error","OK")</f>
        <v>OK</v>
      </c>
    </row>
    <row r="520" spans="1:25" x14ac:dyDescent="0.2">
      <c r="A520" t="s">
        <v>634</v>
      </c>
      <c r="B520" t="s">
        <v>628</v>
      </c>
      <c r="C520" s="2">
        <v>46266</v>
      </c>
      <c r="D520" t="s">
        <v>53</v>
      </c>
      <c r="E520" t="s">
        <v>46</v>
      </c>
      <c r="F520" t="s">
        <v>54</v>
      </c>
      <c r="G520" t="s">
        <v>36</v>
      </c>
      <c r="H520">
        <v>636</v>
      </c>
      <c r="I520">
        <v>630</v>
      </c>
      <c r="J520">
        <v>6</v>
      </c>
      <c r="K520">
        <v>25</v>
      </c>
      <c r="L520">
        <v>25.69</v>
      </c>
      <c r="M520">
        <v>272.35000000000002</v>
      </c>
      <c r="N520">
        <f>_xlfn.XLOOKUP(Table13[[#This Row],[Production_Order_ID]],[1]Sheet1!$A$2:$A$391,[1]Sheet1!$F$2:$F$391,"No Match")</f>
        <v>520</v>
      </c>
      <c r="O520" s="3">
        <f>Table13[[#This Row],[Good_Qty]]/Table13[[#This Row],[Planned_Production]]</f>
        <v>1.2115384615384615</v>
      </c>
      <c r="P520" t="str">
        <f>IF(Table13[[#This Row],[Good_Qty]]&gt;=Table13[[#This Row],[Planned_Production]],"Met","Not Met")</f>
        <v>Met</v>
      </c>
      <c r="Q520">
        <f>Table13[[#This Row],[Good_Qty]]-Table13[[#This Row],[Planned_Production]]</f>
        <v>110</v>
      </c>
      <c r="R520" s="3">
        <f>IF(Table13[[#This Row],[Actual_Qty]]=0,0,Table13[[#This Row],[Reject_Qty]]/Table13[[#This Row],[Actual_Qty]])</f>
        <v>9.433962264150943E-3</v>
      </c>
      <c r="S520">
        <v>432.3</v>
      </c>
      <c r="T520">
        <f>(Table13[[#This Row],[Ideal_Cycle_Time_sec]]*Table13[[#This Row],[Actual_Qty]])/(Table13[[#This Row],[Operational_Time_min]]*60)</f>
        <v>0.61300023132084203</v>
      </c>
      <c r="U520">
        <f>Table13[[#This Row],[Good_Qty]]/Table13[[#This Row],[Actual_Qty]]</f>
        <v>0.99056603773584906</v>
      </c>
      <c r="V520" t="str">
        <f>IF(OR(Table13[[#This Row],[Performance_%]]&gt;=1,Table13[[#This Row],[Performance_%]]&lt;=0),"Error","OK")</f>
        <v>OK</v>
      </c>
      <c r="W520" t="str">
        <f>IF(OR(Table13[[#This Row],[Quality_%]]&gt;=1,Table13[[#This Row],[Quality_%]]&lt;=0),"Error","OK")</f>
        <v>OK</v>
      </c>
      <c r="X520">
        <f>Table13[[#This Row],[Performance_%]]*Table13[[#This Row],[Quality_%]]*[2]Availability_KPI!K520</f>
        <v>0.58333333333333337</v>
      </c>
      <c r="Y520" t="str">
        <f>IF(OR(Table13[[#This Row],[OEE_%]]&gt;1,Table13[[#This Row],[OEE_%]]&lt;0),"Error","OK")</f>
        <v>OK</v>
      </c>
    </row>
    <row r="521" spans="1:25" x14ac:dyDescent="0.2">
      <c r="A521" t="s">
        <v>635</v>
      </c>
      <c r="B521" t="s">
        <v>628</v>
      </c>
      <c r="C521" s="2">
        <v>46266</v>
      </c>
      <c r="D521" t="s">
        <v>53</v>
      </c>
      <c r="E521" t="s">
        <v>49</v>
      </c>
      <c r="F521" t="s">
        <v>54</v>
      </c>
      <c r="G521" t="s">
        <v>61</v>
      </c>
      <c r="H521">
        <v>636</v>
      </c>
      <c r="I521">
        <v>633</v>
      </c>
      <c r="J521">
        <v>3</v>
      </c>
      <c r="K521">
        <v>20</v>
      </c>
      <c r="L521">
        <v>21.87</v>
      </c>
      <c r="M521">
        <v>231.83</v>
      </c>
      <c r="N521">
        <f>_xlfn.XLOOKUP(Table13[[#This Row],[Production_Order_ID]],[1]Sheet1!$A$2:$A$391,[1]Sheet1!$F$2:$F$391,"No Match")</f>
        <v>520</v>
      </c>
      <c r="O521" s="3">
        <f>Table13[[#This Row],[Good_Qty]]/Table13[[#This Row],[Planned_Production]]</f>
        <v>1.2173076923076922</v>
      </c>
      <c r="P521" t="str">
        <f>IF(Table13[[#This Row],[Good_Qty]]&gt;=Table13[[#This Row],[Planned_Production]],"Met","Not Met")</f>
        <v>Met</v>
      </c>
      <c r="Q521">
        <f>Table13[[#This Row],[Good_Qty]]-Table13[[#This Row],[Planned_Production]]</f>
        <v>113</v>
      </c>
      <c r="R521" s="3">
        <f>IF(Table13[[#This Row],[Actual_Qty]]=0,0,Table13[[#This Row],[Reject_Qty]]/Table13[[#This Row],[Actual_Qty]])</f>
        <v>4.7169811320754715E-3</v>
      </c>
      <c r="S521">
        <v>441.68</v>
      </c>
      <c r="T521">
        <f>(Table13[[#This Row],[Ideal_Cycle_Time_sec]]*Table13[[#This Row],[Actual_Qty]])/(Table13[[#This Row],[Operational_Time_min]]*60)</f>
        <v>0.4799855098714001</v>
      </c>
      <c r="U521">
        <f>Table13[[#This Row],[Good_Qty]]/Table13[[#This Row],[Actual_Qty]]</f>
        <v>0.99528301886792447</v>
      </c>
      <c r="V521" t="str">
        <f>IF(OR(Table13[[#This Row],[Performance_%]]&gt;=1,Table13[[#This Row],[Performance_%]]&lt;=0),"Error","OK")</f>
        <v>OK</v>
      </c>
      <c r="W521" t="str">
        <f>IF(OR(Table13[[#This Row],[Quality_%]]&gt;=1,Table13[[#This Row],[Quality_%]]&lt;=0),"Error","OK")</f>
        <v>OK</v>
      </c>
      <c r="X521">
        <f>Table13[[#This Row],[Performance_%]]*Table13[[#This Row],[Quality_%]]*[2]Availability_KPI!K521</f>
        <v>0.46888888888888886</v>
      </c>
      <c r="Y521" t="str">
        <f>IF(OR(Table13[[#This Row],[OEE_%]]&gt;1,Table13[[#This Row],[OEE_%]]&lt;0),"Error","OK")</f>
        <v>OK</v>
      </c>
    </row>
    <row r="522" spans="1:25" x14ac:dyDescent="0.2">
      <c r="A522" t="s">
        <v>636</v>
      </c>
      <c r="B522" t="s">
        <v>637</v>
      </c>
      <c r="C522" s="2">
        <v>46266</v>
      </c>
      <c r="D522" t="s">
        <v>67</v>
      </c>
      <c r="E522" t="s">
        <v>28</v>
      </c>
      <c r="F522" t="s">
        <v>54</v>
      </c>
      <c r="G522" t="s">
        <v>57</v>
      </c>
      <c r="H522">
        <v>567</v>
      </c>
      <c r="I522">
        <v>564</v>
      </c>
      <c r="J522">
        <v>3</v>
      </c>
      <c r="K522">
        <v>18</v>
      </c>
      <c r="L522">
        <v>19.010000000000002</v>
      </c>
      <c r="M522">
        <v>179.65</v>
      </c>
      <c r="N522">
        <f>_xlfn.XLOOKUP(Table13[[#This Row],[Production_Order_ID]],[1]Sheet1!$A$2:$A$391,[1]Sheet1!$F$2:$F$391,"No Match")</f>
        <v>680</v>
      </c>
      <c r="O522" s="3">
        <f>Table13[[#This Row],[Good_Qty]]/Table13[[#This Row],[Planned_Production]]</f>
        <v>0.8294117647058824</v>
      </c>
      <c r="P522" t="str">
        <f>IF(Table13[[#This Row],[Good_Qty]]&gt;=Table13[[#This Row],[Planned_Production]],"Met","Not Met")</f>
        <v>Not Met</v>
      </c>
      <c r="Q522">
        <f>Table13[[#This Row],[Good_Qty]]-Table13[[#This Row],[Planned_Production]]</f>
        <v>-116</v>
      </c>
      <c r="R522" s="3">
        <f>IF(Table13[[#This Row],[Actual_Qty]]=0,0,Table13[[#This Row],[Reject_Qty]]/Table13[[#This Row],[Actual_Qty]])</f>
        <v>5.2910052910052907E-3</v>
      </c>
      <c r="S522">
        <v>443.74</v>
      </c>
      <c r="T522">
        <f>(Table13[[#This Row],[Ideal_Cycle_Time_sec]]*Table13[[#This Row],[Actual_Qty]])/(Table13[[#This Row],[Operational_Time_min]]*60)</f>
        <v>0.38333258214269617</v>
      </c>
      <c r="U522">
        <f>Table13[[#This Row],[Good_Qty]]/Table13[[#This Row],[Actual_Qty]]</f>
        <v>0.99470899470899465</v>
      </c>
      <c r="V522" t="str">
        <f>IF(OR(Table13[[#This Row],[Performance_%]]&gt;=1,Table13[[#This Row],[Performance_%]]&lt;=0),"Error","OK")</f>
        <v>OK</v>
      </c>
      <c r="W522" t="str">
        <f>IF(OR(Table13[[#This Row],[Quality_%]]&gt;=1,Table13[[#This Row],[Quality_%]]&lt;=0),"Error","OK")</f>
        <v>OK</v>
      </c>
      <c r="X522">
        <f>Table13[[#This Row],[Performance_%]]*Table13[[#This Row],[Quality_%]]*[2]Availability_KPI!K522</f>
        <v>0.37599999999999995</v>
      </c>
      <c r="Y522" t="str">
        <f>IF(OR(Table13[[#This Row],[OEE_%]]&gt;1,Table13[[#This Row],[OEE_%]]&lt;0),"Error","OK")</f>
        <v>OK</v>
      </c>
    </row>
    <row r="523" spans="1:25" x14ac:dyDescent="0.2">
      <c r="A523" t="s">
        <v>638</v>
      </c>
      <c r="B523" t="s">
        <v>637</v>
      </c>
      <c r="C523" s="2">
        <v>46266</v>
      </c>
      <c r="D523" t="s">
        <v>67</v>
      </c>
      <c r="E523" t="s">
        <v>32</v>
      </c>
      <c r="F523" t="s">
        <v>54</v>
      </c>
      <c r="G523" t="s">
        <v>33</v>
      </c>
      <c r="H523">
        <v>589</v>
      </c>
      <c r="I523">
        <v>585</v>
      </c>
      <c r="J523">
        <v>4</v>
      </c>
      <c r="K523">
        <v>20</v>
      </c>
      <c r="L523">
        <v>21.39</v>
      </c>
      <c r="M523">
        <v>209.98</v>
      </c>
      <c r="N523">
        <f>_xlfn.XLOOKUP(Table13[[#This Row],[Production_Order_ID]],[1]Sheet1!$A$2:$A$391,[1]Sheet1!$F$2:$F$391,"No Match")</f>
        <v>680</v>
      </c>
      <c r="O523" s="3">
        <f>Table13[[#This Row],[Good_Qty]]/Table13[[#This Row],[Planned_Production]]</f>
        <v>0.86029411764705888</v>
      </c>
      <c r="P523" t="str">
        <f>IF(Table13[[#This Row],[Good_Qty]]&gt;=Table13[[#This Row],[Planned_Production]],"Met","Not Met")</f>
        <v>Not Met</v>
      </c>
      <c r="Q523">
        <f>Table13[[#This Row],[Good_Qty]]-Table13[[#This Row],[Planned_Production]]</f>
        <v>-95</v>
      </c>
      <c r="R523" s="3">
        <f>IF(Table13[[#This Row],[Actual_Qty]]=0,0,Table13[[#This Row],[Reject_Qty]]/Table13[[#This Row],[Actual_Qty]])</f>
        <v>6.7911714770797962E-3</v>
      </c>
      <c r="S523">
        <v>436.77</v>
      </c>
      <c r="T523">
        <f>(Table13[[#This Row],[Ideal_Cycle_Time_sec]]*Table13[[#This Row],[Actual_Qty]])/(Table13[[#This Row],[Operational_Time_min]]*60)</f>
        <v>0.44951194755439555</v>
      </c>
      <c r="U523">
        <f>Table13[[#This Row],[Good_Qty]]/Table13[[#This Row],[Actual_Qty]]</f>
        <v>0.99320882852292025</v>
      </c>
      <c r="V523" t="str">
        <f>IF(OR(Table13[[#This Row],[Performance_%]]&gt;=1,Table13[[#This Row],[Performance_%]]&lt;=0),"Error","OK")</f>
        <v>OK</v>
      </c>
      <c r="W523" t="str">
        <f>IF(OR(Table13[[#This Row],[Quality_%]]&gt;=1,Table13[[#This Row],[Quality_%]]&lt;=0),"Error","OK")</f>
        <v>OK</v>
      </c>
      <c r="X523">
        <f>Table13[[#This Row],[Performance_%]]*Table13[[#This Row],[Quality_%]]*[2]Availability_KPI!K523</f>
        <v>0.43333333333333335</v>
      </c>
      <c r="Y523" t="str">
        <f>IF(OR(Table13[[#This Row],[OEE_%]]&gt;1,Table13[[#This Row],[OEE_%]]&lt;0),"Error","OK")</f>
        <v>OK</v>
      </c>
    </row>
    <row r="524" spans="1:25" x14ac:dyDescent="0.2">
      <c r="A524" t="s">
        <v>639</v>
      </c>
      <c r="B524" t="s">
        <v>637</v>
      </c>
      <c r="C524" s="2">
        <v>46266</v>
      </c>
      <c r="D524" t="s">
        <v>67</v>
      </c>
      <c r="E524" t="s">
        <v>35</v>
      </c>
      <c r="F524" t="s">
        <v>54</v>
      </c>
      <c r="G524" t="s">
        <v>55</v>
      </c>
      <c r="H524">
        <v>583</v>
      </c>
      <c r="I524">
        <v>580</v>
      </c>
      <c r="J524">
        <v>3</v>
      </c>
      <c r="K524">
        <v>22</v>
      </c>
      <c r="L524">
        <v>22.22</v>
      </c>
      <c r="M524">
        <v>215.91</v>
      </c>
      <c r="N524">
        <f>_xlfn.XLOOKUP(Table13[[#This Row],[Production_Order_ID]],[1]Sheet1!$A$2:$A$391,[1]Sheet1!$F$2:$F$391,"No Match")</f>
        <v>680</v>
      </c>
      <c r="O524" s="3">
        <f>Table13[[#This Row],[Good_Qty]]/Table13[[#This Row],[Planned_Production]]</f>
        <v>0.8529411764705882</v>
      </c>
      <c r="P524" t="str">
        <f>IF(Table13[[#This Row],[Good_Qty]]&gt;=Table13[[#This Row],[Planned_Production]],"Met","Not Met")</f>
        <v>Not Met</v>
      </c>
      <c r="Q524">
        <f>Table13[[#This Row],[Good_Qty]]-Table13[[#This Row],[Planned_Production]]</f>
        <v>-100</v>
      </c>
      <c r="R524" s="3">
        <f>IF(Table13[[#This Row],[Actual_Qty]]=0,0,Table13[[#This Row],[Reject_Qty]]/Table13[[#This Row],[Actual_Qty]])</f>
        <v>5.1457975986277877E-3</v>
      </c>
      <c r="S524">
        <v>435.45</v>
      </c>
      <c r="T524">
        <f>(Table13[[#This Row],[Ideal_Cycle_Time_sec]]*Table13[[#This Row],[Actual_Qty]])/(Table13[[#This Row],[Operational_Time_min]]*60)</f>
        <v>0.49090978681057912</v>
      </c>
      <c r="U524">
        <f>Table13[[#This Row],[Good_Qty]]/Table13[[#This Row],[Actual_Qty]]</f>
        <v>0.99485420240137223</v>
      </c>
      <c r="V524" t="str">
        <f>IF(OR(Table13[[#This Row],[Performance_%]]&gt;=1,Table13[[#This Row],[Performance_%]]&lt;=0),"Error","OK")</f>
        <v>OK</v>
      </c>
      <c r="W524" t="str">
        <f>IF(OR(Table13[[#This Row],[Quality_%]]&gt;=1,Table13[[#This Row],[Quality_%]]&lt;=0),"Error","OK")</f>
        <v>OK</v>
      </c>
      <c r="X524">
        <f>Table13[[#This Row],[Performance_%]]*Table13[[#This Row],[Quality_%]]*[2]Availability_KPI!K524</f>
        <v>0.47259259259259262</v>
      </c>
      <c r="Y524" t="str">
        <f>IF(OR(Table13[[#This Row],[OEE_%]]&gt;1,Table13[[#This Row],[OEE_%]]&lt;0),"Error","OK")</f>
        <v>OK</v>
      </c>
    </row>
    <row r="525" spans="1:25" x14ac:dyDescent="0.2">
      <c r="A525" t="s">
        <v>640</v>
      </c>
      <c r="B525" t="s">
        <v>637</v>
      </c>
      <c r="C525" s="2">
        <v>46266</v>
      </c>
      <c r="D525" t="s">
        <v>67</v>
      </c>
      <c r="E525" t="s">
        <v>38</v>
      </c>
      <c r="F525" t="s">
        <v>54</v>
      </c>
      <c r="G525" t="s">
        <v>33</v>
      </c>
      <c r="H525">
        <v>574</v>
      </c>
      <c r="I525">
        <v>571</v>
      </c>
      <c r="J525">
        <v>3</v>
      </c>
      <c r="K525">
        <v>20</v>
      </c>
      <c r="L525">
        <v>20.76</v>
      </c>
      <c r="M525">
        <v>198.61</v>
      </c>
      <c r="N525">
        <f>_xlfn.XLOOKUP(Table13[[#This Row],[Production_Order_ID]],[1]Sheet1!$A$2:$A$391,[1]Sheet1!$F$2:$F$391,"No Match")</f>
        <v>680</v>
      </c>
      <c r="O525" s="3">
        <f>Table13[[#This Row],[Good_Qty]]/Table13[[#This Row],[Planned_Production]]</f>
        <v>0.83970588235294119</v>
      </c>
      <c r="P525" t="str">
        <f>IF(Table13[[#This Row],[Good_Qty]]&gt;=Table13[[#This Row],[Planned_Production]],"Met","Not Met")</f>
        <v>Not Met</v>
      </c>
      <c r="Q525">
        <f>Table13[[#This Row],[Good_Qty]]-Table13[[#This Row],[Planned_Production]]</f>
        <v>-109</v>
      </c>
      <c r="R525" s="3">
        <f>IF(Table13[[#This Row],[Actual_Qty]]=0,0,Table13[[#This Row],[Reject_Qty]]/Table13[[#This Row],[Actual_Qty]])</f>
        <v>5.2264808362369342E-3</v>
      </c>
      <c r="S525">
        <v>440.94</v>
      </c>
      <c r="T525">
        <f>(Table13[[#This Row],[Ideal_Cycle_Time_sec]]*Table13[[#This Row],[Actual_Qty]])/(Table13[[#This Row],[Operational_Time_min]]*60)</f>
        <v>0.4339214707972362</v>
      </c>
      <c r="U525">
        <f>Table13[[#This Row],[Good_Qty]]/Table13[[#This Row],[Actual_Qty]]</f>
        <v>0.99477351916376311</v>
      </c>
      <c r="V525" t="str">
        <f>IF(OR(Table13[[#This Row],[Performance_%]]&gt;=1,Table13[[#This Row],[Performance_%]]&lt;=0),"Error","OK")</f>
        <v>OK</v>
      </c>
      <c r="W525" t="str">
        <f>IF(OR(Table13[[#This Row],[Quality_%]]&gt;=1,Table13[[#This Row],[Quality_%]]&lt;=0),"Error","OK")</f>
        <v>OK</v>
      </c>
      <c r="X525">
        <f>Table13[[#This Row],[Performance_%]]*Table13[[#This Row],[Quality_%]]*[2]Availability_KPI!K525</f>
        <v>0.42296296296296293</v>
      </c>
      <c r="Y525" t="str">
        <f>IF(OR(Table13[[#This Row],[OEE_%]]&gt;1,Table13[[#This Row],[OEE_%]]&lt;0),"Error","OK")</f>
        <v>OK</v>
      </c>
    </row>
    <row r="526" spans="1:25" x14ac:dyDescent="0.2">
      <c r="A526" t="s">
        <v>641</v>
      </c>
      <c r="B526" t="s">
        <v>637</v>
      </c>
      <c r="C526" s="2">
        <v>46266</v>
      </c>
      <c r="D526" t="s">
        <v>67</v>
      </c>
      <c r="E526" t="s">
        <v>41</v>
      </c>
      <c r="F526" t="s">
        <v>54</v>
      </c>
      <c r="G526" t="s">
        <v>47</v>
      </c>
      <c r="H526">
        <v>583</v>
      </c>
      <c r="I526">
        <v>578</v>
      </c>
      <c r="J526">
        <v>5</v>
      </c>
      <c r="K526">
        <v>18</v>
      </c>
      <c r="L526">
        <v>18</v>
      </c>
      <c r="M526">
        <v>174.9</v>
      </c>
      <c r="N526">
        <f>_xlfn.XLOOKUP(Table13[[#This Row],[Production_Order_ID]],[1]Sheet1!$A$2:$A$391,[1]Sheet1!$F$2:$F$391,"No Match")</f>
        <v>680</v>
      </c>
      <c r="O526" s="3">
        <f>Table13[[#This Row],[Good_Qty]]/Table13[[#This Row],[Planned_Production]]</f>
        <v>0.85</v>
      </c>
      <c r="P526" t="str">
        <f>IF(Table13[[#This Row],[Good_Qty]]&gt;=Table13[[#This Row],[Planned_Production]],"Met","Not Met")</f>
        <v>Not Met</v>
      </c>
      <c r="Q526">
        <f>Table13[[#This Row],[Good_Qty]]-Table13[[#This Row],[Planned_Production]]</f>
        <v>-102</v>
      </c>
      <c r="R526" s="3">
        <f>IF(Table13[[#This Row],[Actual_Qty]]=0,0,Table13[[#This Row],[Reject_Qty]]/Table13[[#This Row],[Actual_Qty]])</f>
        <v>8.5763293310463125E-3</v>
      </c>
      <c r="S526">
        <v>441.95</v>
      </c>
      <c r="T526">
        <f>(Table13[[#This Row],[Ideal_Cycle_Time_sec]]*Table13[[#This Row],[Actual_Qty]])/(Table13[[#This Row],[Operational_Time_min]]*60)</f>
        <v>0.39574612512727686</v>
      </c>
      <c r="U526">
        <f>Table13[[#This Row],[Good_Qty]]/Table13[[#This Row],[Actual_Qty]]</f>
        <v>0.99142367066895365</v>
      </c>
      <c r="V526" t="str">
        <f>IF(OR(Table13[[#This Row],[Performance_%]]&gt;=1,Table13[[#This Row],[Performance_%]]&lt;=0),"Error","OK")</f>
        <v>OK</v>
      </c>
      <c r="W526" t="str">
        <f>IF(OR(Table13[[#This Row],[Quality_%]]&gt;=1,Table13[[#This Row],[Quality_%]]&lt;=0),"Error","OK")</f>
        <v>OK</v>
      </c>
      <c r="X526">
        <f>Table13[[#This Row],[Performance_%]]*Table13[[#This Row],[Quality_%]]*[2]Availability_KPI!K526</f>
        <v>0.38533333333333331</v>
      </c>
      <c r="Y526" t="str">
        <f>IF(OR(Table13[[#This Row],[OEE_%]]&gt;1,Table13[[#This Row],[OEE_%]]&lt;0),"Error","OK")</f>
        <v>OK</v>
      </c>
    </row>
    <row r="527" spans="1:25" x14ac:dyDescent="0.2">
      <c r="A527" t="s">
        <v>642</v>
      </c>
      <c r="B527" t="s">
        <v>637</v>
      </c>
      <c r="C527" s="2">
        <v>46266</v>
      </c>
      <c r="D527" t="s">
        <v>67</v>
      </c>
      <c r="E527" t="s">
        <v>43</v>
      </c>
      <c r="F527" t="s">
        <v>54</v>
      </c>
      <c r="G527" t="s">
        <v>75</v>
      </c>
      <c r="H527">
        <v>591</v>
      </c>
      <c r="I527">
        <v>581</v>
      </c>
      <c r="J527">
        <v>10</v>
      </c>
      <c r="K527">
        <v>32</v>
      </c>
      <c r="L527">
        <v>34.85</v>
      </c>
      <c r="M527">
        <v>343.3</v>
      </c>
      <c r="N527">
        <f>_xlfn.XLOOKUP(Table13[[#This Row],[Production_Order_ID]],[1]Sheet1!$A$2:$A$391,[1]Sheet1!$F$2:$F$391,"No Match")</f>
        <v>680</v>
      </c>
      <c r="O527" s="3">
        <f>Table13[[#This Row],[Good_Qty]]/Table13[[#This Row],[Planned_Production]]</f>
        <v>0.85441176470588232</v>
      </c>
      <c r="P527" t="str">
        <f>IF(Table13[[#This Row],[Good_Qty]]&gt;=Table13[[#This Row],[Planned_Production]],"Met","Not Met")</f>
        <v>Not Met</v>
      </c>
      <c r="Q527">
        <f>Table13[[#This Row],[Good_Qty]]-Table13[[#This Row],[Planned_Production]]</f>
        <v>-99</v>
      </c>
      <c r="R527" s="3">
        <f>IF(Table13[[#This Row],[Actual_Qty]]=0,0,Table13[[#This Row],[Reject_Qty]]/Table13[[#This Row],[Actual_Qty]])</f>
        <v>1.6920473773265651E-2</v>
      </c>
      <c r="S527">
        <v>419.41</v>
      </c>
      <c r="T527">
        <f>(Table13[[#This Row],[Ideal_Cycle_Time_sec]]*Table13[[#This Row],[Actual_Qty]])/(Table13[[#This Row],[Operational_Time_min]]*60)</f>
        <v>0.75153191387902052</v>
      </c>
      <c r="U527">
        <f>Table13[[#This Row],[Good_Qty]]/Table13[[#This Row],[Actual_Qty]]</f>
        <v>0.98307952622673433</v>
      </c>
      <c r="V527" t="str">
        <f>IF(OR(Table13[[#This Row],[Performance_%]]&gt;=1,Table13[[#This Row],[Performance_%]]&lt;=0),"Error","OK")</f>
        <v>OK</v>
      </c>
      <c r="W527" t="str">
        <f>IF(OR(Table13[[#This Row],[Quality_%]]&gt;=1,Table13[[#This Row],[Quality_%]]&lt;=0),"Error","OK")</f>
        <v>OK</v>
      </c>
      <c r="X527">
        <f>Table13[[#This Row],[Performance_%]]*Table13[[#This Row],[Quality_%]]*[2]Availability_KPI!K527</f>
        <v>0.68859259259259264</v>
      </c>
      <c r="Y527" t="str">
        <f>IF(OR(Table13[[#This Row],[OEE_%]]&gt;1,Table13[[#This Row],[OEE_%]]&lt;0),"Error","OK")</f>
        <v>OK</v>
      </c>
    </row>
    <row r="528" spans="1:25" x14ac:dyDescent="0.2">
      <c r="A528" t="s">
        <v>643</v>
      </c>
      <c r="B528" t="s">
        <v>637</v>
      </c>
      <c r="C528" s="2">
        <v>46266</v>
      </c>
      <c r="D528" t="s">
        <v>67</v>
      </c>
      <c r="E528" t="s">
        <v>46</v>
      </c>
      <c r="F528" t="s">
        <v>54</v>
      </c>
      <c r="G528" t="s">
        <v>71</v>
      </c>
      <c r="H528">
        <v>566</v>
      </c>
      <c r="I528">
        <v>558</v>
      </c>
      <c r="J528">
        <v>8</v>
      </c>
      <c r="K528">
        <v>25</v>
      </c>
      <c r="L528">
        <v>25.8</v>
      </c>
      <c r="M528">
        <v>243.4</v>
      </c>
      <c r="N528">
        <f>_xlfn.XLOOKUP(Table13[[#This Row],[Production_Order_ID]],[1]Sheet1!$A$2:$A$391,[1]Sheet1!$F$2:$F$391,"No Match")</f>
        <v>680</v>
      </c>
      <c r="O528" s="3">
        <f>Table13[[#This Row],[Good_Qty]]/Table13[[#This Row],[Planned_Production]]</f>
        <v>0.82058823529411762</v>
      </c>
      <c r="P528" t="str">
        <f>IF(Table13[[#This Row],[Good_Qty]]&gt;=Table13[[#This Row],[Planned_Production]],"Met","Not Met")</f>
        <v>Not Met</v>
      </c>
      <c r="Q528">
        <f>Table13[[#This Row],[Good_Qty]]-Table13[[#This Row],[Planned_Production]]</f>
        <v>-122</v>
      </c>
      <c r="R528" s="3">
        <f>IF(Table13[[#This Row],[Actual_Qty]]=0,0,Table13[[#This Row],[Reject_Qty]]/Table13[[#This Row],[Actual_Qty]])</f>
        <v>1.4134275618374558E-2</v>
      </c>
      <c r="S528">
        <v>428.99</v>
      </c>
      <c r="T528">
        <f>(Table13[[#This Row],[Ideal_Cycle_Time_sec]]*Table13[[#This Row],[Actual_Qty]])/(Table13[[#This Row],[Operational_Time_min]]*60)</f>
        <v>0.54974086420040869</v>
      </c>
      <c r="U528">
        <f>Table13[[#This Row],[Good_Qty]]/Table13[[#This Row],[Actual_Qty]]</f>
        <v>0.98586572438162545</v>
      </c>
      <c r="V528" t="str">
        <f>IF(OR(Table13[[#This Row],[Performance_%]]&gt;=1,Table13[[#This Row],[Performance_%]]&lt;=0),"Error","OK")</f>
        <v>OK</v>
      </c>
      <c r="W528" t="str">
        <f>IF(OR(Table13[[#This Row],[Quality_%]]&gt;=1,Table13[[#This Row],[Quality_%]]&lt;=0),"Error","OK")</f>
        <v>OK</v>
      </c>
      <c r="X528">
        <f>Table13[[#This Row],[Performance_%]]*Table13[[#This Row],[Quality_%]]*[2]Availability_KPI!K528</f>
        <v>0.51666666666666672</v>
      </c>
      <c r="Y528" t="str">
        <f>IF(OR(Table13[[#This Row],[OEE_%]]&gt;1,Table13[[#This Row],[OEE_%]]&lt;0),"Error","OK")</f>
        <v>OK</v>
      </c>
    </row>
    <row r="529" spans="1:25" x14ac:dyDescent="0.2">
      <c r="A529" t="s">
        <v>644</v>
      </c>
      <c r="B529" t="s">
        <v>637</v>
      </c>
      <c r="C529" s="2">
        <v>46266</v>
      </c>
      <c r="D529" t="s">
        <v>67</v>
      </c>
      <c r="E529" t="s">
        <v>49</v>
      </c>
      <c r="F529" t="s">
        <v>54</v>
      </c>
      <c r="G529" t="s">
        <v>47</v>
      </c>
      <c r="H529">
        <v>576</v>
      </c>
      <c r="I529">
        <v>573</v>
      </c>
      <c r="J529">
        <v>3</v>
      </c>
      <c r="K529">
        <v>20</v>
      </c>
      <c r="L529">
        <v>20</v>
      </c>
      <c r="M529">
        <v>192</v>
      </c>
      <c r="N529">
        <f>_xlfn.XLOOKUP(Table13[[#This Row],[Production_Order_ID]],[1]Sheet1!$A$2:$A$391,[1]Sheet1!$F$2:$F$391,"No Match")</f>
        <v>680</v>
      </c>
      <c r="O529" s="3">
        <f>Table13[[#This Row],[Good_Qty]]/Table13[[#This Row],[Planned_Production]]</f>
        <v>0.84264705882352942</v>
      </c>
      <c r="P529" t="str">
        <f>IF(Table13[[#This Row],[Good_Qty]]&gt;=Table13[[#This Row],[Planned_Production]],"Met","Not Met")</f>
        <v>Not Met</v>
      </c>
      <c r="Q529">
        <f>Table13[[#This Row],[Good_Qty]]-Table13[[#This Row],[Planned_Production]]</f>
        <v>-107</v>
      </c>
      <c r="R529" s="3">
        <f>IF(Table13[[#This Row],[Actual_Qty]]=0,0,Table13[[#This Row],[Reject_Qty]]/Table13[[#This Row],[Actual_Qty]])</f>
        <v>5.208333333333333E-3</v>
      </c>
      <c r="S529">
        <v>443.81</v>
      </c>
      <c r="T529">
        <f>(Table13[[#This Row],[Ideal_Cycle_Time_sec]]*Table13[[#This Row],[Actual_Qty]])/(Table13[[#This Row],[Operational_Time_min]]*60)</f>
        <v>0.43261756156914</v>
      </c>
      <c r="U529">
        <f>Table13[[#This Row],[Good_Qty]]/Table13[[#This Row],[Actual_Qty]]</f>
        <v>0.99479166666666663</v>
      </c>
      <c r="V529" t="str">
        <f>IF(OR(Table13[[#This Row],[Performance_%]]&gt;=1,Table13[[#This Row],[Performance_%]]&lt;=0),"Error","OK")</f>
        <v>OK</v>
      </c>
      <c r="W529" t="str">
        <f>IF(OR(Table13[[#This Row],[Quality_%]]&gt;=1,Table13[[#This Row],[Quality_%]]&lt;=0),"Error","OK")</f>
        <v>OK</v>
      </c>
      <c r="X529">
        <f>Table13[[#This Row],[Performance_%]]*Table13[[#This Row],[Quality_%]]*[2]Availability_KPI!K529</f>
        <v>0.42444444444444451</v>
      </c>
      <c r="Y529" t="str">
        <f>IF(OR(Table13[[#This Row],[OEE_%]]&gt;1,Table13[[#This Row],[OEE_%]]&lt;0),"Error","OK")</f>
        <v>OK</v>
      </c>
    </row>
    <row r="530" spans="1:25" x14ac:dyDescent="0.2">
      <c r="A530" t="s">
        <v>645</v>
      </c>
      <c r="B530" t="s">
        <v>646</v>
      </c>
      <c r="C530" s="2">
        <v>46267</v>
      </c>
      <c r="D530" t="s">
        <v>27</v>
      </c>
      <c r="E530" t="s">
        <v>28</v>
      </c>
      <c r="F530" t="s">
        <v>29</v>
      </c>
      <c r="G530" t="s">
        <v>47</v>
      </c>
      <c r="H530">
        <v>651</v>
      </c>
      <c r="I530">
        <v>647</v>
      </c>
      <c r="J530">
        <v>4</v>
      </c>
      <c r="K530">
        <v>19.8</v>
      </c>
      <c r="L530">
        <v>20.239999999999998</v>
      </c>
      <c r="M530">
        <v>219.61</v>
      </c>
      <c r="N530">
        <f>_xlfn.XLOOKUP(Table13[[#This Row],[Production_Order_ID]],[1]Sheet1!$A$2:$A$391,[1]Sheet1!$F$2:$F$391,"No Match")</f>
        <v>490</v>
      </c>
      <c r="O530" s="3">
        <f>Table13[[#This Row],[Good_Qty]]/Table13[[#This Row],[Planned_Production]]</f>
        <v>1.3204081632653062</v>
      </c>
      <c r="P530" t="str">
        <f>IF(Table13[[#This Row],[Good_Qty]]&gt;=Table13[[#This Row],[Planned_Production]],"Met","Not Met")</f>
        <v>Met</v>
      </c>
      <c r="Q530">
        <f>Table13[[#This Row],[Good_Qty]]-Table13[[#This Row],[Planned_Production]]</f>
        <v>157</v>
      </c>
      <c r="R530" s="3">
        <f>IF(Table13[[#This Row],[Actual_Qty]]=0,0,Table13[[#This Row],[Reject_Qty]]/Table13[[#This Row],[Actual_Qty]])</f>
        <v>6.1443932411674347E-3</v>
      </c>
      <c r="S530">
        <v>438.69</v>
      </c>
      <c r="T530">
        <f>(Table13[[#This Row],[Ideal_Cycle_Time_sec]]*Table13[[#This Row],[Actual_Qty]])/(Table13[[#This Row],[Operational_Time_min]]*60)</f>
        <v>0.48970799425562472</v>
      </c>
      <c r="U530">
        <f>Table13[[#This Row],[Good_Qty]]/Table13[[#This Row],[Actual_Qty]]</f>
        <v>0.99385560675883255</v>
      </c>
      <c r="V530" t="str">
        <f>IF(OR(Table13[[#This Row],[Performance_%]]&gt;=1,Table13[[#This Row],[Performance_%]]&lt;=0),"Error","OK")</f>
        <v>OK</v>
      </c>
      <c r="W530" t="str">
        <f>IF(OR(Table13[[#This Row],[Quality_%]]&gt;=1,Table13[[#This Row],[Quality_%]]&lt;=0),"Error","OK")</f>
        <v>OK</v>
      </c>
      <c r="X530">
        <f>Table13[[#This Row],[Performance_%]]*Table13[[#This Row],[Quality_%]]*[2]Availability_KPI!K530</f>
        <v>0.47446666666666665</v>
      </c>
      <c r="Y530" t="str">
        <f>IF(OR(Table13[[#This Row],[OEE_%]]&gt;1,Table13[[#This Row],[OEE_%]]&lt;0),"Error","OK")</f>
        <v>OK</v>
      </c>
    </row>
    <row r="531" spans="1:25" x14ac:dyDescent="0.2">
      <c r="A531" t="s">
        <v>647</v>
      </c>
      <c r="B531" t="s">
        <v>646</v>
      </c>
      <c r="C531" s="2">
        <v>46267</v>
      </c>
      <c r="D531" t="s">
        <v>27</v>
      </c>
      <c r="E531" t="s">
        <v>32</v>
      </c>
      <c r="F531" t="s">
        <v>29</v>
      </c>
      <c r="G531" t="s">
        <v>36</v>
      </c>
      <c r="H531">
        <v>645</v>
      </c>
      <c r="I531">
        <v>639</v>
      </c>
      <c r="J531">
        <v>6</v>
      </c>
      <c r="K531">
        <v>22</v>
      </c>
      <c r="L531">
        <v>22.65</v>
      </c>
      <c r="M531">
        <v>243.5</v>
      </c>
      <c r="N531">
        <f>_xlfn.XLOOKUP(Table13[[#This Row],[Production_Order_ID]],[1]Sheet1!$A$2:$A$391,[1]Sheet1!$F$2:$F$391,"No Match")</f>
        <v>490</v>
      </c>
      <c r="O531" s="3">
        <f>Table13[[#This Row],[Good_Qty]]/Table13[[#This Row],[Planned_Production]]</f>
        <v>1.3040816326530613</v>
      </c>
      <c r="P531" t="str">
        <f>IF(Table13[[#This Row],[Good_Qty]]&gt;=Table13[[#This Row],[Planned_Production]],"Met","Not Met")</f>
        <v>Met</v>
      </c>
      <c r="Q531">
        <f>Table13[[#This Row],[Good_Qty]]-Table13[[#This Row],[Planned_Production]]</f>
        <v>149</v>
      </c>
      <c r="R531" s="3">
        <f>IF(Table13[[#This Row],[Actual_Qty]]=0,0,Table13[[#This Row],[Reject_Qty]]/Table13[[#This Row],[Actual_Qty]])</f>
        <v>9.3023255813953487E-3</v>
      </c>
      <c r="S531">
        <v>435.37</v>
      </c>
      <c r="T531">
        <f>(Table13[[#This Row],[Ideal_Cycle_Time_sec]]*Table13[[#This Row],[Actual_Qty]])/(Table13[[#This Row],[Operational_Time_min]]*60)</f>
        <v>0.54321611502859635</v>
      </c>
      <c r="U531">
        <f>Table13[[#This Row],[Good_Qty]]/Table13[[#This Row],[Actual_Qty]]</f>
        <v>0.99069767441860468</v>
      </c>
      <c r="V531" t="str">
        <f>IF(OR(Table13[[#This Row],[Performance_%]]&gt;=1,Table13[[#This Row],[Performance_%]]&lt;=0),"Error","OK")</f>
        <v>OK</v>
      </c>
      <c r="W531" t="str">
        <f>IF(OR(Table13[[#This Row],[Quality_%]]&gt;=1,Table13[[#This Row],[Quality_%]]&lt;=0),"Error","OK")</f>
        <v>OK</v>
      </c>
      <c r="X531">
        <f>Table13[[#This Row],[Performance_%]]*Table13[[#This Row],[Quality_%]]*[2]Availability_KPI!K531</f>
        <v>0.52066666666666672</v>
      </c>
      <c r="Y531" t="str">
        <f>IF(OR(Table13[[#This Row],[OEE_%]]&gt;1,Table13[[#This Row],[OEE_%]]&lt;0),"Error","OK")</f>
        <v>OK</v>
      </c>
    </row>
    <row r="532" spans="1:25" x14ac:dyDescent="0.2">
      <c r="A532" t="s">
        <v>648</v>
      </c>
      <c r="B532" t="s">
        <v>646</v>
      </c>
      <c r="C532" s="2">
        <v>46267</v>
      </c>
      <c r="D532" t="s">
        <v>27</v>
      </c>
      <c r="E532" t="s">
        <v>35</v>
      </c>
      <c r="F532" t="s">
        <v>29</v>
      </c>
      <c r="G532" t="s">
        <v>44</v>
      </c>
      <c r="H532">
        <v>662</v>
      </c>
      <c r="I532">
        <v>656</v>
      </c>
      <c r="J532">
        <v>6</v>
      </c>
      <c r="K532">
        <v>24.2</v>
      </c>
      <c r="L532">
        <v>26.37</v>
      </c>
      <c r="M532">
        <v>290.98</v>
      </c>
      <c r="N532">
        <f>_xlfn.XLOOKUP(Table13[[#This Row],[Production_Order_ID]],[1]Sheet1!$A$2:$A$391,[1]Sheet1!$F$2:$F$391,"No Match")</f>
        <v>490</v>
      </c>
      <c r="O532" s="3">
        <f>Table13[[#This Row],[Good_Qty]]/Table13[[#This Row],[Planned_Production]]</f>
        <v>1.3387755102040817</v>
      </c>
      <c r="P532" t="str">
        <f>IF(Table13[[#This Row],[Good_Qty]]&gt;=Table13[[#This Row],[Planned_Production]],"Met","Not Met")</f>
        <v>Met</v>
      </c>
      <c r="Q532">
        <f>Table13[[#This Row],[Good_Qty]]-Table13[[#This Row],[Planned_Production]]</f>
        <v>166</v>
      </c>
      <c r="R532" s="3">
        <f>IF(Table13[[#This Row],[Actual_Qty]]=0,0,Table13[[#This Row],[Reject_Qty]]/Table13[[#This Row],[Actual_Qty]])</f>
        <v>9.0634441087613302E-3</v>
      </c>
      <c r="S532">
        <v>434.69</v>
      </c>
      <c r="T532">
        <f>(Table13[[#This Row],[Ideal_Cycle_Time_sec]]*Table13[[#This Row],[Actual_Qty]])/(Table13[[#This Row],[Operational_Time_min]]*60)</f>
        <v>0.61424616776706764</v>
      </c>
      <c r="U532">
        <f>Table13[[#This Row],[Good_Qty]]/Table13[[#This Row],[Actual_Qty]]</f>
        <v>0.99093655589123864</v>
      </c>
      <c r="V532" t="str">
        <f>IF(OR(Table13[[#This Row],[Performance_%]]&gt;=1,Table13[[#This Row],[Performance_%]]&lt;=0),"Error","OK")</f>
        <v>OK</v>
      </c>
      <c r="W532" t="str">
        <f>IF(OR(Table13[[#This Row],[Quality_%]]&gt;=1,Table13[[#This Row],[Quality_%]]&lt;=0),"Error","OK")</f>
        <v>OK</v>
      </c>
      <c r="X532">
        <f>Table13[[#This Row],[Performance_%]]*Table13[[#This Row],[Quality_%]]*[2]Availability_KPI!K532</f>
        <v>0.58797037037037025</v>
      </c>
      <c r="Y532" t="str">
        <f>IF(OR(Table13[[#This Row],[OEE_%]]&gt;1,Table13[[#This Row],[OEE_%]]&lt;0),"Error","OK")</f>
        <v>OK</v>
      </c>
    </row>
    <row r="533" spans="1:25" x14ac:dyDescent="0.2">
      <c r="A533" t="s">
        <v>649</v>
      </c>
      <c r="B533" t="s">
        <v>646</v>
      </c>
      <c r="C533" s="2">
        <v>46267</v>
      </c>
      <c r="D533" t="s">
        <v>27</v>
      </c>
      <c r="E533" t="s">
        <v>38</v>
      </c>
      <c r="F533" t="s">
        <v>29</v>
      </c>
      <c r="G533" t="s">
        <v>50</v>
      </c>
      <c r="H533">
        <v>646</v>
      </c>
      <c r="I533">
        <v>644</v>
      </c>
      <c r="J533">
        <v>2</v>
      </c>
      <c r="K533">
        <v>22</v>
      </c>
      <c r="L533">
        <v>22.41</v>
      </c>
      <c r="M533">
        <v>241.33</v>
      </c>
      <c r="N533">
        <f>_xlfn.XLOOKUP(Table13[[#This Row],[Production_Order_ID]],[1]Sheet1!$A$2:$A$391,[1]Sheet1!$F$2:$F$391,"No Match")</f>
        <v>490</v>
      </c>
      <c r="O533" s="3">
        <f>Table13[[#This Row],[Good_Qty]]/Table13[[#This Row],[Planned_Production]]</f>
        <v>1.3142857142857143</v>
      </c>
      <c r="P533" t="str">
        <f>IF(Table13[[#This Row],[Good_Qty]]&gt;=Table13[[#This Row],[Planned_Production]],"Met","Not Met")</f>
        <v>Met</v>
      </c>
      <c r="Q533">
        <f>Table13[[#This Row],[Good_Qty]]-Table13[[#This Row],[Planned_Production]]</f>
        <v>154</v>
      </c>
      <c r="R533" s="3">
        <f>IF(Table13[[#This Row],[Actual_Qty]]=0,0,Table13[[#This Row],[Reject_Qty]]/Table13[[#This Row],[Actual_Qty]])</f>
        <v>3.0959752321981426E-3</v>
      </c>
      <c r="S533">
        <v>439.81</v>
      </c>
      <c r="T533">
        <f>(Table13[[#This Row],[Ideal_Cycle_Time_sec]]*Table13[[#This Row],[Actual_Qty]])/(Table13[[#This Row],[Operational_Time_min]]*60)</f>
        <v>0.53856589587928128</v>
      </c>
      <c r="U533">
        <f>Table13[[#This Row],[Good_Qty]]/Table13[[#This Row],[Actual_Qty]]</f>
        <v>0.99690402476780182</v>
      </c>
      <c r="V533" t="str">
        <f>IF(OR(Table13[[#This Row],[Performance_%]]&gt;=1,Table13[[#This Row],[Performance_%]]&lt;=0),"Error","OK")</f>
        <v>OK</v>
      </c>
      <c r="W533" t="str">
        <f>IF(OR(Table13[[#This Row],[Quality_%]]&gt;=1,Table13[[#This Row],[Quality_%]]&lt;=0),"Error","OK")</f>
        <v>OK</v>
      </c>
      <c r="X533">
        <f>Table13[[#This Row],[Performance_%]]*Table13[[#This Row],[Quality_%]]*[2]Availability_KPI!K533</f>
        <v>0.52474074074074073</v>
      </c>
      <c r="Y533" t="str">
        <f>IF(OR(Table13[[#This Row],[OEE_%]]&gt;1,Table13[[#This Row],[OEE_%]]&lt;0),"Error","OK")</f>
        <v>OK</v>
      </c>
    </row>
    <row r="534" spans="1:25" x14ac:dyDescent="0.2">
      <c r="A534" t="s">
        <v>650</v>
      </c>
      <c r="B534" t="s">
        <v>646</v>
      </c>
      <c r="C534" s="2">
        <v>46267</v>
      </c>
      <c r="D534" t="s">
        <v>27</v>
      </c>
      <c r="E534" t="s">
        <v>41</v>
      </c>
      <c r="F534" t="s">
        <v>29</v>
      </c>
      <c r="G534" t="s">
        <v>57</v>
      </c>
      <c r="H534">
        <v>657</v>
      </c>
      <c r="I534">
        <v>653</v>
      </c>
      <c r="J534">
        <v>4</v>
      </c>
      <c r="K534">
        <v>19.8</v>
      </c>
      <c r="L534">
        <v>20.46</v>
      </c>
      <c r="M534">
        <v>224.01</v>
      </c>
      <c r="N534">
        <f>_xlfn.XLOOKUP(Table13[[#This Row],[Production_Order_ID]],[1]Sheet1!$A$2:$A$391,[1]Sheet1!$F$2:$F$391,"No Match")</f>
        <v>490</v>
      </c>
      <c r="O534" s="3">
        <f>Table13[[#This Row],[Good_Qty]]/Table13[[#This Row],[Planned_Production]]</f>
        <v>1.3326530612244898</v>
      </c>
      <c r="P534" t="str">
        <f>IF(Table13[[#This Row],[Good_Qty]]&gt;=Table13[[#This Row],[Planned_Production]],"Met","Not Met")</f>
        <v>Met</v>
      </c>
      <c r="Q534">
        <f>Table13[[#This Row],[Good_Qty]]-Table13[[#This Row],[Planned_Production]]</f>
        <v>163</v>
      </c>
      <c r="R534" s="3">
        <f>IF(Table13[[#This Row],[Actual_Qty]]=0,0,Table13[[#This Row],[Reject_Qty]]/Table13[[#This Row],[Actual_Qty]])</f>
        <v>6.0882800608828003E-3</v>
      </c>
      <c r="S534">
        <v>438.94</v>
      </c>
      <c r="T534">
        <f>(Table13[[#This Row],[Ideal_Cycle_Time_sec]]*Table13[[#This Row],[Actual_Qty]])/(Table13[[#This Row],[Operational_Time_min]]*60)</f>
        <v>0.49393994623410942</v>
      </c>
      <c r="U534">
        <f>Table13[[#This Row],[Good_Qty]]/Table13[[#This Row],[Actual_Qty]]</f>
        <v>0.9939117199391172</v>
      </c>
      <c r="V534" t="str">
        <f>IF(OR(Table13[[#This Row],[Performance_%]]&gt;=1,Table13[[#This Row],[Performance_%]]&lt;=0),"Error","OK")</f>
        <v>OK</v>
      </c>
      <c r="W534" t="str">
        <f>IF(OR(Table13[[#This Row],[Quality_%]]&gt;=1,Table13[[#This Row],[Quality_%]]&lt;=0),"Error","OK")</f>
        <v>OK</v>
      </c>
      <c r="X534">
        <f>Table13[[#This Row],[Performance_%]]*Table13[[#This Row],[Quality_%]]*[2]Availability_KPI!K534</f>
        <v>0.47886666666666661</v>
      </c>
      <c r="Y534" t="str">
        <f>IF(OR(Table13[[#This Row],[OEE_%]]&gt;1,Table13[[#This Row],[OEE_%]]&lt;0),"Error","OK")</f>
        <v>OK</v>
      </c>
    </row>
    <row r="535" spans="1:25" x14ac:dyDescent="0.2">
      <c r="A535" t="s">
        <v>651</v>
      </c>
      <c r="B535" t="s">
        <v>646</v>
      </c>
      <c r="C535" s="2">
        <v>46267</v>
      </c>
      <c r="D535" t="s">
        <v>27</v>
      </c>
      <c r="E535" t="s">
        <v>43</v>
      </c>
      <c r="F535" t="s">
        <v>29</v>
      </c>
      <c r="G535" t="s">
        <v>61</v>
      </c>
      <c r="H535">
        <v>645</v>
      </c>
      <c r="I535">
        <v>636</v>
      </c>
      <c r="J535">
        <v>9</v>
      </c>
      <c r="K535">
        <v>35.200000000000003</v>
      </c>
      <c r="L535">
        <v>38.68</v>
      </c>
      <c r="M535">
        <v>415.85</v>
      </c>
      <c r="N535">
        <f>_xlfn.XLOOKUP(Table13[[#This Row],[Production_Order_ID]],[1]Sheet1!$A$2:$A$391,[1]Sheet1!$F$2:$F$391,"No Match")</f>
        <v>490</v>
      </c>
      <c r="O535" s="3">
        <f>Table13[[#This Row],[Good_Qty]]/Table13[[#This Row],[Planned_Production]]</f>
        <v>1.2979591836734694</v>
      </c>
      <c r="P535" t="str">
        <f>IF(Table13[[#This Row],[Good_Qty]]&gt;=Table13[[#This Row],[Planned_Production]],"Met","Not Met")</f>
        <v>Met</v>
      </c>
      <c r="Q535">
        <f>Table13[[#This Row],[Good_Qty]]-Table13[[#This Row],[Planned_Production]]</f>
        <v>146</v>
      </c>
      <c r="R535" s="3">
        <f>IF(Table13[[#This Row],[Actual_Qty]]=0,0,Table13[[#This Row],[Reject_Qty]]/Table13[[#This Row],[Actual_Qty]])</f>
        <v>1.3953488372093023E-2</v>
      </c>
      <c r="S535">
        <v>414.93</v>
      </c>
      <c r="T535">
        <f>(Table13[[#This Row],[Ideal_Cycle_Time_sec]]*Table13[[#This Row],[Actual_Qty]])/(Table13[[#This Row],[Operational_Time_min]]*60)</f>
        <v>0.91196105367170388</v>
      </c>
      <c r="U535">
        <f>Table13[[#This Row],[Good_Qty]]/Table13[[#This Row],[Actual_Qty]]</f>
        <v>0.98604651162790702</v>
      </c>
      <c r="V535" t="str">
        <f>IF(OR(Table13[[#This Row],[Performance_%]]&gt;=1,Table13[[#This Row],[Performance_%]]&lt;=0),"Error","OK")</f>
        <v>OK</v>
      </c>
      <c r="W535" t="str">
        <f>IF(OR(Table13[[#This Row],[Quality_%]]&gt;=1,Table13[[#This Row],[Quality_%]]&lt;=0),"Error","OK")</f>
        <v>OK</v>
      </c>
      <c r="X535">
        <f>Table13[[#This Row],[Performance_%]]*Table13[[#This Row],[Quality_%]]*[2]Availability_KPI!K535</f>
        <v>0.82915555555555587</v>
      </c>
      <c r="Y535" t="str">
        <f>IF(OR(Table13[[#This Row],[OEE_%]]&gt;1,Table13[[#This Row],[OEE_%]]&lt;0),"Error","OK")</f>
        <v>OK</v>
      </c>
    </row>
    <row r="536" spans="1:25" x14ac:dyDescent="0.2">
      <c r="A536" t="s">
        <v>652</v>
      </c>
      <c r="B536" t="s">
        <v>646</v>
      </c>
      <c r="C536" s="2">
        <v>46267</v>
      </c>
      <c r="D536" t="s">
        <v>27</v>
      </c>
      <c r="E536" t="s">
        <v>46</v>
      </c>
      <c r="F536" t="s">
        <v>29</v>
      </c>
      <c r="G536" t="s">
        <v>75</v>
      </c>
      <c r="H536">
        <v>654</v>
      </c>
      <c r="I536">
        <v>647</v>
      </c>
      <c r="J536">
        <v>7</v>
      </c>
      <c r="K536">
        <v>27.5</v>
      </c>
      <c r="L536">
        <v>29.3</v>
      </c>
      <c r="M536">
        <v>319.39</v>
      </c>
      <c r="N536">
        <f>_xlfn.XLOOKUP(Table13[[#This Row],[Production_Order_ID]],[1]Sheet1!$A$2:$A$391,[1]Sheet1!$F$2:$F$391,"No Match")</f>
        <v>490</v>
      </c>
      <c r="O536" s="3">
        <f>Table13[[#This Row],[Good_Qty]]/Table13[[#This Row],[Planned_Production]]</f>
        <v>1.3204081632653062</v>
      </c>
      <c r="P536" t="str">
        <f>IF(Table13[[#This Row],[Good_Qty]]&gt;=Table13[[#This Row],[Planned_Production]],"Met","Not Met")</f>
        <v>Met</v>
      </c>
      <c r="Q536">
        <f>Table13[[#This Row],[Good_Qty]]-Table13[[#This Row],[Planned_Production]]</f>
        <v>157</v>
      </c>
      <c r="R536" s="3">
        <f>IF(Table13[[#This Row],[Actual_Qty]]=0,0,Table13[[#This Row],[Reject_Qty]]/Table13[[#This Row],[Actual_Qty]])</f>
        <v>1.0703363914373088E-2</v>
      </c>
      <c r="S536">
        <v>425.91</v>
      </c>
      <c r="T536">
        <f>(Table13[[#This Row],[Ideal_Cycle_Time_sec]]*Table13[[#This Row],[Actual_Qty]])/(Table13[[#This Row],[Operational_Time_min]]*60)</f>
        <v>0.70378718508605098</v>
      </c>
      <c r="U536">
        <f>Table13[[#This Row],[Good_Qty]]/Table13[[#This Row],[Actual_Qty]]</f>
        <v>0.9892966360856269</v>
      </c>
      <c r="V536" t="str">
        <f>IF(OR(Table13[[#This Row],[Performance_%]]&gt;=1,Table13[[#This Row],[Performance_%]]&lt;=0),"Error","OK")</f>
        <v>OK</v>
      </c>
      <c r="W536" t="str">
        <f>IF(OR(Table13[[#This Row],[Quality_%]]&gt;=1,Table13[[#This Row],[Quality_%]]&lt;=0),"Error","OK")</f>
        <v>OK</v>
      </c>
      <c r="X536">
        <f>Table13[[#This Row],[Performance_%]]*Table13[[#This Row],[Quality_%]]*[2]Availability_KPI!K536</f>
        <v>0.65898148148148139</v>
      </c>
      <c r="Y536" t="str">
        <f>IF(OR(Table13[[#This Row],[OEE_%]]&gt;1,Table13[[#This Row],[OEE_%]]&lt;0),"Error","OK")</f>
        <v>OK</v>
      </c>
    </row>
    <row r="537" spans="1:25" x14ac:dyDescent="0.2">
      <c r="A537" t="s">
        <v>653</v>
      </c>
      <c r="B537" t="s">
        <v>646</v>
      </c>
      <c r="C537" s="2">
        <v>46267</v>
      </c>
      <c r="D537" t="s">
        <v>27</v>
      </c>
      <c r="E537" t="s">
        <v>49</v>
      </c>
      <c r="F537" t="s">
        <v>29</v>
      </c>
      <c r="G537" t="s">
        <v>61</v>
      </c>
      <c r="H537">
        <v>639</v>
      </c>
      <c r="I537">
        <v>637</v>
      </c>
      <c r="J537">
        <v>2</v>
      </c>
      <c r="K537">
        <v>22</v>
      </c>
      <c r="L537">
        <v>23.24</v>
      </c>
      <c r="M537">
        <v>247.5</v>
      </c>
      <c r="N537">
        <f>_xlfn.XLOOKUP(Table13[[#This Row],[Production_Order_ID]],[1]Sheet1!$A$2:$A$391,[1]Sheet1!$F$2:$F$391,"No Match")</f>
        <v>490</v>
      </c>
      <c r="O537" s="3">
        <f>Table13[[#This Row],[Good_Qty]]/Table13[[#This Row],[Planned_Production]]</f>
        <v>1.3</v>
      </c>
      <c r="P537" t="str">
        <f>IF(Table13[[#This Row],[Good_Qty]]&gt;=Table13[[#This Row],[Planned_Production]],"Met","Not Met")</f>
        <v>Met</v>
      </c>
      <c r="Q537">
        <f>Table13[[#This Row],[Good_Qty]]-Table13[[#This Row],[Planned_Production]]</f>
        <v>147</v>
      </c>
      <c r="R537" s="3">
        <f>IF(Table13[[#This Row],[Actual_Qty]]=0,0,Table13[[#This Row],[Reject_Qty]]/Table13[[#This Row],[Actual_Qty]])</f>
        <v>3.1298904538341159E-3</v>
      </c>
      <c r="S537">
        <v>442.3</v>
      </c>
      <c r="T537">
        <f>(Table13[[#This Row],[Ideal_Cycle_Time_sec]]*Table13[[#This Row],[Actual_Qty]])/(Table13[[#This Row],[Operational_Time_min]]*60)</f>
        <v>0.52973095184264074</v>
      </c>
      <c r="U537">
        <f>Table13[[#This Row],[Good_Qty]]/Table13[[#This Row],[Actual_Qty]]</f>
        <v>0.99687010954616584</v>
      </c>
      <c r="V537" t="str">
        <f>IF(OR(Table13[[#This Row],[Performance_%]]&gt;=1,Table13[[#This Row],[Performance_%]]&lt;=0),"Error","OK")</f>
        <v>OK</v>
      </c>
      <c r="W537" t="str">
        <f>IF(OR(Table13[[#This Row],[Quality_%]]&gt;=1,Table13[[#This Row],[Quality_%]]&lt;=0),"Error","OK")</f>
        <v>OK</v>
      </c>
      <c r="X537">
        <f>Table13[[#This Row],[Performance_%]]*Table13[[#This Row],[Quality_%]]*[2]Availability_KPI!K537</f>
        <v>0.51903703703703707</v>
      </c>
      <c r="Y537" t="str">
        <f>IF(OR(Table13[[#This Row],[OEE_%]]&gt;1,Table13[[#This Row],[OEE_%]]&lt;0),"Error","OK")</f>
        <v>OK</v>
      </c>
    </row>
    <row r="538" spans="1:25" x14ac:dyDescent="0.2">
      <c r="A538" t="s">
        <v>654</v>
      </c>
      <c r="B538" t="s">
        <v>655</v>
      </c>
      <c r="C538" s="2">
        <v>46267</v>
      </c>
      <c r="D538" t="s">
        <v>53</v>
      </c>
      <c r="E538" t="s">
        <v>28</v>
      </c>
      <c r="F538" t="s">
        <v>54</v>
      </c>
      <c r="G538" t="s">
        <v>50</v>
      </c>
      <c r="H538">
        <v>673</v>
      </c>
      <c r="I538">
        <v>671</v>
      </c>
      <c r="J538">
        <v>2</v>
      </c>
      <c r="K538">
        <v>18</v>
      </c>
      <c r="L538">
        <v>19.399999999999999</v>
      </c>
      <c r="M538">
        <v>217.59</v>
      </c>
      <c r="N538">
        <f>_xlfn.XLOOKUP(Table13[[#This Row],[Production_Order_ID]],[1]Sheet1!$A$2:$A$391,[1]Sheet1!$F$2:$F$391,"No Match")</f>
        <v>510</v>
      </c>
      <c r="O538" s="3">
        <f>Table13[[#This Row],[Good_Qty]]/Table13[[#This Row],[Planned_Production]]</f>
        <v>1.3156862745098039</v>
      </c>
      <c r="P538" t="str">
        <f>IF(Table13[[#This Row],[Good_Qty]]&gt;=Table13[[#This Row],[Planned_Production]],"Met","Not Met")</f>
        <v>Met</v>
      </c>
      <c r="Q538">
        <f>Table13[[#This Row],[Good_Qty]]-Table13[[#This Row],[Planned_Production]]</f>
        <v>161</v>
      </c>
      <c r="R538" s="3">
        <f>IF(Table13[[#This Row],[Actual_Qty]]=0,0,Table13[[#This Row],[Reject_Qty]]/Table13[[#This Row],[Actual_Qty]])</f>
        <v>2.9717682020802376E-3</v>
      </c>
      <c r="S538">
        <v>438.17</v>
      </c>
      <c r="T538">
        <f>(Table13[[#This Row],[Ideal_Cycle_Time_sec]]*Table13[[#This Row],[Actual_Qty]])/(Table13[[#This Row],[Operational_Time_min]]*60)</f>
        <v>0.4607800625328069</v>
      </c>
      <c r="U538">
        <f>Table13[[#This Row],[Good_Qty]]/Table13[[#This Row],[Actual_Qty]]</f>
        <v>0.99702823179791977</v>
      </c>
      <c r="V538" t="str">
        <f>IF(OR(Table13[[#This Row],[Performance_%]]&gt;=1,Table13[[#This Row],[Performance_%]]&lt;=0),"Error","OK")</f>
        <v>OK</v>
      </c>
      <c r="W538" t="str">
        <f>IF(OR(Table13[[#This Row],[Quality_%]]&gt;=1,Table13[[#This Row],[Quality_%]]&lt;=0),"Error","OK")</f>
        <v>OK</v>
      </c>
      <c r="X538">
        <f>Table13[[#This Row],[Performance_%]]*Table13[[#This Row],[Quality_%]]*[2]Availability_KPI!K538</f>
        <v>0.44733333333333342</v>
      </c>
      <c r="Y538" t="str">
        <f>IF(OR(Table13[[#This Row],[OEE_%]]&gt;1,Table13[[#This Row],[OEE_%]]&lt;0),"Error","OK")</f>
        <v>OK</v>
      </c>
    </row>
    <row r="539" spans="1:25" x14ac:dyDescent="0.2">
      <c r="A539" t="s">
        <v>656</v>
      </c>
      <c r="B539" t="s">
        <v>655</v>
      </c>
      <c r="C539" s="2">
        <v>46267</v>
      </c>
      <c r="D539" t="s">
        <v>53</v>
      </c>
      <c r="E539" t="s">
        <v>32</v>
      </c>
      <c r="F539" t="s">
        <v>54</v>
      </c>
      <c r="G539" t="s">
        <v>33</v>
      </c>
      <c r="H539">
        <v>663</v>
      </c>
      <c r="I539">
        <v>657</v>
      </c>
      <c r="J539">
        <v>6</v>
      </c>
      <c r="K539">
        <v>20</v>
      </c>
      <c r="L539">
        <v>21.27</v>
      </c>
      <c r="M539">
        <v>234.99</v>
      </c>
      <c r="N539">
        <f>_xlfn.XLOOKUP(Table13[[#This Row],[Production_Order_ID]],[1]Sheet1!$A$2:$A$391,[1]Sheet1!$F$2:$F$391,"No Match")</f>
        <v>510</v>
      </c>
      <c r="O539" s="3">
        <f>Table13[[#This Row],[Good_Qty]]/Table13[[#This Row],[Planned_Production]]</f>
        <v>1.2882352941176471</v>
      </c>
      <c r="P539" t="str">
        <f>IF(Table13[[#This Row],[Good_Qty]]&gt;=Table13[[#This Row],[Planned_Production]],"Met","Not Met")</f>
        <v>Met</v>
      </c>
      <c r="Q539">
        <f>Table13[[#This Row],[Good_Qty]]-Table13[[#This Row],[Planned_Production]]</f>
        <v>147</v>
      </c>
      <c r="R539" s="3">
        <f>IF(Table13[[#This Row],[Actual_Qty]]=0,0,Table13[[#This Row],[Reject_Qty]]/Table13[[#This Row],[Actual_Qty]])</f>
        <v>9.0497737556561094E-3</v>
      </c>
      <c r="S539">
        <v>435.47</v>
      </c>
      <c r="T539">
        <f>(Table13[[#This Row],[Ideal_Cycle_Time_sec]]*Table13[[#This Row],[Actual_Qty]])/(Table13[[#This Row],[Operational_Time_min]]*60)</f>
        <v>0.50749764622132409</v>
      </c>
      <c r="U539">
        <f>Table13[[#This Row],[Good_Qty]]/Table13[[#This Row],[Actual_Qty]]</f>
        <v>0.99095022624434392</v>
      </c>
      <c r="V539" t="str">
        <f>IF(OR(Table13[[#This Row],[Performance_%]]&gt;=1,Table13[[#This Row],[Performance_%]]&lt;=0),"Error","OK")</f>
        <v>OK</v>
      </c>
      <c r="W539" t="str">
        <f>IF(OR(Table13[[#This Row],[Quality_%]]&gt;=1,Table13[[#This Row],[Quality_%]]&lt;=0),"Error","OK")</f>
        <v>OK</v>
      </c>
      <c r="X539">
        <f>Table13[[#This Row],[Performance_%]]*Table13[[#This Row],[Quality_%]]*[2]Availability_KPI!K539</f>
        <v>0.48666666666666669</v>
      </c>
      <c r="Y539" t="str">
        <f>IF(OR(Table13[[#This Row],[OEE_%]]&gt;1,Table13[[#This Row],[OEE_%]]&lt;0),"Error","OK")</f>
        <v>OK</v>
      </c>
    </row>
    <row r="540" spans="1:25" x14ac:dyDescent="0.2">
      <c r="A540" t="s">
        <v>657</v>
      </c>
      <c r="B540" t="s">
        <v>655</v>
      </c>
      <c r="C540" s="2">
        <v>46267</v>
      </c>
      <c r="D540" t="s">
        <v>53</v>
      </c>
      <c r="E540" t="s">
        <v>35</v>
      </c>
      <c r="F540" t="s">
        <v>54</v>
      </c>
      <c r="G540" t="s">
        <v>61</v>
      </c>
      <c r="H540">
        <v>658</v>
      </c>
      <c r="I540">
        <v>653</v>
      </c>
      <c r="J540">
        <v>5</v>
      </c>
      <c r="K540">
        <v>22</v>
      </c>
      <c r="L540">
        <v>23.89</v>
      </c>
      <c r="M540">
        <v>262.02999999999997</v>
      </c>
      <c r="N540">
        <f>_xlfn.XLOOKUP(Table13[[#This Row],[Production_Order_ID]],[1]Sheet1!$A$2:$A$391,[1]Sheet1!$F$2:$F$391,"No Match")</f>
        <v>510</v>
      </c>
      <c r="O540" s="3">
        <f>Table13[[#This Row],[Good_Qty]]/Table13[[#This Row],[Planned_Production]]</f>
        <v>1.280392156862745</v>
      </c>
      <c r="P540" t="str">
        <f>IF(Table13[[#This Row],[Good_Qty]]&gt;=Table13[[#This Row],[Planned_Production]],"Met","Not Met")</f>
        <v>Met</v>
      </c>
      <c r="Q540">
        <f>Table13[[#This Row],[Good_Qty]]-Table13[[#This Row],[Planned_Production]]</f>
        <v>143</v>
      </c>
      <c r="R540" s="3">
        <f>IF(Table13[[#This Row],[Actual_Qty]]=0,0,Table13[[#This Row],[Reject_Qty]]/Table13[[#This Row],[Actual_Qty]])</f>
        <v>7.5987841945288756E-3</v>
      </c>
      <c r="S540">
        <v>430.06</v>
      </c>
      <c r="T540">
        <f>(Table13[[#This Row],[Ideal_Cycle_Time_sec]]*Table13[[#This Row],[Actual_Qty]])/(Table13[[#This Row],[Operational_Time_min]]*60)</f>
        <v>0.56100699127253562</v>
      </c>
      <c r="U540">
        <f>Table13[[#This Row],[Good_Qty]]/Table13[[#This Row],[Actual_Qty]]</f>
        <v>0.99240121580547114</v>
      </c>
      <c r="V540" t="str">
        <f>IF(OR(Table13[[#This Row],[Performance_%]]&gt;=1,Table13[[#This Row],[Performance_%]]&lt;=0),"Error","OK")</f>
        <v>OK</v>
      </c>
      <c r="W540" t="str">
        <f>IF(OR(Table13[[#This Row],[Quality_%]]&gt;=1,Table13[[#This Row],[Quality_%]]&lt;=0),"Error","OK")</f>
        <v>OK</v>
      </c>
      <c r="X540">
        <f>Table13[[#This Row],[Performance_%]]*Table13[[#This Row],[Quality_%]]*[2]Availability_KPI!K540</f>
        <v>0.53207407407407403</v>
      </c>
      <c r="Y540" t="str">
        <f>IF(OR(Table13[[#This Row],[OEE_%]]&gt;1,Table13[[#This Row],[OEE_%]]&lt;0),"Error","OK")</f>
        <v>OK</v>
      </c>
    </row>
    <row r="541" spans="1:25" x14ac:dyDescent="0.2">
      <c r="A541" t="s">
        <v>658</v>
      </c>
      <c r="B541" t="s">
        <v>655</v>
      </c>
      <c r="C541" s="2">
        <v>46267</v>
      </c>
      <c r="D541" t="s">
        <v>53</v>
      </c>
      <c r="E541" t="s">
        <v>38</v>
      </c>
      <c r="F541" t="s">
        <v>54</v>
      </c>
      <c r="G541" t="s">
        <v>50</v>
      </c>
      <c r="H541">
        <v>682</v>
      </c>
      <c r="I541">
        <v>678</v>
      </c>
      <c r="J541">
        <v>4</v>
      </c>
      <c r="K541">
        <v>20</v>
      </c>
      <c r="L541">
        <v>20.99</v>
      </c>
      <c r="M541">
        <v>238.64</v>
      </c>
      <c r="N541">
        <f>_xlfn.XLOOKUP(Table13[[#This Row],[Production_Order_ID]],[1]Sheet1!$A$2:$A$391,[1]Sheet1!$F$2:$F$391,"No Match")</f>
        <v>510</v>
      </c>
      <c r="O541" s="3">
        <f>Table13[[#This Row],[Good_Qty]]/Table13[[#This Row],[Planned_Production]]</f>
        <v>1.3294117647058823</v>
      </c>
      <c r="P541" t="str">
        <f>IF(Table13[[#This Row],[Good_Qty]]&gt;=Table13[[#This Row],[Planned_Production]],"Met","Not Met")</f>
        <v>Met</v>
      </c>
      <c r="Q541">
        <f>Table13[[#This Row],[Good_Qty]]-Table13[[#This Row],[Planned_Production]]</f>
        <v>168</v>
      </c>
      <c r="R541" s="3">
        <f>IF(Table13[[#This Row],[Actual_Qty]]=0,0,Table13[[#This Row],[Reject_Qty]]/Table13[[#This Row],[Actual_Qty]])</f>
        <v>5.8651026392961877E-3</v>
      </c>
      <c r="S541">
        <v>436.77</v>
      </c>
      <c r="T541">
        <f>(Table13[[#This Row],[Ideal_Cycle_Time_sec]]*Table13[[#This Row],[Actual_Qty]])/(Table13[[#This Row],[Operational_Time_min]]*60)</f>
        <v>0.52048751822087913</v>
      </c>
      <c r="U541">
        <f>Table13[[#This Row],[Good_Qty]]/Table13[[#This Row],[Actual_Qty]]</f>
        <v>0.99413489736070382</v>
      </c>
      <c r="V541" t="str">
        <f>IF(OR(Table13[[#This Row],[Performance_%]]&gt;=1,Table13[[#This Row],[Performance_%]]&lt;=0),"Error","OK")</f>
        <v>OK</v>
      </c>
      <c r="W541" t="str">
        <f>IF(OR(Table13[[#This Row],[Quality_%]]&gt;=1,Table13[[#This Row],[Quality_%]]&lt;=0),"Error","OK")</f>
        <v>OK</v>
      </c>
      <c r="X541">
        <f>Table13[[#This Row],[Performance_%]]*Table13[[#This Row],[Quality_%]]*[2]Availability_KPI!K541</f>
        <v>0.50222222222222224</v>
      </c>
      <c r="Y541" t="str">
        <f>IF(OR(Table13[[#This Row],[OEE_%]]&gt;1,Table13[[#This Row],[OEE_%]]&lt;0),"Error","OK")</f>
        <v>OK</v>
      </c>
    </row>
    <row r="542" spans="1:25" x14ac:dyDescent="0.2">
      <c r="A542" t="s">
        <v>659</v>
      </c>
      <c r="B542" t="s">
        <v>655</v>
      </c>
      <c r="C542" s="2">
        <v>46267</v>
      </c>
      <c r="D542" t="s">
        <v>53</v>
      </c>
      <c r="E542" t="s">
        <v>41</v>
      </c>
      <c r="F542" t="s">
        <v>54</v>
      </c>
      <c r="G542" t="s">
        <v>61</v>
      </c>
      <c r="H542">
        <v>678</v>
      </c>
      <c r="I542">
        <v>672</v>
      </c>
      <c r="J542">
        <v>6</v>
      </c>
      <c r="K542">
        <v>18</v>
      </c>
      <c r="L542">
        <v>19.420000000000002</v>
      </c>
      <c r="M542">
        <v>219.41</v>
      </c>
      <c r="N542">
        <f>_xlfn.XLOOKUP(Table13[[#This Row],[Production_Order_ID]],[1]Sheet1!$A$2:$A$391,[1]Sheet1!$F$2:$F$391,"No Match")</f>
        <v>510</v>
      </c>
      <c r="O542" s="3">
        <f>Table13[[#This Row],[Good_Qty]]/Table13[[#This Row],[Planned_Production]]</f>
        <v>1.3176470588235294</v>
      </c>
      <c r="P542" t="str">
        <f>IF(Table13[[#This Row],[Good_Qty]]&gt;=Table13[[#This Row],[Planned_Production]],"Met","Not Met")</f>
        <v>Met</v>
      </c>
      <c r="Q542">
        <f>Table13[[#This Row],[Good_Qty]]-Table13[[#This Row],[Planned_Production]]</f>
        <v>162</v>
      </c>
      <c r="R542" s="3">
        <f>IF(Table13[[#This Row],[Actual_Qty]]=0,0,Table13[[#This Row],[Reject_Qty]]/Table13[[#This Row],[Actual_Qty]])</f>
        <v>8.8495575221238937E-3</v>
      </c>
      <c r="S542">
        <v>438.96</v>
      </c>
      <c r="T542">
        <f>(Table13[[#This Row],[Ideal_Cycle_Time_sec]]*Table13[[#This Row],[Actual_Qty]])/(Table13[[#This Row],[Operational_Time_min]]*60)</f>
        <v>0.46336796063422636</v>
      </c>
      <c r="U542">
        <f>Table13[[#This Row],[Good_Qty]]/Table13[[#This Row],[Actual_Qty]]</f>
        <v>0.99115044247787609</v>
      </c>
      <c r="V542" t="str">
        <f>IF(OR(Table13[[#This Row],[Performance_%]]&gt;=1,Table13[[#This Row],[Performance_%]]&lt;=0),"Error","OK")</f>
        <v>OK</v>
      </c>
      <c r="W542" t="str">
        <f>IF(OR(Table13[[#This Row],[Quality_%]]&gt;=1,Table13[[#This Row],[Quality_%]]&lt;=0),"Error","OK")</f>
        <v>OK</v>
      </c>
      <c r="X542">
        <f>Table13[[#This Row],[Performance_%]]*Table13[[#This Row],[Quality_%]]*[2]Availability_KPI!K542</f>
        <v>0.44799999999999995</v>
      </c>
      <c r="Y542" t="str">
        <f>IF(OR(Table13[[#This Row],[OEE_%]]&gt;1,Table13[[#This Row],[OEE_%]]&lt;0),"Error","OK")</f>
        <v>OK</v>
      </c>
    </row>
    <row r="543" spans="1:25" x14ac:dyDescent="0.2">
      <c r="A543" t="s">
        <v>660</v>
      </c>
      <c r="B543" t="s">
        <v>655</v>
      </c>
      <c r="C543" s="2">
        <v>46267</v>
      </c>
      <c r="D543" t="s">
        <v>53</v>
      </c>
      <c r="E543" t="s">
        <v>43</v>
      </c>
      <c r="F543" t="s">
        <v>54</v>
      </c>
      <c r="G543" t="s">
        <v>44</v>
      </c>
      <c r="H543">
        <v>683</v>
      </c>
      <c r="I543">
        <v>671</v>
      </c>
      <c r="J543">
        <v>12</v>
      </c>
      <c r="K543">
        <v>32</v>
      </c>
      <c r="L543">
        <v>34.18</v>
      </c>
      <c r="M543">
        <v>389.05</v>
      </c>
      <c r="N543">
        <f>_xlfn.XLOOKUP(Table13[[#This Row],[Production_Order_ID]],[1]Sheet1!$A$2:$A$391,[1]Sheet1!$F$2:$F$391,"No Match")</f>
        <v>510</v>
      </c>
      <c r="O543" s="3">
        <f>Table13[[#This Row],[Good_Qty]]/Table13[[#This Row],[Planned_Production]]</f>
        <v>1.3156862745098039</v>
      </c>
      <c r="P543" t="str">
        <f>IF(Table13[[#This Row],[Good_Qty]]&gt;=Table13[[#This Row],[Planned_Production]],"Met","Not Met")</f>
        <v>Met</v>
      </c>
      <c r="Q543">
        <f>Table13[[#This Row],[Good_Qty]]-Table13[[#This Row],[Planned_Production]]</f>
        <v>161</v>
      </c>
      <c r="R543" s="3">
        <f>IF(Table13[[#This Row],[Actual_Qty]]=0,0,Table13[[#This Row],[Reject_Qty]]/Table13[[#This Row],[Actual_Qty]])</f>
        <v>1.7569546120058566E-2</v>
      </c>
      <c r="S543">
        <v>410.29</v>
      </c>
      <c r="T543">
        <f>(Table13[[#This Row],[Ideal_Cycle_Time_sec]]*Table13[[#This Row],[Actual_Qty]])/(Table13[[#This Row],[Operational_Time_min]]*60)</f>
        <v>0.88782730913906416</v>
      </c>
      <c r="U543">
        <f>Table13[[#This Row],[Good_Qty]]/Table13[[#This Row],[Actual_Qty]]</f>
        <v>0.98243045387994143</v>
      </c>
      <c r="V543" t="str">
        <f>IF(OR(Table13[[#This Row],[Performance_%]]&gt;=1,Table13[[#This Row],[Performance_%]]&lt;=0),"Error","OK")</f>
        <v>OK</v>
      </c>
      <c r="W543" t="str">
        <f>IF(OR(Table13[[#This Row],[Quality_%]]&gt;=1,Table13[[#This Row],[Quality_%]]&lt;=0),"Error","OK")</f>
        <v>OK</v>
      </c>
      <c r="X543">
        <f>Table13[[#This Row],[Performance_%]]*Table13[[#This Row],[Quality_%]]*[2]Availability_KPI!K543</f>
        <v>0.79525925925925922</v>
      </c>
      <c r="Y543" t="str">
        <f>IF(OR(Table13[[#This Row],[OEE_%]]&gt;1,Table13[[#This Row],[OEE_%]]&lt;0),"Error","OK")</f>
        <v>OK</v>
      </c>
    </row>
    <row r="544" spans="1:25" x14ac:dyDescent="0.2">
      <c r="A544" t="s">
        <v>661</v>
      </c>
      <c r="B544" t="s">
        <v>655</v>
      </c>
      <c r="C544" s="2">
        <v>46267</v>
      </c>
      <c r="D544" t="s">
        <v>53</v>
      </c>
      <c r="E544" t="s">
        <v>46</v>
      </c>
      <c r="F544" t="s">
        <v>54</v>
      </c>
      <c r="G544" t="s">
        <v>57</v>
      </c>
      <c r="H544">
        <v>660</v>
      </c>
      <c r="I544">
        <v>653</v>
      </c>
      <c r="J544">
        <v>7</v>
      </c>
      <c r="K544">
        <v>25</v>
      </c>
      <c r="L544">
        <v>27.09</v>
      </c>
      <c r="M544">
        <v>298.02999999999997</v>
      </c>
      <c r="N544">
        <f>_xlfn.XLOOKUP(Table13[[#This Row],[Production_Order_ID]],[1]Sheet1!$A$2:$A$391,[1]Sheet1!$F$2:$F$391,"No Match")</f>
        <v>510</v>
      </c>
      <c r="O544" s="3">
        <f>Table13[[#This Row],[Good_Qty]]/Table13[[#This Row],[Planned_Production]]</f>
        <v>1.280392156862745</v>
      </c>
      <c r="P544" t="str">
        <f>IF(Table13[[#This Row],[Good_Qty]]&gt;=Table13[[#This Row],[Planned_Production]],"Met","Not Met")</f>
        <v>Met</v>
      </c>
      <c r="Q544">
        <f>Table13[[#This Row],[Good_Qty]]-Table13[[#This Row],[Planned_Production]]</f>
        <v>143</v>
      </c>
      <c r="R544" s="3">
        <f>IF(Table13[[#This Row],[Actual_Qty]]=0,0,Table13[[#This Row],[Reject_Qty]]/Table13[[#This Row],[Actual_Qty]])</f>
        <v>1.0606060606060607E-2</v>
      </c>
      <c r="S544">
        <v>422.28</v>
      </c>
      <c r="T544">
        <f>(Table13[[#This Row],[Ideal_Cycle_Time_sec]]*Table13[[#This Row],[Actual_Qty]])/(Table13[[#This Row],[Operational_Time_min]]*60)</f>
        <v>0.65122667424457703</v>
      </c>
      <c r="U544">
        <f>Table13[[#This Row],[Good_Qty]]/Table13[[#This Row],[Actual_Qty]]</f>
        <v>0.98939393939393938</v>
      </c>
      <c r="V544" t="str">
        <f>IF(OR(Table13[[#This Row],[Performance_%]]&gt;=1,Table13[[#This Row],[Performance_%]]&lt;=0),"Error","OK")</f>
        <v>OK</v>
      </c>
      <c r="W544" t="str">
        <f>IF(OR(Table13[[#This Row],[Quality_%]]&gt;=1,Table13[[#This Row],[Quality_%]]&lt;=0),"Error","OK")</f>
        <v>OK</v>
      </c>
      <c r="X544">
        <f>Table13[[#This Row],[Performance_%]]*Table13[[#This Row],[Quality_%]]*[2]Availability_KPI!K544</f>
        <v>0.60462962962962963</v>
      </c>
      <c r="Y544" t="str">
        <f>IF(OR(Table13[[#This Row],[OEE_%]]&gt;1,Table13[[#This Row],[OEE_%]]&lt;0),"Error","OK")</f>
        <v>OK</v>
      </c>
    </row>
    <row r="545" spans="1:25" x14ac:dyDescent="0.2">
      <c r="A545" t="s">
        <v>662</v>
      </c>
      <c r="B545" t="s">
        <v>655</v>
      </c>
      <c r="C545" s="2">
        <v>46267</v>
      </c>
      <c r="D545" t="s">
        <v>53</v>
      </c>
      <c r="E545" t="s">
        <v>49</v>
      </c>
      <c r="F545" t="s">
        <v>54</v>
      </c>
      <c r="G545" t="s">
        <v>44</v>
      </c>
      <c r="H545">
        <v>660</v>
      </c>
      <c r="I545">
        <v>657</v>
      </c>
      <c r="J545">
        <v>3</v>
      </c>
      <c r="K545">
        <v>20</v>
      </c>
      <c r="L545">
        <v>20.07</v>
      </c>
      <c r="M545">
        <v>220.78</v>
      </c>
      <c r="N545">
        <f>_xlfn.XLOOKUP(Table13[[#This Row],[Production_Order_ID]],[1]Sheet1!$A$2:$A$391,[1]Sheet1!$F$2:$F$391,"No Match")</f>
        <v>510</v>
      </c>
      <c r="O545" s="3">
        <f>Table13[[#This Row],[Good_Qty]]/Table13[[#This Row],[Planned_Production]]</f>
        <v>1.2882352941176471</v>
      </c>
      <c r="P545" t="str">
        <f>IF(Table13[[#This Row],[Good_Qty]]&gt;=Table13[[#This Row],[Planned_Production]],"Met","Not Met")</f>
        <v>Met</v>
      </c>
      <c r="Q545">
        <f>Table13[[#This Row],[Good_Qty]]-Table13[[#This Row],[Planned_Production]]</f>
        <v>147</v>
      </c>
      <c r="R545" s="3">
        <f>IF(Table13[[#This Row],[Actual_Qty]]=0,0,Table13[[#This Row],[Reject_Qty]]/Table13[[#This Row],[Actual_Qty]])</f>
        <v>4.5454545454545452E-3</v>
      </c>
      <c r="S545">
        <v>440.84</v>
      </c>
      <c r="T545">
        <f>(Table13[[#This Row],[Ideal_Cycle_Time_sec]]*Table13[[#This Row],[Actual_Qty]])/(Table13[[#This Row],[Operational_Time_min]]*60)</f>
        <v>0.49904727338716998</v>
      </c>
      <c r="U545">
        <f>Table13[[#This Row],[Good_Qty]]/Table13[[#This Row],[Actual_Qty]]</f>
        <v>0.99545454545454548</v>
      </c>
      <c r="V545" t="str">
        <f>IF(OR(Table13[[#This Row],[Performance_%]]&gt;=1,Table13[[#This Row],[Performance_%]]&lt;=0),"Error","OK")</f>
        <v>OK</v>
      </c>
      <c r="W545" t="str">
        <f>IF(OR(Table13[[#This Row],[Quality_%]]&gt;=1,Table13[[#This Row],[Quality_%]]&lt;=0),"Error","OK")</f>
        <v>OK</v>
      </c>
      <c r="X545">
        <f>Table13[[#This Row],[Performance_%]]*Table13[[#This Row],[Quality_%]]*[2]Availability_KPI!K545</f>
        <v>0.48666666666666669</v>
      </c>
      <c r="Y545" t="str">
        <f>IF(OR(Table13[[#This Row],[OEE_%]]&gt;1,Table13[[#This Row],[OEE_%]]&lt;0),"Error","OK")</f>
        <v>OK</v>
      </c>
    </row>
    <row r="546" spans="1:25" x14ac:dyDescent="0.2">
      <c r="A546" t="s">
        <v>663</v>
      </c>
      <c r="B546" t="s">
        <v>664</v>
      </c>
      <c r="C546" s="2">
        <v>46267</v>
      </c>
      <c r="D546" t="s">
        <v>67</v>
      </c>
      <c r="E546" t="s">
        <v>28</v>
      </c>
      <c r="F546" t="s">
        <v>97</v>
      </c>
      <c r="G546" t="s">
        <v>36</v>
      </c>
      <c r="H546">
        <v>692</v>
      </c>
      <c r="I546">
        <v>687</v>
      </c>
      <c r="J546">
        <v>5</v>
      </c>
      <c r="K546">
        <v>19.260000000000002</v>
      </c>
      <c r="L546">
        <v>19.91</v>
      </c>
      <c r="M546">
        <v>229.68</v>
      </c>
      <c r="N546">
        <f>_xlfn.XLOOKUP(Table13[[#This Row],[Production_Order_ID]],[1]Sheet1!$A$2:$A$391,[1]Sheet1!$F$2:$F$391,"No Match")</f>
        <v>500</v>
      </c>
      <c r="O546" s="3">
        <f>Table13[[#This Row],[Good_Qty]]/Table13[[#This Row],[Planned_Production]]</f>
        <v>1.3740000000000001</v>
      </c>
      <c r="P546" t="str">
        <f>IF(Table13[[#This Row],[Good_Qty]]&gt;=Table13[[#This Row],[Planned_Production]],"Met","Not Met")</f>
        <v>Met</v>
      </c>
      <c r="Q546">
        <f>Table13[[#This Row],[Good_Qty]]-Table13[[#This Row],[Planned_Production]]</f>
        <v>187</v>
      </c>
      <c r="R546" s="3">
        <f>IF(Table13[[#This Row],[Actual_Qty]]=0,0,Table13[[#This Row],[Reject_Qty]]/Table13[[#This Row],[Actual_Qty]])</f>
        <v>7.2254335260115606E-3</v>
      </c>
      <c r="S546">
        <v>440.64</v>
      </c>
      <c r="T546">
        <f>(Table13[[#This Row],[Ideal_Cycle_Time_sec]]*Table13[[#This Row],[Actual_Qty]])/(Table13[[#This Row],[Operational_Time_min]]*60)</f>
        <v>0.50411220043572991</v>
      </c>
      <c r="U546">
        <f>Table13[[#This Row],[Good_Qty]]/Table13[[#This Row],[Actual_Qty]]</f>
        <v>0.99277456647398843</v>
      </c>
      <c r="V546" t="str">
        <f>IF(OR(Table13[[#This Row],[Performance_%]]&gt;=1,Table13[[#This Row],[Performance_%]]&lt;=0),"Error","OK")</f>
        <v>OK</v>
      </c>
      <c r="W546" t="str">
        <f>IF(OR(Table13[[#This Row],[Quality_%]]&gt;=1,Table13[[#This Row],[Quality_%]]&lt;=0),"Error","OK")</f>
        <v>OK</v>
      </c>
      <c r="X546">
        <f>Table13[[#This Row],[Performance_%]]*Table13[[#This Row],[Quality_%]]*[2]Availability_KPI!K546</f>
        <v>0.49006000000000005</v>
      </c>
      <c r="Y546" t="str">
        <f>IF(OR(Table13[[#This Row],[OEE_%]]&gt;1,Table13[[#This Row],[OEE_%]]&lt;0),"Error","OK")</f>
        <v>OK</v>
      </c>
    </row>
    <row r="547" spans="1:25" x14ac:dyDescent="0.2">
      <c r="A547" t="s">
        <v>665</v>
      </c>
      <c r="B547" t="s">
        <v>664</v>
      </c>
      <c r="C547" s="2">
        <v>46267</v>
      </c>
      <c r="D547" t="s">
        <v>67</v>
      </c>
      <c r="E547" t="s">
        <v>32</v>
      </c>
      <c r="F547" t="s">
        <v>97</v>
      </c>
      <c r="G547" t="s">
        <v>36</v>
      </c>
      <c r="H547">
        <v>684</v>
      </c>
      <c r="I547">
        <v>678</v>
      </c>
      <c r="J547">
        <v>6</v>
      </c>
      <c r="K547">
        <v>21.4</v>
      </c>
      <c r="L547">
        <v>23.24</v>
      </c>
      <c r="M547">
        <v>264.95</v>
      </c>
      <c r="N547">
        <f>_xlfn.XLOOKUP(Table13[[#This Row],[Production_Order_ID]],[1]Sheet1!$A$2:$A$391,[1]Sheet1!$F$2:$F$391,"No Match")</f>
        <v>500</v>
      </c>
      <c r="O547" s="3">
        <f>Table13[[#This Row],[Good_Qty]]/Table13[[#This Row],[Planned_Production]]</f>
        <v>1.3560000000000001</v>
      </c>
      <c r="P547" t="str">
        <f>IF(Table13[[#This Row],[Good_Qty]]&gt;=Table13[[#This Row],[Planned_Production]],"Met","Not Met")</f>
        <v>Met</v>
      </c>
      <c r="Q547">
        <f>Table13[[#This Row],[Good_Qty]]-Table13[[#This Row],[Planned_Production]]</f>
        <v>178</v>
      </c>
      <c r="R547" s="3">
        <f>IF(Table13[[#This Row],[Actual_Qty]]=0,0,Table13[[#This Row],[Reject_Qty]]/Table13[[#This Row],[Actual_Qty]])</f>
        <v>8.771929824561403E-3</v>
      </c>
      <c r="S547">
        <v>436.88</v>
      </c>
      <c r="T547">
        <f>(Table13[[#This Row],[Ideal_Cycle_Time_sec]]*Table13[[#This Row],[Actual_Qty]])/(Table13[[#This Row],[Operational_Time_min]]*60)</f>
        <v>0.55841420985167545</v>
      </c>
      <c r="U547">
        <f>Table13[[#This Row],[Good_Qty]]/Table13[[#This Row],[Actual_Qty]]</f>
        <v>0.99122807017543857</v>
      </c>
      <c r="V547" t="str">
        <f>IF(OR(Table13[[#This Row],[Performance_%]]&gt;=1,Table13[[#This Row],[Performance_%]]&lt;=0),"Error","OK")</f>
        <v>OK</v>
      </c>
      <c r="W547" t="str">
        <f>IF(OR(Table13[[#This Row],[Quality_%]]&gt;=1,Table13[[#This Row],[Quality_%]]&lt;=0),"Error","OK")</f>
        <v>OK</v>
      </c>
      <c r="X547">
        <f>Table13[[#This Row],[Performance_%]]*Table13[[#This Row],[Quality_%]]*[2]Availability_KPI!K547</f>
        <v>0.53737777777777773</v>
      </c>
      <c r="Y547" t="str">
        <f>IF(OR(Table13[[#This Row],[OEE_%]]&gt;1,Table13[[#This Row],[OEE_%]]&lt;0),"Error","OK")</f>
        <v>OK</v>
      </c>
    </row>
    <row r="548" spans="1:25" x14ac:dyDescent="0.2">
      <c r="A548" t="s">
        <v>666</v>
      </c>
      <c r="B548" t="s">
        <v>664</v>
      </c>
      <c r="C548" s="2">
        <v>46267</v>
      </c>
      <c r="D548" t="s">
        <v>67</v>
      </c>
      <c r="E548" t="s">
        <v>35</v>
      </c>
      <c r="F548" t="s">
        <v>97</v>
      </c>
      <c r="G548" t="s">
        <v>71</v>
      </c>
      <c r="H548">
        <v>691</v>
      </c>
      <c r="I548">
        <v>683</v>
      </c>
      <c r="J548">
        <v>8</v>
      </c>
      <c r="K548">
        <v>23.54</v>
      </c>
      <c r="L548">
        <v>24.58</v>
      </c>
      <c r="M548">
        <v>283.04000000000002</v>
      </c>
      <c r="N548">
        <f>_xlfn.XLOOKUP(Table13[[#This Row],[Production_Order_ID]],[1]Sheet1!$A$2:$A$391,[1]Sheet1!$F$2:$F$391,"No Match")</f>
        <v>500</v>
      </c>
      <c r="O548" s="3">
        <f>Table13[[#This Row],[Good_Qty]]/Table13[[#This Row],[Planned_Production]]</f>
        <v>1.3660000000000001</v>
      </c>
      <c r="P548" t="str">
        <f>IF(Table13[[#This Row],[Good_Qty]]&gt;=Table13[[#This Row],[Planned_Production]],"Met","Not Met")</f>
        <v>Met</v>
      </c>
      <c r="Q548">
        <f>Table13[[#This Row],[Good_Qty]]-Table13[[#This Row],[Planned_Production]]</f>
        <v>183</v>
      </c>
      <c r="R548" s="3">
        <f>IF(Table13[[#This Row],[Actual_Qty]]=0,0,Table13[[#This Row],[Reject_Qty]]/Table13[[#This Row],[Actual_Qty]])</f>
        <v>1.1577424023154847E-2</v>
      </c>
      <c r="S548">
        <v>427.69</v>
      </c>
      <c r="T548">
        <f>(Table13[[#This Row],[Ideal_Cycle_Time_sec]]*Table13[[#This Row],[Actual_Qty]])/(Table13[[#This Row],[Operational_Time_min]]*60)</f>
        <v>0.63387578230338171</v>
      </c>
      <c r="U548">
        <f>Table13[[#This Row],[Good_Qty]]/Table13[[#This Row],[Actual_Qty]]</f>
        <v>0.98842257597684513</v>
      </c>
      <c r="V548" t="str">
        <f>IF(OR(Table13[[#This Row],[Performance_%]]&gt;=1,Table13[[#This Row],[Performance_%]]&lt;=0),"Error","OK")</f>
        <v>OK</v>
      </c>
      <c r="W548" t="str">
        <f>IF(OR(Table13[[#This Row],[Quality_%]]&gt;=1,Table13[[#This Row],[Quality_%]]&lt;=0),"Error","OK")</f>
        <v>OK</v>
      </c>
      <c r="X548">
        <f>Table13[[#This Row],[Performance_%]]*Table13[[#This Row],[Quality_%]]*[2]Availability_KPI!K548</f>
        <v>0.59547481481481479</v>
      </c>
      <c r="Y548" t="str">
        <f>IF(OR(Table13[[#This Row],[OEE_%]]&gt;1,Table13[[#This Row],[OEE_%]]&lt;0),"Error","OK")</f>
        <v>OK</v>
      </c>
    </row>
    <row r="549" spans="1:25" x14ac:dyDescent="0.2">
      <c r="A549" t="s">
        <v>667</v>
      </c>
      <c r="B549" t="s">
        <v>664</v>
      </c>
      <c r="C549" s="2">
        <v>46267</v>
      </c>
      <c r="D549" t="s">
        <v>67</v>
      </c>
      <c r="E549" t="s">
        <v>38</v>
      </c>
      <c r="F549" t="s">
        <v>97</v>
      </c>
      <c r="G549" t="s">
        <v>71</v>
      </c>
      <c r="H549">
        <v>682</v>
      </c>
      <c r="I549">
        <v>678</v>
      </c>
      <c r="J549">
        <v>4</v>
      </c>
      <c r="K549">
        <v>21.4</v>
      </c>
      <c r="L549">
        <v>21.93</v>
      </c>
      <c r="M549">
        <v>249.29</v>
      </c>
      <c r="N549">
        <f>_xlfn.XLOOKUP(Table13[[#This Row],[Production_Order_ID]],[1]Sheet1!$A$2:$A$391,[1]Sheet1!$F$2:$F$391,"No Match")</f>
        <v>500</v>
      </c>
      <c r="O549" s="3">
        <f>Table13[[#This Row],[Good_Qty]]/Table13[[#This Row],[Planned_Production]]</f>
        <v>1.3560000000000001</v>
      </c>
      <c r="P549" t="str">
        <f>IF(Table13[[#This Row],[Good_Qty]]&gt;=Table13[[#This Row],[Planned_Production]],"Met","Not Met")</f>
        <v>Met</v>
      </c>
      <c r="Q549">
        <f>Table13[[#This Row],[Good_Qty]]-Table13[[#This Row],[Planned_Production]]</f>
        <v>178</v>
      </c>
      <c r="R549" s="3">
        <f>IF(Table13[[#This Row],[Actual_Qty]]=0,0,Table13[[#This Row],[Reject_Qty]]/Table13[[#This Row],[Actual_Qty]])</f>
        <v>5.8651026392961877E-3</v>
      </c>
      <c r="S549">
        <v>436.67</v>
      </c>
      <c r="T549">
        <f>(Table13[[#This Row],[Ideal_Cycle_Time_sec]]*Table13[[#This Row],[Actual_Qty]])/(Table13[[#This Row],[Operational_Time_min]]*60)</f>
        <v>0.5570491828306654</v>
      </c>
      <c r="U549">
        <f>Table13[[#This Row],[Good_Qty]]/Table13[[#This Row],[Actual_Qty]]</f>
        <v>0.99413489736070382</v>
      </c>
      <c r="V549" t="str">
        <f>IF(OR(Table13[[#This Row],[Performance_%]]&gt;=1,Table13[[#This Row],[Performance_%]]&lt;=0),"Error","OK")</f>
        <v>OK</v>
      </c>
      <c r="W549" t="str">
        <f>IF(OR(Table13[[#This Row],[Quality_%]]&gt;=1,Table13[[#This Row],[Quality_%]]&lt;=0),"Error","OK")</f>
        <v>OK</v>
      </c>
      <c r="X549">
        <f>Table13[[#This Row],[Performance_%]]*Table13[[#This Row],[Quality_%]]*[2]Availability_KPI!K549</f>
        <v>0.53737777777777784</v>
      </c>
      <c r="Y549" t="str">
        <f>IF(OR(Table13[[#This Row],[OEE_%]]&gt;1,Table13[[#This Row],[OEE_%]]&lt;0),"Error","OK")</f>
        <v>OK</v>
      </c>
    </row>
    <row r="550" spans="1:25" x14ac:dyDescent="0.2">
      <c r="A550" t="s">
        <v>668</v>
      </c>
      <c r="B550" t="s">
        <v>664</v>
      </c>
      <c r="C550" s="2">
        <v>46267</v>
      </c>
      <c r="D550" t="s">
        <v>67</v>
      </c>
      <c r="E550" t="s">
        <v>41</v>
      </c>
      <c r="F550" t="s">
        <v>97</v>
      </c>
      <c r="G550" t="s">
        <v>36</v>
      </c>
      <c r="H550">
        <v>702</v>
      </c>
      <c r="I550">
        <v>697</v>
      </c>
      <c r="J550">
        <v>5</v>
      </c>
      <c r="K550">
        <v>19.260000000000002</v>
      </c>
      <c r="L550">
        <v>20.14</v>
      </c>
      <c r="M550">
        <v>235.63</v>
      </c>
      <c r="N550">
        <f>_xlfn.XLOOKUP(Table13[[#This Row],[Production_Order_ID]],[1]Sheet1!$A$2:$A$391,[1]Sheet1!$F$2:$F$391,"No Match")</f>
        <v>500</v>
      </c>
      <c r="O550" s="3">
        <f>Table13[[#This Row],[Good_Qty]]/Table13[[#This Row],[Planned_Production]]</f>
        <v>1.3939999999999999</v>
      </c>
      <c r="P550" t="str">
        <f>IF(Table13[[#This Row],[Good_Qty]]&gt;=Table13[[#This Row],[Planned_Production]],"Met","Not Met")</f>
        <v>Met</v>
      </c>
      <c r="Q550">
        <f>Table13[[#This Row],[Good_Qty]]-Table13[[#This Row],[Planned_Production]]</f>
        <v>197</v>
      </c>
      <c r="R550" s="3">
        <f>IF(Table13[[#This Row],[Actual_Qty]]=0,0,Table13[[#This Row],[Reject_Qty]]/Table13[[#This Row],[Actual_Qty]])</f>
        <v>7.1225071225071226E-3</v>
      </c>
      <c r="S550">
        <v>433.27</v>
      </c>
      <c r="T550">
        <f>(Table13[[#This Row],[Ideal_Cycle_Time_sec]]*Table13[[#This Row],[Actual_Qty]])/(Table13[[#This Row],[Operational_Time_min]]*60)</f>
        <v>0.52009601403282024</v>
      </c>
      <c r="U550">
        <f>Table13[[#This Row],[Good_Qty]]/Table13[[#This Row],[Actual_Qty]]</f>
        <v>0.99287749287749283</v>
      </c>
      <c r="V550" t="str">
        <f>IF(OR(Table13[[#This Row],[Performance_%]]&gt;=1,Table13[[#This Row],[Performance_%]]&lt;=0),"Error","OK")</f>
        <v>OK</v>
      </c>
      <c r="W550" t="str">
        <f>IF(OR(Table13[[#This Row],[Quality_%]]&gt;=1,Table13[[#This Row],[Quality_%]]&lt;=0),"Error","OK")</f>
        <v>OK</v>
      </c>
      <c r="X550">
        <f>Table13[[#This Row],[Performance_%]]*Table13[[#This Row],[Quality_%]]*[2]Availability_KPI!K550</f>
        <v>0.49719333333333332</v>
      </c>
      <c r="Y550" t="str">
        <f>IF(OR(Table13[[#This Row],[OEE_%]]&gt;1,Table13[[#This Row],[OEE_%]]&lt;0),"Error","OK")</f>
        <v>OK</v>
      </c>
    </row>
    <row r="551" spans="1:25" x14ac:dyDescent="0.2">
      <c r="A551" t="s">
        <v>669</v>
      </c>
      <c r="B551" t="s">
        <v>664</v>
      </c>
      <c r="C551" s="2">
        <v>46267</v>
      </c>
      <c r="D551" t="s">
        <v>67</v>
      </c>
      <c r="E551" t="s">
        <v>43</v>
      </c>
      <c r="F551" t="s">
        <v>97</v>
      </c>
      <c r="G551" t="s">
        <v>47</v>
      </c>
      <c r="H551">
        <v>692</v>
      </c>
      <c r="I551">
        <v>682</v>
      </c>
      <c r="J551">
        <v>10</v>
      </c>
      <c r="K551">
        <v>34.24</v>
      </c>
      <c r="L551">
        <v>36.520000000000003</v>
      </c>
      <c r="M551">
        <v>421.16</v>
      </c>
      <c r="N551">
        <f>_xlfn.XLOOKUP(Table13[[#This Row],[Production_Order_ID]],[1]Sheet1!$A$2:$A$391,[1]Sheet1!$F$2:$F$391,"No Match")</f>
        <v>500</v>
      </c>
      <c r="O551" s="3">
        <f>Table13[[#This Row],[Good_Qty]]/Table13[[#This Row],[Planned_Production]]</f>
        <v>1.3640000000000001</v>
      </c>
      <c r="P551" t="str">
        <f>IF(Table13[[#This Row],[Good_Qty]]&gt;=Table13[[#This Row],[Planned_Production]],"Met","Not Met")</f>
        <v>Met</v>
      </c>
      <c r="Q551">
        <f>Table13[[#This Row],[Good_Qty]]-Table13[[#This Row],[Planned_Production]]</f>
        <v>182</v>
      </c>
      <c r="R551" s="3">
        <f>IF(Table13[[#This Row],[Actual_Qty]]=0,0,Table13[[#This Row],[Reject_Qty]]/Table13[[#This Row],[Actual_Qty]])</f>
        <v>1.4450867052023121E-2</v>
      </c>
      <c r="S551">
        <v>414.21</v>
      </c>
      <c r="T551">
        <f>(Table13[[#This Row],[Ideal_Cycle_Time_sec]]*Table13[[#This Row],[Actual_Qty]])/(Table13[[#This Row],[Operational_Time_min]]*60)</f>
        <v>0.95338435415208078</v>
      </c>
      <c r="U551">
        <f>Table13[[#This Row],[Good_Qty]]/Table13[[#This Row],[Actual_Qty]]</f>
        <v>0.98554913294797686</v>
      </c>
      <c r="V551" t="str">
        <f>IF(OR(Table13[[#This Row],[Performance_%]]&gt;=1,Table13[[#This Row],[Performance_%]]&lt;=0),"Error","OK")</f>
        <v>OK</v>
      </c>
      <c r="W551" t="str">
        <f>IF(OR(Table13[[#This Row],[Quality_%]]&gt;=1,Table13[[#This Row],[Quality_%]]&lt;=0),"Error","OK")</f>
        <v>OK</v>
      </c>
      <c r="X551">
        <f>Table13[[#This Row],[Performance_%]]*Table13[[#This Row],[Quality_%]]*[2]Availability_KPI!K551</f>
        <v>0.86487703703703711</v>
      </c>
      <c r="Y551" t="str">
        <f>IF(OR(Table13[[#This Row],[OEE_%]]&gt;1,Table13[[#This Row],[OEE_%]]&lt;0),"Error","OK")</f>
        <v>OK</v>
      </c>
    </row>
    <row r="552" spans="1:25" x14ac:dyDescent="0.2">
      <c r="A552" t="s">
        <v>670</v>
      </c>
      <c r="B552" t="s">
        <v>664</v>
      </c>
      <c r="C552" s="2">
        <v>46267</v>
      </c>
      <c r="D552" t="s">
        <v>67</v>
      </c>
      <c r="E552" t="s">
        <v>46</v>
      </c>
      <c r="F552" t="s">
        <v>97</v>
      </c>
      <c r="G552" t="s">
        <v>36</v>
      </c>
      <c r="H552">
        <v>686</v>
      </c>
      <c r="I552">
        <v>679</v>
      </c>
      <c r="J552">
        <v>7</v>
      </c>
      <c r="K552">
        <v>26.75</v>
      </c>
      <c r="L552">
        <v>28.62</v>
      </c>
      <c r="M552">
        <v>327.19</v>
      </c>
      <c r="N552">
        <f>_xlfn.XLOOKUP(Table13[[#This Row],[Production_Order_ID]],[1]Sheet1!$A$2:$A$391,[1]Sheet1!$F$2:$F$391,"No Match")</f>
        <v>500</v>
      </c>
      <c r="O552" s="3">
        <f>Table13[[#This Row],[Good_Qty]]/Table13[[#This Row],[Planned_Production]]</f>
        <v>1.3580000000000001</v>
      </c>
      <c r="P552" t="str">
        <f>IF(Table13[[#This Row],[Good_Qty]]&gt;=Table13[[#This Row],[Planned_Production]],"Met","Not Met")</f>
        <v>Met</v>
      </c>
      <c r="Q552">
        <f>Table13[[#This Row],[Good_Qty]]-Table13[[#This Row],[Planned_Production]]</f>
        <v>179</v>
      </c>
      <c r="R552" s="3">
        <f>IF(Table13[[#This Row],[Actual_Qty]]=0,0,Table13[[#This Row],[Reject_Qty]]/Table13[[#This Row],[Actual_Qty]])</f>
        <v>1.020408163265306E-2</v>
      </c>
      <c r="S552">
        <v>421.67</v>
      </c>
      <c r="T552">
        <f>(Table13[[#This Row],[Ideal_Cycle_Time_sec]]*Table13[[#This Row],[Actual_Qty]])/(Table13[[#This Row],[Operational_Time_min]]*60)</f>
        <v>0.72531047185397746</v>
      </c>
      <c r="U552">
        <f>Table13[[#This Row],[Good_Qty]]/Table13[[#This Row],[Actual_Qty]]</f>
        <v>0.98979591836734693</v>
      </c>
      <c r="V552" t="str">
        <f>IF(OR(Table13[[#This Row],[Performance_%]]&gt;=1,Table13[[#This Row],[Performance_%]]&lt;=0),"Error","OK")</f>
        <v>OK</v>
      </c>
      <c r="W552" t="str">
        <f>IF(OR(Table13[[#This Row],[Quality_%]]&gt;=1,Table13[[#This Row],[Quality_%]]&lt;=0),"Error","OK")</f>
        <v>OK</v>
      </c>
      <c r="X552">
        <f>Table13[[#This Row],[Performance_%]]*Table13[[#This Row],[Quality_%]]*[2]Availability_KPI!K552</f>
        <v>0.6727129629629629</v>
      </c>
      <c r="Y552" t="str">
        <f>IF(OR(Table13[[#This Row],[OEE_%]]&gt;1,Table13[[#This Row],[OEE_%]]&lt;0),"Error","OK")</f>
        <v>OK</v>
      </c>
    </row>
    <row r="553" spans="1:25" x14ac:dyDescent="0.2">
      <c r="A553" t="s">
        <v>671</v>
      </c>
      <c r="B553" t="s">
        <v>664</v>
      </c>
      <c r="C553" s="2">
        <v>46267</v>
      </c>
      <c r="D553" t="s">
        <v>67</v>
      </c>
      <c r="E553" t="s">
        <v>49</v>
      </c>
      <c r="F553" t="s">
        <v>97</v>
      </c>
      <c r="G553" t="s">
        <v>71</v>
      </c>
      <c r="H553">
        <v>701</v>
      </c>
      <c r="I553">
        <v>697</v>
      </c>
      <c r="J553">
        <v>4</v>
      </c>
      <c r="K553">
        <v>21.4</v>
      </c>
      <c r="L553">
        <v>22.05</v>
      </c>
      <c r="M553">
        <v>257.61</v>
      </c>
      <c r="N553">
        <f>_xlfn.XLOOKUP(Table13[[#This Row],[Production_Order_ID]],[1]Sheet1!$A$2:$A$391,[1]Sheet1!$F$2:$F$391,"No Match")</f>
        <v>500</v>
      </c>
      <c r="O553" s="3">
        <f>Table13[[#This Row],[Good_Qty]]/Table13[[#This Row],[Planned_Production]]</f>
        <v>1.3939999999999999</v>
      </c>
      <c r="P553" t="str">
        <f>IF(Table13[[#This Row],[Good_Qty]]&gt;=Table13[[#This Row],[Planned_Production]],"Met","Not Met")</f>
        <v>Met</v>
      </c>
      <c r="Q553">
        <f>Table13[[#This Row],[Good_Qty]]-Table13[[#This Row],[Planned_Production]]</f>
        <v>197</v>
      </c>
      <c r="R553" s="3">
        <f>IF(Table13[[#This Row],[Actual_Qty]]=0,0,Table13[[#This Row],[Reject_Qty]]/Table13[[#This Row],[Actual_Qty]])</f>
        <v>5.7061340941512127E-3</v>
      </c>
      <c r="S553">
        <v>439.96</v>
      </c>
      <c r="T553">
        <f>(Table13[[#This Row],[Ideal_Cycle_Time_sec]]*Table13[[#This Row],[Actual_Qty]])/(Table13[[#This Row],[Operational_Time_min]]*60)</f>
        <v>0.56828651089492987</v>
      </c>
      <c r="U553">
        <f>Table13[[#This Row],[Good_Qty]]/Table13[[#This Row],[Actual_Qty]]</f>
        <v>0.99429386590584878</v>
      </c>
      <c r="V553" t="str">
        <f>IF(OR(Table13[[#This Row],[Performance_%]]&gt;=1,Table13[[#This Row],[Performance_%]]&lt;=0),"Error","OK")</f>
        <v>OK</v>
      </c>
      <c r="W553" t="str">
        <f>IF(OR(Table13[[#This Row],[Quality_%]]&gt;=1,Table13[[#This Row],[Quality_%]]&lt;=0),"Error","OK")</f>
        <v>OK</v>
      </c>
      <c r="X553">
        <f>Table13[[#This Row],[Performance_%]]*Table13[[#This Row],[Quality_%]]*[2]Availability_KPI!K553</f>
        <v>0.55243703703703706</v>
      </c>
      <c r="Y553" t="str">
        <f>IF(OR(Table13[[#This Row],[OEE_%]]&gt;1,Table13[[#This Row],[OEE_%]]&lt;0),"Error","OK")</f>
        <v>OK</v>
      </c>
    </row>
    <row r="554" spans="1:25" x14ac:dyDescent="0.2">
      <c r="A554" t="s">
        <v>672</v>
      </c>
      <c r="B554" t="s">
        <v>673</v>
      </c>
      <c r="C554" s="2">
        <v>46268</v>
      </c>
      <c r="D554" t="s">
        <v>27</v>
      </c>
      <c r="E554" t="s">
        <v>28</v>
      </c>
      <c r="F554" t="s">
        <v>29</v>
      </c>
      <c r="G554" t="s">
        <v>47</v>
      </c>
      <c r="H554">
        <v>628</v>
      </c>
      <c r="I554">
        <v>624</v>
      </c>
      <c r="J554">
        <v>4</v>
      </c>
      <c r="K554">
        <v>19.8</v>
      </c>
      <c r="L554">
        <v>20.190000000000001</v>
      </c>
      <c r="M554">
        <v>211.28</v>
      </c>
      <c r="N554">
        <f>_xlfn.XLOOKUP(Table13[[#This Row],[Production_Order_ID]],[1]Sheet1!$A$2:$A$391,[1]Sheet1!$F$2:$F$391,"No Match")</f>
        <v>550</v>
      </c>
      <c r="O554" s="3">
        <f>Table13[[#This Row],[Good_Qty]]/Table13[[#This Row],[Planned_Production]]</f>
        <v>1.1345454545454545</v>
      </c>
      <c r="P554" t="str">
        <f>IF(Table13[[#This Row],[Good_Qty]]&gt;=Table13[[#This Row],[Planned_Production]],"Met","Not Met")</f>
        <v>Met</v>
      </c>
      <c r="Q554">
        <f>Table13[[#This Row],[Good_Qty]]-Table13[[#This Row],[Planned_Production]]</f>
        <v>74</v>
      </c>
      <c r="R554" s="3">
        <f>IF(Table13[[#This Row],[Actual_Qty]]=0,0,Table13[[#This Row],[Reject_Qty]]/Table13[[#This Row],[Actual_Qty]])</f>
        <v>6.369426751592357E-3</v>
      </c>
      <c r="S554">
        <v>439.18</v>
      </c>
      <c r="T554">
        <f>(Table13[[#This Row],[Ideal_Cycle_Time_sec]]*Table13[[#This Row],[Actual_Qty]])/(Table13[[#This Row],[Operational_Time_min]]*60)</f>
        <v>0.47187941163076641</v>
      </c>
      <c r="U554">
        <f>Table13[[#This Row],[Good_Qty]]/Table13[[#This Row],[Actual_Qty]]</f>
        <v>0.99363057324840764</v>
      </c>
      <c r="V554" t="str">
        <f>IF(OR(Table13[[#This Row],[Performance_%]]&gt;=1,Table13[[#This Row],[Performance_%]]&lt;=0),"Error","OK")</f>
        <v>OK</v>
      </c>
      <c r="W554" t="str">
        <f>IF(OR(Table13[[#This Row],[Quality_%]]&gt;=1,Table13[[#This Row],[Quality_%]]&lt;=0),"Error","OK")</f>
        <v>OK</v>
      </c>
      <c r="X554">
        <f>Table13[[#This Row],[Performance_%]]*Table13[[#This Row],[Quality_%]]*[2]Availability_KPI!K554</f>
        <v>0.45759999999999995</v>
      </c>
      <c r="Y554" t="str">
        <f>IF(OR(Table13[[#This Row],[OEE_%]]&gt;1,Table13[[#This Row],[OEE_%]]&lt;0),"Error","OK")</f>
        <v>OK</v>
      </c>
    </row>
    <row r="555" spans="1:25" x14ac:dyDescent="0.2">
      <c r="A555" t="s">
        <v>674</v>
      </c>
      <c r="B555" t="s">
        <v>673</v>
      </c>
      <c r="C555" s="2">
        <v>46268</v>
      </c>
      <c r="D555" t="s">
        <v>27</v>
      </c>
      <c r="E555" t="s">
        <v>32</v>
      </c>
      <c r="F555" t="s">
        <v>29</v>
      </c>
      <c r="G555" t="s">
        <v>50</v>
      </c>
      <c r="H555">
        <v>628</v>
      </c>
      <c r="I555">
        <v>622</v>
      </c>
      <c r="J555">
        <v>6</v>
      </c>
      <c r="K555">
        <v>22</v>
      </c>
      <c r="L555">
        <v>23.12</v>
      </c>
      <c r="M555">
        <v>241.97</v>
      </c>
      <c r="N555">
        <f>_xlfn.XLOOKUP(Table13[[#This Row],[Production_Order_ID]],[1]Sheet1!$A$2:$A$391,[1]Sheet1!$F$2:$F$391,"No Match")</f>
        <v>550</v>
      </c>
      <c r="O555" s="3">
        <f>Table13[[#This Row],[Good_Qty]]/Table13[[#This Row],[Planned_Production]]</f>
        <v>1.1309090909090909</v>
      </c>
      <c r="P555" t="str">
        <f>IF(Table13[[#This Row],[Good_Qty]]&gt;=Table13[[#This Row],[Planned_Production]],"Met","Not Met")</f>
        <v>Met</v>
      </c>
      <c r="Q555">
        <f>Table13[[#This Row],[Good_Qty]]-Table13[[#This Row],[Planned_Production]]</f>
        <v>72</v>
      </c>
      <c r="R555" s="3">
        <f>IF(Table13[[#This Row],[Actual_Qty]]=0,0,Table13[[#This Row],[Reject_Qty]]/Table13[[#This Row],[Actual_Qty]])</f>
        <v>9.5541401273885346E-3</v>
      </c>
      <c r="S555">
        <v>439.53</v>
      </c>
      <c r="T555">
        <f>(Table13[[#This Row],[Ideal_Cycle_Time_sec]]*Table13[[#This Row],[Actual_Qty]])/(Table13[[#This Row],[Operational_Time_min]]*60)</f>
        <v>0.52389294625319471</v>
      </c>
      <c r="U555">
        <f>Table13[[#This Row],[Good_Qty]]/Table13[[#This Row],[Actual_Qty]]</f>
        <v>0.99044585987261147</v>
      </c>
      <c r="V555" t="str">
        <f>IF(OR(Table13[[#This Row],[Performance_%]]&gt;=1,Table13[[#This Row],[Performance_%]]&lt;=0),"Error","OK")</f>
        <v>OK</v>
      </c>
      <c r="W555" t="str">
        <f>IF(OR(Table13[[#This Row],[Quality_%]]&gt;=1,Table13[[#This Row],[Quality_%]]&lt;=0),"Error","OK")</f>
        <v>OK</v>
      </c>
      <c r="X555">
        <f>Table13[[#This Row],[Performance_%]]*Table13[[#This Row],[Quality_%]]*[2]Availability_KPI!K555</f>
        <v>0.50681481481481483</v>
      </c>
      <c r="Y555" t="str">
        <f>IF(OR(Table13[[#This Row],[OEE_%]]&gt;1,Table13[[#This Row],[OEE_%]]&lt;0),"Error","OK")</f>
        <v>OK</v>
      </c>
    </row>
    <row r="556" spans="1:25" x14ac:dyDescent="0.2">
      <c r="A556" t="s">
        <v>675</v>
      </c>
      <c r="B556" t="s">
        <v>673</v>
      </c>
      <c r="C556" s="2">
        <v>46268</v>
      </c>
      <c r="D556" t="s">
        <v>27</v>
      </c>
      <c r="E556" t="s">
        <v>35</v>
      </c>
      <c r="F556" t="s">
        <v>29</v>
      </c>
      <c r="G556" t="s">
        <v>47</v>
      </c>
      <c r="H556">
        <v>608</v>
      </c>
      <c r="I556">
        <v>607</v>
      </c>
      <c r="J556">
        <v>1</v>
      </c>
      <c r="K556">
        <v>24.2</v>
      </c>
      <c r="L556">
        <v>26.9</v>
      </c>
      <c r="M556">
        <v>272.58999999999997</v>
      </c>
      <c r="N556">
        <f>_xlfn.XLOOKUP(Table13[[#This Row],[Production_Order_ID]],[1]Sheet1!$A$2:$A$391,[1]Sheet1!$F$2:$F$391,"No Match")</f>
        <v>550</v>
      </c>
      <c r="O556" s="3">
        <f>Table13[[#This Row],[Good_Qty]]/Table13[[#This Row],[Planned_Production]]</f>
        <v>1.1036363636363635</v>
      </c>
      <c r="P556" t="str">
        <f>IF(Table13[[#This Row],[Good_Qty]]&gt;=Table13[[#This Row],[Planned_Production]],"Met","Not Met")</f>
        <v>Met</v>
      </c>
      <c r="Q556">
        <f>Table13[[#This Row],[Good_Qty]]-Table13[[#This Row],[Planned_Production]]</f>
        <v>57</v>
      </c>
      <c r="R556" s="3">
        <f>IF(Table13[[#This Row],[Actual_Qty]]=0,0,Table13[[#This Row],[Reject_Qty]]/Table13[[#This Row],[Actual_Qty]])</f>
        <v>1.6447368421052631E-3</v>
      </c>
      <c r="S556">
        <v>429.83</v>
      </c>
      <c r="T556">
        <f>(Table13[[#This Row],[Ideal_Cycle_Time_sec]]*Table13[[#This Row],[Actual_Qty]])/(Table13[[#This Row],[Operational_Time_min]]*60)</f>
        <v>0.57052012811266473</v>
      </c>
      <c r="U556">
        <f>Table13[[#This Row],[Good_Qty]]/Table13[[#This Row],[Actual_Qty]]</f>
        <v>0.99835526315789469</v>
      </c>
      <c r="V556" t="str">
        <f>IF(OR(Table13[[#This Row],[Performance_%]]&gt;=1,Table13[[#This Row],[Performance_%]]&lt;=0),"Error","OK")</f>
        <v>OK</v>
      </c>
      <c r="W556" t="str">
        <f>IF(OR(Table13[[#This Row],[Quality_%]]&gt;=1,Table13[[#This Row],[Quality_%]]&lt;=0),"Error","OK")</f>
        <v>OK</v>
      </c>
      <c r="X556">
        <f>Table13[[#This Row],[Performance_%]]*Table13[[#This Row],[Quality_%]]*[2]Availability_KPI!K556</f>
        <v>0.5440518518518519</v>
      </c>
      <c r="Y556" t="str">
        <f>IF(OR(Table13[[#This Row],[OEE_%]]&gt;1,Table13[[#This Row],[OEE_%]]&lt;0),"Error","OK")</f>
        <v>OK</v>
      </c>
    </row>
    <row r="557" spans="1:25" x14ac:dyDescent="0.2">
      <c r="A557" t="s">
        <v>676</v>
      </c>
      <c r="B557" t="s">
        <v>673</v>
      </c>
      <c r="C557" s="2">
        <v>46268</v>
      </c>
      <c r="D557" t="s">
        <v>27</v>
      </c>
      <c r="E557" t="s">
        <v>38</v>
      </c>
      <c r="F557" t="s">
        <v>29</v>
      </c>
      <c r="G557" t="s">
        <v>47</v>
      </c>
      <c r="H557">
        <v>639</v>
      </c>
      <c r="I557">
        <v>635</v>
      </c>
      <c r="J557">
        <v>4</v>
      </c>
      <c r="K557">
        <v>22</v>
      </c>
      <c r="L557">
        <v>23.01</v>
      </c>
      <c r="M557">
        <v>245.07</v>
      </c>
      <c r="N557">
        <f>_xlfn.XLOOKUP(Table13[[#This Row],[Production_Order_ID]],[1]Sheet1!$A$2:$A$391,[1]Sheet1!$F$2:$F$391,"No Match")</f>
        <v>550</v>
      </c>
      <c r="O557" s="3">
        <f>Table13[[#This Row],[Good_Qty]]/Table13[[#This Row],[Planned_Production]]</f>
        <v>1.1545454545454545</v>
      </c>
      <c r="P557" t="str">
        <f>IF(Table13[[#This Row],[Good_Qty]]&gt;=Table13[[#This Row],[Planned_Production]],"Met","Not Met")</f>
        <v>Met</v>
      </c>
      <c r="Q557">
        <f>Table13[[#This Row],[Good_Qty]]-Table13[[#This Row],[Planned_Production]]</f>
        <v>85</v>
      </c>
      <c r="R557" s="3">
        <f>IF(Table13[[#This Row],[Actual_Qty]]=0,0,Table13[[#This Row],[Reject_Qty]]/Table13[[#This Row],[Actual_Qty]])</f>
        <v>6.2597809076682318E-3</v>
      </c>
      <c r="S557">
        <v>437.51</v>
      </c>
      <c r="T557">
        <f>(Table13[[#This Row],[Ideal_Cycle_Time_sec]]*Table13[[#This Row],[Actual_Qty]])/(Table13[[#This Row],[Operational_Time_min]]*60)</f>
        <v>0.53553061644305278</v>
      </c>
      <c r="U557">
        <f>Table13[[#This Row],[Good_Qty]]/Table13[[#This Row],[Actual_Qty]]</f>
        <v>0.99374021909233179</v>
      </c>
      <c r="V557" t="str">
        <f>IF(OR(Table13[[#This Row],[Performance_%]]&gt;=1,Table13[[#This Row],[Performance_%]]&lt;=0),"Error","OK")</f>
        <v>OK</v>
      </c>
      <c r="W557" t="str">
        <f>IF(OR(Table13[[#This Row],[Quality_%]]&gt;=1,Table13[[#This Row],[Quality_%]]&lt;=0),"Error","OK")</f>
        <v>OK</v>
      </c>
      <c r="X557">
        <f>Table13[[#This Row],[Performance_%]]*Table13[[#This Row],[Quality_%]]*[2]Availability_KPI!K557</f>
        <v>0.51740740740740743</v>
      </c>
      <c r="Y557" t="str">
        <f>IF(OR(Table13[[#This Row],[OEE_%]]&gt;1,Table13[[#This Row],[OEE_%]]&lt;0),"Error","OK")</f>
        <v>OK</v>
      </c>
    </row>
    <row r="558" spans="1:25" x14ac:dyDescent="0.2">
      <c r="A558" t="s">
        <v>677</v>
      </c>
      <c r="B558" t="s">
        <v>673</v>
      </c>
      <c r="C558" s="2">
        <v>46268</v>
      </c>
      <c r="D558" t="s">
        <v>27</v>
      </c>
      <c r="E558" t="s">
        <v>41</v>
      </c>
      <c r="F558" t="s">
        <v>29</v>
      </c>
      <c r="G558" t="s">
        <v>47</v>
      </c>
      <c r="H558">
        <v>625</v>
      </c>
      <c r="I558">
        <v>621</v>
      </c>
      <c r="J558">
        <v>4</v>
      </c>
      <c r="K558">
        <v>19.8</v>
      </c>
      <c r="L558">
        <v>21.28</v>
      </c>
      <c r="M558">
        <v>221.71</v>
      </c>
      <c r="N558">
        <f>_xlfn.XLOOKUP(Table13[[#This Row],[Production_Order_ID]],[1]Sheet1!$A$2:$A$391,[1]Sheet1!$F$2:$F$391,"No Match")</f>
        <v>550</v>
      </c>
      <c r="O558" s="3">
        <f>Table13[[#This Row],[Good_Qty]]/Table13[[#This Row],[Planned_Production]]</f>
        <v>1.1290909090909091</v>
      </c>
      <c r="P558" t="str">
        <f>IF(Table13[[#This Row],[Good_Qty]]&gt;=Table13[[#This Row],[Planned_Production]],"Met","Not Met")</f>
        <v>Met</v>
      </c>
      <c r="Q558">
        <f>Table13[[#This Row],[Good_Qty]]-Table13[[#This Row],[Planned_Production]]</f>
        <v>71</v>
      </c>
      <c r="R558" s="3">
        <f>IF(Table13[[#This Row],[Actual_Qty]]=0,0,Table13[[#This Row],[Reject_Qty]]/Table13[[#This Row],[Actual_Qty]])</f>
        <v>6.4000000000000003E-3</v>
      </c>
      <c r="S558">
        <v>433.89</v>
      </c>
      <c r="T558">
        <f>(Table13[[#This Row],[Ideal_Cycle_Time_sec]]*Table13[[#This Row],[Actual_Qty]])/(Table13[[#This Row],[Operational_Time_min]]*60)</f>
        <v>0.47535089538823205</v>
      </c>
      <c r="U558">
        <f>Table13[[#This Row],[Good_Qty]]/Table13[[#This Row],[Actual_Qty]]</f>
        <v>0.99360000000000004</v>
      </c>
      <c r="V558" t="str">
        <f>IF(OR(Table13[[#This Row],[Performance_%]]&gt;=1,Table13[[#This Row],[Performance_%]]&lt;=0),"Error","OK")</f>
        <v>OK</v>
      </c>
      <c r="W558" t="str">
        <f>IF(OR(Table13[[#This Row],[Quality_%]]&gt;=1,Table13[[#This Row],[Quality_%]]&lt;=0),"Error","OK")</f>
        <v>OK</v>
      </c>
      <c r="X558">
        <f>Table13[[#This Row],[Performance_%]]*Table13[[#This Row],[Quality_%]]*[2]Availability_KPI!K558</f>
        <v>0.45540000000000003</v>
      </c>
      <c r="Y558" t="str">
        <f>IF(OR(Table13[[#This Row],[OEE_%]]&gt;1,Table13[[#This Row],[OEE_%]]&lt;0),"Error","OK")</f>
        <v>OK</v>
      </c>
    </row>
    <row r="559" spans="1:25" x14ac:dyDescent="0.2">
      <c r="A559" t="s">
        <v>678</v>
      </c>
      <c r="B559" t="s">
        <v>673</v>
      </c>
      <c r="C559" s="2">
        <v>46268</v>
      </c>
      <c r="D559" t="s">
        <v>27</v>
      </c>
      <c r="E559" t="s">
        <v>43</v>
      </c>
      <c r="F559" t="s">
        <v>29</v>
      </c>
      <c r="G559" t="s">
        <v>39</v>
      </c>
      <c r="H559">
        <v>631</v>
      </c>
      <c r="I559">
        <v>623</v>
      </c>
      <c r="J559">
        <v>8</v>
      </c>
      <c r="K559">
        <v>35.200000000000003</v>
      </c>
      <c r="L559">
        <v>36.950000000000003</v>
      </c>
      <c r="M559">
        <v>388.58</v>
      </c>
      <c r="N559">
        <f>_xlfn.XLOOKUP(Table13[[#This Row],[Production_Order_ID]],[1]Sheet1!$A$2:$A$391,[1]Sheet1!$F$2:$F$391,"No Match")</f>
        <v>550</v>
      </c>
      <c r="O559" s="3">
        <f>Table13[[#This Row],[Good_Qty]]/Table13[[#This Row],[Planned_Production]]</f>
        <v>1.1327272727272728</v>
      </c>
      <c r="P559" t="str">
        <f>IF(Table13[[#This Row],[Good_Qty]]&gt;=Table13[[#This Row],[Planned_Production]],"Met","Not Met")</f>
        <v>Met</v>
      </c>
      <c r="Q559">
        <f>Table13[[#This Row],[Good_Qty]]-Table13[[#This Row],[Planned_Production]]</f>
        <v>73</v>
      </c>
      <c r="R559" s="3">
        <f>IF(Table13[[#This Row],[Actual_Qty]]=0,0,Table13[[#This Row],[Reject_Qty]]/Table13[[#This Row],[Actual_Qty]])</f>
        <v>1.2678288431061807E-2</v>
      </c>
      <c r="S559">
        <v>411.57</v>
      </c>
      <c r="T559">
        <f>(Table13[[#This Row],[Ideal_Cycle_Time_sec]]*Table13[[#This Row],[Actual_Qty]])/(Table13[[#This Row],[Operational_Time_min]]*60)</f>
        <v>0.89945007329656357</v>
      </c>
      <c r="U559">
        <f>Table13[[#This Row],[Good_Qty]]/Table13[[#This Row],[Actual_Qty]]</f>
        <v>0.98732171156893822</v>
      </c>
      <c r="V559" t="str">
        <f>IF(OR(Table13[[#This Row],[Performance_%]]&gt;=1,Table13[[#This Row],[Performance_%]]&lt;=0),"Error","OK")</f>
        <v>OK</v>
      </c>
      <c r="W559" t="str">
        <f>IF(OR(Table13[[#This Row],[Quality_%]]&gt;=1,Table13[[#This Row],[Quality_%]]&lt;=0),"Error","OK")</f>
        <v>OK</v>
      </c>
      <c r="X559">
        <f>Table13[[#This Row],[Performance_%]]*Table13[[#This Row],[Quality_%]]*[2]Availability_KPI!K559</f>
        <v>0.81220740740740738</v>
      </c>
      <c r="Y559" t="str">
        <f>IF(OR(Table13[[#This Row],[OEE_%]]&gt;1,Table13[[#This Row],[OEE_%]]&lt;0),"Error","OK")</f>
        <v>OK</v>
      </c>
    </row>
    <row r="560" spans="1:25" x14ac:dyDescent="0.2">
      <c r="A560" t="s">
        <v>679</v>
      </c>
      <c r="B560" t="s">
        <v>673</v>
      </c>
      <c r="C560" s="2">
        <v>46268</v>
      </c>
      <c r="D560" t="s">
        <v>27</v>
      </c>
      <c r="E560" t="s">
        <v>46</v>
      </c>
      <c r="F560" t="s">
        <v>29</v>
      </c>
      <c r="G560" t="s">
        <v>33</v>
      </c>
      <c r="H560">
        <v>624</v>
      </c>
      <c r="I560">
        <v>617</v>
      </c>
      <c r="J560">
        <v>7</v>
      </c>
      <c r="K560">
        <v>27.5</v>
      </c>
      <c r="L560">
        <v>29.28</v>
      </c>
      <c r="M560">
        <v>304.5</v>
      </c>
      <c r="N560">
        <f>_xlfn.XLOOKUP(Table13[[#This Row],[Production_Order_ID]],[1]Sheet1!$A$2:$A$391,[1]Sheet1!$F$2:$F$391,"No Match")</f>
        <v>550</v>
      </c>
      <c r="O560" s="3">
        <f>Table13[[#This Row],[Good_Qty]]/Table13[[#This Row],[Planned_Production]]</f>
        <v>1.1218181818181818</v>
      </c>
      <c r="P560" t="str">
        <f>IF(Table13[[#This Row],[Good_Qty]]&gt;=Table13[[#This Row],[Planned_Production]],"Met","Not Met")</f>
        <v>Met</v>
      </c>
      <c r="Q560">
        <f>Table13[[#This Row],[Good_Qty]]-Table13[[#This Row],[Planned_Production]]</f>
        <v>67</v>
      </c>
      <c r="R560" s="3">
        <f>IF(Table13[[#This Row],[Actual_Qty]]=0,0,Table13[[#This Row],[Reject_Qty]]/Table13[[#This Row],[Actual_Qty]])</f>
        <v>1.1217948717948718E-2</v>
      </c>
      <c r="S560">
        <v>431</v>
      </c>
      <c r="T560">
        <f>(Table13[[#This Row],[Ideal_Cycle_Time_sec]]*Table13[[#This Row],[Actual_Qty]])/(Table13[[#This Row],[Operational_Time_min]]*60)</f>
        <v>0.66357308584686769</v>
      </c>
      <c r="U560">
        <f>Table13[[#This Row],[Good_Qty]]/Table13[[#This Row],[Actual_Qty]]</f>
        <v>0.98878205128205132</v>
      </c>
      <c r="V560" t="str">
        <f>IF(OR(Table13[[#This Row],[Performance_%]]&gt;=1,Table13[[#This Row],[Performance_%]]&lt;=0),"Error","OK")</f>
        <v>OK</v>
      </c>
      <c r="W560" t="str">
        <f>IF(OR(Table13[[#This Row],[Quality_%]]&gt;=1,Table13[[#This Row],[Quality_%]]&lt;=0),"Error","OK")</f>
        <v>OK</v>
      </c>
      <c r="X560">
        <f>Table13[[#This Row],[Performance_%]]*Table13[[#This Row],[Quality_%]]*[2]Availability_KPI!K560</f>
        <v>0.62842592592592583</v>
      </c>
      <c r="Y560" t="str">
        <f>IF(OR(Table13[[#This Row],[OEE_%]]&gt;1,Table13[[#This Row],[OEE_%]]&lt;0),"Error","OK")</f>
        <v>OK</v>
      </c>
    </row>
    <row r="561" spans="1:25" x14ac:dyDescent="0.2">
      <c r="A561" t="s">
        <v>680</v>
      </c>
      <c r="B561" t="s">
        <v>673</v>
      </c>
      <c r="C561" s="2">
        <v>46268</v>
      </c>
      <c r="D561" t="s">
        <v>27</v>
      </c>
      <c r="E561" t="s">
        <v>49</v>
      </c>
      <c r="F561" t="s">
        <v>29</v>
      </c>
      <c r="G561" t="s">
        <v>36</v>
      </c>
      <c r="H561">
        <v>634</v>
      </c>
      <c r="I561">
        <v>631</v>
      </c>
      <c r="J561">
        <v>3</v>
      </c>
      <c r="K561">
        <v>22</v>
      </c>
      <c r="L561">
        <v>23.73</v>
      </c>
      <c r="M561">
        <v>250.75</v>
      </c>
      <c r="N561">
        <f>_xlfn.XLOOKUP(Table13[[#This Row],[Production_Order_ID]],[1]Sheet1!$A$2:$A$391,[1]Sheet1!$F$2:$F$391,"No Match")</f>
        <v>550</v>
      </c>
      <c r="O561" s="3">
        <f>Table13[[#This Row],[Good_Qty]]/Table13[[#This Row],[Planned_Production]]</f>
        <v>1.1472727272727272</v>
      </c>
      <c r="P561" t="str">
        <f>IF(Table13[[#This Row],[Good_Qty]]&gt;=Table13[[#This Row],[Planned_Production]],"Met","Not Met")</f>
        <v>Met</v>
      </c>
      <c r="Q561">
        <f>Table13[[#This Row],[Good_Qty]]-Table13[[#This Row],[Planned_Production]]</f>
        <v>81</v>
      </c>
      <c r="R561" s="3">
        <f>IF(Table13[[#This Row],[Actual_Qty]]=0,0,Table13[[#This Row],[Reject_Qty]]/Table13[[#This Row],[Actual_Qty]])</f>
        <v>4.7318611987381704E-3</v>
      </c>
      <c r="S561">
        <v>440.07</v>
      </c>
      <c r="T561">
        <f>(Table13[[#This Row],[Ideal_Cycle_Time_sec]]*Table13[[#This Row],[Actual_Qty]])/(Table13[[#This Row],[Operational_Time_min]]*60)</f>
        <v>0.52824929367297624</v>
      </c>
      <c r="U561">
        <f>Table13[[#This Row],[Good_Qty]]/Table13[[#This Row],[Actual_Qty]]</f>
        <v>0.99526813880126186</v>
      </c>
      <c r="V561" t="str">
        <f>IF(OR(Table13[[#This Row],[Performance_%]]&gt;=1,Table13[[#This Row],[Performance_%]]&lt;=0),"Error","OK")</f>
        <v>OK</v>
      </c>
      <c r="W561" t="str">
        <f>IF(OR(Table13[[#This Row],[Quality_%]]&gt;=1,Table13[[#This Row],[Quality_%]]&lt;=0),"Error","OK")</f>
        <v>OK</v>
      </c>
      <c r="X561">
        <f>Table13[[#This Row],[Performance_%]]*Table13[[#This Row],[Quality_%]]*[2]Availability_KPI!K561</f>
        <v>0.51414814814814813</v>
      </c>
      <c r="Y561" t="str">
        <f>IF(OR(Table13[[#This Row],[OEE_%]]&gt;1,Table13[[#This Row],[OEE_%]]&lt;0),"Error","OK")</f>
        <v>OK</v>
      </c>
    </row>
    <row r="562" spans="1:25" x14ac:dyDescent="0.2">
      <c r="A562" t="s">
        <v>681</v>
      </c>
      <c r="B562" t="s">
        <v>682</v>
      </c>
      <c r="C562" s="2">
        <v>46268</v>
      </c>
      <c r="D562" t="s">
        <v>53</v>
      </c>
      <c r="E562" t="s">
        <v>28</v>
      </c>
      <c r="F562" t="s">
        <v>54</v>
      </c>
      <c r="G562" t="s">
        <v>61</v>
      </c>
      <c r="H562">
        <v>580</v>
      </c>
      <c r="I562">
        <v>578</v>
      </c>
      <c r="J562">
        <v>2</v>
      </c>
      <c r="K562">
        <v>18</v>
      </c>
      <c r="L562">
        <v>18.88</v>
      </c>
      <c r="M562">
        <v>182.49</v>
      </c>
      <c r="N562">
        <f>_xlfn.XLOOKUP(Table13[[#This Row],[Production_Order_ID]],[1]Sheet1!$A$2:$A$391,[1]Sheet1!$F$2:$F$391,"No Match")</f>
        <v>630</v>
      </c>
      <c r="O562" s="3">
        <f>Table13[[#This Row],[Good_Qty]]/Table13[[#This Row],[Planned_Production]]</f>
        <v>0.91746031746031742</v>
      </c>
      <c r="P562" t="str">
        <f>IF(Table13[[#This Row],[Good_Qty]]&gt;=Table13[[#This Row],[Planned_Production]],"Met","Not Met")</f>
        <v>Not Met</v>
      </c>
      <c r="Q562">
        <f>Table13[[#This Row],[Good_Qty]]-Table13[[#This Row],[Planned_Production]]</f>
        <v>-52</v>
      </c>
      <c r="R562" s="3">
        <f>IF(Table13[[#This Row],[Actual_Qty]]=0,0,Table13[[#This Row],[Reject_Qty]]/Table13[[#This Row],[Actual_Qty]])</f>
        <v>3.4482758620689655E-3</v>
      </c>
      <c r="S562">
        <v>440.1</v>
      </c>
      <c r="T562">
        <f>(Table13[[#This Row],[Ideal_Cycle_Time_sec]]*Table13[[#This Row],[Actual_Qty]])/(Table13[[#This Row],[Operational_Time_min]]*60)</f>
        <v>0.39536468984321743</v>
      </c>
      <c r="U562">
        <f>Table13[[#This Row],[Good_Qty]]/Table13[[#This Row],[Actual_Qty]]</f>
        <v>0.99655172413793103</v>
      </c>
      <c r="V562" t="str">
        <f>IF(OR(Table13[[#This Row],[Performance_%]]&gt;=1,Table13[[#This Row],[Performance_%]]&lt;=0),"Error","OK")</f>
        <v>OK</v>
      </c>
      <c r="W562" t="str">
        <f>IF(OR(Table13[[#This Row],[Quality_%]]&gt;=1,Table13[[#This Row],[Quality_%]]&lt;=0),"Error","OK")</f>
        <v>OK</v>
      </c>
      <c r="X562">
        <f>Table13[[#This Row],[Performance_%]]*Table13[[#This Row],[Quality_%]]*[2]Availability_KPI!K562</f>
        <v>0.38533333333333336</v>
      </c>
      <c r="Y562" t="str">
        <f>IF(OR(Table13[[#This Row],[OEE_%]]&gt;1,Table13[[#This Row],[OEE_%]]&lt;0),"Error","OK")</f>
        <v>OK</v>
      </c>
    </row>
    <row r="563" spans="1:25" x14ac:dyDescent="0.2">
      <c r="A563" t="s">
        <v>683</v>
      </c>
      <c r="B563" t="s">
        <v>682</v>
      </c>
      <c r="C563" s="2">
        <v>46268</v>
      </c>
      <c r="D563" t="s">
        <v>53</v>
      </c>
      <c r="E563" t="s">
        <v>32</v>
      </c>
      <c r="F563" t="s">
        <v>54</v>
      </c>
      <c r="G563" t="s">
        <v>71</v>
      </c>
      <c r="H563">
        <v>589</v>
      </c>
      <c r="I563">
        <v>583</v>
      </c>
      <c r="J563">
        <v>6</v>
      </c>
      <c r="K563">
        <v>20</v>
      </c>
      <c r="L563">
        <v>21.62</v>
      </c>
      <c r="M563">
        <v>212.19</v>
      </c>
      <c r="N563">
        <f>_xlfn.XLOOKUP(Table13[[#This Row],[Production_Order_ID]],[1]Sheet1!$A$2:$A$391,[1]Sheet1!$F$2:$F$391,"No Match")</f>
        <v>630</v>
      </c>
      <c r="O563" s="3">
        <f>Table13[[#This Row],[Good_Qty]]/Table13[[#This Row],[Planned_Production]]</f>
        <v>0.92539682539682544</v>
      </c>
      <c r="P563" t="str">
        <f>IF(Table13[[#This Row],[Good_Qty]]&gt;=Table13[[#This Row],[Planned_Production]],"Met","Not Met")</f>
        <v>Not Met</v>
      </c>
      <c r="Q563">
        <f>Table13[[#This Row],[Good_Qty]]-Table13[[#This Row],[Planned_Production]]</f>
        <v>-47</v>
      </c>
      <c r="R563" s="3">
        <f>IF(Table13[[#This Row],[Actual_Qty]]=0,0,Table13[[#This Row],[Reject_Qty]]/Table13[[#This Row],[Actual_Qty]])</f>
        <v>1.0186757215619695E-2</v>
      </c>
      <c r="S563">
        <v>438.05</v>
      </c>
      <c r="T563">
        <f>(Table13[[#This Row],[Ideal_Cycle_Time_sec]]*Table13[[#This Row],[Actual_Qty]])/(Table13[[#This Row],[Operational_Time_min]]*60)</f>
        <v>0.44819845527527297</v>
      </c>
      <c r="U563">
        <f>Table13[[#This Row],[Good_Qty]]/Table13[[#This Row],[Actual_Qty]]</f>
        <v>0.98981324278438032</v>
      </c>
      <c r="V563" t="str">
        <f>IF(OR(Table13[[#This Row],[Performance_%]]&gt;=1,Table13[[#This Row],[Performance_%]]&lt;=0),"Error","OK")</f>
        <v>OK</v>
      </c>
      <c r="W563" t="str">
        <f>IF(OR(Table13[[#This Row],[Quality_%]]&gt;=1,Table13[[#This Row],[Quality_%]]&lt;=0),"Error","OK")</f>
        <v>OK</v>
      </c>
      <c r="X563">
        <f>Table13[[#This Row],[Performance_%]]*Table13[[#This Row],[Quality_%]]*[2]Availability_KPI!K563</f>
        <v>0.43185185185185182</v>
      </c>
      <c r="Y563" t="str">
        <f>IF(OR(Table13[[#This Row],[OEE_%]]&gt;1,Table13[[#This Row],[OEE_%]]&lt;0),"Error","OK")</f>
        <v>OK</v>
      </c>
    </row>
    <row r="564" spans="1:25" x14ac:dyDescent="0.2">
      <c r="A564" t="s">
        <v>684</v>
      </c>
      <c r="B564" t="s">
        <v>682</v>
      </c>
      <c r="C564" s="2">
        <v>46268</v>
      </c>
      <c r="D564" t="s">
        <v>53</v>
      </c>
      <c r="E564" t="s">
        <v>35</v>
      </c>
      <c r="F564" t="s">
        <v>54</v>
      </c>
      <c r="G564" t="s">
        <v>75</v>
      </c>
      <c r="H564">
        <v>590</v>
      </c>
      <c r="I564">
        <v>586</v>
      </c>
      <c r="J564">
        <v>4</v>
      </c>
      <c r="K564">
        <v>22</v>
      </c>
      <c r="L564">
        <v>23.7</v>
      </c>
      <c r="M564">
        <v>233</v>
      </c>
      <c r="N564">
        <f>_xlfn.XLOOKUP(Table13[[#This Row],[Production_Order_ID]],[1]Sheet1!$A$2:$A$391,[1]Sheet1!$F$2:$F$391,"No Match")</f>
        <v>630</v>
      </c>
      <c r="O564" s="3">
        <f>Table13[[#This Row],[Good_Qty]]/Table13[[#This Row],[Planned_Production]]</f>
        <v>0.93015873015873018</v>
      </c>
      <c r="P564" t="str">
        <f>IF(Table13[[#This Row],[Good_Qty]]&gt;=Table13[[#This Row],[Planned_Production]],"Met","Not Met")</f>
        <v>Not Met</v>
      </c>
      <c r="Q564">
        <f>Table13[[#This Row],[Good_Qty]]-Table13[[#This Row],[Planned_Production]]</f>
        <v>-44</v>
      </c>
      <c r="R564" s="3">
        <f>IF(Table13[[#This Row],[Actual_Qty]]=0,0,Table13[[#This Row],[Reject_Qty]]/Table13[[#This Row],[Actual_Qty]])</f>
        <v>6.7796610169491523E-3</v>
      </c>
      <c r="S564">
        <v>433.48</v>
      </c>
      <c r="T564">
        <f>(Table13[[#This Row],[Ideal_Cycle_Time_sec]]*Table13[[#This Row],[Actual_Qty]])/(Table13[[#This Row],[Operational_Time_min]]*60)</f>
        <v>0.49906185598720426</v>
      </c>
      <c r="U564">
        <f>Table13[[#This Row],[Good_Qty]]/Table13[[#This Row],[Actual_Qty]]</f>
        <v>0.99322033898305084</v>
      </c>
      <c r="V564" t="str">
        <f>IF(OR(Table13[[#This Row],[Performance_%]]&gt;=1,Table13[[#This Row],[Performance_%]]&lt;=0),"Error","OK")</f>
        <v>OK</v>
      </c>
      <c r="W564" t="str">
        <f>IF(OR(Table13[[#This Row],[Quality_%]]&gt;=1,Table13[[#This Row],[Quality_%]]&lt;=0),"Error","OK")</f>
        <v>OK</v>
      </c>
      <c r="X564">
        <f>Table13[[#This Row],[Performance_%]]*Table13[[#This Row],[Quality_%]]*[2]Availability_KPI!K564</f>
        <v>0.47748148148148145</v>
      </c>
      <c r="Y564" t="str">
        <f>IF(OR(Table13[[#This Row],[OEE_%]]&gt;1,Table13[[#This Row],[OEE_%]]&lt;0),"Error","OK")</f>
        <v>OK</v>
      </c>
    </row>
    <row r="565" spans="1:25" x14ac:dyDescent="0.2">
      <c r="A565" t="s">
        <v>685</v>
      </c>
      <c r="B565" t="s">
        <v>682</v>
      </c>
      <c r="C565" s="2">
        <v>46268</v>
      </c>
      <c r="D565" t="s">
        <v>53</v>
      </c>
      <c r="E565" t="s">
        <v>38</v>
      </c>
      <c r="F565" t="s">
        <v>54</v>
      </c>
      <c r="G565" t="s">
        <v>50</v>
      </c>
      <c r="H565">
        <v>587</v>
      </c>
      <c r="I565">
        <v>583</v>
      </c>
      <c r="J565">
        <v>4</v>
      </c>
      <c r="K565">
        <v>20</v>
      </c>
      <c r="L565">
        <v>20</v>
      </c>
      <c r="M565">
        <v>195.67</v>
      </c>
      <c r="N565">
        <f>_xlfn.XLOOKUP(Table13[[#This Row],[Production_Order_ID]],[1]Sheet1!$A$2:$A$391,[1]Sheet1!$F$2:$F$391,"No Match")</f>
        <v>630</v>
      </c>
      <c r="O565" s="3">
        <f>Table13[[#This Row],[Good_Qty]]/Table13[[#This Row],[Planned_Production]]</f>
        <v>0.92539682539682544</v>
      </c>
      <c r="P565" t="str">
        <f>IF(Table13[[#This Row],[Good_Qty]]&gt;=Table13[[#This Row],[Planned_Production]],"Met","Not Met")</f>
        <v>Not Met</v>
      </c>
      <c r="Q565">
        <f>Table13[[#This Row],[Good_Qty]]-Table13[[#This Row],[Planned_Production]]</f>
        <v>-47</v>
      </c>
      <c r="R565" s="3">
        <f>IF(Table13[[#This Row],[Actual_Qty]]=0,0,Table13[[#This Row],[Reject_Qty]]/Table13[[#This Row],[Actual_Qty]])</f>
        <v>6.8143100511073255E-3</v>
      </c>
      <c r="S565">
        <v>441.14</v>
      </c>
      <c r="T565">
        <f>(Table13[[#This Row],[Ideal_Cycle_Time_sec]]*Table13[[#This Row],[Actual_Qty]])/(Table13[[#This Row],[Operational_Time_min]]*60)</f>
        <v>0.44354777772740328</v>
      </c>
      <c r="U565">
        <f>Table13[[#This Row],[Good_Qty]]/Table13[[#This Row],[Actual_Qty]]</f>
        <v>0.99318568994889267</v>
      </c>
      <c r="V565" t="str">
        <f>IF(OR(Table13[[#This Row],[Performance_%]]&gt;=1,Table13[[#This Row],[Performance_%]]&lt;=0),"Error","OK")</f>
        <v>OK</v>
      </c>
      <c r="W565" t="str">
        <f>IF(OR(Table13[[#This Row],[Quality_%]]&gt;=1,Table13[[#This Row],[Quality_%]]&lt;=0),"Error","OK")</f>
        <v>OK</v>
      </c>
      <c r="X565">
        <f>Table13[[#This Row],[Performance_%]]*Table13[[#This Row],[Quality_%]]*[2]Availability_KPI!K565</f>
        <v>0.43185185185185188</v>
      </c>
      <c r="Y565" t="str">
        <f>IF(OR(Table13[[#This Row],[OEE_%]]&gt;1,Table13[[#This Row],[OEE_%]]&lt;0),"Error","OK")</f>
        <v>OK</v>
      </c>
    </row>
    <row r="566" spans="1:25" x14ac:dyDescent="0.2">
      <c r="A566" t="s">
        <v>686</v>
      </c>
      <c r="B566" t="s">
        <v>682</v>
      </c>
      <c r="C566" s="2">
        <v>46268</v>
      </c>
      <c r="D566" t="s">
        <v>53</v>
      </c>
      <c r="E566" t="s">
        <v>41</v>
      </c>
      <c r="F566" t="s">
        <v>54</v>
      </c>
      <c r="G566" t="s">
        <v>44</v>
      </c>
      <c r="H566">
        <v>585</v>
      </c>
      <c r="I566">
        <v>581</v>
      </c>
      <c r="J566">
        <v>4</v>
      </c>
      <c r="K566">
        <v>18</v>
      </c>
      <c r="L566">
        <v>19.170000000000002</v>
      </c>
      <c r="M566">
        <v>186.87</v>
      </c>
      <c r="N566">
        <f>_xlfn.XLOOKUP(Table13[[#This Row],[Production_Order_ID]],[1]Sheet1!$A$2:$A$391,[1]Sheet1!$F$2:$F$391,"No Match")</f>
        <v>630</v>
      </c>
      <c r="O566" s="3">
        <f>Table13[[#This Row],[Good_Qty]]/Table13[[#This Row],[Planned_Production]]</f>
        <v>0.92222222222222228</v>
      </c>
      <c r="P566" t="str">
        <f>IF(Table13[[#This Row],[Good_Qty]]&gt;=Table13[[#This Row],[Planned_Production]],"Met","Not Met")</f>
        <v>Not Met</v>
      </c>
      <c r="Q566">
        <f>Table13[[#This Row],[Good_Qty]]-Table13[[#This Row],[Planned_Production]]</f>
        <v>-49</v>
      </c>
      <c r="R566" s="3">
        <f>IF(Table13[[#This Row],[Actual_Qty]]=0,0,Table13[[#This Row],[Reject_Qty]]/Table13[[#This Row],[Actual_Qty]])</f>
        <v>6.8376068376068376E-3</v>
      </c>
      <c r="S566">
        <v>436.42</v>
      </c>
      <c r="T566">
        <f>(Table13[[#This Row],[Ideal_Cycle_Time_sec]]*Table13[[#This Row],[Actual_Qty]])/(Table13[[#This Row],[Operational_Time_min]]*60)</f>
        <v>0.40213555749049079</v>
      </c>
      <c r="U566">
        <f>Table13[[#This Row],[Good_Qty]]/Table13[[#This Row],[Actual_Qty]]</f>
        <v>0.99316239316239319</v>
      </c>
      <c r="V566" t="str">
        <f>IF(OR(Table13[[#This Row],[Performance_%]]&gt;=1,Table13[[#This Row],[Performance_%]]&lt;=0),"Error","OK")</f>
        <v>OK</v>
      </c>
      <c r="W566" t="str">
        <f>IF(OR(Table13[[#This Row],[Quality_%]]&gt;=1,Table13[[#This Row],[Quality_%]]&lt;=0),"Error","OK")</f>
        <v>OK</v>
      </c>
      <c r="X566">
        <f>Table13[[#This Row],[Performance_%]]*Table13[[#This Row],[Quality_%]]*[2]Availability_KPI!K566</f>
        <v>0.38733333333333331</v>
      </c>
      <c r="Y566" t="str">
        <f>IF(OR(Table13[[#This Row],[OEE_%]]&gt;1,Table13[[#This Row],[OEE_%]]&lt;0),"Error","OK")</f>
        <v>OK</v>
      </c>
    </row>
    <row r="567" spans="1:25" x14ac:dyDescent="0.2">
      <c r="A567" t="s">
        <v>687</v>
      </c>
      <c r="B567" t="s">
        <v>682</v>
      </c>
      <c r="C567" s="2">
        <v>46268</v>
      </c>
      <c r="D567" t="s">
        <v>53</v>
      </c>
      <c r="E567" t="s">
        <v>43</v>
      </c>
      <c r="F567" t="s">
        <v>54</v>
      </c>
      <c r="G567" t="s">
        <v>47</v>
      </c>
      <c r="H567">
        <v>579</v>
      </c>
      <c r="I567">
        <v>571</v>
      </c>
      <c r="J567">
        <v>8</v>
      </c>
      <c r="K567">
        <v>32</v>
      </c>
      <c r="L567">
        <v>35.15</v>
      </c>
      <c r="M567">
        <v>339.21</v>
      </c>
      <c r="N567">
        <f>_xlfn.XLOOKUP(Table13[[#This Row],[Production_Order_ID]],[1]Sheet1!$A$2:$A$391,[1]Sheet1!$F$2:$F$391,"No Match")</f>
        <v>630</v>
      </c>
      <c r="O567" s="3">
        <f>Table13[[#This Row],[Good_Qty]]/Table13[[#This Row],[Planned_Production]]</f>
        <v>0.90634920634920635</v>
      </c>
      <c r="P567" t="str">
        <f>IF(Table13[[#This Row],[Good_Qty]]&gt;=Table13[[#This Row],[Planned_Production]],"Met","Not Met")</f>
        <v>Not Met</v>
      </c>
      <c r="Q567">
        <f>Table13[[#This Row],[Good_Qty]]-Table13[[#This Row],[Planned_Production]]</f>
        <v>-59</v>
      </c>
      <c r="R567" s="3">
        <f>IF(Table13[[#This Row],[Actual_Qty]]=0,0,Table13[[#This Row],[Reject_Qty]]/Table13[[#This Row],[Actual_Qty]])</f>
        <v>1.3816925734024179E-2</v>
      </c>
      <c r="S567">
        <v>419.95</v>
      </c>
      <c r="T567">
        <f>(Table13[[#This Row],[Ideal_Cycle_Time_sec]]*Table13[[#This Row],[Actual_Qty]])/(Table13[[#This Row],[Operational_Time_min]]*60)</f>
        <v>0.73532563400404816</v>
      </c>
      <c r="U567">
        <f>Table13[[#This Row],[Good_Qty]]/Table13[[#This Row],[Actual_Qty]]</f>
        <v>0.98618307426597585</v>
      </c>
      <c r="V567" t="str">
        <f>IF(OR(Table13[[#This Row],[Performance_%]]&gt;=1,Table13[[#This Row],[Performance_%]]&lt;=0),"Error","OK")</f>
        <v>OK</v>
      </c>
      <c r="W567" t="str">
        <f>IF(OR(Table13[[#This Row],[Quality_%]]&gt;=1,Table13[[#This Row],[Quality_%]]&lt;=0),"Error","OK")</f>
        <v>OK</v>
      </c>
      <c r="X567">
        <f>Table13[[#This Row],[Performance_%]]*Table13[[#This Row],[Quality_%]]*[2]Availability_KPI!K567</f>
        <v>0.67674074074074086</v>
      </c>
      <c r="Y567" t="str">
        <f>IF(OR(Table13[[#This Row],[OEE_%]]&gt;1,Table13[[#This Row],[OEE_%]]&lt;0),"Error","OK")</f>
        <v>OK</v>
      </c>
    </row>
    <row r="568" spans="1:25" x14ac:dyDescent="0.2">
      <c r="A568" t="s">
        <v>688</v>
      </c>
      <c r="B568" t="s">
        <v>682</v>
      </c>
      <c r="C568" s="2">
        <v>46268</v>
      </c>
      <c r="D568" t="s">
        <v>53</v>
      </c>
      <c r="E568" t="s">
        <v>46</v>
      </c>
      <c r="F568" t="s">
        <v>54</v>
      </c>
      <c r="G568" t="s">
        <v>57</v>
      </c>
      <c r="H568">
        <v>605</v>
      </c>
      <c r="I568">
        <v>600</v>
      </c>
      <c r="J568">
        <v>5</v>
      </c>
      <c r="K568">
        <v>25</v>
      </c>
      <c r="L568">
        <v>25.57</v>
      </c>
      <c r="M568">
        <v>257.82</v>
      </c>
      <c r="N568">
        <f>_xlfn.XLOOKUP(Table13[[#This Row],[Production_Order_ID]],[1]Sheet1!$A$2:$A$391,[1]Sheet1!$F$2:$F$391,"No Match")</f>
        <v>630</v>
      </c>
      <c r="O568" s="3">
        <f>Table13[[#This Row],[Good_Qty]]/Table13[[#This Row],[Planned_Production]]</f>
        <v>0.95238095238095233</v>
      </c>
      <c r="P568" t="str">
        <f>IF(Table13[[#This Row],[Good_Qty]]&gt;=Table13[[#This Row],[Planned_Production]],"Met","Not Met")</f>
        <v>Not Met</v>
      </c>
      <c r="Q568">
        <f>Table13[[#This Row],[Good_Qty]]-Table13[[#This Row],[Planned_Production]]</f>
        <v>-30</v>
      </c>
      <c r="R568" s="3">
        <f>IF(Table13[[#This Row],[Actual_Qty]]=0,0,Table13[[#This Row],[Reject_Qty]]/Table13[[#This Row],[Actual_Qty]])</f>
        <v>8.2644628099173556E-3</v>
      </c>
      <c r="S568">
        <v>433.49</v>
      </c>
      <c r="T568">
        <f>(Table13[[#This Row],[Ideal_Cycle_Time_sec]]*Table13[[#This Row],[Actual_Qty]])/(Table13[[#This Row],[Operational_Time_min]]*60)</f>
        <v>0.58152052719401448</v>
      </c>
      <c r="U568">
        <f>Table13[[#This Row],[Good_Qty]]/Table13[[#This Row],[Actual_Qty]]</f>
        <v>0.99173553719008267</v>
      </c>
      <c r="V568" t="str">
        <f>IF(OR(Table13[[#This Row],[Performance_%]]&gt;=1,Table13[[#This Row],[Performance_%]]&lt;=0),"Error","OK")</f>
        <v>OK</v>
      </c>
      <c r="W568" t="str">
        <f>IF(OR(Table13[[#This Row],[Quality_%]]&gt;=1,Table13[[#This Row],[Quality_%]]&lt;=0),"Error","OK")</f>
        <v>OK</v>
      </c>
      <c r="X568">
        <f>Table13[[#This Row],[Performance_%]]*Table13[[#This Row],[Quality_%]]*[2]Availability_KPI!K568</f>
        <v>0.55555555555555558</v>
      </c>
      <c r="Y568" t="str">
        <f>IF(OR(Table13[[#This Row],[OEE_%]]&gt;1,Table13[[#This Row],[OEE_%]]&lt;0),"Error","OK")</f>
        <v>OK</v>
      </c>
    </row>
    <row r="569" spans="1:25" x14ac:dyDescent="0.2">
      <c r="A569" t="s">
        <v>689</v>
      </c>
      <c r="B569" t="s">
        <v>682</v>
      </c>
      <c r="C569" s="2">
        <v>46268</v>
      </c>
      <c r="D569" t="s">
        <v>53</v>
      </c>
      <c r="E569" t="s">
        <v>49</v>
      </c>
      <c r="F569" t="s">
        <v>54</v>
      </c>
      <c r="G569" t="s">
        <v>57</v>
      </c>
      <c r="H569">
        <v>611</v>
      </c>
      <c r="I569">
        <v>605</v>
      </c>
      <c r="J569">
        <v>6</v>
      </c>
      <c r="K569">
        <v>20</v>
      </c>
      <c r="L569">
        <v>20.92</v>
      </c>
      <c r="M569">
        <v>213.05</v>
      </c>
      <c r="N569">
        <f>_xlfn.XLOOKUP(Table13[[#This Row],[Production_Order_ID]],[1]Sheet1!$A$2:$A$391,[1]Sheet1!$F$2:$F$391,"No Match")</f>
        <v>630</v>
      </c>
      <c r="O569" s="3">
        <f>Table13[[#This Row],[Good_Qty]]/Table13[[#This Row],[Planned_Production]]</f>
        <v>0.96031746031746035</v>
      </c>
      <c r="P569" t="str">
        <f>IF(Table13[[#This Row],[Good_Qty]]&gt;=Table13[[#This Row],[Planned_Production]],"Met","Not Met")</f>
        <v>Not Met</v>
      </c>
      <c r="Q569">
        <f>Table13[[#This Row],[Good_Qty]]-Table13[[#This Row],[Planned_Production]]</f>
        <v>-25</v>
      </c>
      <c r="R569" s="3">
        <f>IF(Table13[[#This Row],[Actual_Qty]]=0,0,Table13[[#This Row],[Reject_Qty]]/Table13[[#This Row],[Actual_Qty]])</f>
        <v>9.8199672667757774E-3</v>
      </c>
      <c r="S569">
        <v>442.88</v>
      </c>
      <c r="T569">
        <f>(Table13[[#This Row],[Ideal_Cycle_Time_sec]]*Table13[[#This Row],[Actual_Qty]])/(Table13[[#This Row],[Operational_Time_min]]*60)</f>
        <v>0.4598687379576108</v>
      </c>
      <c r="U569">
        <f>Table13[[#This Row],[Good_Qty]]/Table13[[#This Row],[Actual_Qty]]</f>
        <v>0.99018003273322419</v>
      </c>
      <c r="V569" t="str">
        <f>IF(OR(Table13[[#This Row],[Performance_%]]&gt;=1,Table13[[#This Row],[Performance_%]]&lt;=0),"Error","OK")</f>
        <v>OK</v>
      </c>
      <c r="W569" t="str">
        <f>IF(OR(Table13[[#This Row],[Quality_%]]&gt;=1,Table13[[#This Row],[Quality_%]]&lt;=0),"Error","OK")</f>
        <v>OK</v>
      </c>
      <c r="X569">
        <f>Table13[[#This Row],[Performance_%]]*Table13[[#This Row],[Quality_%]]*[2]Availability_KPI!K569</f>
        <v>0.44814814814814818</v>
      </c>
      <c r="Y569" t="str">
        <f>IF(OR(Table13[[#This Row],[OEE_%]]&gt;1,Table13[[#This Row],[OEE_%]]&lt;0),"Error","OK")</f>
        <v>OK</v>
      </c>
    </row>
    <row r="570" spans="1:25" x14ac:dyDescent="0.2">
      <c r="A570" t="s">
        <v>690</v>
      </c>
      <c r="B570" t="s">
        <v>691</v>
      </c>
      <c r="C570" s="2">
        <v>46268</v>
      </c>
      <c r="D570" t="s">
        <v>67</v>
      </c>
      <c r="E570" t="s">
        <v>28</v>
      </c>
      <c r="F570" t="s">
        <v>29</v>
      </c>
      <c r="G570" t="s">
        <v>75</v>
      </c>
      <c r="H570">
        <v>525</v>
      </c>
      <c r="I570">
        <v>523</v>
      </c>
      <c r="J570">
        <v>2</v>
      </c>
      <c r="K570">
        <v>19.8</v>
      </c>
      <c r="L570">
        <v>20.8</v>
      </c>
      <c r="M570">
        <v>182.01</v>
      </c>
      <c r="N570">
        <f>_xlfn.XLOOKUP(Table13[[#This Row],[Production_Order_ID]],[1]Sheet1!$A$2:$A$391,[1]Sheet1!$F$2:$F$391,"No Match")</f>
        <v>430</v>
      </c>
      <c r="O570" s="3">
        <f>Table13[[#This Row],[Good_Qty]]/Table13[[#This Row],[Planned_Production]]</f>
        <v>1.2162790697674419</v>
      </c>
      <c r="P570" t="str">
        <f>IF(Table13[[#This Row],[Good_Qty]]&gt;=Table13[[#This Row],[Planned_Production]],"Met","Not Met")</f>
        <v>Met</v>
      </c>
      <c r="Q570">
        <f>Table13[[#This Row],[Good_Qty]]-Table13[[#This Row],[Planned_Production]]</f>
        <v>93</v>
      </c>
      <c r="R570" s="3">
        <f>IF(Table13[[#This Row],[Actual_Qty]]=0,0,Table13[[#This Row],[Reject_Qty]]/Table13[[#This Row],[Actual_Qty]])</f>
        <v>3.8095238095238095E-3</v>
      </c>
      <c r="S570">
        <v>440.18</v>
      </c>
      <c r="T570">
        <f>(Table13[[#This Row],[Ideal_Cycle_Time_sec]]*Table13[[#This Row],[Actual_Qty]])/(Table13[[#This Row],[Operational_Time_min]]*60)</f>
        <v>0.39358898632377665</v>
      </c>
      <c r="U570">
        <f>Table13[[#This Row],[Good_Qty]]/Table13[[#This Row],[Actual_Qty]]</f>
        <v>0.99619047619047618</v>
      </c>
      <c r="V570" t="str">
        <f>IF(OR(Table13[[#This Row],[Performance_%]]&gt;=1,Table13[[#This Row],[Performance_%]]&lt;=0),"Error","OK")</f>
        <v>OK</v>
      </c>
      <c r="W570" t="str">
        <f>IF(OR(Table13[[#This Row],[Quality_%]]&gt;=1,Table13[[#This Row],[Quality_%]]&lt;=0),"Error","OK")</f>
        <v>OK</v>
      </c>
      <c r="X570">
        <f>Table13[[#This Row],[Performance_%]]*Table13[[#This Row],[Quality_%]]*[2]Availability_KPI!K570</f>
        <v>0.38353333333333334</v>
      </c>
      <c r="Y570" t="str">
        <f>IF(OR(Table13[[#This Row],[OEE_%]]&gt;1,Table13[[#This Row],[OEE_%]]&lt;0),"Error","OK")</f>
        <v>OK</v>
      </c>
    </row>
    <row r="571" spans="1:25" x14ac:dyDescent="0.2">
      <c r="A571" t="s">
        <v>692</v>
      </c>
      <c r="B571" t="s">
        <v>691</v>
      </c>
      <c r="C571" s="2">
        <v>46268</v>
      </c>
      <c r="D571" t="s">
        <v>67</v>
      </c>
      <c r="E571" t="s">
        <v>32</v>
      </c>
      <c r="F571" t="s">
        <v>29</v>
      </c>
      <c r="G571" t="s">
        <v>71</v>
      </c>
      <c r="H571">
        <v>534</v>
      </c>
      <c r="I571">
        <v>529</v>
      </c>
      <c r="J571">
        <v>5</v>
      </c>
      <c r="K571">
        <v>22</v>
      </c>
      <c r="L571">
        <v>22.66</v>
      </c>
      <c r="M571">
        <v>201.69</v>
      </c>
      <c r="N571">
        <f>_xlfn.XLOOKUP(Table13[[#This Row],[Production_Order_ID]],[1]Sheet1!$A$2:$A$391,[1]Sheet1!$F$2:$F$391,"No Match")</f>
        <v>430</v>
      </c>
      <c r="O571" s="3">
        <f>Table13[[#This Row],[Good_Qty]]/Table13[[#This Row],[Planned_Production]]</f>
        <v>1.2302325581395348</v>
      </c>
      <c r="P571" t="str">
        <f>IF(Table13[[#This Row],[Good_Qty]]&gt;=Table13[[#This Row],[Planned_Production]],"Met","Not Met")</f>
        <v>Met</v>
      </c>
      <c r="Q571">
        <f>Table13[[#This Row],[Good_Qty]]-Table13[[#This Row],[Planned_Production]]</f>
        <v>99</v>
      </c>
      <c r="R571" s="3">
        <f>IF(Table13[[#This Row],[Actual_Qty]]=0,0,Table13[[#This Row],[Reject_Qty]]/Table13[[#This Row],[Actual_Qty]])</f>
        <v>9.3632958801498131E-3</v>
      </c>
      <c r="S571">
        <v>441.2</v>
      </c>
      <c r="T571">
        <f>(Table13[[#This Row],[Ideal_Cycle_Time_sec]]*Table13[[#This Row],[Actual_Qty]])/(Table13[[#This Row],[Operational_Time_min]]*60)</f>
        <v>0.44378966455122393</v>
      </c>
      <c r="U571">
        <f>Table13[[#This Row],[Good_Qty]]/Table13[[#This Row],[Actual_Qty]]</f>
        <v>0.99063670411985016</v>
      </c>
      <c r="V571" t="str">
        <f>IF(OR(Table13[[#This Row],[Performance_%]]&gt;=1,Table13[[#This Row],[Performance_%]]&lt;=0),"Error","OK")</f>
        <v>OK</v>
      </c>
      <c r="W571" t="str">
        <f>IF(OR(Table13[[#This Row],[Quality_%]]&gt;=1,Table13[[#This Row],[Quality_%]]&lt;=0),"Error","OK")</f>
        <v>OK</v>
      </c>
      <c r="X571">
        <f>Table13[[#This Row],[Performance_%]]*Table13[[#This Row],[Quality_%]]*[2]Availability_KPI!K571</f>
        <v>0.43103703703703705</v>
      </c>
      <c r="Y571" t="str">
        <f>IF(OR(Table13[[#This Row],[OEE_%]]&gt;1,Table13[[#This Row],[OEE_%]]&lt;0),"Error","OK")</f>
        <v>OK</v>
      </c>
    </row>
    <row r="572" spans="1:25" x14ac:dyDescent="0.2">
      <c r="A572" t="s">
        <v>693</v>
      </c>
      <c r="B572" t="s">
        <v>691</v>
      </c>
      <c r="C572" s="2">
        <v>46268</v>
      </c>
      <c r="D572" t="s">
        <v>67</v>
      </c>
      <c r="E572" t="s">
        <v>35</v>
      </c>
      <c r="F572" t="s">
        <v>29</v>
      </c>
      <c r="G572" t="s">
        <v>75</v>
      </c>
      <c r="H572">
        <v>530</v>
      </c>
      <c r="I572">
        <v>528</v>
      </c>
      <c r="J572">
        <v>2</v>
      </c>
      <c r="K572">
        <v>24.2</v>
      </c>
      <c r="L572">
        <v>25.77</v>
      </c>
      <c r="M572">
        <v>227.63</v>
      </c>
      <c r="N572">
        <f>_xlfn.XLOOKUP(Table13[[#This Row],[Production_Order_ID]],[1]Sheet1!$A$2:$A$391,[1]Sheet1!$F$2:$F$391,"No Match")</f>
        <v>430</v>
      </c>
      <c r="O572" s="3">
        <f>Table13[[#This Row],[Good_Qty]]/Table13[[#This Row],[Planned_Production]]</f>
        <v>1.2279069767441861</v>
      </c>
      <c r="P572" t="str">
        <f>IF(Table13[[#This Row],[Good_Qty]]&gt;=Table13[[#This Row],[Planned_Production]],"Met","Not Met")</f>
        <v>Met</v>
      </c>
      <c r="Q572">
        <f>Table13[[#This Row],[Good_Qty]]-Table13[[#This Row],[Planned_Production]]</f>
        <v>98</v>
      </c>
      <c r="R572" s="3">
        <f>IF(Table13[[#This Row],[Actual_Qty]]=0,0,Table13[[#This Row],[Reject_Qty]]/Table13[[#This Row],[Actual_Qty]])</f>
        <v>3.7735849056603774E-3</v>
      </c>
      <c r="S572">
        <v>436.01</v>
      </c>
      <c r="T572">
        <f>(Table13[[#This Row],[Ideal_Cycle_Time_sec]]*Table13[[#This Row],[Actual_Qty]])/(Table13[[#This Row],[Operational_Time_min]]*60)</f>
        <v>0.49027927494017726</v>
      </c>
      <c r="U572">
        <f>Table13[[#This Row],[Good_Qty]]/Table13[[#This Row],[Actual_Qty]]</f>
        <v>0.99622641509433962</v>
      </c>
      <c r="V572" t="str">
        <f>IF(OR(Table13[[#This Row],[Performance_%]]&gt;=1,Table13[[#This Row],[Performance_%]]&lt;=0),"Error","OK")</f>
        <v>OK</v>
      </c>
      <c r="W572" t="str">
        <f>IF(OR(Table13[[#This Row],[Quality_%]]&gt;=1,Table13[[#This Row],[Quality_%]]&lt;=0),"Error","OK")</f>
        <v>OK</v>
      </c>
      <c r="X572">
        <f>Table13[[#This Row],[Performance_%]]*Table13[[#This Row],[Quality_%]]*[2]Availability_KPI!K572</f>
        <v>0.47324444444444447</v>
      </c>
      <c r="Y572" t="str">
        <f>IF(OR(Table13[[#This Row],[OEE_%]]&gt;1,Table13[[#This Row],[OEE_%]]&lt;0),"Error","OK")</f>
        <v>OK</v>
      </c>
    </row>
    <row r="573" spans="1:25" x14ac:dyDescent="0.2">
      <c r="A573" t="s">
        <v>694</v>
      </c>
      <c r="B573" t="s">
        <v>691</v>
      </c>
      <c r="C573" s="2">
        <v>46268</v>
      </c>
      <c r="D573" t="s">
        <v>67</v>
      </c>
      <c r="E573" t="s">
        <v>38</v>
      </c>
      <c r="F573" t="s">
        <v>29</v>
      </c>
      <c r="G573" t="s">
        <v>44</v>
      </c>
      <c r="H573">
        <v>532</v>
      </c>
      <c r="I573">
        <v>528</v>
      </c>
      <c r="J573">
        <v>4</v>
      </c>
      <c r="K573">
        <v>22</v>
      </c>
      <c r="L573">
        <v>22.53</v>
      </c>
      <c r="M573">
        <v>199.77</v>
      </c>
      <c r="N573">
        <f>_xlfn.XLOOKUP(Table13[[#This Row],[Production_Order_ID]],[1]Sheet1!$A$2:$A$391,[1]Sheet1!$F$2:$F$391,"No Match")</f>
        <v>430</v>
      </c>
      <c r="O573" s="3">
        <f>Table13[[#This Row],[Good_Qty]]/Table13[[#This Row],[Planned_Production]]</f>
        <v>1.2279069767441861</v>
      </c>
      <c r="P573" t="str">
        <f>IF(Table13[[#This Row],[Good_Qty]]&gt;=Table13[[#This Row],[Planned_Production]],"Met","Not Met")</f>
        <v>Met</v>
      </c>
      <c r="Q573">
        <f>Table13[[#This Row],[Good_Qty]]-Table13[[#This Row],[Planned_Production]]</f>
        <v>98</v>
      </c>
      <c r="R573" s="3">
        <f>IF(Table13[[#This Row],[Actual_Qty]]=0,0,Table13[[#This Row],[Reject_Qty]]/Table13[[#This Row],[Actual_Qty]])</f>
        <v>7.5187969924812026E-3</v>
      </c>
      <c r="S573">
        <v>437.96</v>
      </c>
      <c r="T573">
        <f>(Table13[[#This Row],[Ideal_Cycle_Time_sec]]*Table13[[#This Row],[Actual_Qty]])/(Table13[[#This Row],[Operational_Time_min]]*60)</f>
        <v>0.44539836210308403</v>
      </c>
      <c r="U573">
        <f>Table13[[#This Row],[Good_Qty]]/Table13[[#This Row],[Actual_Qty]]</f>
        <v>0.99248120300751874</v>
      </c>
      <c r="V573" t="str">
        <f>IF(OR(Table13[[#This Row],[Performance_%]]&gt;=1,Table13[[#This Row],[Performance_%]]&lt;=0),"Error","OK")</f>
        <v>OK</v>
      </c>
      <c r="W573" t="str">
        <f>IF(OR(Table13[[#This Row],[Quality_%]]&gt;=1,Table13[[#This Row],[Quality_%]]&lt;=0),"Error","OK")</f>
        <v>OK</v>
      </c>
      <c r="X573">
        <f>Table13[[#This Row],[Performance_%]]*Table13[[#This Row],[Quality_%]]*[2]Availability_KPI!K573</f>
        <v>0.43022222222222217</v>
      </c>
      <c r="Y573" t="str">
        <f>IF(OR(Table13[[#This Row],[OEE_%]]&gt;1,Table13[[#This Row],[OEE_%]]&lt;0),"Error","OK")</f>
        <v>OK</v>
      </c>
    </row>
    <row r="574" spans="1:25" x14ac:dyDescent="0.2">
      <c r="A574" t="s">
        <v>695</v>
      </c>
      <c r="B574" t="s">
        <v>691</v>
      </c>
      <c r="C574" s="2">
        <v>46268</v>
      </c>
      <c r="D574" t="s">
        <v>67</v>
      </c>
      <c r="E574" t="s">
        <v>41</v>
      </c>
      <c r="F574" t="s">
        <v>29</v>
      </c>
      <c r="G574" t="s">
        <v>39</v>
      </c>
      <c r="H574">
        <v>530</v>
      </c>
      <c r="I574">
        <v>525</v>
      </c>
      <c r="J574">
        <v>5</v>
      </c>
      <c r="K574">
        <v>19.8</v>
      </c>
      <c r="L574">
        <v>20.61</v>
      </c>
      <c r="M574">
        <v>182.02</v>
      </c>
      <c r="N574">
        <f>_xlfn.XLOOKUP(Table13[[#This Row],[Production_Order_ID]],[1]Sheet1!$A$2:$A$391,[1]Sheet1!$F$2:$F$391,"No Match")</f>
        <v>430</v>
      </c>
      <c r="O574" s="3">
        <f>Table13[[#This Row],[Good_Qty]]/Table13[[#This Row],[Planned_Production]]</f>
        <v>1.2209302325581395</v>
      </c>
      <c r="P574" t="str">
        <f>IF(Table13[[#This Row],[Good_Qty]]&gt;=Table13[[#This Row],[Planned_Production]],"Met","Not Met")</f>
        <v>Met</v>
      </c>
      <c r="Q574">
        <f>Table13[[#This Row],[Good_Qty]]-Table13[[#This Row],[Planned_Production]]</f>
        <v>95</v>
      </c>
      <c r="R574" s="3">
        <f>IF(Table13[[#This Row],[Actual_Qty]]=0,0,Table13[[#This Row],[Reject_Qty]]/Table13[[#This Row],[Actual_Qty]])</f>
        <v>9.433962264150943E-3</v>
      </c>
      <c r="S574">
        <v>441.76</v>
      </c>
      <c r="T574">
        <f>(Table13[[#This Row],[Ideal_Cycle_Time_sec]]*Table13[[#This Row],[Actual_Qty]])/(Table13[[#This Row],[Operational_Time_min]]*60)</f>
        <v>0.39591633466135462</v>
      </c>
      <c r="U574">
        <f>Table13[[#This Row],[Good_Qty]]/Table13[[#This Row],[Actual_Qty]]</f>
        <v>0.99056603773584906</v>
      </c>
      <c r="V574" t="str">
        <f>IF(OR(Table13[[#This Row],[Performance_%]]&gt;=1,Table13[[#This Row],[Performance_%]]&lt;=0),"Error","OK")</f>
        <v>OK</v>
      </c>
      <c r="W574" t="str">
        <f>IF(OR(Table13[[#This Row],[Quality_%]]&gt;=1,Table13[[#This Row],[Quality_%]]&lt;=0),"Error","OK")</f>
        <v>OK</v>
      </c>
      <c r="X574">
        <f>Table13[[#This Row],[Performance_%]]*Table13[[#This Row],[Quality_%]]*[2]Availability_KPI!K574</f>
        <v>0.38500000000000001</v>
      </c>
      <c r="Y574" t="str">
        <f>IF(OR(Table13[[#This Row],[OEE_%]]&gt;1,Table13[[#This Row],[OEE_%]]&lt;0),"Error","OK")</f>
        <v>OK</v>
      </c>
    </row>
    <row r="575" spans="1:25" x14ac:dyDescent="0.2">
      <c r="A575" t="s">
        <v>696</v>
      </c>
      <c r="B575" t="s">
        <v>691</v>
      </c>
      <c r="C575" s="2">
        <v>46268</v>
      </c>
      <c r="D575" t="s">
        <v>67</v>
      </c>
      <c r="E575" t="s">
        <v>43</v>
      </c>
      <c r="F575" t="s">
        <v>29</v>
      </c>
      <c r="G575" t="s">
        <v>39</v>
      </c>
      <c r="H575">
        <v>545</v>
      </c>
      <c r="I575">
        <v>538</v>
      </c>
      <c r="J575">
        <v>7</v>
      </c>
      <c r="K575">
        <v>35.200000000000003</v>
      </c>
      <c r="L575">
        <v>38.35</v>
      </c>
      <c r="M575">
        <v>348.37</v>
      </c>
      <c r="N575">
        <f>_xlfn.XLOOKUP(Table13[[#This Row],[Production_Order_ID]],[1]Sheet1!$A$2:$A$391,[1]Sheet1!$F$2:$F$391,"No Match")</f>
        <v>430</v>
      </c>
      <c r="O575" s="3">
        <f>Table13[[#This Row],[Good_Qty]]/Table13[[#This Row],[Planned_Production]]</f>
        <v>1.2511627906976743</v>
      </c>
      <c r="P575" t="str">
        <f>IF(Table13[[#This Row],[Good_Qty]]&gt;=Table13[[#This Row],[Planned_Production]],"Met","Not Met")</f>
        <v>Met</v>
      </c>
      <c r="Q575">
        <f>Table13[[#This Row],[Good_Qty]]-Table13[[#This Row],[Planned_Production]]</f>
        <v>108</v>
      </c>
      <c r="R575" s="3">
        <f>IF(Table13[[#This Row],[Actual_Qty]]=0,0,Table13[[#This Row],[Reject_Qty]]/Table13[[#This Row],[Actual_Qty]])</f>
        <v>1.2844036697247707E-2</v>
      </c>
      <c r="S575">
        <v>411.99</v>
      </c>
      <c r="T575">
        <f>(Table13[[#This Row],[Ideal_Cycle_Time_sec]]*Table13[[#This Row],[Actual_Qty]])/(Table13[[#This Row],[Operational_Time_min]]*60)</f>
        <v>0.77607061660072651</v>
      </c>
      <c r="U575">
        <f>Table13[[#This Row],[Good_Qty]]/Table13[[#This Row],[Actual_Qty]]</f>
        <v>0.98715596330275235</v>
      </c>
      <c r="V575" t="str">
        <f>IF(OR(Table13[[#This Row],[Performance_%]]&gt;=1,Table13[[#This Row],[Performance_%]]&lt;=0),"Error","OK")</f>
        <v>OK</v>
      </c>
      <c r="W575" t="str">
        <f>IF(OR(Table13[[#This Row],[Quality_%]]&gt;=1,Table13[[#This Row],[Quality_%]]&lt;=0),"Error","OK")</f>
        <v>OK</v>
      </c>
      <c r="X575">
        <f>Table13[[#This Row],[Performance_%]]*Table13[[#This Row],[Quality_%]]*[2]Availability_KPI!K575</f>
        <v>0.70139259259259257</v>
      </c>
      <c r="Y575" t="str">
        <f>IF(OR(Table13[[#This Row],[OEE_%]]&gt;1,Table13[[#This Row],[OEE_%]]&lt;0),"Error","OK")</f>
        <v>OK</v>
      </c>
    </row>
    <row r="576" spans="1:25" x14ac:dyDescent="0.2">
      <c r="A576" t="s">
        <v>697</v>
      </c>
      <c r="B576" t="s">
        <v>691</v>
      </c>
      <c r="C576" s="2">
        <v>46268</v>
      </c>
      <c r="D576" t="s">
        <v>67</v>
      </c>
      <c r="E576" t="s">
        <v>46</v>
      </c>
      <c r="F576" t="s">
        <v>29</v>
      </c>
      <c r="G576" t="s">
        <v>33</v>
      </c>
      <c r="H576">
        <v>532</v>
      </c>
      <c r="I576">
        <v>528</v>
      </c>
      <c r="J576">
        <v>4</v>
      </c>
      <c r="K576">
        <v>27.5</v>
      </c>
      <c r="L576">
        <v>28.14</v>
      </c>
      <c r="M576">
        <v>249.52</v>
      </c>
      <c r="N576">
        <f>_xlfn.XLOOKUP(Table13[[#This Row],[Production_Order_ID]],[1]Sheet1!$A$2:$A$391,[1]Sheet1!$F$2:$F$391,"No Match")</f>
        <v>430</v>
      </c>
      <c r="O576" s="3">
        <f>Table13[[#This Row],[Good_Qty]]/Table13[[#This Row],[Planned_Production]]</f>
        <v>1.2279069767441861</v>
      </c>
      <c r="P576" t="str">
        <f>IF(Table13[[#This Row],[Good_Qty]]&gt;=Table13[[#This Row],[Planned_Production]],"Met","Not Met")</f>
        <v>Met</v>
      </c>
      <c r="Q576">
        <f>Table13[[#This Row],[Good_Qty]]-Table13[[#This Row],[Planned_Production]]</f>
        <v>98</v>
      </c>
      <c r="R576" s="3">
        <f>IF(Table13[[#This Row],[Actual_Qty]]=0,0,Table13[[#This Row],[Reject_Qty]]/Table13[[#This Row],[Actual_Qty]])</f>
        <v>7.5187969924812026E-3</v>
      </c>
      <c r="S576">
        <v>428.15</v>
      </c>
      <c r="T576">
        <f>(Table13[[#This Row],[Ideal_Cycle_Time_sec]]*Table13[[#This Row],[Actual_Qty]])/(Table13[[#This Row],[Operational_Time_min]]*60)</f>
        <v>0.56950445716065246</v>
      </c>
      <c r="U576">
        <f>Table13[[#This Row],[Good_Qty]]/Table13[[#This Row],[Actual_Qty]]</f>
        <v>0.99248120300751874</v>
      </c>
      <c r="V576" t="str">
        <f>IF(OR(Table13[[#This Row],[Performance_%]]&gt;=1,Table13[[#This Row],[Performance_%]]&lt;=0),"Error","OK")</f>
        <v>OK</v>
      </c>
      <c r="W576" t="str">
        <f>IF(OR(Table13[[#This Row],[Quality_%]]&gt;=1,Table13[[#This Row],[Quality_%]]&lt;=0),"Error","OK")</f>
        <v>OK</v>
      </c>
      <c r="X576">
        <f>Table13[[#This Row],[Performance_%]]*Table13[[#This Row],[Quality_%]]*[2]Availability_KPI!K576</f>
        <v>0.5377777777777778</v>
      </c>
      <c r="Y576" t="str">
        <f>IF(OR(Table13[[#This Row],[OEE_%]]&gt;1,Table13[[#This Row],[OEE_%]]&lt;0),"Error","OK")</f>
        <v>OK</v>
      </c>
    </row>
    <row r="577" spans="1:25" x14ac:dyDescent="0.2">
      <c r="A577" t="s">
        <v>698</v>
      </c>
      <c r="B577" t="s">
        <v>691</v>
      </c>
      <c r="C577" s="2">
        <v>46268</v>
      </c>
      <c r="D577" t="s">
        <v>67</v>
      </c>
      <c r="E577" t="s">
        <v>49</v>
      </c>
      <c r="F577" t="s">
        <v>29</v>
      </c>
      <c r="G577" t="s">
        <v>30</v>
      </c>
      <c r="H577">
        <v>521</v>
      </c>
      <c r="I577">
        <v>516</v>
      </c>
      <c r="J577">
        <v>5</v>
      </c>
      <c r="K577">
        <v>22</v>
      </c>
      <c r="L577">
        <v>23.85</v>
      </c>
      <c r="M577">
        <v>207.13</v>
      </c>
      <c r="N577">
        <f>_xlfn.XLOOKUP(Table13[[#This Row],[Production_Order_ID]],[1]Sheet1!$A$2:$A$391,[1]Sheet1!$F$2:$F$391,"No Match")</f>
        <v>430</v>
      </c>
      <c r="O577" s="3">
        <f>Table13[[#This Row],[Good_Qty]]/Table13[[#This Row],[Planned_Production]]</f>
        <v>1.2</v>
      </c>
      <c r="P577" t="str">
        <f>IF(Table13[[#This Row],[Good_Qty]]&gt;=Table13[[#This Row],[Planned_Production]],"Met","Not Met")</f>
        <v>Met</v>
      </c>
      <c r="Q577">
        <f>Table13[[#This Row],[Good_Qty]]-Table13[[#This Row],[Planned_Production]]</f>
        <v>86</v>
      </c>
      <c r="R577" s="3">
        <f>IF(Table13[[#This Row],[Actual_Qty]]=0,0,Table13[[#This Row],[Reject_Qty]]/Table13[[#This Row],[Actual_Qty]])</f>
        <v>9.5969289827255271E-3</v>
      </c>
      <c r="S577">
        <v>442.59</v>
      </c>
      <c r="T577">
        <f>(Table13[[#This Row],[Ideal_Cycle_Time_sec]]*Table13[[#This Row],[Actual_Qty]])/(Table13[[#This Row],[Operational_Time_min]]*60)</f>
        <v>0.43162595931524289</v>
      </c>
      <c r="U577">
        <f>Table13[[#This Row],[Good_Qty]]/Table13[[#This Row],[Actual_Qty]]</f>
        <v>0.99040307101727443</v>
      </c>
      <c r="V577" t="str">
        <f>IF(OR(Table13[[#This Row],[Performance_%]]&gt;=1,Table13[[#This Row],[Performance_%]]&lt;=0),"Error","OK")</f>
        <v>OK</v>
      </c>
      <c r="W577" t="str">
        <f>IF(OR(Table13[[#This Row],[Quality_%]]&gt;=1,Table13[[#This Row],[Quality_%]]&lt;=0),"Error","OK")</f>
        <v>OK</v>
      </c>
      <c r="X577">
        <f>Table13[[#This Row],[Performance_%]]*Table13[[#This Row],[Quality_%]]*[2]Availability_KPI!K577</f>
        <v>0.42044444444444445</v>
      </c>
      <c r="Y577" t="str">
        <f>IF(OR(Table13[[#This Row],[OEE_%]]&gt;1,Table13[[#This Row],[OEE_%]]&lt;0),"Error","OK")</f>
        <v>OK</v>
      </c>
    </row>
    <row r="578" spans="1:25" x14ac:dyDescent="0.2">
      <c r="A578" t="s">
        <v>699</v>
      </c>
      <c r="B578" t="s">
        <v>700</v>
      </c>
      <c r="C578" s="2">
        <v>46269</v>
      </c>
      <c r="D578" t="s">
        <v>27</v>
      </c>
      <c r="E578" t="s">
        <v>28</v>
      </c>
      <c r="F578" t="s">
        <v>29</v>
      </c>
      <c r="G578" t="s">
        <v>50</v>
      </c>
      <c r="H578">
        <v>570</v>
      </c>
      <c r="I578">
        <v>569</v>
      </c>
      <c r="J578">
        <v>1</v>
      </c>
      <c r="K578">
        <v>19.8</v>
      </c>
      <c r="L578">
        <v>20.23</v>
      </c>
      <c r="M578">
        <v>192.21</v>
      </c>
      <c r="N578">
        <f>_xlfn.XLOOKUP(Table13[[#This Row],[Production_Order_ID]],[1]Sheet1!$A$2:$A$391,[1]Sheet1!$F$2:$F$391,"No Match")</f>
        <v>510</v>
      </c>
      <c r="O578" s="3">
        <f>Table13[[#This Row],[Good_Qty]]/Table13[[#This Row],[Planned_Production]]</f>
        <v>1.115686274509804</v>
      </c>
      <c r="P578" t="str">
        <f>IF(Table13[[#This Row],[Good_Qty]]&gt;=Table13[[#This Row],[Planned_Production]],"Met","Not Met")</f>
        <v>Met</v>
      </c>
      <c r="Q578">
        <f>Table13[[#This Row],[Good_Qty]]-Table13[[#This Row],[Planned_Production]]</f>
        <v>59</v>
      </c>
      <c r="R578" s="3">
        <f>IF(Table13[[#This Row],[Actual_Qty]]=0,0,Table13[[#This Row],[Reject_Qty]]/Table13[[#This Row],[Actual_Qty]])</f>
        <v>1.7543859649122807E-3</v>
      </c>
      <c r="S578">
        <v>443.46</v>
      </c>
      <c r="T578">
        <f>(Table13[[#This Row],[Ideal_Cycle_Time_sec]]*Table13[[#This Row],[Actual_Qty]])/(Table13[[#This Row],[Operational_Time_min]]*60)</f>
        <v>0.42416452442159386</v>
      </c>
      <c r="U578">
        <f>Table13[[#This Row],[Good_Qty]]/Table13[[#This Row],[Actual_Qty]]</f>
        <v>0.99824561403508771</v>
      </c>
      <c r="V578" t="str">
        <f>IF(OR(Table13[[#This Row],[Performance_%]]&gt;=1,Table13[[#This Row],[Performance_%]]&lt;=0),"Error","OK")</f>
        <v>OK</v>
      </c>
      <c r="W578" t="str">
        <f>IF(OR(Table13[[#This Row],[Quality_%]]&gt;=1,Table13[[#This Row],[Quality_%]]&lt;=0),"Error","OK")</f>
        <v>OK</v>
      </c>
      <c r="X578">
        <f>Table13[[#This Row],[Performance_%]]*Table13[[#This Row],[Quality_%]]*[2]Availability_KPI!K578</f>
        <v>0.41726666666666667</v>
      </c>
      <c r="Y578" t="str">
        <f>IF(OR(Table13[[#This Row],[OEE_%]]&gt;1,Table13[[#This Row],[OEE_%]]&lt;0),"Error","OK")</f>
        <v>OK</v>
      </c>
    </row>
    <row r="579" spans="1:25" x14ac:dyDescent="0.2">
      <c r="A579" t="s">
        <v>701</v>
      </c>
      <c r="B579" t="s">
        <v>700</v>
      </c>
      <c r="C579" s="2">
        <v>46269</v>
      </c>
      <c r="D579" t="s">
        <v>27</v>
      </c>
      <c r="E579" t="s">
        <v>32</v>
      </c>
      <c r="F579" t="s">
        <v>29</v>
      </c>
      <c r="G579" t="s">
        <v>47</v>
      </c>
      <c r="H579">
        <v>593</v>
      </c>
      <c r="I579">
        <v>590</v>
      </c>
      <c r="J579">
        <v>3</v>
      </c>
      <c r="K579">
        <v>22</v>
      </c>
      <c r="L579">
        <v>23.21</v>
      </c>
      <c r="M579">
        <v>229.34</v>
      </c>
      <c r="N579">
        <f>_xlfn.XLOOKUP(Table13[[#This Row],[Production_Order_ID]],[1]Sheet1!$A$2:$A$391,[1]Sheet1!$F$2:$F$391,"No Match")</f>
        <v>510</v>
      </c>
      <c r="O579" s="3">
        <f>Table13[[#This Row],[Good_Qty]]/Table13[[#This Row],[Planned_Production]]</f>
        <v>1.1568627450980393</v>
      </c>
      <c r="P579" t="str">
        <f>IF(Table13[[#This Row],[Good_Qty]]&gt;=Table13[[#This Row],[Planned_Production]],"Met","Not Met")</f>
        <v>Met</v>
      </c>
      <c r="Q579">
        <f>Table13[[#This Row],[Good_Qty]]-Table13[[#This Row],[Planned_Production]]</f>
        <v>80</v>
      </c>
      <c r="R579" s="3">
        <f>IF(Table13[[#This Row],[Actual_Qty]]=0,0,Table13[[#This Row],[Reject_Qty]]/Table13[[#This Row],[Actual_Qty]])</f>
        <v>5.0590219224283303E-3</v>
      </c>
      <c r="S579">
        <v>438.97</v>
      </c>
      <c r="T579">
        <f>(Table13[[#This Row],[Ideal_Cycle_Time_sec]]*Table13[[#This Row],[Actual_Qty]])/(Table13[[#This Row],[Operational_Time_min]]*60)</f>
        <v>0.49532618022492042</v>
      </c>
      <c r="U579">
        <f>Table13[[#This Row],[Good_Qty]]/Table13[[#This Row],[Actual_Qty]]</f>
        <v>0.99494097807757165</v>
      </c>
      <c r="V579" t="str">
        <f>IF(OR(Table13[[#This Row],[Performance_%]]&gt;=1,Table13[[#This Row],[Performance_%]]&lt;=0),"Error","OK")</f>
        <v>OK</v>
      </c>
      <c r="W579" t="str">
        <f>IF(OR(Table13[[#This Row],[Quality_%]]&gt;=1,Table13[[#This Row],[Quality_%]]&lt;=0),"Error","OK")</f>
        <v>OK</v>
      </c>
      <c r="X579">
        <f>Table13[[#This Row],[Performance_%]]*Table13[[#This Row],[Quality_%]]*[2]Availability_KPI!K579</f>
        <v>0.48074074074074069</v>
      </c>
      <c r="Y579" t="str">
        <f>IF(OR(Table13[[#This Row],[OEE_%]]&gt;1,Table13[[#This Row],[OEE_%]]&lt;0),"Error","OK")</f>
        <v>OK</v>
      </c>
    </row>
    <row r="580" spans="1:25" x14ac:dyDescent="0.2">
      <c r="A580" t="s">
        <v>702</v>
      </c>
      <c r="B580" t="s">
        <v>700</v>
      </c>
      <c r="C580" s="2">
        <v>46269</v>
      </c>
      <c r="D580" t="s">
        <v>27</v>
      </c>
      <c r="E580" t="s">
        <v>35</v>
      </c>
      <c r="F580" t="s">
        <v>29</v>
      </c>
      <c r="G580" t="s">
        <v>47</v>
      </c>
      <c r="H580">
        <v>601</v>
      </c>
      <c r="I580">
        <v>597</v>
      </c>
      <c r="J580">
        <v>4</v>
      </c>
      <c r="K580">
        <v>24.2</v>
      </c>
      <c r="L580">
        <v>25.08</v>
      </c>
      <c r="M580">
        <v>251.21</v>
      </c>
      <c r="N580">
        <f>_xlfn.XLOOKUP(Table13[[#This Row],[Production_Order_ID]],[1]Sheet1!$A$2:$A$391,[1]Sheet1!$F$2:$F$391,"No Match")</f>
        <v>510</v>
      </c>
      <c r="O580" s="3">
        <f>Table13[[#This Row],[Good_Qty]]/Table13[[#This Row],[Planned_Production]]</f>
        <v>1.1705882352941177</v>
      </c>
      <c r="P580" t="str">
        <f>IF(Table13[[#This Row],[Good_Qty]]&gt;=Table13[[#This Row],[Planned_Production]],"Met","Not Met")</f>
        <v>Met</v>
      </c>
      <c r="Q580">
        <f>Table13[[#This Row],[Good_Qty]]-Table13[[#This Row],[Planned_Production]]</f>
        <v>87</v>
      </c>
      <c r="R580" s="3">
        <f>IF(Table13[[#This Row],[Actual_Qty]]=0,0,Table13[[#This Row],[Reject_Qty]]/Table13[[#This Row],[Actual_Qty]])</f>
        <v>6.6555740432612314E-3</v>
      </c>
      <c r="S580">
        <v>435.79</v>
      </c>
      <c r="T580">
        <f>(Table13[[#This Row],[Ideal_Cycle_Time_sec]]*Table13[[#This Row],[Actual_Qty]])/(Table13[[#This Row],[Operational_Time_min]]*60)</f>
        <v>0.55623886122520783</v>
      </c>
      <c r="U580">
        <f>Table13[[#This Row],[Good_Qty]]/Table13[[#This Row],[Actual_Qty]]</f>
        <v>0.99334442595673877</v>
      </c>
      <c r="V580" t="str">
        <f>IF(OR(Table13[[#This Row],[Performance_%]]&gt;=1,Table13[[#This Row],[Performance_%]]&lt;=0),"Error","OK")</f>
        <v>OK</v>
      </c>
      <c r="W580" t="str">
        <f>IF(OR(Table13[[#This Row],[Quality_%]]&gt;=1,Table13[[#This Row],[Quality_%]]&lt;=0),"Error","OK")</f>
        <v>OK</v>
      </c>
      <c r="X580">
        <f>Table13[[#This Row],[Performance_%]]*Table13[[#This Row],[Quality_%]]*[2]Availability_KPI!K580</f>
        <v>0.53508888888888884</v>
      </c>
      <c r="Y580" t="str">
        <f>IF(OR(Table13[[#This Row],[OEE_%]]&gt;1,Table13[[#This Row],[OEE_%]]&lt;0),"Error","OK")</f>
        <v>OK</v>
      </c>
    </row>
    <row r="581" spans="1:25" x14ac:dyDescent="0.2">
      <c r="A581" t="s">
        <v>703</v>
      </c>
      <c r="B581" t="s">
        <v>700</v>
      </c>
      <c r="C581" s="2">
        <v>46269</v>
      </c>
      <c r="D581" t="s">
        <v>27</v>
      </c>
      <c r="E581" t="s">
        <v>38</v>
      </c>
      <c r="F581" t="s">
        <v>29</v>
      </c>
      <c r="G581" t="s">
        <v>71</v>
      </c>
      <c r="H581">
        <v>594</v>
      </c>
      <c r="I581">
        <v>592</v>
      </c>
      <c r="J581">
        <v>2</v>
      </c>
      <c r="K581">
        <v>22</v>
      </c>
      <c r="L581">
        <v>22.95</v>
      </c>
      <c r="M581">
        <v>227.18</v>
      </c>
      <c r="N581">
        <f>_xlfn.XLOOKUP(Table13[[#This Row],[Production_Order_ID]],[1]Sheet1!$A$2:$A$391,[1]Sheet1!$F$2:$F$391,"No Match")</f>
        <v>510</v>
      </c>
      <c r="O581" s="3">
        <f>Table13[[#This Row],[Good_Qty]]/Table13[[#This Row],[Planned_Production]]</f>
        <v>1.1607843137254903</v>
      </c>
      <c r="P581" t="str">
        <f>IF(Table13[[#This Row],[Good_Qty]]&gt;=Table13[[#This Row],[Planned_Production]],"Met","Not Met")</f>
        <v>Met</v>
      </c>
      <c r="Q581">
        <f>Table13[[#This Row],[Good_Qty]]-Table13[[#This Row],[Planned_Production]]</f>
        <v>82</v>
      </c>
      <c r="R581" s="3">
        <f>IF(Table13[[#This Row],[Actual_Qty]]=0,0,Table13[[#This Row],[Reject_Qty]]/Table13[[#This Row],[Actual_Qty]])</f>
        <v>3.3670033670033669E-3</v>
      </c>
      <c r="S581">
        <v>440.02</v>
      </c>
      <c r="T581">
        <f>(Table13[[#This Row],[Ideal_Cycle_Time_sec]]*Table13[[#This Row],[Actual_Qty]])/(Table13[[#This Row],[Operational_Time_min]]*60)</f>
        <v>0.49497750102268084</v>
      </c>
      <c r="U581">
        <f>Table13[[#This Row],[Good_Qty]]/Table13[[#This Row],[Actual_Qty]]</f>
        <v>0.99663299663299665</v>
      </c>
      <c r="V581" t="str">
        <f>IF(OR(Table13[[#This Row],[Performance_%]]&gt;=1,Table13[[#This Row],[Performance_%]]&lt;=0),"Error","OK")</f>
        <v>OK</v>
      </c>
      <c r="W581" t="str">
        <f>IF(OR(Table13[[#This Row],[Quality_%]]&gt;=1,Table13[[#This Row],[Quality_%]]&lt;=0),"Error","OK")</f>
        <v>OK</v>
      </c>
      <c r="X581">
        <f>Table13[[#This Row],[Performance_%]]*Table13[[#This Row],[Quality_%]]*[2]Availability_KPI!K581</f>
        <v>0.48237037037037039</v>
      </c>
      <c r="Y581" t="str">
        <f>IF(OR(Table13[[#This Row],[OEE_%]]&gt;1,Table13[[#This Row],[OEE_%]]&lt;0),"Error","OK")</f>
        <v>OK</v>
      </c>
    </row>
    <row r="582" spans="1:25" x14ac:dyDescent="0.2">
      <c r="A582" t="s">
        <v>704</v>
      </c>
      <c r="B582" t="s">
        <v>700</v>
      </c>
      <c r="C582" s="2">
        <v>46269</v>
      </c>
      <c r="D582" t="s">
        <v>27</v>
      </c>
      <c r="E582" t="s">
        <v>41</v>
      </c>
      <c r="F582" t="s">
        <v>29</v>
      </c>
      <c r="G582" t="s">
        <v>50</v>
      </c>
      <c r="H582">
        <v>577</v>
      </c>
      <c r="I582">
        <v>574</v>
      </c>
      <c r="J582">
        <v>3</v>
      </c>
      <c r="K582">
        <v>19.8</v>
      </c>
      <c r="L582">
        <v>21.35</v>
      </c>
      <c r="M582">
        <v>205.36</v>
      </c>
      <c r="N582">
        <f>_xlfn.XLOOKUP(Table13[[#This Row],[Production_Order_ID]],[1]Sheet1!$A$2:$A$391,[1]Sheet1!$F$2:$F$391,"No Match")</f>
        <v>510</v>
      </c>
      <c r="O582" s="3">
        <f>Table13[[#This Row],[Good_Qty]]/Table13[[#This Row],[Planned_Production]]</f>
        <v>1.1254901960784314</v>
      </c>
      <c r="P582" t="str">
        <f>IF(Table13[[#This Row],[Good_Qty]]&gt;=Table13[[#This Row],[Planned_Production]],"Met","Not Met")</f>
        <v>Met</v>
      </c>
      <c r="Q582">
        <f>Table13[[#This Row],[Good_Qty]]-Table13[[#This Row],[Planned_Production]]</f>
        <v>64</v>
      </c>
      <c r="R582" s="3">
        <f>IF(Table13[[#This Row],[Actual_Qty]]=0,0,Table13[[#This Row],[Reject_Qty]]/Table13[[#This Row],[Actual_Qty]])</f>
        <v>5.1993067590987872E-3</v>
      </c>
      <c r="S582">
        <v>439.11</v>
      </c>
      <c r="T582">
        <f>(Table13[[#This Row],[Ideal_Cycle_Time_sec]]*Table13[[#This Row],[Actual_Qty]])/(Table13[[#This Row],[Operational_Time_min]]*60)</f>
        <v>0.43362710938033749</v>
      </c>
      <c r="U582">
        <f>Table13[[#This Row],[Good_Qty]]/Table13[[#This Row],[Actual_Qty]]</f>
        <v>0.99480069324090126</v>
      </c>
      <c r="V582" t="str">
        <f>IF(OR(Table13[[#This Row],[Performance_%]]&gt;=1,Table13[[#This Row],[Performance_%]]&lt;=0),"Error","OK")</f>
        <v>OK</v>
      </c>
      <c r="W582" t="str">
        <f>IF(OR(Table13[[#This Row],[Quality_%]]&gt;=1,Table13[[#This Row],[Quality_%]]&lt;=0),"Error","OK")</f>
        <v>OK</v>
      </c>
      <c r="X582">
        <f>Table13[[#This Row],[Performance_%]]*Table13[[#This Row],[Quality_%]]*[2]Availability_KPI!K582</f>
        <v>0.42093333333333338</v>
      </c>
      <c r="Y582" t="str">
        <f>IF(OR(Table13[[#This Row],[OEE_%]]&gt;1,Table13[[#This Row],[OEE_%]]&lt;0),"Error","OK")</f>
        <v>OK</v>
      </c>
    </row>
    <row r="583" spans="1:25" x14ac:dyDescent="0.2">
      <c r="A583" t="s">
        <v>705</v>
      </c>
      <c r="B583" t="s">
        <v>700</v>
      </c>
      <c r="C583" s="2">
        <v>46269</v>
      </c>
      <c r="D583" t="s">
        <v>27</v>
      </c>
      <c r="E583" t="s">
        <v>43</v>
      </c>
      <c r="F583" t="s">
        <v>29</v>
      </c>
      <c r="G583" t="s">
        <v>47</v>
      </c>
      <c r="H583">
        <v>584</v>
      </c>
      <c r="I583">
        <v>577</v>
      </c>
      <c r="J583">
        <v>7</v>
      </c>
      <c r="K583">
        <v>35.200000000000003</v>
      </c>
      <c r="L583">
        <v>38.369999999999997</v>
      </c>
      <c r="M583">
        <v>373.47</v>
      </c>
      <c r="N583">
        <f>_xlfn.XLOOKUP(Table13[[#This Row],[Production_Order_ID]],[1]Sheet1!$A$2:$A$391,[1]Sheet1!$F$2:$F$391,"No Match")</f>
        <v>510</v>
      </c>
      <c r="O583" s="3">
        <f>Table13[[#This Row],[Good_Qty]]/Table13[[#This Row],[Planned_Production]]</f>
        <v>1.1313725490196078</v>
      </c>
      <c r="P583" t="str">
        <f>IF(Table13[[#This Row],[Good_Qty]]&gt;=Table13[[#This Row],[Planned_Production]],"Met","Not Met")</f>
        <v>Met</v>
      </c>
      <c r="Q583">
        <f>Table13[[#This Row],[Good_Qty]]-Table13[[#This Row],[Planned_Production]]</f>
        <v>67</v>
      </c>
      <c r="R583" s="3">
        <f>IF(Table13[[#This Row],[Actual_Qty]]=0,0,Table13[[#This Row],[Reject_Qty]]/Table13[[#This Row],[Actual_Qty]])</f>
        <v>1.1986301369863013E-2</v>
      </c>
      <c r="S583">
        <v>414.15</v>
      </c>
      <c r="T583">
        <f>(Table13[[#This Row],[Ideal_Cycle_Time_sec]]*Table13[[#This Row],[Actual_Qty]])/(Table13[[#This Row],[Operational_Time_min]]*60)</f>
        <v>0.82726870296591426</v>
      </c>
      <c r="U583">
        <f>Table13[[#This Row],[Good_Qty]]/Table13[[#This Row],[Actual_Qty]]</f>
        <v>0.98801369863013699</v>
      </c>
      <c r="V583" t="str">
        <f>IF(OR(Table13[[#This Row],[Performance_%]]&gt;=1,Table13[[#This Row],[Performance_%]]&lt;=0),"Error","OK")</f>
        <v>OK</v>
      </c>
      <c r="W583" t="str">
        <f>IF(OR(Table13[[#This Row],[Quality_%]]&gt;=1,Table13[[#This Row],[Quality_%]]&lt;=0),"Error","OK")</f>
        <v>OK</v>
      </c>
      <c r="X583">
        <f>Table13[[#This Row],[Performance_%]]*Table13[[#This Row],[Quality_%]]*[2]Availability_KPI!K583</f>
        <v>0.75223703703703715</v>
      </c>
      <c r="Y583" t="str">
        <f>IF(OR(Table13[[#This Row],[OEE_%]]&gt;1,Table13[[#This Row],[OEE_%]]&lt;0),"Error","OK")</f>
        <v>OK</v>
      </c>
    </row>
    <row r="584" spans="1:25" x14ac:dyDescent="0.2">
      <c r="A584" t="s">
        <v>706</v>
      </c>
      <c r="B584" t="s">
        <v>700</v>
      </c>
      <c r="C584" s="2">
        <v>46269</v>
      </c>
      <c r="D584" t="s">
        <v>27</v>
      </c>
      <c r="E584" t="s">
        <v>46</v>
      </c>
      <c r="F584" t="s">
        <v>29</v>
      </c>
      <c r="G584" t="s">
        <v>71</v>
      </c>
      <c r="H584">
        <v>589</v>
      </c>
      <c r="I584">
        <v>582</v>
      </c>
      <c r="J584">
        <v>7</v>
      </c>
      <c r="K584">
        <v>27.5</v>
      </c>
      <c r="L584">
        <v>29.29</v>
      </c>
      <c r="M584">
        <v>287.48</v>
      </c>
      <c r="N584">
        <f>_xlfn.XLOOKUP(Table13[[#This Row],[Production_Order_ID]],[1]Sheet1!$A$2:$A$391,[1]Sheet1!$F$2:$F$391,"No Match")</f>
        <v>510</v>
      </c>
      <c r="O584" s="3">
        <f>Table13[[#This Row],[Good_Qty]]/Table13[[#This Row],[Planned_Production]]</f>
        <v>1.1411764705882352</v>
      </c>
      <c r="P584" t="str">
        <f>IF(Table13[[#This Row],[Good_Qty]]&gt;=Table13[[#This Row],[Planned_Production]],"Met","Not Met")</f>
        <v>Met</v>
      </c>
      <c r="Q584">
        <f>Table13[[#This Row],[Good_Qty]]-Table13[[#This Row],[Planned_Production]]</f>
        <v>72</v>
      </c>
      <c r="R584" s="3">
        <f>IF(Table13[[#This Row],[Actual_Qty]]=0,0,Table13[[#This Row],[Reject_Qty]]/Table13[[#This Row],[Actual_Qty]])</f>
        <v>1.1884550084889643E-2</v>
      </c>
      <c r="S584">
        <v>428.6</v>
      </c>
      <c r="T584">
        <f>(Table13[[#This Row],[Ideal_Cycle_Time_sec]]*Table13[[#This Row],[Actual_Qty]])/(Table13[[#This Row],[Operational_Time_min]]*60)</f>
        <v>0.62986078705864057</v>
      </c>
      <c r="U584">
        <f>Table13[[#This Row],[Good_Qty]]/Table13[[#This Row],[Actual_Qty]]</f>
        <v>0.98811544991511036</v>
      </c>
      <c r="V584" t="str">
        <f>IF(OR(Table13[[#This Row],[Performance_%]]&gt;=1,Table13[[#This Row],[Performance_%]]&lt;=0),"Error","OK")</f>
        <v>OK</v>
      </c>
      <c r="W584" t="str">
        <f>IF(OR(Table13[[#This Row],[Quality_%]]&gt;=1,Table13[[#This Row],[Quality_%]]&lt;=0),"Error","OK")</f>
        <v>OK</v>
      </c>
      <c r="X584">
        <f>Table13[[#This Row],[Performance_%]]*Table13[[#This Row],[Quality_%]]*[2]Availability_KPI!K584</f>
        <v>0.59277777777777785</v>
      </c>
      <c r="Y584" t="str">
        <f>IF(OR(Table13[[#This Row],[OEE_%]]&gt;1,Table13[[#This Row],[OEE_%]]&lt;0),"Error","OK")</f>
        <v>OK</v>
      </c>
    </row>
    <row r="585" spans="1:25" x14ac:dyDescent="0.2">
      <c r="A585" t="s">
        <v>707</v>
      </c>
      <c r="B585" t="s">
        <v>700</v>
      </c>
      <c r="C585" s="2">
        <v>46269</v>
      </c>
      <c r="D585" t="s">
        <v>27</v>
      </c>
      <c r="E585" t="s">
        <v>49</v>
      </c>
      <c r="F585" t="s">
        <v>29</v>
      </c>
      <c r="G585" t="s">
        <v>71</v>
      </c>
      <c r="H585">
        <v>594</v>
      </c>
      <c r="I585">
        <v>593</v>
      </c>
      <c r="J585">
        <v>1</v>
      </c>
      <c r="K585">
        <v>22</v>
      </c>
      <c r="L585">
        <v>23.41</v>
      </c>
      <c r="M585">
        <v>231.78</v>
      </c>
      <c r="N585">
        <f>_xlfn.XLOOKUP(Table13[[#This Row],[Production_Order_ID]],[1]Sheet1!$A$2:$A$391,[1]Sheet1!$F$2:$F$391,"No Match")</f>
        <v>510</v>
      </c>
      <c r="O585" s="3">
        <f>Table13[[#This Row],[Good_Qty]]/Table13[[#This Row],[Planned_Production]]</f>
        <v>1.1627450980392158</v>
      </c>
      <c r="P585" t="str">
        <f>IF(Table13[[#This Row],[Good_Qty]]&gt;=Table13[[#This Row],[Planned_Production]],"Met","Not Met")</f>
        <v>Met</v>
      </c>
      <c r="Q585">
        <f>Table13[[#This Row],[Good_Qty]]-Table13[[#This Row],[Planned_Production]]</f>
        <v>83</v>
      </c>
      <c r="R585" s="3">
        <f>IF(Table13[[#This Row],[Actual_Qty]]=0,0,Table13[[#This Row],[Reject_Qty]]/Table13[[#This Row],[Actual_Qty]])</f>
        <v>1.6835016835016834E-3</v>
      </c>
      <c r="S585">
        <v>438.73</v>
      </c>
      <c r="T585">
        <f>(Table13[[#This Row],[Ideal_Cycle_Time_sec]]*Table13[[#This Row],[Actual_Qty]])/(Table13[[#This Row],[Operational_Time_min]]*60)</f>
        <v>0.49643288582955342</v>
      </c>
      <c r="U585">
        <f>Table13[[#This Row],[Good_Qty]]/Table13[[#This Row],[Actual_Qty]]</f>
        <v>0.99831649831649827</v>
      </c>
      <c r="V585" t="str">
        <f>IF(OR(Table13[[#This Row],[Performance_%]]&gt;=1,Table13[[#This Row],[Performance_%]]&lt;=0),"Error","OK")</f>
        <v>OK</v>
      </c>
      <c r="W585" t="str">
        <f>IF(OR(Table13[[#This Row],[Quality_%]]&gt;=1,Table13[[#This Row],[Quality_%]]&lt;=0),"Error","OK")</f>
        <v>OK</v>
      </c>
      <c r="X585">
        <f>Table13[[#This Row],[Performance_%]]*Table13[[#This Row],[Quality_%]]*[2]Availability_KPI!K585</f>
        <v>0.48318518518518511</v>
      </c>
      <c r="Y585" t="str">
        <f>IF(OR(Table13[[#This Row],[OEE_%]]&gt;1,Table13[[#This Row],[OEE_%]]&lt;0),"Error","OK")</f>
        <v>OK</v>
      </c>
    </row>
    <row r="586" spans="1:25" x14ac:dyDescent="0.2">
      <c r="A586" t="s">
        <v>708</v>
      </c>
      <c r="B586" t="s">
        <v>709</v>
      </c>
      <c r="C586" s="2">
        <v>46269</v>
      </c>
      <c r="D586" t="s">
        <v>53</v>
      </c>
      <c r="E586" t="s">
        <v>28</v>
      </c>
      <c r="F586" t="s">
        <v>54</v>
      </c>
      <c r="G586" t="s">
        <v>55</v>
      </c>
      <c r="H586">
        <v>610</v>
      </c>
      <c r="I586">
        <v>606</v>
      </c>
      <c r="J586">
        <v>4</v>
      </c>
      <c r="K586">
        <v>18</v>
      </c>
      <c r="L586">
        <v>18.690000000000001</v>
      </c>
      <c r="M586">
        <v>190.02</v>
      </c>
      <c r="N586">
        <f>_xlfn.XLOOKUP(Table13[[#This Row],[Production_Order_ID]],[1]Sheet1!$A$2:$A$391,[1]Sheet1!$F$2:$F$391,"No Match")</f>
        <v>450</v>
      </c>
      <c r="O586" s="3">
        <f>Table13[[#This Row],[Good_Qty]]/Table13[[#This Row],[Planned_Production]]</f>
        <v>1.3466666666666667</v>
      </c>
      <c r="P586" t="str">
        <f>IF(Table13[[#This Row],[Good_Qty]]&gt;=Table13[[#This Row],[Planned_Production]],"Met","Not Met")</f>
        <v>Met</v>
      </c>
      <c r="Q586">
        <f>Table13[[#This Row],[Good_Qty]]-Table13[[#This Row],[Planned_Production]]</f>
        <v>156</v>
      </c>
      <c r="R586" s="3">
        <f>IF(Table13[[#This Row],[Actual_Qty]]=0,0,Table13[[#This Row],[Reject_Qty]]/Table13[[#This Row],[Actual_Qty]])</f>
        <v>6.5573770491803279E-3</v>
      </c>
      <c r="S586">
        <v>441.87</v>
      </c>
      <c r="T586">
        <f>(Table13[[#This Row],[Ideal_Cycle_Time_sec]]*Table13[[#This Row],[Actual_Qty]])/(Table13[[#This Row],[Operational_Time_min]]*60)</f>
        <v>0.41414895783827821</v>
      </c>
      <c r="U586">
        <f>Table13[[#This Row],[Good_Qty]]/Table13[[#This Row],[Actual_Qty]]</f>
        <v>0.99344262295081964</v>
      </c>
      <c r="V586" t="str">
        <f>IF(OR(Table13[[#This Row],[Performance_%]]&gt;=1,Table13[[#This Row],[Performance_%]]&lt;=0),"Error","OK")</f>
        <v>OK</v>
      </c>
      <c r="W586" t="str">
        <f>IF(OR(Table13[[#This Row],[Quality_%]]&gt;=1,Table13[[#This Row],[Quality_%]]&lt;=0),"Error","OK")</f>
        <v>OK</v>
      </c>
      <c r="X586">
        <f>Table13[[#This Row],[Performance_%]]*Table13[[#This Row],[Quality_%]]*[2]Availability_KPI!K586</f>
        <v>0.40399999999999997</v>
      </c>
      <c r="Y586" t="str">
        <f>IF(OR(Table13[[#This Row],[OEE_%]]&gt;1,Table13[[#This Row],[OEE_%]]&lt;0),"Error","OK")</f>
        <v>OK</v>
      </c>
    </row>
    <row r="587" spans="1:25" x14ac:dyDescent="0.2">
      <c r="A587" t="s">
        <v>710</v>
      </c>
      <c r="B587" t="s">
        <v>709</v>
      </c>
      <c r="C587" s="2">
        <v>46269</v>
      </c>
      <c r="D587" t="s">
        <v>53</v>
      </c>
      <c r="E587" t="s">
        <v>32</v>
      </c>
      <c r="F587" t="s">
        <v>54</v>
      </c>
      <c r="G587" t="s">
        <v>55</v>
      </c>
      <c r="H587">
        <v>605</v>
      </c>
      <c r="I587">
        <v>601</v>
      </c>
      <c r="J587">
        <v>4</v>
      </c>
      <c r="K587">
        <v>20</v>
      </c>
      <c r="L587">
        <v>20.32</v>
      </c>
      <c r="M587">
        <v>204.9</v>
      </c>
      <c r="N587">
        <f>_xlfn.XLOOKUP(Table13[[#This Row],[Production_Order_ID]],[1]Sheet1!$A$2:$A$391,[1]Sheet1!$F$2:$F$391,"No Match")</f>
        <v>450</v>
      </c>
      <c r="O587" s="3">
        <f>Table13[[#This Row],[Good_Qty]]/Table13[[#This Row],[Planned_Production]]</f>
        <v>1.3355555555555556</v>
      </c>
      <c r="P587" t="str">
        <f>IF(Table13[[#This Row],[Good_Qty]]&gt;=Table13[[#This Row],[Planned_Production]],"Met","Not Met")</f>
        <v>Met</v>
      </c>
      <c r="Q587">
        <f>Table13[[#This Row],[Good_Qty]]-Table13[[#This Row],[Planned_Production]]</f>
        <v>151</v>
      </c>
      <c r="R587" s="3">
        <f>IF(Table13[[#This Row],[Actual_Qty]]=0,0,Table13[[#This Row],[Reject_Qty]]/Table13[[#This Row],[Actual_Qty]])</f>
        <v>6.6115702479338841E-3</v>
      </c>
      <c r="S587">
        <v>440.26</v>
      </c>
      <c r="T587">
        <f>(Table13[[#This Row],[Ideal_Cycle_Time_sec]]*Table13[[#This Row],[Actual_Qty]])/(Table13[[#This Row],[Operational_Time_min]]*60)</f>
        <v>0.45806265994336681</v>
      </c>
      <c r="U587">
        <f>Table13[[#This Row],[Good_Qty]]/Table13[[#This Row],[Actual_Qty]]</f>
        <v>0.99338842975206609</v>
      </c>
      <c r="V587" t="str">
        <f>IF(OR(Table13[[#This Row],[Performance_%]]&gt;=1,Table13[[#This Row],[Performance_%]]&lt;=0),"Error","OK")</f>
        <v>OK</v>
      </c>
      <c r="W587" t="str">
        <f>IF(OR(Table13[[#This Row],[Quality_%]]&gt;=1,Table13[[#This Row],[Quality_%]]&lt;=0),"Error","OK")</f>
        <v>OK</v>
      </c>
      <c r="X587">
        <f>Table13[[#This Row],[Performance_%]]*Table13[[#This Row],[Quality_%]]*[2]Availability_KPI!K587</f>
        <v>0.44518518518518518</v>
      </c>
      <c r="Y587" t="str">
        <f>IF(OR(Table13[[#This Row],[OEE_%]]&gt;1,Table13[[#This Row],[OEE_%]]&lt;0),"Error","OK")</f>
        <v>OK</v>
      </c>
    </row>
    <row r="588" spans="1:25" x14ac:dyDescent="0.2">
      <c r="A588" t="s">
        <v>711</v>
      </c>
      <c r="B588" t="s">
        <v>709</v>
      </c>
      <c r="C588" s="2">
        <v>46269</v>
      </c>
      <c r="D588" t="s">
        <v>53</v>
      </c>
      <c r="E588" t="s">
        <v>35</v>
      </c>
      <c r="F588" t="s">
        <v>54</v>
      </c>
      <c r="G588" t="s">
        <v>75</v>
      </c>
      <c r="H588">
        <v>630</v>
      </c>
      <c r="I588">
        <v>624</v>
      </c>
      <c r="J588">
        <v>6</v>
      </c>
      <c r="K588">
        <v>22</v>
      </c>
      <c r="L588">
        <v>24.44</v>
      </c>
      <c r="M588">
        <v>256.64999999999998</v>
      </c>
      <c r="N588">
        <f>_xlfn.XLOOKUP(Table13[[#This Row],[Production_Order_ID]],[1]Sheet1!$A$2:$A$391,[1]Sheet1!$F$2:$F$391,"No Match")</f>
        <v>450</v>
      </c>
      <c r="O588" s="3">
        <f>Table13[[#This Row],[Good_Qty]]/Table13[[#This Row],[Planned_Production]]</f>
        <v>1.3866666666666667</v>
      </c>
      <c r="P588" t="str">
        <f>IF(Table13[[#This Row],[Good_Qty]]&gt;=Table13[[#This Row],[Planned_Production]],"Met","Not Met")</f>
        <v>Met</v>
      </c>
      <c r="Q588">
        <f>Table13[[#This Row],[Good_Qty]]-Table13[[#This Row],[Planned_Production]]</f>
        <v>174</v>
      </c>
      <c r="R588" s="3">
        <f>IF(Table13[[#This Row],[Actual_Qty]]=0,0,Table13[[#This Row],[Reject_Qty]]/Table13[[#This Row],[Actual_Qty]])</f>
        <v>9.5238095238095247E-3</v>
      </c>
      <c r="S588">
        <v>429.29</v>
      </c>
      <c r="T588">
        <f>(Table13[[#This Row],[Ideal_Cycle_Time_sec]]*Table13[[#This Row],[Actual_Qty]])/(Table13[[#This Row],[Operational_Time_min]]*60)</f>
        <v>0.538097789373151</v>
      </c>
      <c r="U588">
        <f>Table13[[#This Row],[Good_Qty]]/Table13[[#This Row],[Actual_Qty]]</f>
        <v>0.99047619047619051</v>
      </c>
      <c r="V588" t="str">
        <f>IF(OR(Table13[[#This Row],[Performance_%]]&gt;=1,Table13[[#This Row],[Performance_%]]&lt;=0),"Error","OK")</f>
        <v>OK</v>
      </c>
      <c r="W588" t="str">
        <f>IF(OR(Table13[[#This Row],[Quality_%]]&gt;=1,Table13[[#This Row],[Quality_%]]&lt;=0),"Error","OK")</f>
        <v>OK</v>
      </c>
      <c r="X588">
        <f>Table13[[#This Row],[Performance_%]]*Table13[[#This Row],[Quality_%]]*[2]Availability_KPI!K588</f>
        <v>0.50844444444444448</v>
      </c>
      <c r="Y588" t="str">
        <f>IF(OR(Table13[[#This Row],[OEE_%]]&gt;1,Table13[[#This Row],[OEE_%]]&lt;0),"Error","OK")</f>
        <v>OK</v>
      </c>
    </row>
    <row r="589" spans="1:25" x14ac:dyDescent="0.2">
      <c r="A589" t="s">
        <v>712</v>
      </c>
      <c r="B589" t="s">
        <v>709</v>
      </c>
      <c r="C589" s="2">
        <v>46269</v>
      </c>
      <c r="D589" t="s">
        <v>53</v>
      </c>
      <c r="E589" t="s">
        <v>38</v>
      </c>
      <c r="F589" t="s">
        <v>54</v>
      </c>
      <c r="G589" t="s">
        <v>47</v>
      </c>
      <c r="H589">
        <v>616</v>
      </c>
      <c r="I589">
        <v>611</v>
      </c>
      <c r="J589">
        <v>5</v>
      </c>
      <c r="K589">
        <v>20</v>
      </c>
      <c r="L589">
        <v>20.66</v>
      </c>
      <c r="M589">
        <v>212.1</v>
      </c>
      <c r="N589">
        <f>_xlfn.XLOOKUP(Table13[[#This Row],[Production_Order_ID]],[1]Sheet1!$A$2:$A$391,[1]Sheet1!$F$2:$F$391,"No Match")</f>
        <v>450</v>
      </c>
      <c r="O589" s="3">
        <f>Table13[[#This Row],[Good_Qty]]/Table13[[#This Row],[Planned_Production]]</f>
        <v>1.3577777777777778</v>
      </c>
      <c r="P589" t="str">
        <f>IF(Table13[[#This Row],[Good_Qty]]&gt;=Table13[[#This Row],[Planned_Production]],"Met","Not Met")</f>
        <v>Met</v>
      </c>
      <c r="Q589">
        <f>Table13[[#This Row],[Good_Qty]]-Table13[[#This Row],[Planned_Production]]</f>
        <v>161</v>
      </c>
      <c r="R589" s="3">
        <f>IF(Table13[[#This Row],[Actual_Qty]]=0,0,Table13[[#This Row],[Reject_Qty]]/Table13[[#This Row],[Actual_Qty]])</f>
        <v>8.1168831168831161E-3</v>
      </c>
      <c r="S589">
        <v>437.39</v>
      </c>
      <c r="T589">
        <f>(Table13[[#This Row],[Ideal_Cycle_Time_sec]]*Table13[[#This Row],[Actual_Qty]])/(Table13[[#This Row],[Operational_Time_min]]*60)</f>
        <v>0.46945136681984806</v>
      </c>
      <c r="U589">
        <f>Table13[[#This Row],[Good_Qty]]/Table13[[#This Row],[Actual_Qty]]</f>
        <v>0.99188311688311692</v>
      </c>
      <c r="V589" t="str">
        <f>IF(OR(Table13[[#This Row],[Performance_%]]&gt;=1,Table13[[#This Row],[Performance_%]]&lt;=0),"Error","OK")</f>
        <v>OK</v>
      </c>
      <c r="W589" t="str">
        <f>IF(OR(Table13[[#This Row],[Quality_%]]&gt;=1,Table13[[#This Row],[Quality_%]]&lt;=0),"Error","OK")</f>
        <v>OK</v>
      </c>
      <c r="X589">
        <f>Table13[[#This Row],[Performance_%]]*Table13[[#This Row],[Quality_%]]*[2]Availability_KPI!K589</f>
        <v>0.4525925925925926</v>
      </c>
      <c r="Y589" t="str">
        <f>IF(OR(Table13[[#This Row],[OEE_%]]&gt;1,Table13[[#This Row],[OEE_%]]&lt;0),"Error","OK")</f>
        <v>OK</v>
      </c>
    </row>
    <row r="590" spans="1:25" x14ac:dyDescent="0.2">
      <c r="A590" t="s">
        <v>713</v>
      </c>
      <c r="B590" t="s">
        <v>709</v>
      </c>
      <c r="C590" s="2">
        <v>46269</v>
      </c>
      <c r="D590" t="s">
        <v>53</v>
      </c>
      <c r="E590" t="s">
        <v>41</v>
      </c>
      <c r="F590" t="s">
        <v>54</v>
      </c>
      <c r="G590" t="s">
        <v>75</v>
      </c>
      <c r="H590">
        <v>616</v>
      </c>
      <c r="I590">
        <v>613</v>
      </c>
      <c r="J590">
        <v>3</v>
      </c>
      <c r="K590">
        <v>18</v>
      </c>
      <c r="L590">
        <v>18.850000000000001</v>
      </c>
      <c r="M590">
        <v>193.55</v>
      </c>
      <c r="N590">
        <f>_xlfn.XLOOKUP(Table13[[#This Row],[Production_Order_ID]],[1]Sheet1!$A$2:$A$391,[1]Sheet1!$F$2:$F$391,"No Match")</f>
        <v>450</v>
      </c>
      <c r="O590" s="3">
        <f>Table13[[#This Row],[Good_Qty]]/Table13[[#This Row],[Planned_Production]]</f>
        <v>1.3622222222222222</v>
      </c>
      <c r="P590" t="str">
        <f>IF(Table13[[#This Row],[Good_Qty]]&gt;=Table13[[#This Row],[Planned_Production]],"Met","Not Met")</f>
        <v>Met</v>
      </c>
      <c r="Q590">
        <f>Table13[[#This Row],[Good_Qty]]-Table13[[#This Row],[Planned_Production]]</f>
        <v>163</v>
      </c>
      <c r="R590" s="3">
        <f>IF(Table13[[#This Row],[Actual_Qty]]=0,0,Table13[[#This Row],[Reject_Qty]]/Table13[[#This Row],[Actual_Qty]])</f>
        <v>4.87012987012987E-3</v>
      </c>
      <c r="S590">
        <v>438.27</v>
      </c>
      <c r="T590">
        <f>(Table13[[#This Row],[Ideal_Cycle_Time_sec]]*Table13[[#This Row],[Actual_Qty]])/(Table13[[#This Row],[Operational_Time_min]]*60)</f>
        <v>0.42165788212745575</v>
      </c>
      <c r="U590">
        <f>Table13[[#This Row],[Good_Qty]]/Table13[[#This Row],[Actual_Qty]]</f>
        <v>0.99512987012987009</v>
      </c>
      <c r="V590" t="str">
        <f>IF(OR(Table13[[#This Row],[Performance_%]]&gt;=1,Table13[[#This Row],[Performance_%]]&lt;=0),"Error","OK")</f>
        <v>OK</v>
      </c>
      <c r="W590" t="str">
        <f>IF(OR(Table13[[#This Row],[Quality_%]]&gt;=1,Table13[[#This Row],[Quality_%]]&lt;=0),"Error","OK")</f>
        <v>OK</v>
      </c>
      <c r="X590">
        <f>Table13[[#This Row],[Performance_%]]*Table13[[#This Row],[Quality_%]]*[2]Availability_KPI!K590</f>
        <v>0.40866666666666673</v>
      </c>
      <c r="Y590" t="str">
        <f>IF(OR(Table13[[#This Row],[OEE_%]]&gt;1,Table13[[#This Row],[OEE_%]]&lt;0),"Error","OK")</f>
        <v>OK</v>
      </c>
    </row>
    <row r="591" spans="1:25" x14ac:dyDescent="0.2">
      <c r="A591" t="s">
        <v>714</v>
      </c>
      <c r="B591" t="s">
        <v>709</v>
      </c>
      <c r="C591" s="2">
        <v>46269</v>
      </c>
      <c r="D591" t="s">
        <v>53</v>
      </c>
      <c r="E591" t="s">
        <v>43</v>
      </c>
      <c r="F591" t="s">
        <v>54</v>
      </c>
      <c r="G591" t="s">
        <v>61</v>
      </c>
      <c r="H591">
        <v>602</v>
      </c>
      <c r="I591">
        <v>591</v>
      </c>
      <c r="J591">
        <v>11</v>
      </c>
      <c r="K591">
        <v>32</v>
      </c>
      <c r="L591">
        <v>34.1</v>
      </c>
      <c r="M591">
        <v>342.18</v>
      </c>
      <c r="N591">
        <f>_xlfn.XLOOKUP(Table13[[#This Row],[Production_Order_ID]],[1]Sheet1!$A$2:$A$391,[1]Sheet1!$F$2:$F$391,"No Match")</f>
        <v>450</v>
      </c>
      <c r="O591" s="3">
        <f>Table13[[#This Row],[Good_Qty]]/Table13[[#This Row],[Planned_Production]]</f>
        <v>1.3133333333333332</v>
      </c>
      <c r="P591" t="str">
        <f>IF(Table13[[#This Row],[Good_Qty]]&gt;=Table13[[#This Row],[Planned_Production]],"Met","Not Met")</f>
        <v>Met</v>
      </c>
      <c r="Q591">
        <f>Table13[[#This Row],[Good_Qty]]-Table13[[#This Row],[Planned_Production]]</f>
        <v>141</v>
      </c>
      <c r="R591" s="3">
        <f>IF(Table13[[#This Row],[Actual_Qty]]=0,0,Table13[[#This Row],[Reject_Qty]]/Table13[[#This Row],[Actual_Qty]])</f>
        <v>1.8272425249169437E-2</v>
      </c>
      <c r="S591">
        <v>408.13</v>
      </c>
      <c r="T591">
        <f>(Table13[[#This Row],[Ideal_Cycle_Time_sec]]*Table13[[#This Row],[Actual_Qty]])/(Table13[[#This Row],[Operational_Time_min]]*60)</f>
        <v>0.78667744754530833</v>
      </c>
      <c r="U591">
        <f>Table13[[#This Row],[Good_Qty]]/Table13[[#This Row],[Actual_Qty]]</f>
        <v>0.98172757475083061</v>
      </c>
      <c r="V591" t="str">
        <f>IF(OR(Table13[[#This Row],[Performance_%]]&gt;=1,Table13[[#This Row],[Performance_%]]&lt;=0),"Error","OK")</f>
        <v>OK</v>
      </c>
      <c r="W591" t="str">
        <f>IF(OR(Table13[[#This Row],[Quality_%]]&gt;=1,Table13[[#This Row],[Quality_%]]&lt;=0),"Error","OK")</f>
        <v>OK</v>
      </c>
      <c r="X591">
        <f>Table13[[#This Row],[Performance_%]]*Table13[[#This Row],[Quality_%]]*[2]Availability_KPI!K591</f>
        <v>0.70044444444444454</v>
      </c>
      <c r="Y591" t="str">
        <f>IF(OR(Table13[[#This Row],[OEE_%]]&gt;1,Table13[[#This Row],[OEE_%]]&lt;0),"Error","OK")</f>
        <v>OK</v>
      </c>
    </row>
    <row r="592" spans="1:25" x14ac:dyDescent="0.2">
      <c r="A592" t="s">
        <v>715</v>
      </c>
      <c r="B592" t="s">
        <v>709</v>
      </c>
      <c r="C592" s="2">
        <v>46269</v>
      </c>
      <c r="D592" t="s">
        <v>53</v>
      </c>
      <c r="E592" t="s">
        <v>46</v>
      </c>
      <c r="F592" t="s">
        <v>54</v>
      </c>
      <c r="G592" t="s">
        <v>71</v>
      </c>
      <c r="H592">
        <v>615</v>
      </c>
      <c r="I592">
        <v>609</v>
      </c>
      <c r="J592">
        <v>6</v>
      </c>
      <c r="K592">
        <v>25</v>
      </c>
      <c r="L592">
        <v>26.06</v>
      </c>
      <c r="M592">
        <v>267.13</v>
      </c>
      <c r="N592">
        <f>_xlfn.XLOOKUP(Table13[[#This Row],[Production_Order_ID]],[1]Sheet1!$A$2:$A$391,[1]Sheet1!$F$2:$F$391,"No Match")</f>
        <v>450</v>
      </c>
      <c r="O592" s="3">
        <f>Table13[[#This Row],[Good_Qty]]/Table13[[#This Row],[Planned_Production]]</f>
        <v>1.3533333333333333</v>
      </c>
      <c r="P592" t="str">
        <f>IF(Table13[[#This Row],[Good_Qty]]&gt;=Table13[[#This Row],[Planned_Production]],"Met","Not Met")</f>
        <v>Met</v>
      </c>
      <c r="Q592">
        <f>Table13[[#This Row],[Good_Qty]]-Table13[[#This Row],[Planned_Production]]</f>
        <v>159</v>
      </c>
      <c r="R592" s="3">
        <f>IF(Table13[[#This Row],[Actual_Qty]]=0,0,Table13[[#This Row],[Reject_Qty]]/Table13[[#This Row],[Actual_Qty]])</f>
        <v>9.7560975609756097E-3</v>
      </c>
      <c r="S592">
        <v>428.56</v>
      </c>
      <c r="T592">
        <f>(Table13[[#This Row],[Ideal_Cycle_Time_sec]]*Table13[[#This Row],[Actual_Qty]])/(Table13[[#This Row],[Operational_Time_min]]*60)</f>
        <v>0.59793261153630772</v>
      </c>
      <c r="U592">
        <f>Table13[[#This Row],[Good_Qty]]/Table13[[#This Row],[Actual_Qty]]</f>
        <v>0.99024390243902438</v>
      </c>
      <c r="V592" t="str">
        <f>IF(OR(Table13[[#This Row],[Performance_%]]&gt;=1,Table13[[#This Row],[Performance_%]]&lt;=0),"Error","OK")</f>
        <v>OK</v>
      </c>
      <c r="W592" t="str">
        <f>IF(OR(Table13[[#This Row],[Quality_%]]&gt;=1,Table13[[#This Row],[Quality_%]]&lt;=0),"Error","OK")</f>
        <v>OK</v>
      </c>
      <c r="X592">
        <f>Table13[[#This Row],[Performance_%]]*Table13[[#This Row],[Quality_%]]*[2]Availability_KPI!K592</f>
        <v>0.56388888888888899</v>
      </c>
      <c r="Y592" t="str">
        <f>IF(OR(Table13[[#This Row],[OEE_%]]&gt;1,Table13[[#This Row],[OEE_%]]&lt;0),"Error","OK")</f>
        <v>OK</v>
      </c>
    </row>
    <row r="593" spans="1:25" x14ac:dyDescent="0.2">
      <c r="A593" t="s">
        <v>716</v>
      </c>
      <c r="B593" t="s">
        <v>709</v>
      </c>
      <c r="C593" s="2">
        <v>46269</v>
      </c>
      <c r="D593" t="s">
        <v>53</v>
      </c>
      <c r="E593" t="s">
        <v>49</v>
      </c>
      <c r="F593" t="s">
        <v>54</v>
      </c>
      <c r="G593" t="s">
        <v>39</v>
      </c>
      <c r="H593">
        <v>611</v>
      </c>
      <c r="I593">
        <v>606</v>
      </c>
      <c r="J593">
        <v>5</v>
      </c>
      <c r="K593">
        <v>20</v>
      </c>
      <c r="L593">
        <v>20.67</v>
      </c>
      <c r="M593">
        <v>210.51</v>
      </c>
      <c r="N593">
        <f>_xlfn.XLOOKUP(Table13[[#This Row],[Production_Order_ID]],[1]Sheet1!$A$2:$A$391,[1]Sheet1!$F$2:$F$391,"No Match")</f>
        <v>450</v>
      </c>
      <c r="O593" s="3">
        <f>Table13[[#This Row],[Good_Qty]]/Table13[[#This Row],[Planned_Production]]</f>
        <v>1.3466666666666667</v>
      </c>
      <c r="P593" t="str">
        <f>IF(Table13[[#This Row],[Good_Qty]]&gt;=Table13[[#This Row],[Planned_Production]],"Met","Not Met")</f>
        <v>Met</v>
      </c>
      <c r="Q593">
        <f>Table13[[#This Row],[Good_Qty]]-Table13[[#This Row],[Planned_Production]]</f>
        <v>156</v>
      </c>
      <c r="R593" s="3">
        <f>IF(Table13[[#This Row],[Actual_Qty]]=0,0,Table13[[#This Row],[Reject_Qty]]/Table13[[#This Row],[Actual_Qty]])</f>
        <v>8.1833060556464818E-3</v>
      </c>
      <c r="S593">
        <v>443.34</v>
      </c>
      <c r="T593">
        <f>(Table13[[#This Row],[Ideal_Cycle_Time_sec]]*Table13[[#This Row],[Actual_Qty]])/(Table13[[#This Row],[Operational_Time_min]]*60)</f>
        <v>0.45939158809641967</v>
      </c>
      <c r="U593">
        <f>Table13[[#This Row],[Good_Qty]]/Table13[[#This Row],[Actual_Qty]]</f>
        <v>0.99181669394435357</v>
      </c>
      <c r="V593" t="str">
        <f>IF(OR(Table13[[#This Row],[Performance_%]]&gt;=1,Table13[[#This Row],[Performance_%]]&lt;=0),"Error","OK")</f>
        <v>OK</v>
      </c>
      <c r="W593" t="str">
        <f>IF(OR(Table13[[#This Row],[Quality_%]]&gt;=1,Table13[[#This Row],[Quality_%]]&lt;=0),"Error","OK")</f>
        <v>OK</v>
      </c>
      <c r="X593">
        <f>Table13[[#This Row],[Performance_%]]*Table13[[#This Row],[Quality_%]]*[2]Availability_KPI!K593</f>
        <v>0.44888888888888895</v>
      </c>
      <c r="Y593" t="str">
        <f>IF(OR(Table13[[#This Row],[OEE_%]]&gt;1,Table13[[#This Row],[OEE_%]]&lt;0),"Error","OK")</f>
        <v>OK</v>
      </c>
    </row>
    <row r="594" spans="1:25" x14ac:dyDescent="0.2">
      <c r="A594" t="s">
        <v>717</v>
      </c>
      <c r="B594" t="s">
        <v>718</v>
      </c>
      <c r="C594" s="2">
        <v>46269</v>
      </c>
      <c r="D594" t="s">
        <v>67</v>
      </c>
      <c r="E594" t="s">
        <v>28</v>
      </c>
      <c r="F594" t="s">
        <v>97</v>
      </c>
      <c r="G594" t="s">
        <v>33</v>
      </c>
      <c r="H594">
        <v>648</v>
      </c>
      <c r="I594">
        <v>643</v>
      </c>
      <c r="J594">
        <v>5</v>
      </c>
      <c r="K594">
        <v>19.260000000000002</v>
      </c>
      <c r="L594">
        <v>19.739999999999998</v>
      </c>
      <c r="M594">
        <v>213.23</v>
      </c>
      <c r="N594">
        <f>_xlfn.XLOOKUP(Table13[[#This Row],[Production_Order_ID]],[1]Sheet1!$A$2:$A$391,[1]Sheet1!$F$2:$F$391,"No Match")</f>
        <v>520</v>
      </c>
      <c r="O594" s="3">
        <f>Table13[[#This Row],[Good_Qty]]/Table13[[#This Row],[Planned_Production]]</f>
        <v>1.2365384615384616</v>
      </c>
      <c r="P594" t="str">
        <f>IF(Table13[[#This Row],[Good_Qty]]&gt;=Table13[[#This Row],[Planned_Production]],"Met","Not Met")</f>
        <v>Met</v>
      </c>
      <c r="Q594">
        <f>Table13[[#This Row],[Good_Qty]]-Table13[[#This Row],[Planned_Production]]</f>
        <v>123</v>
      </c>
      <c r="R594" s="3">
        <f>IF(Table13[[#This Row],[Actual_Qty]]=0,0,Table13[[#This Row],[Reject_Qty]]/Table13[[#This Row],[Actual_Qty]])</f>
        <v>7.716049382716049E-3</v>
      </c>
      <c r="S594">
        <v>439.41</v>
      </c>
      <c r="T594">
        <f>(Table13[[#This Row],[Ideal_Cycle_Time_sec]]*Table13[[#This Row],[Actual_Qty]])/(Table13[[#This Row],[Operational_Time_min]]*60)</f>
        <v>0.47338021437837102</v>
      </c>
      <c r="U594">
        <f>Table13[[#This Row],[Good_Qty]]/Table13[[#This Row],[Actual_Qty]]</f>
        <v>0.99228395061728392</v>
      </c>
      <c r="V594" t="str">
        <f>IF(OR(Table13[[#This Row],[Performance_%]]&gt;=1,Table13[[#This Row],[Performance_%]]&lt;=0),"Error","OK")</f>
        <v>OK</v>
      </c>
      <c r="W594" t="str">
        <f>IF(OR(Table13[[#This Row],[Quality_%]]&gt;=1,Table13[[#This Row],[Quality_%]]&lt;=0),"Error","OK")</f>
        <v>OK</v>
      </c>
      <c r="X594">
        <f>Table13[[#This Row],[Performance_%]]*Table13[[#This Row],[Quality_%]]*[2]Availability_KPI!K594</f>
        <v>0.45867333333333338</v>
      </c>
      <c r="Y594" t="str">
        <f>IF(OR(Table13[[#This Row],[OEE_%]]&gt;1,Table13[[#This Row],[OEE_%]]&lt;0),"Error","OK")</f>
        <v>OK</v>
      </c>
    </row>
    <row r="595" spans="1:25" x14ac:dyDescent="0.2">
      <c r="A595" t="s">
        <v>719</v>
      </c>
      <c r="B595" t="s">
        <v>718</v>
      </c>
      <c r="C595" s="2">
        <v>46269</v>
      </c>
      <c r="D595" t="s">
        <v>67</v>
      </c>
      <c r="E595" t="s">
        <v>32</v>
      </c>
      <c r="F595" t="s">
        <v>97</v>
      </c>
      <c r="G595" t="s">
        <v>61</v>
      </c>
      <c r="H595">
        <v>631</v>
      </c>
      <c r="I595">
        <v>627</v>
      </c>
      <c r="J595">
        <v>4</v>
      </c>
      <c r="K595">
        <v>21.4</v>
      </c>
      <c r="L595">
        <v>23.33</v>
      </c>
      <c r="M595">
        <v>245.38</v>
      </c>
      <c r="N595">
        <f>_xlfn.XLOOKUP(Table13[[#This Row],[Production_Order_ID]],[1]Sheet1!$A$2:$A$391,[1]Sheet1!$F$2:$F$391,"No Match")</f>
        <v>520</v>
      </c>
      <c r="O595" s="3">
        <f>Table13[[#This Row],[Good_Qty]]/Table13[[#This Row],[Planned_Production]]</f>
        <v>1.2057692307692307</v>
      </c>
      <c r="P595" t="str">
        <f>IF(Table13[[#This Row],[Good_Qty]]&gt;=Table13[[#This Row],[Planned_Production]],"Met","Not Met")</f>
        <v>Met</v>
      </c>
      <c r="Q595">
        <f>Table13[[#This Row],[Good_Qty]]-Table13[[#This Row],[Planned_Production]]</f>
        <v>107</v>
      </c>
      <c r="R595" s="3">
        <f>IF(Table13[[#This Row],[Actual_Qty]]=0,0,Table13[[#This Row],[Reject_Qty]]/Table13[[#This Row],[Actual_Qty]])</f>
        <v>6.3391442155309036E-3</v>
      </c>
      <c r="S595">
        <v>436.83</v>
      </c>
      <c r="T595">
        <f>(Table13[[#This Row],[Ideal_Cycle_Time_sec]]*Table13[[#This Row],[Actual_Qty]])/(Table13[[#This Row],[Operational_Time_min]]*60)</f>
        <v>0.51520423658326275</v>
      </c>
      <c r="U595">
        <f>Table13[[#This Row],[Good_Qty]]/Table13[[#This Row],[Actual_Qty]]</f>
        <v>0.99366085578446905</v>
      </c>
      <c r="V595" t="str">
        <f>IF(OR(Table13[[#This Row],[Performance_%]]&gt;=1,Table13[[#This Row],[Performance_%]]&lt;=0),"Error","OK")</f>
        <v>OK</v>
      </c>
      <c r="W595" t="str">
        <f>IF(OR(Table13[[#This Row],[Quality_%]]&gt;=1,Table13[[#This Row],[Quality_%]]&lt;=0),"Error","OK")</f>
        <v>OK</v>
      </c>
      <c r="X595">
        <f>Table13[[#This Row],[Performance_%]]*Table13[[#This Row],[Quality_%]]*[2]Availability_KPI!K595</f>
        <v>0.49695555555555554</v>
      </c>
      <c r="Y595" t="str">
        <f>IF(OR(Table13[[#This Row],[OEE_%]]&gt;1,Table13[[#This Row],[OEE_%]]&lt;0),"Error","OK")</f>
        <v>OK</v>
      </c>
    </row>
    <row r="596" spans="1:25" x14ac:dyDescent="0.2">
      <c r="A596" t="s">
        <v>720</v>
      </c>
      <c r="B596" t="s">
        <v>718</v>
      </c>
      <c r="C596" s="2">
        <v>46269</v>
      </c>
      <c r="D596" t="s">
        <v>67</v>
      </c>
      <c r="E596" t="s">
        <v>35</v>
      </c>
      <c r="F596" t="s">
        <v>97</v>
      </c>
      <c r="G596" t="s">
        <v>75</v>
      </c>
      <c r="H596">
        <v>630</v>
      </c>
      <c r="I596">
        <v>628</v>
      </c>
      <c r="J596">
        <v>2</v>
      </c>
      <c r="K596">
        <v>23.54</v>
      </c>
      <c r="L596">
        <v>25.08</v>
      </c>
      <c r="M596">
        <v>263.39</v>
      </c>
      <c r="N596">
        <f>_xlfn.XLOOKUP(Table13[[#This Row],[Production_Order_ID]],[1]Sheet1!$A$2:$A$391,[1]Sheet1!$F$2:$F$391,"No Match")</f>
        <v>520</v>
      </c>
      <c r="O596" s="3">
        <f>Table13[[#This Row],[Good_Qty]]/Table13[[#This Row],[Planned_Production]]</f>
        <v>1.2076923076923076</v>
      </c>
      <c r="P596" t="str">
        <f>IF(Table13[[#This Row],[Good_Qty]]&gt;=Table13[[#This Row],[Planned_Production]],"Met","Not Met")</f>
        <v>Met</v>
      </c>
      <c r="Q596">
        <f>Table13[[#This Row],[Good_Qty]]-Table13[[#This Row],[Planned_Production]]</f>
        <v>108</v>
      </c>
      <c r="R596" s="3">
        <f>IF(Table13[[#This Row],[Actual_Qty]]=0,0,Table13[[#This Row],[Reject_Qty]]/Table13[[#This Row],[Actual_Qty]])</f>
        <v>3.1746031746031746E-3</v>
      </c>
      <c r="S596">
        <v>434.04</v>
      </c>
      <c r="T596">
        <f>(Table13[[#This Row],[Ideal_Cycle_Time_sec]]*Table13[[#This Row],[Actual_Qty]])/(Table13[[#This Row],[Operational_Time_min]]*60)</f>
        <v>0.56946364390378756</v>
      </c>
      <c r="U596">
        <f>Table13[[#This Row],[Good_Qty]]/Table13[[#This Row],[Actual_Qty]]</f>
        <v>0.99682539682539684</v>
      </c>
      <c r="V596" t="str">
        <f>IF(OR(Table13[[#This Row],[Performance_%]]&gt;=1,Table13[[#This Row],[Performance_%]]&lt;=0),"Error","OK")</f>
        <v>OK</v>
      </c>
      <c r="W596" t="str">
        <f>IF(OR(Table13[[#This Row],[Quality_%]]&gt;=1,Table13[[#This Row],[Quality_%]]&lt;=0),"Error","OK")</f>
        <v>OK</v>
      </c>
      <c r="X596">
        <f>Table13[[#This Row],[Performance_%]]*Table13[[#This Row],[Quality_%]]*[2]Availability_KPI!K596</f>
        <v>0.54752296296296288</v>
      </c>
      <c r="Y596" t="str">
        <f>IF(OR(Table13[[#This Row],[OEE_%]]&gt;1,Table13[[#This Row],[OEE_%]]&lt;0),"Error","OK")</f>
        <v>OK</v>
      </c>
    </row>
    <row r="597" spans="1:25" x14ac:dyDescent="0.2">
      <c r="A597" t="s">
        <v>721</v>
      </c>
      <c r="B597" t="s">
        <v>718</v>
      </c>
      <c r="C597" s="2">
        <v>46269</v>
      </c>
      <c r="D597" t="s">
        <v>67</v>
      </c>
      <c r="E597" t="s">
        <v>38</v>
      </c>
      <c r="F597" t="s">
        <v>97</v>
      </c>
      <c r="G597" t="s">
        <v>36</v>
      </c>
      <c r="H597">
        <v>638</v>
      </c>
      <c r="I597">
        <v>634</v>
      </c>
      <c r="J597">
        <v>4</v>
      </c>
      <c r="K597">
        <v>21.4</v>
      </c>
      <c r="L597">
        <v>22.28</v>
      </c>
      <c r="M597">
        <v>236.94</v>
      </c>
      <c r="N597">
        <f>_xlfn.XLOOKUP(Table13[[#This Row],[Production_Order_ID]],[1]Sheet1!$A$2:$A$391,[1]Sheet1!$F$2:$F$391,"No Match")</f>
        <v>520</v>
      </c>
      <c r="O597" s="3">
        <f>Table13[[#This Row],[Good_Qty]]/Table13[[#This Row],[Planned_Production]]</f>
        <v>1.2192307692307693</v>
      </c>
      <c r="P597" t="str">
        <f>IF(Table13[[#This Row],[Good_Qty]]&gt;=Table13[[#This Row],[Planned_Production]],"Met","Not Met")</f>
        <v>Met</v>
      </c>
      <c r="Q597">
        <f>Table13[[#This Row],[Good_Qty]]-Table13[[#This Row],[Planned_Production]]</f>
        <v>114</v>
      </c>
      <c r="R597" s="3">
        <f>IF(Table13[[#This Row],[Actual_Qty]]=0,0,Table13[[#This Row],[Reject_Qty]]/Table13[[#This Row],[Actual_Qty]])</f>
        <v>6.269592476489028E-3</v>
      </c>
      <c r="S597">
        <v>438.89</v>
      </c>
      <c r="T597">
        <f>(Table13[[#This Row],[Ideal_Cycle_Time_sec]]*Table13[[#This Row],[Actual_Qty]])/(Table13[[#This Row],[Operational_Time_min]]*60)</f>
        <v>0.51847463677307148</v>
      </c>
      <c r="U597">
        <f>Table13[[#This Row],[Good_Qty]]/Table13[[#This Row],[Actual_Qty]]</f>
        <v>0.99373040752351094</v>
      </c>
      <c r="V597" t="str">
        <f>IF(OR(Table13[[#This Row],[Performance_%]]&gt;=1,Table13[[#This Row],[Performance_%]]&lt;=0),"Error","OK")</f>
        <v>OK</v>
      </c>
      <c r="W597" t="str">
        <f>IF(OR(Table13[[#This Row],[Quality_%]]&gt;=1,Table13[[#This Row],[Quality_%]]&lt;=0),"Error","OK")</f>
        <v>OK</v>
      </c>
      <c r="X597">
        <f>Table13[[#This Row],[Performance_%]]*Table13[[#This Row],[Quality_%]]*[2]Availability_KPI!K597</f>
        <v>0.50250370370370379</v>
      </c>
      <c r="Y597" t="str">
        <f>IF(OR(Table13[[#This Row],[OEE_%]]&gt;1,Table13[[#This Row],[OEE_%]]&lt;0),"Error","OK")</f>
        <v>OK</v>
      </c>
    </row>
    <row r="598" spans="1:25" x14ac:dyDescent="0.2">
      <c r="A598" t="s">
        <v>722</v>
      </c>
      <c r="B598" t="s">
        <v>718</v>
      </c>
      <c r="C598" s="2">
        <v>46269</v>
      </c>
      <c r="D598" t="s">
        <v>67</v>
      </c>
      <c r="E598" t="s">
        <v>41</v>
      </c>
      <c r="F598" t="s">
        <v>97</v>
      </c>
      <c r="G598" t="s">
        <v>36</v>
      </c>
      <c r="H598">
        <v>633</v>
      </c>
      <c r="I598">
        <v>628</v>
      </c>
      <c r="J598">
        <v>5</v>
      </c>
      <c r="K598">
        <v>19.260000000000002</v>
      </c>
      <c r="L598">
        <v>19.260000000000002</v>
      </c>
      <c r="M598">
        <v>203.19</v>
      </c>
      <c r="N598">
        <f>_xlfn.XLOOKUP(Table13[[#This Row],[Production_Order_ID]],[1]Sheet1!$A$2:$A$391,[1]Sheet1!$F$2:$F$391,"No Match")</f>
        <v>520</v>
      </c>
      <c r="O598" s="3">
        <f>Table13[[#This Row],[Good_Qty]]/Table13[[#This Row],[Planned_Production]]</f>
        <v>1.2076923076923076</v>
      </c>
      <c r="P598" t="str">
        <f>IF(Table13[[#This Row],[Good_Qty]]&gt;=Table13[[#This Row],[Planned_Production]],"Met","Not Met")</f>
        <v>Met</v>
      </c>
      <c r="Q598">
        <f>Table13[[#This Row],[Good_Qty]]-Table13[[#This Row],[Planned_Production]]</f>
        <v>108</v>
      </c>
      <c r="R598" s="3">
        <f>IF(Table13[[#This Row],[Actual_Qty]]=0,0,Table13[[#This Row],[Reject_Qty]]/Table13[[#This Row],[Actual_Qty]])</f>
        <v>7.8988941548183249E-3</v>
      </c>
      <c r="S598">
        <v>434.8</v>
      </c>
      <c r="T598">
        <f>(Table13[[#This Row],[Ideal_Cycle_Time_sec]]*Table13[[#This Row],[Actual_Qty]])/(Table13[[#This Row],[Operational_Time_min]]*60)</f>
        <v>0.46732520699172042</v>
      </c>
      <c r="U598">
        <f>Table13[[#This Row],[Good_Qty]]/Table13[[#This Row],[Actual_Qty]]</f>
        <v>0.99210110584518163</v>
      </c>
      <c r="V598" t="str">
        <f>IF(OR(Table13[[#This Row],[Performance_%]]&gt;=1,Table13[[#This Row],[Performance_%]]&lt;=0),"Error","OK")</f>
        <v>OK</v>
      </c>
      <c r="W598" t="str">
        <f>IF(OR(Table13[[#This Row],[Quality_%]]&gt;=1,Table13[[#This Row],[Quality_%]]&lt;=0),"Error","OK")</f>
        <v>OK</v>
      </c>
      <c r="X598">
        <f>Table13[[#This Row],[Performance_%]]*Table13[[#This Row],[Quality_%]]*[2]Availability_KPI!K598</f>
        <v>0.44797333333333339</v>
      </c>
      <c r="Y598" t="str">
        <f>IF(OR(Table13[[#This Row],[OEE_%]]&gt;1,Table13[[#This Row],[OEE_%]]&lt;0),"Error","OK")</f>
        <v>OK</v>
      </c>
    </row>
    <row r="599" spans="1:25" x14ac:dyDescent="0.2">
      <c r="A599" t="s">
        <v>723</v>
      </c>
      <c r="B599" t="s">
        <v>718</v>
      </c>
      <c r="C599" s="2">
        <v>46269</v>
      </c>
      <c r="D599" t="s">
        <v>67</v>
      </c>
      <c r="E599" t="s">
        <v>43</v>
      </c>
      <c r="F599" t="s">
        <v>97</v>
      </c>
      <c r="G599" t="s">
        <v>47</v>
      </c>
      <c r="H599">
        <v>632</v>
      </c>
      <c r="I599">
        <v>621</v>
      </c>
      <c r="J599">
        <v>11</v>
      </c>
      <c r="K599">
        <v>34.24</v>
      </c>
      <c r="L599">
        <v>36.33</v>
      </c>
      <c r="M599">
        <v>382.73</v>
      </c>
      <c r="N599">
        <f>_xlfn.XLOOKUP(Table13[[#This Row],[Production_Order_ID]],[1]Sheet1!$A$2:$A$391,[1]Sheet1!$F$2:$F$391,"No Match")</f>
        <v>520</v>
      </c>
      <c r="O599" s="3">
        <f>Table13[[#This Row],[Good_Qty]]/Table13[[#This Row],[Planned_Production]]</f>
        <v>1.1942307692307692</v>
      </c>
      <c r="P599" t="str">
        <f>IF(Table13[[#This Row],[Good_Qty]]&gt;=Table13[[#This Row],[Planned_Production]],"Met","Not Met")</f>
        <v>Met</v>
      </c>
      <c r="Q599">
        <f>Table13[[#This Row],[Good_Qty]]-Table13[[#This Row],[Planned_Production]]</f>
        <v>101</v>
      </c>
      <c r="R599" s="3">
        <f>IF(Table13[[#This Row],[Actual_Qty]]=0,0,Table13[[#This Row],[Reject_Qty]]/Table13[[#This Row],[Actual_Qty]])</f>
        <v>1.740506329113924E-2</v>
      </c>
      <c r="S599">
        <v>410.9</v>
      </c>
      <c r="T599">
        <f>(Table13[[#This Row],[Ideal_Cycle_Time_sec]]*Table13[[#This Row],[Actual_Qty]])/(Table13[[#This Row],[Operational_Time_min]]*60)</f>
        <v>0.87773505313539391</v>
      </c>
      <c r="U599">
        <f>Table13[[#This Row],[Good_Qty]]/Table13[[#This Row],[Actual_Qty]]</f>
        <v>0.98259493670886078</v>
      </c>
      <c r="V599" t="str">
        <f>IF(OR(Table13[[#This Row],[Performance_%]]&gt;=1,Table13[[#This Row],[Performance_%]]&lt;=0),"Error","OK")</f>
        <v>OK</v>
      </c>
      <c r="W599" t="str">
        <f>IF(OR(Table13[[#This Row],[Quality_%]]&gt;=1,Table13[[#This Row],[Quality_%]]&lt;=0),"Error","OK")</f>
        <v>OK</v>
      </c>
      <c r="X599">
        <f>Table13[[#This Row],[Performance_%]]*Table13[[#This Row],[Quality_%]]*[2]Availability_KPI!K599</f>
        <v>0.78752</v>
      </c>
      <c r="Y599" t="str">
        <f>IF(OR(Table13[[#This Row],[OEE_%]]&gt;1,Table13[[#This Row],[OEE_%]]&lt;0),"Error","OK")</f>
        <v>OK</v>
      </c>
    </row>
    <row r="600" spans="1:25" x14ac:dyDescent="0.2">
      <c r="A600" t="s">
        <v>724</v>
      </c>
      <c r="B600" t="s">
        <v>718</v>
      </c>
      <c r="C600" s="2">
        <v>46269</v>
      </c>
      <c r="D600" t="s">
        <v>67</v>
      </c>
      <c r="E600" t="s">
        <v>46</v>
      </c>
      <c r="F600" t="s">
        <v>97</v>
      </c>
      <c r="G600" t="s">
        <v>47</v>
      </c>
      <c r="H600">
        <v>637</v>
      </c>
      <c r="I600">
        <v>630</v>
      </c>
      <c r="J600">
        <v>7</v>
      </c>
      <c r="K600">
        <v>26.75</v>
      </c>
      <c r="L600">
        <v>28.53</v>
      </c>
      <c r="M600">
        <v>302.89</v>
      </c>
      <c r="N600">
        <f>_xlfn.XLOOKUP(Table13[[#This Row],[Production_Order_ID]],[1]Sheet1!$A$2:$A$391,[1]Sheet1!$F$2:$F$391,"No Match")</f>
        <v>520</v>
      </c>
      <c r="O600" s="3">
        <f>Table13[[#This Row],[Good_Qty]]/Table13[[#This Row],[Planned_Production]]</f>
        <v>1.2115384615384615</v>
      </c>
      <c r="P600" t="str">
        <f>IF(Table13[[#This Row],[Good_Qty]]&gt;=Table13[[#This Row],[Planned_Production]],"Met","Not Met")</f>
        <v>Met</v>
      </c>
      <c r="Q600">
        <f>Table13[[#This Row],[Good_Qty]]-Table13[[#This Row],[Planned_Production]]</f>
        <v>110</v>
      </c>
      <c r="R600" s="3">
        <f>IF(Table13[[#This Row],[Actual_Qty]]=0,0,Table13[[#This Row],[Reject_Qty]]/Table13[[#This Row],[Actual_Qty]])</f>
        <v>1.098901098901099E-2</v>
      </c>
      <c r="S600">
        <v>431.19</v>
      </c>
      <c r="T600">
        <f>(Table13[[#This Row],[Ideal_Cycle_Time_sec]]*Table13[[#This Row],[Actual_Qty]])/(Table13[[#This Row],[Operational_Time_min]]*60)</f>
        <v>0.65863269865565832</v>
      </c>
      <c r="U600">
        <f>Table13[[#This Row],[Good_Qty]]/Table13[[#This Row],[Actual_Qty]]</f>
        <v>0.98901098901098905</v>
      </c>
      <c r="V600" t="str">
        <f>IF(OR(Table13[[#This Row],[Performance_%]]&gt;=1,Table13[[#This Row],[Performance_%]]&lt;=0),"Error","OK")</f>
        <v>OK</v>
      </c>
      <c r="W600" t="str">
        <f>IF(OR(Table13[[#This Row],[Quality_%]]&gt;=1,Table13[[#This Row],[Quality_%]]&lt;=0),"Error","OK")</f>
        <v>OK</v>
      </c>
      <c r="X600">
        <f>Table13[[#This Row],[Performance_%]]*Table13[[#This Row],[Quality_%]]*[2]Availability_KPI!K600</f>
        <v>0.62416666666666654</v>
      </c>
      <c r="Y600" t="str">
        <f>IF(OR(Table13[[#This Row],[OEE_%]]&gt;1,Table13[[#This Row],[OEE_%]]&lt;0),"Error","OK")</f>
        <v>OK</v>
      </c>
    </row>
    <row r="601" spans="1:25" x14ac:dyDescent="0.2">
      <c r="A601" t="s">
        <v>725</v>
      </c>
      <c r="B601" t="s">
        <v>718</v>
      </c>
      <c r="C601" s="2">
        <v>46269</v>
      </c>
      <c r="D601" t="s">
        <v>67</v>
      </c>
      <c r="E601" t="s">
        <v>49</v>
      </c>
      <c r="F601" t="s">
        <v>97</v>
      </c>
      <c r="G601" t="s">
        <v>50</v>
      </c>
      <c r="H601">
        <v>643</v>
      </c>
      <c r="I601">
        <v>639</v>
      </c>
      <c r="J601">
        <v>4</v>
      </c>
      <c r="K601">
        <v>21.4</v>
      </c>
      <c r="L601">
        <v>22.82</v>
      </c>
      <c r="M601">
        <v>244.6</v>
      </c>
      <c r="N601">
        <f>_xlfn.XLOOKUP(Table13[[#This Row],[Production_Order_ID]],[1]Sheet1!$A$2:$A$391,[1]Sheet1!$F$2:$F$391,"No Match")</f>
        <v>520</v>
      </c>
      <c r="O601" s="3">
        <f>Table13[[#This Row],[Good_Qty]]/Table13[[#This Row],[Planned_Production]]</f>
        <v>1.2288461538461539</v>
      </c>
      <c r="P601" t="str">
        <f>IF(Table13[[#This Row],[Good_Qty]]&gt;=Table13[[#This Row],[Planned_Production]],"Met","Not Met")</f>
        <v>Met</v>
      </c>
      <c r="Q601">
        <f>Table13[[#This Row],[Good_Qty]]-Table13[[#This Row],[Planned_Production]]</f>
        <v>119</v>
      </c>
      <c r="R601" s="3">
        <f>IF(Table13[[#This Row],[Actual_Qty]]=0,0,Table13[[#This Row],[Reject_Qty]]/Table13[[#This Row],[Actual_Qty]])</f>
        <v>6.2208398133748056E-3</v>
      </c>
      <c r="S601">
        <v>441.33</v>
      </c>
      <c r="T601">
        <f>(Table13[[#This Row],[Ideal_Cycle_Time_sec]]*Table13[[#This Row],[Actual_Qty]])/(Table13[[#This Row],[Operational_Time_min]]*60)</f>
        <v>0.51964893994667627</v>
      </c>
      <c r="U601">
        <f>Table13[[#This Row],[Good_Qty]]/Table13[[#This Row],[Actual_Qty]]</f>
        <v>0.99377916018662515</v>
      </c>
      <c r="V601" t="str">
        <f>IF(OR(Table13[[#This Row],[Performance_%]]&gt;=1,Table13[[#This Row],[Performance_%]]&lt;=0),"Error","OK")</f>
        <v>OK</v>
      </c>
      <c r="W601" t="str">
        <f>IF(OR(Table13[[#This Row],[Quality_%]]&gt;=1,Table13[[#This Row],[Quality_%]]&lt;=0),"Error","OK")</f>
        <v>OK</v>
      </c>
      <c r="X601">
        <f>Table13[[#This Row],[Performance_%]]*Table13[[#This Row],[Quality_%]]*[2]Availability_KPI!K601</f>
        <v>0.50646666666666662</v>
      </c>
      <c r="Y601" t="str">
        <f>IF(OR(Table13[[#This Row],[OEE_%]]&gt;1,Table13[[#This Row],[OEE_%]]&lt;0),"Error","OK")</f>
        <v>OK</v>
      </c>
    </row>
    <row r="602" spans="1:25" x14ac:dyDescent="0.2">
      <c r="A602" t="s">
        <v>726</v>
      </c>
      <c r="B602" t="s">
        <v>727</v>
      </c>
      <c r="C602" s="2">
        <v>46272</v>
      </c>
      <c r="D602" t="s">
        <v>27</v>
      </c>
      <c r="E602" t="s">
        <v>28</v>
      </c>
      <c r="F602" t="s">
        <v>29</v>
      </c>
      <c r="G602" t="s">
        <v>50</v>
      </c>
      <c r="H602">
        <v>628</v>
      </c>
      <c r="I602">
        <v>626</v>
      </c>
      <c r="J602">
        <v>2</v>
      </c>
      <c r="K602">
        <v>19.8</v>
      </c>
      <c r="L602">
        <v>19.8</v>
      </c>
      <c r="M602">
        <v>207.24</v>
      </c>
      <c r="N602">
        <f>_xlfn.XLOOKUP(Table13[[#This Row],[Production_Order_ID]],[1]Sheet1!$A$2:$A$391,[1]Sheet1!$F$2:$F$391,"No Match")</f>
        <v>640</v>
      </c>
      <c r="O602" s="3">
        <f>Table13[[#This Row],[Good_Qty]]/Table13[[#This Row],[Planned_Production]]</f>
        <v>0.97812500000000002</v>
      </c>
      <c r="P602" t="str">
        <f>IF(Table13[[#This Row],[Good_Qty]]&gt;=Table13[[#This Row],[Planned_Production]],"Met","Not Met")</f>
        <v>Not Met</v>
      </c>
      <c r="Q602">
        <f>Table13[[#This Row],[Good_Qty]]-Table13[[#This Row],[Planned_Production]]</f>
        <v>-14</v>
      </c>
      <c r="R602" s="3">
        <f>IF(Table13[[#This Row],[Actual_Qty]]=0,0,Table13[[#This Row],[Reject_Qty]]/Table13[[#This Row],[Actual_Qty]])</f>
        <v>3.1847133757961785E-3</v>
      </c>
      <c r="S602">
        <v>439</v>
      </c>
      <c r="T602">
        <f>(Table13[[#This Row],[Ideal_Cycle_Time_sec]]*Table13[[#This Row],[Actual_Qty]])/(Table13[[#This Row],[Operational_Time_min]]*60)</f>
        <v>0.47207289293849658</v>
      </c>
      <c r="U602">
        <f>Table13[[#This Row],[Good_Qty]]/Table13[[#This Row],[Actual_Qty]]</f>
        <v>0.99681528662420382</v>
      </c>
      <c r="V602" t="str">
        <f>IF(OR(Table13[[#This Row],[Performance_%]]&gt;=1,Table13[[#This Row],[Performance_%]]&lt;=0),"Error","OK")</f>
        <v>OK</v>
      </c>
      <c r="W602" t="str">
        <f>IF(OR(Table13[[#This Row],[Quality_%]]&gt;=1,Table13[[#This Row],[Quality_%]]&lt;=0),"Error","OK")</f>
        <v>OK</v>
      </c>
      <c r="X602">
        <f>Table13[[#This Row],[Performance_%]]*Table13[[#This Row],[Quality_%]]*[2]Availability_KPI!K602</f>
        <v>0.45906666666666662</v>
      </c>
      <c r="Y602" t="str">
        <f>IF(OR(Table13[[#This Row],[OEE_%]]&gt;1,Table13[[#This Row],[OEE_%]]&lt;0),"Error","OK")</f>
        <v>OK</v>
      </c>
    </row>
    <row r="603" spans="1:25" x14ac:dyDescent="0.2">
      <c r="A603" t="s">
        <v>728</v>
      </c>
      <c r="B603" t="s">
        <v>727</v>
      </c>
      <c r="C603" s="2">
        <v>46272</v>
      </c>
      <c r="D603" t="s">
        <v>27</v>
      </c>
      <c r="E603" t="s">
        <v>32</v>
      </c>
      <c r="F603" t="s">
        <v>29</v>
      </c>
      <c r="G603" t="s">
        <v>61</v>
      </c>
      <c r="H603">
        <v>633</v>
      </c>
      <c r="I603">
        <v>629</v>
      </c>
      <c r="J603">
        <v>4</v>
      </c>
      <c r="K603">
        <v>22</v>
      </c>
      <c r="L603">
        <v>22.88</v>
      </c>
      <c r="M603">
        <v>241.38</v>
      </c>
      <c r="N603">
        <f>_xlfn.XLOOKUP(Table13[[#This Row],[Production_Order_ID]],[1]Sheet1!$A$2:$A$391,[1]Sheet1!$F$2:$F$391,"No Match")</f>
        <v>640</v>
      </c>
      <c r="O603" s="3">
        <f>Table13[[#This Row],[Good_Qty]]/Table13[[#This Row],[Planned_Production]]</f>
        <v>0.98281249999999998</v>
      </c>
      <c r="P603" t="str">
        <f>IF(Table13[[#This Row],[Good_Qty]]&gt;=Table13[[#This Row],[Planned_Production]],"Met","Not Met")</f>
        <v>Not Met</v>
      </c>
      <c r="Q603">
        <f>Table13[[#This Row],[Good_Qty]]-Table13[[#This Row],[Planned_Production]]</f>
        <v>-11</v>
      </c>
      <c r="R603" s="3">
        <f>IF(Table13[[#This Row],[Actual_Qty]]=0,0,Table13[[#This Row],[Reject_Qty]]/Table13[[#This Row],[Actual_Qty]])</f>
        <v>6.3191153238546603E-3</v>
      </c>
      <c r="S603">
        <v>439.63</v>
      </c>
      <c r="T603">
        <f>(Table13[[#This Row],[Ideal_Cycle_Time_sec]]*Table13[[#This Row],[Actual_Qty]])/(Table13[[#This Row],[Operational_Time_min]]*60)</f>
        <v>0.52794395286945839</v>
      </c>
      <c r="U603">
        <f>Table13[[#This Row],[Good_Qty]]/Table13[[#This Row],[Actual_Qty]]</f>
        <v>0.99368088467614535</v>
      </c>
      <c r="V603" t="str">
        <f>IF(OR(Table13[[#This Row],[Performance_%]]&gt;=1,Table13[[#This Row],[Performance_%]]&lt;=0),"Error","OK")</f>
        <v>OK</v>
      </c>
      <c r="W603" t="str">
        <f>IF(OR(Table13[[#This Row],[Quality_%]]&gt;=1,Table13[[#This Row],[Quality_%]]&lt;=0),"Error","OK")</f>
        <v>OK</v>
      </c>
      <c r="X603">
        <f>Table13[[#This Row],[Performance_%]]*Table13[[#This Row],[Quality_%]]*[2]Availability_KPI!K603</f>
        <v>0.5125185185185186</v>
      </c>
      <c r="Y603" t="str">
        <f>IF(OR(Table13[[#This Row],[OEE_%]]&gt;1,Table13[[#This Row],[OEE_%]]&lt;0),"Error","OK")</f>
        <v>OK</v>
      </c>
    </row>
    <row r="604" spans="1:25" x14ac:dyDescent="0.2">
      <c r="A604" t="s">
        <v>729</v>
      </c>
      <c r="B604" t="s">
        <v>727</v>
      </c>
      <c r="C604" s="2">
        <v>46272</v>
      </c>
      <c r="D604" t="s">
        <v>27</v>
      </c>
      <c r="E604" t="s">
        <v>35</v>
      </c>
      <c r="F604" t="s">
        <v>29</v>
      </c>
      <c r="G604" t="s">
        <v>39</v>
      </c>
      <c r="H604">
        <v>635</v>
      </c>
      <c r="I604">
        <v>630</v>
      </c>
      <c r="J604">
        <v>5</v>
      </c>
      <c r="K604">
        <v>24.2</v>
      </c>
      <c r="L604">
        <v>25.46</v>
      </c>
      <c r="M604">
        <v>269.5</v>
      </c>
      <c r="N604">
        <f>_xlfn.XLOOKUP(Table13[[#This Row],[Production_Order_ID]],[1]Sheet1!$A$2:$A$391,[1]Sheet1!$F$2:$F$391,"No Match")</f>
        <v>640</v>
      </c>
      <c r="O604" s="3">
        <f>Table13[[#This Row],[Good_Qty]]/Table13[[#This Row],[Planned_Production]]</f>
        <v>0.984375</v>
      </c>
      <c r="P604" t="str">
        <f>IF(Table13[[#This Row],[Good_Qty]]&gt;=Table13[[#This Row],[Planned_Production]],"Met","Not Met")</f>
        <v>Not Met</v>
      </c>
      <c r="Q604">
        <f>Table13[[#This Row],[Good_Qty]]-Table13[[#This Row],[Planned_Production]]</f>
        <v>-10</v>
      </c>
      <c r="R604" s="3">
        <f>IF(Table13[[#This Row],[Actual_Qty]]=0,0,Table13[[#This Row],[Reject_Qty]]/Table13[[#This Row],[Actual_Qty]])</f>
        <v>7.874015748031496E-3</v>
      </c>
      <c r="S604">
        <v>434.86</v>
      </c>
      <c r="T604">
        <f>(Table13[[#This Row],[Ideal_Cycle_Time_sec]]*Table13[[#This Row],[Actual_Qty]])/(Table13[[#This Row],[Operational_Time_min]]*60)</f>
        <v>0.58896349783071944</v>
      </c>
      <c r="U604">
        <f>Table13[[#This Row],[Good_Qty]]/Table13[[#This Row],[Actual_Qty]]</f>
        <v>0.99212598425196852</v>
      </c>
      <c r="V604" t="str">
        <f>IF(OR(Table13[[#This Row],[Performance_%]]&gt;=1,Table13[[#This Row],[Performance_%]]&lt;=0),"Error","OK")</f>
        <v>OK</v>
      </c>
      <c r="W604" t="str">
        <f>IF(OR(Table13[[#This Row],[Quality_%]]&gt;=1,Table13[[#This Row],[Quality_%]]&lt;=0),"Error","OK")</f>
        <v>OK</v>
      </c>
      <c r="X604">
        <f>Table13[[#This Row],[Performance_%]]*Table13[[#This Row],[Quality_%]]*[2]Availability_KPI!K604</f>
        <v>0.56466666666666665</v>
      </c>
      <c r="Y604" t="str">
        <f>IF(OR(Table13[[#This Row],[OEE_%]]&gt;1,Table13[[#This Row],[OEE_%]]&lt;0),"Error","OK")</f>
        <v>OK</v>
      </c>
    </row>
    <row r="605" spans="1:25" x14ac:dyDescent="0.2">
      <c r="A605" t="s">
        <v>730</v>
      </c>
      <c r="B605" t="s">
        <v>727</v>
      </c>
      <c r="C605" s="2">
        <v>46272</v>
      </c>
      <c r="D605" t="s">
        <v>27</v>
      </c>
      <c r="E605" t="s">
        <v>38</v>
      </c>
      <c r="F605" t="s">
        <v>29</v>
      </c>
      <c r="G605" t="s">
        <v>36</v>
      </c>
      <c r="H605">
        <v>631</v>
      </c>
      <c r="I605">
        <v>627</v>
      </c>
      <c r="J605">
        <v>4</v>
      </c>
      <c r="K605">
        <v>22</v>
      </c>
      <c r="L605">
        <v>23.5</v>
      </c>
      <c r="M605">
        <v>247.09</v>
      </c>
      <c r="N605">
        <f>_xlfn.XLOOKUP(Table13[[#This Row],[Production_Order_ID]],[1]Sheet1!$A$2:$A$391,[1]Sheet1!$F$2:$F$391,"No Match")</f>
        <v>640</v>
      </c>
      <c r="O605" s="3">
        <f>Table13[[#This Row],[Good_Qty]]/Table13[[#This Row],[Planned_Production]]</f>
        <v>0.97968750000000004</v>
      </c>
      <c r="P605" t="str">
        <f>IF(Table13[[#This Row],[Good_Qty]]&gt;=Table13[[#This Row],[Planned_Production]],"Met","Not Met")</f>
        <v>Not Met</v>
      </c>
      <c r="Q605">
        <f>Table13[[#This Row],[Good_Qty]]-Table13[[#This Row],[Planned_Production]]</f>
        <v>-13</v>
      </c>
      <c r="R605" s="3">
        <f>IF(Table13[[#This Row],[Actual_Qty]]=0,0,Table13[[#This Row],[Reject_Qty]]/Table13[[#This Row],[Actual_Qty]])</f>
        <v>6.3391442155309036E-3</v>
      </c>
      <c r="S605">
        <v>434.66</v>
      </c>
      <c r="T605">
        <f>(Table13[[#This Row],[Ideal_Cycle_Time_sec]]*Table13[[#This Row],[Actual_Qty]])/(Table13[[#This Row],[Operational_Time_min]]*60)</f>
        <v>0.53229344008343682</v>
      </c>
      <c r="U605">
        <f>Table13[[#This Row],[Good_Qty]]/Table13[[#This Row],[Actual_Qty]]</f>
        <v>0.99366085578446905</v>
      </c>
      <c r="V605" t="str">
        <f>IF(OR(Table13[[#This Row],[Performance_%]]&gt;=1,Table13[[#This Row],[Performance_%]]&lt;=0),"Error","OK")</f>
        <v>OK</v>
      </c>
      <c r="W605" t="str">
        <f>IF(OR(Table13[[#This Row],[Quality_%]]&gt;=1,Table13[[#This Row],[Quality_%]]&lt;=0),"Error","OK")</f>
        <v>OK</v>
      </c>
      <c r="X605">
        <f>Table13[[#This Row],[Performance_%]]*Table13[[#This Row],[Quality_%]]*[2]Availability_KPI!K605</f>
        <v>0.51088888888888884</v>
      </c>
      <c r="Y605" t="str">
        <f>IF(OR(Table13[[#This Row],[OEE_%]]&gt;1,Table13[[#This Row],[OEE_%]]&lt;0),"Error","OK")</f>
        <v>OK</v>
      </c>
    </row>
    <row r="606" spans="1:25" x14ac:dyDescent="0.2">
      <c r="A606" t="s">
        <v>731</v>
      </c>
      <c r="B606" t="s">
        <v>727</v>
      </c>
      <c r="C606" s="2">
        <v>46272</v>
      </c>
      <c r="D606" t="s">
        <v>27</v>
      </c>
      <c r="E606" t="s">
        <v>41</v>
      </c>
      <c r="F606" t="s">
        <v>29</v>
      </c>
      <c r="G606" t="s">
        <v>36</v>
      </c>
      <c r="H606">
        <v>637</v>
      </c>
      <c r="I606">
        <v>633</v>
      </c>
      <c r="J606">
        <v>4</v>
      </c>
      <c r="K606">
        <v>19.8</v>
      </c>
      <c r="L606">
        <v>21.29</v>
      </c>
      <c r="M606">
        <v>226.04</v>
      </c>
      <c r="N606">
        <f>_xlfn.XLOOKUP(Table13[[#This Row],[Production_Order_ID]],[1]Sheet1!$A$2:$A$391,[1]Sheet1!$F$2:$F$391,"No Match")</f>
        <v>640</v>
      </c>
      <c r="O606" s="3">
        <f>Table13[[#This Row],[Good_Qty]]/Table13[[#This Row],[Planned_Production]]</f>
        <v>0.98906249999999996</v>
      </c>
      <c r="P606" t="str">
        <f>IF(Table13[[#This Row],[Good_Qty]]&gt;=Table13[[#This Row],[Planned_Production]],"Met","Not Met")</f>
        <v>Not Met</v>
      </c>
      <c r="Q606">
        <f>Table13[[#This Row],[Good_Qty]]-Table13[[#This Row],[Planned_Production]]</f>
        <v>-7</v>
      </c>
      <c r="R606" s="3">
        <f>IF(Table13[[#This Row],[Actual_Qty]]=0,0,Table13[[#This Row],[Reject_Qty]]/Table13[[#This Row],[Actual_Qty]])</f>
        <v>6.2794348508634227E-3</v>
      </c>
      <c r="S606">
        <v>437.2</v>
      </c>
      <c r="T606">
        <f>(Table13[[#This Row],[Ideal_Cycle_Time_sec]]*Table13[[#This Row],[Actual_Qty]])/(Table13[[#This Row],[Operational_Time_min]]*60)</f>
        <v>0.48080969807868251</v>
      </c>
      <c r="U606">
        <f>Table13[[#This Row],[Good_Qty]]/Table13[[#This Row],[Actual_Qty]]</f>
        <v>0.99372056514913654</v>
      </c>
      <c r="V606" t="str">
        <f>IF(OR(Table13[[#This Row],[Performance_%]]&gt;=1,Table13[[#This Row],[Performance_%]]&lt;=0),"Error","OK")</f>
        <v>OK</v>
      </c>
      <c r="W606" t="str">
        <f>IF(OR(Table13[[#This Row],[Quality_%]]&gt;=1,Table13[[#This Row],[Quality_%]]&lt;=0),"Error","OK")</f>
        <v>OK</v>
      </c>
      <c r="X606">
        <f>Table13[[#This Row],[Performance_%]]*Table13[[#This Row],[Quality_%]]*[2]Availability_KPI!K606</f>
        <v>0.46419999999999995</v>
      </c>
      <c r="Y606" t="str">
        <f>IF(OR(Table13[[#This Row],[OEE_%]]&gt;1,Table13[[#This Row],[OEE_%]]&lt;0),"Error","OK")</f>
        <v>OK</v>
      </c>
    </row>
    <row r="607" spans="1:25" x14ac:dyDescent="0.2">
      <c r="A607" t="s">
        <v>732</v>
      </c>
      <c r="B607" t="s">
        <v>727</v>
      </c>
      <c r="C607" s="2">
        <v>46272</v>
      </c>
      <c r="D607" t="s">
        <v>27</v>
      </c>
      <c r="E607" t="s">
        <v>43</v>
      </c>
      <c r="F607" t="s">
        <v>29</v>
      </c>
      <c r="G607" t="s">
        <v>36</v>
      </c>
      <c r="H607">
        <v>639</v>
      </c>
      <c r="I607">
        <v>628</v>
      </c>
      <c r="J607">
        <v>11</v>
      </c>
      <c r="K607">
        <v>35.200000000000003</v>
      </c>
      <c r="L607">
        <v>38.82</v>
      </c>
      <c r="M607">
        <v>413.42</v>
      </c>
      <c r="N607">
        <f>_xlfn.XLOOKUP(Table13[[#This Row],[Production_Order_ID]],[1]Sheet1!$A$2:$A$391,[1]Sheet1!$F$2:$F$391,"No Match")</f>
        <v>640</v>
      </c>
      <c r="O607" s="3">
        <f>Table13[[#This Row],[Good_Qty]]/Table13[[#This Row],[Planned_Production]]</f>
        <v>0.98124999999999996</v>
      </c>
      <c r="P607" t="str">
        <f>IF(Table13[[#This Row],[Good_Qty]]&gt;=Table13[[#This Row],[Planned_Production]],"Met","Not Met")</f>
        <v>Not Met</v>
      </c>
      <c r="Q607">
        <f>Table13[[#This Row],[Good_Qty]]-Table13[[#This Row],[Planned_Production]]</f>
        <v>-12</v>
      </c>
      <c r="R607" s="3">
        <f>IF(Table13[[#This Row],[Actual_Qty]]=0,0,Table13[[#This Row],[Reject_Qty]]/Table13[[#This Row],[Actual_Qty]])</f>
        <v>1.7214397496087636E-2</v>
      </c>
      <c r="S607">
        <v>405.71</v>
      </c>
      <c r="T607">
        <f>(Table13[[#This Row],[Ideal_Cycle_Time_sec]]*Table13[[#This Row],[Actual_Qty]])/(Table13[[#This Row],[Operational_Time_min]]*60)</f>
        <v>0.9240097606664861</v>
      </c>
      <c r="U607">
        <f>Table13[[#This Row],[Good_Qty]]/Table13[[#This Row],[Actual_Qty]]</f>
        <v>0.98278560250391234</v>
      </c>
      <c r="V607" t="str">
        <f>IF(OR(Table13[[#This Row],[Performance_%]]&gt;=1,Table13[[#This Row],[Performance_%]]&lt;=0),"Error","OK")</f>
        <v>OK</v>
      </c>
      <c r="W607" t="str">
        <f>IF(OR(Table13[[#This Row],[Quality_%]]&gt;=1,Table13[[#This Row],[Quality_%]]&lt;=0),"Error","OK")</f>
        <v>OK</v>
      </c>
      <c r="X607">
        <f>Table13[[#This Row],[Performance_%]]*Table13[[#This Row],[Quality_%]]*[2]Availability_KPI!K607</f>
        <v>0.81872592592592597</v>
      </c>
      <c r="Y607" t="str">
        <f>IF(OR(Table13[[#This Row],[OEE_%]]&gt;1,Table13[[#This Row],[OEE_%]]&lt;0),"Error","OK")</f>
        <v>OK</v>
      </c>
    </row>
    <row r="608" spans="1:25" x14ac:dyDescent="0.2">
      <c r="A608" t="s">
        <v>733</v>
      </c>
      <c r="B608" t="s">
        <v>727</v>
      </c>
      <c r="C608" s="2">
        <v>46272</v>
      </c>
      <c r="D608" t="s">
        <v>27</v>
      </c>
      <c r="E608" t="s">
        <v>46</v>
      </c>
      <c r="F608" t="s">
        <v>29</v>
      </c>
      <c r="G608" t="s">
        <v>44</v>
      </c>
      <c r="H608">
        <v>622</v>
      </c>
      <c r="I608">
        <v>616</v>
      </c>
      <c r="J608">
        <v>6</v>
      </c>
      <c r="K608">
        <v>27.5</v>
      </c>
      <c r="L608">
        <v>27.96</v>
      </c>
      <c r="M608">
        <v>289.83999999999997</v>
      </c>
      <c r="N608">
        <f>_xlfn.XLOOKUP(Table13[[#This Row],[Production_Order_ID]],[1]Sheet1!$A$2:$A$391,[1]Sheet1!$F$2:$F$391,"No Match")</f>
        <v>640</v>
      </c>
      <c r="O608" s="3">
        <f>Table13[[#This Row],[Good_Qty]]/Table13[[#This Row],[Planned_Production]]</f>
        <v>0.96250000000000002</v>
      </c>
      <c r="P608" t="str">
        <f>IF(Table13[[#This Row],[Good_Qty]]&gt;=Table13[[#This Row],[Planned_Production]],"Met","Not Met")</f>
        <v>Not Met</v>
      </c>
      <c r="Q608">
        <f>Table13[[#This Row],[Good_Qty]]-Table13[[#This Row],[Planned_Production]]</f>
        <v>-24</v>
      </c>
      <c r="R608" s="3">
        <f>IF(Table13[[#This Row],[Actual_Qty]]=0,0,Table13[[#This Row],[Reject_Qty]]/Table13[[#This Row],[Actual_Qty]])</f>
        <v>9.6463022508038593E-3</v>
      </c>
      <c r="S608">
        <v>423.72</v>
      </c>
      <c r="T608">
        <f>(Table13[[#This Row],[Ideal_Cycle_Time_sec]]*Table13[[#This Row],[Actual_Qty]])/(Table13[[#This Row],[Operational_Time_min]]*60)</f>
        <v>0.67281066112841814</v>
      </c>
      <c r="U608">
        <f>Table13[[#This Row],[Good_Qty]]/Table13[[#This Row],[Actual_Qty]]</f>
        <v>0.99035369774919613</v>
      </c>
      <c r="V608" t="str">
        <f>IF(OR(Table13[[#This Row],[Performance_%]]&gt;=1,Table13[[#This Row],[Performance_%]]&lt;=0),"Error","OK")</f>
        <v>OK</v>
      </c>
      <c r="W608" t="str">
        <f>IF(OR(Table13[[#This Row],[Quality_%]]&gt;=1,Table13[[#This Row],[Quality_%]]&lt;=0),"Error","OK")</f>
        <v>OK</v>
      </c>
      <c r="X608">
        <f>Table13[[#This Row],[Performance_%]]*Table13[[#This Row],[Quality_%]]*[2]Availability_KPI!K608</f>
        <v>0.62740740740740752</v>
      </c>
      <c r="Y608" t="str">
        <f>IF(OR(Table13[[#This Row],[OEE_%]]&gt;1,Table13[[#This Row],[OEE_%]]&lt;0),"Error","OK")</f>
        <v>OK</v>
      </c>
    </row>
    <row r="609" spans="1:25" x14ac:dyDescent="0.2">
      <c r="A609" t="s">
        <v>734</v>
      </c>
      <c r="B609" t="s">
        <v>727</v>
      </c>
      <c r="C609" s="2">
        <v>46272</v>
      </c>
      <c r="D609" t="s">
        <v>27</v>
      </c>
      <c r="E609" t="s">
        <v>49</v>
      </c>
      <c r="F609" t="s">
        <v>29</v>
      </c>
      <c r="G609" t="s">
        <v>75</v>
      </c>
      <c r="H609">
        <v>636</v>
      </c>
      <c r="I609">
        <v>632</v>
      </c>
      <c r="J609">
        <v>4</v>
      </c>
      <c r="K609">
        <v>22</v>
      </c>
      <c r="L609">
        <v>23.19</v>
      </c>
      <c r="M609">
        <v>245.82</v>
      </c>
      <c r="N609">
        <f>_xlfn.XLOOKUP(Table13[[#This Row],[Production_Order_ID]],[1]Sheet1!$A$2:$A$391,[1]Sheet1!$F$2:$F$391,"No Match")</f>
        <v>640</v>
      </c>
      <c r="O609" s="3">
        <f>Table13[[#This Row],[Good_Qty]]/Table13[[#This Row],[Planned_Production]]</f>
        <v>0.98750000000000004</v>
      </c>
      <c r="P609" t="str">
        <f>IF(Table13[[#This Row],[Good_Qty]]&gt;=Table13[[#This Row],[Planned_Production]],"Met","Not Met")</f>
        <v>Not Met</v>
      </c>
      <c r="Q609">
        <f>Table13[[#This Row],[Good_Qty]]-Table13[[#This Row],[Planned_Production]]</f>
        <v>-8</v>
      </c>
      <c r="R609" s="3">
        <f>IF(Table13[[#This Row],[Actual_Qty]]=0,0,Table13[[#This Row],[Reject_Qty]]/Table13[[#This Row],[Actual_Qty]])</f>
        <v>6.2893081761006293E-3</v>
      </c>
      <c r="S609">
        <v>438.42</v>
      </c>
      <c r="T609">
        <f>(Table13[[#This Row],[Ideal_Cycle_Time_sec]]*Table13[[#This Row],[Actual_Qty]])/(Table13[[#This Row],[Operational_Time_min]]*60)</f>
        <v>0.53191004060033753</v>
      </c>
      <c r="U609">
        <f>Table13[[#This Row],[Good_Qty]]/Table13[[#This Row],[Actual_Qty]]</f>
        <v>0.99371069182389937</v>
      </c>
      <c r="V609" t="str">
        <f>IF(OR(Table13[[#This Row],[Performance_%]]&gt;=1,Table13[[#This Row],[Performance_%]]&lt;=0),"Error","OK")</f>
        <v>OK</v>
      </c>
      <c r="W609" t="str">
        <f>IF(OR(Table13[[#This Row],[Quality_%]]&gt;=1,Table13[[#This Row],[Quality_%]]&lt;=0),"Error","OK")</f>
        <v>OK</v>
      </c>
      <c r="X609">
        <f>Table13[[#This Row],[Performance_%]]*Table13[[#This Row],[Quality_%]]*[2]Availability_KPI!K609</f>
        <v>0.51496296296296296</v>
      </c>
      <c r="Y609" t="str">
        <f>IF(OR(Table13[[#This Row],[OEE_%]]&gt;1,Table13[[#This Row],[OEE_%]]&lt;0),"Error","OK")</f>
        <v>OK</v>
      </c>
    </row>
    <row r="610" spans="1:25" x14ac:dyDescent="0.2">
      <c r="A610" t="s">
        <v>735</v>
      </c>
      <c r="B610" t="s">
        <v>736</v>
      </c>
      <c r="C610" s="2">
        <v>46272</v>
      </c>
      <c r="D610" t="s">
        <v>53</v>
      </c>
      <c r="E610" t="s">
        <v>28</v>
      </c>
      <c r="F610" t="s">
        <v>54</v>
      </c>
      <c r="G610" t="s">
        <v>39</v>
      </c>
      <c r="H610">
        <v>610</v>
      </c>
      <c r="I610">
        <v>605</v>
      </c>
      <c r="J610">
        <v>5</v>
      </c>
      <c r="K610">
        <v>18</v>
      </c>
      <c r="L610">
        <v>19.32</v>
      </c>
      <c r="M610">
        <v>196.43</v>
      </c>
      <c r="N610">
        <f>_xlfn.XLOOKUP(Table13[[#This Row],[Production_Order_ID]],[1]Sheet1!$A$2:$A$391,[1]Sheet1!$F$2:$F$391,"No Match")</f>
        <v>500</v>
      </c>
      <c r="O610" s="3">
        <f>Table13[[#This Row],[Good_Qty]]/Table13[[#This Row],[Planned_Production]]</f>
        <v>1.21</v>
      </c>
      <c r="P610" t="str">
        <f>IF(Table13[[#This Row],[Good_Qty]]&gt;=Table13[[#This Row],[Planned_Production]],"Met","Not Met")</f>
        <v>Met</v>
      </c>
      <c r="Q610">
        <f>Table13[[#This Row],[Good_Qty]]-Table13[[#This Row],[Planned_Production]]</f>
        <v>105</v>
      </c>
      <c r="R610" s="3">
        <f>IF(Table13[[#This Row],[Actual_Qty]]=0,0,Table13[[#This Row],[Reject_Qty]]/Table13[[#This Row],[Actual_Qty]])</f>
        <v>8.1967213114754103E-3</v>
      </c>
      <c r="S610">
        <v>441.29</v>
      </c>
      <c r="T610">
        <f>(Table13[[#This Row],[Ideal_Cycle_Time_sec]]*Table13[[#This Row],[Actual_Qty]])/(Table13[[#This Row],[Operational_Time_min]]*60)</f>
        <v>0.41469328559450697</v>
      </c>
      <c r="U610">
        <f>Table13[[#This Row],[Good_Qty]]/Table13[[#This Row],[Actual_Qty]]</f>
        <v>0.99180327868852458</v>
      </c>
      <c r="V610" t="str">
        <f>IF(OR(Table13[[#This Row],[Performance_%]]&gt;=1,Table13[[#This Row],[Performance_%]]&lt;=0),"Error","OK")</f>
        <v>OK</v>
      </c>
      <c r="W610" t="str">
        <f>IF(OR(Table13[[#This Row],[Quality_%]]&gt;=1,Table13[[#This Row],[Quality_%]]&lt;=0),"Error","OK")</f>
        <v>OK</v>
      </c>
      <c r="X610">
        <f>Table13[[#This Row],[Performance_%]]*Table13[[#This Row],[Quality_%]]*[2]Availability_KPI!K610</f>
        <v>0.40333333333333332</v>
      </c>
      <c r="Y610" t="str">
        <f>IF(OR(Table13[[#This Row],[OEE_%]]&gt;1,Table13[[#This Row],[OEE_%]]&lt;0),"Error","OK")</f>
        <v>OK</v>
      </c>
    </row>
    <row r="611" spans="1:25" x14ac:dyDescent="0.2">
      <c r="A611" t="s">
        <v>737</v>
      </c>
      <c r="B611" t="s">
        <v>736</v>
      </c>
      <c r="C611" s="2">
        <v>46272</v>
      </c>
      <c r="D611" t="s">
        <v>53</v>
      </c>
      <c r="E611" t="s">
        <v>32</v>
      </c>
      <c r="F611" t="s">
        <v>54</v>
      </c>
      <c r="G611" t="s">
        <v>71</v>
      </c>
      <c r="H611">
        <v>620</v>
      </c>
      <c r="I611">
        <v>617</v>
      </c>
      <c r="J611">
        <v>3</v>
      </c>
      <c r="K611">
        <v>20</v>
      </c>
      <c r="L611">
        <v>21.64</v>
      </c>
      <c r="M611">
        <v>223.63</v>
      </c>
      <c r="N611">
        <f>_xlfn.XLOOKUP(Table13[[#This Row],[Production_Order_ID]],[1]Sheet1!$A$2:$A$391,[1]Sheet1!$F$2:$F$391,"No Match")</f>
        <v>500</v>
      </c>
      <c r="O611" s="3">
        <f>Table13[[#This Row],[Good_Qty]]/Table13[[#This Row],[Planned_Production]]</f>
        <v>1.234</v>
      </c>
      <c r="P611" t="str">
        <f>IF(Table13[[#This Row],[Good_Qty]]&gt;=Table13[[#This Row],[Planned_Production]],"Met","Not Met")</f>
        <v>Met</v>
      </c>
      <c r="Q611">
        <f>Table13[[#This Row],[Good_Qty]]-Table13[[#This Row],[Planned_Production]]</f>
        <v>117</v>
      </c>
      <c r="R611" s="3">
        <f>IF(Table13[[#This Row],[Actual_Qty]]=0,0,Table13[[#This Row],[Reject_Qty]]/Table13[[#This Row],[Actual_Qty]])</f>
        <v>4.8387096774193551E-3</v>
      </c>
      <c r="S611">
        <v>434.72</v>
      </c>
      <c r="T611">
        <f>(Table13[[#This Row],[Ideal_Cycle_Time_sec]]*Table13[[#This Row],[Actual_Qty]])/(Table13[[#This Row],[Operational_Time_min]]*60)</f>
        <v>0.47540179119126486</v>
      </c>
      <c r="U611">
        <f>Table13[[#This Row],[Good_Qty]]/Table13[[#This Row],[Actual_Qty]]</f>
        <v>0.99516129032258061</v>
      </c>
      <c r="V611" t="str">
        <f>IF(OR(Table13[[#This Row],[Performance_%]]&gt;=1,Table13[[#This Row],[Performance_%]]&lt;=0),"Error","OK")</f>
        <v>OK</v>
      </c>
      <c r="W611" t="str">
        <f>IF(OR(Table13[[#This Row],[Quality_%]]&gt;=1,Table13[[#This Row],[Quality_%]]&lt;=0),"Error","OK")</f>
        <v>OK</v>
      </c>
      <c r="X611">
        <f>Table13[[#This Row],[Performance_%]]*Table13[[#This Row],[Quality_%]]*[2]Availability_KPI!K611</f>
        <v>0.45703703703703702</v>
      </c>
      <c r="Y611" t="str">
        <f>IF(OR(Table13[[#This Row],[OEE_%]]&gt;1,Table13[[#This Row],[OEE_%]]&lt;0),"Error","OK")</f>
        <v>OK</v>
      </c>
    </row>
    <row r="612" spans="1:25" x14ac:dyDescent="0.2">
      <c r="A612" t="s">
        <v>738</v>
      </c>
      <c r="B612" t="s">
        <v>736</v>
      </c>
      <c r="C612" s="2">
        <v>46272</v>
      </c>
      <c r="D612" t="s">
        <v>53</v>
      </c>
      <c r="E612" t="s">
        <v>35</v>
      </c>
      <c r="F612" t="s">
        <v>54</v>
      </c>
      <c r="G612" t="s">
        <v>39</v>
      </c>
      <c r="H612">
        <v>611</v>
      </c>
      <c r="I612">
        <v>605</v>
      </c>
      <c r="J612">
        <v>6</v>
      </c>
      <c r="K612">
        <v>22</v>
      </c>
      <c r="L612">
        <v>22.35</v>
      </c>
      <c r="M612">
        <v>227.56</v>
      </c>
      <c r="N612">
        <f>_xlfn.XLOOKUP(Table13[[#This Row],[Production_Order_ID]],[1]Sheet1!$A$2:$A$391,[1]Sheet1!$F$2:$F$391,"No Match")</f>
        <v>500</v>
      </c>
      <c r="O612" s="3">
        <f>Table13[[#This Row],[Good_Qty]]/Table13[[#This Row],[Planned_Production]]</f>
        <v>1.21</v>
      </c>
      <c r="P612" t="str">
        <f>IF(Table13[[#This Row],[Good_Qty]]&gt;=Table13[[#This Row],[Planned_Production]],"Met","Not Met")</f>
        <v>Met</v>
      </c>
      <c r="Q612">
        <f>Table13[[#This Row],[Good_Qty]]-Table13[[#This Row],[Planned_Production]]</f>
        <v>105</v>
      </c>
      <c r="R612" s="3">
        <f>IF(Table13[[#This Row],[Actual_Qty]]=0,0,Table13[[#This Row],[Reject_Qty]]/Table13[[#This Row],[Actual_Qty]])</f>
        <v>9.8199672667757774E-3</v>
      </c>
      <c r="S612">
        <v>435.09</v>
      </c>
      <c r="T612">
        <f>(Table13[[#This Row],[Ideal_Cycle_Time_sec]]*Table13[[#This Row],[Actual_Qty]])/(Table13[[#This Row],[Operational_Time_min]]*60)</f>
        <v>0.51491262344189326</v>
      </c>
      <c r="U612">
        <f>Table13[[#This Row],[Good_Qty]]/Table13[[#This Row],[Actual_Qty]]</f>
        <v>0.99018003273322419</v>
      </c>
      <c r="V612" t="str">
        <f>IF(OR(Table13[[#This Row],[Performance_%]]&gt;=1,Table13[[#This Row],[Performance_%]]&lt;=0),"Error","OK")</f>
        <v>OK</v>
      </c>
      <c r="W612" t="str">
        <f>IF(OR(Table13[[#This Row],[Quality_%]]&gt;=1,Table13[[#This Row],[Quality_%]]&lt;=0),"Error","OK")</f>
        <v>OK</v>
      </c>
      <c r="X612">
        <f>Table13[[#This Row],[Performance_%]]*Table13[[#This Row],[Quality_%]]*[2]Availability_KPI!K612</f>
        <v>0.49296296296296294</v>
      </c>
      <c r="Y612" t="str">
        <f>IF(OR(Table13[[#This Row],[OEE_%]]&gt;1,Table13[[#This Row],[OEE_%]]&lt;0),"Error","OK")</f>
        <v>OK</v>
      </c>
    </row>
    <row r="613" spans="1:25" x14ac:dyDescent="0.2">
      <c r="A613" t="s">
        <v>739</v>
      </c>
      <c r="B613" t="s">
        <v>736</v>
      </c>
      <c r="C613" s="2">
        <v>46272</v>
      </c>
      <c r="D613" t="s">
        <v>53</v>
      </c>
      <c r="E613" t="s">
        <v>38</v>
      </c>
      <c r="F613" t="s">
        <v>54</v>
      </c>
      <c r="G613" t="s">
        <v>36</v>
      </c>
      <c r="H613">
        <v>594</v>
      </c>
      <c r="I613">
        <v>593</v>
      </c>
      <c r="J613">
        <v>1</v>
      </c>
      <c r="K613">
        <v>20</v>
      </c>
      <c r="L613">
        <v>20.9</v>
      </c>
      <c r="M613">
        <v>206.91</v>
      </c>
      <c r="N613">
        <f>_xlfn.XLOOKUP(Table13[[#This Row],[Production_Order_ID]],[1]Sheet1!$A$2:$A$391,[1]Sheet1!$F$2:$F$391,"No Match")</f>
        <v>500</v>
      </c>
      <c r="O613" s="3">
        <f>Table13[[#This Row],[Good_Qty]]/Table13[[#This Row],[Planned_Production]]</f>
        <v>1.1859999999999999</v>
      </c>
      <c r="P613" t="str">
        <f>IF(Table13[[#This Row],[Good_Qty]]&gt;=Table13[[#This Row],[Planned_Production]],"Met","Not Met")</f>
        <v>Met</v>
      </c>
      <c r="Q613">
        <f>Table13[[#This Row],[Good_Qty]]-Table13[[#This Row],[Planned_Production]]</f>
        <v>93</v>
      </c>
      <c r="R613" s="3">
        <f>IF(Table13[[#This Row],[Actual_Qty]]=0,0,Table13[[#This Row],[Reject_Qty]]/Table13[[#This Row],[Actual_Qty]])</f>
        <v>1.6835016835016834E-3</v>
      </c>
      <c r="S613">
        <v>442.14</v>
      </c>
      <c r="T613">
        <f>(Table13[[#This Row],[Ideal_Cycle_Time_sec]]*Table13[[#This Row],[Actual_Qty]])/(Table13[[#This Row],[Operational_Time_min]]*60)</f>
        <v>0.44782195684624782</v>
      </c>
      <c r="U613">
        <f>Table13[[#This Row],[Good_Qty]]/Table13[[#This Row],[Actual_Qty]]</f>
        <v>0.99831649831649827</v>
      </c>
      <c r="V613" t="str">
        <f>IF(OR(Table13[[#This Row],[Performance_%]]&gt;=1,Table13[[#This Row],[Performance_%]]&lt;=0),"Error","OK")</f>
        <v>OK</v>
      </c>
      <c r="W613" t="str">
        <f>IF(OR(Table13[[#This Row],[Quality_%]]&gt;=1,Table13[[#This Row],[Quality_%]]&lt;=0),"Error","OK")</f>
        <v>OK</v>
      </c>
      <c r="X613">
        <f>Table13[[#This Row],[Performance_%]]*Table13[[#This Row],[Quality_%]]*[2]Availability_KPI!K613</f>
        <v>0.43925925925925918</v>
      </c>
      <c r="Y613" t="str">
        <f>IF(OR(Table13[[#This Row],[OEE_%]]&gt;1,Table13[[#This Row],[OEE_%]]&lt;0),"Error","OK")</f>
        <v>OK</v>
      </c>
    </row>
    <row r="614" spans="1:25" x14ac:dyDescent="0.2">
      <c r="A614" t="s">
        <v>740</v>
      </c>
      <c r="B614" t="s">
        <v>736</v>
      </c>
      <c r="C614" s="2">
        <v>46272</v>
      </c>
      <c r="D614" t="s">
        <v>53</v>
      </c>
      <c r="E614" t="s">
        <v>41</v>
      </c>
      <c r="F614" t="s">
        <v>54</v>
      </c>
      <c r="G614" t="s">
        <v>30</v>
      </c>
      <c r="H614">
        <v>598</v>
      </c>
      <c r="I614">
        <v>593</v>
      </c>
      <c r="J614">
        <v>5</v>
      </c>
      <c r="K614">
        <v>18</v>
      </c>
      <c r="L614">
        <v>18.329999999999998</v>
      </c>
      <c r="M614">
        <v>182.71</v>
      </c>
      <c r="N614">
        <f>_xlfn.XLOOKUP(Table13[[#This Row],[Production_Order_ID]],[1]Sheet1!$A$2:$A$391,[1]Sheet1!$F$2:$F$391,"No Match")</f>
        <v>500</v>
      </c>
      <c r="O614" s="3">
        <f>Table13[[#This Row],[Good_Qty]]/Table13[[#This Row],[Planned_Production]]</f>
        <v>1.1859999999999999</v>
      </c>
      <c r="P614" t="str">
        <f>IF(Table13[[#This Row],[Good_Qty]]&gt;=Table13[[#This Row],[Planned_Production]],"Met","Not Met")</f>
        <v>Met</v>
      </c>
      <c r="Q614">
        <f>Table13[[#This Row],[Good_Qty]]-Table13[[#This Row],[Planned_Production]]</f>
        <v>93</v>
      </c>
      <c r="R614" s="3">
        <f>IF(Table13[[#This Row],[Actual_Qty]]=0,0,Table13[[#This Row],[Reject_Qty]]/Table13[[#This Row],[Actual_Qty]])</f>
        <v>8.3612040133779261E-3</v>
      </c>
      <c r="S614">
        <v>437.77</v>
      </c>
      <c r="T614">
        <f>(Table13[[#This Row],[Ideal_Cycle_Time_sec]]*Table13[[#This Row],[Actual_Qty]])/(Table13[[#This Row],[Operational_Time_min]]*60)</f>
        <v>0.40980423510062364</v>
      </c>
      <c r="U614">
        <f>Table13[[#This Row],[Good_Qty]]/Table13[[#This Row],[Actual_Qty]]</f>
        <v>0.99163879598662208</v>
      </c>
      <c r="V614" t="str">
        <f>IF(OR(Table13[[#This Row],[Performance_%]]&gt;=1,Table13[[#This Row],[Performance_%]]&lt;=0),"Error","OK")</f>
        <v>OK</v>
      </c>
      <c r="W614" t="str">
        <f>IF(OR(Table13[[#This Row],[Quality_%]]&gt;=1,Table13[[#This Row],[Quality_%]]&lt;=0),"Error","OK")</f>
        <v>OK</v>
      </c>
      <c r="X614">
        <f>Table13[[#This Row],[Performance_%]]*Table13[[#This Row],[Quality_%]]*[2]Availability_KPI!K614</f>
        <v>0.39533333333333337</v>
      </c>
      <c r="Y614" t="str">
        <f>IF(OR(Table13[[#This Row],[OEE_%]]&gt;1,Table13[[#This Row],[OEE_%]]&lt;0),"Error","OK")</f>
        <v>OK</v>
      </c>
    </row>
    <row r="615" spans="1:25" x14ac:dyDescent="0.2">
      <c r="A615" t="s">
        <v>741</v>
      </c>
      <c r="B615" t="s">
        <v>736</v>
      </c>
      <c r="C615" s="2">
        <v>46272</v>
      </c>
      <c r="D615" t="s">
        <v>53</v>
      </c>
      <c r="E615" t="s">
        <v>43</v>
      </c>
      <c r="F615" t="s">
        <v>54</v>
      </c>
      <c r="G615" t="s">
        <v>36</v>
      </c>
      <c r="H615">
        <v>617</v>
      </c>
      <c r="I615">
        <v>609</v>
      </c>
      <c r="J615">
        <v>8</v>
      </c>
      <c r="K615">
        <v>32</v>
      </c>
      <c r="L615">
        <v>35.22</v>
      </c>
      <c r="M615">
        <v>362.16</v>
      </c>
      <c r="N615">
        <f>_xlfn.XLOOKUP(Table13[[#This Row],[Production_Order_ID]],[1]Sheet1!$A$2:$A$391,[1]Sheet1!$F$2:$F$391,"No Match")</f>
        <v>500</v>
      </c>
      <c r="O615" s="3">
        <f>Table13[[#This Row],[Good_Qty]]/Table13[[#This Row],[Planned_Production]]</f>
        <v>1.218</v>
      </c>
      <c r="P615" t="str">
        <f>IF(Table13[[#This Row],[Good_Qty]]&gt;=Table13[[#This Row],[Planned_Production]],"Met","Not Met")</f>
        <v>Met</v>
      </c>
      <c r="Q615">
        <f>Table13[[#This Row],[Good_Qty]]-Table13[[#This Row],[Planned_Production]]</f>
        <v>109</v>
      </c>
      <c r="R615" s="3">
        <f>IF(Table13[[#This Row],[Actual_Qty]]=0,0,Table13[[#This Row],[Reject_Qty]]/Table13[[#This Row],[Actual_Qty]])</f>
        <v>1.2965964343598054E-2</v>
      </c>
      <c r="S615">
        <v>412.93</v>
      </c>
      <c r="T615">
        <f>(Table13[[#This Row],[Ideal_Cycle_Time_sec]]*Table13[[#This Row],[Actual_Qty]])/(Table13[[#This Row],[Operational_Time_min]]*60)</f>
        <v>0.79690665891716916</v>
      </c>
      <c r="U615">
        <f>Table13[[#This Row],[Good_Qty]]/Table13[[#This Row],[Actual_Qty]]</f>
        <v>0.98703403565640191</v>
      </c>
      <c r="V615" t="str">
        <f>IF(OR(Table13[[#This Row],[Performance_%]]&gt;=1,Table13[[#This Row],[Performance_%]]&lt;=0),"Error","OK")</f>
        <v>OK</v>
      </c>
      <c r="W615" t="str">
        <f>IF(OR(Table13[[#This Row],[Quality_%]]&gt;=1,Table13[[#This Row],[Quality_%]]&lt;=0),"Error","OK")</f>
        <v>OK</v>
      </c>
      <c r="X615">
        <f>Table13[[#This Row],[Performance_%]]*Table13[[#This Row],[Quality_%]]*[2]Availability_KPI!K615</f>
        <v>0.72177777777777774</v>
      </c>
      <c r="Y615" t="str">
        <f>IF(OR(Table13[[#This Row],[OEE_%]]&gt;1,Table13[[#This Row],[OEE_%]]&lt;0),"Error","OK")</f>
        <v>OK</v>
      </c>
    </row>
    <row r="616" spans="1:25" x14ac:dyDescent="0.2">
      <c r="A616" t="s">
        <v>742</v>
      </c>
      <c r="B616" t="s">
        <v>736</v>
      </c>
      <c r="C616" s="2">
        <v>46272</v>
      </c>
      <c r="D616" t="s">
        <v>53</v>
      </c>
      <c r="E616" t="s">
        <v>46</v>
      </c>
      <c r="F616" t="s">
        <v>54</v>
      </c>
      <c r="G616" t="s">
        <v>55</v>
      </c>
      <c r="H616">
        <v>610</v>
      </c>
      <c r="I616">
        <v>604</v>
      </c>
      <c r="J616">
        <v>6</v>
      </c>
      <c r="K616">
        <v>25</v>
      </c>
      <c r="L616">
        <v>26.82</v>
      </c>
      <c r="M616">
        <v>272.64999999999998</v>
      </c>
      <c r="N616">
        <f>_xlfn.XLOOKUP(Table13[[#This Row],[Production_Order_ID]],[1]Sheet1!$A$2:$A$391,[1]Sheet1!$F$2:$F$391,"No Match")</f>
        <v>500</v>
      </c>
      <c r="O616" s="3">
        <f>Table13[[#This Row],[Good_Qty]]/Table13[[#This Row],[Planned_Production]]</f>
        <v>1.208</v>
      </c>
      <c r="P616" t="str">
        <f>IF(Table13[[#This Row],[Good_Qty]]&gt;=Table13[[#This Row],[Planned_Production]],"Met","Not Met")</f>
        <v>Met</v>
      </c>
      <c r="Q616">
        <f>Table13[[#This Row],[Good_Qty]]-Table13[[#This Row],[Planned_Production]]</f>
        <v>104</v>
      </c>
      <c r="R616" s="3">
        <f>IF(Table13[[#This Row],[Actual_Qty]]=0,0,Table13[[#This Row],[Reject_Qty]]/Table13[[#This Row],[Actual_Qty]])</f>
        <v>9.8360655737704927E-3</v>
      </c>
      <c r="S616">
        <v>428.78</v>
      </c>
      <c r="T616">
        <f>(Table13[[#This Row],[Ideal_Cycle_Time_sec]]*Table13[[#This Row],[Actual_Qty]])/(Table13[[#This Row],[Operational_Time_min]]*60)</f>
        <v>0.59276707557877395</v>
      </c>
      <c r="U616">
        <f>Table13[[#This Row],[Good_Qty]]/Table13[[#This Row],[Actual_Qty]]</f>
        <v>0.99016393442622952</v>
      </c>
      <c r="V616" t="str">
        <f>IF(OR(Table13[[#This Row],[Performance_%]]&gt;=1,Table13[[#This Row],[Performance_%]]&lt;=0),"Error","OK")</f>
        <v>OK</v>
      </c>
      <c r="W616" t="str">
        <f>IF(OR(Table13[[#This Row],[Quality_%]]&gt;=1,Table13[[#This Row],[Quality_%]]&lt;=0),"Error","OK")</f>
        <v>OK</v>
      </c>
      <c r="X616">
        <f>Table13[[#This Row],[Performance_%]]*Table13[[#This Row],[Quality_%]]*[2]Availability_KPI!K616</f>
        <v>0.55925925925925923</v>
      </c>
      <c r="Y616" t="str">
        <f>IF(OR(Table13[[#This Row],[OEE_%]]&gt;1,Table13[[#This Row],[OEE_%]]&lt;0),"Error","OK")</f>
        <v>OK</v>
      </c>
    </row>
    <row r="617" spans="1:25" x14ac:dyDescent="0.2">
      <c r="A617" t="s">
        <v>743</v>
      </c>
      <c r="B617" t="s">
        <v>736</v>
      </c>
      <c r="C617" s="2">
        <v>46272</v>
      </c>
      <c r="D617" t="s">
        <v>53</v>
      </c>
      <c r="E617" t="s">
        <v>49</v>
      </c>
      <c r="F617" t="s">
        <v>54</v>
      </c>
      <c r="G617" t="s">
        <v>36</v>
      </c>
      <c r="H617">
        <v>606</v>
      </c>
      <c r="I617">
        <v>602</v>
      </c>
      <c r="J617">
        <v>4</v>
      </c>
      <c r="K617">
        <v>20</v>
      </c>
      <c r="L617">
        <v>21.01</v>
      </c>
      <c r="M617">
        <v>212.17</v>
      </c>
      <c r="N617">
        <f>_xlfn.XLOOKUP(Table13[[#This Row],[Production_Order_ID]],[1]Sheet1!$A$2:$A$391,[1]Sheet1!$F$2:$F$391,"No Match")</f>
        <v>500</v>
      </c>
      <c r="O617" s="3">
        <f>Table13[[#This Row],[Good_Qty]]/Table13[[#This Row],[Planned_Production]]</f>
        <v>1.204</v>
      </c>
      <c r="P617" t="str">
        <f>IF(Table13[[#This Row],[Good_Qty]]&gt;=Table13[[#This Row],[Planned_Production]],"Met","Not Met")</f>
        <v>Met</v>
      </c>
      <c r="Q617">
        <f>Table13[[#This Row],[Good_Qty]]-Table13[[#This Row],[Planned_Production]]</f>
        <v>102</v>
      </c>
      <c r="R617" s="3">
        <f>IF(Table13[[#This Row],[Actual_Qty]]=0,0,Table13[[#This Row],[Reject_Qty]]/Table13[[#This Row],[Actual_Qty]])</f>
        <v>6.6006600660066007E-3</v>
      </c>
      <c r="S617">
        <v>439.6</v>
      </c>
      <c r="T617">
        <f>(Table13[[#This Row],[Ideal_Cycle_Time_sec]]*Table13[[#This Row],[Actual_Qty]])/(Table13[[#This Row],[Operational_Time_min]]*60)</f>
        <v>0.45950864422202004</v>
      </c>
      <c r="U617">
        <f>Table13[[#This Row],[Good_Qty]]/Table13[[#This Row],[Actual_Qty]]</f>
        <v>0.99339933993399343</v>
      </c>
      <c r="V617" t="str">
        <f>IF(OR(Table13[[#This Row],[Performance_%]]&gt;=1,Table13[[#This Row],[Performance_%]]&lt;=0),"Error","OK")</f>
        <v>OK</v>
      </c>
      <c r="W617" t="str">
        <f>IF(OR(Table13[[#This Row],[Quality_%]]&gt;=1,Table13[[#This Row],[Quality_%]]&lt;=0),"Error","OK")</f>
        <v>OK</v>
      </c>
      <c r="X617">
        <f>Table13[[#This Row],[Performance_%]]*Table13[[#This Row],[Quality_%]]*[2]Availability_KPI!K617</f>
        <v>0.44592592592592595</v>
      </c>
      <c r="Y617" t="str">
        <f>IF(OR(Table13[[#This Row],[OEE_%]]&gt;1,Table13[[#This Row],[OEE_%]]&lt;0),"Error","OK")</f>
        <v>OK</v>
      </c>
    </row>
    <row r="618" spans="1:25" x14ac:dyDescent="0.2">
      <c r="A618" t="s">
        <v>744</v>
      </c>
      <c r="B618" t="s">
        <v>745</v>
      </c>
      <c r="C618" s="2">
        <v>46272</v>
      </c>
      <c r="D618" t="s">
        <v>67</v>
      </c>
      <c r="E618" t="s">
        <v>28</v>
      </c>
      <c r="F618" t="s">
        <v>54</v>
      </c>
      <c r="G618" t="s">
        <v>75</v>
      </c>
      <c r="H618">
        <v>671</v>
      </c>
      <c r="I618">
        <v>669</v>
      </c>
      <c r="J618">
        <v>2</v>
      </c>
      <c r="K618">
        <v>18</v>
      </c>
      <c r="L618">
        <v>18.010000000000002</v>
      </c>
      <c r="M618">
        <v>201.37</v>
      </c>
      <c r="N618">
        <f>_xlfn.XLOOKUP(Table13[[#This Row],[Production_Order_ID]],[1]Sheet1!$A$2:$A$391,[1]Sheet1!$F$2:$F$391,"No Match")</f>
        <v>500</v>
      </c>
      <c r="O618" s="3">
        <f>Table13[[#This Row],[Good_Qty]]/Table13[[#This Row],[Planned_Production]]</f>
        <v>1.3380000000000001</v>
      </c>
      <c r="P618" t="str">
        <f>IF(Table13[[#This Row],[Good_Qty]]&gt;=Table13[[#This Row],[Planned_Production]],"Met","Not Met")</f>
        <v>Met</v>
      </c>
      <c r="Q618">
        <f>Table13[[#This Row],[Good_Qty]]-Table13[[#This Row],[Planned_Production]]</f>
        <v>169</v>
      </c>
      <c r="R618" s="3">
        <f>IF(Table13[[#This Row],[Actual_Qty]]=0,0,Table13[[#This Row],[Reject_Qty]]/Table13[[#This Row],[Actual_Qty]])</f>
        <v>2.9806259314456036E-3</v>
      </c>
      <c r="S618">
        <v>439.09</v>
      </c>
      <c r="T618">
        <f>(Table13[[#This Row],[Ideal_Cycle_Time_sec]]*Table13[[#This Row],[Actual_Qty]])/(Table13[[#This Row],[Operational_Time_min]]*60)</f>
        <v>0.4584481541369651</v>
      </c>
      <c r="U618">
        <f>Table13[[#This Row],[Good_Qty]]/Table13[[#This Row],[Actual_Qty]]</f>
        <v>0.99701937406855434</v>
      </c>
      <c r="V618" t="str">
        <f>IF(OR(Table13[[#This Row],[Performance_%]]&gt;=1,Table13[[#This Row],[Performance_%]]&lt;=0),"Error","OK")</f>
        <v>OK</v>
      </c>
      <c r="W618" t="str">
        <f>IF(OR(Table13[[#This Row],[Quality_%]]&gt;=1,Table13[[#This Row],[Quality_%]]&lt;=0),"Error","OK")</f>
        <v>OK</v>
      </c>
      <c r="X618">
        <f>Table13[[#This Row],[Performance_%]]*Table13[[#This Row],[Quality_%]]*[2]Availability_KPI!K618</f>
        <v>0.44600000000000001</v>
      </c>
      <c r="Y618" t="str">
        <f>IF(OR(Table13[[#This Row],[OEE_%]]&gt;1,Table13[[#This Row],[OEE_%]]&lt;0),"Error","OK")</f>
        <v>OK</v>
      </c>
    </row>
    <row r="619" spans="1:25" x14ac:dyDescent="0.2">
      <c r="A619" t="s">
        <v>746</v>
      </c>
      <c r="B619" t="s">
        <v>745</v>
      </c>
      <c r="C619" s="2">
        <v>46272</v>
      </c>
      <c r="D619" t="s">
        <v>67</v>
      </c>
      <c r="E619" t="s">
        <v>32</v>
      </c>
      <c r="F619" t="s">
        <v>54</v>
      </c>
      <c r="G619" t="s">
        <v>57</v>
      </c>
      <c r="H619">
        <v>661</v>
      </c>
      <c r="I619">
        <v>656</v>
      </c>
      <c r="J619">
        <v>5</v>
      </c>
      <c r="K619">
        <v>20</v>
      </c>
      <c r="L619">
        <v>20.74</v>
      </c>
      <c r="M619">
        <v>228.45</v>
      </c>
      <c r="N619">
        <f>_xlfn.XLOOKUP(Table13[[#This Row],[Production_Order_ID]],[1]Sheet1!$A$2:$A$391,[1]Sheet1!$F$2:$F$391,"No Match")</f>
        <v>500</v>
      </c>
      <c r="O619" s="3">
        <f>Table13[[#This Row],[Good_Qty]]/Table13[[#This Row],[Planned_Production]]</f>
        <v>1.3120000000000001</v>
      </c>
      <c r="P619" t="str">
        <f>IF(Table13[[#This Row],[Good_Qty]]&gt;=Table13[[#This Row],[Planned_Production]],"Met","Not Met")</f>
        <v>Met</v>
      </c>
      <c r="Q619">
        <f>Table13[[#This Row],[Good_Qty]]-Table13[[#This Row],[Planned_Production]]</f>
        <v>156</v>
      </c>
      <c r="R619" s="3">
        <f>IF(Table13[[#This Row],[Actual_Qty]]=0,0,Table13[[#This Row],[Reject_Qty]]/Table13[[#This Row],[Actual_Qty]])</f>
        <v>7.5642965204236008E-3</v>
      </c>
      <c r="S619">
        <v>435.1</v>
      </c>
      <c r="T619">
        <f>(Table13[[#This Row],[Ideal_Cycle_Time_sec]]*Table13[[#This Row],[Actual_Qty]])/(Table13[[#This Row],[Operational_Time_min]]*60)</f>
        <v>0.50639699685895967</v>
      </c>
      <c r="U619">
        <f>Table13[[#This Row],[Good_Qty]]/Table13[[#This Row],[Actual_Qty]]</f>
        <v>0.99243570347957644</v>
      </c>
      <c r="V619" t="str">
        <f>IF(OR(Table13[[#This Row],[Performance_%]]&gt;=1,Table13[[#This Row],[Performance_%]]&lt;=0),"Error","OK")</f>
        <v>OK</v>
      </c>
      <c r="W619" t="str">
        <f>IF(OR(Table13[[#This Row],[Quality_%]]&gt;=1,Table13[[#This Row],[Quality_%]]&lt;=0),"Error","OK")</f>
        <v>OK</v>
      </c>
      <c r="X619">
        <f>Table13[[#This Row],[Performance_%]]*Table13[[#This Row],[Quality_%]]*[2]Availability_KPI!K619</f>
        <v>0.48592592592592593</v>
      </c>
      <c r="Y619" t="str">
        <f>IF(OR(Table13[[#This Row],[OEE_%]]&gt;1,Table13[[#This Row],[OEE_%]]&lt;0),"Error","OK")</f>
        <v>OK</v>
      </c>
    </row>
    <row r="620" spans="1:25" x14ac:dyDescent="0.2">
      <c r="A620" t="s">
        <v>747</v>
      </c>
      <c r="B620" t="s">
        <v>745</v>
      </c>
      <c r="C620" s="2">
        <v>46272</v>
      </c>
      <c r="D620" t="s">
        <v>67</v>
      </c>
      <c r="E620" t="s">
        <v>35</v>
      </c>
      <c r="F620" t="s">
        <v>54</v>
      </c>
      <c r="G620" t="s">
        <v>50</v>
      </c>
      <c r="H620">
        <v>660</v>
      </c>
      <c r="I620">
        <v>652</v>
      </c>
      <c r="J620">
        <v>8</v>
      </c>
      <c r="K620">
        <v>22</v>
      </c>
      <c r="L620">
        <v>22.71</v>
      </c>
      <c r="M620">
        <v>249.79</v>
      </c>
      <c r="N620">
        <f>_xlfn.XLOOKUP(Table13[[#This Row],[Production_Order_ID]],[1]Sheet1!$A$2:$A$391,[1]Sheet1!$F$2:$F$391,"No Match")</f>
        <v>500</v>
      </c>
      <c r="O620" s="3">
        <f>Table13[[#This Row],[Good_Qty]]/Table13[[#This Row],[Planned_Production]]</f>
        <v>1.304</v>
      </c>
      <c r="P620" t="str">
        <f>IF(Table13[[#This Row],[Good_Qty]]&gt;=Table13[[#This Row],[Planned_Production]],"Met","Not Met")</f>
        <v>Met</v>
      </c>
      <c r="Q620">
        <f>Table13[[#This Row],[Good_Qty]]-Table13[[#This Row],[Planned_Production]]</f>
        <v>152</v>
      </c>
      <c r="R620" s="3">
        <f>IF(Table13[[#This Row],[Actual_Qty]]=0,0,Table13[[#This Row],[Reject_Qty]]/Table13[[#This Row],[Actual_Qty]])</f>
        <v>1.2121212121212121E-2</v>
      </c>
      <c r="S620">
        <v>436.96</v>
      </c>
      <c r="T620">
        <f>(Table13[[#This Row],[Ideal_Cycle_Time_sec]]*Table13[[#This Row],[Actual_Qty]])/(Table13[[#This Row],[Operational_Time_min]]*60)</f>
        <v>0.55382643720248992</v>
      </c>
      <c r="U620">
        <f>Table13[[#This Row],[Good_Qty]]/Table13[[#This Row],[Actual_Qty]]</f>
        <v>0.98787878787878791</v>
      </c>
      <c r="V620" t="str">
        <f>IF(OR(Table13[[#This Row],[Performance_%]]&gt;=1,Table13[[#This Row],[Performance_%]]&lt;=0),"Error","OK")</f>
        <v>OK</v>
      </c>
      <c r="W620" t="str">
        <f>IF(OR(Table13[[#This Row],[Quality_%]]&gt;=1,Table13[[#This Row],[Quality_%]]&lt;=0),"Error","OK")</f>
        <v>OK</v>
      </c>
      <c r="X620">
        <f>Table13[[#This Row],[Performance_%]]*Table13[[#This Row],[Quality_%]]*[2]Availability_KPI!K620</f>
        <v>0.53125925925925921</v>
      </c>
      <c r="Y620" t="str">
        <f>IF(OR(Table13[[#This Row],[OEE_%]]&gt;1,Table13[[#This Row],[OEE_%]]&lt;0),"Error","OK")</f>
        <v>OK</v>
      </c>
    </row>
    <row r="621" spans="1:25" x14ac:dyDescent="0.2">
      <c r="A621" t="s">
        <v>748</v>
      </c>
      <c r="B621" t="s">
        <v>745</v>
      </c>
      <c r="C621" s="2">
        <v>46272</v>
      </c>
      <c r="D621" t="s">
        <v>67</v>
      </c>
      <c r="E621" t="s">
        <v>38</v>
      </c>
      <c r="F621" t="s">
        <v>54</v>
      </c>
      <c r="G621" t="s">
        <v>71</v>
      </c>
      <c r="H621">
        <v>678</v>
      </c>
      <c r="I621">
        <v>672</v>
      </c>
      <c r="J621">
        <v>6</v>
      </c>
      <c r="K621">
        <v>20</v>
      </c>
      <c r="L621">
        <v>21.27</v>
      </c>
      <c r="M621">
        <v>240.37</v>
      </c>
      <c r="N621">
        <f>_xlfn.XLOOKUP(Table13[[#This Row],[Production_Order_ID]],[1]Sheet1!$A$2:$A$391,[1]Sheet1!$F$2:$F$391,"No Match")</f>
        <v>500</v>
      </c>
      <c r="O621" s="3">
        <f>Table13[[#This Row],[Good_Qty]]/Table13[[#This Row],[Planned_Production]]</f>
        <v>1.3440000000000001</v>
      </c>
      <c r="P621" t="str">
        <f>IF(Table13[[#This Row],[Good_Qty]]&gt;=Table13[[#This Row],[Planned_Production]],"Met","Not Met")</f>
        <v>Met</v>
      </c>
      <c r="Q621">
        <f>Table13[[#This Row],[Good_Qty]]-Table13[[#This Row],[Planned_Production]]</f>
        <v>172</v>
      </c>
      <c r="R621" s="3">
        <f>IF(Table13[[#This Row],[Actual_Qty]]=0,0,Table13[[#This Row],[Reject_Qty]]/Table13[[#This Row],[Actual_Qty]])</f>
        <v>8.8495575221238937E-3</v>
      </c>
      <c r="S621">
        <v>435.25</v>
      </c>
      <c r="T621">
        <f>(Table13[[#This Row],[Ideal_Cycle_Time_sec]]*Table13[[#This Row],[Actual_Qty]])/(Table13[[#This Row],[Operational_Time_min]]*60)</f>
        <v>0.5192418150488225</v>
      </c>
      <c r="U621">
        <f>Table13[[#This Row],[Good_Qty]]/Table13[[#This Row],[Actual_Qty]]</f>
        <v>0.99115044247787609</v>
      </c>
      <c r="V621" t="str">
        <f>IF(OR(Table13[[#This Row],[Performance_%]]&gt;=1,Table13[[#This Row],[Performance_%]]&lt;=0),"Error","OK")</f>
        <v>OK</v>
      </c>
      <c r="W621" t="str">
        <f>IF(OR(Table13[[#This Row],[Quality_%]]&gt;=1,Table13[[#This Row],[Quality_%]]&lt;=0),"Error","OK")</f>
        <v>OK</v>
      </c>
      <c r="X621">
        <f>Table13[[#This Row],[Performance_%]]*Table13[[#This Row],[Quality_%]]*[2]Availability_KPI!K621</f>
        <v>0.49777777777777776</v>
      </c>
      <c r="Y621" t="str">
        <f>IF(OR(Table13[[#This Row],[OEE_%]]&gt;1,Table13[[#This Row],[OEE_%]]&lt;0),"Error","OK")</f>
        <v>OK</v>
      </c>
    </row>
    <row r="622" spans="1:25" x14ac:dyDescent="0.2">
      <c r="A622" t="s">
        <v>749</v>
      </c>
      <c r="B622" t="s">
        <v>745</v>
      </c>
      <c r="C622" s="2">
        <v>46272</v>
      </c>
      <c r="D622" t="s">
        <v>67</v>
      </c>
      <c r="E622" t="s">
        <v>41</v>
      </c>
      <c r="F622" t="s">
        <v>54</v>
      </c>
      <c r="G622" t="s">
        <v>36</v>
      </c>
      <c r="H622">
        <v>669</v>
      </c>
      <c r="I622">
        <v>662</v>
      </c>
      <c r="J622">
        <v>7</v>
      </c>
      <c r="K622">
        <v>18</v>
      </c>
      <c r="L622">
        <v>19.079999999999998</v>
      </c>
      <c r="M622">
        <v>212.73</v>
      </c>
      <c r="N622">
        <f>_xlfn.XLOOKUP(Table13[[#This Row],[Production_Order_ID]],[1]Sheet1!$A$2:$A$391,[1]Sheet1!$F$2:$F$391,"No Match")</f>
        <v>500</v>
      </c>
      <c r="O622" s="3">
        <f>Table13[[#This Row],[Good_Qty]]/Table13[[#This Row],[Planned_Production]]</f>
        <v>1.3240000000000001</v>
      </c>
      <c r="P622" t="str">
        <f>IF(Table13[[#This Row],[Good_Qty]]&gt;=Table13[[#This Row],[Planned_Production]],"Met","Not Met")</f>
        <v>Met</v>
      </c>
      <c r="Q622">
        <f>Table13[[#This Row],[Good_Qty]]-Table13[[#This Row],[Planned_Production]]</f>
        <v>162</v>
      </c>
      <c r="R622" s="3">
        <f>IF(Table13[[#This Row],[Actual_Qty]]=0,0,Table13[[#This Row],[Reject_Qty]]/Table13[[#This Row],[Actual_Qty]])</f>
        <v>1.0463378176382661E-2</v>
      </c>
      <c r="S622">
        <v>440.05</v>
      </c>
      <c r="T622">
        <f>(Table13[[#This Row],[Ideal_Cycle_Time_sec]]*Table13[[#This Row],[Actual_Qty]])/(Table13[[#This Row],[Operational_Time_min]]*60)</f>
        <v>0.45608453584819908</v>
      </c>
      <c r="U622">
        <f>Table13[[#This Row],[Good_Qty]]/Table13[[#This Row],[Actual_Qty]]</f>
        <v>0.98953662182361735</v>
      </c>
      <c r="V622" t="str">
        <f>IF(OR(Table13[[#This Row],[Performance_%]]&gt;=1,Table13[[#This Row],[Performance_%]]&lt;=0),"Error","OK")</f>
        <v>OK</v>
      </c>
      <c r="W622" t="str">
        <f>IF(OR(Table13[[#This Row],[Quality_%]]&gt;=1,Table13[[#This Row],[Quality_%]]&lt;=0),"Error","OK")</f>
        <v>OK</v>
      </c>
      <c r="X622">
        <f>Table13[[#This Row],[Performance_%]]*Table13[[#This Row],[Quality_%]]*[2]Availability_KPI!K622</f>
        <v>0.44133333333333341</v>
      </c>
      <c r="Y622" t="str">
        <f>IF(OR(Table13[[#This Row],[OEE_%]]&gt;1,Table13[[#This Row],[OEE_%]]&lt;0),"Error","OK")</f>
        <v>OK</v>
      </c>
    </row>
    <row r="623" spans="1:25" x14ac:dyDescent="0.2">
      <c r="A623" t="s">
        <v>750</v>
      </c>
      <c r="B623" t="s">
        <v>745</v>
      </c>
      <c r="C623" s="2">
        <v>46272</v>
      </c>
      <c r="D623" t="s">
        <v>67</v>
      </c>
      <c r="E623" t="s">
        <v>43</v>
      </c>
      <c r="F623" t="s">
        <v>54</v>
      </c>
      <c r="G623" t="s">
        <v>75</v>
      </c>
      <c r="H623">
        <v>657</v>
      </c>
      <c r="I623">
        <v>647</v>
      </c>
      <c r="J623">
        <v>10</v>
      </c>
      <c r="K623">
        <v>32</v>
      </c>
      <c r="L623">
        <v>34.01</v>
      </c>
      <c r="M623">
        <v>372.42</v>
      </c>
      <c r="N623">
        <f>_xlfn.XLOOKUP(Table13[[#This Row],[Production_Order_ID]],[1]Sheet1!$A$2:$A$391,[1]Sheet1!$F$2:$F$391,"No Match")</f>
        <v>500</v>
      </c>
      <c r="O623" s="3">
        <f>Table13[[#This Row],[Good_Qty]]/Table13[[#This Row],[Planned_Production]]</f>
        <v>1.294</v>
      </c>
      <c r="P623" t="str">
        <f>IF(Table13[[#This Row],[Good_Qty]]&gt;=Table13[[#This Row],[Planned_Production]],"Met","Not Met")</f>
        <v>Met</v>
      </c>
      <c r="Q623">
        <f>Table13[[#This Row],[Good_Qty]]-Table13[[#This Row],[Planned_Production]]</f>
        <v>147</v>
      </c>
      <c r="R623" s="3">
        <f>IF(Table13[[#This Row],[Actual_Qty]]=0,0,Table13[[#This Row],[Reject_Qty]]/Table13[[#This Row],[Actual_Qty]])</f>
        <v>1.5220700152207001E-2</v>
      </c>
      <c r="S623">
        <v>410.82</v>
      </c>
      <c r="T623">
        <f>(Table13[[#This Row],[Ideal_Cycle_Time_sec]]*Table13[[#This Row],[Actual_Qty]])/(Table13[[#This Row],[Operational_Time_min]]*60)</f>
        <v>0.85292828976193946</v>
      </c>
      <c r="U623">
        <f>Table13[[#This Row],[Good_Qty]]/Table13[[#This Row],[Actual_Qty]]</f>
        <v>0.984779299847793</v>
      </c>
      <c r="V623" t="str">
        <f>IF(OR(Table13[[#This Row],[Performance_%]]&gt;=1,Table13[[#This Row],[Performance_%]]&lt;=0),"Error","OK")</f>
        <v>OK</v>
      </c>
      <c r="W623" t="str">
        <f>IF(OR(Table13[[#This Row],[Quality_%]]&gt;=1,Table13[[#This Row],[Quality_%]]&lt;=0),"Error","OK")</f>
        <v>OK</v>
      </c>
      <c r="X623">
        <f>Table13[[#This Row],[Performance_%]]*Table13[[#This Row],[Quality_%]]*[2]Availability_KPI!K623</f>
        <v>0.76681481481481473</v>
      </c>
      <c r="Y623" t="str">
        <f>IF(OR(Table13[[#This Row],[OEE_%]]&gt;1,Table13[[#This Row],[OEE_%]]&lt;0),"Error","OK")</f>
        <v>OK</v>
      </c>
    </row>
    <row r="624" spans="1:25" x14ac:dyDescent="0.2">
      <c r="A624" t="s">
        <v>751</v>
      </c>
      <c r="B624" t="s">
        <v>745</v>
      </c>
      <c r="C624" s="2">
        <v>46272</v>
      </c>
      <c r="D624" t="s">
        <v>67</v>
      </c>
      <c r="E624" t="s">
        <v>46</v>
      </c>
      <c r="F624" t="s">
        <v>54</v>
      </c>
      <c r="G624" t="s">
        <v>30</v>
      </c>
      <c r="H624">
        <v>661</v>
      </c>
      <c r="I624">
        <v>656</v>
      </c>
      <c r="J624">
        <v>5</v>
      </c>
      <c r="K624">
        <v>25</v>
      </c>
      <c r="L624">
        <v>26</v>
      </c>
      <c r="M624">
        <v>286.39</v>
      </c>
      <c r="N624">
        <f>_xlfn.XLOOKUP(Table13[[#This Row],[Production_Order_ID]],[1]Sheet1!$A$2:$A$391,[1]Sheet1!$F$2:$F$391,"No Match")</f>
        <v>500</v>
      </c>
      <c r="O624" s="3">
        <f>Table13[[#This Row],[Good_Qty]]/Table13[[#This Row],[Planned_Production]]</f>
        <v>1.3120000000000001</v>
      </c>
      <c r="P624" t="str">
        <f>IF(Table13[[#This Row],[Good_Qty]]&gt;=Table13[[#This Row],[Planned_Production]],"Met","Not Met")</f>
        <v>Met</v>
      </c>
      <c r="Q624">
        <f>Table13[[#This Row],[Good_Qty]]-Table13[[#This Row],[Planned_Production]]</f>
        <v>156</v>
      </c>
      <c r="R624" s="3">
        <f>IF(Table13[[#This Row],[Actual_Qty]]=0,0,Table13[[#This Row],[Reject_Qty]]/Table13[[#This Row],[Actual_Qty]])</f>
        <v>7.5642965204236008E-3</v>
      </c>
      <c r="S624">
        <v>427.46</v>
      </c>
      <c r="T624">
        <f>(Table13[[#This Row],[Ideal_Cycle_Time_sec]]*Table13[[#This Row],[Actual_Qty]])/(Table13[[#This Row],[Operational_Time_min]]*60)</f>
        <v>0.64430979896754481</v>
      </c>
      <c r="U624">
        <f>Table13[[#This Row],[Good_Qty]]/Table13[[#This Row],[Actual_Qty]]</f>
        <v>0.99243570347957644</v>
      </c>
      <c r="V624" t="str">
        <f>IF(OR(Table13[[#This Row],[Performance_%]]&gt;=1,Table13[[#This Row],[Performance_%]]&lt;=0),"Error","OK")</f>
        <v>OK</v>
      </c>
      <c r="W624" t="str">
        <f>IF(OR(Table13[[#This Row],[Quality_%]]&gt;=1,Table13[[#This Row],[Quality_%]]&lt;=0),"Error","OK")</f>
        <v>OK</v>
      </c>
      <c r="X624">
        <f>Table13[[#This Row],[Performance_%]]*Table13[[#This Row],[Quality_%]]*[2]Availability_KPI!K624</f>
        <v>0.6074074074074074</v>
      </c>
      <c r="Y624" t="str">
        <f>IF(OR(Table13[[#This Row],[OEE_%]]&gt;1,Table13[[#This Row],[OEE_%]]&lt;0),"Error","OK")</f>
        <v>OK</v>
      </c>
    </row>
    <row r="625" spans="1:25" x14ac:dyDescent="0.2">
      <c r="A625" t="s">
        <v>752</v>
      </c>
      <c r="B625" t="s">
        <v>745</v>
      </c>
      <c r="C625" s="2">
        <v>46272</v>
      </c>
      <c r="D625" t="s">
        <v>67</v>
      </c>
      <c r="E625" t="s">
        <v>49</v>
      </c>
      <c r="F625" t="s">
        <v>54</v>
      </c>
      <c r="G625" t="s">
        <v>57</v>
      </c>
      <c r="H625">
        <v>670</v>
      </c>
      <c r="I625">
        <v>666</v>
      </c>
      <c r="J625">
        <v>4</v>
      </c>
      <c r="K625">
        <v>20</v>
      </c>
      <c r="L625">
        <v>21.5</v>
      </c>
      <c r="M625">
        <v>240.11</v>
      </c>
      <c r="N625">
        <f>_xlfn.XLOOKUP(Table13[[#This Row],[Production_Order_ID]],[1]Sheet1!$A$2:$A$391,[1]Sheet1!$F$2:$F$391,"No Match")</f>
        <v>500</v>
      </c>
      <c r="O625" s="3">
        <f>Table13[[#This Row],[Good_Qty]]/Table13[[#This Row],[Planned_Production]]</f>
        <v>1.3320000000000001</v>
      </c>
      <c r="P625" t="str">
        <f>IF(Table13[[#This Row],[Good_Qty]]&gt;=Table13[[#This Row],[Planned_Production]],"Met","Not Met")</f>
        <v>Met</v>
      </c>
      <c r="Q625">
        <f>Table13[[#This Row],[Good_Qty]]-Table13[[#This Row],[Planned_Production]]</f>
        <v>166</v>
      </c>
      <c r="R625" s="3">
        <f>IF(Table13[[#This Row],[Actual_Qty]]=0,0,Table13[[#This Row],[Reject_Qty]]/Table13[[#This Row],[Actual_Qty]])</f>
        <v>5.9701492537313433E-3</v>
      </c>
      <c r="S625">
        <v>439.3</v>
      </c>
      <c r="T625">
        <f>(Table13[[#This Row],[Ideal_Cycle_Time_sec]]*Table13[[#This Row],[Actual_Qty]])/(Table13[[#This Row],[Operational_Time_min]]*60)</f>
        <v>0.50838455117990744</v>
      </c>
      <c r="U625">
        <f>Table13[[#This Row],[Good_Qty]]/Table13[[#This Row],[Actual_Qty]]</f>
        <v>0.99402985074626871</v>
      </c>
      <c r="V625" t="str">
        <f>IF(OR(Table13[[#This Row],[Performance_%]]&gt;=1,Table13[[#This Row],[Performance_%]]&lt;=0),"Error","OK")</f>
        <v>OK</v>
      </c>
      <c r="W625" t="str">
        <f>IF(OR(Table13[[#This Row],[Quality_%]]&gt;=1,Table13[[#This Row],[Quality_%]]&lt;=0),"Error","OK")</f>
        <v>OK</v>
      </c>
      <c r="X625">
        <f>Table13[[#This Row],[Performance_%]]*Table13[[#This Row],[Quality_%]]*[2]Availability_KPI!K625</f>
        <v>0.49333333333333335</v>
      </c>
      <c r="Y625" t="str">
        <f>IF(OR(Table13[[#This Row],[OEE_%]]&gt;1,Table13[[#This Row],[OEE_%]]&lt;0),"Error","OK")</f>
        <v>OK</v>
      </c>
    </row>
    <row r="626" spans="1:25" x14ac:dyDescent="0.2">
      <c r="A626" t="s">
        <v>753</v>
      </c>
      <c r="B626" t="s">
        <v>754</v>
      </c>
      <c r="C626" s="2">
        <v>46273</v>
      </c>
      <c r="D626" t="s">
        <v>27</v>
      </c>
      <c r="E626" t="s">
        <v>28</v>
      </c>
      <c r="F626" t="s">
        <v>54</v>
      </c>
      <c r="G626" t="s">
        <v>47</v>
      </c>
      <c r="H626">
        <v>657</v>
      </c>
      <c r="I626">
        <v>655</v>
      </c>
      <c r="J626">
        <v>2</v>
      </c>
      <c r="K626">
        <v>18</v>
      </c>
      <c r="L626">
        <v>19</v>
      </c>
      <c r="M626">
        <v>208.02</v>
      </c>
      <c r="N626">
        <f>_xlfn.XLOOKUP(Table13[[#This Row],[Production_Order_ID]],[1]Sheet1!$A$2:$A$391,[1]Sheet1!$F$2:$F$391,"No Match")</f>
        <v>460</v>
      </c>
      <c r="O626" s="3">
        <f>Table13[[#This Row],[Good_Qty]]/Table13[[#This Row],[Planned_Production]]</f>
        <v>1.423913043478261</v>
      </c>
      <c r="P626" t="str">
        <f>IF(Table13[[#This Row],[Good_Qty]]&gt;=Table13[[#This Row],[Planned_Production]],"Met","Not Met")</f>
        <v>Met</v>
      </c>
      <c r="Q626">
        <f>Table13[[#This Row],[Good_Qty]]-Table13[[#This Row],[Planned_Production]]</f>
        <v>195</v>
      </c>
      <c r="R626" s="3">
        <f>IF(Table13[[#This Row],[Actual_Qty]]=0,0,Table13[[#This Row],[Reject_Qty]]/Table13[[#This Row],[Actual_Qty]])</f>
        <v>3.0441400304414001E-3</v>
      </c>
      <c r="S626">
        <v>441.54</v>
      </c>
      <c r="T626">
        <f>(Table13[[#This Row],[Ideal_Cycle_Time_sec]]*Table13[[#This Row],[Actual_Qty]])/(Table13[[#This Row],[Operational_Time_min]]*60)</f>
        <v>0.44639217284957194</v>
      </c>
      <c r="U626">
        <f>Table13[[#This Row],[Good_Qty]]/Table13[[#This Row],[Actual_Qty]]</f>
        <v>0.9969558599695586</v>
      </c>
      <c r="V626" t="str">
        <f>IF(OR(Table13[[#This Row],[Performance_%]]&gt;=1,Table13[[#This Row],[Performance_%]]&lt;=0),"Error","OK")</f>
        <v>OK</v>
      </c>
      <c r="W626" t="str">
        <f>IF(OR(Table13[[#This Row],[Quality_%]]&gt;=1,Table13[[#This Row],[Quality_%]]&lt;=0),"Error","OK")</f>
        <v>OK</v>
      </c>
      <c r="X626">
        <f>Table13[[#This Row],[Performance_%]]*Table13[[#This Row],[Quality_%]]*[2]Availability_KPI!K626</f>
        <v>0.4366666666666667</v>
      </c>
      <c r="Y626" t="str">
        <f>IF(OR(Table13[[#This Row],[OEE_%]]&gt;1,Table13[[#This Row],[OEE_%]]&lt;0),"Error","OK")</f>
        <v>OK</v>
      </c>
    </row>
    <row r="627" spans="1:25" x14ac:dyDescent="0.2">
      <c r="A627" t="s">
        <v>755</v>
      </c>
      <c r="B627" t="s">
        <v>754</v>
      </c>
      <c r="C627" s="2">
        <v>46273</v>
      </c>
      <c r="D627" t="s">
        <v>27</v>
      </c>
      <c r="E627" t="s">
        <v>32</v>
      </c>
      <c r="F627" t="s">
        <v>54</v>
      </c>
      <c r="G627" t="s">
        <v>36</v>
      </c>
      <c r="H627">
        <v>670</v>
      </c>
      <c r="I627">
        <v>665</v>
      </c>
      <c r="J627">
        <v>5</v>
      </c>
      <c r="K627">
        <v>20</v>
      </c>
      <c r="L627">
        <v>21.3</v>
      </c>
      <c r="M627">
        <v>237.85</v>
      </c>
      <c r="N627">
        <f>_xlfn.XLOOKUP(Table13[[#This Row],[Production_Order_ID]],[1]Sheet1!$A$2:$A$391,[1]Sheet1!$F$2:$F$391,"No Match")</f>
        <v>460</v>
      </c>
      <c r="O627" s="3">
        <f>Table13[[#This Row],[Good_Qty]]/Table13[[#This Row],[Planned_Production]]</f>
        <v>1.4456521739130435</v>
      </c>
      <c r="P627" t="str">
        <f>IF(Table13[[#This Row],[Good_Qty]]&gt;=Table13[[#This Row],[Planned_Production]],"Met","Not Met")</f>
        <v>Met</v>
      </c>
      <c r="Q627">
        <f>Table13[[#This Row],[Good_Qty]]-Table13[[#This Row],[Planned_Production]]</f>
        <v>205</v>
      </c>
      <c r="R627" s="3">
        <f>IF(Table13[[#This Row],[Actual_Qty]]=0,0,Table13[[#This Row],[Reject_Qty]]/Table13[[#This Row],[Actual_Qty]])</f>
        <v>7.462686567164179E-3</v>
      </c>
      <c r="S627">
        <v>434.73</v>
      </c>
      <c r="T627">
        <f>(Table13[[#This Row],[Ideal_Cycle_Time_sec]]*Table13[[#This Row],[Actual_Qty]])/(Table13[[#This Row],[Operational_Time_min]]*60)</f>
        <v>0.51372882785483709</v>
      </c>
      <c r="U627">
        <f>Table13[[#This Row],[Good_Qty]]/Table13[[#This Row],[Actual_Qty]]</f>
        <v>0.9925373134328358</v>
      </c>
      <c r="V627" t="str">
        <f>IF(OR(Table13[[#This Row],[Performance_%]]&gt;=1,Table13[[#This Row],[Performance_%]]&lt;=0),"Error","OK")</f>
        <v>OK</v>
      </c>
      <c r="W627" t="str">
        <f>IF(OR(Table13[[#This Row],[Quality_%]]&gt;=1,Table13[[#This Row],[Quality_%]]&lt;=0),"Error","OK")</f>
        <v>OK</v>
      </c>
      <c r="X627">
        <f>Table13[[#This Row],[Performance_%]]*Table13[[#This Row],[Quality_%]]*[2]Availability_KPI!K627</f>
        <v>0.49259259259259258</v>
      </c>
      <c r="Y627" t="str">
        <f>IF(OR(Table13[[#This Row],[OEE_%]]&gt;1,Table13[[#This Row],[OEE_%]]&lt;0),"Error","OK")</f>
        <v>OK</v>
      </c>
    </row>
    <row r="628" spans="1:25" x14ac:dyDescent="0.2">
      <c r="A628" t="s">
        <v>756</v>
      </c>
      <c r="B628" t="s">
        <v>754</v>
      </c>
      <c r="C628" s="2">
        <v>46273</v>
      </c>
      <c r="D628" t="s">
        <v>27</v>
      </c>
      <c r="E628" t="s">
        <v>35</v>
      </c>
      <c r="F628" t="s">
        <v>54</v>
      </c>
      <c r="G628" t="s">
        <v>50</v>
      </c>
      <c r="H628">
        <v>677</v>
      </c>
      <c r="I628">
        <v>671</v>
      </c>
      <c r="J628">
        <v>6</v>
      </c>
      <c r="K628">
        <v>22</v>
      </c>
      <c r="L628">
        <v>23.36</v>
      </c>
      <c r="M628">
        <v>263.63</v>
      </c>
      <c r="N628">
        <f>_xlfn.XLOOKUP(Table13[[#This Row],[Production_Order_ID]],[1]Sheet1!$A$2:$A$391,[1]Sheet1!$F$2:$F$391,"No Match")</f>
        <v>460</v>
      </c>
      <c r="O628" s="3">
        <f>Table13[[#This Row],[Good_Qty]]/Table13[[#This Row],[Planned_Production]]</f>
        <v>1.4586956521739129</v>
      </c>
      <c r="P628" t="str">
        <f>IF(Table13[[#This Row],[Good_Qty]]&gt;=Table13[[#This Row],[Planned_Production]],"Met","Not Met")</f>
        <v>Met</v>
      </c>
      <c r="Q628">
        <f>Table13[[#This Row],[Good_Qty]]-Table13[[#This Row],[Planned_Production]]</f>
        <v>211</v>
      </c>
      <c r="R628" s="3">
        <f>IF(Table13[[#This Row],[Actual_Qty]]=0,0,Table13[[#This Row],[Reject_Qty]]/Table13[[#This Row],[Actual_Qty]])</f>
        <v>8.8626292466765146E-3</v>
      </c>
      <c r="S628">
        <v>434.93</v>
      </c>
      <c r="T628">
        <f>(Table13[[#This Row],[Ideal_Cycle_Time_sec]]*Table13[[#This Row],[Actual_Qty]])/(Table13[[#This Row],[Operational_Time_min]]*60)</f>
        <v>0.57074318472704422</v>
      </c>
      <c r="U628">
        <f>Table13[[#This Row],[Good_Qty]]/Table13[[#This Row],[Actual_Qty]]</f>
        <v>0.99113737075332353</v>
      </c>
      <c r="V628" t="str">
        <f>IF(OR(Table13[[#This Row],[Performance_%]]&gt;=1,Table13[[#This Row],[Performance_%]]&lt;=0),"Error","OK")</f>
        <v>OK</v>
      </c>
      <c r="W628" t="str">
        <f>IF(OR(Table13[[#This Row],[Quality_%]]&gt;=1,Table13[[#This Row],[Quality_%]]&lt;=0),"Error","OK")</f>
        <v>OK</v>
      </c>
      <c r="X628">
        <f>Table13[[#This Row],[Performance_%]]*Table13[[#This Row],[Quality_%]]*[2]Availability_KPI!K628</f>
        <v>0.54674074074074086</v>
      </c>
      <c r="Y628" t="str">
        <f>IF(OR(Table13[[#This Row],[OEE_%]]&gt;1,Table13[[#This Row],[OEE_%]]&lt;0),"Error","OK")</f>
        <v>OK</v>
      </c>
    </row>
    <row r="629" spans="1:25" x14ac:dyDescent="0.2">
      <c r="A629" t="s">
        <v>757</v>
      </c>
      <c r="B629" t="s">
        <v>754</v>
      </c>
      <c r="C629" s="2">
        <v>46273</v>
      </c>
      <c r="D629" t="s">
        <v>27</v>
      </c>
      <c r="E629" t="s">
        <v>38</v>
      </c>
      <c r="F629" t="s">
        <v>54</v>
      </c>
      <c r="G629" t="s">
        <v>39</v>
      </c>
      <c r="H629">
        <v>653</v>
      </c>
      <c r="I629">
        <v>651</v>
      </c>
      <c r="J629">
        <v>2</v>
      </c>
      <c r="K629">
        <v>20</v>
      </c>
      <c r="L629">
        <v>21.01</v>
      </c>
      <c r="M629">
        <v>228.65</v>
      </c>
      <c r="N629">
        <f>_xlfn.XLOOKUP(Table13[[#This Row],[Production_Order_ID]],[1]Sheet1!$A$2:$A$391,[1]Sheet1!$F$2:$F$391,"No Match")</f>
        <v>460</v>
      </c>
      <c r="O629" s="3">
        <f>Table13[[#This Row],[Good_Qty]]/Table13[[#This Row],[Planned_Production]]</f>
        <v>1.4152173913043478</v>
      </c>
      <c r="P629" t="str">
        <f>IF(Table13[[#This Row],[Good_Qty]]&gt;=Table13[[#This Row],[Planned_Production]],"Met","Not Met")</f>
        <v>Met</v>
      </c>
      <c r="Q629">
        <f>Table13[[#This Row],[Good_Qty]]-Table13[[#This Row],[Planned_Production]]</f>
        <v>191</v>
      </c>
      <c r="R629" s="3">
        <f>IF(Table13[[#This Row],[Actual_Qty]]=0,0,Table13[[#This Row],[Reject_Qty]]/Table13[[#This Row],[Actual_Qty]])</f>
        <v>3.0627871362940277E-3</v>
      </c>
      <c r="S629">
        <v>438.81</v>
      </c>
      <c r="T629">
        <f>(Table13[[#This Row],[Ideal_Cycle_Time_sec]]*Table13[[#This Row],[Actual_Qty]])/(Table13[[#This Row],[Operational_Time_min]]*60)</f>
        <v>0.49603852844435331</v>
      </c>
      <c r="U629">
        <f>Table13[[#This Row],[Good_Qty]]/Table13[[#This Row],[Actual_Qty]]</f>
        <v>0.99693721286370596</v>
      </c>
      <c r="V629" t="str">
        <f>IF(OR(Table13[[#This Row],[Performance_%]]&gt;=1,Table13[[#This Row],[Performance_%]]&lt;=0),"Error","OK")</f>
        <v>OK</v>
      </c>
      <c r="W629" t="str">
        <f>IF(OR(Table13[[#This Row],[Quality_%]]&gt;=1,Table13[[#This Row],[Quality_%]]&lt;=0),"Error","OK")</f>
        <v>OK</v>
      </c>
      <c r="X629">
        <f>Table13[[#This Row],[Performance_%]]*Table13[[#This Row],[Quality_%]]*[2]Availability_KPI!K629</f>
        <v>0.48222222222222222</v>
      </c>
      <c r="Y629" t="str">
        <f>IF(OR(Table13[[#This Row],[OEE_%]]&gt;1,Table13[[#This Row],[OEE_%]]&lt;0),"Error","OK")</f>
        <v>OK</v>
      </c>
    </row>
    <row r="630" spans="1:25" x14ac:dyDescent="0.2">
      <c r="A630" t="s">
        <v>758</v>
      </c>
      <c r="B630" t="s">
        <v>754</v>
      </c>
      <c r="C630" s="2">
        <v>46273</v>
      </c>
      <c r="D630" t="s">
        <v>27</v>
      </c>
      <c r="E630" t="s">
        <v>41</v>
      </c>
      <c r="F630" t="s">
        <v>54</v>
      </c>
      <c r="G630" t="s">
        <v>71</v>
      </c>
      <c r="H630">
        <v>671</v>
      </c>
      <c r="I630">
        <v>666</v>
      </c>
      <c r="J630">
        <v>5</v>
      </c>
      <c r="K630">
        <v>18</v>
      </c>
      <c r="L630">
        <v>18.309999999999999</v>
      </c>
      <c r="M630">
        <v>204.72</v>
      </c>
      <c r="N630">
        <f>_xlfn.XLOOKUP(Table13[[#This Row],[Production_Order_ID]],[1]Sheet1!$A$2:$A$391,[1]Sheet1!$F$2:$F$391,"No Match")</f>
        <v>460</v>
      </c>
      <c r="O630" s="3">
        <f>Table13[[#This Row],[Good_Qty]]/Table13[[#This Row],[Planned_Production]]</f>
        <v>1.4478260869565218</v>
      </c>
      <c r="P630" t="str">
        <f>IF(Table13[[#This Row],[Good_Qty]]&gt;=Table13[[#This Row],[Planned_Production]],"Met","Not Met")</f>
        <v>Met</v>
      </c>
      <c r="Q630">
        <f>Table13[[#This Row],[Good_Qty]]-Table13[[#This Row],[Planned_Production]]</f>
        <v>206</v>
      </c>
      <c r="R630" s="3">
        <f>IF(Table13[[#This Row],[Actual_Qty]]=0,0,Table13[[#This Row],[Reject_Qty]]/Table13[[#This Row],[Actual_Qty]])</f>
        <v>7.4515648286140089E-3</v>
      </c>
      <c r="S630">
        <v>436.17</v>
      </c>
      <c r="T630">
        <f>(Table13[[#This Row],[Ideal_Cycle_Time_sec]]*Table13[[#This Row],[Actual_Qty]])/(Table13[[#This Row],[Operational_Time_min]]*60)</f>
        <v>0.46151729830112109</v>
      </c>
      <c r="U630">
        <f>Table13[[#This Row],[Good_Qty]]/Table13[[#This Row],[Actual_Qty]]</f>
        <v>0.99254843517138602</v>
      </c>
      <c r="V630" t="str">
        <f>IF(OR(Table13[[#This Row],[Performance_%]]&gt;=1,Table13[[#This Row],[Performance_%]]&lt;=0),"Error","OK")</f>
        <v>OK</v>
      </c>
      <c r="W630" t="str">
        <f>IF(OR(Table13[[#This Row],[Quality_%]]&gt;=1,Table13[[#This Row],[Quality_%]]&lt;=0),"Error","OK")</f>
        <v>OK</v>
      </c>
      <c r="X630">
        <f>Table13[[#This Row],[Performance_%]]*Table13[[#This Row],[Quality_%]]*[2]Availability_KPI!K630</f>
        <v>0.44400000000000001</v>
      </c>
      <c r="Y630" t="str">
        <f>IF(OR(Table13[[#This Row],[OEE_%]]&gt;1,Table13[[#This Row],[OEE_%]]&lt;0),"Error","OK")</f>
        <v>OK</v>
      </c>
    </row>
    <row r="631" spans="1:25" x14ac:dyDescent="0.2">
      <c r="A631" t="s">
        <v>759</v>
      </c>
      <c r="B631" t="s">
        <v>754</v>
      </c>
      <c r="C631" s="2">
        <v>46273</v>
      </c>
      <c r="D631" t="s">
        <v>27</v>
      </c>
      <c r="E631" t="s">
        <v>43</v>
      </c>
      <c r="F631" t="s">
        <v>54</v>
      </c>
      <c r="G631" t="s">
        <v>75</v>
      </c>
      <c r="H631">
        <v>673</v>
      </c>
      <c r="I631">
        <v>663</v>
      </c>
      <c r="J631">
        <v>10</v>
      </c>
      <c r="K631">
        <v>32</v>
      </c>
      <c r="L631">
        <v>35.61</v>
      </c>
      <c r="M631">
        <v>399.48</v>
      </c>
      <c r="N631">
        <f>_xlfn.XLOOKUP(Table13[[#This Row],[Production_Order_ID]],[1]Sheet1!$A$2:$A$391,[1]Sheet1!$F$2:$F$391,"No Match")</f>
        <v>460</v>
      </c>
      <c r="O631" s="3">
        <f>Table13[[#This Row],[Good_Qty]]/Table13[[#This Row],[Planned_Production]]</f>
        <v>1.441304347826087</v>
      </c>
      <c r="P631" t="str">
        <f>IF(Table13[[#This Row],[Good_Qty]]&gt;=Table13[[#This Row],[Planned_Production]],"Met","Not Met")</f>
        <v>Met</v>
      </c>
      <c r="Q631">
        <f>Table13[[#This Row],[Good_Qty]]-Table13[[#This Row],[Planned_Production]]</f>
        <v>203</v>
      </c>
      <c r="R631" s="3">
        <f>IF(Table13[[#This Row],[Actual_Qty]]=0,0,Table13[[#This Row],[Reject_Qty]]/Table13[[#This Row],[Actual_Qty]])</f>
        <v>1.4858841010401188E-2</v>
      </c>
      <c r="S631">
        <v>414.87</v>
      </c>
      <c r="T631">
        <f>(Table13[[#This Row],[Ideal_Cycle_Time_sec]]*Table13[[#This Row],[Actual_Qty]])/(Table13[[#This Row],[Operational_Time_min]]*60)</f>
        <v>0.8651706156948763</v>
      </c>
      <c r="U631">
        <f>Table13[[#This Row],[Good_Qty]]/Table13[[#This Row],[Actual_Qty]]</f>
        <v>0.98514115898959886</v>
      </c>
      <c r="V631" t="str">
        <f>IF(OR(Table13[[#This Row],[Performance_%]]&gt;=1,Table13[[#This Row],[Performance_%]]&lt;=0),"Error","OK")</f>
        <v>OK</v>
      </c>
      <c r="W631" t="str">
        <f>IF(OR(Table13[[#This Row],[Quality_%]]&gt;=1,Table13[[#This Row],[Quality_%]]&lt;=0),"Error","OK")</f>
        <v>OK</v>
      </c>
      <c r="X631">
        <f>Table13[[#This Row],[Performance_%]]*Table13[[#This Row],[Quality_%]]*[2]Availability_KPI!K631</f>
        <v>0.7857777777777778</v>
      </c>
      <c r="Y631" t="str">
        <f>IF(OR(Table13[[#This Row],[OEE_%]]&gt;1,Table13[[#This Row],[OEE_%]]&lt;0),"Error","OK")</f>
        <v>OK</v>
      </c>
    </row>
    <row r="632" spans="1:25" x14ac:dyDescent="0.2">
      <c r="A632" t="s">
        <v>760</v>
      </c>
      <c r="B632" t="s">
        <v>754</v>
      </c>
      <c r="C632" s="2">
        <v>46273</v>
      </c>
      <c r="D632" t="s">
        <v>27</v>
      </c>
      <c r="E632" t="s">
        <v>46</v>
      </c>
      <c r="F632" t="s">
        <v>54</v>
      </c>
      <c r="G632" t="s">
        <v>71</v>
      </c>
      <c r="H632">
        <v>656</v>
      </c>
      <c r="I632">
        <v>648</v>
      </c>
      <c r="J632">
        <v>8</v>
      </c>
      <c r="K632">
        <v>25</v>
      </c>
      <c r="L632">
        <v>27.16</v>
      </c>
      <c r="M632">
        <v>296.93</v>
      </c>
      <c r="N632">
        <f>_xlfn.XLOOKUP(Table13[[#This Row],[Production_Order_ID]],[1]Sheet1!$A$2:$A$391,[1]Sheet1!$F$2:$F$391,"No Match")</f>
        <v>460</v>
      </c>
      <c r="O632" s="3">
        <f>Table13[[#This Row],[Good_Qty]]/Table13[[#This Row],[Planned_Production]]</f>
        <v>1.4086956521739131</v>
      </c>
      <c r="P632" t="str">
        <f>IF(Table13[[#This Row],[Good_Qty]]&gt;=Table13[[#This Row],[Planned_Production]],"Met","Not Met")</f>
        <v>Met</v>
      </c>
      <c r="Q632">
        <f>Table13[[#This Row],[Good_Qty]]-Table13[[#This Row],[Planned_Production]]</f>
        <v>188</v>
      </c>
      <c r="R632" s="3">
        <f>IF(Table13[[#This Row],[Actual_Qty]]=0,0,Table13[[#This Row],[Reject_Qty]]/Table13[[#This Row],[Actual_Qty]])</f>
        <v>1.2195121951219513E-2</v>
      </c>
      <c r="S632">
        <v>425.92</v>
      </c>
      <c r="T632">
        <f>(Table13[[#This Row],[Ideal_Cycle_Time_sec]]*Table13[[#This Row],[Actual_Qty]])/(Table13[[#This Row],[Operational_Time_min]]*60)</f>
        <v>0.64174805910343102</v>
      </c>
      <c r="U632">
        <f>Table13[[#This Row],[Good_Qty]]/Table13[[#This Row],[Actual_Qty]]</f>
        <v>0.98780487804878048</v>
      </c>
      <c r="V632" t="str">
        <f>IF(OR(Table13[[#This Row],[Performance_%]]&gt;=1,Table13[[#This Row],[Performance_%]]&lt;=0),"Error","OK")</f>
        <v>OK</v>
      </c>
      <c r="W632" t="str">
        <f>IF(OR(Table13[[#This Row],[Quality_%]]&gt;=1,Table13[[#This Row],[Quality_%]]&lt;=0),"Error","OK")</f>
        <v>OK</v>
      </c>
      <c r="X632">
        <f>Table13[[#This Row],[Performance_%]]*Table13[[#This Row],[Quality_%]]*[2]Availability_KPI!K632</f>
        <v>0.6</v>
      </c>
      <c r="Y632" t="str">
        <f>IF(OR(Table13[[#This Row],[OEE_%]]&gt;1,Table13[[#This Row],[OEE_%]]&lt;0),"Error","OK")</f>
        <v>OK</v>
      </c>
    </row>
    <row r="633" spans="1:25" x14ac:dyDescent="0.2">
      <c r="A633" t="s">
        <v>761</v>
      </c>
      <c r="B633" t="s">
        <v>754</v>
      </c>
      <c r="C633" s="2">
        <v>46273</v>
      </c>
      <c r="D633" t="s">
        <v>27</v>
      </c>
      <c r="E633" t="s">
        <v>49</v>
      </c>
      <c r="F633" t="s">
        <v>54</v>
      </c>
      <c r="G633" t="s">
        <v>55</v>
      </c>
      <c r="H633">
        <v>649</v>
      </c>
      <c r="I633">
        <v>644</v>
      </c>
      <c r="J633">
        <v>5</v>
      </c>
      <c r="K633">
        <v>20</v>
      </c>
      <c r="L633">
        <v>21.26</v>
      </c>
      <c r="M633">
        <v>229.92</v>
      </c>
      <c r="N633">
        <f>_xlfn.XLOOKUP(Table13[[#This Row],[Production_Order_ID]],[1]Sheet1!$A$2:$A$391,[1]Sheet1!$F$2:$F$391,"No Match")</f>
        <v>460</v>
      </c>
      <c r="O633" s="3">
        <f>Table13[[#This Row],[Good_Qty]]/Table13[[#This Row],[Planned_Production]]</f>
        <v>1.4</v>
      </c>
      <c r="P633" t="str">
        <f>IF(Table13[[#This Row],[Good_Qty]]&gt;=Table13[[#This Row],[Planned_Production]],"Met","Not Met")</f>
        <v>Met</v>
      </c>
      <c r="Q633">
        <f>Table13[[#This Row],[Good_Qty]]-Table13[[#This Row],[Planned_Production]]</f>
        <v>184</v>
      </c>
      <c r="R633" s="3">
        <f>IF(Table13[[#This Row],[Actual_Qty]]=0,0,Table13[[#This Row],[Reject_Qty]]/Table13[[#This Row],[Actual_Qty]])</f>
        <v>7.7041602465331279E-3</v>
      </c>
      <c r="S633">
        <v>439.51</v>
      </c>
      <c r="T633">
        <f>(Table13[[#This Row],[Ideal_Cycle_Time_sec]]*Table13[[#This Row],[Actual_Qty]])/(Table13[[#This Row],[Operational_Time_min]]*60)</f>
        <v>0.49221481498335268</v>
      </c>
      <c r="U633">
        <f>Table13[[#This Row],[Good_Qty]]/Table13[[#This Row],[Actual_Qty]]</f>
        <v>0.99229583975346691</v>
      </c>
      <c r="V633" t="str">
        <f>IF(OR(Table13[[#This Row],[Performance_%]]&gt;=1,Table13[[#This Row],[Performance_%]]&lt;=0),"Error","OK")</f>
        <v>OK</v>
      </c>
      <c r="W633" t="str">
        <f>IF(OR(Table13[[#This Row],[Quality_%]]&gt;=1,Table13[[#This Row],[Quality_%]]&lt;=0),"Error","OK")</f>
        <v>OK</v>
      </c>
      <c r="X633">
        <f>Table13[[#This Row],[Performance_%]]*Table13[[#This Row],[Quality_%]]*[2]Availability_KPI!K633</f>
        <v>0.47703703703703704</v>
      </c>
      <c r="Y633" t="str">
        <f>IF(OR(Table13[[#This Row],[OEE_%]]&gt;1,Table13[[#This Row],[OEE_%]]&lt;0),"Error","OK")</f>
        <v>OK</v>
      </c>
    </row>
    <row r="634" spans="1:25" x14ac:dyDescent="0.2">
      <c r="A634" t="s">
        <v>762</v>
      </c>
      <c r="B634" t="s">
        <v>763</v>
      </c>
      <c r="C634" s="2">
        <v>46273</v>
      </c>
      <c r="D634" t="s">
        <v>53</v>
      </c>
      <c r="E634" t="s">
        <v>28</v>
      </c>
      <c r="F634" t="s">
        <v>54</v>
      </c>
      <c r="G634" t="s">
        <v>36</v>
      </c>
      <c r="H634">
        <v>546</v>
      </c>
      <c r="I634">
        <v>545</v>
      </c>
      <c r="J634">
        <v>1</v>
      </c>
      <c r="K634">
        <v>18</v>
      </c>
      <c r="L634">
        <v>18.02</v>
      </c>
      <c r="M634">
        <v>164.02</v>
      </c>
      <c r="N634">
        <f>_xlfn.XLOOKUP(Table13[[#This Row],[Production_Order_ID]],[1]Sheet1!$A$2:$A$391,[1]Sheet1!$F$2:$F$391,"No Match")</f>
        <v>590</v>
      </c>
      <c r="O634" s="3">
        <f>Table13[[#This Row],[Good_Qty]]/Table13[[#This Row],[Planned_Production]]</f>
        <v>0.92372881355932202</v>
      </c>
      <c r="P634" t="str">
        <f>IF(Table13[[#This Row],[Good_Qty]]&gt;=Table13[[#This Row],[Planned_Production]],"Met","Not Met")</f>
        <v>Not Met</v>
      </c>
      <c r="Q634">
        <f>Table13[[#This Row],[Good_Qty]]-Table13[[#This Row],[Planned_Production]]</f>
        <v>-45</v>
      </c>
      <c r="R634" s="3">
        <f>IF(Table13[[#This Row],[Actual_Qty]]=0,0,Table13[[#This Row],[Reject_Qty]]/Table13[[#This Row],[Actual_Qty]])</f>
        <v>1.8315018315018315E-3</v>
      </c>
      <c r="S634">
        <v>442.76</v>
      </c>
      <c r="T634">
        <f>(Table13[[#This Row],[Ideal_Cycle_Time_sec]]*Table13[[#This Row],[Actual_Qty]])/(Table13[[#This Row],[Operational_Time_min]]*60)</f>
        <v>0.36995211852922577</v>
      </c>
      <c r="U634">
        <f>Table13[[#This Row],[Good_Qty]]/Table13[[#This Row],[Actual_Qty]]</f>
        <v>0.99816849816849818</v>
      </c>
      <c r="V634" t="str">
        <f>IF(OR(Table13[[#This Row],[Performance_%]]&gt;=1,Table13[[#This Row],[Performance_%]]&lt;=0),"Error","OK")</f>
        <v>OK</v>
      </c>
      <c r="W634" t="str">
        <f>IF(OR(Table13[[#This Row],[Quality_%]]&gt;=1,Table13[[#This Row],[Quality_%]]&lt;=0),"Error","OK")</f>
        <v>OK</v>
      </c>
      <c r="X634">
        <f>Table13[[#This Row],[Performance_%]]*Table13[[#This Row],[Quality_%]]*[2]Availability_KPI!K634</f>
        <v>0.36333333333333329</v>
      </c>
      <c r="Y634" t="str">
        <f>IF(OR(Table13[[#This Row],[OEE_%]]&gt;1,Table13[[#This Row],[OEE_%]]&lt;0),"Error","OK")</f>
        <v>OK</v>
      </c>
    </row>
    <row r="635" spans="1:25" x14ac:dyDescent="0.2">
      <c r="A635" t="s">
        <v>764</v>
      </c>
      <c r="B635" t="s">
        <v>763</v>
      </c>
      <c r="C635" s="2">
        <v>46273</v>
      </c>
      <c r="D635" t="s">
        <v>53</v>
      </c>
      <c r="E635" t="s">
        <v>32</v>
      </c>
      <c r="F635" t="s">
        <v>54</v>
      </c>
      <c r="G635" t="s">
        <v>57</v>
      </c>
      <c r="H635">
        <v>559</v>
      </c>
      <c r="I635">
        <v>554</v>
      </c>
      <c r="J635">
        <v>5</v>
      </c>
      <c r="K635">
        <v>20</v>
      </c>
      <c r="L635">
        <v>20</v>
      </c>
      <c r="M635">
        <v>186.33</v>
      </c>
      <c r="N635">
        <f>_xlfn.XLOOKUP(Table13[[#This Row],[Production_Order_ID]],[1]Sheet1!$A$2:$A$391,[1]Sheet1!$F$2:$F$391,"No Match")</f>
        <v>590</v>
      </c>
      <c r="O635" s="3">
        <f>Table13[[#This Row],[Good_Qty]]/Table13[[#This Row],[Planned_Production]]</f>
        <v>0.93898305084745759</v>
      </c>
      <c r="P635" t="str">
        <f>IF(Table13[[#This Row],[Good_Qty]]&gt;=Table13[[#This Row],[Planned_Production]],"Met","Not Met")</f>
        <v>Not Met</v>
      </c>
      <c r="Q635">
        <f>Table13[[#This Row],[Good_Qty]]-Table13[[#This Row],[Planned_Production]]</f>
        <v>-36</v>
      </c>
      <c r="R635" s="3">
        <f>IF(Table13[[#This Row],[Actual_Qty]]=0,0,Table13[[#This Row],[Reject_Qty]]/Table13[[#This Row],[Actual_Qty]])</f>
        <v>8.9445438282647581E-3</v>
      </c>
      <c r="S635">
        <v>440.91</v>
      </c>
      <c r="T635">
        <f>(Table13[[#This Row],[Ideal_Cycle_Time_sec]]*Table13[[#This Row],[Actual_Qty]])/(Table13[[#This Row],[Operational_Time_min]]*60)</f>
        <v>0.42261081248629723</v>
      </c>
      <c r="U635">
        <f>Table13[[#This Row],[Good_Qty]]/Table13[[#This Row],[Actual_Qty]]</f>
        <v>0.99105545617173529</v>
      </c>
      <c r="V635" t="str">
        <f>IF(OR(Table13[[#This Row],[Performance_%]]&gt;=1,Table13[[#This Row],[Performance_%]]&lt;=0),"Error","OK")</f>
        <v>OK</v>
      </c>
      <c r="W635" t="str">
        <f>IF(OR(Table13[[#This Row],[Quality_%]]&gt;=1,Table13[[#This Row],[Quality_%]]&lt;=0),"Error","OK")</f>
        <v>OK</v>
      </c>
      <c r="X635">
        <f>Table13[[#This Row],[Performance_%]]*Table13[[#This Row],[Quality_%]]*[2]Availability_KPI!K635</f>
        <v>0.41037037037037039</v>
      </c>
      <c r="Y635" t="str">
        <f>IF(OR(Table13[[#This Row],[OEE_%]]&gt;1,Table13[[#This Row],[OEE_%]]&lt;0),"Error","OK")</f>
        <v>OK</v>
      </c>
    </row>
    <row r="636" spans="1:25" x14ac:dyDescent="0.2">
      <c r="A636" t="s">
        <v>765</v>
      </c>
      <c r="B636" t="s">
        <v>763</v>
      </c>
      <c r="C636" s="2">
        <v>46273</v>
      </c>
      <c r="D636" t="s">
        <v>53</v>
      </c>
      <c r="E636" t="s">
        <v>35</v>
      </c>
      <c r="F636" t="s">
        <v>54</v>
      </c>
      <c r="G636" t="s">
        <v>33</v>
      </c>
      <c r="H636">
        <v>558</v>
      </c>
      <c r="I636">
        <v>553</v>
      </c>
      <c r="J636">
        <v>5</v>
      </c>
      <c r="K636">
        <v>22</v>
      </c>
      <c r="L636">
        <v>24.01</v>
      </c>
      <c r="M636">
        <v>223.26</v>
      </c>
      <c r="N636">
        <f>_xlfn.XLOOKUP(Table13[[#This Row],[Production_Order_ID]],[1]Sheet1!$A$2:$A$391,[1]Sheet1!$F$2:$F$391,"No Match")</f>
        <v>590</v>
      </c>
      <c r="O636" s="3">
        <f>Table13[[#This Row],[Good_Qty]]/Table13[[#This Row],[Planned_Production]]</f>
        <v>0.93728813559322033</v>
      </c>
      <c r="P636" t="str">
        <f>IF(Table13[[#This Row],[Good_Qty]]&gt;=Table13[[#This Row],[Planned_Production]],"Met","Not Met")</f>
        <v>Not Met</v>
      </c>
      <c r="Q636">
        <f>Table13[[#This Row],[Good_Qty]]-Table13[[#This Row],[Planned_Production]]</f>
        <v>-37</v>
      </c>
      <c r="R636" s="3">
        <f>IF(Table13[[#This Row],[Actual_Qty]]=0,0,Table13[[#This Row],[Reject_Qty]]/Table13[[#This Row],[Actual_Qty]])</f>
        <v>8.9605734767025085E-3</v>
      </c>
      <c r="S636">
        <v>438.66</v>
      </c>
      <c r="T636">
        <f>(Table13[[#This Row],[Ideal_Cycle_Time_sec]]*Table13[[#This Row],[Actual_Qty]])/(Table13[[#This Row],[Operational_Time_min]]*60)</f>
        <v>0.46642046231705647</v>
      </c>
      <c r="U636">
        <f>Table13[[#This Row],[Good_Qty]]/Table13[[#This Row],[Actual_Qty]]</f>
        <v>0.99103942652329746</v>
      </c>
      <c r="V636" t="str">
        <f>IF(OR(Table13[[#This Row],[Performance_%]]&gt;=1,Table13[[#This Row],[Performance_%]]&lt;=0),"Error","OK")</f>
        <v>OK</v>
      </c>
      <c r="W636" t="str">
        <f>IF(OR(Table13[[#This Row],[Quality_%]]&gt;=1,Table13[[#This Row],[Quality_%]]&lt;=0),"Error","OK")</f>
        <v>OK</v>
      </c>
      <c r="X636">
        <f>Table13[[#This Row],[Performance_%]]*Table13[[#This Row],[Quality_%]]*[2]Availability_KPI!K636</f>
        <v>0.4505925925925926</v>
      </c>
      <c r="Y636" t="str">
        <f>IF(OR(Table13[[#This Row],[OEE_%]]&gt;1,Table13[[#This Row],[OEE_%]]&lt;0),"Error","OK")</f>
        <v>OK</v>
      </c>
    </row>
    <row r="637" spans="1:25" x14ac:dyDescent="0.2">
      <c r="A637" t="s">
        <v>766</v>
      </c>
      <c r="B637" t="s">
        <v>763</v>
      </c>
      <c r="C637" s="2">
        <v>46273</v>
      </c>
      <c r="D637" t="s">
        <v>53</v>
      </c>
      <c r="E637" t="s">
        <v>38</v>
      </c>
      <c r="F637" t="s">
        <v>54</v>
      </c>
      <c r="G637" t="s">
        <v>30</v>
      </c>
      <c r="H637">
        <v>552</v>
      </c>
      <c r="I637">
        <v>549</v>
      </c>
      <c r="J637">
        <v>3</v>
      </c>
      <c r="K637">
        <v>20</v>
      </c>
      <c r="L637">
        <v>20.36</v>
      </c>
      <c r="M637">
        <v>187.36</v>
      </c>
      <c r="N637">
        <f>_xlfn.XLOOKUP(Table13[[#This Row],[Production_Order_ID]],[1]Sheet1!$A$2:$A$391,[1]Sheet1!$F$2:$F$391,"No Match")</f>
        <v>590</v>
      </c>
      <c r="O637" s="3">
        <f>Table13[[#This Row],[Good_Qty]]/Table13[[#This Row],[Planned_Production]]</f>
        <v>0.93050847457627117</v>
      </c>
      <c r="P637" t="str">
        <f>IF(Table13[[#This Row],[Good_Qty]]&gt;=Table13[[#This Row],[Planned_Production]],"Met","Not Met")</f>
        <v>Not Met</v>
      </c>
      <c r="Q637">
        <f>Table13[[#This Row],[Good_Qty]]-Table13[[#This Row],[Planned_Production]]</f>
        <v>-41</v>
      </c>
      <c r="R637" s="3">
        <f>IF(Table13[[#This Row],[Actual_Qty]]=0,0,Table13[[#This Row],[Reject_Qty]]/Table13[[#This Row],[Actual_Qty]])</f>
        <v>5.434782608695652E-3</v>
      </c>
      <c r="S637">
        <v>441.32</v>
      </c>
      <c r="T637">
        <f>(Table13[[#This Row],[Ideal_Cycle_Time_sec]]*Table13[[#This Row],[Actual_Qty]])/(Table13[[#This Row],[Operational_Time_min]]*60)</f>
        <v>0.41693102510649865</v>
      </c>
      <c r="U637">
        <f>Table13[[#This Row],[Good_Qty]]/Table13[[#This Row],[Actual_Qty]]</f>
        <v>0.99456521739130432</v>
      </c>
      <c r="V637" t="str">
        <f>IF(OR(Table13[[#This Row],[Performance_%]]&gt;=1,Table13[[#This Row],[Performance_%]]&lt;=0),"Error","OK")</f>
        <v>OK</v>
      </c>
      <c r="W637" t="str">
        <f>IF(OR(Table13[[#This Row],[Quality_%]]&gt;=1,Table13[[#This Row],[Quality_%]]&lt;=0),"Error","OK")</f>
        <v>OK</v>
      </c>
      <c r="X637">
        <f>Table13[[#This Row],[Performance_%]]*Table13[[#This Row],[Quality_%]]*[2]Availability_KPI!K637</f>
        <v>0.40666666666666662</v>
      </c>
      <c r="Y637" t="str">
        <f>IF(OR(Table13[[#This Row],[OEE_%]]&gt;1,Table13[[#This Row],[OEE_%]]&lt;0),"Error","OK")</f>
        <v>OK</v>
      </c>
    </row>
    <row r="638" spans="1:25" x14ac:dyDescent="0.2">
      <c r="A638" t="s">
        <v>767</v>
      </c>
      <c r="B638" t="s">
        <v>763</v>
      </c>
      <c r="C638" s="2">
        <v>46273</v>
      </c>
      <c r="D638" t="s">
        <v>53</v>
      </c>
      <c r="E638" t="s">
        <v>41</v>
      </c>
      <c r="F638" t="s">
        <v>54</v>
      </c>
      <c r="G638" t="s">
        <v>57</v>
      </c>
      <c r="H638">
        <v>565</v>
      </c>
      <c r="I638">
        <v>560</v>
      </c>
      <c r="J638">
        <v>5</v>
      </c>
      <c r="K638">
        <v>18</v>
      </c>
      <c r="L638">
        <v>19.25</v>
      </c>
      <c r="M638">
        <v>181.23</v>
      </c>
      <c r="N638">
        <f>_xlfn.XLOOKUP(Table13[[#This Row],[Production_Order_ID]],[1]Sheet1!$A$2:$A$391,[1]Sheet1!$F$2:$F$391,"No Match")</f>
        <v>590</v>
      </c>
      <c r="O638" s="3">
        <f>Table13[[#This Row],[Good_Qty]]/Table13[[#This Row],[Planned_Production]]</f>
        <v>0.94915254237288138</v>
      </c>
      <c r="P638" t="str">
        <f>IF(Table13[[#This Row],[Good_Qty]]&gt;=Table13[[#This Row],[Planned_Production]],"Met","Not Met")</f>
        <v>Not Met</v>
      </c>
      <c r="Q638">
        <f>Table13[[#This Row],[Good_Qty]]-Table13[[#This Row],[Planned_Production]]</f>
        <v>-30</v>
      </c>
      <c r="R638" s="3">
        <f>IF(Table13[[#This Row],[Actual_Qty]]=0,0,Table13[[#This Row],[Reject_Qty]]/Table13[[#This Row],[Actual_Qty]])</f>
        <v>8.8495575221238937E-3</v>
      </c>
      <c r="S638">
        <v>438.87</v>
      </c>
      <c r="T638">
        <f>(Table13[[#This Row],[Ideal_Cycle_Time_sec]]*Table13[[#This Row],[Actual_Qty]])/(Table13[[#This Row],[Operational_Time_min]]*60)</f>
        <v>0.3862191537357304</v>
      </c>
      <c r="U638">
        <f>Table13[[#This Row],[Good_Qty]]/Table13[[#This Row],[Actual_Qty]]</f>
        <v>0.99115044247787609</v>
      </c>
      <c r="V638" t="str">
        <f>IF(OR(Table13[[#This Row],[Performance_%]]&gt;=1,Table13[[#This Row],[Performance_%]]&lt;=0),"Error","OK")</f>
        <v>OK</v>
      </c>
      <c r="W638" t="str">
        <f>IF(OR(Table13[[#This Row],[Quality_%]]&gt;=1,Table13[[#This Row],[Quality_%]]&lt;=0),"Error","OK")</f>
        <v>OK</v>
      </c>
      <c r="X638">
        <f>Table13[[#This Row],[Performance_%]]*Table13[[#This Row],[Quality_%]]*[2]Availability_KPI!K638</f>
        <v>0.37333333333333341</v>
      </c>
      <c r="Y638" t="str">
        <f>IF(OR(Table13[[#This Row],[OEE_%]]&gt;1,Table13[[#This Row],[OEE_%]]&lt;0),"Error","OK")</f>
        <v>OK</v>
      </c>
    </row>
    <row r="639" spans="1:25" x14ac:dyDescent="0.2">
      <c r="A639" t="s">
        <v>768</v>
      </c>
      <c r="B639" t="s">
        <v>763</v>
      </c>
      <c r="C639" s="2">
        <v>46273</v>
      </c>
      <c r="D639" t="s">
        <v>53</v>
      </c>
      <c r="E639" t="s">
        <v>43</v>
      </c>
      <c r="F639" t="s">
        <v>54</v>
      </c>
      <c r="G639" t="s">
        <v>30</v>
      </c>
      <c r="H639">
        <v>567</v>
      </c>
      <c r="I639">
        <v>559</v>
      </c>
      <c r="J639">
        <v>8</v>
      </c>
      <c r="K639">
        <v>32</v>
      </c>
      <c r="L639">
        <v>35.270000000000003</v>
      </c>
      <c r="M639">
        <v>333.28</v>
      </c>
      <c r="N639">
        <f>_xlfn.XLOOKUP(Table13[[#This Row],[Production_Order_ID]],[1]Sheet1!$A$2:$A$391,[1]Sheet1!$F$2:$F$391,"No Match")</f>
        <v>590</v>
      </c>
      <c r="O639" s="3">
        <f>Table13[[#This Row],[Good_Qty]]/Table13[[#This Row],[Planned_Production]]</f>
        <v>0.94745762711864412</v>
      </c>
      <c r="P639" t="str">
        <f>IF(Table13[[#This Row],[Good_Qty]]&gt;=Table13[[#This Row],[Planned_Production]],"Met","Not Met")</f>
        <v>Not Met</v>
      </c>
      <c r="Q639">
        <f>Table13[[#This Row],[Good_Qty]]-Table13[[#This Row],[Planned_Production]]</f>
        <v>-31</v>
      </c>
      <c r="R639" s="3">
        <f>IF(Table13[[#This Row],[Actual_Qty]]=0,0,Table13[[#This Row],[Reject_Qty]]/Table13[[#This Row],[Actual_Qty]])</f>
        <v>1.4109347442680775E-2</v>
      </c>
      <c r="S639">
        <v>412.36</v>
      </c>
      <c r="T639">
        <f>(Table13[[#This Row],[Ideal_Cycle_Time_sec]]*Table13[[#This Row],[Actual_Qty]])/(Table13[[#This Row],[Operational_Time_min]]*60)</f>
        <v>0.73333980017460465</v>
      </c>
      <c r="U639">
        <f>Table13[[#This Row],[Good_Qty]]/Table13[[#This Row],[Actual_Qty]]</f>
        <v>0.98589065255731922</v>
      </c>
      <c r="V639" t="str">
        <f>IF(OR(Table13[[#This Row],[Performance_%]]&gt;=1,Table13[[#This Row],[Performance_%]]&lt;=0),"Error","OK")</f>
        <v>OK</v>
      </c>
      <c r="W639" t="str">
        <f>IF(OR(Table13[[#This Row],[Quality_%]]&gt;=1,Table13[[#This Row],[Quality_%]]&lt;=0),"Error","OK")</f>
        <v>OK</v>
      </c>
      <c r="X639">
        <f>Table13[[#This Row],[Performance_%]]*Table13[[#This Row],[Quality_%]]*[2]Availability_KPI!K639</f>
        <v>0.66251851851851851</v>
      </c>
      <c r="Y639" t="str">
        <f>IF(OR(Table13[[#This Row],[OEE_%]]&gt;1,Table13[[#This Row],[OEE_%]]&lt;0),"Error","OK")</f>
        <v>OK</v>
      </c>
    </row>
    <row r="640" spans="1:25" x14ac:dyDescent="0.2">
      <c r="A640" t="s">
        <v>769</v>
      </c>
      <c r="B640" t="s">
        <v>763</v>
      </c>
      <c r="C640" s="2">
        <v>46273</v>
      </c>
      <c r="D640" t="s">
        <v>53</v>
      </c>
      <c r="E640" t="s">
        <v>46</v>
      </c>
      <c r="F640" t="s">
        <v>54</v>
      </c>
      <c r="G640" t="s">
        <v>33</v>
      </c>
      <c r="H640">
        <v>562</v>
      </c>
      <c r="I640">
        <v>556</v>
      </c>
      <c r="J640">
        <v>6</v>
      </c>
      <c r="K640">
        <v>25</v>
      </c>
      <c r="L640">
        <v>26.05</v>
      </c>
      <c r="M640">
        <v>244.01</v>
      </c>
      <c r="N640">
        <f>_xlfn.XLOOKUP(Table13[[#This Row],[Production_Order_ID]],[1]Sheet1!$A$2:$A$391,[1]Sheet1!$F$2:$F$391,"No Match")</f>
        <v>590</v>
      </c>
      <c r="O640" s="3">
        <f>Table13[[#This Row],[Good_Qty]]/Table13[[#This Row],[Planned_Production]]</f>
        <v>0.94237288135593222</v>
      </c>
      <c r="P640" t="str">
        <f>IF(Table13[[#This Row],[Good_Qty]]&gt;=Table13[[#This Row],[Planned_Production]],"Met","Not Met")</f>
        <v>Not Met</v>
      </c>
      <c r="Q640">
        <f>Table13[[#This Row],[Good_Qty]]-Table13[[#This Row],[Planned_Production]]</f>
        <v>-34</v>
      </c>
      <c r="R640" s="3">
        <f>IF(Table13[[#This Row],[Actual_Qty]]=0,0,Table13[[#This Row],[Reject_Qty]]/Table13[[#This Row],[Actual_Qty]])</f>
        <v>1.0676156583629894E-2</v>
      </c>
      <c r="S640">
        <v>428.69</v>
      </c>
      <c r="T640">
        <f>(Table13[[#This Row],[Ideal_Cycle_Time_sec]]*Table13[[#This Row],[Actual_Qty]])/(Table13[[#This Row],[Operational_Time_min]]*60)</f>
        <v>0.5462377631077624</v>
      </c>
      <c r="U640">
        <f>Table13[[#This Row],[Good_Qty]]/Table13[[#This Row],[Actual_Qty]]</f>
        <v>0.98932384341637014</v>
      </c>
      <c r="V640" t="str">
        <f>IF(OR(Table13[[#This Row],[Performance_%]]&gt;=1,Table13[[#This Row],[Performance_%]]&lt;=0),"Error","OK")</f>
        <v>OK</v>
      </c>
      <c r="W640" t="str">
        <f>IF(OR(Table13[[#This Row],[Quality_%]]&gt;=1,Table13[[#This Row],[Quality_%]]&lt;=0),"Error","OK")</f>
        <v>OK</v>
      </c>
      <c r="X640">
        <f>Table13[[#This Row],[Performance_%]]*Table13[[#This Row],[Quality_%]]*[2]Availability_KPI!K640</f>
        <v>0.51481481481481484</v>
      </c>
      <c r="Y640" t="str">
        <f>IF(OR(Table13[[#This Row],[OEE_%]]&gt;1,Table13[[#This Row],[OEE_%]]&lt;0),"Error","OK")</f>
        <v>OK</v>
      </c>
    </row>
    <row r="641" spans="1:25" x14ac:dyDescent="0.2">
      <c r="A641" t="s">
        <v>770</v>
      </c>
      <c r="B641" t="s">
        <v>763</v>
      </c>
      <c r="C641" s="2">
        <v>46273</v>
      </c>
      <c r="D641" t="s">
        <v>53</v>
      </c>
      <c r="E641" t="s">
        <v>49</v>
      </c>
      <c r="F641" t="s">
        <v>54</v>
      </c>
      <c r="G641" t="s">
        <v>39</v>
      </c>
      <c r="H641">
        <v>570</v>
      </c>
      <c r="I641">
        <v>569</v>
      </c>
      <c r="J641">
        <v>1</v>
      </c>
      <c r="K641">
        <v>20</v>
      </c>
      <c r="L641">
        <v>21.11</v>
      </c>
      <c r="M641">
        <v>200.56</v>
      </c>
      <c r="N641">
        <f>_xlfn.XLOOKUP(Table13[[#This Row],[Production_Order_ID]],[1]Sheet1!$A$2:$A$391,[1]Sheet1!$F$2:$F$391,"No Match")</f>
        <v>590</v>
      </c>
      <c r="O641" s="3">
        <f>Table13[[#This Row],[Good_Qty]]/Table13[[#This Row],[Planned_Production]]</f>
        <v>0.96440677966101696</v>
      </c>
      <c r="P641" t="str">
        <f>IF(Table13[[#This Row],[Good_Qty]]&gt;=Table13[[#This Row],[Planned_Production]],"Met","Not Met")</f>
        <v>Not Met</v>
      </c>
      <c r="Q641">
        <f>Table13[[#This Row],[Good_Qty]]-Table13[[#This Row],[Planned_Production]]</f>
        <v>-21</v>
      </c>
      <c r="R641" s="3">
        <f>IF(Table13[[#This Row],[Actual_Qty]]=0,0,Table13[[#This Row],[Reject_Qty]]/Table13[[#This Row],[Actual_Qty]])</f>
        <v>1.7543859649122807E-3</v>
      </c>
      <c r="S641">
        <v>440.41</v>
      </c>
      <c r="T641">
        <f>(Table13[[#This Row],[Ideal_Cycle_Time_sec]]*Table13[[#This Row],[Actual_Qty]])/(Table13[[#This Row],[Operational_Time_min]]*60)</f>
        <v>0.43141618037737561</v>
      </c>
      <c r="U641">
        <f>Table13[[#This Row],[Good_Qty]]/Table13[[#This Row],[Actual_Qty]]</f>
        <v>0.99824561403508771</v>
      </c>
      <c r="V641" t="str">
        <f>IF(OR(Table13[[#This Row],[Performance_%]]&gt;=1,Table13[[#This Row],[Performance_%]]&lt;=0),"Error","OK")</f>
        <v>OK</v>
      </c>
      <c r="W641" t="str">
        <f>IF(OR(Table13[[#This Row],[Quality_%]]&gt;=1,Table13[[#This Row],[Quality_%]]&lt;=0),"Error","OK")</f>
        <v>OK</v>
      </c>
      <c r="X641">
        <f>Table13[[#This Row],[Performance_%]]*Table13[[#This Row],[Quality_%]]*[2]Availability_KPI!K641</f>
        <v>0.42148148148148146</v>
      </c>
      <c r="Y641" t="str">
        <f>IF(OR(Table13[[#This Row],[OEE_%]]&gt;1,Table13[[#This Row],[OEE_%]]&lt;0),"Error","OK")</f>
        <v>OK</v>
      </c>
    </row>
    <row r="642" spans="1:25" x14ac:dyDescent="0.2">
      <c r="A642" t="s">
        <v>771</v>
      </c>
      <c r="B642" t="s">
        <v>772</v>
      </c>
      <c r="C642" s="2">
        <v>46273</v>
      </c>
      <c r="D642" t="s">
        <v>67</v>
      </c>
      <c r="E642" t="s">
        <v>28</v>
      </c>
      <c r="F642" t="s">
        <v>54</v>
      </c>
      <c r="G642" t="s">
        <v>36</v>
      </c>
      <c r="H642">
        <v>697</v>
      </c>
      <c r="I642">
        <v>693</v>
      </c>
      <c r="J642">
        <v>4</v>
      </c>
      <c r="K642">
        <v>18</v>
      </c>
      <c r="L642">
        <v>19.05</v>
      </c>
      <c r="M642">
        <v>221.26</v>
      </c>
      <c r="N642">
        <f>_xlfn.XLOOKUP(Table13[[#This Row],[Production_Order_ID]],[1]Sheet1!$A$2:$A$391,[1]Sheet1!$F$2:$F$391,"No Match")</f>
        <v>500</v>
      </c>
      <c r="O642" s="3">
        <f>Table13[[#This Row],[Good_Qty]]/Table13[[#This Row],[Planned_Production]]</f>
        <v>1.3859999999999999</v>
      </c>
      <c r="P642" t="str">
        <f>IF(Table13[[#This Row],[Good_Qty]]&gt;=Table13[[#This Row],[Planned_Production]],"Met","Not Met")</f>
        <v>Met</v>
      </c>
      <c r="Q642">
        <f>Table13[[#This Row],[Good_Qty]]-Table13[[#This Row],[Planned_Production]]</f>
        <v>193</v>
      </c>
      <c r="R642" s="3">
        <f>IF(Table13[[#This Row],[Actual_Qty]]=0,0,Table13[[#This Row],[Reject_Qty]]/Table13[[#This Row],[Actual_Qty]])</f>
        <v>5.7388809182209472E-3</v>
      </c>
      <c r="S642">
        <v>441.3</v>
      </c>
      <c r="T642">
        <f>(Table13[[#This Row],[Ideal_Cycle_Time_sec]]*Table13[[#This Row],[Actual_Qty]])/(Table13[[#This Row],[Operational_Time_min]]*60)</f>
        <v>0.47382732834806252</v>
      </c>
      <c r="U642">
        <f>Table13[[#This Row],[Good_Qty]]/Table13[[#This Row],[Actual_Qty]]</f>
        <v>0.99426111908177905</v>
      </c>
      <c r="V642" t="str">
        <f>IF(OR(Table13[[#This Row],[Performance_%]]&gt;=1,Table13[[#This Row],[Performance_%]]&lt;=0),"Error","OK")</f>
        <v>OK</v>
      </c>
      <c r="W642" t="str">
        <f>IF(OR(Table13[[#This Row],[Quality_%]]&gt;=1,Table13[[#This Row],[Quality_%]]&lt;=0),"Error","OK")</f>
        <v>OK</v>
      </c>
      <c r="X642">
        <f>Table13[[#This Row],[Performance_%]]*Table13[[#This Row],[Quality_%]]*[2]Availability_KPI!K642</f>
        <v>0.46200000000000002</v>
      </c>
      <c r="Y642" t="str">
        <f>IF(OR(Table13[[#This Row],[OEE_%]]&gt;1,Table13[[#This Row],[OEE_%]]&lt;0),"Error","OK")</f>
        <v>OK</v>
      </c>
    </row>
    <row r="643" spans="1:25" x14ac:dyDescent="0.2">
      <c r="A643" t="s">
        <v>773</v>
      </c>
      <c r="B643" t="s">
        <v>772</v>
      </c>
      <c r="C643" s="2">
        <v>46273</v>
      </c>
      <c r="D643" t="s">
        <v>67</v>
      </c>
      <c r="E643" t="s">
        <v>32</v>
      </c>
      <c r="F643" t="s">
        <v>54</v>
      </c>
      <c r="G643" t="s">
        <v>75</v>
      </c>
      <c r="H643">
        <v>716</v>
      </c>
      <c r="I643">
        <v>711</v>
      </c>
      <c r="J643">
        <v>5</v>
      </c>
      <c r="K643">
        <v>20</v>
      </c>
      <c r="L643">
        <v>20.239999999999998</v>
      </c>
      <c r="M643">
        <v>241.53</v>
      </c>
      <c r="N643">
        <f>_xlfn.XLOOKUP(Table13[[#This Row],[Production_Order_ID]],[1]Sheet1!$A$2:$A$391,[1]Sheet1!$F$2:$F$391,"No Match")</f>
        <v>500</v>
      </c>
      <c r="O643" s="3">
        <f>Table13[[#This Row],[Good_Qty]]/Table13[[#This Row],[Planned_Production]]</f>
        <v>1.4219999999999999</v>
      </c>
      <c r="P643" t="str">
        <f>IF(Table13[[#This Row],[Good_Qty]]&gt;=Table13[[#This Row],[Planned_Production]],"Met","Not Met")</f>
        <v>Met</v>
      </c>
      <c r="Q643">
        <f>Table13[[#This Row],[Good_Qty]]-Table13[[#This Row],[Planned_Production]]</f>
        <v>211</v>
      </c>
      <c r="R643" s="3">
        <f>IF(Table13[[#This Row],[Actual_Qty]]=0,0,Table13[[#This Row],[Reject_Qty]]/Table13[[#This Row],[Actual_Qty]])</f>
        <v>6.9832402234636867E-3</v>
      </c>
      <c r="S643">
        <v>434.82</v>
      </c>
      <c r="T643">
        <f>(Table13[[#This Row],[Ideal_Cycle_Time_sec]]*Table13[[#This Row],[Actual_Qty]])/(Table13[[#This Row],[Operational_Time_min]]*60)</f>
        <v>0.54888612912622847</v>
      </c>
      <c r="U643">
        <f>Table13[[#This Row],[Good_Qty]]/Table13[[#This Row],[Actual_Qty]]</f>
        <v>0.99301675977653636</v>
      </c>
      <c r="V643" t="str">
        <f>IF(OR(Table13[[#This Row],[Performance_%]]&gt;=1,Table13[[#This Row],[Performance_%]]&lt;=0),"Error","OK")</f>
        <v>OK</v>
      </c>
      <c r="W643" t="str">
        <f>IF(OR(Table13[[#This Row],[Quality_%]]&gt;=1,Table13[[#This Row],[Quality_%]]&lt;=0),"Error","OK")</f>
        <v>OK</v>
      </c>
      <c r="X643">
        <f>Table13[[#This Row],[Performance_%]]*Table13[[#This Row],[Quality_%]]*[2]Availability_KPI!K643</f>
        <v>0.52666666666666673</v>
      </c>
      <c r="Y643" t="str">
        <f>IF(OR(Table13[[#This Row],[OEE_%]]&gt;1,Table13[[#This Row],[OEE_%]]&lt;0),"Error","OK")</f>
        <v>OK</v>
      </c>
    </row>
    <row r="644" spans="1:25" x14ac:dyDescent="0.2">
      <c r="A644" t="s">
        <v>774</v>
      </c>
      <c r="B644" t="s">
        <v>772</v>
      </c>
      <c r="C644" s="2">
        <v>46273</v>
      </c>
      <c r="D644" t="s">
        <v>67</v>
      </c>
      <c r="E644" t="s">
        <v>35</v>
      </c>
      <c r="F644" t="s">
        <v>54</v>
      </c>
      <c r="G644" t="s">
        <v>36</v>
      </c>
      <c r="H644">
        <v>701</v>
      </c>
      <c r="I644">
        <v>693</v>
      </c>
      <c r="J644">
        <v>8</v>
      </c>
      <c r="K644">
        <v>22</v>
      </c>
      <c r="L644">
        <v>22.81</v>
      </c>
      <c r="M644">
        <v>266.45</v>
      </c>
      <c r="N644">
        <f>_xlfn.XLOOKUP(Table13[[#This Row],[Production_Order_ID]],[1]Sheet1!$A$2:$A$391,[1]Sheet1!$F$2:$F$391,"No Match")</f>
        <v>500</v>
      </c>
      <c r="O644" s="3">
        <f>Table13[[#This Row],[Good_Qty]]/Table13[[#This Row],[Planned_Production]]</f>
        <v>1.3859999999999999</v>
      </c>
      <c r="P644" t="str">
        <f>IF(Table13[[#This Row],[Good_Qty]]&gt;=Table13[[#This Row],[Planned_Production]],"Met","Not Met")</f>
        <v>Met</v>
      </c>
      <c r="Q644">
        <f>Table13[[#This Row],[Good_Qty]]-Table13[[#This Row],[Planned_Production]]</f>
        <v>193</v>
      </c>
      <c r="R644" s="3">
        <f>IF(Table13[[#This Row],[Actual_Qty]]=0,0,Table13[[#This Row],[Reject_Qty]]/Table13[[#This Row],[Actual_Qty]])</f>
        <v>1.1412268188302425E-2</v>
      </c>
      <c r="S644">
        <v>432.2</v>
      </c>
      <c r="T644">
        <f>(Table13[[#This Row],[Ideal_Cycle_Time_sec]]*Table13[[#This Row],[Actual_Qty]])/(Table13[[#This Row],[Operational_Time_min]]*60)</f>
        <v>0.59470923954959121</v>
      </c>
      <c r="U644">
        <f>Table13[[#This Row],[Good_Qty]]/Table13[[#This Row],[Actual_Qty]]</f>
        <v>0.98858773181169757</v>
      </c>
      <c r="V644" t="str">
        <f>IF(OR(Table13[[#This Row],[Performance_%]]&gt;=1,Table13[[#This Row],[Performance_%]]&lt;=0),"Error","OK")</f>
        <v>OK</v>
      </c>
      <c r="W644" t="str">
        <f>IF(OR(Table13[[#This Row],[Quality_%]]&gt;=1,Table13[[#This Row],[Quality_%]]&lt;=0),"Error","OK")</f>
        <v>OK</v>
      </c>
      <c r="X644">
        <f>Table13[[#This Row],[Performance_%]]*Table13[[#This Row],[Quality_%]]*[2]Availability_KPI!K644</f>
        <v>0.56466666666666665</v>
      </c>
      <c r="Y644" t="str">
        <f>IF(OR(Table13[[#This Row],[OEE_%]]&gt;1,Table13[[#This Row],[OEE_%]]&lt;0),"Error","OK")</f>
        <v>OK</v>
      </c>
    </row>
    <row r="645" spans="1:25" x14ac:dyDescent="0.2">
      <c r="A645" t="s">
        <v>775</v>
      </c>
      <c r="B645" t="s">
        <v>772</v>
      </c>
      <c r="C645" s="2">
        <v>46273</v>
      </c>
      <c r="D645" t="s">
        <v>67</v>
      </c>
      <c r="E645" t="s">
        <v>38</v>
      </c>
      <c r="F645" t="s">
        <v>54</v>
      </c>
      <c r="G645" t="s">
        <v>33</v>
      </c>
      <c r="H645">
        <v>698</v>
      </c>
      <c r="I645">
        <v>693</v>
      </c>
      <c r="J645">
        <v>5</v>
      </c>
      <c r="K645">
        <v>20</v>
      </c>
      <c r="L645">
        <v>20.3</v>
      </c>
      <c r="M645">
        <v>236.14</v>
      </c>
      <c r="N645">
        <f>_xlfn.XLOOKUP(Table13[[#This Row],[Production_Order_ID]],[1]Sheet1!$A$2:$A$391,[1]Sheet1!$F$2:$F$391,"No Match")</f>
        <v>500</v>
      </c>
      <c r="O645" s="3">
        <f>Table13[[#This Row],[Good_Qty]]/Table13[[#This Row],[Planned_Production]]</f>
        <v>1.3859999999999999</v>
      </c>
      <c r="P645" t="str">
        <f>IF(Table13[[#This Row],[Good_Qty]]&gt;=Table13[[#This Row],[Planned_Production]],"Met","Not Met")</f>
        <v>Met</v>
      </c>
      <c r="Q645">
        <f>Table13[[#This Row],[Good_Qty]]-Table13[[#This Row],[Planned_Production]]</f>
        <v>193</v>
      </c>
      <c r="R645" s="3">
        <f>IF(Table13[[#This Row],[Actual_Qty]]=0,0,Table13[[#This Row],[Reject_Qty]]/Table13[[#This Row],[Actual_Qty]])</f>
        <v>7.1633237822349575E-3</v>
      </c>
      <c r="S645">
        <v>436.72</v>
      </c>
      <c r="T645">
        <f>(Table13[[#This Row],[Ideal_Cycle_Time_sec]]*Table13[[#This Row],[Actual_Qty]])/(Table13[[#This Row],[Operational_Time_min]]*60)</f>
        <v>0.53275935763570859</v>
      </c>
      <c r="U645">
        <f>Table13[[#This Row],[Good_Qty]]/Table13[[#This Row],[Actual_Qty]]</f>
        <v>0.99283667621776506</v>
      </c>
      <c r="V645" t="str">
        <f>IF(OR(Table13[[#This Row],[Performance_%]]&gt;=1,Table13[[#This Row],[Performance_%]]&lt;=0),"Error","OK")</f>
        <v>OK</v>
      </c>
      <c r="W645" t="str">
        <f>IF(OR(Table13[[#This Row],[Quality_%]]&gt;=1,Table13[[#This Row],[Quality_%]]&lt;=0),"Error","OK")</f>
        <v>OK</v>
      </c>
      <c r="X645">
        <f>Table13[[#This Row],[Performance_%]]*Table13[[#This Row],[Quality_%]]*[2]Availability_KPI!K645</f>
        <v>0.51333333333333331</v>
      </c>
      <c r="Y645" t="str">
        <f>IF(OR(Table13[[#This Row],[OEE_%]]&gt;1,Table13[[#This Row],[OEE_%]]&lt;0),"Error","OK")</f>
        <v>OK</v>
      </c>
    </row>
    <row r="646" spans="1:25" x14ac:dyDescent="0.2">
      <c r="A646" t="s">
        <v>776</v>
      </c>
      <c r="B646" t="s">
        <v>772</v>
      </c>
      <c r="C646" s="2">
        <v>46273</v>
      </c>
      <c r="D646" t="s">
        <v>67</v>
      </c>
      <c r="E646" t="s">
        <v>41</v>
      </c>
      <c r="F646" t="s">
        <v>54</v>
      </c>
      <c r="G646" t="s">
        <v>57</v>
      </c>
      <c r="H646">
        <v>694</v>
      </c>
      <c r="I646">
        <v>690</v>
      </c>
      <c r="J646">
        <v>4</v>
      </c>
      <c r="K646">
        <v>18</v>
      </c>
      <c r="L646">
        <v>18</v>
      </c>
      <c r="M646">
        <v>208.2</v>
      </c>
      <c r="N646">
        <f>_xlfn.XLOOKUP(Table13[[#This Row],[Production_Order_ID]],[1]Sheet1!$A$2:$A$391,[1]Sheet1!$F$2:$F$391,"No Match")</f>
        <v>500</v>
      </c>
      <c r="O646" s="3">
        <f>Table13[[#This Row],[Good_Qty]]/Table13[[#This Row],[Planned_Production]]</f>
        <v>1.38</v>
      </c>
      <c r="P646" t="str">
        <f>IF(Table13[[#This Row],[Good_Qty]]&gt;=Table13[[#This Row],[Planned_Production]],"Met","Not Met")</f>
        <v>Met</v>
      </c>
      <c r="Q646">
        <f>Table13[[#This Row],[Good_Qty]]-Table13[[#This Row],[Planned_Production]]</f>
        <v>190</v>
      </c>
      <c r="R646" s="3">
        <f>IF(Table13[[#This Row],[Actual_Qty]]=0,0,Table13[[#This Row],[Reject_Qty]]/Table13[[#This Row],[Actual_Qty]])</f>
        <v>5.763688760806916E-3</v>
      </c>
      <c r="S646">
        <v>434.88</v>
      </c>
      <c r="T646">
        <f>(Table13[[#This Row],[Ideal_Cycle_Time_sec]]*Table13[[#This Row],[Actual_Qty]])/(Table13[[#This Row],[Operational_Time_min]]*60)</f>
        <v>0.47875275938189849</v>
      </c>
      <c r="U646">
        <f>Table13[[#This Row],[Good_Qty]]/Table13[[#This Row],[Actual_Qty]]</f>
        <v>0.99423631123919309</v>
      </c>
      <c r="V646" t="str">
        <f>IF(OR(Table13[[#This Row],[Performance_%]]&gt;=1,Table13[[#This Row],[Performance_%]]&lt;=0),"Error","OK")</f>
        <v>OK</v>
      </c>
      <c r="W646" t="str">
        <f>IF(OR(Table13[[#This Row],[Quality_%]]&gt;=1,Table13[[#This Row],[Quality_%]]&lt;=0),"Error","OK")</f>
        <v>OK</v>
      </c>
      <c r="X646">
        <f>Table13[[#This Row],[Performance_%]]*Table13[[#This Row],[Quality_%]]*[2]Availability_KPI!K646</f>
        <v>0.46</v>
      </c>
      <c r="Y646" t="str">
        <f>IF(OR(Table13[[#This Row],[OEE_%]]&gt;1,Table13[[#This Row],[OEE_%]]&lt;0),"Error","OK")</f>
        <v>OK</v>
      </c>
    </row>
    <row r="647" spans="1:25" x14ac:dyDescent="0.2">
      <c r="A647" t="s">
        <v>777</v>
      </c>
      <c r="B647" t="s">
        <v>772</v>
      </c>
      <c r="C647" s="2">
        <v>46273</v>
      </c>
      <c r="D647" t="s">
        <v>67</v>
      </c>
      <c r="E647" t="s">
        <v>43</v>
      </c>
      <c r="F647" t="s">
        <v>54</v>
      </c>
      <c r="G647" t="s">
        <v>75</v>
      </c>
      <c r="H647">
        <v>693</v>
      </c>
      <c r="I647">
        <v>684</v>
      </c>
      <c r="J647">
        <v>9</v>
      </c>
      <c r="K647">
        <v>32</v>
      </c>
      <c r="L647">
        <v>35.090000000000003</v>
      </c>
      <c r="M647">
        <v>405.26</v>
      </c>
      <c r="N647">
        <f>_xlfn.XLOOKUP(Table13[[#This Row],[Production_Order_ID]],[1]Sheet1!$A$2:$A$391,[1]Sheet1!$F$2:$F$391,"No Match")</f>
        <v>500</v>
      </c>
      <c r="O647" s="3">
        <f>Table13[[#This Row],[Good_Qty]]/Table13[[#This Row],[Planned_Production]]</f>
        <v>1.3680000000000001</v>
      </c>
      <c r="P647" t="str">
        <f>IF(Table13[[#This Row],[Good_Qty]]&gt;=Table13[[#This Row],[Planned_Production]],"Met","Not Met")</f>
        <v>Met</v>
      </c>
      <c r="Q647">
        <f>Table13[[#This Row],[Good_Qty]]-Table13[[#This Row],[Planned_Production]]</f>
        <v>184</v>
      </c>
      <c r="R647" s="3">
        <f>IF(Table13[[#This Row],[Actual_Qty]]=0,0,Table13[[#This Row],[Reject_Qty]]/Table13[[#This Row],[Actual_Qty]])</f>
        <v>1.2987012987012988E-2</v>
      </c>
      <c r="S647">
        <v>402.58</v>
      </c>
      <c r="T647">
        <f>(Table13[[#This Row],[Ideal_Cycle_Time_sec]]*Table13[[#This Row],[Actual_Qty]])/(Table13[[#This Row],[Operational_Time_min]]*60)</f>
        <v>0.91807839435640126</v>
      </c>
      <c r="U647">
        <f>Table13[[#This Row],[Good_Qty]]/Table13[[#This Row],[Actual_Qty]]</f>
        <v>0.98701298701298701</v>
      </c>
      <c r="V647" t="str">
        <f>IF(OR(Table13[[#This Row],[Performance_%]]&gt;=1,Table13[[#This Row],[Performance_%]]&lt;=0),"Error","OK")</f>
        <v>OK</v>
      </c>
      <c r="W647" t="str">
        <f>IF(OR(Table13[[#This Row],[Quality_%]]&gt;=1,Table13[[#This Row],[Quality_%]]&lt;=0),"Error","OK")</f>
        <v>OK</v>
      </c>
      <c r="X647">
        <f>Table13[[#This Row],[Performance_%]]*Table13[[#This Row],[Quality_%]]*[2]Availability_KPI!K647</f>
        <v>0.81066666666666676</v>
      </c>
      <c r="Y647" t="str">
        <f>IF(OR(Table13[[#This Row],[OEE_%]]&gt;1,Table13[[#This Row],[OEE_%]]&lt;0),"Error","OK")</f>
        <v>OK</v>
      </c>
    </row>
    <row r="648" spans="1:25" x14ac:dyDescent="0.2">
      <c r="A648" t="s">
        <v>778</v>
      </c>
      <c r="B648" t="s">
        <v>772</v>
      </c>
      <c r="C648" s="2">
        <v>46273</v>
      </c>
      <c r="D648" t="s">
        <v>67</v>
      </c>
      <c r="E648" t="s">
        <v>46</v>
      </c>
      <c r="F648" t="s">
        <v>54</v>
      </c>
      <c r="G648" t="s">
        <v>33</v>
      </c>
      <c r="H648">
        <v>715</v>
      </c>
      <c r="I648">
        <v>708</v>
      </c>
      <c r="J648">
        <v>7</v>
      </c>
      <c r="K648">
        <v>25</v>
      </c>
      <c r="L648">
        <v>26.56</v>
      </c>
      <c r="M648">
        <v>316.48</v>
      </c>
      <c r="N648">
        <f>_xlfn.XLOOKUP(Table13[[#This Row],[Production_Order_ID]],[1]Sheet1!$A$2:$A$391,[1]Sheet1!$F$2:$F$391,"No Match")</f>
        <v>500</v>
      </c>
      <c r="O648" s="3">
        <f>Table13[[#This Row],[Good_Qty]]/Table13[[#This Row],[Planned_Production]]</f>
        <v>1.4159999999999999</v>
      </c>
      <c r="P648" t="str">
        <f>IF(Table13[[#This Row],[Good_Qty]]&gt;=Table13[[#This Row],[Planned_Production]],"Met","Not Met")</f>
        <v>Met</v>
      </c>
      <c r="Q648">
        <f>Table13[[#This Row],[Good_Qty]]-Table13[[#This Row],[Planned_Production]]</f>
        <v>208</v>
      </c>
      <c r="R648" s="3">
        <f>IF(Table13[[#This Row],[Actual_Qty]]=0,0,Table13[[#This Row],[Reject_Qty]]/Table13[[#This Row],[Actual_Qty]])</f>
        <v>9.7902097902097911E-3</v>
      </c>
      <c r="S648">
        <v>423.93</v>
      </c>
      <c r="T648">
        <f>(Table13[[#This Row],[Ideal_Cycle_Time_sec]]*Table13[[#This Row],[Actual_Qty]])/(Table13[[#This Row],[Operational_Time_min]]*60)</f>
        <v>0.70274966779106618</v>
      </c>
      <c r="U648">
        <f>Table13[[#This Row],[Good_Qty]]/Table13[[#This Row],[Actual_Qty]]</f>
        <v>0.99020979020979016</v>
      </c>
      <c r="V648" t="str">
        <f>IF(OR(Table13[[#This Row],[Performance_%]]&gt;=1,Table13[[#This Row],[Performance_%]]&lt;=0),"Error","OK")</f>
        <v>OK</v>
      </c>
      <c r="W648" t="str">
        <f>IF(OR(Table13[[#This Row],[Quality_%]]&gt;=1,Table13[[#This Row],[Quality_%]]&lt;=0),"Error","OK")</f>
        <v>OK</v>
      </c>
      <c r="X648">
        <f>Table13[[#This Row],[Performance_%]]*Table13[[#This Row],[Quality_%]]*[2]Availability_KPI!K648</f>
        <v>0.65555555555555556</v>
      </c>
      <c r="Y648" t="str">
        <f>IF(OR(Table13[[#This Row],[OEE_%]]&gt;1,Table13[[#This Row],[OEE_%]]&lt;0),"Error","OK")</f>
        <v>OK</v>
      </c>
    </row>
    <row r="649" spans="1:25" x14ac:dyDescent="0.2">
      <c r="A649" t="s">
        <v>779</v>
      </c>
      <c r="B649" t="s">
        <v>772</v>
      </c>
      <c r="C649" s="2">
        <v>46273</v>
      </c>
      <c r="D649" t="s">
        <v>67</v>
      </c>
      <c r="E649" t="s">
        <v>49</v>
      </c>
      <c r="F649" t="s">
        <v>54</v>
      </c>
      <c r="G649" t="s">
        <v>55</v>
      </c>
      <c r="H649">
        <v>700</v>
      </c>
      <c r="I649">
        <v>697</v>
      </c>
      <c r="J649">
        <v>3</v>
      </c>
      <c r="K649">
        <v>20</v>
      </c>
      <c r="L649">
        <v>21.19</v>
      </c>
      <c r="M649">
        <v>247.25</v>
      </c>
      <c r="N649">
        <f>_xlfn.XLOOKUP(Table13[[#This Row],[Production_Order_ID]],[1]Sheet1!$A$2:$A$391,[1]Sheet1!$F$2:$F$391,"No Match")</f>
        <v>500</v>
      </c>
      <c r="O649" s="3">
        <f>Table13[[#This Row],[Good_Qty]]/Table13[[#This Row],[Planned_Production]]</f>
        <v>1.3939999999999999</v>
      </c>
      <c r="P649" t="str">
        <f>IF(Table13[[#This Row],[Good_Qty]]&gt;=Table13[[#This Row],[Planned_Production]],"Met","Not Met")</f>
        <v>Met</v>
      </c>
      <c r="Q649">
        <f>Table13[[#This Row],[Good_Qty]]-Table13[[#This Row],[Planned_Production]]</f>
        <v>197</v>
      </c>
      <c r="R649" s="3">
        <f>IF(Table13[[#This Row],[Actual_Qty]]=0,0,Table13[[#This Row],[Reject_Qty]]/Table13[[#This Row],[Actual_Qty]])</f>
        <v>4.2857142857142859E-3</v>
      </c>
      <c r="S649">
        <v>439.1</v>
      </c>
      <c r="T649">
        <f>(Table13[[#This Row],[Ideal_Cycle_Time_sec]]*Table13[[#This Row],[Actual_Qty]])/(Table13[[#This Row],[Operational_Time_min]]*60)</f>
        <v>0.53138996432095953</v>
      </c>
      <c r="U649">
        <f>Table13[[#This Row],[Good_Qty]]/Table13[[#This Row],[Actual_Qty]]</f>
        <v>0.99571428571428566</v>
      </c>
      <c r="V649" t="str">
        <f>IF(OR(Table13[[#This Row],[Performance_%]]&gt;=1,Table13[[#This Row],[Performance_%]]&lt;=0),"Error","OK")</f>
        <v>OK</v>
      </c>
      <c r="W649" t="str">
        <f>IF(OR(Table13[[#This Row],[Quality_%]]&gt;=1,Table13[[#This Row],[Quality_%]]&lt;=0),"Error","OK")</f>
        <v>OK</v>
      </c>
      <c r="X649">
        <f>Table13[[#This Row],[Performance_%]]*Table13[[#This Row],[Quality_%]]*[2]Availability_KPI!K649</f>
        <v>0.51629629629629625</v>
      </c>
      <c r="Y649" t="str">
        <f>IF(OR(Table13[[#This Row],[OEE_%]]&gt;1,Table13[[#This Row],[OEE_%]]&lt;0),"Error","OK")</f>
        <v>OK</v>
      </c>
    </row>
    <row r="650" spans="1:25" x14ac:dyDescent="0.2">
      <c r="A650" t="s">
        <v>780</v>
      </c>
      <c r="B650" t="s">
        <v>781</v>
      </c>
      <c r="C650" s="2">
        <v>46274</v>
      </c>
      <c r="D650" t="s">
        <v>27</v>
      </c>
      <c r="E650" t="s">
        <v>28</v>
      </c>
      <c r="F650" t="s">
        <v>54</v>
      </c>
      <c r="G650" t="s">
        <v>50</v>
      </c>
      <c r="H650">
        <v>649</v>
      </c>
      <c r="I650">
        <v>647</v>
      </c>
      <c r="J650">
        <v>2</v>
      </c>
      <c r="K650">
        <v>18</v>
      </c>
      <c r="L650">
        <v>18.87</v>
      </c>
      <c r="M650">
        <v>204.07</v>
      </c>
      <c r="N650">
        <f>_xlfn.XLOOKUP(Table13[[#This Row],[Production_Order_ID]],[1]Sheet1!$A$2:$A$391,[1]Sheet1!$F$2:$F$391,"No Match")</f>
        <v>610</v>
      </c>
      <c r="O650" s="3">
        <f>Table13[[#This Row],[Good_Qty]]/Table13[[#This Row],[Planned_Production]]</f>
        <v>1.0606557377049179</v>
      </c>
      <c r="P650" t="str">
        <f>IF(Table13[[#This Row],[Good_Qty]]&gt;=Table13[[#This Row],[Planned_Production]],"Met","Not Met")</f>
        <v>Met</v>
      </c>
      <c r="Q650">
        <f>Table13[[#This Row],[Good_Qty]]-Table13[[#This Row],[Planned_Production]]</f>
        <v>37</v>
      </c>
      <c r="R650" s="3">
        <f>IF(Table13[[#This Row],[Actual_Qty]]=0,0,Table13[[#This Row],[Reject_Qty]]/Table13[[#This Row],[Actual_Qty]])</f>
        <v>3.0816640986132513E-3</v>
      </c>
      <c r="S650">
        <v>441.27</v>
      </c>
      <c r="T650">
        <f>(Table13[[#This Row],[Ideal_Cycle_Time_sec]]*Table13[[#This Row],[Actual_Qty]])/(Table13[[#This Row],[Operational_Time_min]]*60)</f>
        <v>0.44122645999048205</v>
      </c>
      <c r="U650">
        <f>Table13[[#This Row],[Good_Qty]]/Table13[[#This Row],[Actual_Qty]]</f>
        <v>0.99691833590138679</v>
      </c>
      <c r="V650" t="str">
        <f>IF(OR(Table13[[#This Row],[Performance_%]]&gt;=1,Table13[[#This Row],[Performance_%]]&lt;=0),"Error","OK")</f>
        <v>OK</v>
      </c>
      <c r="W650" t="str">
        <f>IF(OR(Table13[[#This Row],[Quality_%]]&gt;=1,Table13[[#This Row],[Quality_%]]&lt;=0),"Error","OK")</f>
        <v>OK</v>
      </c>
      <c r="X650">
        <f>Table13[[#This Row],[Performance_%]]*Table13[[#This Row],[Quality_%]]*[2]Availability_KPI!K650</f>
        <v>0.43133333333333335</v>
      </c>
      <c r="Y650" t="str">
        <f>IF(OR(Table13[[#This Row],[OEE_%]]&gt;1,Table13[[#This Row],[OEE_%]]&lt;0),"Error","OK")</f>
        <v>OK</v>
      </c>
    </row>
    <row r="651" spans="1:25" x14ac:dyDescent="0.2">
      <c r="A651" t="s">
        <v>782</v>
      </c>
      <c r="B651" t="s">
        <v>781</v>
      </c>
      <c r="C651" s="2">
        <v>46274</v>
      </c>
      <c r="D651" t="s">
        <v>27</v>
      </c>
      <c r="E651" t="s">
        <v>32</v>
      </c>
      <c r="F651" t="s">
        <v>54</v>
      </c>
      <c r="G651" t="s">
        <v>36</v>
      </c>
      <c r="H651">
        <v>633</v>
      </c>
      <c r="I651">
        <v>627</v>
      </c>
      <c r="J651">
        <v>6</v>
      </c>
      <c r="K651">
        <v>20</v>
      </c>
      <c r="L651">
        <v>20.45</v>
      </c>
      <c r="M651">
        <v>215.74</v>
      </c>
      <c r="N651">
        <f>_xlfn.XLOOKUP(Table13[[#This Row],[Production_Order_ID]],[1]Sheet1!$A$2:$A$391,[1]Sheet1!$F$2:$F$391,"No Match")</f>
        <v>610</v>
      </c>
      <c r="O651" s="3">
        <f>Table13[[#This Row],[Good_Qty]]/Table13[[#This Row],[Planned_Production]]</f>
        <v>1.0278688524590165</v>
      </c>
      <c r="P651" t="str">
        <f>IF(Table13[[#This Row],[Good_Qty]]&gt;=Table13[[#This Row],[Planned_Production]],"Met","Not Met")</f>
        <v>Met</v>
      </c>
      <c r="Q651">
        <f>Table13[[#This Row],[Good_Qty]]-Table13[[#This Row],[Planned_Production]]</f>
        <v>17</v>
      </c>
      <c r="R651" s="3">
        <f>IF(Table13[[#This Row],[Actual_Qty]]=0,0,Table13[[#This Row],[Reject_Qty]]/Table13[[#This Row],[Actual_Qty]])</f>
        <v>9.4786729857819912E-3</v>
      </c>
      <c r="S651">
        <v>437.53</v>
      </c>
      <c r="T651">
        <f>(Table13[[#This Row],[Ideal_Cycle_Time_sec]]*Table13[[#This Row],[Actual_Qty]])/(Table13[[#This Row],[Operational_Time_min]]*60)</f>
        <v>0.48225264553287778</v>
      </c>
      <c r="U651">
        <f>Table13[[#This Row],[Good_Qty]]/Table13[[#This Row],[Actual_Qty]]</f>
        <v>0.99052132701421802</v>
      </c>
      <c r="V651" t="str">
        <f>IF(OR(Table13[[#This Row],[Performance_%]]&gt;=1,Table13[[#This Row],[Performance_%]]&lt;=0),"Error","OK")</f>
        <v>OK</v>
      </c>
      <c r="W651" t="str">
        <f>IF(OR(Table13[[#This Row],[Quality_%]]&gt;=1,Table13[[#This Row],[Quality_%]]&lt;=0),"Error","OK")</f>
        <v>OK</v>
      </c>
      <c r="X651">
        <f>Table13[[#This Row],[Performance_%]]*Table13[[#This Row],[Quality_%]]*[2]Availability_KPI!K651</f>
        <v>0.46444444444444449</v>
      </c>
      <c r="Y651" t="str">
        <f>IF(OR(Table13[[#This Row],[OEE_%]]&gt;1,Table13[[#This Row],[OEE_%]]&lt;0),"Error","OK")</f>
        <v>OK</v>
      </c>
    </row>
    <row r="652" spans="1:25" x14ac:dyDescent="0.2">
      <c r="A652" t="s">
        <v>783</v>
      </c>
      <c r="B652" t="s">
        <v>781</v>
      </c>
      <c r="C652" s="2">
        <v>46274</v>
      </c>
      <c r="D652" t="s">
        <v>27</v>
      </c>
      <c r="E652" t="s">
        <v>35</v>
      </c>
      <c r="F652" t="s">
        <v>54</v>
      </c>
      <c r="G652" t="s">
        <v>50</v>
      </c>
      <c r="H652">
        <v>625</v>
      </c>
      <c r="I652">
        <v>619</v>
      </c>
      <c r="J652">
        <v>6</v>
      </c>
      <c r="K652">
        <v>22</v>
      </c>
      <c r="L652">
        <v>23.78</v>
      </c>
      <c r="M652">
        <v>247.71</v>
      </c>
      <c r="N652">
        <f>_xlfn.XLOOKUP(Table13[[#This Row],[Production_Order_ID]],[1]Sheet1!$A$2:$A$391,[1]Sheet1!$F$2:$F$391,"No Match")</f>
        <v>610</v>
      </c>
      <c r="O652" s="3">
        <f>Table13[[#This Row],[Good_Qty]]/Table13[[#This Row],[Planned_Production]]</f>
        <v>1.0147540983606558</v>
      </c>
      <c r="P652" t="str">
        <f>IF(Table13[[#This Row],[Good_Qty]]&gt;=Table13[[#This Row],[Planned_Production]],"Met","Not Met")</f>
        <v>Met</v>
      </c>
      <c r="Q652">
        <f>Table13[[#This Row],[Good_Qty]]-Table13[[#This Row],[Planned_Production]]</f>
        <v>9</v>
      </c>
      <c r="R652" s="3">
        <f>IF(Table13[[#This Row],[Actual_Qty]]=0,0,Table13[[#This Row],[Reject_Qty]]/Table13[[#This Row],[Actual_Qty]])</f>
        <v>9.5999999999999992E-3</v>
      </c>
      <c r="S652">
        <v>430.12</v>
      </c>
      <c r="T652">
        <f>(Table13[[#This Row],[Ideal_Cycle_Time_sec]]*Table13[[#This Row],[Actual_Qty]])/(Table13[[#This Row],[Operational_Time_min]]*60)</f>
        <v>0.53279704888558233</v>
      </c>
      <c r="U652">
        <f>Table13[[#This Row],[Good_Qty]]/Table13[[#This Row],[Actual_Qty]]</f>
        <v>0.99039999999999995</v>
      </c>
      <c r="V652" t="str">
        <f>IF(OR(Table13[[#This Row],[Performance_%]]&gt;=1,Table13[[#This Row],[Performance_%]]&lt;=0),"Error","OK")</f>
        <v>OK</v>
      </c>
      <c r="W652" t="str">
        <f>IF(OR(Table13[[#This Row],[Quality_%]]&gt;=1,Table13[[#This Row],[Quality_%]]&lt;=0),"Error","OK")</f>
        <v>OK</v>
      </c>
      <c r="X652">
        <f>Table13[[#This Row],[Performance_%]]*Table13[[#This Row],[Quality_%]]*[2]Availability_KPI!K652</f>
        <v>0.50437037037037036</v>
      </c>
      <c r="Y652" t="str">
        <f>IF(OR(Table13[[#This Row],[OEE_%]]&gt;1,Table13[[#This Row],[OEE_%]]&lt;0),"Error","OK")</f>
        <v>OK</v>
      </c>
    </row>
    <row r="653" spans="1:25" x14ac:dyDescent="0.2">
      <c r="A653" t="s">
        <v>784</v>
      </c>
      <c r="B653" t="s">
        <v>781</v>
      </c>
      <c r="C653" s="2">
        <v>46274</v>
      </c>
      <c r="D653" t="s">
        <v>27</v>
      </c>
      <c r="E653" t="s">
        <v>38</v>
      </c>
      <c r="F653" t="s">
        <v>54</v>
      </c>
      <c r="G653" t="s">
        <v>75</v>
      </c>
      <c r="H653">
        <v>639</v>
      </c>
      <c r="I653">
        <v>633</v>
      </c>
      <c r="J653">
        <v>6</v>
      </c>
      <c r="K653">
        <v>20</v>
      </c>
      <c r="L653">
        <v>20.99</v>
      </c>
      <c r="M653">
        <v>223.55</v>
      </c>
      <c r="N653">
        <f>_xlfn.XLOOKUP(Table13[[#This Row],[Production_Order_ID]],[1]Sheet1!$A$2:$A$391,[1]Sheet1!$F$2:$F$391,"No Match")</f>
        <v>610</v>
      </c>
      <c r="O653" s="3">
        <f>Table13[[#This Row],[Good_Qty]]/Table13[[#This Row],[Planned_Production]]</f>
        <v>1.0377049180327869</v>
      </c>
      <c r="P653" t="str">
        <f>IF(Table13[[#This Row],[Good_Qty]]&gt;=Table13[[#This Row],[Planned_Production]],"Met","Not Met")</f>
        <v>Met</v>
      </c>
      <c r="Q653">
        <f>Table13[[#This Row],[Good_Qty]]-Table13[[#This Row],[Planned_Production]]</f>
        <v>23</v>
      </c>
      <c r="R653" s="3">
        <f>IF(Table13[[#This Row],[Actual_Qty]]=0,0,Table13[[#This Row],[Reject_Qty]]/Table13[[#This Row],[Actual_Qty]])</f>
        <v>9.3896713615023476E-3</v>
      </c>
      <c r="S653">
        <v>438.06</v>
      </c>
      <c r="T653">
        <f>(Table13[[#This Row],[Ideal_Cycle_Time_sec]]*Table13[[#This Row],[Actual_Qty]])/(Table13[[#This Row],[Operational_Time_min]]*60)</f>
        <v>0.48623476236132041</v>
      </c>
      <c r="U653">
        <f>Table13[[#This Row],[Good_Qty]]/Table13[[#This Row],[Actual_Qty]]</f>
        <v>0.99061032863849763</v>
      </c>
      <c r="V653" t="str">
        <f>IF(OR(Table13[[#This Row],[Performance_%]]&gt;=1,Table13[[#This Row],[Performance_%]]&lt;=0),"Error","OK")</f>
        <v>OK</v>
      </c>
      <c r="W653" t="str">
        <f>IF(OR(Table13[[#This Row],[Quality_%]]&gt;=1,Table13[[#This Row],[Quality_%]]&lt;=0),"Error","OK")</f>
        <v>OK</v>
      </c>
      <c r="X653">
        <f>Table13[[#This Row],[Performance_%]]*Table13[[#This Row],[Quality_%]]*[2]Availability_KPI!K653</f>
        <v>0.46888888888888891</v>
      </c>
      <c r="Y653" t="str">
        <f>IF(OR(Table13[[#This Row],[OEE_%]]&gt;1,Table13[[#This Row],[OEE_%]]&lt;0),"Error","OK")</f>
        <v>OK</v>
      </c>
    </row>
    <row r="654" spans="1:25" x14ac:dyDescent="0.2">
      <c r="A654" t="s">
        <v>785</v>
      </c>
      <c r="B654" t="s">
        <v>781</v>
      </c>
      <c r="C654" s="2">
        <v>46274</v>
      </c>
      <c r="D654" t="s">
        <v>27</v>
      </c>
      <c r="E654" t="s">
        <v>41</v>
      </c>
      <c r="F654" t="s">
        <v>54</v>
      </c>
      <c r="G654" t="s">
        <v>47</v>
      </c>
      <c r="H654">
        <v>636</v>
      </c>
      <c r="I654">
        <v>631</v>
      </c>
      <c r="J654">
        <v>5</v>
      </c>
      <c r="K654">
        <v>18</v>
      </c>
      <c r="L654">
        <v>18.989999999999998</v>
      </c>
      <c r="M654">
        <v>201.26</v>
      </c>
      <c r="N654">
        <f>_xlfn.XLOOKUP(Table13[[#This Row],[Production_Order_ID]],[1]Sheet1!$A$2:$A$391,[1]Sheet1!$F$2:$F$391,"No Match")</f>
        <v>610</v>
      </c>
      <c r="O654" s="3">
        <f>Table13[[#This Row],[Good_Qty]]/Table13[[#This Row],[Planned_Production]]</f>
        <v>1.0344262295081967</v>
      </c>
      <c r="P654" t="str">
        <f>IF(Table13[[#This Row],[Good_Qty]]&gt;=Table13[[#This Row],[Planned_Production]],"Met","Not Met")</f>
        <v>Met</v>
      </c>
      <c r="Q654">
        <f>Table13[[#This Row],[Good_Qty]]-Table13[[#This Row],[Planned_Production]]</f>
        <v>21</v>
      </c>
      <c r="R654" s="3">
        <f>IF(Table13[[#This Row],[Actual_Qty]]=0,0,Table13[[#This Row],[Reject_Qty]]/Table13[[#This Row],[Actual_Qty]])</f>
        <v>7.8616352201257862E-3</v>
      </c>
      <c r="S654">
        <v>438.2</v>
      </c>
      <c r="T654">
        <f>(Table13[[#This Row],[Ideal_Cycle_Time_sec]]*Table13[[#This Row],[Actual_Qty]])/(Table13[[#This Row],[Operational_Time_min]]*60)</f>
        <v>0.43541761752624375</v>
      </c>
      <c r="U654">
        <f>Table13[[#This Row],[Good_Qty]]/Table13[[#This Row],[Actual_Qty]]</f>
        <v>0.99213836477987416</v>
      </c>
      <c r="V654" t="str">
        <f>IF(OR(Table13[[#This Row],[Performance_%]]&gt;=1,Table13[[#This Row],[Performance_%]]&lt;=0),"Error","OK")</f>
        <v>OK</v>
      </c>
      <c r="W654" t="str">
        <f>IF(OR(Table13[[#This Row],[Quality_%]]&gt;=1,Table13[[#This Row],[Quality_%]]&lt;=0),"Error","OK")</f>
        <v>OK</v>
      </c>
      <c r="X654">
        <f>Table13[[#This Row],[Performance_%]]*Table13[[#This Row],[Quality_%]]*[2]Availability_KPI!K654</f>
        <v>0.42066666666666669</v>
      </c>
      <c r="Y654" t="str">
        <f>IF(OR(Table13[[#This Row],[OEE_%]]&gt;1,Table13[[#This Row],[OEE_%]]&lt;0),"Error","OK")</f>
        <v>OK</v>
      </c>
    </row>
    <row r="655" spans="1:25" x14ac:dyDescent="0.2">
      <c r="A655" t="s">
        <v>786</v>
      </c>
      <c r="B655" t="s">
        <v>781</v>
      </c>
      <c r="C655" s="2">
        <v>46274</v>
      </c>
      <c r="D655" t="s">
        <v>27</v>
      </c>
      <c r="E655" t="s">
        <v>43</v>
      </c>
      <c r="F655" t="s">
        <v>54</v>
      </c>
      <c r="G655" t="s">
        <v>36</v>
      </c>
      <c r="H655">
        <v>638</v>
      </c>
      <c r="I655">
        <v>630</v>
      </c>
      <c r="J655">
        <v>8</v>
      </c>
      <c r="K655">
        <v>32</v>
      </c>
      <c r="L655">
        <v>33.69</v>
      </c>
      <c r="M655">
        <v>358.25</v>
      </c>
      <c r="N655">
        <f>_xlfn.XLOOKUP(Table13[[#This Row],[Production_Order_ID]],[1]Sheet1!$A$2:$A$391,[1]Sheet1!$F$2:$F$391,"No Match")</f>
        <v>610</v>
      </c>
      <c r="O655" s="3">
        <f>Table13[[#This Row],[Good_Qty]]/Table13[[#This Row],[Planned_Production]]</f>
        <v>1.0327868852459017</v>
      </c>
      <c r="P655" t="str">
        <f>IF(Table13[[#This Row],[Good_Qty]]&gt;=Table13[[#This Row],[Planned_Production]],"Met","Not Met")</f>
        <v>Met</v>
      </c>
      <c r="Q655">
        <f>Table13[[#This Row],[Good_Qty]]-Table13[[#This Row],[Planned_Production]]</f>
        <v>20</v>
      </c>
      <c r="R655" s="3">
        <f>IF(Table13[[#This Row],[Actual_Qty]]=0,0,Table13[[#This Row],[Reject_Qty]]/Table13[[#This Row],[Actual_Qty]])</f>
        <v>1.2539184952978056E-2</v>
      </c>
      <c r="S655">
        <v>411.13</v>
      </c>
      <c r="T655">
        <f>(Table13[[#This Row],[Ideal_Cycle_Time_sec]]*Table13[[#This Row],[Actual_Qty]])/(Table13[[#This Row],[Operational_Time_min]]*60)</f>
        <v>0.82763764908098825</v>
      </c>
      <c r="U655">
        <f>Table13[[#This Row],[Good_Qty]]/Table13[[#This Row],[Actual_Qty]]</f>
        <v>0.98746081504702199</v>
      </c>
      <c r="V655" t="str">
        <f>IF(OR(Table13[[#This Row],[Performance_%]]&gt;=1,Table13[[#This Row],[Performance_%]]&lt;=0),"Error","OK")</f>
        <v>OK</v>
      </c>
      <c r="W655" t="str">
        <f>IF(OR(Table13[[#This Row],[Quality_%]]&gt;=1,Table13[[#This Row],[Quality_%]]&lt;=0),"Error","OK")</f>
        <v>OK</v>
      </c>
      <c r="X655">
        <f>Table13[[#This Row],[Performance_%]]*Table13[[#This Row],[Quality_%]]*[2]Availability_KPI!K655</f>
        <v>0.74666666666666681</v>
      </c>
      <c r="Y655" t="str">
        <f>IF(OR(Table13[[#This Row],[OEE_%]]&gt;1,Table13[[#This Row],[OEE_%]]&lt;0),"Error","OK")</f>
        <v>OK</v>
      </c>
    </row>
    <row r="656" spans="1:25" x14ac:dyDescent="0.2">
      <c r="A656" t="s">
        <v>787</v>
      </c>
      <c r="B656" t="s">
        <v>781</v>
      </c>
      <c r="C656" s="2">
        <v>46274</v>
      </c>
      <c r="D656" t="s">
        <v>27</v>
      </c>
      <c r="E656" t="s">
        <v>46</v>
      </c>
      <c r="F656" t="s">
        <v>54</v>
      </c>
      <c r="G656" t="s">
        <v>71</v>
      </c>
      <c r="H656">
        <v>631</v>
      </c>
      <c r="I656">
        <v>625</v>
      </c>
      <c r="J656">
        <v>6</v>
      </c>
      <c r="K656">
        <v>25</v>
      </c>
      <c r="L656">
        <v>26.89</v>
      </c>
      <c r="M656">
        <v>282.82</v>
      </c>
      <c r="N656">
        <f>_xlfn.XLOOKUP(Table13[[#This Row],[Production_Order_ID]],[1]Sheet1!$A$2:$A$391,[1]Sheet1!$F$2:$F$391,"No Match")</f>
        <v>610</v>
      </c>
      <c r="O656" s="3">
        <f>Table13[[#This Row],[Good_Qty]]/Table13[[#This Row],[Planned_Production]]</f>
        <v>1.0245901639344261</v>
      </c>
      <c r="P656" t="str">
        <f>IF(Table13[[#This Row],[Good_Qty]]&gt;=Table13[[#This Row],[Planned_Production]],"Met","Not Met")</f>
        <v>Met</v>
      </c>
      <c r="Q656">
        <f>Table13[[#This Row],[Good_Qty]]-Table13[[#This Row],[Planned_Production]]</f>
        <v>15</v>
      </c>
      <c r="R656" s="3">
        <f>IF(Table13[[#This Row],[Actual_Qty]]=0,0,Table13[[#This Row],[Reject_Qty]]/Table13[[#This Row],[Actual_Qty]])</f>
        <v>9.5087163232963554E-3</v>
      </c>
      <c r="S656">
        <v>432.46</v>
      </c>
      <c r="T656">
        <f>(Table13[[#This Row],[Ideal_Cycle_Time_sec]]*Table13[[#This Row],[Actual_Qty]])/(Table13[[#This Row],[Operational_Time_min]]*60)</f>
        <v>0.60795603446946922</v>
      </c>
      <c r="U656">
        <f>Table13[[#This Row],[Good_Qty]]/Table13[[#This Row],[Actual_Qty]]</f>
        <v>0.99049128367670369</v>
      </c>
      <c r="V656" t="str">
        <f>IF(OR(Table13[[#This Row],[Performance_%]]&gt;=1,Table13[[#This Row],[Performance_%]]&lt;=0),"Error","OK")</f>
        <v>OK</v>
      </c>
      <c r="W656" t="str">
        <f>IF(OR(Table13[[#This Row],[Quality_%]]&gt;=1,Table13[[#This Row],[Quality_%]]&lt;=0),"Error","OK")</f>
        <v>OK</v>
      </c>
      <c r="X656">
        <f>Table13[[#This Row],[Performance_%]]*Table13[[#This Row],[Quality_%]]*[2]Availability_KPI!K656</f>
        <v>0.57870370370370372</v>
      </c>
      <c r="Y656" t="str">
        <f>IF(OR(Table13[[#This Row],[OEE_%]]&gt;1,Table13[[#This Row],[OEE_%]]&lt;0),"Error","OK")</f>
        <v>OK</v>
      </c>
    </row>
    <row r="657" spans="1:25" x14ac:dyDescent="0.2">
      <c r="A657" t="s">
        <v>788</v>
      </c>
      <c r="B657" t="s">
        <v>781</v>
      </c>
      <c r="C657" s="2">
        <v>46274</v>
      </c>
      <c r="D657" t="s">
        <v>27</v>
      </c>
      <c r="E657" t="s">
        <v>49</v>
      </c>
      <c r="F657" t="s">
        <v>54</v>
      </c>
      <c r="G657" t="s">
        <v>36</v>
      </c>
      <c r="H657">
        <v>649</v>
      </c>
      <c r="I657">
        <v>648</v>
      </c>
      <c r="J657">
        <v>1</v>
      </c>
      <c r="K657">
        <v>20</v>
      </c>
      <c r="L657">
        <v>21.34</v>
      </c>
      <c r="M657">
        <v>230.88</v>
      </c>
      <c r="N657">
        <f>_xlfn.XLOOKUP(Table13[[#This Row],[Production_Order_ID]],[1]Sheet1!$A$2:$A$391,[1]Sheet1!$F$2:$F$391,"No Match")</f>
        <v>610</v>
      </c>
      <c r="O657" s="3">
        <f>Table13[[#This Row],[Good_Qty]]/Table13[[#This Row],[Planned_Production]]</f>
        <v>1.062295081967213</v>
      </c>
      <c r="P657" t="str">
        <f>IF(Table13[[#This Row],[Good_Qty]]&gt;=Table13[[#This Row],[Planned_Production]],"Met","Not Met")</f>
        <v>Met</v>
      </c>
      <c r="Q657">
        <f>Table13[[#This Row],[Good_Qty]]-Table13[[#This Row],[Planned_Production]]</f>
        <v>38</v>
      </c>
      <c r="R657" s="3">
        <f>IF(Table13[[#This Row],[Actual_Qty]]=0,0,Table13[[#This Row],[Reject_Qty]]/Table13[[#This Row],[Actual_Qty]])</f>
        <v>1.5408320493066256E-3</v>
      </c>
      <c r="S657">
        <v>441.74</v>
      </c>
      <c r="T657">
        <f>(Table13[[#This Row],[Ideal_Cycle_Time_sec]]*Table13[[#This Row],[Actual_Qty]])/(Table13[[#This Row],[Operational_Time_min]]*60)</f>
        <v>0.48973000709316189</v>
      </c>
      <c r="U657">
        <f>Table13[[#This Row],[Good_Qty]]/Table13[[#This Row],[Actual_Qty]]</f>
        <v>0.99845916795069334</v>
      </c>
      <c r="V657" t="str">
        <f>IF(OR(Table13[[#This Row],[Performance_%]]&gt;=1,Table13[[#This Row],[Performance_%]]&lt;=0),"Error","OK")</f>
        <v>OK</v>
      </c>
      <c r="W657" t="str">
        <f>IF(OR(Table13[[#This Row],[Quality_%]]&gt;=1,Table13[[#This Row],[Quality_%]]&lt;=0),"Error","OK")</f>
        <v>OK</v>
      </c>
      <c r="X657">
        <f>Table13[[#This Row],[Performance_%]]*Table13[[#This Row],[Quality_%]]*[2]Availability_KPI!K657</f>
        <v>0.47999999999999993</v>
      </c>
      <c r="Y657" t="str">
        <f>IF(OR(Table13[[#This Row],[OEE_%]]&gt;1,Table13[[#This Row],[OEE_%]]&lt;0),"Error","OK")</f>
        <v>OK</v>
      </c>
    </row>
    <row r="658" spans="1:25" x14ac:dyDescent="0.2">
      <c r="A658" t="s">
        <v>789</v>
      </c>
      <c r="B658" t="s">
        <v>790</v>
      </c>
      <c r="C658" s="2">
        <v>46274</v>
      </c>
      <c r="D658" t="s">
        <v>53</v>
      </c>
      <c r="E658" t="s">
        <v>28</v>
      </c>
      <c r="F658" t="s">
        <v>54</v>
      </c>
      <c r="G658" t="s">
        <v>30</v>
      </c>
      <c r="H658">
        <v>564</v>
      </c>
      <c r="I658">
        <v>559</v>
      </c>
      <c r="J658">
        <v>5</v>
      </c>
      <c r="K658">
        <v>18</v>
      </c>
      <c r="L658">
        <v>18.95</v>
      </c>
      <c r="M658">
        <v>178.12</v>
      </c>
      <c r="N658">
        <f>_xlfn.XLOOKUP(Table13[[#This Row],[Production_Order_ID]],[1]Sheet1!$A$2:$A$391,[1]Sheet1!$F$2:$F$391,"No Match")</f>
        <v>570</v>
      </c>
      <c r="O658" s="3">
        <f>Table13[[#This Row],[Good_Qty]]/Table13[[#This Row],[Planned_Production]]</f>
        <v>0.98070175438596496</v>
      </c>
      <c r="P658" t="str">
        <f>IF(Table13[[#This Row],[Good_Qty]]&gt;=Table13[[#This Row],[Planned_Production]],"Met","Not Met")</f>
        <v>Not Met</v>
      </c>
      <c r="Q658">
        <f>Table13[[#This Row],[Good_Qty]]-Table13[[#This Row],[Planned_Production]]</f>
        <v>-11</v>
      </c>
      <c r="R658" s="3">
        <f>IF(Table13[[#This Row],[Actual_Qty]]=0,0,Table13[[#This Row],[Reject_Qty]]/Table13[[#This Row],[Actual_Qty]])</f>
        <v>8.8652482269503553E-3</v>
      </c>
      <c r="S658">
        <v>441.01</v>
      </c>
      <c r="T658">
        <f>(Table13[[#This Row],[Ideal_Cycle_Time_sec]]*Table13[[#This Row],[Actual_Qty]])/(Table13[[#This Row],[Operational_Time_min]]*60)</f>
        <v>0.38366476950636041</v>
      </c>
      <c r="U658">
        <f>Table13[[#This Row],[Good_Qty]]/Table13[[#This Row],[Actual_Qty]]</f>
        <v>0.99113475177304966</v>
      </c>
      <c r="V658" t="str">
        <f>IF(OR(Table13[[#This Row],[Performance_%]]&gt;=1,Table13[[#This Row],[Performance_%]]&lt;=0),"Error","OK")</f>
        <v>OK</v>
      </c>
      <c r="W658" t="str">
        <f>IF(OR(Table13[[#This Row],[Quality_%]]&gt;=1,Table13[[#This Row],[Quality_%]]&lt;=0),"Error","OK")</f>
        <v>OK</v>
      </c>
      <c r="X658">
        <f>Table13[[#This Row],[Performance_%]]*Table13[[#This Row],[Quality_%]]*[2]Availability_KPI!K658</f>
        <v>0.3726666666666667</v>
      </c>
      <c r="Y658" t="str">
        <f>IF(OR(Table13[[#This Row],[OEE_%]]&gt;1,Table13[[#This Row],[OEE_%]]&lt;0),"Error","OK")</f>
        <v>OK</v>
      </c>
    </row>
    <row r="659" spans="1:25" x14ac:dyDescent="0.2">
      <c r="A659" t="s">
        <v>791</v>
      </c>
      <c r="B659" t="s">
        <v>790</v>
      </c>
      <c r="C659" s="2">
        <v>46274</v>
      </c>
      <c r="D659" t="s">
        <v>53</v>
      </c>
      <c r="E659" t="s">
        <v>32</v>
      </c>
      <c r="F659" t="s">
        <v>54</v>
      </c>
      <c r="G659" t="s">
        <v>47</v>
      </c>
      <c r="H659">
        <v>564</v>
      </c>
      <c r="I659">
        <v>561</v>
      </c>
      <c r="J659">
        <v>3</v>
      </c>
      <c r="K659">
        <v>20</v>
      </c>
      <c r="L659">
        <v>20.45</v>
      </c>
      <c r="M659">
        <v>192.24</v>
      </c>
      <c r="N659">
        <f>_xlfn.XLOOKUP(Table13[[#This Row],[Production_Order_ID]],[1]Sheet1!$A$2:$A$391,[1]Sheet1!$F$2:$F$391,"No Match")</f>
        <v>570</v>
      </c>
      <c r="O659" s="3">
        <f>Table13[[#This Row],[Good_Qty]]/Table13[[#This Row],[Planned_Production]]</f>
        <v>0.98421052631578942</v>
      </c>
      <c r="P659" t="str">
        <f>IF(Table13[[#This Row],[Good_Qty]]&gt;=Table13[[#This Row],[Planned_Production]],"Met","Not Met")</f>
        <v>Not Met</v>
      </c>
      <c r="Q659">
        <f>Table13[[#This Row],[Good_Qty]]-Table13[[#This Row],[Planned_Production]]</f>
        <v>-9</v>
      </c>
      <c r="R659" s="3">
        <f>IF(Table13[[#This Row],[Actual_Qty]]=0,0,Table13[[#This Row],[Reject_Qty]]/Table13[[#This Row],[Actual_Qty]])</f>
        <v>5.3191489361702126E-3</v>
      </c>
      <c r="S659">
        <v>438.73</v>
      </c>
      <c r="T659">
        <f>(Table13[[#This Row],[Ideal_Cycle_Time_sec]]*Table13[[#This Row],[Actual_Qty]])/(Table13[[#This Row],[Operational_Time_min]]*60)</f>
        <v>0.42850956168942167</v>
      </c>
      <c r="U659">
        <f>Table13[[#This Row],[Good_Qty]]/Table13[[#This Row],[Actual_Qty]]</f>
        <v>0.99468085106382975</v>
      </c>
      <c r="V659" t="str">
        <f>IF(OR(Table13[[#This Row],[Performance_%]]&gt;=1,Table13[[#This Row],[Performance_%]]&lt;=0),"Error","OK")</f>
        <v>OK</v>
      </c>
      <c r="W659" t="str">
        <f>IF(OR(Table13[[#This Row],[Quality_%]]&gt;=1,Table13[[#This Row],[Quality_%]]&lt;=0),"Error","OK")</f>
        <v>OK</v>
      </c>
      <c r="X659">
        <f>Table13[[#This Row],[Performance_%]]*Table13[[#This Row],[Quality_%]]*[2]Availability_KPI!K659</f>
        <v>0.41555555555555546</v>
      </c>
      <c r="Y659" t="str">
        <f>IF(OR(Table13[[#This Row],[OEE_%]]&gt;1,Table13[[#This Row],[OEE_%]]&lt;0),"Error","OK")</f>
        <v>OK</v>
      </c>
    </row>
    <row r="660" spans="1:25" x14ac:dyDescent="0.2">
      <c r="A660" t="s">
        <v>792</v>
      </c>
      <c r="B660" t="s">
        <v>790</v>
      </c>
      <c r="C660" s="2">
        <v>46274</v>
      </c>
      <c r="D660" t="s">
        <v>53</v>
      </c>
      <c r="E660" t="s">
        <v>35</v>
      </c>
      <c r="F660" t="s">
        <v>54</v>
      </c>
      <c r="G660" t="s">
        <v>44</v>
      </c>
      <c r="H660">
        <v>565</v>
      </c>
      <c r="I660">
        <v>561</v>
      </c>
      <c r="J660">
        <v>4</v>
      </c>
      <c r="K660">
        <v>22</v>
      </c>
      <c r="L660">
        <v>22.03</v>
      </c>
      <c r="M660">
        <v>207.48</v>
      </c>
      <c r="N660">
        <f>_xlfn.XLOOKUP(Table13[[#This Row],[Production_Order_ID]],[1]Sheet1!$A$2:$A$391,[1]Sheet1!$F$2:$F$391,"No Match")</f>
        <v>570</v>
      </c>
      <c r="O660" s="3">
        <f>Table13[[#This Row],[Good_Qty]]/Table13[[#This Row],[Planned_Production]]</f>
        <v>0.98421052631578942</v>
      </c>
      <c r="P660" t="str">
        <f>IF(Table13[[#This Row],[Good_Qty]]&gt;=Table13[[#This Row],[Planned_Production]],"Met","Not Met")</f>
        <v>Not Met</v>
      </c>
      <c r="Q660">
        <f>Table13[[#This Row],[Good_Qty]]-Table13[[#This Row],[Planned_Production]]</f>
        <v>-9</v>
      </c>
      <c r="R660" s="3">
        <f>IF(Table13[[#This Row],[Actual_Qty]]=0,0,Table13[[#This Row],[Reject_Qty]]/Table13[[#This Row],[Actual_Qty]])</f>
        <v>7.0796460176991149E-3</v>
      </c>
      <c r="S660">
        <v>439.8</v>
      </c>
      <c r="T660">
        <f>(Table13[[#This Row],[Ideal_Cycle_Time_sec]]*Table13[[#This Row],[Actual_Qty]])/(Table13[[#This Row],[Operational_Time_min]]*60)</f>
        <v>0.47104744580870095</v>
      </c>
      <c r="U660">
        <f>Table13[[#This Row],[Good_Qty]]/Table13[[#This Row],[Actual_Qty]]</f>
        <v>0.99292035398230083</v>
      </c>
      <c r="V660" t="str">
        <f>IF(OR(Table13[[#This Row],[Performance_%]]&gt;=1,Table13[[#This Row],[Performance_%]]&lt;=0),"Error","OK")</f>
        <v>OK</v>
      </c>
      <c r="W660" t="str">
        <f>IF(OR(Table13[[#This Row],[Quality_%]]&gt;=1,Table13[[#This Row],[Quality_%]]&lt;=0),"Error","OK")</f>
        <v>OK</v>
      </c>
      <c r="X660">
        <f>Table13[[#This Row],[Performance_%]]*Table13[[#This Row],[Quality_%]]*[2]Availability_KPI!K660</f>
        <v>0.45711111111111113</v>
      </c>
      <c r="Y660" t="str">
        <f>IF(OR(Table13[[#This Row],[OEE_%]]&gt;1,Table13[[#This Row],[OEE_%]]&lt;0),"Error","OK")</f>
        <v>OK</v>
      </c>
    </row>
    <row r="661" spans="1:25" x14ac:dyDescent="0.2">
      <c r="A661" t="s">
        <v>793</v>
      </c>
      <c r="B661" t="s">
        <v>790</v>
      </c>
      <c r="C661" s="2">
        <v>46274</v>
      </c>
      <c r="D661" t="s">
        <v>53</v>
      </c>
      <c r="E661" t="s">
        <v>38</v>
      </c>
      <c r="F661" t="s">
        <v>54</v>
      </c>
      <c r="G661" t="s">
        <v>75</v>
      </c>
      <c r="H661">
        <v>559</v>
      </c>
      <c r="I661">
        <v>556</v>
      </c>
      <c r="J661">
        <v>3</v>
      </c>
      <c r="K661">
        <v>20</v>
      </c>
      <c r="L661">
        <v>20.02</v>
      </c>
      <c r="M661">
        <v>186.56</v>
      </c>
      <c r="N661">
        <f>_xlfn.XLOOKUP(Table13[[#This Row],[Production_Order_ID]],[1]Sheet1!$A$2:$A$391,[1]Sheet1!$F$2:$F$391,"No Match")</f>
        <v>570</v>
      </c>
      <c r="O661" s="3">
        <f>Table13[[#This Row],[Good_Qty]]/Table13[[#This Row],[Planned_Production]]</f>
        <v>0.9754385964912281</v>
      </c>
      <c r="P661" t="str">
        <f>IF(Table13[[#This Row],[Good_Qty]]&gt;=Table13[[#This Row],[Planned_Production]],"Met","Not Met")</f>
        <v>Not Met</v>
      </c>
      <c r="Q661">
        <f>Table13[[#This Row],[Good_Qty]]-Table13[[#This Row],[Planned_Production]]</f>
        <v>-14</v>
      </c>
      <c r="R661" s="3">
        <f>IF(Table13[[#This Row],[Actual_Qty]]=0,0,Table13[[#This Row],[Reject_Qty]]/Table13[[#This Row],[Actual_Qty]])</f>
        <v>5.3667262969588547E-3</v>
      </c>
      <c r="S661">
        <v>440.29</v>
      </c>
      <c r="T661">
        <f>(Table13[[#This Row],[Ideal_Cycle_Time_sec]]*Table13[[#This Row],[Actual_Qty]])/(Table13[[#This Row],[Operational_Time_min]]*60)</f>
        <v>0.42320591731207458</v>
      </c>
      <c r="U661">
        <f>Table13[[#This Row],[Good_Qty]]/Table13[[#This Row],[Actual_Qty]]</f>
        <v>0.99463327370304111</v>
      </c>
      <c r="V661" t="str">
        <f>IF(OR(Table13[[#This Row],[Performance_%]]&gt;=1,Table13[[#This Row],[Performance_%]]&lt;=0),"Error","OK")</f>
        <v>OK</v>
      </c>
      <c r="W661" t="str">
        <f>IF(OR(Table13[[#This Row],[Quality_%]]&gt;=1,Table13[[#This Row],[Quality_%]]&lt;=0),"Error","OK")</f>
        <v>OK</v>
      </c>
      <c r="X661">
        <f>Table13[[#This Row],[Performance_%]]*Table13[[#This Row],[Quality_%]]*[2]Availability_KPI!K661</f>
        <v>0.4118518518518518</v>
      </c>
      <c r="Y661" t="str">
        <f>IF(OR(Table13[[#This Row],[OEE_%]]&gt;1,Table13[[#This Row],[OEE_%]]&lt;0),"Error","OK")</f>
        <v>OK</v>
      </c>
    </row>
    <row r="662" spans="1:25" x14ac:dyDescent="0.2">
      <c r="A662" t="s">
        <v>794</v>
      </c>
      <c r="B662" t="s">
        <v>790</v>
      </c>
      <c r="C662" s="2">
        <v>46274</v>
      </c>
      <c r="D662" t="s">
        <v>53</v>
      </c>
      <c r="E662" t="s">
        <v>41</v>
      </c>
      <c r="F662" t="s">
        <v>54</v>
      </c>
      <c r="G662" t="s">
        <v>71</v>
      </c>
      <c r="H662">
        <v>571</v>
      </c>
      <c r="I662">
        <v>565</v>
      </c>
      <c r="J662">
        <v>6</v>
      </c>
      <c r="K662">
        <v>18</v>
      </c>
      <c r="L662">
        <v>19.559999999999999</v>
      </c>
      <c r="M662">
        <v>186.18</v>
      </c>
      <c r="N662">
        <f>_xlfn.XLOOKUP(Table13[[#This Row],[Production_Order_ID]],[1]Sheet1!$A$2:$A$391,[1]Sheet1!$F$2:$F$391,"No Match")</f>
        <v>570</v>
      </c>
      <c r="O662" s="3">
        <f>Table13[[#This Row],[Good_Qty]]/Table13[[#This Row],[Planned_Production]]</f>
        <v>0.99122807017543857</v>
      </c>
      <c r="P662" t="str">
        <f>IF(Table13[[#This Row],[Good_Qty]]&gt;=Table13[[#This Row],[Planned_Production]],"Met","Not Met")</f>
        <v>Not Met</v>
      </c>
      <c r="Q662">
        <f>Table13[[#This Row],[Good_Qty]]-Table13[[#This Row],[Planned_Production]]</f>
        <v>-5</v>
      </c>
      <c r="R662" s="3">
        <f>IF(Table13[[#This Row],[Actual_Qty]]=0,0,Table13[[#This Row],[Reject_Qty]]/Table13[[#This Row],[Actual_Qty]])</f>
        <v>1.0507880910683012E-2</v>
      </c>
      <c r="S662">
        <v>439.82</v>
      </c>
      <c r="T662">
        <f>(Table13[[#This Row],[Ideal_Cycle_Time_sec]]*Table13[[#This Row],[Actual_Qty]])/(Table13[[#This Row],[Operational_Time_min]]*60)</f>
        <v>0.38947751352826154</v>
      </c>
      <c r="U662">
        <f>Table13[[#This Row],[Good_Qty]]/Table13[[#This Row],[Actual_Qty]]</f>
        <v>0.989492119089317</v>
      </c>
      <c r="V662" t="str">
        <f>IF(OR(Table13[[#This Row],[Performance_%]]&gt;=1,Table13[[#This Row],[Performance_%]]&lt;=0),"Error","OK")</f>
        <v>OK</v>
      </c>
      <c r="W662" t="str">
        <f>IF(OR(Table13[[#This Row],[Quality_%]]&gt;=1,Table13[[#This Row],[Quality_%]]&lt;=0),"Error","OK")</f>
        <v>OK</v>
      </c>
      <c r="X662">
        <f>Table13[[#This Row],[Performance_%]]*Table13[[#This Row],[Quality_%]]*[2]Availability_KPI!K662</f>
        <v>0.37666666666666671</v>
      </c>
      <c r="Y662" t="str">
        <f>IF(OR(Table13[[#This Row],[OEE_%]]&gt;1,Table13[[#This Row],[OEE_%]]&lt;0),"Error","OK")</f>
        <v>OK</v>
      </c>
    </row>
    <row r="663" spans="1:25" x14ac:dyDescent="0.2">
      <c r="A663" t="s">
        <v>795</v>
      </c>
      <c r="B663" t="s">
        <v>790</v>
      </c>
      <c r="C663" s="2">
        <v>46274</v>
      </c>
      <c r="D663" t="s">
        <v>53</v>
      </c>
      <c r="E663" t="s">
        <v>43</v>
      </c>
      <c r="F663" t="s">
        <v>54</v>
      </c>
      <c r="G663" t="s">
        <v>50</v>
      </c>
      <c r="H663">
        <v>552</v>
      </c>
      <c r="I663">
        <v>544</v>
      </c>
      <c r="J663">
        <v>8</v>
      </c>
      <c r="K663">
        <v>32</v>
      </c>
      <c r="L663">
        <v>33.630000000000003</v>
      </c>
      <c r="M663">
        <v>309.36</v>
      </c>
      <c r="N663">
        <f>_xlfn.XLOOKUP(Table13[[#This Row],[Production_Order_ID]],[1]Sheet1!$A$2:$A$391,[1]Sheet1!$F$2:$F$391,"No Match")</f>
        <v>570</v>
      </c>
      <c r="O663" s="3">
        <f>Table13[[#This Row],[Good_Qty]]/Table13[[#This Row],[Planned_Production]]</f>
        <v>0.95438596491228067</v>
      </c>
      <c r="P663" t="str">
        <f>IF(Table13[[#This Row],[Good_Qty]]&gt;=Table13[[#This Row],[Planned_Production]],"Met","Not Met")</f>
        <v>Not Met</v>
      </c>
      <c r="Q663">
        <f>Table13[[#This Row],[Good_Qty]]-Table13[[#This Row],[Planned_Production]]</f>
        <v>-26</v>
      </c>
      <c r="R663" s="3">
        <f>IF(Table13[[#This Row],[Actual_Qty]]=0,0,Table13[[#This Row],[Reject_Qty]]/Table13[[#This Row],[Actual_Qty]])</f>
        <v>1.4492753623188406E-2</v>
      </c>
      <c r="S663">
        <v>424.88</v>
      </c>
      <c r="T663">
        <f>(Table13[[#This Row],[Ideal_Cycle_Time_sec]]*Table13[[#This Row],[Actual_Qty]])/(Table13[[#This Row],[Operational_Time_min]]*60)</f>
        <v>0.69290152513650916</v>
      </c>
      <c r="U663">
        <f>Table13[[#This Row],[Good_Qty]]/Table13[[#This Row],[Actual_Qty]]</f>
        <v>0.98550724637681164</v>
      </c>
      <c r="V663" t="str">
        <f>IF(OR(Table13[[#This Row],[Performance_%]]&gt;=1,Table13[[#This Row],[Performance_%]]&lt;=0),"Error","OK")</f>
        <v>OK</v>
      </c>
      <c r="W663" t="str">
        <f>IF(OR(Table13[[#This Row],[Quality_%]]&gt;=1,Table13[[#This Row],[Quality_%]]&lt;=0),"Error","OK")</f>
        <v>OK</v>
      </c>
      <c r="X663">
        <f>Table13[[#This Row],[Performance_%]]*Table13[[#This Row],[Quality_%]]*[2]Availability_KPI!K663</f>
        <v>0.64474074074074084</v>
      </c>
      <c r="Y663" t="str">
        <f>IF(OR(Table13[[#This Row],[OEE_%]]&gt;1,Table13[[#This Row],[OEE_%]]&lt;0),"Error","OK")</f>
        <v>OK</v>
      </c>
    </row>
    <row r="664" spans="1:25" x14ac:dyDescent="0.2">
      <c r="A664" t="s">
        <v>796</v>
      </c>
      <c r="B664" t="s">
        <v>790</v>
      </c>
      <c r="C664" s="2">
        <v>46274</v>
      </c>
      <c r="D664" t="s">
        <v>53</v>
      </c>
      <c r="E664" t="s">
        <v>46</v>
      </c>
      <c r="F664" t="s">
        <v>54</v>
      </c>
      <c r="G664" t="s">
        <v>44</v>
      </c>
      <c r="H664">
        <v>558</v>
      </c>
      <c r="I664">
        <v>554</v>
      </c>
      <c r="J664">
        <v>4</v>
      </c>
      <c r="K664">
        <v>25</v>
      </c>
      <c r="L664">
        <v>26.07</v>
      </c>
      <c r="M664">
        <v>242.43</v>
      </c>
      <c r="N664">
        <f>_xlfn.XLOOKUP(Table13[[#This Row],[Production_Order_ID]],[1]Sheet1!$A$2:$A$391,[1]Sheet1!$F$2:$F$391,"No Match")</f>
        <v>570</v>
      </c>
      <c r="O664" s="3">
        <f>Table13[[#This Row],[Good_Qty]]/Table13[[#This Row],[Planned_Production]]</f>
        <v>0.97192982456140353</v>
      </c>
      <c r="P664" t="str">
        <f>IF(Table13[[#This Row],[Good_Qty]]&gt;=Table13[[#This Row],[Planned_Production]],"Met","Not Met")</f>
        <v>Not Met</v>
      </c>
      <c r="Q664">
        <f>Table13[[#This Row],[Good_Qty]]-Table13[[#This Row],[Planned_Production]]</f>
        <v>-16</v>
      </c>
      <c r="R664" s="3">
        <f>IF(Table13[[#This Row],[Actual_Qty]]=0,0,Table13[[#This Row],[Reject_Qty]]/Table13[[#This Row],[Actual_Qty]])</f>
        <v>7.1684587813620072E-3</v>
      </c>
      <c r="S664">
        <v>428.22</v>
      </c>
      <c r="T664">
        <f>(Table13[[#This Row],[Ideal_Cycle_Time_sec]]*Table13[[#This Row],[Actual_Qty]])/(Table13[[#This Row],[Operational_Time_min]]*60)</f>
        <v>0.54294521507636262</v>
      </c>
      <c r="U664">
        <f>Table13[[#This Row],[Good_Qty]]/Table13[[#This Row],[Actual_Qty]]</f>
        <v>0.99283154121863804</v>
      </c>
      <c r="V664" t="str">
        <f>IF(OR(Table13[[#This Row],[Performance_%]]&gt;=1,Table13[[#This Row],[Performance_%]]&lt;=0),"Error","OK")</f>
        <v>OK</v>
      </c>
      <c r="W664" t="str">
        <f>IF(OR(Table13[[#This Row],[Quality_%]]&gt;=1,Table13[[#This Row],[Quality_%]]&lt;=0),"Error","OK")</f>
        <v>OK</v>
      </c>
      <c r="X664">
        <f>Table13[[#This Row],[Performance_%]]*Table13[[#This Row],[Quality_%]]*[2]Availability_KPI!K664</f>
        <v>0.51296296296296306</v>
      </c>
      <c r="Y664" t="str">
        <f>IF(OR(Table13[[#This Row],[OEE_%]]&gt;1,Table13[[#This Row],[OEE_%]]&lt;0),"Error","OK")</f>
        <v>OK</v>
      </c>
    </row>
    <row r="665" spans="1:25" x14ac:dyDescent="0.2">
      <c r="A665" t="s">
        <v>797</v>
      </c>
      <c r="B665" t="s">
        <v>790</v>
      </c>
      <c r="C665" s="2">
        <v>46274</v>
      </c>
      <c r="D665" t="s">
        <v>53</v>
      </c>
      <c r="E665" t="s">
        <v>49</v>
      </c>
      <c r="F665" t="s">
        <v>54</v>
      </c>
      <c r="G665" t="s">
        <v>61</v>
      </c>
      <c r="H665">
        <v>562</v>
      </c>
      <c r="I665">
        <v>558</v>
      </c>
      <c r="J665">
        <v>4</v>
      </c>
      <c r="K665">
        <v>20</v>
      </c>
      <c r="L665">
        <v>20.79</v>
      </c>
      <c r="M665">
        <v>194.76</v>
      </c>
      <c r="N665">
        <f>_xlfn.XLOOKUP(Table13[[#This Row],[Production_Order_ID]],[1]Sheet1!$A$2:$A$391,[1]Sheet1!$F$2:$F$391,"No Match")</f>
        <v>570</v>
      </c>
      <c r="O665" s="3">
        <f>Table13[[#This Row],[Good_Qty]]/Table13[[#This Row],[Planned_Production]]</f>
        <v>0.97894736842105268</v>
      </c>
      <c r="P665" t="str">
        <f>IF(Table13[[#This Row],[Good_Qty]]&gt;=Table13[[#This Row],[Planned_Production]],"Met","Not Met")</f>
        <v>Not Met</v>
      </c>
      <c r="Q665">
        <f>Table13[[#This Row],[Good_Qty]]-Table13[[#This Row],[Planned_Production]]</f>
        <v>-12</v>
      </c>
      <c r="R665" s="3">
        <f>IF(Table13[[#This Row],[Actual_Qty]]=0,0,Table13[[#This Row],[Reject_Qty]]/Table13[[#This Row],[Actual_Qty]])</f>
        <v>7.1174377224199285E-3</v>
      </c>
      <c r="S665">
        <v>444.1</v>
      </c>
      <c r="T665">
        <f>(Table13[[#This Row],[Ideal_Cycle_Time_sec]]*Table13[[#This Row],[Actual_Qty]])/(Table13[[#This Row],[Operational_Time_min]]*60)</f>
        <v>0.42182691585979132</v>
      </c>
      <c r="U665">
        <f>Table13[[#This Row],[Good_Qty]]/Table13[[#This Row],[Actual_Qty]]</f>
        <v>0.99288256227758009</v>
      </c>
      <c r="V665" t="str">
        <f>IF(OR(Table13[[#This Row],[Performance_%]]&gt;=1,Table13[[#This Row],[Performance_%]]&lt;=0),"Error","OK")</f>
        <v>OK</v>
      </c>
      <c r="W665" t="str">
        <f>IF(OR(Table13[[#This Row],[Quality_%]]&gt;=1,Table13[[#This Row],[Quality_%]]&lt;=0),"Error","OK")</f>
        <v>OK</v>
      </c>
      <c r="X665">
        <f>Table13[[#This Row],[Performance_%]]*Table13[[#This Row],[Quality_%]]*[2]Availability_KPI!K665</f>
        <v>0.41333333333333339</v>
      </c>
      <c r="Y665" t="str">
        <f>IF(OR(Table13[[#This Row],[OEE_%]]&gt;1,Table13[[#This Row],[OEE_%]]&lt;0),"Error","OK")</f>
        <v>OK</v>
      </c>
    </row>
    <row r="666" spans="1:25" x14ac:dyDescent="0.2">
      <c r="A666" t="s">
        <v>798</v>
      </c>
      <c r="B666" t="s">
        <v>799</v>
      </c>
      <c r="C666" s="2">
        <v>46274</v>
      </c>
      <c r="D666" t="s">
        <v>67</v>
      </c>
      <c r="E666" t="s">
        <v>28</v>
      </c>
      <c r="F666" t="s">
        <v>54</v>
      </c>
      <c r="G666" t="s">
        <v>30</v>
      </c>
      <c r="H666">
        <v>712</v>
      </c>
      <c r="I666">
        <v>708</v>
      </c>
      <c r="J666">
        <v>4</v>
      </c>
      <c r="K666">
        <v>18</v>
      </c>
      <c r="L666">
        <v>18.66</v>
      </c>
      <c r="M666">
        <v>221.39</v>
      </c>
      <c r="N666">
        <f>_xlfn.XLOOKUP(Table13[[#This Row],[Production_Order_ID]],[1]Sheet1!$A$2:$A$391,[1]Sheet1!$F$2:$F$391,"No Match")</f>
        <v>570</v>
      </c>
      <c r="O666" s="3">
        <f>Table13[[#This Row],[Good_Qty]]/Table13[[#This Row],[Planned_Production]]</f>
        <v>1.2421052631578948</v>
      </c>
      <c r="P666" t="str">
        <f>IF(Table13[[#This Row],[Good_Qty]]&gt;=Table13[[#This Row],[Planned_Production]],"Met","Not Met")</f>
        <v>Met</v>
      </c>
      <c r="Q666">
        <f>Table13[[#This Row],[Good_Qty]]-Table13[[#This Row],[Planned_Production]]</f>
        <v>138</v>
      </c>
      <c r="R666" s="3">
        <f>IF(Table13[[#This Row],[Actual_Qty]]=0,0,Table13[[#This Row],[Reject_Qty]]/Table13[[#This Row],[Actual_Qty]])</f>
        <v>5.6179775280898875E-3</v>
      </c>
      <c r="S666">
        <v>439.2</v>
      </c>
      <c r="T666">
        <f>(Table13[[#This Row],[Ideal_Cycle_Time_sec]]*Table13[[#This Row],[Actual_Qty]])/(Table13[[#This Row],[Operational_Time_min]]*60)</f>
        <v>0.48633879781420764</v>
      </c>
      <c r="U666">
        <f>Table13[[#This Row],[Good_Qty]]/Table13[[#This Row],[Actual_Qty]]</f>
        <v>0.9943820224719101</v>
      </c>
      <c r="V666" t="str">
        <f>IF(OR(Table13[[#This Row],[Performance_%]]&gt;=1,Table13[[#This Row],[Performance_%]]&lt;=0),"Error","OK")</f>
        <v>OK</v>
      </c>
      <c r="W666" t="str">
        <f>IF(OR(Table13[[#This Row],[Quality_%]]&gt;=1,Table13[[#This Row],[Quality_%]]&lt;=0),"Error","OK")</f>
        <v>OK</v>
      </c>
      <c r="X666">
        <f>Table13[[#This Row],[Performance_%]]*Table13[[#This Row],[Quality_%]]*[2]Availability_KPI!K666</f>
        <v>0.47199999999999998</v>
      </c>
      <c r="Y666" t="str">
        <f>IF(OR(Table13[[#This Row],[OEE_%]]&gt;1,Table13[[#This Row],[OEE_%]]&lt;0),"Error","OK")</f>
        <v>OK</v>
      </c>
    </row>
    <row r="667" spans="1:25" x14ac:dyDescent="0.2">
      <c r="A667" t="s">
        <v>800</v>
      </c>
      <c r="B667" t="s">
        <v>799</v>
      </c>
      <c r="C667" s="2">
        <v>46274</v>
      </c>
      <c r="D667" t="s">
        <v>67</v>
      </c>
      <c r="E667" t="s">
        <v>32</v>
      </c>
      <c r="F667" t="s">
        <v>54</v>
      </c>
      <c r="G667" t="s">
        <v>33</v>
      </c>
      <c r="H667">
        <v>710</v>
      </c>
      <c r="I667">
        <v>705</v>
      </c>
      <c r="J667">
        <v>5</v>
      </c>
      <c r="K667">
        <v>20</v>
      </c>
      <c r="L667">
        <v>20.11</v>
      </c>
      <c r="M667">
        <v>238.01</v>
      </c>
      <c r="N667">
        <f>_xlfn.XLOOKUP(Table13[[#This Row],[Production_Order_ID]],[1]Sheet1!$A$2:$A$391,[1]Sheet1!$F$2:$F$391,"No Match")</f>
        <v>570</v>
      </c>
      <c r="O667" s="3">
        <f>Table13[[#This Row],[Good_Qty]]/Table13[[#This Row],[Planned_Production]]</f>
        <v>1.236842105263158</v>
      </c>
      <c r="P667" t="str">
        <f>IF(Table13[[#This Row],[Good_Qty]]&gt;=Table13[[#This Row],[Planned_Production]],"Met","Not Met")</f>
        <v>Met</v>
      </c>
      <c r="Q667">
        <f>Table13[[#This Row],[Good_Qty]]-Table13[[#This Row],[Planned_Production]]</f>
        <v>135</v>
      </c>
      <c r="R667" s="3">
        <f>IF(Table13[[#This Row],[Actual_Qty]]=0,0,Table13[[#This Row],[Reject_Qty]]/Table13[[#This Row],[Actual_Qty]])</f>
        <v>7.0422535211267607E-3</v>
      </c>
      <c r="S667">
        <v>435.22</v>
      </c>
      <c r="T667">
        <f>(Table13[[#This Row],[Ideal_Cycle_Time_sec]]*Table13[[#This Row],[Actual_Qty]])/(Table13[[#This Row],[Operational_Time_min]]*60)</f>
        <v>0.54378628433129605</v>
      </c>
      <c r="U667">
        <f>Table13[[#This Row],[Good_Qty]]/Table13[[#This Row],[Actual_Qty]]</f>
        <v>0.99295774647887325</v>
      </c>
      <c r="V667" t="str">
        <f>IF(OR(Table13[[#This Row],[Performance_%]]&gt;=1,Table13[[#This Row],[Performance_%]]&lt;=0),"Error","OK")</f>
        <v>OK</v>
      </c>
      <c r="W667" t="str">
        <f>IF(OR(Table13[[#This Row],[Quality_%]]&gt;=1,Table13[[#This Row],[Quality_%]]&lt;=0),"Error","OK")</f>
        <v>OK</v>
      </c>
      <c r="X667">
        <f>Table13[[#This Row],[Performance_%]]*Table13[[#This Row],[Quality_%]]*[2]Availability_KPI!K667</f>
        <v>0.52222222222222225</v>
      </c>
      <c r="Y667" t="str">
        <f>IF(OR(Table13[[#This Row],[OEE_%]]&gt;1,Table13[[#This Row],[OEE_%]]&lt;0),"Error","OK")</f>
        <v>OK</v>
      </c>
    </row>
    <row r="668" spans="1:25" x14ac:dyDescent="0.2">
      <c r="A668" t="s">
        <v>801</v>
      </c>
      <c r="B668" t="s">
        <v>799</v>
      </c>
      <c r="C668" s="2">
        <v>46274</v>
      </c>
      <c r="D668" t="s">
        <v>67</v>
      </c>
      <c r="E668" t="s">
        <v>35</v>
      </c>
      <c r="F668" t="s">
        <v>54</v>
      </c>
      <c r="G668" t="s">
        <v>47</v>
      </c>
      <c r="H668">
        <v>712</v>
      </c>
      <c r="I668">
        <v>709</v>
      </c>
      <c r="J668">
        <v>3</v>
      </c>
      <c r="K668">
        <v>22</v>
      </c>
      <c r="L668">
        <v>22.39</v>
      </c>
      <c r="M668">
        <v>265.69</v>
      </c>
      <c r="N668">
        <f>_xlfn.XLOOKUP(Table13[[#This Row],[Production_Order_ID]],[1]Sheet1!$A$2:$A$391,[1]Sheet1!$F$2:$F$391,"No Match")</f>
        <v>570</v>
      </c>
      <c r="O668" s="3">
        <f>Table13[[#This Row],[Good_Qty]]/Table13[[#This Row],[Planned_Production]]</f>
        <v>1.2438596491228071</v>
      </c>
      <c r="P668" t="str">
        <f>IF(Table13[[#This Row],[Good_Qty]]&gt;=Table13[[#This Row],[Planned_Production]],"Met","Not Met")</f>
        <v>Met</v>
      </c>
      <c r="Q668">
        <f>Table13[[#This Row],[Good_Qty]]-Table13[[#This Row],[Planned_Production]]</f>
        <v>139</v>
      </c>
      <c r="R668" s="3">
        <f>IF(Table13[[#This Row],[Actual_Qty]]=0,0,Table13[[#This Row],[Reject_Qty]]/Table13[[#This Row],[Actual_Qty]])</f>
        <v>4.2134831460674156E-3</v>
      </c>
      <c r="S668">
        <v>436.68</v>
      </c>
      <c r="T668">
        <f>(Table13[[#This Row],[Ideal_Cycle_Time_sec]]*Table13[[#This Row],[Actual_Qty]])/(Table13[[#This Row],[Operational_Time_min]]*60)</f>
        <v>0.59784434063082048</v>
      </c>
      <c r="U668">
        <f>Table13[[#This Row],[Good_Qty]]/Table13[[#This Row],[Actual_Qty]]</f>
        <v>0.9957865168539326</v>
      </c>
      <c r="V668" t="str">
        <f>IF(OR(Table13[[#This Row],[Performance_%]]&gt;=1,Table13[[#This Row],[Performance_%]]&lt;=0),"Error","OK")</f>
        <v>OK</v>
      </c>
      <c r="W668" t="str">
        <f>IF(OR(Table13[[#This Row],[Quality_%]]&gt;=1,Table13[[#This Row],[Quality_%]]&lt;=0),"Error","OK")</f>
        <v>OK</v>
      </c>
      <c r="X668">
        <f>Table13[[#This Row],[Performance_%]]*Table13[[#This Row],[Quality_%]]*[2]Availability_KPI!K668</f>
        <v>0.57770370370370383</v>
      </c>
      <c r="Y668" t="str">
        <f>IF(OR(Table13[[#This Row],[OEE_%]]&gt;1,Table13[[#This Row],[OEE_%]]&lt;0),"Error","OK")</f>
        <v>OK</v>
      </c>
    </row>
    <row r="669" spans="1:25" x14ac:dyDescent="0.2">
      <c r="A669" t="s">
        <v>802</v>
      </c>
      <c r="B669" t="s">
        <v>799</v>
      </c>
      <c r="C669" s="2">
        <v>46274</v>
      </c>
      <c r="D669" t="s">
        <v>67</v>
      </c>
      <c r="E669" t="s">
        <v>38</v>
      </c>
      <c r="F669" t="s">
        <v>54</v>
      </c>
      <c r="G669" t="s">
        <v>55</v>
      </c>
      <c r="H669">
        <v>697</v>
      </c>
      <c r="I669">
        <v>694</v>
      </c>
      <c r="J669">
        <v>3</v>
      </c>
      <c r="K669">
        <v>20</v>
      </c>
      <c r="L669">
        <v>20.78</v>
      </c>
      <c r="M669">
        <v>241.39</v>
      </c>
      <c r="N669">
        <f>_xlfn.XLOOKUP(Table13[[#This Row],[Production_Order_ID]],[1]Sheet1!$A$2:$A$391,[1]Sheet1!$F$2:$F$391,"No Match")</f>
        <v>570</v>
      </c>
      <c r="O669" s="3">
        <f>Table13[[#This Row],[Good_Qty]]/Table13[[#This Row],[Planned_Production]]</f>
        <v>1.2175438596491228</v>
      </c>
      <c r="P669" t="str">
        <f>IF(Table13[[#This Row],[Good_Qty]]&gt;=Table13[[#This Row],[Planned_Production]],"Met","Not Met")</f>
        <v>Met</v>
      </c>
      <c r="Q669">
        <f>Table13[[#This Row],[Good_Qty]]-Table13[[#This Row],[Planned_Production]]</f>
        <v>124</v>
      </c>
      <c r="R669" s="3">
        <f>IF(Table13[[#This Row],[Actual_Qty]]=0,0,Table13[[#This Row],[Reject_Qty]]/Table13[[#This Row],[Actual_Qty]])</f>
        <v>4.30416068866571E-3</v>
      </c>
      <c r="S669">
        <v>439.87</v>
      </c>
      <c r="T669">
        <f>(Table13[[#This Row],[Ideal_Cycle_Time_sec]]*Table13[[#This Row],[Actual_Qty]])/(Table13[[#This Row],[Operational_Time_min]]*60)</f>
        <v>0.52818635809064796</v>
      </c>
      <c r="U669">
        <f>Table13[[#This Row],[Good_Qty]]/Table13[[#This Row],[Actual_Qty]]</f>
        <v>0.99569583931133432</v>
      </c>
      <c r="V669" t="str">
        <f>IF(OR(Table13[[#This Row],[Performance_%]]&gt;=1,Table13[[#This Row],[Performance_%]]&lt;=0),"Error","OK")</f>
        <v>OK</v>
      </c>
      <c r="W669" t="str">
        <f>IF(OR(Table13[[#This Row],[Quality_%]]&gt;=1,Table13[[#This Row],[Quality_%]]&lt;=0),"Error","OK")</f>
        <v>OK</v>
      </c>
      <c r="X669">
        <f>Table13[[#This Row],[Performance_%]]*Table13[[#This Row],[Quality_%]]*[2]Availability_KPI!K669</f>
        <v>0.51407407407407402</v>
      </c>
      <c r="Y669" t="str">
        <f>IF(OR(Table13[[#This Row],[OEE_%]]&gt;1,Table13[[#This Row],[OEE_%]]&lt;0),"Error","OK")</f>
        <v>OK</v>
      </c>
    </row>
    <row r="670" spans="1:25" x14ac:dyDescent="0.2">
      <c r="A670" t="s">
        <v>803</v>
      </c>
      <c r="B670" t="s">
        <v>799</v>
      </c>
      <c r="C670" s="2">
        <v>46274</v>
      </c>
      <c r="D670" t="s">
        <v>67</v>
      </c>
      <c r="E670" t="s">
        <v>41</v>
      </c>
      <c r="F670" t="s">
        <v>54</v>
      </c>
      <c r="G670" t="s">
        <v>61</v>
      </c>
      <c r="H670">
        <v>719</v>
      </c>
      <c r="I670">
        <v>714</v>
      </c>
      <c r="J670">
        <v>5</v>
      </c>
      <c r="K670">
        <v>18</v>
      </c>
      <c r="L670">
        <v>18.5</v>
      </c>
      <c r="M670">
        <v>221.7</v>
      </c>
      <c r="N670">
        <f>_xlfn.XLOOKUP(Table13[[#This Row],[Production_Order_ID]],[1]Sheet1!$A$2:$A$391,[1]Sheet1!$F$2:$F$391,"No Match")</f>
        <v>570</v>
      </c>
      <c r="O670" s="3">
        <f>Table13[[#This Row],[Good_Qty]]/Table13[[#This Row],[Planned_Production]]</f>
        <v>1.2526315789473683</v>
      </c>
      <c r="P670" t="str">
        <f>IF(Table13[[#This Row],[Good_Qty]]&gt;=Table13[[#This Row],[Planned_Production]],"Met","Not Met")</f>
        <v>Met</v>
      </c>
      <c r="Q670">
        <f>Table13[[#This Row],[Good_Qty]]-Table13[[#This Row],[Planned_Production]]</f>
        <v>144</v>
      </c>
      <c r="R670" s="3">
        <f>IF(Table13[[#This Row],[Actual_Qty]]=0,0,Table13[[#This Row],[Reject_Qty]]/Table13[[#This Row],[Actual_Qty]])</f>
        <v>6.954102920723227E-3</v>
      </c>
      <c r="S670">
        <v>439.44</v>
      </c>
      <c r="T670">
        <f>(Table13[[#This Row],[Ideal_Cycle_Time_sec]]*Table13[[#This Row],[Actual_Qty]])/(Table13[[#This Row],[Operational_Time_min]]*60)</f>
        <v>0.49085199344620423</v>
      </c>
      <c r="U670">
        <f>Table13[[#This Row],[Good_Qty]]/Table13[[#This Row],[Actual_Qty]]</f>
        <v>0.99304589707927682</v>
      </c>
      <c r="V670" t="str">
        <f>IF(OR(Table13[[#This Row],[Performance_%]]&gt;=1,Table13[[#This Row],[Performance_%]]&lt;=0),"Error","OK")</f>
        <v>OK</v>
      </c>
      <c r="W670" t="str">
        <f>IF(OR(Table13[[#This Row],[Quality_%]]&gt;=1,Table13[[#This Row],[Quality_%]]&lt;=0),"Error","OK")</f>
        <v>OK</v>
      </c>
      <c r="X670">
        <f>Table13[[#This Row],[Performance_%]]*Table13[[#This Row],[Quality_%]]*[2]Availability_KPI!K670</f>
        <v>0.47600000000000003</v>
      </c>
      <c r="Y670" t="str">
        <f>IF(OR(Table13[[#This Row],[OEE_%]]&gt;1,Table13[[#This Row],[OEE_%]]&lt;0),"Error","OK")</f>
        <v>OK</v>
      </c>
    </row>
    <row r="671" spans="1:25" x14ac:dyDescent="0.2">
      <c r="A671" t="s">
        <v>804</v>
      </c>
      <c r="B671" t="s">
        <v>799</v>
      </c>
      <c r="C671" s="2">
        <v>46274</v>
      </c>
      <c r="D671" t="s">
        <v>67</v>
      </c>
      <c r="E671" t="s">
        <v>43</v>
      </c>
      <c r="F671" t="s">
        <v>54</v>
      </c>
      <c r="G671" t="s">
        <v>33</v>
      </c>
      <c r="H671">
        <v>702</v>
      </c>
      <c r="I671">
        <v>691</v>
      </c>
      <c r="J671">
        <v>11</v>
      </c>
      <c r="K671">
        <v>32</v>
      </c>
      <c r="L671">
        <v>33.85</v>
      </c>
      <c r="M671">
        <v>396.01</v>
      </c>
      <c r="N671">
        <f>_xlfn.XLOOKUP(Table13[[#This Row],[Production_Order_ID]],[1]Sheet1!$A$2:$A$391,[1]Sheet1!$F$2:$F$391,"No Match")</f>
        <v>570</v>
      </c>
      <c r="O671" s="3">
        <f>Table13[[#This Row],[Good_Qty]]/Table13[[#This Row],[Planned_Production]]</f>
        <v>1.212280701754386</v>
      </c>
      <c r="P671" t="str">
        <f>IF(Table13[[#This Row],[Good_Qty]]&gt;=Table13[[#This Row],[Planned_Production]],"Met","Not Met")</f>
        <v>Met</v>
      </c>
      <c r="Q671">
        <f>Table13[[#This Row],[Good_Qty]]-Table13[[#This Row],[Planned_Production]]</f>
        <v>121</v>
      </c>
      <c r="R671" s="3">
        <f>IF(Table13[[#This Row],[Actual_Qty]]=0,0,Table13[[#This Row],[Reject_Qty]]/Table13[[#This Row],[Actual_Qty]])</f>
        <v>1.5669515669515671E-2</v>
      </c>
      <c r="S671">
        <v>404.82</v>
      </c>
      <c r="T671">
        <f>(Table13[[#This Row],[Ideal_Cycle_Time_sec]]*Table13[[#This Row],[Actual_Qty]])/(Table13[[#This Row],[Operational_Time_min]]*60)</f>
        <v>0.92485549132947975</v>
      </c>
      <c r="U671">
        <f>Table13[[#This Row],[Good_Qty]]/Table13[[#This Row],[Actual_Qty]]</f>
        <v>0.98433048433048431</v>
      </c>
      <c r="V671" t="str">
        <f>IF(OR(Table13[[#This Row],[Performance_%]]&gt;=1,Table13[[#This Row],[Performance_%]]&lt;=0),"Error","OK")</f>
        <v>OK</v>
      </c>
      <c r="W671" t="str">
        <f>IF(OR(Table13[[#This Row],[Quality_%]]&gt;=1,Table13[[#This Row],[Quality_%]]&lt;=0),"Error","OK")</f>
        <v>OK</v>
      </c>
      <c r="X671">
        <f>Table13[[#This Row],[Performance_%]]*Table13[[#This Row],[Quality_%]]*[2]Availability_KPI!K671</f>
        <v>0.81896296296296289</v>
      </c>
      <c r="Y671" t="str">
        <f>IF(OR(Table13[[#This Row],[OEE_%]]&gt;1,Table13[[#This Row],[OEE_%]]&lt;0),"Error","OK")</f>
        <v>OK</v>
      </c>
    </row>
    <row r="672" spans="1:25" x14ac:dyDescent="0.2">
      <c r="A672" t="s">
        <v>805</v>
      </c>
      <c r="B672" t="s">
        <v>799</v>
      </c>
      <c r="C672" s="2">
        <v>46274</v>
      </c>
      <c r="D672" t="s">
        <v>67</v>
      </c>
      <c r="E672" t="s">
        <v>46</v>
      </c>
      <c r="F672" t="s">
        <v>54</v>
      </c>
      <c r="G672" t="s">
        <v>33</v>
      </c>
      <c r="H672">
        <v>714</v>
      </c>
      <c r="I672">
        <v>708</v>
      </c>
      <c r="J672">
        <v>6</v>
      </c>
      <c r="K672">
        <v>25</v>
      </c>
      <c r="L672">
        <v>26.49</v>
      </c>
      <c r="M672">
        <v>315.25</v>
      </c>
      <c r="N672">
        <f>_xlfn.XLOOKUP(Table13[[#This Row],[Production_Order_ID]],[1]Sheet1!$A$2:$A$391,[1]Sheet1!$F$2:$F$391,"No Match")</f>
        <v>570</v>
      </c>
      <c r="O672" s="3">
        <f>Table13[[#This Row],[Good_Qty]]/Table13[[#This Row],[Planned_Production]]</f>
        <v>1.2421052631578948</v>
      </c>
      <c r="P672" t="str">
        <f>IF(Table13[[#This Row],[Good_Qty]]&gt;=Table13[[#This Row],[Planned_Production]],"Met","Not Met")</f>
        <v>Met</v>
      </c>
      <c r="Q672">
        <f>Table13[[#This Row],[Good_Qty]]-Table13[[#This Row],[Planned_Production]]</f>
        <v>138</v>
      </c>
      <c r="R672" s="3">
        <f>IF(Table13[[#This Row],[Actual_Qty]]=0,0,Table13[[#This Row],[Reject_Qty]]/Table13[[#This Row],[Actual_Qty]])</f>
        <v>8.4033613445378148E-3</v>
      </c>
      <c r="S672">
        <v>428.52</v>
      </c>
      <c r="T672">
        <f>(Table13[[#This Row],[Ideal_Cycle_Time_sec]]*Table13[[#This Row],[Actual_Qty]])/(Table13[[#This Row],[Operational_Time_min]]*60)</f>
        <v>0.69424997666386645</v>
      </c>
      <c r="U672">
        <f>Table13[[#This Row],[Good_Qty]]/Table13[[#This Row],[Actual_Qty]]</f>
        <v>0.99159663865546221</v>
      </c>
      <c r="V672" t="str">
        <f>IF(OR(Table13[[#This Row],[Performance_%]]&gt;=1,Table13[[#This Row],[Performance_%]]&lt;=0),"Error","OK")</f>
        <v>OK</v>
      </c>
      <c r="W672" t="str">
        <f>IF(OR(Table13[[#This Row],[Quality_%]]&gt;=1,Table13[[#This Row],[Quality_%]]&lt;=0),"Error","OK")</f>
        <v>OK</v>
      </c>
      <c r="X672">
        <f>Table13[[#This Row],[Performance_%]]*Table13[[#This Row],[Quality_%]]*[2]Availability_KPI!K672</f>
        <v>0.65555555555555567</v>
      </c>
      <c r="Y672" t="str">
        <f>IF(OR(Table13[[#This Row],[OEE_%]]&gt;1,Table13[[#This Row],[OEE_%]]&lt;0),"Error","OK")</f>
        <v>OK</v>
      </c>
    </row>
    <row r="673" spans="1:25" x14ac:dyDescent="0.2">
      <c r="A673" t="s">
        <v>806</v>
      </c>
      <c r="B673" t="s">
        <v>799</v>
      </c>
      <c r="C673" s="2">
        <v>46274</v>
      </c>
      <c r="D673" t="s">
        <v>67</v>
      </c>
      <c r="E673" t="s">
        <v>49</v>
      </c>
      <c r="F673" t="s">
        <v>54</v>
      </c>
      <c r="G673" t="s">
        <v>33</v>
      </c>
      <c r="H673">
        <v>711</v>
      </c>
      <c r="I673">
        <v>706</v>
      </c>
      <c r="J673">
        <v>5</v>
      </c>
      <c r="K673">
        <v>20</v>
      </c>
      <c r="L673">
        <v>21.33</v>
      </c>
      <c r="M673">
        <v>252.81</v>
      </c>
      <c r="N673">
        <f>_xlfn.XLOOKUP(Table13[[#This Row],[Production_Order_ID]],[1]Sheet1!$A$2:$A$391,[1]Sheet1!$F$2:$F$391,"No Match")</f>
        <v>570</v>
      </c>
      <c r="O673" s="3">
        <f>Table13[[#This Row],[Good_Qty]]/Table13[[#This Row],[Planned_Production]]</f>
        <v>1.2385964912280703</v>
      </c>
      <c r="P673" t="str">
        <f>IF(Table13[[#This Row],[Good_Qty]]&gt;=Table13[[#This Row],[Planned_Production]],"Met","Not Met")</f>
        <v>Met</v>
      </c>
      <c r="Q673">
        <f>Table13[[#This Row],[Good_Qty]]-Table13[[#This Row],[Planned_Production]]</f>
        <v>136</v>
      </c>
      <c r="R673" s="3">
        <f>IF(Table13[[#This Row],[Actual_Qty]]=0,0,Table13[[#This Row],[Reject_Qty]]/Table13[[#This Row],[Actual_Qty]])</f>
        <v>7.0323488045007029E-3</v>
      </c>
      <c r="S673">
        <v>438.55</v>
      </c>
      <c r="T673">
        <f>(Table13[[#This Row],[Ideal_Cycle_Time_sec]]*Table13[[#This Row],[Actual_Qty]])/(Table13[[#This Row],[Operational_Time_min]]*60)</f>
        <v>0.54041728423212865</v>
      </c>
      <c r="U673">
        <f>Table13[[#This Row],[Good_Qty]]/Table13[[#This Row],[Actual_Qty]]</f>
        <v>0.99296765119549935</v>
      </c>
      <c r="V673" t="str">
        <f>IF(OR(Table13[[#This Row],[Performance_%]]&gt;=1,Table13[[#This Row],[Performance_%]]&lt;=0),"Error","OK")</f>
        <v>OK</v>
      </c>
      <c r="W673" t="str">
        <f>IF(OR(Table13[[#This Row],[Quality_%]]&gt;=1,Table13[[#This Row],[Quality_%]]&lt;=0),"Error","OK")</f>
        <v>OK</v>
      </c>
      <c r="X673">
        <f>Table13[[#This Row],[Performance_%]]*Table13[[#This Row],[Quality_%]]*[2]Availability_KPI!K673</f>
        <v>0.52296296296296307</v>
      </c>
      <c r="Y673" t="str">
        <f>IF(OR(Table13[[#This Row],[OEE_%]]&gt;1,Table13[[#This Row],[OEE_%]]&lt;0),"Error","OK")</f>
        <v>OK</v>
      </c>
    </row>
    <row r="674" spans="1:25" x14ac:dyDescent="0.2">
      <c r="A674" t="s">
        <v>807</v>
      </c>
      <c r="B674" t="s">
        <v>808</v>
      </c>
      <c r="C674" s="2">
        <v>46275</v>
      </c>
      <c r="D674" t="s">
        <v>27</v>
      </c>
      <c r="E674" t="s">
        <v>28</v>
      </c>
      <c r="F674" t="s">
        <v>54</v>
      </c>
      <c r="G674" t="s">
        <v>33</v>
      </c>
      <c r="H674">
        <v>680</v>
      </c>
      <c r="I674">
        <v>676</v>
      </c>
      <c r="J674">
        <v>4</v>
      </c>
      <c r="K674">
        <v>18</v>
      </c>
      <c r="L674">
        <v>19.149999999999999</v>
      </c>
      <c r="M674">
        <v>217.02</v>
      </c>
      <c r="N674">
        <f>_xlfn.XLOOKUP(Table13[[#This Row],[Production_Order_ID]],[1]Sheet1!$A$2:$A$391,[1]Sheet1!$F$2:$F$391,"No Match")</f>
        <v>680</v>
      </c>
      <c r="O674" s="3">
        <f>Table13[[#This Row],[Good_Qty]]/Table13[[#This Row],[Planned_Production]]</f>
        <v>0.99411764705882355</v>
      </c>
      <c r="P674" t="str">
        <f>IF(Table13[[#This Row],[Good_Qty]]&gt;=Table13[[#This Row],[Planned_Production]],"Met","Not Met")</f>
        <v>Not Met</v>
      </c>
      <c r="Q674">
        <f>Table13[[#This Row],[Good_Qty]]-Table13[[#This Row],[Planned_Production]]</f>
        <v>-4</v>
      </c>
      <c r="R674" s="3">
        <f>IF(Table13[[#This Row],[Actual_Qty]]=0,0,Table13[[#This Row],[Reject_Qty]]/Table13[[#This Row],[Actual_Qty]])</f>
        <v>5.8823529411764705E-3</v>
      </c>
      <c r="S674">
        <v>438.83</v>
      </c>
      <c r="T674">
        <f>(Table13[[#This Row],[Ideal_Cycle_Time_sec]]*Table13[[#This Row],[Actual_Qty]])/(Table13[[#This Row],[Operational_Time_min]]*60)</f>
        <v>0.46487250187999912</v>
      </c>
      <c r="U674">
        <f>Table13[[#This Row],[Good_Qty]]/Table13[[#This Row],[Actual_Qty]]</f>
        <v>0.99411764705882355</v>
      </c>
      <c r="V674" t="str">
        <f>IF(OR(Table13[[#This Row],[Performance_%]]&gt;=1,Table13[[#This Row],[Performance_%]]&lt;=0),"Error","OK")</f>
        <v>OK</v>
      </c>
      <c r="W674" t="str">
        <f>IF(OR(Table13[[#This Row],[Quality_%]]&gt;=1,Table13[[#This Row],[Quality_%]]&lt;=0),"Error","OK")</f>
        <v>OK</v>
      </c>
      <c r="X674">
        <f>Table13[[#This Row],[Performance_%]]*Table13[[#This Row],[Quality_%]]*[2]Availability_KPI!K674</f>
        <v>0.45066666666666666</v>
      </c>
      <c r="Y674" t="str">
        <f>IF(OR(Table13[[#This Row],[OEE_%]]&gt;1,Table13[[#This Row],[OEE_%]]&lt;0),"Error","OK")</f>
        <v>OK</v>
      </c>
    </row>
    <row r="675" spans="1:25" x14ac:dyDescent="0.2">
      <c r="A675" t="s">
        <v>809</v>
      </c>
      <c r="B675" t="s">
        <v>808</v>
      </c>
      <c r="C675" s="2">
        <v>46275</v>
      </c>
      <c r="D675" t="s">
        <v>27</v>
      </c>
      <c r="E675" t="s">
        <v>32</v>
      </c>
      <c r="F675" t="s">
        <v>54</v>
      </c>
      <c r="G675" t="s">
        <v>30</v>
      </c>
      <c r="H675">
        <v>660</v>
      </c>
      <c r="I675">
        <v>652</v>
      </c>
      <c r="J675">
        <v>8</v>
      </c>
      <c r="K675">
        <v>20</v>
      </c>
      <c r="L675">
        <v>20.66</v>
      </c>
      <c r="M675">
        <v>227.21</v>
      </c>
      <c r="N675">
        <f>_xlfn.XLOOKUP(Table13[[#This Row],[Production_Order_ID]],[1]Sheet1!$A$2:$A$391,[1]Sheet1!$F$2:$F$391,"No Match")</f>
        <v>680</v>
      </c>
      <c r="O675" s="3">
        <f>Table13[[#This Row],[Good_Qty]]/Table13[[#This Row],[Planned_Production]]</f>
        <v>0.95882352941176474</v>
      </c>
      <c r="P675" t="str">
        <f>IF(Table13[[#This Row],[Good_Qty]]&gt;=Table13[[#This Row],[Planned_Production]],"Met","Not Met")</f>
        <v>Not Met</v>
      </c>
      <c r="Q675">
        <f>Table13[[#This Row],[Good_Qty]]-Table13[[#This Row],[Planned_Production]]</f>
        <v>-28</v>
      </c>
      <c r="R675" s="3">
        <f>IF(Table13[[#This Row],[Actual_Qty]]=0,0,Table13[[#This Row],[Reject_Qty]]/Table13[[#This Row],[Actual_Qty]])</f>
        <v>1.2121212121212121E-2</v>
      </c>
      <c r="S675">
        <v>439.24</v>
      </c>
      <c r="T675">
        <f>(Table13[[#This Row],[Ideal_Cycle_Time_sec]]*Table13[[#This Row],[Actual_Qty]])/(Table13[[#This Row],[Operational_Time_min]]*60)</f>
        <v>0.50086513068026584</v>
      </c>
      <c r="U675">
        <f>Table13[[#This Row],[Good_Qty]]/Table13[[#This Row],[Actual_Qty]]</f>
        <v>0.98787878787878791</v>
      </c>
      <c r="V675" t="str">
        <f>IF(OR(Table13[[#This Row],[Performance_%]]&gt;=1,Table13[[#This Row],[Performance_%]]&lt;=0),"Error","OK")</f>
        <v>OK</v>
      </c>
      <c r="W675" t="str">
        <f>IF(OR(Table13[[#This Row],[Quality_%]]&gt;=1,Table13[[#This Row],[Quality_%]]&lt;=0),"Error","OK")</f>
        <v>OK</v>
      </c>
      <c r="X675">
        <f>Table13[[#This Row],[Performance_%]]*Table13[[#This Row],[Quality_%]]*[2]Availability_KPI!K675</f>
        <v>0.48296296296296293</v>
      </c>
      <c r="Y675" t="str">
        <f>IF(OR(Table13[[#This Row],[OEE_%]]&gt;1,Table13[[#This Row],[OEE_%]]&lt;0),"Error","OK")</f>
        <v>OK</v>
      </c>
    </row>
    <row r="676" spans="1:25" x14ac:dyDescent="0.2">
      <c r="A676" t="s">
        <v>810</v>
      </c>
      <c r="B676" t="s">
        <v>808</v>
      </c>
      <c r="C676" s="2">
        <v>46275</v>
      </c>
      <c r="D676" t="s">
        <v>27</v>
      </c>
      <c r="E676" t="s">
        <v>35</v>
      </c>
      <c r="F676" t="s">
        <v>54</v>
      </c>
      <c r="G676" t="s">
        <v>33</v>
      </c>
      <c r="H676">
        <v>675</v>
      </c>
      <c r="I676">
        <v>671</v>
      </c>
      <c r="J676">
        <v>4</v>
      </c>
      <c r="K676">
        <v>22</v>
      </c>
      <c r="L676">
        <v>24.9</v>
      </c>
      <c r="M676">
        <v>280.08999999999997</v>
      </c>
      <c r="N676">
        <f>_xlfn.XLOOKUP(Table13[[#This Row],[Production_Order_ID]],[1]Sheet1!$A$2:$A$391,[1]Sheet1!$F$2:$F$391,"No Match")</f>
        <v>680</v>
      </c>
      <c r="O676" s="3">
        <f>Table13[[#This Row],[Good_Qty]]/Table13[[#This Row],[Planned_Production]]</f>
        <v>0.98676470588235299</v>
      </c>
      <c r="P676" t="str">
        <f>IF(Table13[[#This Row],[Good_Qty]]&gt;=Table13[[#This Row],[Planned_Production]],"Met","Not Met")</f>
        <v>Not Met</v>
      </c>
      <c r="Q676">
        <f>Table13[[#This Row],[Good_Qty]]-Table13[[#This Row],[Planned_Production]]</f>
        <v>-9</v>
      </c>
      <c r="R676" s="3">
        <f>IF(Table13[[#This Row],[Actual_Qty]]=0,0,Table13[[#This Row],[Reject_Qty]]/Table13[[#This Row],[Actual_Qty]])</f>
        <v>5.9259259259259256E-3</v>
      </c>
      <c r="S676">
        <v>430.91</v>
      </c>
      <c r="T676">
        <f>(Table13[[#This Row],[Ideal_Cycle_Time_sec]]*Table13[[#This Row],[Actual_Qty]])/(Table13[[#This Row],[Operational_Time_min]]*60)</f>
        <v>0.57436587686523866</v>
      </c>
      <c r="U676">
        <f>Table13[[#This Row],[Good_Qty]]/Table13[[#This Row],[Actual_Qty]]</f>
        <v>0.99407407407407411</v>
      </c>
      <c r="V676" t="str">
        <f>IF(OR(Table13[[#This Row],[Performance_%]]&gt;=1,Table13[[#This Row],[Performance_%]]&lt;=0),"Error","OK")</f>
        <v>OK</v>
      </c>
      <c r="W676" t="str">
        <f>IF(OR(Table13[[#This Row],[Quality_%]]&gt;=1,Table13[[#This Row],[Quality_%]]&lt;=0),"Error","OK")</f>
        <v>OK</v>
      </c>
      <c r="X676">
        <f>Table13[[#This Row],[Performance_%]]*Table13[[#This Row],[Quality_%]]*[2]Availability_KPI!K676</f>
        <v>0.54674074074074086</v>
      </c>
      <c r="Y676" t="str">
        <f>IF(OR(Table13[[#This Row],[OEE_%]]&gt;1,Table13[[#This Row],[OEE_%]]&lt;0),"Error","OK")</f>
        <v>OK</v>
      </c>
    </row>
    <row r="677" spans="1:25" x14ac:dyDescent="0.2">
      <c r="A677" t="s">
        <v>811</v>
      </c>
      <c r="B677" t="s">
        <v>808</v>
      </c>
      <c r="C677" s="2">
        <v>46275</v>
      </c>
      <c r="D677" t="s">
        <v>27</v>
      </c>
      <c r="E677" t="s">
        <v>38</v>
      </c>
      <c r="F677" t="s">
        <v>54</v>
      </c>
      <c r="G677" t="s">
        <v>50</v>
      </c>
      <c r="H677">
        <v>673</v>
      </c>
      <c r="I677">
        <v>669</v>
      </c>
      <c r="J677">
        <v>4</v>
      </c>
      <c r="K677">
        <v>20</v>
      </c>
      <c r="L677">
        <v>20.69</v>
      </c>
      <c r="M677">
        <v>232.11</v>
      </c>
      <c r="N677">
        <f>_xlfn.XLOOKUP(Table13[[#This Row],[Production_Order_ID]],[1]Sheet1!$A$2:$A$391,[1]Sheet1!$F$2:$F$391,"No Match")</f>
        <v>680</v>
      </c>
      <c r="O677" s="3">
        <f>Table13[[#This Row],[Good_Qty]]/Table13[[#This Row],[Planned_Production]]</f>
        <v>0.98382352941176465</v>
      </c>
      <c r="P677" t="str">
        <f>IF(Table13[[#This Row],[Good_Qty]]&gt;=Table13[[#This Row],[Planned_Production]],"Met","Not Met")</f>
        <v>Not Met</v>
      </c>
      <c r="Q677">
        <f>Table13[[#This Row],[Good_Qty]]-Table13[[#This Row],[Planned_Production]]</f>
        <v>-11</v>
      </c>
      <c r="R677" s="3">
        <f>IF(Table13[[#This Row],[Actual_Qty]]=0,0,Table13[[#This Row],[Reject_Qty]]/Table13[[#This Row],[Actual_Qty]])</f>
        <v>5.9435364041604752E-3</v>
      </c>
      <c r="S677">
        <v>441.07</v>
      </c>
      <c r="T677">
        <f>(Table13[[#This Row],[Ideal_Cycle_Time_sec]]*Table13[[#This Row],[Actual_Qty]])/(Table13[[#This Row],[Operational_Time_min]]*60)</f>
        <v>0.50861163382985319</v>
      </c>
      <c r="U677">
        <f>Table13[[#This Row],[Good_Qty]]/Table13[[#This Row],[Actual_Qty]]</f>
        <v>0.99405646359583955</v>
      </c>
      <c r="V677" t="str">
        <f>IF(OR(Table13[[#This Row],[Performance_%]]&gt;=1,Table13[[#This Row],[Performance_%]]&lt;=0),"Error","OK")</f>
        <v>OK</v>
      </c>
      <c r="W677" t="str">
        <f>IF(OR(Table13[[#This Row],[Quality_%]]&gt;=1,Table13[[#This Row],[Quality_%]]&lt;=0),"Error","OK")</f>
        <v>OK</v>
      </c>
      <c r="X677">
        <f>Table13[[#This Row],[Performance_%]]*Table13[[#This Row],[Quality_%]]*[2]Availability_KPI!K677</f>
        <v>0.49555555555555564</v>
      </c>
      <c r="Y677" t="str">
        <f>IF(OR(Table13[[#This Row],[OEE_%]]&gt;1,Table13[[#This Row],[OEE_%]]&lt;0),"Error","OK")</f>
        <v>OK</v>
      </c>
    </row>
    <row r="678" spans="1:25" x14ac:dyDescent="0.2">
      <c r="A678" t="s">
        <v>812</v>
      </c>
      <c r="B678" t="s">
        <v>808</v>
      </c>
      <c r="C678" s="2">
        <v>46275</v>
      </c>
      <c r="D678" t="s">
        <v>27</v>
      </c>
      <c r="E678" t="s">
        <v>41</v>
      </c>
      <c r="F678" t="s">
        <v>54</v>
      </c>
      <c r="G678" t="s">
        <v>75</v>
      </c>
      <c r="H678">
        <v>687</v>
      </c>
      <c r="I678">
        <v>682</v>
      </c>
      <c r="J678">
        <v>5</v>
      </c>
      <c r="K678">
        <v>18</v>
      </c>
      <c r="L678">
        <v>18.39</v>
      </c>
      <c r="M678">
        <v>210.61</v>
      </c>
      <c r="N678">
        <f>_xlfn.XLOOKUP(Table13[[#This Row],[Production_Order_ID]],[1]Sheet1!$A$2:$A$391,[1]Sheet1!$F$2:$F$391,"No Match")</f>
        <v>680</v>
      </c>
      <c r="O678" s="3">
        <f>Table13[[#This Row],[Good_Qty]]/Table13[[#This Row],[Planned_Production]]</f>
        <v>1.0029411764705882</v>
      </c>
      <c r="P678" t="str">
        <f>IF(Table13[[#This Row],[Good_Qty]]&gt;=Table13[[#This Row],[Planned_Production]],"Met","Not Met")</f>
        <v>Met</v>
      </c>
      <c r="Q678">
        <f>Table13[[#This Row],[Good_Qty]]-Table13[[#This Row],[Planned_Production]]</f>
        <v>2</v>
      </c>
      <c r="R678" s="3">
        <f>IF(Table13[[#This Row],[Actual_Qty]]=0,0,Table13[[#This Row],[Reject_Qty]]/Table13[[#This Row],[Actual_Qty]])</f>
        <v>7.2780203784570596E-3</v>
      </c>
      <c r="S678">
        <v>436.21</v>
      </c>
      <c r="T678">
        <f>(Table13[[#This Row],[Ideal_Cycle_Time_sec]]*Table13[[#This Row],[Actual_Qty]])/(Table13[[#This Row],[Operational_Time_min]]*60)</f>
        <v>0.47247885192911676</v>
      </c>
      <c r="U678">
        <f>Table13[[#This Row],[Good_Qty]]/Table13[[#This Row],[Actual_Qty]]</f>
        <v>0.99272197962154296</v>
      </c>
      <c r="V678" t="str">
        <f>IF(OR(Table13[[#This Row],[Performance_%]]&gt;=1,Table13[[#This Row],[Performance_%]]&lt;=0),"Error","OK")</f>
        <v>OK</v>
      </c>
      <c r="W678" t="str">
        <f>IF(OR(Table13[[#This Row],[Quality_%]]&gt;=1,Table13[[#This Row],[Quality_%]]&lt;=0),"Error","OK")</f>
        <v>OK</v>
      </c>
      <c r="X678">
        <f>Table13[[#This Row],[Performance_%]]*Table13[[#This Row],[Quality_%]]*[2]Availability_KPI!K678</f>
        <v>0.45466666666666672</v>
      </c>
      <c r="Y678" t="str">
        <f>IF(OR(Table13[[#This Row],[OEE_%]]&gt;1,Table13[[#This Row],[OEE_%]]&lt;0),"Error","OK")</f>
        <v>OK</v>
      </c>
    </row>
    <row r="679" spans="1:25" x14ac:dyDescent="0.2">
      <c r="A679" t="s">
        <v>813</v>
      </c>
      <c r="B679" t="s">
        <v>808</v>
      </c>
      <c r="C679" s="2">
        <v>46275</v>
      </c>
      <c r="D679" t="s">
        <v>27</v>
      </c>
      <c r="E679" t="s">
        <v>43</v>
      </c>
      <c r="F679" t="s">
        <v>54</v>
      </c>
      <c r="G679" t="s">
        <v>57</v>
      </c>
      <c r="H679">
        <v>681</v>
      </c>
      <c r="I679">
        <v>672</v>
      </c>
      <c r="J679">
        <v>9</v>
      </c>
      <c r="K679">
        <v>32</v>
      </c>
      <c r="L679">
        <v>34.630000000000003</v>
      </c>
      <c r="M679">
        <v>393.07</v>
      </c>
      <c r="N679">
        <f>_xlfn.XLOOKUP(Table13[[#This Row],[Production_Order_ID]],[1]Sheet1!$A$2:$A$391,[1]Sheet1!$F$2:$F$391,"No Match")</f>
        <v>680</v>
      </c>
      <c r="O679" s="3">
        <f>Table13[[#This Row],[Good_Qty]]/Table13[[#This Row],[Planned_Production]]</f>
        <v>0.9882352941176471</v>
      </c>
      <c r="P679" t="str">
        <f>IF(Table13[[#This Row],[Good_Qty]]&gt;=Table13[[#This Row],[Planned_Production]],"Met","Not Met")</f>
        <v>Not Met</v>
      </c>
      <c r="Q679">
        <f>Table13[[#This Row],[Good_Qty]]-Table13[[#This Row],[Planned_Production]]</f>
        <v>-8</v>
      </c>
      <c r="R679" s="3">
        <f>IF(Table13[[#This Row],[Actual_Qty]]=0,0,Table13[[#This Row],[Reject_Qty]]/Table13[[#This Row],[Actual_Qty]])</f>
        <v>1.3215859030837005E-2</v>
      </c>
      <c r="S679">
        <v>399.2</v>
      </c>
      <c r="T679">
        <f>(Table13[[#This Row],[Ideal_Cycle_Time_sec]]*Table13[[#This Row],[Actual_Qty]])/(Table13[[#This Row],[Operational_Time_min]]*60)</f>
        <v>0.90981963927855714</v>
      </c>
      <c r="U679">
        <f>Table13[[#This Row],[Good_Qty]]/Table13[[#This Row],[Actual_Qty]]</f>
        <v>0.986784140969163</v>
      </c>
      <c r="V679" t="str">
        <f>IF(OR(Table13[[#This Row],[Performance_%]]&gt;=1,Table13[[#This Row],[Performance_%]]&lt;=0),"Error","OK")</f>
        <v>OK</v>
      </c>
      <c r="W679" t="str">
        <f>IF(OR(Table13[[#This Row],[Quality_%]]&gt;=1,Table13[[#This Row],[Quality_%]]&lt;=0),"Error","OK")</f>
        <v>OK</v>
      </c>
      <c r="X679">
        <f>Table13[[#This Row],[Performance_%]]*Table13[[#This Row],[Quality_%]]*[2]Availability_KPI!K679</f>
        <v>0.7964444444444444</v>
      </c>
      <c r="Y679" t="str">
        <f>IF(OR(Table13[[#This Row],[OEE_%]]&gt;1,Table13[[#This Row],[OEE_%]]&lt;0),"Error","OK")</f>
        <v>OK</v>
      </c>
    </row>
    <row r="680" spans="1:25" x14ac:dyDescent="0.2">
      <c r="A680" t="s">
        <v>814</v>
      </c>
      <c r="B680" t="s">
        <v>808</v>
      </c>
      <c r="C680" s="2">
        <v>46275</v>
      </c>
      <c r="D680" t="s">
        <v>27</v>
      </c>
      <c r="E680" t="s">
        <v>46</v>
      </c>
      <c r="F680" t="s">
        <v>54</v>
      </c>
      <c r="G680" t="s">
        <v>36</v>
      </c>
      <c r="H680">
        <v>674</v>
      </c>
      <c r="I680">
        <v>667</v>
      </c>
      <c r="J680">
        <v>7</v>
      </c>
      <c r="K680">
        <v>25</v>
      </c>
      <c r="L680">
        <v>26.53</v>
      </c>
      <c r="M680">
        <v>298.02999999999997</v>
      </c>
      <c r="N680">
        <f>_xlfn.XLOOKUP(Table13[[#This Row],[Production_Order_ID]],[1]Sheet1!$A$2:$A$391,[1]Sheet1!$F$2:$F$391,"No Match")</f>
        <v>680</v>
      </c>
      <c r="O680" s="3">
        <f>Table13[[#This Row],[Good_Qty]]/Table13[[#This Row],[Planned_Production]]</f>
        <v>0.98088235294117643</v>
      </c>
      <c r="P680" t="str">
        <f>IF(Table13[[#This Row],[Good_Qty]]&gt;=Table13[[#This Row],[Planned_Production]],"Met","Not Met")</f>
        <v>Not Met</v>
      </c>
      <c r="Q680">
        <f>Table13[[#This Row],[Good_Qty]]-Table13[[#This Row],[Planned_Production]]</f>
        <v>-13</v>
      </c>
      <c r="R680" s="3">
        <f>IF(Table13[[#This Row],[Actual_Qty]]=0,0,Table13[[#This Row],[Reject_Qty]]/Table13[[#This Row],[Actual_Qty]])</f>
        <v>1.0385756676557863E-2</v>
      </c>
      <c r="S680">
        <v>432.78</v>
      </c>
      <c r="T680">
        <f>(Table13[[#This Row],[Ideal_Cycle_Time_sec]]*Table13[[#This Row],[Actual_Qty]])/(Table13[[#This Row],[Operational_Time_min]]*60)</f>
        <v>0.64890552551719893</v>
      </c>
      <c r="U680">
        <f>Table13[[#This Row],[Good_Qty]]/Table13[[#This Row],[Actual_Qty]]</f>
        <v>0.98961424332344217</v>
      </c>
      <c r="V680" t="str">
        <f>IF(OR(Table13[[#This Row],[Performance_%]]&gt;=1,Table13[[#This Row],[Performance_%]]&lt;=0),"Error","OK")</f>
        <v>OK</v>
      </c>
      <c r="W680" t="str">
        <f>IF(OR(Table13[[#This Row],[Quality_%]]&gt;=1,Table13[[#This Row],[Quality_%]]&lt;=0),"Error","OK")</f>
        <v>OK</v>
      </c>
      <c r="X680">
        <f>Table13[[#This Row],[Performance_%]]*Table13[[#This Row],[Quality_%]]*[2]Availability_KPI!K680</f>
        <v>0.61759259259259258</v>
      </c>
      <c r="Y680" t="str">
        <f>IF(OR(Table13[[#This Row],[OEE_%]]&gt;1,Table13[[#This Row],[OEE_%]]&lt;0),"Error","OK")</f>
        <v>OK</v>
      </c>
    </row>
    <row r="681" spans="1:25" x14ac:dyDescent="0.2">
      <c r="A681" t="s">
        <v>815</v>
      </c>
      <c r="B681" t="s">
        <v>808</v>
      </c>
      <c r="C681" s="2">
        <v>46275</v>
      </c>
      <c r="D681" t="s">
        <v>27</v>
      </c>
      <c r="E681" t="s">
        <v>49</v>
      </c>
      <c r="F681" t="s">
        <v>54</v>
      </c>
      <c r="G681" t="s">
        <v>75</v>
      </c>
      <c r="H681">
        <v>681</v>
      </c>
      <c r="I681">
        <v>677</v>
      </c>
      <c r="J681">
        <v>4</v>
      </c>
      <c r="K681">
        <v>20</v>
      </c>
      <c r="L681">
        <v>20.13</v>
      </c>
      <c r="M681">
        <v>228.48</v>
      </c>
      <c r="N681">
        <f>_xlfn.XLOOKUP(Table13[[#This Row],[Production_Order_ID]],[1]Sheet1!$A$2:$A$391,[1]Sheet1!$F$2:$F$391,"No Match")</f>
        <v>680</v>
      </c>
      <c r="O681" s="3">
        <f>Table13[[#This Row],[Good_Qty]]/Table13[[#This Row],[Planned_Production]]</f>
        <v>0.99558823529411766</v>
      </c>
      <c r="P681" t="str">
        <f>IF(Table13[[#This Row],[Good_Qty]]&gt;=Table13[[#This Row],[Planned_Production]],"Met","Not Met")</f>
        <v>Not Met</v>
      </c>
      <c r="Q681">
        <f>Table13[[#This Row],[Good_Qty]]-Table13[[#This Row],[Planned_Production]]</f>
        <v>-3</v>
      </c>
      <c r="R681" s="3">
        <f>IF(Table13[[#This Row],[Actual_Qty]]=0,0,Table13[[#This Row],[Reject_Qty]]/Table13[[#This Row],[Actual_Qty]])</f>
        <v>5.8737151248164461E-3</v>
      </c>
      <c r="S681">
        <v>442.08</v>
      </c>
      <c r="T681">
        <f>(Table13[[#This Row],[Ideal_Cycle_Time_sec]]*Table13[[#This Row],[Actual_Qty]])/(Table13[[#This Row],[Operational_Time_min]]*60)</f>
        <v>0.51348172276511039</v>
      </c>
      <c r="U681">
        <f>Table13[[#This Row],[Good_Qty]]/Table13[[#This Row],[Actual_Qty]]</f>
        <v>0.99412628487518351</v>
      </c>
      <c r="V681" t="str">
        <f>IF(OR(Table13[[#This Row],[Performance_%]]&gt;=1,Table13[[#This Row],[Performance_%]]&lt;=0),"Error","OK")</f>
        <v>OK</v>
      </c>
      <c r="W681" t="str">
        <f>IF(OR(Table13[[#This Row],[Quality_%]]&gt;=1,Table13[[#This Row],[Quality_%]]&lt;=0),"Error","OK")</f>
        <v>OK</v>
      </c>
      <c r="X681">
        <f>Table13[[#This Row],[Performance_%]]*Table13[[#This Row],[Quality_%]]*[2]Availability_KPI!K681</f>
        <v>0.50148148148148142</v>
      </c>
      <c r="Y681" t="str">
        <f>IF(OR(Table13[[#This Row],[OEE_%]]&gt;1,Table13[[#This Row],[OEE_%]]&lt;0),"Error","OK")</f>
        <v>OK</v>
      </c>
    </row>
    <row r="682" spans="1:25" x14ac:dyDescent="0.2">
      <c r="A682" t="s">
        <v>816</v>
      </c>
      <c r="B682" t="s">
        <v>817</v>
      </c>
      <c r="C682" s="2">
        <v>46275</v>
      </c>
      <c r="D682" t="s">
        <v>53</v>
      </c>
      <c r="E682" t="s">
        <v>28</v>
      </c>
      <c r="F682" t="s">
        <v>97</v>
      </c>
      <c r="G682" t="s">
        <v>50</v>
      </c>
      <c r="H682">
        <v>565</v>
      </c>
      <c r="I682">
        <v>563</v>
      </c>
      <c r="J682">
        <v>2</v>
      </c>
      <c r="K682">
        <v>19.260000000000002</v>
      </c>
      <c r="L682">
        <v>19.850000000000001</v>
      </c>
      <c r="M682">
        <v>186.92</v>
      </c>
      <c r="N682">
        <f>_xlfn.XLOOKUP(Table13[[#This Row],[Production_Order_ID]],[1]Sheet1!$A$2:$A$391,[1]Sheet1!$F$2:$F$391,"No Match")</f>
        <v>460</v>
      </c>
      <c r="O682" s="3">
        <f>Table13[[#This Row],[Good_Qty]]/Table13[[#This Row],[Planned_Production]]</f>
        <v>1.2239130434782608</v>
      </c>
      <c r="P682" t="str">
        <f>IF(Table13[[#This Row],[Good_Qty]]&gt;=Table13[[#This Row],[Planned_Production]],"Met","Not Met")</f>
        <v>Met</v>
      </c>
      <c r="Q682">
        <f>Table13[[#This Row],[Good_Qty]]-Table13[[#This Row],[Planned_Production]]</f>
        <v>103</v>
      </c>
      <c r="R682" s="3">
        <f>IF(Table13[[#This Row],[Actual_Qty]]=0,0,Table13[[#This Row],[Reject_Qty]]/Table13[[#This Row],[Actual_Qty]])</f>
        <v>3.5398230088495575E-3</v>
      </c>
      <c r="S682">
        <v>442.97</v>
      </c>
      <c r="T682">
        <f>(Table13[[#This Row],[Ideal_Cycle_Time_sec]]*Table13[[#This Row],[Actual_Qty]])/(Table13[[#This Row],[Operational_Time_min]]*60)</f>
        <v>0.4094295324739825</v>
      </c>
      <c r="U682">
        <f>Table13[[#This Row],[Good_Qty]]/Table13[[#This Row],[Actual_Qty]]</f>
        <v>0.99646017699115041</v>
      </c>
      <c r="V682" t="str">
        <f>IF(OR(Table13[[#This Row],[Performance_%]]&gt;=1,Table13[[#This Row],[Performance_%]]&lt;=0),"Error","OK")</f>
        <v>OK</v>
      </c>
      <c r="W682" t="str">
        <f>IF(OR(Table13[[#This Row],[Quality_%]]&gt;=1,Table13[[#This Row],[Quality_%]]&lt;=0),"Error","OK")</f>
        <v>OK</v>
      </c>
      <c r="X682">
        <f>Table13[[#This Row],[Performance_%]]*Table13[[#This Row],[Quality_%]]*[2]Availability_KPI!K682</f>
        <v>0.40160666666666672</v>
      </c>
      <c r="Y682" t="str">
        <f>IF(OR(Table13[[#This Row],[OEE_%]]&gt;1,Table13[[#This Row],[OEE_%]]&lt;0),"Error","OK")</f>
        <v>OK</v>
      </c>
    </row>
    <row r="683" spans="1:25" x14ac:dyDescent="0.2">
      <c r="A683" t="s">
        <v>818</v>
      </c>
      <c r="B683" t="s">
        <v>817</v>
      </c>
      <c r="C683" s="2">
        <v>46275</v>
      </c>
      <c r="D683" t="s">
        <v>53</v>
      </c>
      <c r="E683" t="s">
        <v>32</v>
      </c>
      <c r="F683" t="s">
        <v>97</v>
      </c>
      <c r="G683" t="s">
        <v>71</v>
      </c>
      <c r="H683">
        <v>561</v>
      </c>
      <c r="I683">
        <v>558</v>
      </c>
      <c r="J683">
        <v>3</v>
      </c>
      <c r="K683">
        <v>21.4</v>
      </c>
      <c r="L683">
        <v>22.26</v>
      </c>
      <c r="M683">
        <v>208.15</v>
      </c>
      <c r="N683">
        <f>_xlfn.XLOOKUP(Table13[[#This Row],[Production_Order_ID]],[1]Sheet1!$A$2:$A$391,[1]Sheet1!$F$2:$F$391,"No Match")</f>
        <v>460</v>
      </c>
      <c r="O683" s="3">
        <f>Table13[[#This Row],[Good_Qty]]/Table13[[#This Row],[Planned_Production]]</f>
        <v>1.2130434782608697</v>
      </c>
      <c r="P683" t="str">
        <f>IF(Table13[[#This Row],[Good_Qty]]&gt;=Table13[[#This Row],[Planned_Production]],"Met","Not Met")</f>
        <v>Met</v>
      </c>
      <c r="Q683">
        <f>Table13[[#This Row],[Good_Qty]]-Table13[[#This Row],[Planned_Production]]</f>
        <v>98</v>
      </c>
      <c r="R683" s="3">
        <f>IF(Table13[[#This Row],[Actual_Qty]]=0,0,Table13[[#This Row],[Reject_Qty]]/Table13[[#This Row],[Actual_Qty]])</f>
        <v>5.3475935828877002E-3</v>
      </c>
      <c r="S683">
        <v>438.58</v>
      </c>
      <c r="T683">
        <f>(Table13[[#This Row],[Ideal_Cycle_Time_sec]]*Table13[[#This Row],[Actual_Qty]])/(Table13[[#This Row],[Operational_Time_min]]*60)</f>
        <v>0.45622235396050892</v>
      </c>
      <c r="U683">
        <f>Table13[[#This Row],[Good_Qty]]/Table13[[#This Row],[Actual_Qty]]</f>
        <v>0.99465240641711228</v>
      </c>
      <c r="V683" t="str">
        <f>IF(OR(Table13[[#This Row],[Performance_%]]&gt;=1,Table13[[#This Row],[Performance_%]]&lt;=0),"Error","OK")</f>
        <v>OK</v>
      </c>
      <c r="W683" t="str">
        <f>IF(OR(Table13[[#This Row],[Quality_%]]&gt;=1,Table13[[#This Row],[Quality_%]]&lt;=0),"Error","OK")</f>
        <v>OK</v>
      </c>
      <c r="X683">
        <f>Table13[[#This Row],[Performance_%]]*Table13[[#This Row],[Quality_%]]*[2]Availability_KPI!K683</f>
        <v>0.44226666666666664</v>
      </c>
      <c r="Y683" t="str">
        <f>IF(OR(Table13[[#This Row],[OEE_%]]&gt;1,Table13[[#This Row],[OEE_%]]&lt;0),"Error","OK")</f>
        <v>OK</v>
      </c>
    </row>
    <row r="684" spans="1:25" x14ac:dyDescent="0.2">
      <c r="A684" t="s">
        <v>819</v>
      </c>
      <c r="B684" t="s">
        <v>817</v>
      </c>
      <c r="C684" s="2">
        <v>46275</v>
      </c>
      <c r="D684" t="s">
        <v>53</v>
      </c>
      <c r="E684" t="s">
        <v>35</v>
      </c>
      <c r="F684" t="s">
        <v>97</v>
      </c>
      <c r="G684" t="s">
        <v>55</v>
      </c>
      <c r="H684">
        <v>551</v>
      </c>
      <c r="I684">
        <v>549</v>
      </c>
      <c r="J684">
        <v>2</v>
      </c>
      <c r="K684">
        <v>23.54</v>
      </c>
      <c r="L684">
        <v>24.25</v>
      </c>
      <c r="M684">
        <v>222.68</v>
      </c>
      <c r="N684">
        <f>_xlfn.XLOOKUP(Table13[[#This Row],[Production_Order_ID]],[1]Sheet1!$A$2:$A$391,[1]Sheet1!$F$2:$F$391,"No Match")</f>
        <v>460</v>
      </c>
      <c r="O684" s="3">
        <f>Table13[[#This Row],[Good_Qty]]/Table13[[#This Row],[Planned_Production]]</f>
        <v>1.1934782608695653</v>
      </c>
      <c r="P684" t="str">
        <f>IF(Table13[[#This Row],[Good_Qty]]&gt;=Table13[[#This Row],[Planned_Production]],"Met","Not Met")</f>
        <v>Met</v>
      </c>
      <c r="Q684">
        <f>Table13[[#This Row],[Good_Qty]]-Table13[[#This Row],[Planned_Production]]</f>
        <v>89</v>
      </c>
      <c r="R684" s="3">
        <f>IF(Table13[[#This Row],[Actual_Qty]]=0,0,Table13[[#This Row],[Reject_Qty]]/Table13[[#This Row],[Actual_Qty]])</f>
        <v>3.629764065335753E-3</v>
      </c>
      <c r="S684">
        <v>434.62</v>
      </c>
      <c r="T684">
        <f>(Table13[[#This Row],[Ideal_Cycle_Time_sec]]*Table13[[#This Row],[Actual_Qty]])/(Table13[[#This Row],[Operational_Time_min]]*60)</f>
        <v>0.49739005721473162</v>
      </c>
      <c r="U684">
        <f>Table13[[#This Row],[Good_Qty]]/Table13[[#This Row],[Actual_Qty]]</f>
        <v>0.99637023593466423</v>
      </c>
      <c r="V684" t="str">
        <f>IF(OR(Table13[[#This Row],[Performance_%]]&gt;=1,Table13[[#This Row],[Performance_%]]&lt;=0),"Error","OK")</f>
        <v>OK</v>
      </c>
      <c r="W684" t="str">
        <f>IF(OR(Table13[[#This Row],[Quality_%]]&gt;=1,Table13[[#This Row],[Quality_%]]&lt;=0),"Error","OK")</f>
        <v>OK</v>
      </c>
      <c r="X684">
        <f>Table13[[#This Row],[Performance_%]]*Table13[[#This Row],[Quality_%]]*[2]Availability_KPI!K684</f>
        <v>0.47864666666666666</v>
      </c>
      <c r="Y684" t="str">
        <f>IF(OR(Table13[[#This Row],[OEE_%]]&gt;1,Table13[[#This Row],[OEE_%]]&lt;0),"Error","OK")</f>
        <v>OK</v>
      </c>
    </row>
    <row r="685" spans="1:25" x14ac:dyDescent="0.2">
      <c r="A685" t="s">
        <v>820</v>
      </c>
      <c r="B685" t="s">
        <v>817</v>
      </c>
      <c r="C685" s="2">
        <v>46275</v>
      </c>
      <c r="D685" t="s">
        <v>53</v>
      </c>
      <c r="E685" t="s">
        <v>38</v>
      </c>
      <c r="F685" t="s">
        <v>97</v>
      </c>
      <c r="G685" t="s">
        <v>33</v>
      </c>
      <c r="H685">
        <v>555</v>
      </c>
      <c r="I685">
        <v>553</v>
      </c>
      <c r="J685">
        <v>2</v>
      </c>
      <c r="K685">
        <v>21.4</v>
      </c>
      <c r="L685">
        <v>22.99</v>
      </c>
      <c r="M685">
        <v>212.63</v>
      </c>
      <c r="N685">
        <f>_xlfn.XLOOKUP(Table13[[#This Row],[Production_Order_ID]],[1]Sheet1!$A$2:$A$391,[1]Sheet1!$F$2:$F$391,"No Match")</f>
        <v>460</v>
      </c>
      <c r="O685" s="3">
        <f>Table13[[#This Row],[Good_Qty]]/Table13[[#This Row],[Planned_Production]]</f>
        <v>1.2021739130434783</v>
      </c>
      <c r="P685" t="str">
        <f>IF(Table13[[#This Row],[Good_Qty]]&gt;=Table13[[#This Row],[Planned_Production]],"Met","Not Met")</f>
        <v>Met</v>
      </c>
      <c r="Q685">
        <f>Table13[[#This Row],[Good_Qty]]-Table13[[#This Row],[Planned_Production]]</f>
        <v>93</v>
      </c>
      <c r="R685" s="3">
        <f>IF(Table13[[#This Row],[Actual_Qty]]=0,0,Table13[[#This Row],[Reject_Qty]]/Table13[[#This Row],[Actual_Qty]])</f>
        <v>3.6036036036036037E-3</v>
      </c>
      <c r="S685">
        <v>438.9</v>
      </c>
      <c r="T685">
        <f>(Table13[[#This Row],[Ideal_Cycle_Time_sec]]*Table13[[#This Row],[Actual_Qty]])/(Table13[[#This Row],[Operational_Time_min]]*60)</f>
        <v>0.45101389838231942</v>
      </c>
      <c r="U685">
        <f>Table13[[#This Row],[Good_Qty]]/Table13[[#This Row],[Actual_Qty]]</f>
        <v>0.99639639639639643</v>
      </c>
      <c r="V685" t="str">
        <f>IF(OR(Table13[[#This Row],[Performance_%]]&gt;=1,Table13[[#This Row],[Performance_%]]&lt;=0),"Error","OK")</f>
        <v>OK</v>
      </c>
      <c r="W685" t="str">
        <f>IF(OR(Table13[[#This Row],[Quality_%]]&gt;=1,Table13[[#This Row],[Quality_%]]&lt;=0),"Error","OK")</f>
        <v>OK</v>
      </c>
      <c r="X685">
        <f>Table13[[#This Row],[Performance_%]]*Table13[[#This Row],[Quality_%]]*[2]Availability_KPI!K685</f>
        <v>0.4383037037037037</v>
      </c>
      <c r="Y685" t="str">
        <f>IF(OR(Table13[[#This Row],[OEE_%]]&gt;1,Table13[[#This Row],[OEE_%]]&lt;0),"Error","OK")</f>
        <v>OK</v>
      </c>
    </row>
    <row r="686" spans="1:25" x14ac:dyDescent="0.2">
      <c r="A686" t="s">
        <v>821</v>
      </c>
      <c r="B686" t="s">
        <v>817</v>
      </c>
      <c r="C686" s="2">
        <v>46275</v>
      </c>
      <c r="D686" t="s">
        <v>53</v>
      </c>
      <c r="E686" t="s">
        <v>41</v>
      </c>
      <c r="F686" t="s">
        <v>97</v>
      </c>
      <c r="G686" t="s">
        <v>36</v>
      </c>
      <c r="H686">
        <v>555</v>
      </c>
      <c r="I686">
        <v>551</v>
      </c>
      <c r="J686">
        <v>4</v>
      </c>
      <c r="K686">
        <v>19.260000000000002</v>
      </c>
      <c r="L686">
        <v>20.170000000000002</v>
      </c>
      <c r="M686">
        <v>186.61</v>
      </c>
      <c r="N686">
        <f>_xlfn.XLOOKUP(Table13[[#This Row],[Production_Order_ID]],[1]Sheet1!$A$2:$A$391,[1]Sheet1!$F$2:$F$391,"No Match")</f>
        <v>460</v>
      </c>
      <c r="O686" s="3">
        <f>Table13[[#This Row],[Good_Qty]]/Table13[[#This Row],[Planned_Production]]</f>
        <v>1.1978260869565218</v>
      </c>
      <c r="P686" t="str">
        <f>IF(Table13[[#This Row],[Good_Qty]]&gt;=Table13[[#This Row],[Planned_Production]],"Met","Not Met")</f>
        <v>Met</v>
      </c>
      <c r="Q686">
        <f>Table13[[#This Row],[Good_Qty]]-Table13[[#This Row],[Planned_Production]]</f>
        <v>91</v>
      </c>
      <c r="R686" s="3">
        <f>IF(Table13[[#This Row],[Actual_Qty]]=0,0,Table13[[#This Row],[Reject_Qty]]/Table13[[#This Row],[Actual_Qty]])</f>
        <v>7.2072072072072073E-3</v>
      </c>
      <c r="S686">
        <v>439.38</v>
      </c>
      <c r="T686">
        <f>(Table13[[#This Row],[Ideal_Cycle_Time_sec]]*Table13[[#This Row],[Actual_Qty]])/(Table13[[#This Row],[Operational_Time_min]]*60)</f>
        <v>0.40546907005325694</v>
      </c>
      <c r="U686">
        <f>Table13[[#This Row],[Good_Qty]]/Table13[[#This Row],[Actual_Qty]]</f>
        <v>0.99279279279279276</v>
      </c>
      <c r="V686" t="str">
        <f>IF(OR(Table13[[#This Row],[Performance_%]]&gt;=1,Table13[[#This Row],[Performance_%]]&lt;=0),"Error","OK")</f>
        <v>OK</v>
      </c>
      <c r="W686" t="str">
        <f>IF(OR(Table13[[#This Row],[Quality_%]]&gt;=1,Table13[[#This Row],[Quality_%]]&lt;=0),"Error","OK")</f>
        <v>OK</v>
      </c>
      <c r="X686">
        <f>Table13[[#This Row],[Performance_%]]*Table13[[#This Row],[Quality_%]]*[2]Availability_KPI!K686</f>
        <v>0.39304666666666671</v>
      </c>
      <c r="Y686" t="str">
        <f>IF(OR(Table13[[#This Row],[OEE_%]]&gt;1,Table13[[#This Row],[OEE_%]]&lt;0),"Error","OK")</f>
        <v>OK</v>
      </c>
    </row>
    <row r="687" spans="1:25" x14ac:dyDescent="0.2">
      <c r="A687" t="s">
        <v>822</v>
      </c>
      <c r="B687" t="s">
        <v>817</v>
      </c>
      <c r="C687" s="2">
        <v>46275</v>
      </c>
      <c r="D687" t="s">
        <v>53</v>
      </c>
      <c r="E687" t="s">
        <v>43</v>
      </c>
      <c r="F687" t="s">
        <v>97</v>
      </c>
      <c r="G687" t="s">
        <v>44</v>
      </c>
      <c r="H687">
        <v>561</v>
      </c>
      <c r="I687">
        <v>553</v>
      </c>
      <c r="J687">
        <v>8</v>
      </c>
      <c r="K687">
        <v>34.24</v>
      </c>
      <c r="L687">
        <v>35.14</v>
      </c>
      <c r="M687">
        <v>328.52</v>
      </c>
      <c r="N687">
        <f>_xlfn.XLOOKUP(Table13[[#This Row],[Production_Order_ID]],[1]Sheet1!$A$2:$A$391,[1]Sheet1!$F$2:$F$391,"No Match")</f>
        <v>460</v>
      </c>
      <c r="O687" s="3">
        <f>Table13[[#This Row],[Good_Qty]]/Table13[[#This Row],[Planned_Production]]</f>
        <v>1.2021739130434783</v>
      </c>
      <c r="P687" t="str">
        <f>IF(Table13[[#This Row],[Good_Qty]]&gt;=Table13[[#This Row],[Planned_Production]],"Met","Not Met")</f>
        <v>Met</v>
      </c>
      <c r="Q687">
        <f>Table13[[#This Row],[Good_Qty]]-Table13[[#This Row],[Planned_Production]]</f>
        <v>93</v>
      </c>
      <c r="R687" s="3">
        <f>IF(Table13[[#This Row],[Actual_Qty]]=0,0,Table13[[#This Row],[Reject_Qty]]/Table13[[#This Row],[Actual_Qty]])</f>
        <v>1.4260249554367201E-2</v>
      </c>
      <c r="S687">
        <v>416.19</v>
      </c>
      <c r="T687">
        <f>(Table13[[#This Row],[Ideal_Cycle_Time_sec]]*Table13[[#This Row],[Actual_Qty]])/(Table13[[#This Row],[Operational_Time_min]]*60)</f>
        <v>0.76922559407962698</v>
      </c>
      <c r="U687">
        <f>Table13[[#This Row],[Good_Qty]]/Table13[[#This Row],[Actual_Qty]]</f>
        <v>0.98573975044563278</v>
      </c>
      <c r="V687" t="str">
        <f>IF(OR(Table13[[#This Row],[Performance_%]]&gt;=1,Table13[[#This Row],[Performance_%]]&lt;=0),"Error","OK")</f>
        <v>OK</v>
      </c>
      <c r="W687" t="str">
        <f>IF(OR(Table13[[#This Row],[Quality_%]]&gt;=1,Table13[[#This Row],[Quality_%]]&lt;=0),"Error","OK")</f>
        <v>OK</v>
      </c>
      <c r="X687">
        <f>Table13[[#This Row],[Performance_%]]*Table13[[#This Row],[Quality_%]]*[2]Availability_KPI!K687</f>
        <v>0.70128592592592576</v>
      </c>
      <c r="Y687" t="str">
        <f>IF(OR(Table13[[#This Row],[OEE_%]]&gt;1,Table13[[#This Row],[OEE_%]]&lt;0),"Error","OK")</f>
        <v>OK</v>
      </c>
    </row>
    <row r="688" spans="1:25" x14ac:dyDescent="0.2">
      <c r="A688" t="s">
        <v>823</v>
      </c>
      <c r="B688" t="s">
        <v>817</v>
      </c>
      <c r="C688" s="2">
        <v>46275</v>
      </c>
      <c r="D688" t="s">
        <v>53</v>
      </c>
      <c r="E688" t="s">
        <v>46</v>
      </c>
      <c r="F688" t="s">
        <v>97</v>
      </c>
      <c r="G688" t="s">
        <v>75</v>
      </c>
      <c r="H688">
        <v>558</v>
      </c>
      <c r="I688">
        <v>553</v>
      </c>
      <c r="J688">
        <v>5</v>
      </c>
      <c r="K688">
        <v>26.75</v>
      </c>
      <c r="L688">
        <v>28.48</v>
      </c>
      <c r="M688">
        <v>264.89</v>
      </c>
      <c r="N688">
        <f>_xlfn.XLOOKUP(Table13[[#This Row],[Production_Order_ID]],[1]Sheet1!$A$2:$A$391,[1]Sheet1!$F$2:$F$391,"No Match")</f>
        <v>460</v>
      </c>
      <c r="O688" s="3">
        <f>Table13[[#This Row],[Good_Qty]]/Table13[[#This Row],[Planned_Production]]</f>
        <v>1.2021739130434783</v>
      </c>
      <c r="P688" t="str">
        <f>IF(Table13[[#This Row],[Good_Qty]]&gt;=Table13[[#This Row],[Planned_Production]],"Met","Not Met")</f>
        <v>Met</v>
      </c>
      <c r="Q688">
        <f>Table13[[#This Row],[Good_Qty]]-Table13[[#This Row],[Planned_Production]]</f>
        <v>93</v>
      </c>
      <c r="R688" s="3">
        <f>IF(Table13[[#This Row],[Actual_Qty]]=0,0,Table13[[#This Row],[Reject_Qty]]/Table13[[#This Row],[Actual_Qty]])</f>
        <v>8.9605734767025085E-3</v>
      </c>
      <c r="S688">
        <v>434.93</v>
      </c>
      <c r="T688">
        <f>(Table13[[#This Row],[Ideal_Cycle_Time_sec]]*Table13[[#This Row],[Actual_Qty]])/(Table13[[#This Row],[Operational_Time_min]]*60)</f>
        <v>0.57198859586600148</v>
      </c>
      <c r="U688">
        <f>Table13[[#This Row],[Good_Qty]]/Table13[[#This Row],[Actual_Qty]]</f>
        <v>0.99103942652329746</v>
      </c>
      <c r="V688" t="str">
        <f>IF(OR(Table13[[#This Row],[Performance_%]]&gt;=1,Table13[[#This Row],[Performance_%]]&lt;=0),"Error","OK")</f>
        <v>OK</v>
      </c>
      <c r="W688" t="str">
        <f>IF(OR(Table13[[#This Row],[Quality_%]]&gt;=1,Table13[[#This Row],[Quality_%]]&lt;=0),"Error","OK")</f>
        <v>OK</v>
      </c>
      <c r="X688">
        <f>Table13[[#This Row],[Performance_%]]*Table13[[#This Row],[Quality_%]]*[2]Availability_KPI!K688</f>
        <v>0.54787962962962966</v>
      </c>
      <c r="Y688" t="str">
        <f>IF(OR(Table13[[#This Row],[OEE_%]]&gt;1,Table13[[#This Row],[OEE_%]]&lt;0),"Error","OK")</f>
        <v>OK</v>
      </c>
    </row>
    <row r="689" spans="1:25" x14ac:dyDescent="0.2">
      <c r="A689" t="s">
        <v>824</v>
      </c>
      <c r="B689" t="s">
        <v>817</v>
      </c>
      <c r="C689" s="2">
        <v>46275</v>
      </c>
      <c r="D689" t="s">
        <v>53</v>
      </c>
      <c r="E689" t="s">
        <v>49</v>
      </c>
      <c r="F689" t="s">
        <v>97</v>
      </c>
      <c r="G689" t="s">
        <v>36</v>
      </c>
      <c r="H689">
        <v>575</v>
      </c>
      <c r="I689">
        <v>573</v>
      </c>
      <c r="J689">
        <v>2</v>
      </c>
      <c r="K689">
        <v>21.4</v>
      </c>
      <c r="L689">
        <v>22.75</v>
      </c>
      <c r="M689">
        <v>217.99</v>
      </c>
      <c r="N689">
        <f>_xlfn.XLOOKUP(Table13[[#This Row],[Production_Order_ID]],[1]Sheet1!$A$2:$A$391,[1]Sheet1!$F$2:$F$391,"No Match")</f>
        <v>460</v>
      </c>
      <c r="O689" s="3">
        <f>Table13[[#This Row],[Good_Qty]]/Table13[[#This Row],[Planned_Production]]</f>
        <v>1.2456521739130435</v>
      </c>
      <c r="P689" t="str">
        <f>IF(Table13[[#This Row],[Good_Qty]]&gt;=Table13[[#This Row],[Planned_Production]],"Met","Not Met")</f>
        <v>Met</v>
      </c>
      <c r="Q689">
        <f>Table13[[#This Row],[Good_Qty]]-Table13[[#This Row],[Planned_Production]]</f>
        <v>113</v>
      </c>
      <c r="R689" s="3">
        <f>IF(Table13[[#This Row],[Actual_Qty]]=0,0,Table13[[#This Row],[Reject_Qty]]/Table13[[#This Row],[Actual_Qty]])</f>
        <v>3.4782608695652175E-3</v>
      </c>
      <c r="S689">
        <v>441.44</v>
      </c>
      <c r="T689">
        <f>(Table13[[#This Row],[Ideal_Cycle_Time_sec]]*Table13[[#This Row],[Actual_Qty]])/(Table13[[#This Row],[Operational_Time_min]]*60)</f>
        <v>0.46457804760178806</v>
      </c>
      <c r="U689">
        <f>Table13[[#This Row],[Good_Qty]]/Table13[[#This Row],[Actual_Qty]]</f>
        <v>0.99652173913043474</v>
      </c>
      <c r="V689" t="str">
        <f>IF(OR(Table13[[#This Row],[Performance_%]]&gt;=1,Table13[[#This Row],[Performance_%]]&lt;=0),"Error","OK")</f>
        <v>OK</v>
      </c>
      <c r="W689" t="str">
        <f>IF(OR(Table13[[#This Row],[Quality_%]]&gt;=1,Table13[[#This Row],[Quality_%]]&lt;=0),"Error","OK")</f>
        <v>OK</v>
      </c>
      <c r="X689">
        <f>Table13[[#This Row],[Performance_%]]*Table13[[#This Row],[Quality_%]]*[2]Availability_KPI!K689</f>
        <v>0.45415555555555548</v>
      </c>
      <c r="Y689" t="str">
        <f>IF(OR(Table13[[#This Row],[OEE_%]]&gt;1,Table13[[#This Row],[OEE_%]]&lt;0),"Error","OK")</f>
        <v>OK</v>
      </c>
    </row>
    <row r="690" spans="1:25" x14ac:dyDescent="0.2">
      <c r="A690" t="s">
        <v>825</v>
      </c>
      <c r="B690" t="s">
        <v>826</v>
      </c>
      <c r="C690" s="2">
        <v>46275</v>
      </c>
      <c r="D690" t="s">
        <v>67</v>
      </c>
      <c r="E690" t="s">
        <v>28</v>
      </c>
      <c r="F690" t="s">
        <v>54</v>
      </c>
      <c r="G690" t="s">
        <v>44</v>
      </c>
      <c r="H690">
        <v>668</v>
      </c>
      <c r="I690">
        <v>663</v>
      </c>
      <c r="J690">
        <v>5</v>
      </c>
      <c r="K690">
        <v>18</v>
      </c>
      <c r="L690">
        <v>18</v>
      </c>
      <c r="M690">
        <v>200.4</v>
      </c>
      <c r="N690">
        <f>_xlfn.XLOOKUP(Table13[[#This Row],[Production_Order_ID]],[1]Sheet1!$A$2:$A$391,[1]Sheet1!$F$2:$F$391,"No Match")</f>
        <v>410</v>
      </c>
      <c r="O690" s="3">
        <f>Table13[[#This Row],[Good_Qty]]/Table13[[#This Row],[Planned_Production]]</f>
        <v>1.6170731707317074</v>
      </c>
      <c r="P690" t="str">
        <f>IF(Table13[[#This Row],[Good_Qty]]&gt;=Table13[[#This Row],[Planned_Production]],"Met","Not Met")</f>
        <v>Met</v>
      </c>
      <c r="Q690">
        <f>Table13[[#This Row],[Good_Qty]]-Table13[[#This Row],[Planned_Production]]</f>
        <v>253</v>
      </c>
      <c r="R690" s="3">
        <f>IF(Table13[[#This Row],[Actual_Qty]]=0,0,Table13[[#This Row],[Reject_Qty]]/Table13[[#This Row],[Actual_Qty]])</f>
        <v>7.4850299401197605E-3</v>
      </c>
      <c r="S690">
        <v>439.19</v>
      </c>
      <c r="T690">
        <f>(Table13[[#This Row],[Ideal_Cycle_Time_sec]]*Table13[[#This Row],[Actual_Qty]])/(Table13[[#This Row],[Operational_Time_min]]*60)</f>
        <v>0.45629454222546051</v>
      </c>
      <c r="U690">
        <f>Table13[[#This Row],[Good_Qty]]/Table13[[#This Row],[Actual_Qty]]</f>
        <v>0.99251497005988021</v>
      </c>
      <c r="V690" t="str">
        <f>IF(OR(Table13[[#This Row],[Performance_%]]&gt;=1,Table13[[#This Row],[Performance_%]]&lt;=0),"Error","OK")</f>
        <v>OK</v>
      </c>
      <c r="W690" t="str">
        <f>IF(OR(Table13[[#This Row],[Quality_%]]&gt;=1,Table13[[#This Row],[Quality_%]]&lt;=0),"Error","OK")</f>
        <v>OK</v>
      </c>
      <c r="X690">
        <f>Table13[[#This Row],[Performance_%]]*Table13[[#This Row],[Quality_%]]*[2]Availability_KPI!K690</f>
        <v>0.44199999999999995</v>
      </c>
      <c r="Y690" t="str">
        <f>IF(OR(Table13[[#This Row],[OEE_%]]&gt;1,Table13[[#This Row],[OEE_%]]&lt;0),"Error","OK")</f>
        <v>OK</v>
      </c>
    </row>
    <row r="691" spans="1:25" x14ac:dyDescent="0.2">
      <c r="A691" t="s">
        <v>827</v>
      </c>
      <c r="B691" t="s">
        <v>826</v>
      </c>
      <c r="C691" s="2">
        <v>46275</v>
      </c>
      <c r="D691" t="s">
        <v>67</v>
      </c>
      <c r="E691" t="s">
        <v>32</v>
      </c>
      <c r="F691" t="s">
        <v>54</v>
      </c>
      <c r="G691" t="s">
        <v>30</v>
      </c>
      <c r="H691">
        <v>683</v>
      </c>
      <c r="I691">
        <v>679</v>
      </c>
      <c r="J691">
        <v>4</v>
      </c>
      <c r="K691">
        <v>20</v>
      </c>
      <c r="L691">
        <v>22.23</v>
      </c>
      <c r="M691">
        <v>253</v>
      </c>
      <c r="N691">
        <f>_xlfn.XLOOKUP(Table13[[#This Row],[Production_Order_ID]],[1]Sheet1!$A$2:$A$391,[1]Sheet1!$F$2:$F$391,"No Match")</f>
        <v>410</v>
      </c>
      <c r="O691" s="3">
        <f>Table13[[#This Row],[Good_Qty]]/Table13[[#This Row],[Planned_Production]]</f>
        <v>1.6560975609756097</v>
      </c>
      <c r="P691" t="str">
        <f>IF(Table13[[#This Row],[Good_Qty]]&gt;=Table13[[#This Row],[Planned_Production]],"Met","Not Met")</f>
        <v>Met</v>
      </c>
      <c r="Q691">
        <f>Table13[[#This Row],[Good_Qty]]-Table13[[#This Row],[Planned_Production]]</f>
        <v>269</v>
      </c>
      <c r="R691" s="3">
        <f>IF(Table13[[#This Row],[Actual_Qty]]=0,0,Table13[[#This Row],[Reject_Qty]]/Table13[[#This Row],[Actual_Qty]])</f>
        <v>5.8565153733528552E-3</v>
      </c>
      <c r="S691">
        <v>434.84</v>
      </c>
      <c r="T691">
        <f>(Table13[[#This Row],[Ideal_Cycle_Time_sec]]*Table13[[#This Row],[Actual_Qty]])/(Table13[[#This Row],[Operational_Time_min]]*60)</f>
        <v>0.52356422285591642</v>
      </c>
      <c r="U691">
        <f>Table13[[#This Row],[Good_Qty]]/Table13[[#This Row],[Actual_Qty]]</f>
        <v>0.99414348462664714</v>
      </c>
      <c r="V691" t="str">
        <f>IF(OR(Table13[[#This Row],[Performance_%]]&gt;=1,Table13[[#This Row],[Performance_%]]&lt;=0),"Error","OK")</f>
        <v>OK</v>
      </c>
      <c r="W691" t="str">
        <f>IF(OR(Table13[[#This Row],[Quality_%]]&gt;=1,Table13[[#This Row],[Quality_%]]&lt;=0),"Error","OK")</f>
        <v>OK</v>
      </c>
      <c r="X691">
        <f>Table13[[#This Row],[Performance_%]]*Table13[[#This Row],[Quality_%]]*[2]Availability_KPI!K691</f>
        <v>0.50296296296296306</v>
      </c>
      <c r="Y691" t="str">
        <f>IF(OR(Table13[[#This Row],[OEE_%]]&gt;1,Table13[[#This Row],[OEE_%]]&lt;0),"Error","OK")</f>
        <v>OK</v>
      </c>
    </row>
    <row r="692" spans="1:25" x14ac:dyDescent="0.2">
      <c r="A692" t="s">
        <v>828</v>
      </c>
      <c r="B692" t="s">
        <v>826</v>
      </c>
      <c r="C692" s="2">
        <v>46275</v>
      </c>
      <c r="D692" t="s">
        <v>67</v>
      </c>
      <c r="E692" t="s">
        <v>35</v>
      </c>
      <c r="F692" t="s">
        <v>54</v>
      </c>
      <c r="G692" t="s">
        <v>47</v>
      </c>
      <c r="H692">
        <v>671</v>
      </c>
      <c r="I692">
        <v>666</v>
      </c>
      <c r="J692">
        <v>5</v>
      </c>
      <c r="K692">
        <v>22</v>
      </c>
      <c r="L692">
        <v>23.48</v>
      </c>
      <c r="M692">
        <v>262.58999999999997</v>
      </c>
      <c r="N692">
        <f>_xlfn.XLOOKUP(Table13[[#This Row],[Production_Order_ID]],[1]Sheet1!$A$2:$A$391,[1]Sheet1!$F$2:$F$391,"No Match")</f>
        <v>410</v>
      </c>
      <c r="O692" s="3">
        <f>Table13[[#This Row],[Good_Qty]]/Table13[[#This Row],[Planned_Production]]</f>
        <v>1.6243902439024391</v>
      </c>
      <c r="P692" t="str">
        <f>IF(Table13[[#This Row],[Good_Qty]]&gt;=Table13[[#This Row],[Planned_Production]],"Met","Not Met")</f>
        <v>Met</v>
      </c>
      <c r="Q692">
        <f>Table13[[#This Row],[Good_Qty]]-Table13[[#This Row],[Planned_Production]]</f>
        <v>256</v>
      </c>
      <c r="R692" s="3">
        <f>IF(Table13[[#This Row],[Actual_Qty]]=0,0,Table13[[#This Row],[Reject_Qty]]/Table13[[#This Row],[Actual_Qty]])</f>
        <v>7.4515648286140089E-3</v>
      </c>
      <c r="S692">
        <v>436.2</v>
      </c>
      <c r="T692">
        <f>(Table13[[#This Row],[Ideal_Cycle_Time_sec]]*Table13[[#This Row],[Actual_Qty]])/(Table13[[#This Row],[Operational_Time_min]]*60)</f>
        <v>0.56403790310255231</v>
      </c>
      <c r="U692">
        <f>Table13[[#This Row],[Good_Qty]]/Table13[[#This Row],[Actual_Qty]]</f>
        <v>0.99254843517138602</v>
      </c>
      <c r="V692" t="str">
        <f>IF(OR(Table13[[#This Row],[Performance_%]]&gt;=1,Table13[[#This Row],[Performance_%]]&lt;=0),"Error","OK")</f>
        <v>OK</v>
      </c>
      <c r="W692" t="str">
        <f>IF(OR(Table13[[#This Row],[Quality_%]]&gt;=1,Table13[[#This Row],[Quality_%]]&lt;=0),"Error","OK")</f>
        <v>OK</v>
      </c>
      <c r="X692">
        <f>Table13[[#This Row],[Performance_%]]*Table13[[#This Row],[Quality_%]]*[2]Availability_KPI!K692</f>
        <v>0.54266666666666663</v>
      </c>
      <c r="Y692" t="str">
        <f>IF(OR(Table13[[#This Row],[OEE_%]]&gt;1,Table13[[#This Row],[OEE_%]]&lt;0),"Error","OK")</f>
        <v>OK</v>
      </c>
    </row>
    <row r="693" spans="1:25" x14ac:dyDescent="0.2">
      <c r="A693" t="s">
        <v>829</v>
      </c>
      <c r="B693" t="s">
        <v>826</v>
      </c>
      <c r="C693" s="2">
        <v>46275</v>
      </c>
      <c r="D693" t="s">
        <v>67</v>
      </c>
      <c r="E693" t="s">
        <v>38</v>
      </c>
      <c r="F693" t="s">
        <v>54</v>
      </c>
      <c r="G693" t="s">
        <v>44</v>
      </c>
      <c r="H693">
        <v>669</v>
      </c>
      <c r="I693">
        <v>666</v>
      </c>
      <c r="J693">
        <v>3</v>
      </c>
      <c r="K693">
        <v>20</v>
      </c>
      <c r="L693">
        <v>21.44</v>
      </c>
      <c r="M693">
        <v>239.09</v>
      </c>
      <c r="N693">
        <f>_xlfn.XLOOKUP(Table13[[#This Row],[Production_Order_ID]],[1]Sheet1!$A$2:$A$391,[1]Sheet1!$F$2:$F$391,"No Match")</f>
        <v>410</v>
      </c>
      <c r="O693" s="3">
        <f>Table13[[#This Row],[Good_Qty]]/Table13[[#This Row],[Planned_Production]]</f>
        <v>1.6243902439024391</v>
      </c>
      <c r="P693" t="str">
        <f>IF(Table13[[#This Row],[Good_Qty]]&gt;=Table13[[#This Row],[Planned_Production]],"Met","Not Met")</f>
        <v>Met</v>
      </c>
      <c r="Q693">
        <f>Table13[[#This Row],[Good_Qty]]-Table13[[#This Row],[Planned_Production]]</f>
        <v>256</v>
      </c>
      <c r="R693" s="3">
        <f>IF(Table13[[#This Row],[Actual_Qty]]=0,0,Table13[[#This Row],[Reject_Qty]]/Table13[[#This Row],[Actual_Qty]])</f>
        <v>4.4843049327354259E-3</v>
      </c>
      <c r="S693">
        <v>436.26</v>
      </c>
      <c r="T693">
        <f>(Table13[[#This Row],[Ideal_Cycle_Time_sec]]*Table13[[#This Row],[Actual_Qty]])/(Table13[[#This Row],[Operational_Time_min]]*60)</f>
        <v>0.51116306789529187</v>
      </c>
      <c r="U693">
        <f>Table13[[#This Row],[Good_Qty]]/Table13[[#This Row],[Actual_Qty]]</f>
        <v>0.99551569506726456</v>
      </c>
      <c r="V693" t="str">
        <f>IF(OR(Table13[[#This Row],[Performance_%]]&gt;=1,Table13[[#This Row],[Performance_%]]&lt;=0),"Error","OK")</f>
        <v>OK</v>
      </c>
      <c r="W693" t="str">
        <f>IF(OR(Table13[[#This Row],[Quality_%]]&gt;=1,Table13[[#This Row],[Quality_%]]&lt;=0),"Error","OK")</f>
        <v>OK</v>
      </c>
      <c r="X693">
        <f>Table13[[#This Row],[Performance_%]]*Table13[[#This Row],[Quality_%]]*[2]Availability_KPI!K693</f>
        <v>0.49333333333333346</v>
      </c>
      <c r="Y693" t="str">
        <f>IF(OR(Table13[[#This Row],[OEE_%]]&gt;1,Table13[[#This Row],[OEE_%]]&lt;0),"Error","OK")</f>
        <v>OK</v>
      </c>
    </row>
    <row r="694" spans="1:25" x14ac:dyDescent="0.2">
      <c r="A694" t="s">
        <v>830</v>
      </c>
      <c r="B694" t="s">
        <v>826</v>
      </c>
      <c r="C694" s="2">
        <v>46275</v>
      </c>
      <c r="D694" t="s">
        <v>67</v>
      </c>
      <c r="E694" t="s">
        <v>41</v>
      </c>
      <c r="F694" t="s">
        <v>54</v>
      </c>
      <c r="G694" t="s">
        <v>71</v>
      </c>
      <c r="H694">
        <v>680</v>
      </c>
      <c r="I694">
        <v>675</v>
      </c>
      <c r="J694">
        <v>5</v>
      </c>
      <c r="K694">
        <v>18</v>
      </c>
      <c r="L694">
        <v>18.7</v>
      </c>
      <c r="M694">
        <v>211.9</v>
      </c>
      <c r="N694">
        <f>_xlfn.XLOOKUP(Table13[[#This Row],[Production_Order_ID]],[1]Sheet1!$A$2:$A$391,[1]Sheet1!$F$2:$F$391,"No Match")</f>
        <v>410</v>
      </c>
      <c r="O694" s="3">
        <f>Table13[[#This Row],[Good_Qty]]/Table13[[#This Row],[Planned_Production]]</f>
        <v>1.6463414634146341</v>
      </c>
      <c r="P694" t="str">
        <f>IF(Table13[[#This Row],[Good_Qty]]&gt;=Table13[[#This Row],[Planned_Production]],"Met","Not Met")</f>
        <v>Met</v>
      </c>
      <c r="Q694">
        <f>Table13[[#This Row],[Good_Qty]]-Table13[[#This Row],[Planned_Production]]</f>
        <v>265</v>
      </c>
      <c r="R694" s="3">
        <f>IF(Table13[[#This Row],[Actual_Qty]]=0,0,Table13[[#This Row],[Reject_Qty]]/Table13[[#This Row],[Actual_Qty]])</f>
        <v>7.3529411764705881E-3</v>
      </c>
      <c r="S694">
        <v>437.3</v>
      </c>
      <c r="T694">
        <f>(Table13[[#This Row],[Ideal_Cycle_Time_sec]]*Table13[[#This Row],[Actual_Qty]])/(Table13[[#This Row],[Operational_Time_min]]*60)</f>
        <v>0.46649897095815229</v>
      </c>
      <c r="U694">
        <f>Table13[[#This Row],[Good_Qty]]/Table13[[#This Row],[Actual_Qty]]</f>
        <v>0.99264705882352944</v>
      </c>
      <c r="V694" t="str">
        <f>IF(OR(Table13[[#This Row],[Performance_%]]&gt;=1,Table13[[#This Row],[Performance_%]]&lt;=0),"Error","OK")</f>
        <v>OK</v>
      </c>
      <c r="W694" t="str">
        <f>IF(OR(Table13[[#This Row],[Quality_%]]&gt;=1,Table13[[#This Row],[Quality_%]]&lt;=0),"Error","OK")</f>
        <v>OK</v>
      </c>
      <c r="X694">
        <f>Table13[[#This Row],[Performance_%]]*Table13[[#This Row],[Quality_%]]*[2]Availability_KPI!K694</f>
        <v>0.45000000000000007</v>
      </c>
      <c r="Y694" t="str">
        <f>IF(OR(Table13[[#This Row],[OEE_%]]&gt;1,Table13[[#This Row],[OEE_%]]&lt;0),"Error","OK")</f>
        <v>OK</v>
      </c>
    </row>
    <row r="695" spans="1:25" x14ac:dyDescent="0.2">
      <c r="A695" t="s">
        <v>831</v>
      </c>
      <c r="B695" t="s">
        <v>826</v>
      </c>
      <c r="C695" s="2">
        <v>46275</v>
      </c>
      <c r="D695" t="s">
        <v>67</v>
      </c>
      <c r="E695" t="s">
        <v>43</v>
      </c>
      <c r="F695" t="s">
        <v>54</v>
      </c>
      <c r="G695" t="s">
        <v>57</v>
      </c>
      <c r="H695">
        <v>675</v>
      </c>
      <c r="I695">
        <v>664</v>
      </c>
      <c r="J695">
        <v>11</v>
      </c>
      <c r="K695">
        <v>32</v>
      </c>
      <c r="L695">
        <v>34.29</v>
      </c>
      <c r="M695">
        <v>385.73</v>
      </c>
      <c r="N695">
        <f>_xlfn.XLOOKUP(Table13[[#This Row],[Production_Order_ID]],[1]Sheet1!$A$2:$A$391,[1]Sheet1!$F$2:$F$391,"No Match")</f>
        <v>410</v>
      </c>
      <c r="O695" s="3">
        <f>Table13[[#This Row],[Good_Qty]]/Table13[[#This Row],[Planned_Production]]</f>
        <v>1.6195121951219513</v>
      </c>
      <c r="P695" t="str">
        <f>IF(Table13[[#This Row],[Good_Qty]]&gt;=Table13[[#This Row],[Planned_Production]],"Met","Not Met")</f>
        <v>Met</v>
      </c>
      <c r="Q695">
        <f>Table13[[#This Row],[Good_Qty]]-Table13[[#This Row],[Planned_Production]]</f>
        <v>254</v>
      </c>
      <c r="R695" s="3">
        <f>IF(Table13[[#This Row],[Actual_Qty]]=0,0,Table13[[#This Row],[Reject_Qty]]/Table13[[#This Row],[Actual_Qty]])</f>
        <v>1.6296296296296295E-2</v>
      </c>
      <c r="S695">
        <v>406.67</v>
      </c>
      <c r="T695">
        <f>(Table13[[#This Row],[Ideal_Cycle_Time_sec]]*Table13[[#This Row],[Actual_Qty]])/(Table13[[#This Row],[Operational_Time_min]]*60)</f>
        <v>0.8852386455848722</v>
      </c>
      <c r="U695">
        <f>Table13[[#This Row],[Good_Qty]]/Table13[[#This Row],[Actual_Qty]]</f>
        <v>0.98370370370370375</v>
      </c>
      <c r="V695" t="str">
        <f>IF(OR(Table13[[#This Row],[Performance_%]]&gt;=1,Table13[[#This Row],[Performance_%]]&lt;=0),"Error","OK")</f>
        <v>OK</v>
      </c>
      <c r="W695" t="str">
        <f>IF(OR(Table13[[#This Row],[Quality_%]]&gt;=1,Table13[[#This Row],[Quality_%]]&lt;=0),"Error","OK")</f>
        <v>OK</v>
      </c>
      <c r="X695">
        <f>Table13[[#This Row],[Performance_%]]*Table13[[#This Row],[Quality_%]]*[2]Availability_KPI!K695</f>
        <v>0.78696296296296298</v>
      </c>
      <c r="Y695" t="str">
        <f>IF(OR(Table13[[#This Row],[OEE_%]]&gt;1,Table13[[#This Row],[OEE_%]]&lt;0),"Error","OK")</f>
        <v>OK</v>
      </c>
    </row>
    <row r="696" spans="1:25" x14ac:dyDescent="0.2">
      <c r="A696" t="s">
        <v>832</v>
      </c>
      <c r="B696" t="s">
        <v>826</v>
      </c>
      <c r="C696" s="2">
        <v>46275</v>
      </c>
      <c r="D696" t="s">
        <v>67</v>
      </c>
      <c r="E696" t="s">
        <v>46</v>
      </c>
      <c r="F696" t="s">
        <v>54</v>
      </c>
      <c r="G696" t="s">
        <v>61</v>
      </c>
      <c r="H696">
        <v>682</v>
      </c>
      <c r="I696">
        <v>675</v>
      </c>
      <c r="J696">
        <v>7</v>
      </c>
      <c r="K696">
        <v>25</v>
      </c>
      <c r="L696">
        <v>26.8</v>
      </c>
      <c r="M696">
        <v>304.62</v>
      </c>
      <c r="N696">
        <f>_xlfn.XLOOKUP(Table13[[#This Row],[Production_Order_ID]],[1]Sheet1!$A$2:$A$391,[1]Sheet1!$F$2:$F$391,"No Match")</f>
        <v>410</v>
      </c>
      <c r="O696" s="3">
        <f>Table13[[#This Row],[Good_Qty]]/Table13[[#This Row],[Planned_Production]]</f>
        <v>1.6463414634146341</v>
      </c>
      <c r="P696" t="str">
        <f>IF(Table13[[#This Row],[Good_Qty]]&gt;=Table13[[#This Row],[Planned_Production]],"Met","Not Met")</f>
        <v>Met</v>
      </c>
      <c r="Q696">
        <f>Table13[[#This Row],[Good_Qty]]-Table13[[#This Row],[Planned_Production]]</f>
        <v>265</v>
      </c>
      <c r="R696" s="3">
        <f>IF(Table13[[#This Row],[Actual_Qty]]=0,0,Table13[[#This Row],[Reject_Qty]]/Table13[[#This Row],[Actual_Qty]])</f>
        <v>1.0263929618768328E-2</v>
      </c>
      <c r="S696">
        <v>424.05</v>
      </c>
      <c r="T696">
        <f>(Table13[[#This Row],[Ideal_Cycle_Time_sec]]*Table13[[#This Row],[Actual_Qty]])/(Table13[[#This Row],[Operational_Time_min]]*60)</f>
        <v>0.67012537829658447</v>
      </c>
      <c r="U696">
        <f>Table13[[#This Row],[Good_Qty]]/Table13[[#This Row],[Actual_Qty]]</f>
        <v>0.98973607038123168</v>
      </c>
      <c r="V696" t="str">
        <f>IF(OR(Table13[[#This Row],[Performance_%]]&gt;=1,Table13[[#This Row],[Performance_%]]&lt;=0),"Error","OK")</f>
        <v>OK</v>
      </c>
      <c r="W696" t="str">
        <f>IF(OR(Table13[[#This Row],[Quality_%]]&gt;=1,Table13[[#This Row],[Quality_%]]&lt;=0),"Error","OK")</f>
        <v>OK</v>
      </c>
      <c r="X696">
        <f>Table13[[#This Row],[Performance_%]]*Table13[[#This Row],[Quality_%]]*[2]Availability_KPI!K696</f>
        <v>0.625</v>
      </c>
      <c r="Y696" t="str">
        <f>IF(OR(Table13[[#This Row],[OEE_%]]&gt;1,Table13[[#This Row],[OEE_%]]&lt;0),"Error","OK")</f>
        <v>OK</v>
      </c>
    </row>
    <row r="697" spans="1:25" x14ac:dyDescent="0.2">
      <c r="A697" t="s">
        <v>833</v>
      </c>
      <c r="B697" t="s">
        <v>826</v>
      </c>
      <c r="C697" s="2">
        <v>46275</v>
      </c>
      <c r="D697" t="s">
        <v>67</v>
      </c>
      <c r="E697" t="s">
        <v>49</v>
      </c>
      <c r="F697" t="s">
        <v>54</v>
      </c>
      <c r="G697" t="s">
        <v>57</v>
      </c>
      <c r="H697">
        <v>681</v>
      </c>
      <c r="I697">
        <v>676</v>
      </c>
      <c r="J697">
        <v>5</v>
      </c>
      <c r="K697">
        <v>20</v>
      </c>
      <c r="L697">
        <v>20.46</v>
      </c>
      <c r="M697">
        <v>232.17</v>
      </c>
      <c r="N697">
        <f>_xlfn.XLOOKUP(Table13[[#This Row],[Production_Order_ID]],[1]Sheet1!$A$2:$A$391,[1]Sheet1!$F$2:$F$391,"No Match")</f>
        <v>410</v>
      </c>
      <c r="O697" s="3">
        <f>Table13[[#This Row],[Good_Qty]]/Table13[[#This Row],[Planned_Production]]</f>
        <v>1.648780487804878</v>
      </c>
      <c r="P697" t="str">
        <f>IF(Table13[[#This Row],[Good_Qty]]&gt;=Table13[[#This Row],[Planned_Production]],"Met","Not Met")</f>
        <v>Met</v>
      </c>
      <c r="Q697">
        <f>Table13[[#This Row],[Good_Qty]]-Table13[[#This Row],[Planned_Production]]</f>
        <v>266</v>
      </c>
      <c r="R697" s="3">
        <f>IF(Table13[[#This Row],[Actual_Qty]]=0,0,Table13[[#This Row],[Reject_Qty]]/Table13[[#This Row],[Actual_Qty]])</f>
        <v>7.3421439060205578E-3</v>
      </c>
      <c r="S697">
        <v>442.44</v>
      </c>
      <c r="T697">
        <f>(Table13[[#This Row],[Ideal_Cycle_Time_sec]]*Table13[[#This Row],[Actual_Qty]])/(Table13[[#This Row],[Operational_Time_min]]*60)</f>
        <v>0.51306391827140396</v>
      </c>
      <c r="U697">
        <f>Table13[[#This Row],[Good_Qty]]/Table13[[#This Row],[Actual_Qty]]</f>
        <v>0.9926578560939795</v>
      </c>
      <c r="V697" t="str">
        <f>IF(OR(Table13[[#This Row],[Performance_%]]&gt;=1,Table13[[#This Row],[Performance_%]]&lt;=0),"Error","OK")</f>
        <v>OK</v>
      </c>
      <c r="W697" t="str">
        <f>IF(OR(Table13[[#This Row],[Quality_%]]&gt;=1,Table13[[#This Row],[Quality_%]]&lt;=0),"Error","OK")</f>
        <v>OK</v>
      </c>
      <c r="X697">
        <f>Table13[[#This Row],[Performance_%]]*Table13[[#This Row],[Quality_%]]*[2]Availability_KPI!K697</f>
        <v>0.5007407407407406</v>
      </c>
      <c r="Y697" t="str">
        <f>IF(OR(Table13[[#This Row],[OEE_%]]&gt;1,Table13[[#This Row],[OEE_%]]&lt;0),"Error","OK")</f>
        <v>OK</v>
      </c>
    </row>
    <row r="698" spans="1:25" x14ac:dyDescent="0.2">
      <c r="A698" t="s">
        <v>834</v>
      </c>
      <c r="B698" t="s">
        <v>835</v>
      </c>
      <c r="C698" s="2">
        <v>46276</v>
      </c>
      <c r="D698" t="s">
        <v>27</v>
      </c>
      <c r="E698" t="s">
        <v>28</v>
      </c>
      <c r="F698" t="s">
        <v>97</v>
      </c>
      <c r="G698" t="s">
        <v>30</v>
      </c>
      <c r="H698">
        <v>593</v>
      </c>
      <c r="I698">
        <v>589</v>
      </c>
      <c r="J698">
        <v>4</v>
      </c>
      <c r="K698">
        <v>19.260000000000002</v>
      </c>
      <c r="L698">
        <v>20.54</v>
      </c>
      <c r="M698">
        <v>203.01</v>
      </c>
      <c r="N698">
        <f>_xlfn.XLOOKUP(Table13[[#This Row],[Production_Order_ID]],[1]Sheet1!$A$2:$A$391,[1]Sheet1!$F$2:$F$391,"No Match")</f>
        <v>540</v>
      </c>
      <c r="O698" s="3">
        <f>Table13[[#This Row],[Good_Qty]]/Table13[[#This Row],[Planned_Production]]</f>
        <v>1.0907407407407408</v>
      </c>
      <c r="P698" t="str">
        <f>IF(Table13[[#This Row],[Good_Qty]]&gt;=Table13[[#This Row],[Planned_Production]],"Met","Not Met")</f>
        <v>Met</v>
      </c>
      <c r="Q698">
        <f>Table13[[#This Row],[Good_Qty]]-Table13[[#This Row],[Planned_Production]]</f>
        <v>49</v>
      </c>
      <c r="R698" s="3">
        <f>IF(Table13[[#This Row],[Actual_Qty]]=0,0,Table13[[#This Row],[Reject_Qty]]/Table13[[#This Row],[Actual_Qty]])</f>
        <v>6.7453625632377737E-3</v>
      </c>
      <c r="S698">
        <v>441.65</v>
      </c>
      <c r="T698">
        <f>(Table13[[#This Row],[Ideal_Cycle_Time_sec]]*Table13[[#This Row],[Actual_Qty]])/(Table13[[#This Row],[Operational_Time_min]]*60)</f>
        <v>0.43100418883731462</v>
      </c>
      <c r="U698">
        <f>Table13[[#This Row],[Good_Qty]]/Table13[[#This Row],[Actual_Qty]]</f>
        <v>0.99325463743676223</v>
      </c>
      <c r="V698" t="str">
        <f>IF(OR(Table13[[#This Row],[Performance_%]]&gt;=1,Table13[[#This Row],[Performance_%]]&lt;=0),"Error","OK")</f>
        <v>OK</v>
      </c>
      <c r="W698" t="str">
        <f>IF(OR(Table13[[#This Row],[Quality_%]]&gt;=1,Table13[[#This Row],[Quality_%]]&lt;=0),"Error","OK")</f>
        <v>OK</v>
      </c>
      <c r="X698">
        <f>Table13[[#This Row],[Performance_%]]*Table13[[#This Row],[Quality_%]]*[2]Availability_KPI!K698</f>
        <v>0.42015333333333332</v>
      </c>
      <c r="Y698" t="str">
        <f>IF(OR(Table13[[#This Row],[OEE_%]]&gt;1,Table13[[#This Row],[OEE_%]]&lt;0),"Error","OK")</f>
        <v>OK</v>
      </c>
    </row>
    <row r="699" spans="1:25" x14ac:dyDescent="0.2">
      <c r="A699" t="s">
        <v>836</v>
      </c>
      <c r="B699" t="s">
        <v>835</v>
      </c>
      <c r="C699" s="2">
        <v>46276</v>
      </c>
      <c r="D699" t="s">
        <v>27</v>
      </c>
      <c r="E699" t="s">
        <v>32</v>
      </c>
      <c r="F699" t="s">
        <v>97</v>
      </c>
      <c r="G699" t="s">
        <v>71</v>
      </c>
      <c r="H699">
        <v>625</v>
      </c>
      <c r="I699">
        <v>620</v>
      </c>
      <c r="J699">
        <v>5</v>
      </c>
      <c r="K699">
        <v>21.4</v>
      </c>
      <c r="L699">
        <v>21.8</v>
      </c>
      <c r="M699">
        <v>227.06</v>
      </c>
      <c r="N699">
        <f>_xlfn.XLOOKUP(Table13[[#This Row],[Production_Order_ID]],[1]Sheet1!$A$2:$A$391,[1]Sheet1!$F$2:$F$391,"No Match")</f>
        <v>540</v>
      </c>
      <c r="O699" s="3">
        <f>Table13[[#This Row],[Good_Qty]]/Table13[[#This Row],[Planned_Production]]</f>
        <v>1.1481481481481481</v>
      </c>
      <c r="P699" t="str">
        <f>IF(Table13[[#This Row],[Good_Qty]]&gt;=Table13[[#This Row],[Planned_Production]],"Met","Not Met")</f>
        <v>Met</v>
      </c>
      <c r="Q699">
        <f>Table13[[#This Row],[Good_Qty]]-Table13[[#This Row],[Planned_Production]]</f>
        <v>80</v>
      </c>
      <c r="R699" s="3">
        <f>IF(Table13[[#This Row],[Actual_Qty]]=0,0,Table13[[#This Row],[Reject_Qty]]/Table13[[#This Row],[Actual_Qty]])</f>
        <v>8.0000000000000002E-3</v>
      </c>
      <c r="S699">
        <v>438.38</v>
      </c>
      <c r="T699">
        <f>(Table13[[#This Row],[Ideal_Cycle_Time_sec]]*Table13[[#This Row],[Actual_Qty]])/(Table13[[#This Row],[Operational_Time_min]]*60)</f>
        <v>0.50850099609167088</v>
      </c>
      <c r="U699">
        <f>Table13[[#This Row],[Good_Qty]]/Table13[[#This Row],[Actual_Qty]]</f>
        <v>0.99199999999999999</v>
      </c>
      <c r="V699" t="str">
        <f>IF(OR(Table13[[#This Row],[Performance_%]]&gt;=1,Table13[[#This Row],[Performance_%]]&lt;=0),"Error","OK")</f>
        <v>OK</v>
      </c>
      <c r="W699" t="str">
        <f>IF(OR(Table13[[#This Row],[Quality_%]]&gt;=1,Table13[[#This Row],[Quality_%]]&lt;=0),"Error","OK")</f>
        <v>OK</v>
      </c>
      <c r="X699">
        <f>Table13[[#This Row],[Performance_%]]*Table13[[#This Row],[Quality_%]]*[2]Availability_KPI!K699</f>
        <v>0.4914074074074074</v>
      </c>
      <c r="Y699" t="str">
        <f>IF(OR(Table13[[#This Row],[OEE_%]]&gt;1,Table13[[#This Row],[OEE_%]]&lt;0),"Error","OK")</f>
        <v>OK</v>
      </c>
    </row>
    <row r="700" spans="1:25" x14ac:dyDescent="0.2">
      <c r="A700" t="s">
        <v>837</v>
      </c>
      <c r="B700" t="s">
        <v>835</v>
      </c>
      <c r="C700" s="2">
        <v>46276</v>
      </c>
      <c r="D700" t="s">
        <v>27</v>
      </c>
      <c r="E700" t="s">
        <v>35</v>
      </c>
      <c r="F700" t="s">
        <v>97</v>
      </c>
      <c r="G700" t="s">
        <v>57</v>
      </c>
      <c r="H700">
        <v>607</v>
      </c>
      <c r="I700">
        <v>602</v>
      </c>
      <c r="J700">
        <v>5</v>
      </c>
      <c r="K700">
        <v>23.54</v>
      </c>
      <c r="L700">
        <v>25.84</v>
      </c>
      <c r="M700">
        <v>261.44</v>
      </c>
      <c r="N700">
        <f>_xlfn.XLOOKUP(Table13[[#This Row],[Production_Order_ID]],[1]Sheet1!$A$2:$A$391,[1]Sheet1!$F$2:$F$391,"No Match")</f>
        <v>540</v>
      </c>
      <c r="O700" s="3">
        <f>Table13[[#This Row],[Good_Qty]]/Table13[[#This Row],[Planned_Production]]</f>
        <v>1.1148148148148149</v>
      </c>
      <c r="P700" t="str">
        <f>IF(Table13[[#This Row],[Good_Qty]]&gt;=Table13[[#This Row],[Planned_Production]],"Met","Not Met")</f>
        <v>Met</v>
      </c>
      <c r="Q700">
        <f>Table13[[#This Row],[Good_Qty]]-Table13[[#This Row],[Planned_Production]]</f>
        <v>62</v>
      </c>
      <c r="R700" s="3">
        <f>IF(Table13[[#This Row],[Actual_Qty]]=0,0,Table13[[#This Row],[Reject_Qty]]/Table13[[#This Row],[Actual_Qty]])</f>
        <v>8.2372322899505763E-3</v>
      </c>
      <c r="S700">
        <v>432.81</v>
      </c>
      <c r="T700">
        <f>(Table13[[#This Row],[Ideal_Cycle_Time_sec]]*Table13[[#This Row],[Actual_Qty]])/(Table13[[#This Row],[Operational_Time_min]]*60)</f>
        <v>0.55023297366819923</v>
      </c>
      <c r="U700">
        <f>Table13[[#This Row],[Good_Qty]]/Table13[[#This Row],[Actual_Qty]]</f>
        <v>0.99176276771004945</v>
      </c>
      <c r="V700" t="str">
        <f>IF(OR(Table13[[#This Row],[Performance_%]]&gt;=1,Table13[[#This Row],[Performance_%]]&lt;=0),"Error","OK")</f>
        <v>OK</v>
      </c>
      <c r="W700" t="str">
        <f>IF(OR(Table13[[#This Row],[Quality_%]]&gt;=1,Table13[[#This Row],[Quality_%]]&lt;=0),"Error","OK")</f>
        <v>OK</v>
      </c>
      <c r="X700">
        <f>Table13[[#This Row],[Performance_%]]*Table13[[#This Row],[Quality_%]]*[2]Availability_KPI!K700</f>
        <v>0.52485481481481477</v>
      </c>
      <c r="Y700" t="str">
        <f>IF(OR(Table13[[#This Row],[OEE_%]]&gt;1,Table13[[#This Row],[OEE_%]]&lt;0),"Error","OK")</f>
        <v>OK</v>
      </c>
    </row>
    <row r="701" spans="1:25" x14ac:dyDescent="0.2">
      <c r="A701" t="s">
        <v>838</v>
      </c>
      <c r="B701" t="s">
        <v>835</v>
      </c>
      <c r="C701" s="2">
        <v>46276</v>
      </c>
      <c r="D701" t="s">
        <v>27</v>
      </c>
      <c r="E701" t="s">
        <v>38</v>
      </c>
      <c r="F701" t="s">
        <v>97</v>
      </c>
      <c r="G701" t="s">
        <v>55</v>
      </c>
      <c r="H701">
        <v>611</v>
      </c>
      <c r="I701">
        <v>608</v>
      </c>
      <c r="J701">
        <v>3</v>
      </c>
      <c r="K701">
        <v>21.4</v>
      </c>
      <c r="L701">
        <v>22.63</v>
      </c>
      <c r="M701">
        <v>230.48</v>
      </c>
      <c r="N701">
        <f>_xlfn.XLOOKUP(Table13[[#This Row],[Production_Order_ID]],[1]Sheet1!$A$2:$A$391,[1]Sheet1!$F$2:$F$391,"No Match")</f>
        <v>540</v>
      </c>
      <c r="O701" s="3">
        <f>Table13[[#This Row],[Good_Qty]]/Table13[[#This Row],[Planned_Production]]</f>
        <v>1.125925925925926</v>
      </c>
      <c r="P701" t="str">
        <f>IF(Table13[[#This Row],[Good_Qty]]&gt;=Table13[[#This Row],[Planned_Production]],"Met","Not Met")</f>
        <v>Met</v>
      </c>
      <c r="Q701">
        <f>Table13[[#This Row],[Good_Qty]]-Table13[[#This Row],[Planned_Production]]</f>
        <v>68</v>
      </c>
      <c r="R701" s="3">
        <f>IF(Table13[[#This Row],[Actual_Qty]]=0,0,Table13[[#This Row],[Reject_Qty]]/Table13[[#This Row],[Actual_Qty]])</f>
        <v>4.9099836333878887E-3</v>
      </c>
      <c r="S701">
        <v>436.34</v>
      </c>
      <c r="T701">
        <f>(Table13[[#This Row],[Ideal_Cycle_Time_sec]]*Table13[[#This Row],[Actual_Qty]])/(Table13[[#This Row],[Operational_Time_min]]*60)</f>
        <v>0.49943469160135068</v>
      </c>
      <c r="U701">
        <f>Table13[[#This Row],[Good_Qty]]/Table13[[#This Row],[Actual_Qty]]</f>
        <v>0.9950900163666121</v>
      </c>
      <c r="V701" t="str">
        <f>IF(OR(Table13[[#This Row],[Performance_%]]&gt;=1,Table13[[#This Row],[Performance_%]]&lt;=0),"Error","OK")</f>
        <v>OK</v>
      </c>
      <c r="W701" t="str">
        <f>IF(OR(Table13[[#This Row],[Quality_%]]&gt;=1,Table13[[#This Row],[Quality_%]]&lt;=0),"Error","OK")</f>
        <v>OK</v>
      </c>
      <c r="X701">
        <f>Table13[[#This Row],[Performance_%]]*Table13[[#This Row],[Quality_%]]*[2]Availability_KPI!K701</f>
        <v>0.48189629629629632</v>
      </c>
      <c r="Y701" t="str">
        <f>IF(OR(Table13[[#This Row],[OEE_%]]&gt;1,Table13[[#This Row],[OEE_%]]&lt;0),"Error","OK")</f>
        <v>OK</v>
      </c>
    </row>
    <row r="702" spans="1:25" x14ac:dyDescent="0.2">
      <c r="A702" t="s">
        <v>839</v>
      </c>
      <c r="B702" t="s">
        <v>835</v>
      </c>
      <c r="C702" s="2">
        <v>46276</v>
      </c>
      <c r="D702" t="s">
        <v>27</v>
      </c>
      <c r="E702" t="s">
        <v>41</v>
      </c>
      <c r="F702" t="s">
        <v>97</v>
      </c>
      <c r="G702" t="s">
        <v>75</v>
      </c>
      <c r="H702">
        <v>613</v>
      </c>
      <c r="I702">
        <v>605</v>
      </c>
      <c r="J702">
        <v>8</v>
      </c>
      <c r="K702">
        <v>19.260000000000002</v>
      </c>
      <c r="L702">
        <v>21.19</v>
      </c>
      <c r="M702">
        <v>216.45</v>
      </c>
      <c r="N702">
        <f>_xlfn.XLOOKUP(Table13[[#This Row],[Production_Order_ID]],[1]Sheet1!$A$2:$A$391,[1]Sheet1!$F$2:$F$391,"No Match")</f>
        <v>540</v>
      </c>
      <c r="O702" s="3">
        <f>Table13[[#This Row],[Good_Qty]]/Table13[[#This Row],[Planned_Production]]</f>
        <v>1.1203703703703705</v>
      </c>
      <c r="P702" t="str">
        <f>IF(Table13[[#This Row],[Good_Qty]]&gt;=Table13[[#This Row],[Planned_Production]],"Met","Not Met")</f>
        <v>Met</v>
      </c>
      <c r="Q702">
        <f>Table13[[#This Row],[Good_Qty]]-Table13[[#This Row],[Planned_Production]]</f>
        <v>65</v>
      </c>
      <c r="R702" s="3">
        <f>IF(Table13[[#This Row],[Actual_Qty]]=0,0,Table13[[#This Row],[Reject_Qty]]/Table13[[#This Row],[Actual_Qty]])</f>
        <v>1.3050570962479609E-2</v>
      </c>
      <c r="S702">
        <v>439.15</v>
      </c>
      <c r="T702">
        <f>(Table13[[#This Row],[Ideal_Cycle_Time_sec]]*Table13[[#This Row],[Actual_Qty]])/(Table13[[#This Row],[Operational_Time_min]]*60)</f>
        <v>0.44807696686781284</v>
      </c>
      <c r="U702">
        <f>Table13[[#This Row],[Good_Qty]]/Table13[[#This Row],[Actual_Qty]]</f>
        <v>0.98694942903752036</v>
      </c>
      <c r="V702" t="str">
        <f>IF(OR(Table13[[#This Row],[Performance_%]]&gt;=1,Table13[[#This Row],[Performance_%]]&lt;=0),"Error","OK")</f>
        <v>OK</v>
      </c>
      <c r="W702" t="str">
        <f>IF(OR(Table13[[#This Row],[Quality_%]]&gt;=1,Table13[[#This Row],[Quality_%]]&lt;=0),"Error","OK")</f>
        <v>OK</v>
      </c>
      <c r="X702">
        <f>Table13[[#This Row],[Performance_%]]*Table13[[#This Row],[Quality_%]]*[2]Availability_KPI!K702</f>
        <v>0.43156666666666665</v>
      </c>
      <c r="Y702" t="str">
        <f>IF(OR(Table13[[#This Row],[OEE_%]]&gt;1,Table13[[#This Row],[OEE_%]]&lt;0),"Error","OK")</f>
        <v>OK</v>
      </c>
    </row>
    <row r="703" spans="1:25" x14ac:dyDescent="0.2">
      <c r="A703" t="s">
        <v>840</v>
      </c>
      <c r="B703" t="s">
        <v>835</v>
      </c>
      <c r="C703" s="2">
        <v>46276</v>
      </c>
      <c r="D703" t="s">
        <v>27</v>
      </c>
      <c r="E703" t="s">
        <v>43</v>
      </c>
      <c r="F703" t="s">
        <v>97</v>
      </c>
      <c r="G703" t="s">
        <v>55</v>
      </c>
      <c r="H703">
        <v>596</v>
      </c>
      <c r="I703">
        <v>587</v>
      </c>
      <c r="J703">
        <v>9</v>
      </c>
      <c r="K703">
        <v>34.24</v>
      </c>
      <c r="L703">
        <v>36.72</v>
      </c>
      <c r="M703">
        <v>364.71</v>
      </c>
      <c r="N703">
        <f>_xlfn.XLOOKUP(Table13[[#This Row],[Production_Order_ID]],[1]Sheet1!$A$2:$A$391,[1]Sheet1!$F$2:$F$391,"No Match")</f>
        <v>540</v>
      </c>
      <c r="O703" s="3">
        <f>Table13[[#This Row],[Good_Qty]]/Table13[[#This Row],[Planned_Production]]</f>
        <v>1.087037037037037</v>
      </c>
      <c r="P703" t="str">
        <f>IF(Table13[[#This Row],[Good_Qty]]&gt;=Table13[[#This Row],[Planned_Production]],"Met","Not Met")</f>
        <v>Met</v>
      </c>
      <c r="Q703">
        <f>Table13[[#This Row],[Good_Qty]]-Table13[[#This Row],[Planned_Production]]</f>
        <v>47</v>
      </c>
      <c r="R703" s="3">
        <f>IF(Table13[[#This Row],[Actual_Qty]]=0,0,Table13[[#This Row],[Reject_Qty]]/Table13[[#This Row],[Actual_Qty]])</f>
        <v>1.5100671140939598E-2</v>
      </c>
      <c r="S703">
        <v>416.13</v>
      </c>
      <c r="T703">
        <f>(Table13[[#This Row],[Ideal_Cycle_Time_sec]]*Table13[[#This Row],[Actual_Qty]])/(Table13[[#This Row],[Operational_Time_min]]*60)</f>
        <v>0.81733432661267724</v>
      </c>
      <c r="U703">
        <f>Table13[[#This Row],[Good_Qty]]/Table13[[#This Row],[Actual_Qty]]</f>
        <v>0.9848993288590604</v>
      </c>
      <c r="V703" t="str">
        <f>IF(OR(Table13[[#This Row],[Performance_%]]&gt;=1,Table13[[#This Row],[Performance_%]]&lt;=0),"Error","OK")</f>
        <v>OK</v>
      </c>
      <c r="W703" t="str">
        <f>IF(OR(Table13[[#This Row],[Quality_%]]&gt;=1,Table13[[#This Row],[Quality_%]]&lt;=0),"Error","OK")</f>
        <v>OK</v>
      </c>
      <c r="X703">
        <f>Table13[[#This Row],[Performance_%]]*Table13[[#This Row],[Quality_%]]*[2]Availability_KPI!K703</f>
        <v>0.74440296296296304</v>
      </c>
      <c r="Y703" t="str">
        <f>IF(OR(Table13[[#This Row],[OEE_%]]&gt;1,Table13[[#This Row],[OEE_%]]&lt;0),"Error","OK")</f>
        <v>OK</v>
      </c>
    </row>
    <row r="704" spans="1:25" x14ac:dyDescent="0.2">
      <c r="A704" t="s">
        <v>841</v>
      </c>
      <c r="B704" t="s">
        <v>835</v>
      </c>
      <c r="C704" s="2">
        <v>46276</v>
      </c>
      <c r="D704" t="s">
        <v>27</v>
      </c>
      <c r="E704" t="s">
        <v>46</v>
      </c>
      <c r="F704" t="s">
        <v>97</v>
      </c>
      <c r="G704" t="s">
        <v>33</v>
      </c>
      <c r="H704">
        <v>598</v>
      </c>
      <c r="I704">
        <v>590</v>
      </c>
      <c r="J704">
        <v>8</v>
      </c>
      <c r="K704">
        <v>26.75</v>
      </c>
      <c r="L704">
        <v>27.55</v>
      </c>
      <c r="M704">
        <v>274.58</v>
      </c>
      <c r="N704">
        <f>_xlfn.XLOOKUP(Table13[[#This Row],[Production_Order_ID]],[1]Sheet1!$A$2:$A$391,[1]Sheet1!$F$2:$F$391,"No Match")</f>
        <v>540</v>
      </c>
      <c r="O704" s="3">
        <f>Table13[[#This Row],[Good_Qty]]/Table13[[#This Row],[Planned_Production]]</f>
        <v>1.0925925925925926</v>
      </c>
      <c r="P704" t="str">
        <f>IF(Table13[[#This Row],[Good_Qty]]&gt;=Table13[[#This Row],[Planned_Production]],"Met","Not Met")</f>
        <v>Met</v>
      </c>
      <c r="Q704">
        <f>Table13[[#This Row],[Good_Qty]]-Table13[[#This Row],[Planned_Production]]</f>
        <v>50</v>
      </c>
      <c r="R704" s="3">
        <f>IF(Table13[[#This Row],[Actual_Qty]]=0,0,Table13[[#This Row],[Reject_Qty]]/Table13[[#This Row],[Actual_Qty]])</f>
        <v>1.3377926421404682E-2</v>
      </c>
      <c r="S704">
        <v>425.26</v>
      </c>
      <c r="T704">
        <f>(Table13[[#This Row],[Ideal_Cycle_Time_sec]]*Table13[[#This Row],[Actual_Qty]])/(Table13[[#This Row],[Operational_Time_min]]*60)</f>
        <v>0.62693019172584619</v>
      </c>
      <c r="U704">
        <f>Table13[[#This Row],[Good_Qty]]/Table13[[#This Row],[Actual_Qty]]</f>
        <v>0.98662207357859533</v>
      </c>
      <c r="V704" t="str">
        <f>IF(OR(Table13[[#This Row],[Performance_%]]&gt;=1,Table13[[#This Row],[Performance_%]]&lt;=0),"Error","OK")</f>
        <v>OK</v>
      </c>
      <c r="W704" t="str">
        <f>IF(OR(Table13[[#This Row],[Quality_%]]&gt;=1,Table13[[#This Row],[Quality_%]]&lt;=0),"Error","OK")</f>
        <v>OK</v>
      </c>
      <c r="X704">
        <f>Table13[[#This Row],[Performance_%]]*Table13[[#This Row],[Quality_%]]*[2]Availability_KPI!K704</f>
        <v>0.58453703703703708</v>
      </c>
      <c r="Y704" t="str">
        <f>IF(OR(Table13[[#This Row],[OEE_%]]&gt;1,Table13[[#This Row],[OEE_%]]&lt;0),"Error","OK")</f>
        <v>OK</v>
      </c>
    </row>
    <row r="705" spans="1:25" x14ac:dyDescent="0.2">
      <c r="A705" t="s">
        <v>842</v>
      </c>
      <c r="B705" t="s">
        <v>835</v>
      </c>
      <c r="C705" s="2">
        <v>46276</v>
      </c>
      <c r="D705" t="s">
        <v>27</v>
      </c>
      <c r="E705" t="s">
        <v>49</v>
      </c>
      <c r="F705" t="s">
        <v>97</v>
      </c>
      <c r="G705" t="s">
        <v>39</v>
      </c>
      <c r="H705">
        <v>605</v>
      </c>
      <c r="I705">
        <v>603</v>
      </c>
      <c r="J705">
        <v>2</v>
      </c>
      <c r="K705">
        <v>21.4</v>
      </c>
      <c r="L705">
        <v>22.46</v>
      </c>
      <c r="M705">
        <v>226.51</v>
      </c>
      <c r="N705">
        <f>_xlfn.XLOOKUP(Table13[[#This Row],[Production_Order_ID]],[1]Sheet1!$A$2:$A$391,[1]Sheet1!$F$2:$F$391,"No Match")</f>
        <v>540</v>
      </c>
      <c r="O705" s="3">
        <f>Table13[[#This Row],[Good_Qty]]/Table13[[#This Row],[Planned_Production]]</f>
        <v>1.1166666666666667</v>
      </c>
      <c r="P705" t="str">
        <f>IF(Table13[[#This Row],[Good_Qty]]&gt;=Table13[[#This Row],[Planned_Production]],"Met","Not Met")</f>
        <v>Met</v>
      </c>
      <c r="Q705">
        <f>Table13[[#This Row],[Good_Qty]]-Table13[[#This Row],[Planned_Production]]</f>
        <v>63</v>
      </c>
      <c r="R705" s="3">
        <f>IF(Table13[[#This Row],[Actual_Qty]]=0,0,Table13[[#This Row],[Reject_Qty]]/Table13[[#This Row],[Actual_Qty]])</f>
        <v>3.3057851239669421E-3</v>
      </c>
      <c r="S705">
        <v>441.58</v>
      </c>
      <c r="T705">
        <f>(Table13[[#This Row],[Ideal_Cycle_Time_sec]]*Table13[[#This Row],[Actual_Qty]])/(Table13[[#This Row],[Operational_Time_min]]*60)</f>
        <v>0.48866192611380349</v>
      </c>
      <c r="U705">
        <f>Table13[[#This Row],[Good_Qty]]/Table13[[#This Row],[Actual_Qty]]</f>
        <v>0.99669421487603305</v>
      </c>
      <c r="V705" t="str">
        <f>IF(OR(Table13[[#This Row],[Performance_%]]&gt;=1,Table13[[#This Row],[Performance_%]]&lt;=0),"Error","OK")</f>
        <v>OK</v>
      </c>
      <c r="W705" t="str">
        <f>IF(OR(Table13[[#This Row],[Quality_%]]&gt;=1,Table13[[#This Row],[Quality_%]]&lt;=0),"Error","OK")</f>
        <v>OK</v>
      </c>
      <c r="X705">
        <f>Table13[[#This Row],[Performance_%]]*Table13[[#This Row],[Quality_%]]*[2]Availability_KPI!K705</f>
        <v>0.47793333333333332</v>
      </c>
      <c r="Y705" t="str">
        <f>IF(OR(Table13[[#This Row],[OEE_%]]&gt;1,Table13[[#This Row],[OEE_%]]&lt;0),"Error","OK")</f>
        <v>OK</v>
      </c>
    </row>
    <row r="706" spans="1:25" x14ac:dyDescent="0.2">
      <c r="A706" t="s">
        <v>843</v>
      </c>
      <c r="B706" t="s">
        <v>844</v>
      </c>
      <c r="C706" s="2">
        <v>46276</v>
      </c>
      <c r="D706" t="s">
        <v>53</v>
      </c>
      <c r="E706" t="s">
        <v>28</v>
      </c>
      <c r="F706" t="s">
        <v>97</v>
      </c>
      <c r="G706" t="s">
        <v>55</v>
      </c>
      <c r="H706">
        <v>617</v>
      </c>
      <c r="I706">
        <v>611</v>
      </c>
      <c r="J706">
        <v>6</v>
      </c>
      <c r="K706">
        <v>19.260000000000002</v>
      </c>
      <c r="L706">
        <v>20.16</v>
      </c>
      <c r="M706">
        <v>207.26</v>
      </c>
      <c r="N706">
        <f>_xlfn.XLOOKUP(Table13[[#This Row],[Production_Order_ID]],[1]Sheet1!$A$2:$A$391,[1]Sheet1!$F$2:$F$391,"No Match")</f>
        <v>670</v>
      </c>
      <c r="O706" s="3">
        <f>Table13[[#This Row],[Good_Qty]]/Table13[[#This Row],[Planned_Production]]</f>
        <v>0.91194029850746272</v>
      </c>
      <c r="P706" t="str">
        <f>IF(Table13[[#This Row],[Good_Qty]]&gt;=Table13[[#This Row],[Planned_Production]],"Met","Not Met")</f>
        <v>Not Met</v>
      </c>
      <c r="Q706">
        <f>Table13[[#This Row],[Good_Qty]]-Table13[[#This Row],[Planned_Production]]</f>
        <v>-59</v>
      </c>
      <c r="R706" s="3">
        <f>IF(Table13[[#This Row],[Actual_Qty]]=0,0,Table13[[#This Row],[Reject_Qty]]/Table13[[#This Row],[Actual_Qty]])</f>
        <v>9.7244732576985422E-3</v>
      </c>
      <c r="S706">
        <v>441.15</v>
      </c>
      <c r="T706">
        <f>(Table13[[#This Row],[Ideal_Cycle_Time_sec]]*Table13[[#This Row],[Actual_Qty]])/(Table13[[#This Row],[Operational_Time_min]]*60)</f>
        <v>0.44895613736824208</v>
      </c>
      <c r="U706">
        <f>Table13[[#This Row],[Good_Qty]]/Table13[[#This Row],[Actual_Qty]]</f>
        <v>0.99027552674230146</v>
      </c>
      <c r="V706" t="str">
        <f>IF(OR(Table13[[#This Row],[Performance_%]]&gt;=1,Table13[[#This Row],[Performance_%]]&lt;=0),"Error","OK")</f>
        <v>OK</v>
      </c>
      <c r="W706" t="str">
        <f>IF(OR(Table13[[#This Row],[Quality_%]]&gt;=1,Table13[[#This Row],[Quality_%]]&lt;=0),"Error","OK")</f>
        <v>OK</v>
      </c>
      <c r="X706">
        <f>Table13[[#This Row],[Performance_%]]*Table13[[#This Row],[Quality_%]]*[2]Availability_KPI!K706</f>
        <v>0.4358466666666666</v>
      </c>
      <c r="Y706" t="str">
        <f>IF(OR(Table13[[#This Row],[OEE_%]]&gt;1,Table13[[#This Row],[OEE_%]]&lt;0),"Error","OK")</f>
        <v>OK</v>
      </c>
    </row>
    <row r="707" spans="1:25" x14ac:dyDescent="0.2">
      <c r="A707" t="s">
        <v>845</v>
      </c>
      <c r="B707" t="s">
        <v>844</v>
      </c>
      <c r="C707" s="2">
        <v>46276</v>
      </c>
      <c r="D707" t="s">
        <v>53</v>
      </c>
      <c r="E707" t="s">
        <v>32</v>
      </c>
      <c r="F707" t="s">
        <v>97</v>
      </c>
      <c r="G707" t="s">
        <v>75</v>
      </c>
      <c r="H707">
        <v>623</v>
      </c>
      <c r="I707">
        <v>617</v>
      </c>
      <c r="J707">
        <v>6</v>
      </c>
      <c r="K707">
        <v>21.4</v>
      </c>
      <c r="L707">
        <v>21.95</v>
      </c>
      <c r="M707">
        <v>227.95</v>
      </c>
      <c r="N707">
        <f>_xlfn.XLOOKUP(Table13[[#This Row],[Production_Order_ID]],[1]Sheet1!$A$2:$A$391,[1]Sheet1!$F$2:$F$391,"No Match")</f>
        <v>670</v>
      </c>
      <c r="O707" s="3">
        <f>Table13[[#This Row],[Good_Qty]]/Table13[[#This Row],[Planned_Production]]</f>
        <v>0.92089552238805972</v>
      </c>
      <c r="P707" t="str">
        <f>IF(Table13[[#This Row],[Good_Qty]]&gt;=Table13[[#This Row],[Planned_Production]],"Met","Not Met")</f>
        <v>Not Met</v>
      </c>
      <c r="Q707">
        <f>Table13[[#This Row],[Good_Qty]]-Table13[[#This Row],[Planned_Production]]</f>
        <v>-53</v>
      </c>
      <c r="R707" s="3">
        <f>IF(Table13[[#This Row],[Actual_Qty]]=0,0,Table13[[#This Row],[Reject_Qty]]/Table13[[#This Row],[Actual_Qty]])</f>
        <v>9.630818619582664E-3</v>
      </c>
      <c r="S707">
        <v>439.97</v>
      </c>
      <c r="T707">
        <f>(Table13[[#This Row],[Ideal_Cycle_Time_sec]]*Table13[[#This Row],[Actual_Qty]])/(Table13[[#This Row],[Operational_Time_min]]*60)</f>
        <v>0.50504201044010566</v>
      </c>
      <c r="U707">
        <f>Table13[[#This Row],[Good_Qty]]/Table13[[#This Row],[Actual_Qty]]</f>
        <v>0.9903691813804173</v>
      </c>
      <c r="V707" t="str">
        <f>IF(OR(Table13[[#This Row],[Performance_%]]&gt;=1,Table13[[#This Row],[Performance_%]]&lt;=0),"Error","OK")</f>
        <v>OK</v>
      </c>
      <c r="W707" t="str">
        <f>IF(OR(Table13[[#This Row],[Quality_%]]&gt;=1,Table13[[#This Row],[Quality_%]]&lt;=0),"Error","OK")</f>
        <v>OK</v>
      </c>
      <c r="X707">
        <f>Table13[[#This Row],[Performance_%]]*Table13[[#This Row],[Quality_%]]*[2]Availability_KPI!K707</f>
        <v>0.48902962962962954</v>
      </c>
      <c r="Y707" t="str">
        <f>IF(OR(Table13[[#This Row],[OEE_%]]&gt;1,Table13[[#This Row],[OEE_%]]&lt;0),"Error","OK")</f>
        <v>OK</v>
      </c>
    </row>
    <row r="708" spans="1:25" x14ac:dyDescent="0.2">
      <c r="A708" t="s">
        <v>846</v>
      </c>
      <c r="B708" t="s">
        <v>844</v>
      </c>
      <c r="C708" s="2">
        <v>46276</v>
      </c>
      <c r="D708" t="s">
        <v>53</v>
      </c>
      <c r="E708" t="s">
        <v>35</v>
      </c>
      <c r="F708" t="s">
        <v>97</v>
      </c>
      <c r="G708" t="s">
        <v>61</v>
      </c>
      <c r="H708">
        <v>620</v>
      </c>
      <c r="I708">
        <v>616</v>
      </c>
      <c r="J708">
        <v>4</v>
      </c>
      <c r="K708">
        <v>23.54</v>
      </c>
      <c r="L708">
        <v>24.49</v>
      </c>
      <c r="M708">
        <v>253.11</v>
      </c>
      <c r="N708">
        <f>_xlfn.XLOOKUP(Table13[[#This Row],[Production_Order_ID]],[1]Sheet1!$A$2:$A$391,[1]Sheet1!$F$2:$F$391,"No Match")</f>
        <v>670</v>
      </c>
      <c r="O708" s="3">
        <f>Table13[[#This Row],[Good_Qty]]/Table13[[#This Row],[Planned_Production]]</f>
        <v>0.91940298507462681</v>
      </c>
      <c r="P708" t="str">
        <f>IF(Table13[[#This Row],[Good_Qty]]&gt;=Table13[[#This Row],[Planned_Production]],"Met","Not Met")</f>
        <v>Not Met</v>
      </c>
      <c r="Q708">
        <f>Table13[[#This Row],[Good_Qty]]-Table13[[#This Row],[Planned_Production]]</f>
        <v>-54</v>
      </c>
      <c r="R708" s="3">
        <f>IF(Table13[[#This Row],[Actual_Qty]]=0,0,Table13[[#This Row],[Reject_Qty]]/Table13[[#This Row],[Actual_Qty]])</f>
        <v>6.4516129032258064E-3</v>
      </c>
      <c r="S708">
        <v>431.66</v>
      </c>
      <c r="T708">
        <f>(Table13[[#This Row],[Ideal_Cycle_Time_sec]]*Table13[[#This Row],[Actual_Qty]])/(Table13[[#This Row],[Operational_Time_min]]*60)</f>
        <v>0.56351449443234636</v>
      </c>
      <c r="U708">
        <f>Table13[[#This Row],[Good_Qty]]/Table13[[#This Row],[Actual_Qty]]</f>
        <v>0.99354838709677418</v>
      </c>
      <c r="V708" t="str">
        <f>IF(OR(Table13[[#This Row],[Performance_%]]&gt;=1,Table13[[#This Row],[Performance_%]]&lt;=0),"Error","OK")</f>
        <v>OK</v>
      </c>
      <c r="W708" t="str">
        <f>IF(OR(Table13[[#This Row],[Quality_%]]&gt;=1,Table13[[#This Row],[Quality_%]]&lt;=0),"Error","OK")</f>
        <v>OK</v>
      </c>
      <c r="X708">
        <f>Table13[[#This Row],[Performance_%]]*Table13[[#This Row],[Quality_%]]*[2]Availability_KPI!K708</f>
        <v>0.53706074074074073</v>
      </c>
      <c r="Y708" t="str">
        <f>IF(OR(Table13[[#This Row],[OEE_%]]&gt;1,Table13[[#This Row],[OEE_%]]&lt;0),"Error","OK")</f>
        <v>OK</v>
      </c>
    </row>
    <row r="709" spans="1:25" x14ac:dyDescent="0.2">
      <c r="A709" t="s">
        <v>847</v>
      </c>
      <c r="B709" t="s">
        <v>844</v>
      </c>
      <c r="C709" s="2">
        <v>46276</v>
      </c>
      <c r="D709" t="s">
        <v>53</v>
      </c>
      <c r="E709" t="s">
        <v>38</v>
      </c>
      <c r="F709" t="s">
        <v>97</v>
      </c>
      <c r="G709" t="s">
        <v>57</v>
      </c>
      <c r="H709">
        <v>621</v>
      </c>
      <c r="I709">
        <v>618</v>
      </c>
      <c r="J709">
        <v>3</v>
      </c>
      <c r="K709">
        <v>21.4</v>
      </c>
      <c r="L709">
        <v>22.65</v>
      </c>
      <c r="M709">
        <v>234.38</v>
      </c>
      <c r="N709">
        <f>_xlfn.XLOOKUP(Table13[[#This Row],[Production_Order_ID]],[1]Sheet1!$A$2:$A$391,[1]Sheet1!$F$2:$F$391,"No Match")</f>
        <v>670</v>
      </c>
      <c r="O709" s="3">
        <f>Table13[[#This Row],[Good_Qty]]/Table13[[#This Row],[Planned_Production]]</f>
        <v>0.92238805970149251</v>
      </c>
      <c r="P709" t="str">
        <f>IF(Table13[[#This Row],[Good_Qty]]&gt;=Table13[[#This Row],[Planned_Production]],"Met","Not Met")</f>
        <v>Not Met</v>
      </c>
      <c r="Q709">
        <f>Table13[[#This Row],[Good_Qty]]-Table13[[#This Row],[Planned_Production]]</f>
        <v>-52</v>
      </c>
      <c r="R709" s="3">
        <f>IF(Table13[[#This Row],[Actual_Qty]]=0,0,Table13[[#This Row],[Reject_Qty]]/Table13[[#This Row],[Actual_Qty]])</f>
        <v>4.830917874396135E-3</v>
      </c>
      <c r="S709">
        <v>435.82</v>
      </c>
      <c r="T709">
        <f>(Table13[[#This Row],[Ideal_Cycle_Time_sec]]*Table13[[#This Row],[Actual_Qty]])/(Table13[[#This Row],[Operational_Time_min]]*60)</f>
        <v>0.50821440044054877</v>
      </c>
      <c r="U709">
        <f>Table13[[#This Row],[Good_Qty]]/Table13[[#This Row],[Actual_Qty]]</f>
        <v>0.99516908212560384</v>
      </c>
      <c r="V709" t="str">
        <f>IF(OR(Table13[[#This Row],[Performance_%]]&gt;=1,Table13[[#This Row],[Performance_%]]&lt;=0),"Error","OK")</f>
        <v>OK</v>
      </c>
      <c r="W709" t="str">
        <f>IF(OR(Table13[[#This Row],[Quality_%]]&gt;=1,Table13[[#This Row],[Quality_%]]&lt;=0),"Error","OK")</f>
        <v>OK</v>
      </c>
      <c r="X709">
        <f>Table13[[#This Row],[Performance_%]]*Table13[[#This Row],[Quality_%]]*[2]Availability_KPI!K709</f>
        <v>0.48982222222222216</v>
      </c>
      <c r="Y709" t="str">
        <f>IF(OR(Table13[[#This Row],[OEE_%]]&gt;1,Table13[[#This Row],[OEE_%]]&lt;0),"Error","OK")</f>
        <v>OK</v>
      </c>
    </row>
    <row r="710" spans="1:25" x14ac:dyDescent="0.2">
      <c r="A710" t="s">
        <v>848</v>
      </c>
      <c r="B710" t="s">
        <v>844</v>
      </c>
      <c r="C710" s="2">
        <v>46276</v>
      </c>
      <c r="D710" t="s">
        <v>53</v>
      </c>
      <c r="E710" t="s">
        <v>41</v>
      </c>
      <c r="F710" t="s">
        <v>97</v>
      </c>
      <c r="G710" t="s">
        <v>75</v>
      </c>
      <c r="H710">
        <v>626</v>
      </c>
      <c r="I710">
        <v>621</v>
      </c>
      <c r="J710">
        <v>5</v>
      </c>
      <c r="K710">
        <v>19.260000000000002</v>
      </c>
      <c r="L710">
        <v>20.39</v>
      </c>
      <c r="M710">
        <v>212.76</v>
      </c>
      <c r="N710">
        <f>_xlfn.XLOOKUP(Table13[[#This Row],[Production_Order_ID]],[1]Sheet1!$A$2:$A$391,[1]Sheet1!$F$2:$F$391,"No Match")</f>
        <v>670</v>
      </c>
      <c r="O710" s="3">
        <f>Table13[[#This Row],[Good_Qty]]/Table13[[#This Row],[Planned_Production]]</f>
        <v>0.92686567164179101</v>
      </c>
      <c r="P710" t="str">
        <f>IF(Table13[[#This Row],[Good_Qty]]&gt;=Table13[[#This Row],[Planned_Production]],"Met","Not Met")</f>
        <v>Not Met</v>
      </c>
      <c r="Q710">
        <f>Table13[[#This Row],[Good_Qty]]-Table13[[#This Row],[Planned_Production]]</f>
        <v>-49</v>
      </c>
      <c r="R710" s="3">
        <f>IF(Table13[[#This Row],[Actual_Qty]]=0,0,Table13[[#This Row],[Reject_Qty]]/Table13[[#This Row],[Actual_Qty]])</f>
        <v>7.9872204472843447E-3</v>
      </c>
      <c r="S710">
        <v>436.01</v>
      </c>
      <c r="T710">
        <f>(Table13[[#This Row],[Ideal_Cycle_Time_sec]]*Table13[[#This Row],[Actual_Qty]])/(Table13[[#This Row],[Operational_Time_min]]*60)</f>
        <v>0.4608747505791152</v>
      </c>
      <c r="U710">
        <f>Table13[[#This Row],[Good_Qty]]/Table13[[#This Row],[Actual_Qty]]</f>
        <v>0.99201277955271561</v>
      </c>
      <c r="V710" t="str">
        <f>IF(OR(Table13[[#This Row],[Performance_%]]&gt;=1,Table13[[#This Row],[Performance_%]]&lt;=0),"Error","OK")</f>
        <v>OK</v>
      </c>
      <c r="W710" t="str">
        <f>IF(OR(Table13[[#This Row],[Quality_%]]&gt;=1,Table13[[#This Row],[Quality_%]]&lt;=0),"Error","OK")</f>
        <v>OK</v>
      </c>
      <c r="X710">
        <f>Table13[[#This Row],[Performance_%]]*Table13[[#This Row],[Quality_%]]*[2]Availability_KPI!K710</f>
        <v>0.44297999999999998</v>
      </c>
      <c r="Y710" t="str">
        <f>IF(OR(Table13[[#This Row],[OEE_%]]&gt;1,Table13[[#This Row],[OEE_%]]&lt;0),"Error","OK")</f>
        <v>OK</v>
      </c>
    </row>
    <row r="711" spans="1:25" x14ac:dyDescent="0.2">
      <c r="A711" t="s">
        <v>849</v>
      </c>
      <c r="B711" t="s">
        <v>844</v>
      </c>
      <c r="C711" s="2">
        <v>46276</v>
      </c>
      <c r="D711" t="s">
        <v>53</v>
      </c>
      <c r="E711" t="s">
        <v>43</v>
      </c>
      <c r="F711" t="s">
        <v>97</v>
      </c>
      <c r="G711" t="s">
        <v>50</v>
      </c>
      <c r="H711">
        <v>635</v>
      </c>
      <c r="I711">
        <v>624</v>
      </c>
      <c r="J711">
        <v>11</v>
      </c>
      <c r="K711">
        <v>34.24</v>
      </c>
      <c r="L711">
        <v>37.770000000000003</v>
      </c>
      <c r="M711">
        <v>399.75</v>
      </c>
      <c r="N711">
        <f>_xlfn.XLOOKUP(Table13[[#This Row],[Production_Order_ID]],[1]Sheet1!$A$2:$A$391,[1]Sheet1!$F$2:$F$391,"No Match")</f>
        <v>670</v>
      </c>
      <c r="O711" s="3">
        <f>Table13[[#This Row],[Good_Qty]]/Table13[[#This Row],[Planned_Production]]</f>
        <v>0.93134328358208951</v>
      </c>
      <c r="P711" t="str">
        <f>IF(Table13[[#This Row],[Good_Qty]]&gt;=Table13[[#This Row],[Planned_Production]],"Met","Not Met")</f>
        <v>Not Met</v>
      </c>
      <c r="Q711">
        <f>Table13[[#This Row],[Good_Qty]]-Table13[[#This Row],[Planned_Production]]</f>
        <v>-46</v>
      </c>
      <c r="R711" s="3">
        <f>IF(Table13[[#This Row],[Actual_Qty]]=0,0,Table13[[#This Row],[Reject_Qty]]/Table13[[#This Row],[Actual_Qty]])</f>
        <v>1.7322834645669291E-2</v>
      </c>
      <c r="S711">
        <v>399.08</v>
      </c>
      <c r="T711">
        <f>(Table13[[#This Row],[Ideal_Cycle_Time_sec]]*Table13[[#This Row],[Actual_Qty]])/(Table13[[#This Row],[Operational_Time_min]]*60)</f>
        <v>0.90802178343523443</v>
      </c>
      <c r="U711">
        <f>Table13[[#This Row],[Good_Qty]]/Table13[[#This Row],[Actual_Qty]]</f>
        <v>0.9826771653543307</v>
      </c>
      <c r="V711" t="str">
        <f>IF(OR(Table13[[#This Row],[Performance_%]]&gt;=1,Table13[[#This Row],[Performance_%]]&lt;=0),"Error","OK")</f>
        <v>OK</v>
      </c>
      <c r="W711" t="str">
        <f>IF(OR(Table13[[#This Row],[Quality_%]]&gt;=1,Table13[[#This Row],[Quality_%]]&lt;=0),"Error","OK")</f>
        <v>OK</v>
      </c>
      <c r="X711">
        <f>Table13[[#This Row],[Performance_%]]*Table13[[#This Row],[Quality_%]]*[2]Availability_KPI!K711</f>
        <v>0.7913244444444445</v>
      </c>
      <c r="Y711" t="str">
        <f>IF(OR(Table13[[#This Row],[OEE_%]]&gt;1,Table13[[#This Row],[OEE_%]]&lt;0),"Error","OK")</f>
        <v>OK</v>
      </c>
    </row>
    <row r="712" spans="1:25" x14ac:dyDescent="0.2">
      <c r="A712" t="s">
        <v>850</v>
      </c>
      <c r="B712" t="s">
        <v>844</v>
      </c>
      <c r="C712" s="2">
        <v>46276</v>
      </c>
      <c r="D712" t="s">
        <v>53</v>
      </c>
      <c r="E712" t="s">
        <v>46</v>
      </c>
      <c r="F712" t="s">
        <v>97</v>
      </c>
      <c r="G712" t="s">
        <v>75</v>
      </c>
      <c r="H712">
        <v>620</v>
      </c>
      <c r="I712">
        <v>612</v>
      </c>
      <c r="J712">
        <v>8</v>
      </c>
      <c r="K712">
        <v>26.75</v>
      </c>
      <c r="L712">
        <v>28.54</v>
      </c>
      <c r="M712">
        <v>294.91000000000003</v>
      </c>
      <c r="N712">
        <f>_xlfn.XLOOKUP(Table13[[#This Row],[Production_Order_ID]],[1]Sheet1!$A$2:$A$391,[1]Sheet1!$F$2:$F$391,"No Match")</f>
        <v>670</v>
      </c>
      <c r="O712" s="3">
        <f>Table13[[#This Row],[Good_Qty]]/Table13[[#This Row],[Planned_Production]]</f>
        <v>0.91343283582089552</v>
      </c>
      <c r="P712" t="str">
        <f>IF(Table13[[#This Row],[Good_Qty]]&gt;=Table13[[#This Row],[Planned_Production]],"Met","Not Met")</f>
        <v>Not Met</v>
      </c>
      <c r="Q712">
        <f>Table13[[#This Row],[Good_Qty]]-Table13[[#This Row],[Planned_Production]]</f>
        <v>-58</v>
      </c>
      <c r="R712" s="3">
        <f>IF(Table13[[#This Row],[Actual_Qty]]=0,0,Table13[[#This Row],[Reject_Qty]]/Table13[[#This Row],[Actual_Qty]])</f>
        <v>1.2903225806451613E-2</v>
      </c>
      <c r="S712">
        <v>430.33</v>
      </c>
      <c r="T712">
        <f>(Table13[[#This Row],[Ideal_Cycle_Time_sec]]*Table13[[#This Row],[Actual_Qty]])/(Table13[[#This Row],[Operational_Time_min]]*60)</f>
        <v>0.64233650144462784</v>
      </c>
      <c r="U712">
        <f>Table13[[#This Row],[Good_Qty]]/Table13[[#This Row],[Actual_Qty]]</f>
        <v>0.98709677419354835</v>
      </c>
      <c r="V712" t="str">
        <f>IF(OR(Table13[[#This Row],[Performance_%]]&gt;=1,Table13[[#This Row],[Performance_%]]&lt;=0),"Error","OK")</f>
        <v>OK</v>
      </c>
      <c r="W712" t="str">
        <f>IF(OR(Table13[[#This Row],[Quality_%]]&gt;=1,Table13[[#This Row],[Quality_%]]&lt;=0),"Error","OK")</f>
        <v>OK</v>
      </c>
      <c r="X712">
        <f>Table13[[#This Row],[Performance_%]]*Table13[[#This Row],[Quality_%]]*[2]Availability_KPI!K712</f>
        <v>0.60633333333333339</v>
      </c>
      <c r="Y712" t="str">
        <f>IF(OR(Table13[[#This Row],[OEE_%]]&gt;1,Table13[[#This Row],[OEE_%]]&lt;0),"Error","OK")</f>
        <v>OK</v>
      </c>
    </row>
    <row r="713" spans="1:25" x14ac:dyDescent="0.2">
      <c r="A713" t="s">
        <v>851</v>
      </c>
      <c r="B713" t="s">
        <v>844</v>
      </c>
      <c r="C713" s="2">
        <v>46276</v>
      </c>
      <c r="D713" t="s">
        <v>53</v>
      </c>
      <c r="E713" t="s">
        <v>49</v>
      </c>
      <c r="F713" t="s">
        <v>97</v>
      </c>
      <c r="G713" t="s">
        <v>30</v>
      </c>
      <c r="H713">
        <v>628</v>
      </c>
      <c r="I713">
        <v>624</v>
      </c>
      <c r="J713">
        <v>4</v>
      </c>
      <c r="K713">
        <v>21.4</v>
      </c>
      <c r="L713">
        <v>21.83</v>
      </c>
      <c r="M713">
        <v>228.52</v>
      </c>
      <c r="N713">
        <f>_xlfn.XLOOKUP(Table13[[#This Row],[Production_Order_ID]],[1]Sheet1!$A$2:$A$391,[1]Sheet1!$F$2:$F$391,"No Match")</f>
        <v>670</v>
      </c>
      <c r="O713" s="3">
        <f>Table13[[#This Row],[Good_Qty]]/Table13[[#This Row],[Planned_Production]]</f>
        <v>0.93134328358208951</v>
      </c>
      <c r="P713" t="str">
        <f>IF(Table13[[#This Row],[Good_Qty]]&gt;=Table13[[#This Row],[Planned_Production]],"Met","Not Met")</f>
        <v>Not Met</v>
      </c>
      <c r="Q713">
        <f>Table13[[#This Row],[Good_Qty]]-Table13[[#This Row],[Planned_Production]]</f>
        <v>-46</v>
      </c>
      <c r="R713" s="3">
        <f>IF(Table13[[#This Row],[Actual_Qty]]=0,0,Table13[[#This Row],[Reject_Qty]]/Table13[[#This Row],[Actual_Qty]])</f>
        <v>6.369426751592357E-3</v>
      </c>
      <c r="S713">
        <v>443.09</v>
      </c>
      <c r="T713">
        <f>(Table13[[#This Row],[Ideal_Cycle_Time_sec]]*Table13[[#This Row],[Actual_Qty]])/(Table13[[#This Row],[Operational_Time_min]]*60)</f>
        <v>0.50551054338095347</v>
      </c>
      <c r="U713">
        <f>Table13[[#This Row],[Good_Qty]]/Table13[[#This Row],[Actual_Qty]]</f>
        <v>0.99363057324840764</v>
      </c>
      <c r="V713" t="str">
        <f>IF(OR(Table13[[#This Row],[Performance_%]]&gt;=1,Table13[[#This Row],[Performance_%]]&lt;=0),"Error","OK")</f>
        <v>OK</v>
      </c>
      <c r="W713" t="str">
        <f>IF(OR(Table13[[#This Row],[Quality_%]]&gt;=1,Table13[[#This Row],[Quality_%]]&lt;=0),"Error","OK")</f>
        <v>OK</v>
      </c>
      <c r="X713">
        <f>Table13[[#This Row],[Performance_%]]*Table13[[#This Row],[Quality_%]]*[2]Availability_KPI!K713</f>
        <v>0.49457777777777778</v>
      </c>
      <c r="Y713" t="str">
        <f>IF(OR(Table13[[#This Row],[OEE_%]]&gt;1,Table13[[#This Row],[OEE_%]]&lt;0),"Error","OK")</f>
        <v>OK</v>
      </c>
    </row>
    <row r="714" spans="1:25" x14ac:dyDescent="0.2">
      <c r="A714" t="s">
        <v>852</v>
      </c>
      <c r="B714" t="s">
        <v>853</v>
      </c>
      <c r="C714" s="2">
        <v>46276</v>
      </c>
      <c r="D714" t="s">
        <v>67</v>
      </c>
      <c r="E714" t="s">
        <v>28</v>
      </c>
      <c r="F714" t="s">
        <v>54</v>
      </c>
      <c r="G714" t="s">
        <v>39</v>
      </c>
      <c r="H714">
        <v>710</v>
      </c>
      <c r="I714">
        <v>708</v>
      </c>
      <c r="J714">
        <v>2</v>
      </c>
      <c r="K714">
        <v>18</v>
      </c>
      <c r="L714">
        <v>18.96</v>
      </c>
      <c r="M714">
        <v>224.32</v>
      </c>
      <c r="N714">
        <f>_xlfn.XLOOKUP(Table13[[#This Row],[Production_Order_ID]],[1]Sheet1!$A$2:$A$391,[1]Sheet1!$F$2:$F$391,"No Match")</f>
        <v>570</v>
      </c>
      <c r="O714" s="3">
        <f>Table13[[#This Row],[Good_Qty]]/Table13[[#This Row],[Planned_Production]]</f>
        <v>1.2421052631578948</v>
      </c>
      <c r="P714" t="str">
        <f>IF(Table13[[#This Row],[Good_Qty]]&gt;=Table13[[#This Row],[Planned_Production]],"Met","Not Met")</f>
        <v>Met</v>
      </c>
      <c r="Q714">
        <f>Table13[[#This Row],[Good_Qty]]-Table13[[#This Row],[Planned_Production]]</f>
        <v>138</v>
      </c>
      <c r="R714" s="3">
        <f>IF(Table13[[#This Row],[Actual_Qty]]=0,0,Table13[[#This Row],[Reject_Qty]]/Table13[[#This Row],[Actual_Qty]])</f>
        <v>2.8169014084507044E-3</v>
      </c>
      <c r="S714">
        <v>438.53</v>
      </c>
      <c r="T714">
        <f>(Table13[[#This Row],[Ideal_Cycle_Time_sec]]*Table13[[#This Row],[Actual_Qty]])/(Table13[[#This Row],[Operational_Time_min]]*60)</f>
        <v>0.48571363418694274</v>
      </c>
      <c r="U714">
        <f>Table13[[#This Row],[Good_Qty]]/Table13[[#This Row],[Actual_Qty]]</f>
        <v>0.9971830985915493</v>
      </c>
      <c r="V714" t="str">
        <f>IF(OR(Table13[[#This Row],[Performance_%]]&gt;=1,Table13[[#This Row],[Performance_%]]&lt;=0),"Error","OK")</f>
        <v>OK</v>
      </c>
      <c r="W714" t="str">
        <f>IF(OR(Table13[[#This Row],[Quality_%]]&gt;=1,Table13[[#This Row],[Quality_%]]&lt;=0),"Error","OK")</f>
        <v>OK</v>
      </c>
      <c r="X714">
        <f>Table13[[#This Row],[Performance_%]]*Table13[[#This Row],[Quality_%]]*[2]Availability_KPI!K714</f>
        <v>0.47200000000000003</v>
      </c>
      <c r="Y714" t="str">
        <f>IF(OR(Table13[[#This Row],[OEE_%]]&gt;1,Table13[[#This Row],[OEE_%]]&lt;0),"Error","OK")</f>
        <v>OK</v>
      </c>
    </row>
    <row r="715" spans="1:25" x14ac:dyDescent="0.2">
      <c r="A715" t="s">
        <v>854</v>
      </c>
      <c r="B715" t="s">
        <v>853</v>
      </c>
      <c r="C715" s="2">
        <v>46276</v>
      </c>
      <c r="D715" t="s">
        <v>67</v>
      </c>
      <c r="E715" t="s">
        <v>32</v>
      </c>
      <c r="F715" t="s">
        <v>54</v>
      </c>
      <c r="G715" t="s">
        <v>39</v>
      </c>
      <c r="H715">
        <v>698</v>
      </c>
      <c r="I715">
        <v>692</v>
      </c>
      <c r="J715">
        <v>6</v>
      </c>
      <c r="K715">
        <v>20</v>
      </c>
      <c r="L715">
        <v>20.55</v>
      </c>
      <c r="M715">
        <v>239.11</v>
      </c>
      <c r="N715">
        <f>_xlfn.XLOOKUP(Table13[[#This Row],[Production_Order_ID]],[1]Sheet1!$A$2:$A$391,[1]Sheet1!$F$2:$F$391,"No Match")</f>
        <v>570</v>
      </c>
      <c r="O715" s="3">
        <f>Table13[[#This Row],[Good_Qty]]/Table13[[#This Row],[Planned_Production]]</f>
        <v>1.2140350877192982</v>
      </c>
      <c r="P715" t="str">
        <f>IF(Table13[[#This Row],[Good_Qty]]&gt;=Table13[[#This Row],[Planned_Production]],"Met","Not Met")</f>
        <v>Met</v>
      </c>
      <c r="Q715">
        <f>Table13[[#This Row],[Good_Qty]]-Table13[[#This Row],[Planned_Production]]</f>
        <v>122</v>
      </c>
      <c r="R715" s="3">
        <f>IF(Table13[[#This Row],[Actual_Qty]]=0,0,Table13[[#This Row],[Reject_Qty]]/Table13[[#This Row],[Actual_Qty]])</f>
        <v>8.5959885386819486E-3</v>
      </c>
      <c r="S715">
        <v>436.45</v>
      </c>
      <c r="T715">
        <f>(Table13[[#This Row],[Ideal_Cycle_Time_sec]]*Table13[[#This Row],[Actual_Qty]])/(Table13[[#This Row],[Operational_Time_min]]*60)</f>
        <v>0.53308893725894524</v>
      </c>
      <c r="U715">
        <f>Table13[[#This Row],[Good_Qty]]/Table13[[#This Row],[Actual_Qty]]</f>
        <v>0.99140401146131807</v>
      </c>
      <c r="V715" t="str">
        <f>IF(OR(Table13[[#This Row],[Performance_%]]&gt;=1,Table13[[#This Row],[Performance_%]]&lt;=0),"Error","OK")</f>
        <v>OK</v>
      </c>
      <c r="W715" t="str">
        <f>IF(OR(Table13[[#This Row],[Quality_%]]&gt;=1,Table13[[#This Row],[Quality_%]]&lt;=0),"Error","OK")</f>
        <v>OK</v>
      </c>
      <c r="X715">
        <f>Table13[[#This Row],[Performance_%]]*Table13[[#This Row],[Quality_%]]*[2]Availability_KPI!K715</f>
        <v>0.5125925925925926</v>
      </c>
      <c r="Y715" t="str">
        <f>IF(OR(Table13[[#This Row],[OEE_%]]&gt;1,Table13[[#This Row],[OEE_%]]&lt;0),"Error","OK")</f>
        <v>OK</v>
      </c>
    </row>
    <row r="716" spans="1:25" x14ac:dyDescent="0.2">
      <c r="A716" t="s">
        <v>855</v>
      </c>
      <c r="B716" t="s">
        <v>853</v>
      </c>
      <c r="C716" s="2">
        <v>46276</v>
      </c>
      <c r="D716" t="s">
        <v>67</v>
      </c>
      <c r="E716" t="s">
        <v>35</v>
      </c>
      <c r="F716" t="s">
        <v>54</v>
      </c>
      <c r="G716" t="s">
        <v>39</v>
      </c>
      <c r="H716">
        <v>686</v>
      </c>
      <c r="I716">
        <v>682</v>
      </c>
      <c r="J716">
        <v>4</v>
      </c>
      <c r="K716">
        <v>22</v>
      </c>
      <c r="L716">
        <v>24.06</v>
      </c>
      <c r="M716">
        <v>275.05</v>
      </c>
      <c r="N716">
        <f>_xlfn.XLOOKUP(Table13[[#This Row],[Production_Order_ID]],[1]Sheet1!$A$2:$A$391,[1]Sheet1!$F$2:$F$391,"No Match")</f>
        <v>570</v>
      </c>
      <c r="O716" s="3">
        <f>Table13[[#This Row],[Good_Qty]]/Table13[[#This Row],[Planned_Production]]</f>
        <v>1.1964912280701754</v>
      </c>
      <c r="P716" t="str">
        <f>IF(Table13[[#This Row],[Good_Qty]]&gt;=Table13[[#This Row],[Planned_Production]],"Met","Not Met")</f>
        <v>Met</v>
      </c>
      <c r="Q716">
        <f>Table13[[#This Row],[Good_Qty]]-Table13[[#This Row],[Planned_Production]]</f>
        <v>112</v>
      </c>
      <c r="R716" s="3">
        <f>IF(Table13[[#This Row],[Actual_Qty]]=0,0,Table13[[#This Row],[Reject_Qty]]/Table13[[#This Row],[Actual_Qty]])</f>
        <v>5.8309037900874635E-3</v>
      </c>
      <c r="S716">
        <v>434.66</v>
      </c>
      <c r="T716">
        <f>(Table13[[#This Row],[Ideal_Cycle_Time_sec]]*Table13[[#This Row],[Actual_Qty]])/(Table13[[#This Row],[Operational_Time_min]]*60)</f>
        <v>0.57868985720639887</v>
      </c>
      <c r="U716">
        <f>Table13[[#This Row],[Good_Qty]]/Table13[[#This Row],[Actual_Qty]]</f>
        <v>0.99416909620991256</v>
      </c>
      <c r="V716" t="str">
        <f>IF(OR(Table13[[#This Row],[Performance_%]]&gt;=1,Table13[[#This Row],[Performance_%]]&lt;=0),"Error","OK")</f>
        <v>OK</v>
      </c>
      <c r="W716" t="str">
        <f>IF(OR(Table13[[#This Row],[Quality_%]]&gt;=1,Table13[[#This Row],[Quality_%]]&lt;=0),"Error","OK")</f>
        <v>OK</v>
      </c>
      <c r="X716">
        <f>Table13[[#This Row],[Performance_%]]*Table13[[#This Row],[Quality_%]]*[2]Availability_KPI!K716</f>
        <v>0.55570370370370381</v>
      </c>
      <c r="Y716" t="str">
        <f>IF(OR(Table13[[#This Row],[OEE_%]]&gt;1,Table13[[#This Row],[OEE_%]]&lt;0),"Error","OK")</f>
        <v>OK</v>
      </c>
    </row>
    <row r="717" spans="1:25" x14ac:dyDescent="0.2">
      <c r="A717" t="s">
        <v>856</v>
      </c>
      <c r="B717" t="s">
        <v>853</v>
      </c>
      <c r="C717" s="2">
        <v>46276</v>
      </c>
      <c r="D717" t="s">
        <v>67</v>
      </c>
      <c r="E717" t="s">
        <v>38</v>
      </c>
      <c r="F717" t="s">
        <v>54</v>
      </c>
      <c r="G717" t="s">
        <v>33</v>
      </c>
      <c r="H717">
        <v>700</v>
      </c>
      <c r="I717">
        <v>694</v>
      </c>
      <c r="J717">
        <v>6</v>
      </c>
      <c r="K717">
        <v>20</v>
      </c>
      <c r="L717">
        <v>20</v>
      </c>
      <c r="M717">
        <v>233.33</v>
      </c>
      <c r="N717">
        <f>_xlfn.XLOOKUP(Table13[[#This Row],[Production_Order_ID]],[1]Sheet1!$A$2:$A$391,[1]Sheet1!$F$2:$F$391,"No Match")</f>
        <v>570</v>
      </c>
      <c r="O717" s="3">
        <f>Table13[[#This Row],[Good_Qty]]/Table13[[#This Row],[Planned_Production]]</f>
        <v>1.2175438596491228</v>
      </c>
      <c r="P717" t="str">
        <f>IF(Table13[[#This Row],[Good_Qty]]&gt;=Table13[[#This Row],[Planned_Production]],"Met","Not Met")</f>
        <v>Met</v>
      </c>
      <c r="Q717">
        <f>Table13[[#This Row],[Good_Qty]]-Table13[[#This Row],[Planned_Production]]</f>
        <v>124</v>
      </c>
      <c r="R717" s="3">
        <f>IF(Table13[[#This Row],[Actual_Qty]]=0,0,Table13[[#This Row],[Reject_Qty]]/Table13[[#This Row],[Actual_Qty]])</f>
        <v>8.5714285714285719E-3</v>
      </c>
      <c r="S717">
        <v>440.3</v>
      </c>
      <c r="T717">
        <f>(Table13[[#This Row],[Ideal_Cycle_Time_sec]]*Table13[[#This Row],[Actual_Qty]])/(Table13[[#This Row],[Operational_Time_min]]*60)</f>
        <v>0.52994170641229466</v>
      </c>
      <c r="U717">
        <f>Table13[[#This Row],[Good_Qty]]/Table13[[#This Row],[Actual_Qty]]</f>
        <v>0.99142857142857144</v>
      </c>
      <c r="V717" t="str">
        <f>IF(OR(Table13[[#This Row],[Performance_%]]&gt;=1,Table13[[#This Row],[Performance_%]]&lt;=0),"Error","OK")</f>
        <v>OK</v>
      </c>
      <c r="W717" t="str">
        <f>IF(OR(Table13[[#This Row],[Quality_%]]&gt;=1,Table13[[#This Row],[Quality_%]]&lt;=0),"Error","OK")</f>
        <v>OK</v>
      </c>
      <c r="X717">
        <f>Table13[[#This Row],[Performance_%]]*Table13[[#This Row],[Quality_%]]*[2]Availability_KPI!K717</f>
        <v>0.51407407407407413</v>
      </c>
      <c r="Y717" t="str">
        <f>IF(OR(Table13[[#This Row],[OEE_%]]&gt;1,Table13[[#This Row],[OEE_%]]&lt;0),"Error","OK")</f>
        <v>OK</v>
      </c>
    </row>
    <row r="718" spans="1:25" x14ac:dyDescent="0.2">
      <c r="A718" t="s">
        <v>857</v>
      </c>
      <c r="B718" t="s">
        <v>853</v>
      </c>
      <c r="C718" s="2">
        <v>46276</v>
      </c>
      <c r="D718" t="s">
        <v>67</v>
      </c>
      <c r="E718" t="s">
        <v>41</v>
      </c>
      <c r="F718" t="s">
        <v>54</v>
      </c>
      <c r="G718" t="s">
        <v>39</v>
      </c>
      <c r="H718">
        <v>705</v>
      </c>
      <c r="I718">
        <v>700</v>
      </c>
      <c r="J718">
        <v>5</v>
      </c>
      <c r="K718">
        <v>18</v>
      </c>
      <c r="L718">
        <v>19.03</v>
      </c>
      <c r="M718">
        <v>223.62</v>
      </c>
      <c r="N718">
        <f>_xlfn.XLOOKUP(Table13[[#This Row],[Production_Order_ID]],[1]Sheet1!$A$2:$A$391,[1]Sheet1!$F$2:$F$391,"No Match")</f>
        <v>570</v>
      </c>
      <c r="O718" s="3">
        <f>Table13[[#This Row],[Good_Qty]]/Table13[[#This Row],[Planned_Production]]</f>
        <v>1.2280701754385965</v>
      </c>
      <c r="P718" t="str">
        <f>IF(Table13[[#This Row],[Good_Qty]]&gt;=Table13[[#This Row],[Planned_Production]],"Met","Not Met")</f>
        <v>Met</v>
      </c>
      <c r="Q718">
        <f>Table13[[#This Row],[Good_Qty]]-Table13[[#This Row],[Planned_Production]]</f>
        <v>130</v>
      </c>
      <c r="R718" s="3">
        <f>IF(Table13[[#This Row],[Actual_Qty]]=0,0,Table13[[#This Row],[Reject_Qty]]/Table13[[#This Row],[Actual_Qty]])</f>
        <v>7.0921985815602835E-3</v>
      </c>
      <c r="S718">
        <v>439.89</v>
      </c>
      <c r="T718">
        <f>(Table13[[#This Row],[Ideal_Cycle_Time_sec]]*Table13[[#This Row],[Actual_Qty]])/(Table13[[#This Row],[Operational_Time_min]]*60)</f>
        <v>0.48080201868648986</v>
      </c>
      <c r="U718">
        <f>Table13[[#This Row],[Good_Qty]]/Table13[[#This Row],[Actual_Qty]]</f>
        <v>0.99290780141843971</v>
      </c>
      <c r="V718" t="str">
        <f>IF(OR(Table13[[#This Row],[Performance_%]]&gt;=1,Table13[[#This Row],[Performance_%]]&lt;=0),"Error","OK")</f>
        <v>OK</v>
      </c>
      <c r="W718" t="str">
        <f>IF(OR(Table13[[#This Row],[Quality_%]]&gt;=1,Table13[[#This Row],[Quality_%]]&lt;=0),"Error","OK")</f>
        <v>OK</v>
      </c>
      <c r="X718">
        <f>Table13[[#This Row],[Performance_%]]*Table13[[#This Row],[Quality_%]]*[2]Availability_KPI!K718</f>
        <v>0.46666666666666667</v>
      </c>
      <c r="Y718" t="str">
        <f>IF(OR(Table13[[#This Row],[OEE_%]]&gt;1,Table13[[#This Row],[OEE_%]]&lt;0),"Error","OK")</f>
        <v>OK</v>
      </c>
    </row>
    <row r="719" spans="1:25" x14ac:dyDescent="0.2">
      <c r="A719" t="s">
        <v>858</v>
      </c>
      <c r="B719" t="s">
        <v>853</v>
      </c>
      <c r="C719" s="2">
        <v>46276</v>
      </c>
      <c r="D719" t="s">
        <v>67</v>
      </c>
      <c r="E719" t="s">
        <v>43</v>
      </c>
      <c r="F719" t="s">
        <v>54</v>
      </c>
      <c r="G719" t="s">
        <v>44</v>
      </c>
      <c r="H719">
        <v>690</v>
      </c>
      <c r="I719">
        <v>680</v>
      </c>
      <c r="J719">
        <v>10</v>
      </c>
      <c r="K719">
        <v>32</v>
      </c>
      <c r="L719">
        <v>34.54</v>
      </c>
      <c r="M719">
        <v>397.21</v>
      </c>
      <c r="N719">
        <f>_xlfn.XLOOKUP(Table13[[#This Row],[Production_Order_ID]],[1]Sheet1!$A$2:$A$391,[1]Sheet1!$F$2:$F$391,"No Match")</f>
        <v>570</v>
      </c>
      <c r="O719" s="3">
        <f>Table13[[#This Row],[Good_Qty]]/Table13[[#This Row],[Planned_Production]]</f>
        <v>1.1929824561403508</v>
      </c>
      <c r="P719" t="str">
        <f>IF(Table13[[#This Row],[Good_Qty]]&gt;=Table13[[#This Row],[Planned_Production]],"Met","Not Met")</f>
        <v>Met</v>
      </c>
      <c r="Q719">
        <f>Table13[[#This Row],[Good_Qty]]-Table13[[#This Row],[Planned_Production]]</f>
        <v>110</v>
      </c>
      <c r="R719" s="3">
        <f>IF(Table13[[#This Row],[Actual_Qty]]=0,0,Table13[[#This Row],[Reject_Qty]]/Table13[[#This Row],[Actual_Qty]])</f>
        <v>1.4492753623188406E-2</v>
      </c>
      <c r="S719">
        <v>407.42</v>
      </c>
      <c r="T719">
        <f>(Table13[[#This Row],[Ideal_Cycle_Time_sec]]*Table13[[#This Row],[Actual_Qty]])/(Table13[[#This Row],[Operational_Time_min]]*60)</f>
        <v>0.90324480879681901</v>
      </c>
      <c r="U719">
        <f>Table13[[#This Row],[Good_Qty]]/Table13[[#This Row],[Actual_Qty]]</f>
        <v>0.98550724637681164</v>
      </c>
      <c r="V719" t="str">
        <f>IF(OR(Table13[[#This Row],[Performance_%]]&gt;=1,Table13[[#This Row],[Performance_%]]&lt;=0),"Error","OK")</f>
        <v>OK</v>
      </c>
      <c r="W719" t="str">
        <f>IF(OR(Table13[[#This Row],[Quality_%]]&gt;=1,Table13[[#This Row],[Quality_%]]&lt;=0),"Error","OK")</f>
        <v>OK</v>
      </c>
      <c r="X719">
        <f>Table13[[#This Row],[Performance_%]]*Table13[[#This Row],[Quality_%]]*[2]Availability_KPI!K719</f>
        <v>0.80592592592592605</v>
      </c>
      <c r="Y719" t="str">
        <f>IF(OR(Table13[[#This Row],[OEE_%]]&gt;1,Table13[[#This Row],[OEE_%]]&lt;0),"Error","OK")</f>
        <v>OK</v>
      </c>
    </row>
    <row r="720" spans="1:25" x14ac:dyDescent="0.2">
      <c r="A720" t="s">
        <v>859</v>
      </c>
      <c r="B720" t="s">
        <v>853</v>
      </c>
      <c r="C720" s="2">
        <v>46276</v>
      </c>
      <c r="D720" t="s">
        <v>67</v>
      </c>
      <c r="E720" t="s">
        <v>46</v>
      </c>
      <c r="F720" t="s">
        <v>54</v>
      </c>
      <c r="G720" t="s">
        <v>61</v>
      </c>
      <c r="H720">
        <v>707</v>
      </c>
      <c r="I720">
        <v>701</v>
      </c>
      <c r="J720">
        <v>6</v>
      </c>
      <c r="K720">
        <v>25</v>
      </c>
      <c r="L720">
        <v>25.93</v>
      </c>
      <c r="M720">
        <v>305.56</v>
      </c>
      <c r="N720">
        <f>_xlfn.XLOOKUP(Table13[[#This Row],[Production_Order_ID]],[1]Sheet1!$A$2:$A$391,[1]Sheet1!$F$2:$F$391,"No Match")</f>
        <v>570</v>
      </c>
      <c r="O720" s="3">
        <f>Table13[[#This Row],[Good_Qty]]/Table13[[#This Row],[Planned_Production]]</f>
        <v>1.2298245614035088</v>
      </c>
      <c r="P720" t="str">
        <f>IF(Table13[[#This Row],[Good_Qty]]&gt;=Table13[[#This Row],[Planned_Production]],"Met","Not Met")</f>
        <v>Met</v>
      </c>
      <c r="Q720">
        <f>Table13[[#This Row],[Good_Qty]]-Table13[[#This Row],[Planned_Production]]</f>
        <v>131</v>
      </c>
      <c r="R720" s="3">
        <f>IF(Table13[[#This Row],[Actual_Qty]]=0,0,Table13[[#This Row],[Reject_Qty]]/Table13[[#This Row],[Actual_Qty]])</f>
        <v>8.4865629420084864E-3</v>
      </c>
      <c r="S720">
        <v>432.14</v>
      </c>
      <c r="T720">
        <f>(Table13[[#This Row],[Ideal_Cycle_Time_sec]]*Table13[[#This Row],[Actual_Qty]])/(Table13[[#This Row],[Operational_Time_min]]*60)</f>
        <v>0.68168494777926913</v>
      </c>
      <c r="U720">
        <f>Table13[[#This Row],[Good_Qty]]/Table13[[#This Row],[Actual_Qty]]</f>
        <v>0.99151343705799155</v>
      </c>
      <c r="V720" t="str">
        <f>IF(OR(Table13[[#This Row],[Performance_%]]&gt;=1,Table13[[#This Row],[Performance_%]]&lt;=0),"Error","OK")</f>
        <v>OK</v>
      </c>
      <c r="W720" t="str">
        <f>IF(OR(Table13[[#This Row],[Quality_%]]&gt;=1,Table13[[#This Row],[Quality_%]]&lt;=0),"Error","OK")</f>
        <v>OK</v>
      </c>
      <c r="X720">
        <f>Table13[[#This Row],[Performance_%]]*Table13[[#This Row],[Quality_%]]*[2]Availability_KPI!K720</f>
        <v>0.64907407407407414</v>
      </c>
      <c r="Y720" t="str">
        <f>IF(OR(Table13[[#This Row],[OEE_%]]&gt;1,Table13[[#This Row],[OEE_%]]&lt;0),"Error","OK")</f>
        <v>OK</v>
      </c>
    </row>
    <row r="721" spans="1:25" x14ac:dyDescent="0.2">
      <c r="A721" t="s">
        <v>860</v>
      </c>
      <c r="B721" t="s">
        <v>853</v>
      </c>
      <c r="C721" s="2">
        <v>46276</v>
      </c>
      <c r="D721" t="s">
        <v>67</v>
      </c>
      <c r="E721" t="s">
        <v>49</v>
      </c>
      <c r="F721" t="s">
        <v>54</v>
      </c>
      <c r="G721" t="s">
        <v>39</v>
      </c>
      <c r="H721">
        <v>707</v>
      </c>
      <c r="I721">
        <v>701</v>
      </c>
      <c r="J721">
        <v>6</v>
      </c>
      <c r="K721">
        <v>20</v>
      </c>
      <c r="L721">
        <v>21.56</v>
      </c>
      <c r="M721">
        <v>254.05</v>
      </c>
      <c r="N721">
        <f>_xlfn.XLOOKUP(Table13[[#This Row],[Production_Order_ID]],[1]Sheet1!$A$2:$A$391,[1]Sheet1!$F$2:$F$391,"No Match")</f>
        <v>570</v>
      </c>
      <c r="O721" s="3">
        <f>Table13[[#This Row],[Good_Qty]]/Table13[[#This Row],[Planned_Production]]</f>
        <v>1.2298245614035088</v>
      </c>
      <c r="P721" t="str">
        <f>IF(Table13[[#This Row],[Good_Qty]]&gt;=Table13[[#This Row],[Planned_Production]],"Met","Not Met")</f>
        <v>Met</v>
      </c>
      <c r="Q721">
        <f>Table13[[#This Row],[Good_Qty]]-Table13[[#This Row],[Planned_Production]]</f>
        <v>131</v>
      </c>
      <c r="R721" s="3">
        <f>IF(Table13[[#This Row],[Actual_Qty]]=0,0,Table13[[#This Row],[Reject_Qty]]/Table13[[#This Row],[Actual_Qty]])</f>
        <v>8.4865629420084864E-3</v>
      </c>
      <c r="S721">
        <v>439.76</v>
      </c>
      <c r="T721">
        <f>(Table13[[#This Row],[Ideal_Cycle_Time_sec]]*Table13[[#This Row],[Actual_Qty]])/(Table13[[#This Row],[Operational_Time_min]]*60)</f>
        <v>0.53589836880722819</v>
      </c>
      <c r="U721">
        <f>Table13[[#This Row],[Good_Qty]]/Table13[[#This Row],[Actual_Qty]]</f>
        <v>0.99151343705799155</v>
      </c>
      <c r="V721" t="str">
        <f>IF(OR(Table13[[#This Row],[Performance_%]]&gt;=1,Table13[[#This Row],[Performance_%]]&lt;=0),"Error","OK")</f>
        <v>OK</v>
      </c>
      <c r="W721" t="str">
        <f>IF(OR(Table13[[#This Row],[Quality_%]]&gt;=1,Table13[[#This Row],[Quality_%]]&lt;=0),"Error","OK")</f>
        <v>OK</v>
      </c>
      <c r="X721">
        <f>Table13[[#This Row],[Performance_%]]*Table13[[#This Row],[Quality_%]]*[2]Availability_KPI!K721</f>
        <v>0.51925925925925931</v>
      </c>
      <c r="Y721" t="str">
        <f>IF(OR(Table13[[#This Row],[OEE_%]]&gt;1,Table13[[#This Row],[OEE_%]]&lt;0),"Error","OK")</f>
        <v>OK</v>
      </c>
    </row>
    <row r="722" spans="1:25" x14ac:dyDescent="0.2">
      <c r="A722" t="s">
        <v>861</v>
      </c>
      <c r="B722" t="s">
        <v>862</v>
      </c>
      <c r="C722" s="2">
        <v>46279</v>
      </c>
      <c r="D722" t="s">
        <v>27</v>
      </c>
      <c r="E722" t="s">
        <v>28</v>
      </c>
      <c r="F722" t="s">
        <v>97</v>
      </c>
      <c r="G722" t="s">
        <v>36</v>
      </c>
      <c r="H722">
        <v>674</v>
      </c>
      <c r="I722">
        <v>670</v>
      </c>
      <c r="J722">
        <v>4</v>
      </c>
      <c r="K722">
        <v>19.260000000000002</v>
      </c>
      <c r="L722">
        <v>19.260000000000002</v>
      </c>
      <c r="M722">
        <v>216.35</v>
      </c>
      <c r="N722">
        <f>_xlfn.XLOOKUP(Table13[[#This Row],[Production_Order_ID]],[1]Sheet1!$A$2:$A$391,[1]Sheet1!$F$2:$F$391,"No Match")</f>
        <v>440</v>
      </c>
      <c r="O722" s="3">
        <f>Table13[[#This Row],[Good_Qty]]/Table13[[#This Row],[Planned_Production]]</f>
        <v>1.5227272727272727</v>
      </c>
      <c r="P722" t="str">
        <f>IF(Table13[[#This Row],[Good_Qty]]&gt;=Table13[[#This Row],[Planned_Production]],"Met","Not Met")</f>
        <v>Met</v>
      </c>
      <c r="Q722">
        <f>Table13[[#This Row],[Good_Qty]]-Table13[[#This Row],[Planned_Production]]</f>
        <v>230</v>
      </c>
      <c r="R722" s="3">
        <f>IF(Table13[[#This Row],[Actual_Qty]]=0,0,Table13[[#This Row],[Reject_Qty]]/Table13[[#This Row],[Actual_Qty]])</f>
        <v>5.9347181008902079E-3</v>
      </c>
      <c r="S722">
        <v>441.37</v>
      </c>
      <c r="T722">
        <f>(Table13[[#This Row],[Ideal_Cycle_Time_sec]]*Table13[[#This Row],[Actual_Qty]])/(Table13[[#This Row],[Operational_Time_min]]*60)</f>
        <v>0.49018737113986005</v>
      </c>
      <c r="U722">
        <f>Table13[[#This Row],[Good_Qty]]/Table13[[#This Row],[Actual_Qty]]</f>
        <v>0.99406528189910981</v>
      </c>
      <c r="V722" t="str">
        <f>IF(OR(Table13[[#This Row],[Performance_%]]&gt;=1,Table13[[#This Row],[Performance_%]]&lt;=0),"Error","OK")</f>
        <v>OK</v>
      </c>
      <c r="W722" t="str">
        <f>IF(OR(Table13[[#This Row],[Quality_%]]&gt;=1,Table13[[#This Row],[Quality_%]]&lt;=0),"Error","OK")</f>
        <v>OK</v>
      </c>
      <c r="X722">
        <f>Table13[[#This Row],[Performance_%]]*Table13[[#This Row],[Quality_%]]*[2]Availability_KPI!K722</f>
        <v>0.47793333333333343</v>
      </c>
      <c r="Y722" t="str">
        <f>IF(OR(Table13[[#This Row],[OEE_%]]&gt;1,Table13[[#This Row],[OEE_%]]&lt;0),"Error","OK")</f>
        <v>OK</v>
      </c>
    </row>
    <row r="723" spans="1:25" x14ac:dyDescent="0.2">
      <c r="A723" t="s">
        <v>863</v>
      </c>
      <c r="B723" t="s">
        <v>862</v>
      </c>
      <c r="C723" s="2">
        <v>46279</v>
      </c>
      <c r="D723" t="s">
        <v>27</v>
      </c>
      <c r="E723" t="s">
        <v>32</v>
      </c>
      <c r="F723" t="s">
        <v>97</v>
      </c>
      <c r="G723" t="s">
        <v>71</v>
      </c>
      <c r="H723">
        <v>669</v>
      </c>
      <c r="I723">
        <v>664</v>
      </c>
      <c r="J723">
        <v>5</v>
      </c>
      <c r="K723">
        <v>21.4</v>
      </c>
      <c r="L723">
        <v>22.17</v>
      </c>
      <c r="M723">
        <v>247.18</v>
      </c>
      <c r="N723">
        <f>_xlfn.XLOOKUP(Table13[[#This Row],[Production_Order_ID]],[1]Sheet1!$A$2:$A$391,[1]Sheet1!$F$2:$F$391,"No Match")</f>
        <v>440</v>
      </c>
      <c r="O723" s="3">
        <f>Table13[[#This Row],[Good_Qty]]/Table13[[#This Row],[Planned_Production]]</f>
        <v>1.509090909090909</v>
      </c>
      <c r="P723" t="str">
        <f>IF(Table13[[#This Row],[Good_Qty]]&gt;=Table13[[#This Row],[Planned_Production]],"Met","Not Met")</f>
        <v>Met</v>
      </c>
      <c r="Q723">
        <f>Table13[[#This Row],[Good_Qty]]-Table13[[#This Row],[Planned_Production]]</f>
        <v>224</v>
      </c>
      <c r="R723" s="3">
        <f>IF(Table13[[#This Row],[Actual_Qty]]=0,0,Table13[[#This Row],[Reject_Qty]]/Table13[[#This Row],[Actual_Qty]])</f>
        <v>7.4738415545590429E-3</v>
      </c>
      <c r="S723">
        <v>439.39</v>
      </c>
      <c r="T723">
        <f>(Table13[[#This Row],[Ideal_Cycle_Time_sec]]*Table13[[#This Row],[Actual_Qty]])/(Table13[[#This Row],[Operational_Time_min]]*60)</f>
        <v>0.54304831698491085</v>
      </c>
      <c r="U723">
        <f>Table13[[#This Row],[Good_Qty]]/Table13[[#This Row],[Actual_Qty]]</f>
        <v>0.99252615844544101</v>
      </c>
      <c r="V723" t="str">
        <f>IF(OR(Table13[[#This Row],[Performance_%]]&gt;=1,Table13[[#This Row],[Performance_%]]&lt;=0),"Error","OK")</f>
        <v>OK</v>
      </c>
      <c r="W723" t="str">
        <f>IF(OR(Table13[[#This Row],[Quality_%]]&gt;=1,Table13[[#This Row],[Quality_%]]&lt;=0),"Error","OK")</f>
        <v>OK</v>
      </c>
      <c r="X723">
        <f>Table13[[#This Row],[Performance_%]]*Table13[[#This Row],[Quality_%]]*[2]Availability_KPI!K723</f>
        <v>0.52628148148148146</v>
      </c>
      <c r="Y723" t="str">
        <f>IF(OR(Table13[[#This Row],[OEE_%]]&gt;1,Table13[[#This Row],[OEE_%]]&lt;0),"Error","OK")</f>
        <v>OK</v>
      </c>
    </row>
    <row r="724" spans="1:25" x14ac:dyDescent="0.2">
      <c r="A724" t="s">
        <v>864</v>
      </c>
      <c r="B724" t="s">
        <v>862</v>
      </c>
      <c r="C724" s="2">
        <v>46279</v>
      </c>
      <c r="D724" t="s">
        <v>27</v>
      </c>
      <c r="E724" t="s">
        <v>35</v>
      </c>
      <c r="F724" t="s">
        <v>97</v>
      </c>
      <c r="G724" t="s">
        <v>75</v>
      </c>
      <c r="H724">
        <v>664</v>
      </c>
      <c r="I724">
        <v>659</v>
      </c>
      <c r="J724">
        <v>5</v>
      </c>
      <c r="K724">
        <v>23.54</v>
      </c>
      <c r="L724">
        <v>24.77</v>
      </c>
      <c r="M724">
        <v>274.14</v>
      </c>
      <c r="N724">
        <f>_xlfn.XLOOKUP(Table13[[#This Row],[Production_Order_ID]],[1]Sheet1!$A$2:$A$391,[1]Sheet1!$F$2:$F$391,"No Match")</f>
        <v>440</v>
      </c>
      <c r="O724" s="3">
        <f>Table13[[#This Row],[Good_Qty]]/Table13[[#This Row],[Planned_Production]]</f>
        <v>1.4977272727272728</v>
      </c>
      <c r="P724" t="str">
        <f>IF(Table13[[#This Row],[Good_Qty]]&gt;=Table13[[#This Row],[Planned_Production]],"Met","Not Met")</f>
        <v>Met</v>
      </c>
      <c r="Q724">
        <f>Table13[[#This Row],[Good_Qty]]-Table13[[#This Row],[Planned_Production]]</f>
        <v>219</v>
      </c>
      <c r="R724" s="3">
        <f>IF(Table13[[#This Row],[Actual_Qty]]=0,0,Table13[[#This Row],[Reject_Qty]]/Table13[[#This Row],[Actual_Qty]])</f>
        <v>7.5301204819277108E-3</v>
      </c>
      <c r="S724">
        <v>438.19</v>
      </c>
      <c r="T724">
        <f>(Table13[[#This Row],[Ideal_Cycle_Time_sec]]*Table13[[#This Row],[Actual_Qty]])/(Table13[[#This Row],[Operational_Time_min]]*60)</f>
        <v>0.59451227397552042</v>
      </c>
      <c r="U724">
        <f>Table13[[#This Row],[Good_Qty]]/Table13[[#This Row],[Actual_Qty]]</f>
        <v>0.99246987951807231</v>
      </c>
      <c r="V724" t="str">
        <f>IF(OR(Table13[[#This Row],[Performance_%]]&gt;=1,Table13[[#This Row],[Performance_%]]&lt;=0),"Error","OK")</f>
        <v>OK</v>
      </c>
      <c r="W724" t="str">
        <f>IF(OR(Table13[[#This Row],[Quality_%]]&gt;=1,Table13[[#This Row],[Quality_%]]&lt;=0),"Error","OK")</f>
        <v>OK</v>
      </c>
      <c r="X724">
        <f>Table13[[#This Row],[Performance_%]]*Table13[[#This Row],[Quality_%]]*[2]Availability_KPI!K724</f>
        <v>0.57455037037037038</v>
      </c>
      <c r="Y724" t="str">
        <f>IF(OR(Table13[[#This Row],[OEE_%]]&gt;1,Table13[[#This Row],[OEE_%]]&lt;0),"Error","OK")</f>
        <v>OK</v>
      </c>
    </row>
    <row r="725" spans="1:25" x14ac:dyDescent="0.2">
      <c r="A725" t="s">
        <v>865</v>
      </c>
      <c r="B725" t="s">
        <v>862</v>
      </c>
      <c r="C725" s="2">
        <v>46279</v>
      </c>
      <c r="D725" t="s">
        <v>27</v>
      </c>
      <c r="E725" t="s">
        <v>38</v>
      </c>
      <c r="F725" t="s">
        <v>97</v>
      </c>
      <c r="G725" t="s">
        <v>44</v>
      </c>
      <c r="H725">
        <v>666</v>
      </c>
      <c r="I725">
        <v>663</v>
      </c>
      <c r="J725">
        <v>3</v>
      </c>
      <c r="K725">
        <v>21.4</v>
      </c>
      <c r="L725">
        <v>22.07</v>
      </c>
      <c r="M725">
        <v>245</v>
      </c>
      <c r="N725">
        <f>_xlfn.XLOOKUP(Table13[[#This Row],[Production_Order_ID]],[1]Sheet1!$A$2:$A$391,[1]Sheet1!$F$2:$F$391,"No Match")</f>
        <v>440</v>
      </c>
      <c r="O725" s="3">
        <f>Table13[[#This Row],[Good_Qty]]/Table13[[#This Row],[Planned_Production]]</f>
        <v>1.5068181818181818</v>
      </c>
      <c r="P725" t="str">
        <f>IF(Table13[[#This Row],[Good_Qty]]&gt;=Table13[[#This Row],[Planned_Production]],"Met","Not Met")</f>
        <v>Met</v>
      </c>
      <c r="Q725">
        <f>Table13[[#This Row],[Good_Qty]]-Table13[[#This Row],[Planned_Production]]</f>
        <v>223</v>
      </c>
      <c r="R725" s="3">
        <f>IF(Table13[[#This Row],[Actual_Qty]]=0,0,Table13[[#This Row],[Reject_Qty]]/Table13[[#This Row],[Actual_Qty]])</f>
        <v>4.5045045045045045E-3</v>
      </c>
      <c r="S725">
        <v>435.3</v>
      </c>
      <c r="T725">
        <f>(Table13[[#This Row],[Ideal_Cycle_Time_sec]]*Table13[[#This Row],[Actual_Qty]])/(Table13[[#This Row],[Operational_Time_min]]*60)</f>
        <v>0.5456926257753274</v>
      </c>
      <c r="U725">
        <f>Table13[[#This Row],[Good_Qty]]/Table13[[#This Row],[Actual_Qty]]</f>
        <v>0.99549549549549554</v>
      </c>
      <c r="V725" t="str">
        <f>IF(OR(Table13[[#This Row],[Performance_%]]&gt;=1,Table13[[#This Row],[Performance_%]]&lt;=0),"Error","OK")</f>
        <v>OK</v>
      </c>
      <c r="W725" t="str">
        <f>IF(OR(Table13[[#This Row],[Quality_%]]&gt;=1,Table13[[#This Row],[Quality_%]]&lt;=0),"Error","OK")</f>
        <v>OK</v>
      </c>
      <c r="X725">
        <f>Table13[[#This Row],[Performance_%]]*Table13[[#This Row],[Quality_%]]*[2]Availability_KPI!K725</f>
        <v>0.52548888888888901</v>
      </c>
      <c r="Y725" t="str">
        <f>IF(OR(Table13[[#This Row],[OEE_%]]&gt;1,Table13[[#This Row],[OEE_%]]&lt;0),"Error","OK")</f>
        <v>OK</v>
      </c>
    </row>
    <row r="726" spans="1:25" x14ac:dyDescent="0.2">
      <c r="A726" t="s">
        <v>866</v>
      </c>
      <c r="B726" t="s">
        <v>862</v>
      </c>
      <c r="C726" s="2">
        <v>46279</v>
      </c>
      <c r="D726" t="s">
        <v>27</v>
      </c>
      <c r="E726" t="s">
        <v>41</v>
      </c>
      <c r="F726" t="s">
        <v>97</v>
      </c>
      <c r="G726" t="s">
        <v>36</v>
      </c>
      <c r="H726">
        <v>673</v>
      </c>
      <c r="I726">
        <v>667</v>
      </c>
      <c r="J726">
        <v>6</v>
      </c>
      <c r="K726">
        <v>19.260000000000002</v>
      </c>
      <c r="L726">
        <v>20.8</v>
      </c>
      <c r="M726">
        <v>233.31</v>
      </c>
      <c r="N726">
        <f>_xlfn.XLOOKUP(Table13[[#This Row],[Production_Order_ID]],[1]Sheet1!$A$2:$A$391,[1]Sheet1!$F$2:$F$391,"No Match")</f>
        <v>440</v>
      </c>
      <c r="O726" s="3">
        <f>Table13[[#This Row],[Good_Qty]]/Table13[[#This Row],[Planned_Production]]</f>
        <v>1.5159090909090909</v>
      </c>
      <c r="P726" t="str">
        <f>IF(Table13[[#This Row],[Good_Qty]]&gt;=Table13[[#This Row],[Planned_Production]],"Met","Not Met")</f>
        <v>Met</v>
      </c>
      <c r="Q726">
        <f>Table13[[#This Row],[Good_Qty]]-Table13[[#This Row],[Planned_Production]]</f>
        <v>227</v>
      </c>
      <c r="R726" s="3">
        <f>IF(Table13[[#This Row],[Actual_Qty]]=0,0,Table13[[#This Row],[Reject_Qty]]/Table13[[#This Row],[Actual_Qty]])</f>
        <v>8.9153046062407128E-3</v>
      </c>
      <c r="S726">
        <v>433.91</v>
      </c>
      <c r="T726">
        <f>(Table13[[#This Row],[Ideal_Cycle_Time_sec]]*Table13[[#This Row],[Actual_Qty]])/(Table13[[#This Row],[Operational_Time_min]]*60)</f>
        <v>0.49787513539674128</v>
      </c>
      <c r="U726">
        <f>Table13[[#This Row],[Good_Qty]]/Table13[[#This Row],[Actual_Qty]]</f>
        <v>0.99108469539375932</v>
      </c>
      <c r="V726" t="str">
        <f>IF(OR(Table13[[#This Row],[Performance_%]]&gt;=1,Table13[[#This Row],[Performance_%]]&lt;=0),"Error","OK")</f>
        <v>OK</v>
      </c>
      <c r="W726" t="str">
        <f>IF(OR(Table13[[#This Row],[Quality_%]]&gt;=1,Table13[[#This Row],[Quality_%]]&lt;=0),"Error","OK")</f>
        <v>OK</v>
      </c>
      <c r="X726">
        <f>Table13[[#This Row],[Performance_%]]*Table13[[#This Row],[Quality_%]]*[2]Availability_KPI!K726</f>
        <v>0.4757933333333334</v>
      </c>
      <c r="Y726" t="str">
        <f>IF(OR(Table13[[#This Row],[OEE_%]]&gt;1,Table13[[#This Row],[OEE_%]]&lt;0),"Error","OK")</f>
        <v>OK</v>
      </c>
    </row>
    <row r="727" spans="1:25" x14ac:dyDescent="0.2">
      <c r="A727" t="s">
        <v>867</v>
      </c>
      <c r="B727" t="s">
        <v>862</v>
      </c>
      <c r="C727" s="2">
        <v>46279</v>
      </c>
      <c r="D727" t="s">
        <v>27</v>
      </c>
      <c r="E727" t="s">
        <v>43</v>
      </c>
      <c r="F727" t="s">
        <v>97</v>
      </c>
      <c r="G727" t="s">
        <v>44</v>
      </c>
      <c r="H727">
        <v>671</v>
      </c>
      <c r="I727">
        <v>662</v>
      </c>
      <c r="J727">
        <v>9</v>
      </c>
      <c r="K727">
        <v>34.24</v>
      </c>
      <c r="L727">
        <v>36.85</v>
      </c>
      <c r="M727">
        <v>412.15</v>
      </c>
      <c r="N727">
        <f>_xlfn.XLOOKUP(Table13[[#This Row],[Production_Order_ID]],[1]Sheet1!$A$2:$A$391,[1]Sheet1!$F$2:$F$391,"No Match")</f>
        <v>440</v>
      </c>
      <c r="O727" s="3">
        <f>Table13[[#This Row],[Good_Qty]]/Table13[[#This Row],[Planned_Production]]</f>
        <v>1.5045454545454546</v>
      </c>
      <c r="P727" t="str">
        <f>IF(Table13[[#This Row],[Good_Qty]]&gt;=Table13[[#This Row],[Planned_Production]],"Met","Not Met")</f>
        <v>Met</v>
      </c>
      <c r="Q727">
        <f>Table13[[#This Row],[Good_Qty]]-Table13[[#This Row],[Planned_Production]]</f>
        <v>222</v>
      </c>
      <c r="R727" s="3">
        <f>IF(Table13[[#This Row],[Actual_Qty]]=0,0,Table13[[#This Row],[Reject_Qty]]/Table13[[#This Row],[Actual_Qty]])</f>
        <v>1.3412816691505217E-2</v>
      </c>
      <c r="S727">
        <v>403.24</v>
      </c>
      <c r="T727">
        <f>(Table13[[#This Row],[Ideal_Cycle_Time_sec]]*Table13[[#This Row],[Actual_Qty]])/(Table13[[#This Row],[Operational_Time_min]]*60)</f>
        <v>0.9496015606917303</v>
      </c>
      <c r="U727">
        <f>Table13[[#This Row],[Good_Qty]]/Table13[[#This Row],[Actual_Qty]]</f>
        <v>0.98658718330849482</v>
      </c>
      <c r="V727" t="str">
        <f>IF(OR(Table13[[#This Row],[Performance_%]]&gt;=1,Table13[[#This Row],[Performance_%]]&lt;=0),"Error","OK")</f>
        <v>OK</v>
      </c>
      <c r="W727" t="str">
        <f>IF(OR(Table13[[#This Row],[Quality_%]]&gt;=1,Table13[[#This Row],[Quality_%]]&lt;=0),"Error","OK")</f>
        <v>OK</v>
      </c>
      <c r="X727">
        <f>Table13[[#This Row],[Performance_%]]*Table13[[#This Row],[Quality_%]]*[2]Availability_KPI!K727</f>
        <v>0.83951407407407408</v>
      </c>
      <c r="Y727" t="str">
        <f>IF(OR(Table13[[#This Row],[OEE_%]]&gt;1,Table13[[#This Row],[OEE_%]]&lt;0),"Error","OK")</f>
        <v>OK</v>
      </c>
    </row>
    <row r="728" spans="1:25" x14ac:dyDescent="0.2">
      <c r="A728" t="s">
        <v>868</v>
      </c>
      <c r="B728" t="s">
        <v>862</v>
      </c>
      <c r="C728" s="2">
        <v>46279</v>
      </c>
      <c r="D728" t="s">
        <v>27</v>
      </c>
      <c r="E728" t="s">
        <v>46</v>
      </c>
      <c r="F728" t="s">
        <v>97</v>
      </c>
      <c r="G728" t="s">
        <v>30</v>
      </c>
      <c r="H728">
        <v>669</v>
      </c>
      <c r="I728">
        <v>662</v>
      </c>
      <c r="J728">
        <v>7</v>
      </c>
      <c r="K728">
        <v>26.75</v>
      </c>
      <c r="L728">
        <v>27.79</v>
      </c>
      <c r="M728">
        <v>309.83</v>
      </c>
      <c r="N728">
        <f>_xlfn.XLOOKUP(Table13[[#This Row],[Production_Order_ID]],[1]Sheet1!$A$2:$A$391,[1]Sheet1!$F$2:$F$391,"No Match")</f>
        <v>440</v>
      </c>
      <c r="O728" s="3">
        <f>Table13[[#This Row],[Good_Qty]]/Table13[[#This Row],[Planned_Production]]</f>
        <v>1.5045454545454546</v>
      </c>
      <c r="P728" t="str">
        <f>IF(Table13[[#This Row],[Good_Qty]]&gt;=Table13[[#This Row],[Planned_Production]],"Met","Not Met")</f>
        <v>Met</v>
      </c>
      <c r="Q728">
        <f>Table13[[#This Row],[Good_Qty]]-Table13[[#This Row],[Planned_Production]]</f>
        <v>222</v>
      </c>
      <c r="R728" s="3">
        <f>IF(Table13[[#This Row],[Actual_Qty]]=0,0,Table13[[#This Row],[Reject_Qty]]/Table13[[#This Row],[Actual_Qty]])</f>
        <v>1.0463378176382661E-2</v>
      </c>
      <c r="S728">
        <v>427.58</v>
      </c>
      <c r="T728">
        <f>(Table13[[#This Row],[Ideal_Cycle_Time_sec]]*Table13[[#This Row],[Actual_Qty]])/(Table13[[#This Row],[Operational_Time_min]]*60)</f>
        <v>0.69755952102530527</v>
      </c>
      <c r="U728">
        <f>Table13[[#This Row],[Good_Qty]]/Table13[[#This Row],[Actual_Qty]]</f>
        <v>0.98953662182361735</v>
      </c>
      <c r="V728" t="str">
        <f>IF(OR(Table13[[#This Row],[Performance_%]]&gt;=1,Table13[[#This Row],[Performance_%]]&lt;=0),"Error","OK")</f>
        <v>OK</v>
      </c>
      <c r="W728" t="str">
        <f>IF(OR(Table13[[#This Row],[Quality_%]]&gt;=1,Table13[[#This Row],[Quality_%]]&lt;=0),"Error","OK")</f>
        <v>OK</v>
      </c>
      <c r="X728">
        <f>Table13[[#This Row],[Performance_%]]*Table13[[#This Row],[Quality_%]]*[2]Availability_KPI!K728</f>
        <v>0.65587037037037044</v>
      </c>
      <c r="Y728" t="str">
        <f>IF(OR(Table13[[#This Row],[OEE_%]]&gt;1,Table13[[#This Row],[OEE_%]]&lt;0),"Error","OK")</f>
        <v>OK</v>
      </c>
    </row>
    <row r="729" spans="1:25" x14ac:dyDescent="0.2">
      <c r="A729" t="s">
        <v>869</v>
      </c>
      <c r="B729" t="s">
        <v>862</v>
      </c>
      <c r="C729" s="2">
        <v>46279</v>
      </c>
      <c r="D729" t="s">
        <v>27</v>
      </c>
      <c r="E729" t="s">
        <v>49</v>
      </c>
      <c r="F729" t="s">
        <v>97</v>
      </c>
      <c r="G729" t="s">
        <v>57</v>
      </c>
      <c r="H729">
        <v>671</v>
      </c>
      <c r="I729">
        <v>669</v>
      </c>
      <c r="J729">
        <v>2</v>
      </c>
      <c r="K729">
        <v>21.4</v>
      </c>
      <c r="L729">
        <v>21.79</v>
      </c>
      <c r="M729">
        <v>243.68</v>
      </c>
      <c r="N729">
        <f>_xlfn.XLOOKUP(Table13[[#This Row],[Production_Order_ID]],[1]Sheet1!$A$2:$A$391,[1]Sheet1!$F$2:$F$391,"No Match")</f>
        <v>440</v>
      </c>
      <c r="O729" s="3">
        <f>Table13[[#This Row],[Good_Qty]]/Table13[[#This Row],[Planned_Production]]</f>
        <v>1.5204545454545455</v>
      </c>
      <c r="P729" t="str">
        <f>IF(Table13[[#This Row],[Good_Qty]]&gt;=Table13[[#This Row],[Planned_Production]],"Met","Not Met")</f>
        <v>Met</v>
      </c>
      <c r="Q729">
        <f>Table13[[#This Row],[Good_Qty]]-Table13[[#This Row],[Planned_Production]]</f>
        <v>229</v>
      </c>
      <c r="R729" s="3">
        <f>IF(Table13[[#This Row],[Actual_Qty]]=0,0,Table13[[#This Row],[Reject_Qty]]/Table13[[#This Row],[Actual_Qty]])</f>
        <v>2.9806259314456036E-3</v>
      </c>
      <c r="S729">
        <v>440.21</v>
      </c>
      <c r="T729">
        <f>(Table13[[#This Row],[Ideal_Cycle_Time_sec]]*Table13[[#This Row],[Actual_Qty]])/(Table13[[#This Row],[Operational_Time_min]]*60)</f>
        <v>0.54365719391502543</v>
      </c>
      <c r="U729">
        <f>Table13[[#This Row],[Good_Qty]]/Table13[[#This Row],[Actual_Qty]]</f>
        <v>0.99701937406855434</v>
      </c>
      <c r="V729" t="str">
        <f>IF(OR(Table13[[#This Row],[Performance_%]]&gt;=1,Table13[[#This Row],[Performance_%]]&lt;=0),"Error","OK")</f>
        <v>OK</v>
      </c>
      <c r="W729" t="str">
        <f>IF(OR(Table13[[#This Row],[Quality_%]]&gt;=1,Table13[[#This Row],[Quality_%]]&lt;=0),"Error","OK")</f>
        <v>OK</v>
      </c>
      <c r="X729">
        <f>Table13[[#This Row],[Performance_%]]*Table13[[#This Row],[Quality_%]]*[2]Availability_KPI!K729</f>
        <v>0.53024444444444441</v>
      </c>
      <c r="Y729" t="str">
        <f>IF(OR(Table13[[#This Row],[OEE_%]]&gt;1,Table13[[#This Row],[OEE_%]]&lt;0),"Error","OK")</f>
        <v>OK</v>
      </c>
    </row>
    <row r="730" spans="1:25" x14ac:dyDescent="0.2">
      <c r="A730" t="s">
        <v>870</v>
      </c>
      <c r="B730" t="s">
        <v>871</v>
      </c>
      <c r="C730" s="2">
        <v>46279</v>
      </c>
      <c r="D730" t="s">
        <v>53</v>
      </c>
      <c r="E730" t="s">
        <v>28</v>
      </c>
      <c r="F730" t="s">
        <v>97</v>
      </c>
      <c r="G730" t="s">
        <v>47</v>
      </c>
      <c r="H730">
        <v>652</v>
      </c>
      <c r="I730">
        <v>648</v>
      </c>
      <c r="J730">
        <v>4</v>
      </c>
      <c r="K730">
        <v>19.260000000000002</v>
      </c>
      <c r="L730">
        <v>19.72</v>
      </c>
      <c r="M730">
        <v>214.29</v>
      </c>
      <c r="N730">
        <f>_xlfn.XLOOKUP(Table13[[#This Row],[Production_Order_ID]],[1]Sheet1!$A$2:$A$391,[1]Sheet1!$F$2:$F$391,"No Match")</f>
        <v>610</v>
      </c>
      <c r="O730" s="3">
        <f>Table13[[#This Row],[Good_Qty]]/Table13[[#This Row],[Planned_Production]]</f>
        <v>1.062295081967213</v>
      </c>
      <c r="P730" t="str">
        <f>IF(Table13[[#This Row],[Good_Qty]]&gt;=Table13[[#This Row],[Planned_Production]],"Met","Not Met")</f>
        <v>Met</v>
      </c>
      <c r="Q730">
        <f>Table13[[#This Row],[Good_Qty]]-Table13[[#This Row],[Planned_Production]]</f>
        <v>38</v>
      </c>
      <c r="R730" s="3">
        <f>IF(Table13[[#This Row],[Actual_Qty]]=0,0,Table13[[#This Row],[Reject_Qty]]/Table13[[#This Row],[Actual_Qty]])</f>
        <v>6.1349693251533744E-3</v>
      </c>
      <c r="S730">
        <v>442.04</v>
      </c>
      <c r="T730">
        <f>(Table13[[#This Row],[Ideal_Cycle_Time_sec]]*Table13[[#This Row],[Actual_Qty]])/(Table13[[#This Row],[Operational_Time_min]]*60)</f>
        <v>0.47346846439236268</v>
      </c>
      <c r="U730">
        <f>Table13[[#This Row],[Good_Qty]]/Table13[[#This Row],[Actual_Qty]]</f>
        <v>0.99386503067484666</v>
      </c>
      <c r="V730" t="str">
        <f>IF(OR(Table13[[#This Row],[Performance_%]]&gt;=1,Table13[[#This Row],[Performance_%]]&lt;=0),"Error","OK")</f>
        <v>OK</v>
      </c>
      <c r="W730" t="str">
        <f>IF(OR(Table13[[#This Row],[Quality_%]]&gt;=1,Table13[[#This Row],[Quality_%]]&lt;=0),"Error","OK")</f>
        <v>OK</v>
      </c>
      <c r="X730">
        <f>Table13[[#This Row],[Performance_%]]*Table13[[#This Row],[Quality_%]]*[2]Availability_KPI!K730</f>
        <v>0.46224000000000004</v>
      </c>
      <c r="Y730" t="str">
        <f>IF(OR(Table13[[#This Row],[OEE_%]]&gt;1,Table13[[#This Row],[OEE_%]]&lt;0),"Error","OK")</f>
        <v>OK</v>
      </c>
    </row>
    <row r="731" spans="1:25" x14ac:dyDescent="0.2">
      <c r="A731" t="s">
        <v>872</v>
      </c>
      <c r="B731" t="s">
        <v>871</v>
      </c>
      <c r="C731" s="2">
        <v>46279</v>
      </c>
      <c r="D731" t="s">
        <v>53</v>
      </c>
      <c r="E731" t="s">
        <v>32</v>
      </c>
      <c r="F731" t="s">
        <v>97</v>
      </c>
      <c r="G731" t="s">
        <v>39</v>
      </c>
      <c r="H731">
        <v>643</v>
      </c>
      <c r="I731">
        <v>638</v>
      </c>
      <c r="J731">
        <v>5</v>
      </c>
      <c r="K731">
        <v>21.4</v>
      </c>
      <c r="L731">
        <v>22.17</v>
      </c>
      <c r="M731">
        <v>237.62</v>
      </c>
      <c r="N731">
        <f>_xlfn.XLOOKUP(Table13[[#This Row],[Production_Order_ID]],[1]Sheet1!$A$2:$A$391,[1]Sheet1!$F$2:$F$391,"No Match")</f>
        <v>610</v>
      </c>
      <c r="O731" s="3">
        <f>Table13[[#This Row],[Good_Qty]]/Table13[[#This Row],[Planned_Production]]</f>
        <v>1.0459016393442624</v>
      </c>
      <c r="P731" t="str">
        <f>IF(Table13[[#This Row],[Good_Qty]]&gt;=Table13[[#This Row],[Planned_Production]],"Met","Not Met")</f>
        <v>Met</v>
      </c>
      <c r="Q731">
        <f>Table13[[#This Row],[Good_Qty]]-Table13[[#This Row],[Planned_Production]]</f>
        <v>28</v>
      </c>
      <c r="R731" s="3">
        <f>IF(Table13[[#This Row],[Actual_Qty]]=0,0,Table13[[#This Row],[Reject_Qty]]/Table13[[#This Row],[Actual_Qty]])</f>
        <v>7.7760497667185074E-3</v>
      </c>
      <c r="S731">
        <v>434.91</v>
      </c>
      <c r="T731">
        <f>(Table13[[#This Row],[Ideal_Cycle_Time_sec]]*Table13[[#This Row],[Actual_Qty]])/(Table13[[#This Row],[Operational_Time_min]]*60)</f>
        <v>0.52731982862354654</v>
      </c>
      <c r="U731">
        <f>Table13[[#This Row],[Good_Qty]]/Table13[[#This Row],[Actual_Qty]]</f>
        <v>0.99222395023328147</v>
      </c>
      <c r="V731" t="str">
        <f>IF(OR(Table13[[#This Row],[Performance_%]]&gt;=1,Table13[[#This Row],[Performance_%]]&lt;=0),"Error","OK")</f>
        <v>OK</v>
      </c>
      <c r="W731" t="str">
        <f>IF(OR(Table13[[#This Row],[Quality_%]]&gt;=1,Table13[[#This Row],[Quality_%]]&lt;=0),"Error","OK")</f>
        <v>OK</v>
      </c>
      <c r="X731">
        <f>Table13[[#This Row],[Performance_%]]*Table13[[#This Row],[Quality_%]]*[2]Availability_KPI!K731</f>
        <v>0.50567407407407394</v>
      </c>
      <c r="Y731" t="str">
        <f>IF(OR(Table13[[#This Row],[OEE_%]]&gt;1,Table13[[#This Row],[OEE_%]]&lt;0),"Error","OK")</f>
        <v>OK</v>
      </c>
    </row>
    <row r="732" spans="1:25" x14ac:dyDescent="0.2">
      <c r="A732" t="s">
        <v>873</v>
      </c>
      <c r="B732" t="s">
        <v>871</v>
      </c>
      <c r="C732" s="2">
        <v>46279</v>
      </c>
      <c r="D732" t="s">
        <v>53</v>
      </c>
      <c r="E732" t="s">
        <v>35</v>
      </c>
      <c r="F732" t="s">
        <v>97</v>
      </c>
      <c r="G732" t="s">
        <v>44</v>
      </c>
      <c r="H732">
        <v>636</v>
      </c>
      <c r="I732">
        <v>630</v>
      </c>
      <c r="J732">
        <v>6</v>
      </c>
      <c r="K732">
        <v>23.54</v>
      </c>
      <c r="L732">
        <v>24.98</v>
      </c>
      <c r="M732">
        <v>264.76</v>
      </c>
      <c r="N732">
        <f>_xlfn.XLOOKUP(Table13[[#This Row],[Production_Order_ID]],[1]Sheet1!$A$2:$A$391,[1]Sheet1!$F$2:$F$391,"No Match")</f>
        <v>610</v>
      </c>
      <c r="O732" s="3">
        <f>Table13[[#This Row],[Good_Qty]]/Table13[[#This Row],[Planned_Production]]</f>
        <v>1.0327868852459017</v>
      </c>
      <c r="P732" t="str">
        <f>IF(Table13[[#This Row],[Good_Qty]]&gt;=Table13[[#This Row],[Planned_Production]],"Met","Not Met")</f>
        <v>Met</v>
      </c>
      <c r="Q732">
        <f>Table13[[#This Row],[Good_Qty]]-Table13[[#This Row],[Planned_Production]]</f>
        <v>20</v>
      </c>
      <c r="R732" s="3">
        <f>IF(Table13[[#This Row],[Actual_Qty]]=0,0,Table13[[#This Row],[Reject_Qty]]/Table13[[#This Row],[Actual_Qty]])</f>
        <v>9.433962264150943E-3</v>
      </c>
      <c r="S732">
        <v>434.37</v>
      </c>
      <c r="T732">
        <f>(Table13[[#This Row],[Ideal_Cycle_Time_sec]]*Table13[[#This Row],[Actual_Qty]])/(Table13[[#This Row],[Operational_Time_min]]*60)</f>
        <v>0.57445035338536266</v>
      </c>
      <c r="U732">
        <f>Table13[[#This Row],[Good_Qty]]/Table13[[#This Row],[Actual_Qty]]</f>
        <v>0.99056603773584906</v>
      </c>
      <c r="V732" t="str">
        <f>IF(OR(Table13[[#This Row],[Performance_%]]&gt;=1,Table13[[#This Row],[Performance_%]]&lt;=0),"Error","OK")</f>
        <v>OK</v>
      </c>
      <c r="W732" t="str">
        <f>IF(OR(Table13[[#This Row],[Quality_%]]&gt;=1,Table13[[#This Row],[Quality_%]]&lt;=0),"Error","OK")</f>
        <v>OK</v>
      </c>
      <c r="X732">
        <f>Table13[[#This Row],[Performance_%]]*Table13[[#This Row],[Quality_%]]*[2]Availability_KPI!K732</f>
        <v>0.54926666666666657</v>
      </c>
      <c r="Y732" t="str">
        <f>IF(OR(Table13[[#This Row],[OEE_%]]&gt;1,Table13[[#This Row],[OEE_%]]&lt;0),"Error","OK")</f>
        <v>OK</v>
      </c>
    </row>
    <row r="733" spans="1:25" x14ac:dyDescent="0.2">
      <c r="A733" t="s">
        <v>874</v>
      </c>
      <c r="B733" t="s">
        <v>871</v>
      </c>
      <c r="C733" s="2">
        <v>46279</v>
      </c>
      <c r="D733" t="s">
        <v>53</v>
      </c>
      <c r="E733" t="s">
        <v>38</v>
      </c>
      <c r="F733" t="s">
        <v>97</v>
      </c>
      <c r="G733" t="s">
        <v>57</v>
      </c>
      <c r="H733">
        <v>641</v>
      </c>
      <c r="I733">
        <v>637</v>
      </c>
      <c r="J733">
        <v>4</v>
      </c>
      <c r="K733">
        <v>21.4</v>
      </c>
      <c r="L733">
        <v>21.99</v>
      </c>
      <c r="M733">
        <v>234.94</v>
      </c>
      <c r="N733">
        <f>_xlfn.XLOOKUP(Table13[[#This Row],[Production_Order_ID]],[1]Sheet1!$A$2:$A$391,[1]Sheet1!$F$2:$F$391,"No Match")</f>
        <v>610</v>
      </c>
      <c r="O733" s="3">
        <f>Table13[[#This Row],[Good_Qty]]/Table13[[#This Row],[Planned_Production]]</f>
        <v>1.0442622950819671</v>
      </c>
      <c r="P733" t="str">
        <f>IF(Table13[[#This Row],[Good_Qty]]&gt;=Table13[[#This Row],[Planned_Production]],"Met","Not Met")</f>
        <v>Met</v>
      </c>
      <c r="Q733">
        <f>Table13[[#This Row],[Good_Qty]]-Table13[[#This Row],[Planned_Production]]</f>
        <v>27</v>
      </c>
      <c r="R733" s="3">
        <f>IF(Table13[[#This Row],[Actual_Qty]]=0,0,Table13[[#This Row],[Reject_Qty]]/Table13[[#This Row],[Actual_Qty]])</f>
        <v>6.2402496099843996E-3</v>
      </c>
      <c r="S733">
        <v>439.61</v>
      </c>
      <c r="T733">
        <f>(Table13[[#This Row],[Ideal_Cycle_Time_sec]]*Table13[[#This Row],[Actual_Qty]])/(Table13[[#This Row],[Operational_Time_min]]*60)</f>
        <v>0.52005944663072567</v>
      </c>
      <c r="U733">
        <f>Table13[[#This Row],[Good_Qty]]/Table13[[#This Row],[Actual_Qty]]</f>
        <v>0.99375975039001563</v>
      </c>
      <c r="V733" t="str">
        <f>IF(OR(Table13[[#This Row],[Performance_%]]&gt;=1,Table13[[#This Row],[Performance_%]]&lt;=0),"Error","OK")</f>
        <v>OK</v>
      </c>
      <c r="W733" t="str">
        <f>IF(OR(Table13[[#This Row],[Quality_%]]&gt;=1,Table13[[#This Row],[Quality_%]]&lt;=0),"Error","OK")</f>
        <v>OK</v>
      </c>
      <c r="X733">
        <f>Table13[[#This Row],[Performance_%]]*Table13[[#This Row],[Quality_%]]*[2]Availability_KPI!K733</f>
        <v>0.50488148148148149</v>
      </c>
      <c r="Y733" t="str">
        <f>IF(OR(Table13[[#This Row],[OEE_%]]&gt;1,Table13[[#This Row],[OEE_%]]&lt;0),"Error","OK")</f>
        <v>OK</v>
      </c>
    </row>
    <row r="734" spans="1:25" x14ac:dyDescent="0.2">
      <c r="A734" t="s">
        <v>875</v>
      </c>
      <c r="B734" t="s">
        <v>871</v>
      </c>
      <c r="C734" s="2">
        <v>46279</v>
      </c>
      <c r="D734" t="s">
        <v>53</v>
      </c>
      <c r="E734" t="s">
        <v>41</v>
      </c>
      <c r="F734" t="s">
        <v>97</v>
      </c>
      <c r="G734" t="s">
        <v>36</v>
      </c>
      <c r="H734">
        <v>641</v>
      </c>
      <c r="I734">
        <v>636</v>
      </c>
      <c r="J734">
        <v>5</v>
      </c>
      <c r="K734">
        <v>19.260000000000002</v>
      </c>
      <c r="L734">
        <v>20.079999999999998</v>
      </c>
      <c r="M734">
        <v>214.56</v>
      </c>
      <c r="N734">
        <f>_xlfn.XLOOKUP(Table13[[#This Row],[Production_Order_ID]],[1]Sheet1!$A$2:$A$391,[1]Sheet1!$F$2:$F$391,"No Match")</f>
        <v>610</v>
      </c>
      <c r="O734" s="3">
        <f>Table13[[#This Row],[Good_Qty]]/Table13[[#This Row],[Planned_Production]]</f>
        <v>1.042622950819672</v>
      </c>
      <c r="P734" t="str">
        <f>IF(Table13[[#This Row],[Good_Qty]]&gt;=Table13[[#This Row],[Planned_Production]],"Met","Not Met")</f>
        <v>Met</v>
      </c>
      <c r="Q734">
        <f>Table13[[#This Row],[Good_Qty]]-Table13[[#This Row],[Planned_Production]]</f>
        <v>26</v>
      </c>
      <c r="R734" s="3">
        <f>IF(Table13[[#This Row],[Actual_Qty]]=0,0,Table13[[#This Row],[Reject_Qty]]/Table13[[#This Row],[Actual_Qty]])</f>
        <v>7.8003120124804995E-3</v>
      </c>
      <c r="S734">
        <v>434.54</v>
      </c>
      <c r="T734">
        <f>(Table13[[#This Row],[Ideal_Cycle_Time_sec]]*Table13[[#This Row],[Actual_Qty]])/(Table13[[#This Row],[Operational_Time_min]]*60)</f>
        <v>0.47351452110277537</v>
      </c>
      <c r="U734">
        <f>Table13[[#This Row],[Good_Qty]]/Table13[[#This Row],[Actual_Qty]]</f>
        <v>0.99219968798751945</v>
      </c>
      <c r="V734" t="str">
        <f>IF(OR(Table13[[#This Row],[Performance_%]]&gt;=1,Table13[[#This Row],[Performance_%]]&lt;=0),"Error","OK")</f>
        <v>OK</v>
      </c>
      <c r="W734" t="str">
        <f>IF(OR(Table13[[#This Row],[Quality_%]]&gt;=1,Table13[[#This Row],[Quality_%]]&lt;=0),"Error","OK")</f>
        <v>OK</v>
      </c>
      <c r="X734">
        <f>Table13[[#This Row],[Performance_%]]*Table13[[#This Row],[Quality_%]]*[2]Availability_KPI!K734</f>
        <v>0.45368000000000003</v>
      </c>
      <c r="Y734" t="str">
        <f>IF(OR(Table13[[#This Row],[OEE_%]]&gt;1,Table13[[#This Row],[OEE_%]]&lt;0),"Error","OK")</f>
        <v>OK</v>
      </c>
    </row>
    <row r="735" spans="1:25" x14ac:dyDescent="0.2">
      <c r="A735" t="s">
        <v>876</v>
      </c>
      <c r="B735" t="s">
        <v>871</v>
      </c>
      <c r="C735" s="2">
        <v>46279</v>
      </c>
      <c r="D735" t="s">
        <v>53</v>
      </c>
      <c r="E735" t="s">
        <v>43</v>
      </c>
      <c r="F735" t="s">
        <v>97</v>
      </c>
      <c r="G735" t="s">
        <v>36</v>
      </c>
      <c r="H735">
        <v>658</v>
      </c>
      <c r="I735">
        <v>650</v>
      </c>
      <c r="J735">
        <v>8</v>
      </c>
      <c r="K735">
        <v>34.24</v>
      </c>
      <c r="L735">
        <v>36.840000000000003</v>
      </c>
      <c r="M735">
        <v>404.03</v>
      </c>
      <c r="N735">
        <f>_xlfn.XLOOKUP(Table13[[#This Row],[Production_Order_ID]],[1]Sheet1!$A$2:$A$391,[1]Sheet1!$F$2:$F$391,"No Match")</f>
        <v>610</v>
      </c>
      <c r="O735" s="3">
        <f>Table13[[#This Row],[Good_Qty]]/Table13[[#This Row],[Planned_Production]]</f>
        <v>1.0655737704918034</v>
      </c>
      <c r="P735" t="str">
        <f>IF(Table13[[#This Row],[Good_Qty]]&gt;=Table13[[#This Row],[Planned_Production]],"Met","Not Met")</f>
        <v>Met</v>
      </c>
      <c r="Q735">
        <f>Table13[[#This Row],[Good_Qty]]-Table13[[#This Row],[Planned_Production]]</f>
        <v>40</v>
      </c>
      <c r="R735" s="3">
        <f>IF(Table13[[#This Row],[Actual_Qty]]=0,0,Table13[[#This Row],[Reject_Qty]]/Table13[[#This Row],[Actual_Qty]])</f>
        <v>1.2158054711246201E-2</v>
      </c>
      <c r="S735">
        <v>399.54</v>
      </c>
      <c r="T735">
        <f>(Table13[[#This Row],[Ideal_Cycle_Time_sec]]*Table13[[#This Row],[Actual_Qty]])/(Table13[[#This Row],[Operational_Time_min]]*60)</f>
        <v>0.93982746825516017</v>
      </c>
      <c r="U735">
        <f>Table13[[#This Row],[Good_Qty]]/Table13[[#This Row],[Actual_Qty]]</f>
        <v>0.9878419452887538</v>
      </c>
      <c r="V735" t="str">
        <f>IF(OR(Table13[[#This Row],[Performance_%]]&gt;=1,Table13[[#This Row],[Performance_%]]&lt;=0),"Error","OK")</f>
        <v>OK</v>
      </c>
      <c r="W735" t="str">
        <f>IF(OR(Table13[[#This Row],[Quality_%]]&gt;=1,Table13[[#This Row],[Quality_%]]&lt;=0),"Error","OK")</f>
        <v>OK</v>
      </c>
      <c r="X735">
        <f>Table13[[#This Row],[Performance_%]]*Table13[[#This Row],[Quality_%]]*[2]Availability_KPI!K735</f>
        <v>0.8242962962962963</v>
      </c>
      <c r="Y735" t="str">
        <f>IF(OR(Table13[[#This Row],[OEE_%]]&gt;1,Table13[[#This Row],[OEE_%]]&lt;0),"Error","OK")</f>
        <v>OK</v>
      </c>
    </row>
    <row r="736" spans="1:25" x14ac:dyDescent="0.2">
      <c r="A736" t="s">
        <v>877</v>
      </c>
      <c r="B736" t="s">
        <v>871</v>
      </c>
      <c r="C736" s="2">
        <v>46279</v>
      </c>
      <c r="D736" t="s">
        <v>53</v>
      </c>
      <c r="E736" t="s">
        <v>46</v>
      </c>
      <c r="F736" t="s">
        <v>97</v>
      </c>
      <c r="G736" t="s">
        <v>47</v>
      </c>
      <c r="H736">
        <v>640</v>
      </c>
      <c r="I736">
        <v>634</v>
      </c>
      <c r="J736">
        <v>6</v>
      </c>
      <c r="K736">
        <v>26.75</v>
      </c>
      <c r="L736">
        <v>28.52</v>
      </c>
      <c r="M736">
        <v>304.26</v>
      </c>
      <c r="N736">
        <f>_xlfn.XLOOKUP(Table13[[#This Row],[Production_Order_ID]],[1]Sheet1!$A$2:$A$391,[1]Sheet1!$F$2:$F$391,"No Match")</f>
        <v>610</v>
      </c>
      <c r="O736" s="3">
        <f>Table13[[#This Row],[Good_Qty]]/Table13[[#This Row],[Planned_Production]]</f>
        <v>1.0393442622950819</v>
      </c>
      <c r="P736" t="str">
        <f>IF(Table13[[#This Row],[Good_Qty]]&gt;=Table13[[#This Row],[Planned_Production]],"Met","Not Met")</f>
        <v>Met</v>
      </c>
      <c r="Q736">
        <f>Table13[[#This Row],[Good_Qty]]-Table13[[#This Row],[Planned_Production]]</f>
        <v>24</v>
      </c>
      <c r="R736" s="3">
        <f>IF(Table13[[#This Row],[Actual_Qty]]=0,0,Table13[[#This Row],[Reject_Qty]]/Table13[[#This Row],[Actual_Qty]])</f>
        <v>9.3749999999999997E-3</v>
      </c>
      <c r="S736">
        <v>421.94</v>
      </c>
      <c r="T736">
        <f>(Table13[[#This Row],[Ideal_Cycle_Time_sec]]*Table13[[#This Row],[Actual_Qty]])/(Table13[[#This Row],[Operational_Time_min]]*60)</f>
        <v>0.67624148773127302</v>
      </c>
      <c r="U736">
        <f>Table13[[#This Row],[Good_Qty]]/Table13[[#This Row],[Actual_Qty]]</f>
        <v>0.99062499999999998</v>
      </c>
      <c r="V736" t="str">
        <f>IF(OR(Table13[[#This Row],[Performance_%]]&gt;=1,Table13[[#This Row],[Performance_%]]&lt;=0),"Error","OK")</f>
        <v>OK</v>
      </c>
      <c r="W736" t="str">
        <f>IF(OR(Table13[[#This Row],[Quality_%]]&gt;=1,Table13[[#This Row],[Quality_%]]&lt;=0),"Error","OK")</f>
        <v>OK</v>
      </c>
      <c r="X736">
        <f>Table13[[#This Row],[Performance_%]]*Table13[[#This Row],[Quality_%]]*[2]Availability_KPI!K736</f>
        <v>0.62812962962962959</v>
      </c>
      <c r="Y736" t="str">
        <f>IF(OR(Table13[[#This Row],[OEE_%]]&gt;1,Table13[[#This Row],[OEE_%]]&lt;0),"Error","OK")</f>
        <v>OK</v>
      </c>
    </row>
    <row r="737" spans="1:25" x14ac:dyDescent="0.2">
      <c r="A737" t="s">
        <v>878</v>
      </c>
      <c r="B737" t="s">
        <v>871</v>
      </c>
      <c r="C737" s="2">
        <v>46279</v>
      </c>
      <c r="D737" t="s">
        <v>53</v>
      </c>
      <c r="E737" t="s">
        <v>49</v>
      </c>
      <c r="F737" t="s">
        <v>97</v>
      </c>
      <c r="G737" t="s">
        <v>75</v>
      </c>
      <c r="H737">
        <v>629</v>
      </c>
      <c r="I737">
        <v>626</v>
      </c>
      <c r="J737">
        <v>3</v>
      </c>
      <c r="K737">
        <v>21.4</v>
      </c>
      <c r="L737">
        <v>22.39</v>
      </c>
      <c r="M737">
        <v>234.69</v>
      </c>
      <c r="N737">
        <f>_xlfn.XLOOKUP(Table13[[#This Row],[Production_Order_ID]],[1]Sheet1!$A$2:$A$391,[1]Sheet1!$F$2:$F$391,"No Match")</f>
        <v>610</v>
      </c>
      <c r="O737" s="3">
        <f>Table13[[#This Row],[Good_Qty]]/Table13[[#This Row],[Planned_Production]]</f>
        <v>1.0262295081967212</v>
      </c>
      <c r="P737" t="str">
        <f>IF(Table13[[#This Row],[Good_Qty]]&gt;=Table13[[#This Row],[Planned_Production]],"Met","Not Met")</f>
        <v>Met</v>
      </c>
      <c r="Q737">
        <f>Table13[[#This Row],[Good_Qty]]-Table13[[#This Row],[Planned_Production]]</f>
        <v>16</v>
      </c>
      <c r="R737" s="3">
        <f>IF(Table13[[#This Row],[Actual_Qty]]=0,0,Table13[[#This Row],[Reject_Qty]]/Table13[[#This Row],[Actual_Qty]])</f>
        <v>4.7694753577106515E-3</v>
      </c>
      <c r="S737">
        <v>440.64</v>
      </c>
      <c r="T737">
        <f>(Table13[[#This Row],[Ideal_Cycle_Time_sec]]*Table13[[#This Row],[Actual_Qty]])/(Table13[[#This Row],[Operational_Time_min]]*60)</f>
        <v>0.50913065843621397</v>
      </c>
      <c r="U737">
        <f>Table13[[#This Row],[Good_Qty]]/Table13[[#This Row],[Actual_Qty]]</f>
        <v>0.99523052464228934</v>
      </c>
      <c r="V737" t="str">
        <f>IF(OR(Table13[[#This Row],[Performance_%]]&gt;=1,Table13[[#This Row],[Performance_%]]&lt;=0),"Error","OK")</f>
        <v>OK</v>
      </c>
      <c r="W737" t="str">
        <f>IF(OR(Table13[[#This Row],[Quality_%]]&gt;=1,Table13[[#This Row],[Quality_%]]&lt;=0),"Error","OK")</f>
        <v>OK</v>
      </c>
      <c r="X737">
        <f>Table13[[#This Row],[Performance_%]]*Table13[[#This Row],[Quality_%]]*[2]Availability_KPI!K737</f>
        <v>0.49616296296296297</v>
      </c>
      <c r="Y737" t="str">
        <f>IF(OR(Table13[[#This Row],[OEE_%]]&gt;1,Table13[[#This Row],[OEE_%]]&lt;0),"Error","OK")</f>
        <v>OK</v>
      </c>
    </row>
    <row r="738" spans="1:25" x14ac:dyDescent="0.2">
      <c r="A738" t="s">
        <v>879</v>
      </c>
      <c r="B738" t="s">
        <v>880</v>
      </c>
      <c r="C738" s="2">
        <v>46279</v>
      </c>
      <c r="D738" t="s">
        <v>67</v>
      </c>
      <c r="E738" t="s">
        <v>28</v>
      </c>
      <c r="F738" t="s">
        <v>97</v>
      </c>
      <c r="G738" t="s">
        <v>57</v>
      </c>
      <c r="H738">
        <v>549</v>
      </c>
      <c r="I738">
        <v>546</v>
      </c>
      <c r="J738">
        <v>3</v>
      </c>
      <c r="K738">
        <v>19.260000000000002</v>
      </c>
      <c r="L738">
        <v>20.52</v>
      </c>
      <c r="M738">
        <v>187.78</v>
      </c>
      <c r="N738">
        <f>_xlfn.XLOOKUP(Table13[[#This Row],[Production_Order_ID]],[1]Sheet1!$A$2:$A$391,[1]Sheet1!$F$2:$F$391,"No Match")</f>
        <v>610</v>
      </c>
      <c r="O738" s="3">
        <f>Table13[[#This Row],[Good_Qty]]/Table13[[#This Row],[Planned_Production]]</f>
        <v>0.89508196721311473</v>
      </c>
      <c r="P738" t="str">
        <f>IF(Table13[[#This Row],[Good_Qty]]&gt;=Table13[[#This Row],[Planned_Production]],"Met","Not Met")</f>
        <v>Not Met</v>
      </c>
      <c r="Q738">
        <f>Table13[[#This Row],[Good_Qty]]-Table13[[#This Row],[Planned_Production]]</f>
        <v>-64</v>
      </c>
      <c r="R738" s="3">
        <f>IF(Table13[[#This Row],[Actual_Qty]]=0,0,Table13[[#This Row],[Reject_Qty]]/Table13[[#This Row],[Actual_Qty]])</f>
        <v>5.4644808743169399E-3</v>
      </c>
      <c r="S738">
        <v>441.82</v>
      </c>
      <c r="T738">
        <f>(Table13[[#This Row],[Ideal_Cycle_Time_sec]]*Table13[[#This Row],[Actual_Qty]])/(Table13[[#This Row],[Operational_Time_min]]*60)</f>
        <v>0.39887058077950299</v>
      </c>
      <c r="U738">
        <f>Table13[[#This Row],[Good_Qty]]/Table13[[#This Row],[Actual_Qty]]</f>
        <v>0.99453551912568305</v>
      </c>
      <c r="V738" t="str">
        <f>IF(OR(Table13[[#This Row],[Performance_%]]&gt;=1,Table13[[#This Row],[Performance_%]]&lt;=0),"Error","OK")</f>
        <v>OK</v>
      </c>
      <c r="W738" t="str">
        <f>IF(OR(Table13[[#This Row],[Quality_%]]&gt;=1,Table13[[#This Row],[Quality_%]]&lt;=0),"Error","OK")</f>
        <v>OK</v>
      </c>
      <c r="X738">
        <f>Table13[[#This Row],[Performance_%]]*Table13[[#This Row],[Quality_%]]*[2]Availability_KPI!K738</f>
        <v>0.38947999999999999</v>
      </c>
      <c r="Y738" t="str">
        <f>IF(OR(Table13[[#This Row],[OEE_%]]&gt;1,Table13[[#This Row],[OEE_%]]&lt;0),"Error","OK")</f>
        <v>OK</v>
      </c>
    </row>
    <row r="739" spans="1:25" x14ac:dyDescent="0.2">
      <c r="A739" t="s">
        <v>881</v>
      </c>
      <c r="B739" t="s">
        <v>880</v>
      </c>
      <c r="C739" s="2">
        <v>46279</v>
      </c>
      <c r="D739" t="s">
        <v>67</v>
      </c>
      <c r="E739" t="s">
        <v>32</v>
      </c>
      <c r="F739" t="s">
        <v>97</v>
      </c>
      <c r="G739" t="s">
        <v>47</v>
      </c>
      <c r="H739">
        <v>560</v>
      </c>
      <c r="I739">
        <v>555</v>
      </c>
      <c r="J739">
        <v>5</v>
      </c>
      <c r="K739">
        <v>21.4</v>
      </c>
      <c r="L739">
        <v>22.54</v>
      </c>
      <c r="M739">
        <v>210.34</v>
      </c>
      <c r="N739">
        <f>_xlfn.XLOOKUP(Table13[[#This Row],[Production_Order_ID]],[1]Sheet1!$A$2:$A$391,[1]Sheet1!$F$2:$F$391,"No Match")</f>
        <v>610</v>
      </c>
      <c r="O739" s="3">
        <f>Table13[[#This Row],[Good_Qty]]/Table13[[#This Row],[Planned_Production]]</f>
        <v>0.9098360655737705</v>
      </c>
      <c r="P739" t="str">
        <f>IF(Table13[[#This Row],[Good_Qty]]&gt;=Table13[[#This Row],[Planned_Production]],"Met","Not Met")</f>
        <v>Not Met</v>
      </c>
      <c r="Q739">
        <f>Table13[[#This Row],[Good_Qty]]-Table13[[#This Row],[Planned_Production]]</f>
        <v>-55</v>
      </c>
      <c r="R739" s="3">
        <f>IF(Table13[[#This Row],[Actual_Qty]]=0,0,Table13[[#This Row],[Reject_Qty]]/Table13[[#This Row],[Actual_Qty]])</f>
        <v>8.9285714285714281E-3</v>
      </c>
      <c r="S739">
        <v>439.61</v>
      </c>
      <c r="T739">
        <f>(Table13[[#This Row],[Ideal_Cycle_Time_sec]]*Table13[[#This Row],[Actual_Qty]])/(Table13[[#This Row],[Operational_Time_min]]*60)</f>
        <v>0.45434210626085236</v>
      </c>
      <c r="U739">
        <f>Table13[[#This Row],[Good_Qty]]/Table13[[#This Row],[Actual_Qty]]</f>
        <v>0.9910714285714286</v>
      </c>
      <c r="V739" t="str">
        <f>IF(OR(Table13[[#This Row],[Performance_%]]&gt;=1,Table13[[#This Row],[Performance_%]]&lt;=0),"Error","OK")</f>
        <v>OK</v>
      </c>
      <c r="W739" t="str">
        <f>IF(OR(Table13[[#This Row],[Quality_%]]&gt;=1,Table13[[#This Row],[Quality_%]]&lt;=0),"Error","OK")</f>
        <v>OK</v>
      </c>
      <c r="X739">
        <f>Table13[[#This Row],[Performance_%]]*Table13[[#This Row],[Quality_%]]*[2]Availability_KPI!K739</f>
        <v>0.43988888888888888</v>
      </c>
      <c r="Y739" t="str">
        <f>IF(OR(Table13[[#This Row],[OEE_%]]&gt;1,Table13[[#This Row],[OEE_%]]&lt;0),"Error","OK")</f>
        <v>OK</v>
      </c>
    </row>
    <row r="740" spans="1:25" x14ac:dyDescent="0.2">
      <c r="A740" t="s">
        <v>882</v>
      </c>
      <c r="B740" t="s">
        <v>880</v>
      </c>
      <c r="C740" s="2">
        <v>46279</v>
      </c>
      <c r="D740" t="s">
        <v>67</v>
      </c>
      <c r="E740" t="s">
        <v>35</v>
      </c>
      <c r="F740" t="s">
        <v>97</v>
      </c>
      <c r="G740" t="s">
        <v>57</v>
      </c>
      <c r="H740">
        <v>553</v>
      </c>
      <c r="I740">
        <v>548</v>
      </c>
      <c r="J740">
        <v>5</v>
      </c>
      <c r="K740">
        <v>23.54</v>
      </c>
      <c r="L740">
        <v>26.41</v>
      </c>
      <c r="M740">
        <v>243.43</v>
      </c>
      <c r="N740">
        <f>_xlfn.XLOOKUP(Table13[[#This Row],[Production_Order_ID]],[1]Sheet1!$A$2:$A$391,[1]Sheet1!$F$2:$F$391,"No Match")</f>
        <v>610</v>
      </c>
      <c r="O740" s="3">
        <f>Table13[[#This Row],[Good_Qty]]/Table13[[#This Row],[Planned_Production]]</f>
        <v>0.89836065573770496</v>
      </c>
      <c r="P740" t="str">
        <f>IF(Table13[[#This Row],[Good_Qty]]&gt;=Table13[[#This Row],[Planned_Production]],"Met","Not Met")</f>
        <v>Not Met</v>
      </c>
      <c r="Q740">
        <f>Table13[[#This Row],[Good_Qty]]-Table13[[#This Row],[Planned_Production]]</f>
        <v>-62</v>
      </c>
      <c r="R740" s="3">
        <f>IF(Table13[[#This Row],[Actual_Qty]]=0,0,Table13[[#This Row],[Reject_Qty]]/Table13[[#This Row],[Actual_Qty]])</f>
        <v>9.0415913200723331E-3</v>
      </c>
      <c r="S740">
        <v>433.46</v>
      </c>
      <c r="T740">
        <f>(Table13[[#This Row],[Ideal_Cycle_Time_sec]]*Table13[[#This Row],[Actual_Qty]])/(Table13[[#This Row],[Operational_Time_min]]*60)</f>
        <v>0.50053138313416079</v>
      </c>
      <c r="U740">
        <f>Table13[[#This Row],[Good_Qty]]/Table13[[#This Row],[Actual_Qty]]</f>
        <v>0.99095840867992768</v>
      </c>
      <c r="V740" t="str">
        <f>IF(OR(Table13[[#This Row],[Performance_%]]&gt;=1,Table13[[#This Row],[Performance_%]]&lt;=0),"Error","OK")</f>
        <v>OK</v>
      </c>
      <c r="W740" t="str">
        <f>IF(OR(Table13[[#This Row],[Quality_%]]&gt;=1,Table13[[#This Row],[Quality_%]]&lt;=0),"Error","OK")</f>
        <v>OK</v>
      </c>
      <c r="X740">
        <f>Table13[[#This Row],[Performance_%]]*Table13[[#This Row],[Quality_%]]*[2]Availability_KPI!K740</f>
        <v>0.47777481481481476</v>
      </c>
      <c r="Y740" t="str">
        <f>IF(OR(Table13[[#This Row],[OEE_%]]&gt;1,Table13[[#This Row],[OEE_%]]&lt;0),"Error","OK")</f>
        <v>OK</v>
      </c>
    </row>
    <row r="741" spans="1:25" x14ac:dyDescent="0.2">
      <c r="A741" t="s">
        <v>883</v>
      </c>
      <c r="B741" t="s">
        <v>880</v>
      </c>
      <c r="C741" s="2">
        <v>46279</v>
      </c>
      <c r="D741" t="s">
        <v>67</v>
      </c>
      <c r="E741" t="s">
        <v>38</v>
      </c>
      <c r="F741" t="s">
        <v>97</v>
      </c>
      <c r="G741" t="s">
        <v>55</v>
      </c>
      <c r="H741">
        <v>551</v>
      </c>
      <c r="I741">
        <v>547</v>
      </c>
      <c r="J741">
        <v>4</v>
      </c>
      <c r="K741">
        <v>21.4</v>
      </c>
      <c r="L741">
        <v>21.88</v>
      </c>
      <c r="M741">
        <v>200.89</v>
      </c>
      <c r="N741">
        <f>_xlfn.XLOOKUP(Table13[[#This Row],[Production_Order_ID]],[1]Sheet1!$A$2:$A$391,[1]Sheet1!$F$2:$F$391,"No Match")</f>
        <v>610</v>
      </c>
      <c r="O741" s="3">
        <f>Table13[[#This Row],[Good_Qty]]/Table13[[#This Row],[Planned_Production]]</f>
        <v>0.89672131147540979</v>
      </c>
      <c r="P741" t="str">
        <f>IF(Table13[[#This Row],[Good_Qty]]&gt;=Table13[[#This Row],[Planned_Production]],"Met","Not Met")</f>
        <v>Not Met</v>
      </c>
      <c r="Q741">
        <f>Table13[[#This Row],[Good_Qty]]-Table13[[#This Row],[Planned_Production]]</f>
        <v>-63</v>
      </c>
      <c r="R741" s="3">
        <f>IF(Table13[[#This Row],[Actual_Qty]]=0,0,Table13[[#This Row],[Reject_Qty]]/Table13[[#This Row],[Actual_Qty]])</f>
        <v>7.2595281306715061E-3</v>
      </c>
      <c r="S741">
        <v>441.71</v>
      </c>
      <c r="T741">
        <f>(Table13[[#This Row],[Ideal_Cycle_Time_sec]]*Table13[[#This Row],[Actual_Qty]])/(Table13[[#This Row],[Operational_Time_min]]*60)</f>
        <v>0.44491483854414288</v>
      </c>
      <c r="U741">
        <f>Table13[[#This Row],[Good_Qty]]/Table13[[#This Row],[Actual_Qty]]</f>
        <v>0.99274047186932846</v>
      </c>
      <c r="V741" t="str">
        <f>IF(OR(Table13[[#This Row],[Performance_%]]&gt;=1,Table13[[#This Row],[Performance_%]]&lt;=0),"Error","OK")</f>
        <v>OK</v>
      </c>
      <c r="W741" t="str">
        <f>IF(OR(Table13[[#This Row],[Quality_%]]&gt;=1,Table13[[#This Row],[Quality_%]]&lt;=0),"Error","OK")</f>
        <v>OK</v>
      </c>
      <c r="X741">
        <f>Table13[[#This Row],[Performance_%]]*Table13[[#This Row],[Quality_%]]*[2]Availability_KPI!K741</f>
        <v>0.43354814814814813</v>
      </c>
      <c r="Y741" t="str">
        <f>IF(OR(Table13[[#This Row],[OEE_%]]&gt;1,Table13[[#This Row],[OEE_%]]&lt;0),"Error","OK")</f>
        <v>OK</v>
      </c>
    </row>
    <row r="742" spans="1:25" x14ac:dyDescent="0.2">
      <c r="A742" t="s">
        <v>884</v>
      </c>
      <c r="B742" t="s">
        <v>880</v>
      </c>
      <c r="C742" s="2">
        <v>46279</v>
      </c>
      <c r="D742" t="s">
        <v>67</v>
      </c>
      <c r="E742" t="s">
        <v>41</v>
      </c>
      <c r="F742" t="s">
        <v>97</v>
      </c>
      <c r="G742" t="s">
        <v>50</v>
      </c>
      <c r="H742">
        <v>550</v>
      </c>
      <c r="I742">
        <v>545</v>
      </c>
      <c r="J742">
        <v>5</v>
      </c>
      <c r="K742">
        <v>19.260000000000002</v>
      </c>
      <c r="L742">
        <v>20.58</v>
      </c>
      <c r="M742">
        <v>188.61</v>
      </c>
      <c r="N742">
        <f>_xlfn.XLOOKUP(Table13[[#This Row],[Production_Order_ID]],[1]Sheet1!$A$2:$A$391,[1]Sheet1!$F$2:$F$391,"No Match")</f>
        <v>610</v>
      </c>
      <c r="O742" s="3">
        <f>Table13[[#This Row],[Good_Qty]]/Table13[[#This Row],[Planned_Production]]</f>
        <v>0.89344262295081966</v>
      </c>
      <c r="P742" t="str">
        <f>IF(Table13[[#This Row],[Good_Qty]]&gt;=Table13[[#This Row],[Planned_Production]],"Met","Not Met")</f>
        <v>Not Met</v>
      </c>
      <c r="Q742">
        <f>Table13[[#This Row],[Good_Qty]]-Table13[[#This Row],[Planned_Production]]</f>
        <v>-65</v>
      </c>
      <c r="R742" s="3">
        <f>IF(Table13[[#This Row],[Actual_Qty]]=0,0,Table13[[#This Row],[Reject_Qty]]/Table13[[#This Row],[Actual_Qty]])</f>
        <v>9.0909090909090905E-3</v>
      </c>
      <c r="S742">
        <v>436.91</v>
      </c>
      <c r="T742">
        <f>(Table13[[#This Row],[Ideal_Cycle_Time_sec]]*Table13[[#This Row],[Actual_Qty]])/(Table13[[#This Row],[Operational_Time_min]]*60)</f>
        <v>0.40408779840241693</v>
      </c>
      <c r="U742">
        <f>Table13[[#This Row],[Good_Qty]]/Table13[[#This Row],[Actual_Qty]]</f>
        <v>0.99090909090909096</v>
      </c>
      <c r="V742" t="str">
        <f>IF(OR(Table13[[#This Row],[Performance_%]]&gt;=1,Table13[[#This Row],[Performance_%]]&lt;=0),"Error","OK")</f>
        <v>OK</v>
      </c>
      <c r="W742" t="str">
        <f>IF(OR(Table13[[#This Row],[Quality_%]]&gt;=1,Table13[[#This Row],[Quality_%]]&lt;=0),"Error","OK")</f>
        <v>OK</v>
      </c>
      <c r="X742">
        <f>Table13[[#This Row],[Performance_%]]*Table13[[#This Row],[Quality_%]]*[2]Availability_KPI!K742</f>
        <v>0.38876666666666665</v>
      </c>
      <c r="Y742" t="str">
        <f>IF(OR(Table13[[#This Row],[OEE_%]]&gt;1,Table13[[#This Row],[OEE_%]]&lt;0),"Error","OK")</f>
        <v>OK</v>
      </c>
    </row>
    <row r="743" spans="1:25" x14ac:dyDescent="0.2">
      <c r="A743" t="s">
        <v>885</v>
      </c>
      <c r="B743" t="s">
        <v>880</v>
      </c>
      <c r="C743" s="2">
        <v>46279</v>
      </c>
      <c r="D743" t="s">
        <v>67</v>
      </c>
      <c r="E743" t="s">
        <v>43</v>
      </c>
      <c r="F743" t="s">
        <v>97</v>
      </c>
      <c r="G743" t="s">
        <v>47</v>
      </c>
      <c r="H743">
        <v>537</v>
      </c>
      <c r="I743">
        <v>530</v>
      </c>
      <c r="J743">
        <v>7</v>
      </c>
      <c r="K743">
        <v>34.24</v>
      </c>
      <c r="L743">
        <v>35.979999999999997</v>
      </c>
      <c r="M743">
        <v>322</v>
      </c>
      <c r="N743">
        <f>_xlfn.XLOOKUP(Table13[[#This Row],[Production_Order_ID]],[1]Sheet1!$A$2:$A$391,[1]Sheet1!$F$2:$F$391,"No Match")</f>
        <v>610</v>
      </c>
      <c r="O743" s="3">
        <f>Table13[[#This Row],[Good_Qty]]/Table13[[#This Row],[Planned_Production]]</f>
        <v>0.86885245901639341</v>
      </c>
      <c r="P743" t="str">
        <f>IF(Table13[[#This Row],[Good_Qty]]&gt;=Table13[[#This Row],[Planned_Production]],"Met","Not Met")</f>
        <v>Not Met</v>
      </c>
      <c r="Q743">
        <f>Table13[[#This Row],[Good_Qty]]-Table13[[#This Row],[Planned_Production]]</f>
        <v>-80</v>
      </c>
      <c r="R743" s="3">
        <f>IF(Table13[[#This Row],[Actual_Qty]]=0,0,Table13[[#This Row],[Reject_Qty]]/Table13[[#This Row],[Actual_Qty]])</f>
        <v>1.3035381750465549E-2</v>
      </c>
      <c r="S743">
        <v>412.56</v>
      </c>
      <c r="T743">
        <f>(Table13[[#This Row],[Ideal_Cycle_Time_sec]]*Table13[[#This Row],[Actual_Qty]])/(Table13[[#This Row],[Operational_Time_min]]*60)</f>
        <v>0.74279619934070207</v>
      </c>
      <c r="U743">
        <f>Table13[[#This Row],[Good_Qty]]/Table13[[#This Row],[Actual_Qty]]</f>
        <v>0.98696461824953441</v>
      </c>
      <c r="V743" t="str">
        <f>IF(OR(Table13[[#This Row],[Performance_%]]&gt;=1,Table13[[#This Row],[Performance_%]]&lt;=0),"Error","OK")</f>
        <v>OK</v>
      </c>
      <c r="W743" t="str">
        <f>IF(OR(Table13[[#This Row],[Quality_%]]&gt;=1,Table13[[#This Row],[Quality_%]]&lt;=0),"Error","OK")</f>
        <v>OK</v>
      </c>
      <c r="X743">
        <f>Table13[[#This Row],[Performance_%]]*Table13[[#This Row],[Quality_%]]*[2]Availability_KPI!K743</f>
        <v>0.67211851851851856</v>
      </c>
      <c r="Y743" t="str">
        <f>IF(OR(Table13[[#This Row],[OEE_%]]&gt;1,Table13[[#This Row],[OEE_%]]&lt;0),"Error","OK")</f>
        <v>OK</v>
      </c>
    </row>
    <row r="744" spans="1:25" x14ac:dyDescent="0.2">
      <c r="A744" t="s">
        <v>886</v>
      </c>
      <c r="B744" t="s">
        <v>880</v>
      </c>
      <c r="C744" s="2">
        <v>46279</v>
      </c>
      <c r="D744" t="s">
        <v>67</v>
      </c>
      <c r="E744" t="s">
        <v>46</v>
      </c>
      <c r="F744" t="s">
        <v>97</v>
      </c>
      <c r="G744" t="s">
        <v>30</v>
      </c>
      <c r="H744">
        <v>548</v>
      </c>
      <c r="I744">
        <v>542</v>
      </c>
      <c r="J744">
        <v>6</v>
      </c>
      <c r="K744">
        <v>26.75</v>
      </c>
      <c r="L744">
        <v>28.35</v>
      </c>
      <c r="M744">
        <v>258.92</v>
      </c>
      <c r="N744">
        <f>_xlfn.XLOOKUP(Table13[[#This Row],[Production_Order_ID]],[1]Sheet1!$A$2:$A$391,[1]Sheet1!$F$2:$F$391,"No Match")</f>
        <v>610</v>
      </c>
      <c r="O744" s="3">
        <f>Table13[[#This Row],[Good_Qty]]/Table13[[#This Row],[Planned_Production]]</f>
        <v>0.88852459016393448</v>
      </c>
      <c r="P744" t="str">
        <f>IF(Table13[[#This Row],[Good_Qty]]&gt;=Table13[[#This Row],[Planned_Production]],"Met","Not Met")</f>
        <v>Not Met</v>
      </c>
      <c r="Q744">
        <f>Table13[[#This Row],[Good_Qty]]-Table13[[#This Row],[Planned_Production]]</f>
        <v>-68</v>
      </c>
      <c r="R744" s="3">
        <f>IF(Table13[[#This Row],[Actual_Qty]]=0,0,Table13[[#This Row],[Reject_Qty]]/Table13[[#This Row],[Actual_Qty]])</f>
        <v>1.0948905109489052E-2</v>
      </c>
      <c r="S744">
        <v>433.47</v>
      </c>
      <c r="T744">
        <f>(Table13[[#This Row],[Ideal_Cycle_Time_sec]]*Table13[[#This Row],[Actual_Qty]])/(Table13[[#This Row],[Operational_Time_min]]*60)</f>
        <v>0.56362993209833823</v>
      </c>
      <c r="U744">
        <f>Table13[[#This Row],[Good_Qty]]/Table13[[#This Row],[Actual_Qty]]</f>
        <v>0.98905109489051091</v>
      </c>
      <c r="V744" t="str">
        <f>IF(OR(Table13[[#This Row],[Performance_%]]&gt;=1,Table13[[#This Row],[Performance_%]]&lt;=0),"Error","OK")</f>
        <v>OK</v>
      </c>
      <c r="W744" t="str">
        <f>IF(OR(Table13[[#This Row],[Quality_%]]&gt;=1,Table13[[#This Row],[Quality_%]]&lt;=0),"Error","OK")</f>
        <v>OK</v>
      </c>
      <c r="X744">
        <f>Table13[[#This Row],[Performance_%]]*Table13[[#This Row],[Quality_%]]*[2]Availability_KPI!K744</f>
        <v>0.5369814814814815</v>
      </c>
      <c r="Y744" t="str">
        <f>IF(OR(Table13[[#This Row],[OEE_%]]&gt;1,Table13[[#This Row],[OEE_%]]&lt;0),"Error","OK")</f>
        <v>OK</v>
      </c>
    </row>
    <row r="745" spans="1:25" x14ac:dyDescent="0.2">
      <c r="A745" t="s">
        <v>887</v>
      </c>
      <c r="B745" t="s">
        <v>880</v>
      </c>
      <c r="C745" s="2">
        <v>46279</v>
      </c>
      <c r="D745" t="s">
        <v>67</v>
      </c>
      <c r="E745" t="s">
        <v>49</v>
      </c>
      <c r="F745" t="s">
        <v>97</v>
      </c>
      <c r="G745" t="s">
        <v>30</v>
      </c>
      <c r="H745">
        <v>547</v>
      </c>
      <c r="I745">
        <v>543</v>
      </c>
      <c r="J745">
        <v>4</v>
      </c>
      <c r="K745">
        <v>21.4</v>
      </c>
      <c r="L745">
        <v>21.55</v>
      </c>
      <c r="M745">
        <v>196.5</v>
      </c>
      <c r="N745">
        <f>_xlfn.XLOOKUP(Table13[[#This Row],[Production_Order_ID]],[1]Sheet1!$A$2:$A$391,[1]Sheet1!$F$2:$F$391,"No Match")</f>
        <v>610</v>
      </c>
      <c r="O745" s="3">
        <f>Table13[[#This Row],[Good_Qty]]/Table13[[#This Row],[Planned_Production]]</f>
        <v>0.89016393442622954</v>
      </c>
      <c r="P745" t="str">
        <f>IF(Table13[[#This Row],[Good_Qty]]&gt;=Table13[[#This Row],[Planned_Production]],"Met","Not Met")</f>
        <v>Not Met</v>
      </c>
      <c r="Q745">
        <f>Table13[[#This Row],[Good_Qty]]-Table13[[#This Row],[Planned_Production]]</f>
        <v>-67</v>
      </c>
      <c r="R745" s="3">
        <f>IF(Table13[[#This Row],[Actual_Qty]]=0,0,Table13[[#This Row],[Reject_Qty]]/Table13[[#This Row],[Actual_Qty]])</f>
        <v>7.3126142595978062E-3</v>
      </c>
      <c r="S745">
        <v>442.38</v>
      </c>
      <c r="T745">
        <f>(Table13[[#This Row],[Ideal_Cycle_Time_sec]]*Table13[[#This Row],[Actual_Qty]])/(Table13[[#This Row],[Operational_Time_min]]*60)</f>
        <v>0.44101601941016016</v>
      </c>
      <c r="U745">
        <f>Table13[[#This Row],[Good_Qty]]/Table13[[#This Row],[Actual_Qty]]</f>
        <v>0.99268738574040216</v>
      </c>
      <c r="V745" t="str">
        <f>IF(OR(Table13[[#This Row],[Performance_%]]&gt;=1,Table13[[#This Row],[Performance_%]]&lt;=0),"Error","OK")</f>
        <v>OK</v>
      </c>
      <c r="W745" t="str">
        <f>IF(OR(Table13[[#This Row],[Quality_%]]&gt;=1,Table13[[#This Row],[Quality_%]]&lt;=0),"Error","OK")</f>
        <v>OK</v>
      </c>
      <c r="X745">
        <f>Table13[[#This Row],[Performance_%]]*Table13[[#This Row],[Quality_%]]*[2]Availability_KPI!K745</f>
        <v>0.43037777777777775</v>
      </c>
      <c r="Y745" t="str">
        <f>IF(OR(Table13[[#This Row],[OEE_%]]&gt;1,Table13[[#This Row],[OEE_%]]&lt;0),"Error","OK")</f>
        <v>OK</v>
      </c>
    </row>
    <row r="746" spans="1:25" x14ac:dyDescent="0.2">
      <c r="A746" t="s">
        <v>888</v>
      </c>
      <c r="B746" t="s">
        <v>889</v>
      </c>
      <c r="C746" s="2">
        <v>46280</v>
      </c>
      <c r="D746" t="s">
        <v>27</v>
      </c>
      <c r="E746" t="s">
        <v>28</v>
      </c>
      <c r="F746" t="s">
        <v>97</v>
      </c>
      <c r="G746" t="s">
        <v>57</v>
      </c>
      <c r="H746">
        <v>578</v>
      </c>
      <c r="I746">
        <v>577</v>
      </c>
      <c r="J746">
        <v>1</v>
      </c>
      <c r="K746">
        <v>19.260000000000002</v>
      </c>
      <c r="L746">
        <v>20.34</v>
      </c>
      <c r="M746">
        <v>195.94</v>
      </c>
      <c r="N746">
        <f>_xlfn.XLOOKUP(Table13[[#This Row],[Production_Order_ID]],[1]Sheet1!$A$2:$A$391,[1]Sheet1!$F$2:$F$391,"No Match")</f>
        <v>440</v>
      </c>
      <c r="O746" s="3">
        <f>Table13[[#This Row],[Good_Qty]]/Table13[[#This Row],[Planned_Production]]</f>
        <v>1.3113636363636363</v>
      </c>
      <c r="P746" t="str">
        <f>IF(Table13[[#This Row],[Good_Qty]]&gt;=Table13[[#This Row],[Planned_Production]],"Met","Not Met")</f>
        <v>Met</v>
      </c>
      <c r="Q746">
        <f>Table13[[#This Row],[Good_Qty]]-Table13[[#This Row],[Planned_Production]]</f>
        <v>137</v>
      </c>
      <c r="R746" s="3">
        <f>IF(Table13[[#This Row],[Actual_Qty]]=0,0,Table13[[#This Row],[Reject_Qty]]/Table13[[#This Row],[Actual_Qty]])</f>
        <v>1.7301038062283738E-3</v>
      </c>
      <c r="S746">
        <v>440.66</v>
      </c>
      <c r="T746">
        <f>(Table13[[#This Row],[Ideal_Cycle_Time_sec]]*Table13[[#This Row],[Actual_Qty]])/(Table13[[#This Row],[Operational_Time_min]]*60)</f>
        <v>0.42104570417101617</v>
      </c>
      <c r="U746">
        <f>Table13[[#This Row],[Good_Qty]]/Table13[[#This Row],[Actual_Qty]]</f>
        <v>0.9982698961937716</v>
      </c>
      <c r="V746" t="str">
        <f>IF(OR(Table13[[#This Row],[Performance_%]]&gt;=1,Table13[[#This Row],[Performance_%]]&lt;=0),"Error","OK")</f>
        <v>OK</v>
      </c>
      <c r="W746" t="str">
        <f>IF(OR(Table13[[#This Row],[Quality_%]]&gt;=1,Table13[[#This Row],[Quality_%]]&lt;=0),"Error","OK")</f>
        <v>OK</v>
      </c>
      <c r="X746">
        <f>Table13[[#This Row],[Performance_%]]*Table13[[#This Row],[Quality_%]]*[2]Availability_KPI!K746</f>
        <v>0.41159333333333326</v>
      </c>
      <c r="Y746" t="str">
        <f>IF(OR(Table13[[#This Row],[OEE_%]]&gt;1,Table13[[#This Row],[OEE_%]]&lt;0),"Error","OK")</f>
        <v>OK</v>
      </c>
    </row>
    <row r="747" spans="1:25" x14ac:dyDescent="0.2">
      <c r="A747" t="s">
        <v>890</v>
      </c>
      <c r="B747" t="s">
        <v>889</v>
      </c>
      <c r="C747" s="2">
        <v>46280</v>
      </c>
      <c r="D747" t="s">
        <v>27</v>
      </c>
      <c r="E747" t="s">
        <v>32</v>
      </c>
      <c r="F747" t="s">
        <v>97</v>
      </c>
      <c r="G747" t="s">
        <v>61</v>
      </c>
      <c r="H747">
        <v>565</v>
      </c>
      <c r="I747">
        <v>562</v>
      </c>
      <c r="J747">
        <v>3</v>
      </c>
      <c r="K747">
        <v>21.4</v>
      </c>
      <c r="L747">
        <v>21.69</v>
      </c>
      <c r="M747">
        <v>204.29</v>
      </c>
      <c r="N747">
        <f>_xlfn.XLOOKUP(Table13[[#This Row],[Production_Order_ID]],[1]Sheet1!$A$2:$A$391,[1]Sheet1!$F$2:$F$391,"No Match")</f>
        <v>440</v>
      </c>
      <c r="O747" s="3">
        <f>Table13[[#This Row],[Good_Qty]]/Table13[[#This Row],[Planned_Production]]</f>
        <v>1.2772727272727273</v>
      </c>
      <c r="P747" t="str">
        <f>IF(Table13[[#This Row],[Good_Qty]]&gt;=Table13[[#This Row],[Planned_Production]],"Met","Not Met")</f>
        <v>Met</v>
      </c>
      <c r="Q747">
        <f>Table13[[#This Row],[Good_Qty]]-Table13[[#This Row],[Planned_Production]]</f>
        <v>122</v>
      </c>
      <c r="R747" s="3">
        <f>IF(Table13[[#This Row],[Actual_Qty]]=0,0,Table13[[#This Row],[Reject_Qty]]/Table13[[#This Row],[Actual_Qty]])</f>
        <v>5.3097345132743362E-3</v>
      </c>
      <c r="S747">
        <v>436.69</v>
      </c>
      <c r="T747">
        <f>(Table13[[#This Row],[Ideal_Cycle_Time_sec]]*Table13[[#This Row],[Actual_Qty]])/(Table13[[#This Row],[Operational_Time_min]]*60)</f>
        <v>0.46146389124245268</v>
      </c>
      <c r="U747">
        <f>Table13[[#This Row],[Good_Qty]]/Table13[[#This Row],[Actual_Qty]]</f>
        <v>0.99469026548672568</v>
      </c>
      <c r="V747" t="str">
        <f>IF(OR(Table13[[#This Row],[Performance_%]]&gt;=1,Table13[[#This Row],[Performance_%]]&lt;=0),"Error","OK")</f>
        <v>OK</v>
      </c>
      <c r="W747" t="str">
        <f>IF(OR(Table13[[#This Row],[Quality_%]]&gt;=1,Table13[[#This Row],[Quality_%]]&lt;=0),"Error","OK")</f>
        <v>OK</v>
      </c>
      <c r="X747">
        <f>Table13[[#This Row],[Performance_%]]*Table13[[#This Row],[Quality_%]]*[2]Availability_KPI!K747</f>
        <v>0.44543703703703702</v>
      </c>
      <c r="Y747" t="str">
        <f>IF(OR(Table13[[#This Row],[OEE_%]]&gt;1,Table13[[#This Row],[OEE_%]]&lt;0),"Error","OK")</f>
        <v>OK</v>
      </c>
    </row>
    <row r="748" spans="1:25" x14ac:dyDescent="0.2">
      <c r="A748" t="s">
        <v>891</v>
      </c>
      <c r="B748" t="s">
        <v>889</v>
      </c>
      <c r="C748" s="2">
        <v>46280</v>
      </c>
      <c r="D748" t="s">
        <v>27</v>
      </c>
      <c r="E748" t="s">
        <v>35</v>
      </c>
      <c r="F748" t="s">
        <v>97</v>
      </c>
      <c r="G748" t="s">
        <v>50</v>
      </c>
      <c r="H748">
        <v>578</v>
      </c>
      <c r="I748">
        <v>574</v>
      </c>
      <c r="J748">
        <v>4</v>
      </c>
      <c r="K748">
        <v>23.54</v>
      </c>
      <c r="L748">
        <v>24.73</v>
      </c>
      <c r="M748">
        <v>238.24</v>
      </c>
      <c r="N748">
        <f>_xlfn.XLOOKUP(Table13[[#This Row],[Production_Order_ID]],[1]Sheet1!$A$2:$A$391,[1]Sheet1!$F$2:$F$391,"No Match")</f>
        <v>440</v>
      </c>
      <c r="O748" s="3">
        <f>Table13[[#This Row],[Good_Qty]]/Table13[[#This Row],[Planned_Production]]</f>
        <v>1.3045454545454545</v>
      </c>
      <c r="P748" t="str">
        <f>IF(Table13[[#This Row],[Good_Qty]]&gt;=Table13[[#This Row],[Planned_Production]],"Met","Not Met")</f>
        <v>Met</v>
      </c>
      <c r="Q748">
        <f>Table13[[#This Row],[Good_Qty]]-Table13[[#This Row],[Planned_Production]]</f>
        <v>134</v>
      </c>
      <c r="R748" s="3">
        <f>IF(Table13[[#This Row],[Actual_Qty]]=0,0,Table13[[#This Row],[Reject_Qty]]/Table13[[#This Row],[Actual_Qty]])</f>
        <v>6.920415224913495E-3</v>
      </c>
      <c r="S748">
        <v>434.01</v>
      </c>
      <c r="T748">
        <f>(Table13[[#This Row],[Ideal_Cycle_Time_sec]]*Table13[[#This Row],[Actual_Qty]])/(Table13[[#This Row],[Operational_Time_min]]*60)</f>
        <v>0.52249640945293119</v>
      </c>
      <c r="U748">
        <f>Table13[[#This Row],[Good_Qty]]/Table13[[#This Row],[Actual_Qty]]</f>
        <v>0.99307958477508651</v>
      </c>
      <c r="V748" t="str">
        <f>IF(OR(Table13[[#This Row],[Performance_%]]&gt;=1,Table13[[#This Row],[Performance_%]]&lt;=0),"Error","OK")</f>
        <v>OK</v>
      </c>
      <c r="W748" t="str">
        <f>IF(OR(Table13[[#This Row],[Quality_%]]&gt;=1,Table13[[#This Row],[Quality_%]]&lt;=0),"Error","OK")</f>
        <v>OK</v>
      </c>
      <c r="X748">
        <f>Table13[[#This Row],[Performance_%]]*Table13[[#This Row],[Quality_%]]*[2]Availability_KPI!K748</f>
        <v>0.50044296296296298</v>
      </c>
      <c r="Y748" t="str">
        <f>IF(OR(Table13[[#This Row],[OEE_%]]&gt;1,Table13[[#This Row],[OEE_%]]&lt;0),"Error","OK")</f>
        <v>OK</v>
      </c>
    </row>
    <row r="749" spans="1:25" x14ac:dyDescent="0.2">
      <c r="A749" t="s">
        <v>892</v>
      </c>
      <c r="B749" t="s">
        <v>889</v>
      </c>
      <c r="C749" s="2">
        <v>46280</v>
      </c>
      <c r="D749" t="s">
        <v>27</v>
      </c>
      <c r="E749" t="s">
        <v>38</v>
      </c>
      <c r="F749" t="s">
        <v>97</v>
      </c>
      <c r="G749" t="s">
        <v>57</v>
      </c>
      <c r="H749">
        <v>579</v>
      </c>
      <c r="I749">
        <v>577</v>
      </c>
      <c r="J749">
        <v>2</v>
      </c>
      <c r="K749">
        <v>21.4</v>
      </c>
      <c r="L749">
        <v>21.6</v>
      </c>
      <c r="M749">
        <v>208.42</v>
      </c>
      <c r="N749">
        <f>_xlfn.XLOOKUP(Table13[[#This Row],[Production_Order_ID]],[1]Sheet1!$A$2:$A$391,[1]Sheet1!$F$2:$F$391,"No Match")</f>
        <v>440</v>
      </c>
      <c r="O749" s="3">
        <f>Table13[[#This Row],[Good_Qty]]/Table13[[#This Row],[Planned_Production]]</f>
        <v>1.3113636363636363</v>
      </c>
      <c r="P749" t="str">
        <f>IF(Table13[[#This Row],[Good_Qty]]&gt;=Table13[[#This Row],[Planned_Production]],"Met","Not Met")</f>
        <v>Met</v>
      </c>
      <c r="Q749">
        <f>Table13[[#This Row],[Good_Qty]]-Table13[[#This Row],[Planned_Production]]</f>
        <v>137</v>
      </c>
      <c r="R749" s="3">
        <f>IF(Table13[[#This Row],[Actual_Qty]]=0,0,Table13[[#This Row],[Reject_Qty]]/Table13[[#This Row],[Actual_Qty]])</f>
        <v>3.4542314335060447E-3</v>
      </c>
      <c r="S749">
        <v>439.06</v>
      </c>
      <c r="T749">
        <f>(Table13[[#This Row],[Ideal_Cycle_Time_sec]]*Table13[[#This Row],[Actual_Qty]])/(Table13[[#This Row],[Operational_Time_min]]*60)</f>
        <v>0.47034573862342272</v>
      </c>
      <c r="U749">
        <f>Table13[[#This Row],[Good_Qty]]/Table13[[#This Row],[Actual_Qty]]</f>
        <v>0.99654576856649391</v>
      </c>
      <c r="V749" t="str">
        <f>IF(OR(Table13[[#This Row],[Performance_%]]&gt;=1,Table13[[#This Row],[Performance_%]]&lt;=0),"Error","OK")</f>
        <v>OK</v>
      </c>
      <c r="W749" t="str">
        <f>IF(OR(Table13[[#This Row],[Quality_%]]&gt;=1,Table13[[#This Row],[Quality_%]]&lt;=0),"Error","OK")</f>
        <v>OK</v>
      </c>
      <c r="X749">
        <f>Table13[[#This Row],[Performance_%]]*Table13[[#This Row],[Quality_%]]*[2]Availability_KPI!K749</f>
        <v>0.45732592592592591</v>
      </c>
      <c r="Y749" t="str">
        <f>IF(OR(Table13[[#This Row],[OEE_%]]&gt;1,Table13[[#This Row],[OEE_%]]&lt;0),"Error","OK")</f>
        <v>OK</v>
      </c>
    </row>
    <row r="750" spans="1:25" x14ac:dyDescent="0.2">
      <c r="A750" t="s">
        <v>893</v>
      </c>
      <c r="B750" t="s">
        <v>889</v>
      </c>
      <c r="C750" s="2">
        <v>46280</v>
      </c>
      <c r="D750" t="s">
        <v>27</v>
      </c>
      <c r="E750" t="s">
        <v>41</v>
      </c>
      <c r="F750" t="s">
        <v>97</v>
      </c>
      <c r="G750" t="s">
        <v>47</v>
      </c>
      <c r="H750">
        <v>572</v>
      </c>
      <c r="I750">
        <v>568</v>
      </c>
      <c r="J750">
        <v>4</v>
      </c>
      <c r="K750">
        <v>19.260000000000002</v>
      </c>
      <c r="L750">
        <v>19.829999999999998</v>
      </c>
      <c r="M750">
        <v>189.02</v>
      </c>
      <c r="N750">
        <f>_xlfn.XLOOKUP(Table13[[#This Row],[Production_Order_ID]],[1]Sheet1!$A$2:$A$391,[1]Sheet1!$F$2:$F$391,"No Match")</f>
        <v>440</v>
      </c>
      <c r="O750" s="3">
        <f>Table13[[#This Row],[Good_Qty]]/Table13[[#This Row],[Planned_Production]]</f>
        <v>1.290909090909091</v>
      </c>
      <c r="P750" t="str">
        <f>IF(Table13[[#This Row],[Good_Qty]]&gt;=Table13[[#This Row],[Planned_Production]],"Met","Not Met")</f>
        <v>Met</v>
      </c>
      <c r="Q750">
        <f>Table13[[#This Row],[Good_Qty]]-Table13[[#This Row],[Planned_Production]]</f>
        <v>128</v>
      </c>
      <c r="R750" s="3">
        <f>IF(Table13[[#This Row],[Actual_Qty]]=0,0,Table13[[#This Row],[Reject_Qty]]/Table13[[#This Row],[Actual_Qty]])</f>
        <v>6.993006993006993E-3</v>
      </c>
      <c r="S750">
        <v>440.36</v>
      </c>
      <c r="T750">
        <f>(Table13[[#This Row],[Ideal_Cycle_Time_sec]]*Table13[[#This Row],[Actual_Qty]])/(Table13[[#This Row],[Operational_Time_min]]*60)</f>
        <v>0.41695885184848763</v>
      </c>
      <c r="U750">
        <f>Table13[[#This Row],[Good_Qty]]/Table13[[#This Row],[Actual_Qty]]</f>
        <v>0.99300699300699302</v>
      </c>
      <c r="V750" t="str">
        <f>IF(OR(Table13[[#This Row],[Performance_%]]&gt;=1,Table13[[#This Row],[Performance_%]]&lt;=0),"Error","OK")</f>
        <v>OK</v>
      </c>
      <c r="W750" t="str">
        <f>IF(OR(Table13[[#This Row],[Quality_%]]&gt;=1,Table13[[#This Row],[Quality_%]]&lt;=0),"Error","OK")</f>
        <v>OK</v>
      </c>
      <c r="X750">
        <f>Table13[[#This Row],[Performance_%]]*Table13[[#This Row],[Quality_%]]*[2]Availability_KPI!K750</f>
        <v>0.40517333333333339</v>
      </c>
      <c r="Y750" t="str">
        <f>IF(OR(Table13[[#This Row],[OEE_%]]&gt;1,Table13[[#This Row],[OEE_%]]&lt;0),"Error","OK")</f>
        <v>OK</v>
      </c>
    </row>
    <row r="751" spans="1:25" x14ac:dyDescent="0.2">
      <c r="A751" t="s">
        <v>894</v>
      </c>
      <c r="B751" t="s">
        <v>889</v>
      </c>
      <c r="C751" s="2">
        <v>46280</v>
      </c>
      <c r="D751" t="s">
        <v>27</v>
      </c>
      <c r="E751" t="s">
        <v>43</v>
      </c>
      <c r="F751" t="s">
        <v>97</v>
      </c>
      <c r="G751" t="s">
        <v>36</v>
      </c>
      <c r="H751">
        <v>565</v>
      </c>
      <c r="I751">
        <v>557</v>
      </c>
      <c r="J751">
        <v>8</v>
      </c>
      <c r="K751">
        <v>34.24</v>
      </c>
      <c r="L751">
        <v>36.619999999999997</v>
      </c>
      <c r="M751">
        <v>344.79</v>
      </c>
      <c r="N751">
        <f>_xlfn.XLOOKUP(Table13[[#This Row],[Production_Order_ID]],[1]Sheet1!$A$2:$A$391,[1]Sheet1!$F$2:$F$391,"No Match")</f>
        <v>440</v>
      </c>
      <c r="O751" s="3">
        <f>Table13[[#This Row],[Good_Qty]]/Table13[[#This Row],[Planned_Production]]</f>
        <v>1.2659090909090909</v>
      </c>
      <c r="P751" t="str">
        <f>IF(Table13[[#This Row],[Good_Qty]]&gt;=Table13[[#This Row],[Planned_Production]],"Met","Not Met")</f>
        <v>Met</v>
      </c>
      <c r="Q751">
        <f>Table13[[#This Row],[Good_Qty]]-Table13[[#This Row],[Planned_Production]]</f>
        <v>117</v>
      </c>
      <c r="R751" s="3">
        <f>IF(Table13[[#This Row],[Actual_Qty]]=0,0,Table13[[#This Row],[Reject_Qty]]/Table13[[#This Row],[Actual_Qty]])</f>
        <v>1.415929203539823E-2</v>
      </c>
      <c r="S751">
        <v>413.73</v>
      </c>
      <c r="T751">
        <f>(Table13[[#This Row],[Ideal_Cycle_Time_sec]]*Table13[[#This Row],[Actual_Qty]])/(Table13[[#This Row],[Operational_Time_min]]*60)</f>
        <v>0.77931662356287112</v>
      </c>
      <c r="U751">
        <f>Table13[[#This Row],[Good_Qty]]/Table13[[#This Row],[Actual_Qty]]</f>
        <v>0.98584070796460177</v>
      </c>
      <c r="V751" t="str">
        <f>IF(OR(Table13[[#This Row],[Performance_%]]&gt;=1,Table13[[#This Row],[Performance_%]]&lt;=0),"Error","OK")</f>
        <v>OK</v>
      </c>
      <c r="W751" t="str">
        <f>IF(OR(Table13[[#This Row],[Quality_%]]&gt;=1,Table13[[#This Row],[Quality_%]]&lt;=0),"Error","OK")</f>
        <v>OK</v>
      </c>
      <c r="X751">
        <f>Table13[[#This Row],[Performance_%]]*Table13[[#This Row],[Quality_%]]*[2]Availability_KPI!K751</f>
        <v>0.7063585185185185</v>
      </c>
      <c r="Y751" t="str">
        <f>IF(OR(Table13[[#This Row],[OEE_%]]&gt;1,Table13[[#This Row],[OEE_%]]&lt;0),"Error","OK")</f>
        <v>OK</v>
      </c>
    </row>
    <row r="752" spans="1:25" x14ac:dyDescent="0.2">
      <c r="A752" t="s">
        <v>895</v>
      </c>
      <c r="B752" t="s">
        <v>889</v>
      </c>
      <c r="C752" s="2">
        <v>46280</v>
      </c>
      <c r="D752" t="s">
        <v>27</v>
      </c>
      <c r="E752" t="s">
        <v>46</v>
      </c>
      <c r="F752" t="s">
        <v>97</v>
      </c>
      <c r="G752" t="s">
        <v>71</v>
      </c>
      <c r="H752">
        <v>577</v>
      </c>
      <c r="I752">
        <v>574</v>
      </c>
      <c r="J752">
        <v>3</v>
      </c>
      <c r="K752">
        <v>26.75</v>
      </c>
      <c r="L752">
        <v>27.92</v>
      </c>
      <c r="M752">
        <v>268.51</v>
      </c>
      <c r="N752">
        <f>_xlfn.XLOOKUP(Table13[[#This Row],[Production_Order_ID]],[1]Sheet1!$A$2:$A$391,[1]Sheet1!$F$2:$F$391,"No Match")</f>
        <v>440</v>
      </c>
      <c r="O752" s="3">
        <f>Table13[[#This Row],[Good_Qty]]/Table13[[#This Row],[Planned_Production]]</f>
        <v>1.3045454545454545</v>
      </c>
      <c r="P752" t="str">
        <f>IF(Table13[[#This Row],[Good_Qty]]&gt;=Table13[[#This Row],[Planned_Production]],"Met","Not Met")</f>
        <v>Met</v>
      </c>
      <c r="Q752">
        <f>Table13[[#This Row],[Good_Qty]]-Table13[[#This Row],[Planned_Production]]</f>
        <v>134</v>
      </c>
      <c r="R752" s="3">
        <f>IF(Table13[[#This Row],[Actual_Qty]]=0,0,Table13[[#This Row],[Reject_Qty]]/Table13[[#This Row],[Actual_Qty]])</f>
        <v>5.1993067590987872E-3</v>
      </c>
      <c r="S752">
        <v>427.18</v>
      </c>
      <c r="T752">
        <f>(Table13[[#This Row],[Ideal_Cycle_Time_sec]]*Table13[[#This Row],[Actual_Qty]])/(Table13[[#This Row],[Operational_Time_min]]*60)</f>
        <v>0.60219540552772444</v>
      </c>
      <c r="U752">
        <f>Table13[[#This Row],[Good_Qty]]/Table13[[#This Row],[Actual_Qty]]</f>
        <v>0.99480069324090126</v>
      </c>
      <c r="V752" t="str">
        <f>IF(OR(Table13[[#This Row],[Performance_%]]&gt;=1,Table13[[#This Row],[Performance_%]]&lt;=0),"Error","OK")</f>
        <v>OK</v>
      </c>
      <c r="W752" t="str">
        <f>IF(OR(Table13[[#This Row],[Quality_%]]&gt;=1,Table13[[#This Row],[Quality_%]]&lt;=0),"Error","OK")</f>
        <v>OK</v>
      </c>
      <c r="X752">
        <f>Table13[[#This Row],[Performance_%]]*Table13[[#This Row],[Quality_%]]*[2]Availability_KPI!K752</f>
        <v>0.56868518518518518</v>
      </c>
      <c r="Y752" t="str">
        <f>IF(OR(Table13[[#This Row],[OEE_%]]&gt;1,Table13[[#This Row],[OEE_%]]&lt;0),"Error","OK")</f>
        <v>OK</v>
      </c>
    </row>
    <row r="753" spans="1:25" x14ac:dyDescent="0.2">
      <c r="A753" t="s">
        <v>896</v>
      </c>
      <c r="B753" t="s">
        <v>889</v>
      </c>
      <c r="C753" s="2">
        <v>46280</v>
      </c>
      <c r="D753" t="s">
        <v>27</v>
      </c>
      <c r="E753" t="s">
        <v>49</v>
      </c>
      <c r="F753" t="s">
        <v>97</v>
      </c>
      <c r="G753" t="s">
        <v>39</v>
      </c>
      <c r="H753">
        <v>572</v>
      </c>
      <c r="I753">
        <v>571</v>
      </c>
      <c r="J753">
        <v>1</v>
      </c>
      <c r="K753">
        <v>21.4</v>
      </c>
      <c r="L753">
        <v>22.63</v>
      </c>
      <c r="M753">
        <v>215.76</v>
      </c>
      <c r="N753">
        <f>_xlfn.XLOOKUP(Table13[[#This Row],[Production_Order_ID]],[1]Sheet1!$A$2:$A$391,[1]Sheet1!$F$2:$F$391,"No Match")</f>
        <v>440</v>
      </c>
      <c r="O753" s="3">
        <f>Table13[[#This Row],[Good_Qty]]/Table13[[#This Row],[Planned_Production]]</f>
        <v>1.2977272727272726</v>
      </c>
      <c r="P753" t="str">
        <f>IF(Table13[[#This Row],[Good_Qty]]&gt;=Table13[[#This Row],[Planned_Production]],"Met","Not Met")</f>
        <v>Met</v>
      </c>
      <c r="Q753">
        <f>Table13[[#This Row],[Good_Qty]]-Table13[[#This Row],[Planned_Production]]</f>
        <v>131</v>
      </c>
      <c r="R753" s="3">
        <f>IF(Table13[[#This Row],[Actual_Qty]]=0,0,Table13[[#This Row],[Reject_Qty]]/Table13[[#This Row],[Actual_Qty]])</f>
        <v>1.7482517482517483E-3</v>
      </c>
      <c r="S753">
        <v>439.64</v>
      </c>
      <c r="T753">
        <f>(Table13[[#This Row],[Ideal_Cycle_Time_sec]]*Table13[[#This Row],[Actual_Qty]])/(Table13[[#This Row],[Operational_Time_min]]*60)</f>
        <v>0.46404634094562219</v>
      </c>
      <c r="U753">
        <f>Table13[[#This Row],[Good_Qty]]/Table13[[#This Row],[Actual_Qty]]</f>
        <v>0.99825174825174823</v>
      </c>
      <c r="V753" t="str">
        <f>IF(OR(Table13[[#This Row],[Performance_%]]&gt;=1,Table13[[#This Row],[Performance_%]]&lt;=0),"Error","OK")</f>
        <v>OK</v>
      </c>
      <c r="W753" t="str">
        <f>IF(OR(Table13[[#This Row],[Quality_%]]&gt;=1,Table13[[#This Row],[Quality_%]]&lt;=0),"Error","OK")</f>
        <v>OK</v>
      </c>
      <c r="X753">
        <f>Table13[[#This Row],[Performance_%]]*Table13[[#This Row],[Quality_%]]*[2]Availability_KPI!K753</f>
        <v>0.4525703703703704</v>
      </c>
      <c r="Y753" t="str">
        <f>IF(OR(Table13[[#This Row],[OEE_%]]&gt;1,Table13[[#This Row],[OEE_%]]&lt;0),"Error","OK")</f>
        <v>OK</v>
      </c>
    </row>
    <row r="754" spans="1:25" x14ac:dyDescent="0.2">
      <c r="A754" t="s">
        <v>897</v>
      </c>
      <c r="B754" t="s">
        <v>898</v>
      </c>
      <c r="C754" s="2">
        <v>46280</v>
      </c>
      <c r="D754" t="s">
        <v>53</v>
      </c>
      <c r="E754" t="s">
        <v>28</v>
      </c>
      <c r="F754" t="s">
        <v>97</v>
      </c>
      <c r="G754" t="s">
        <v>57</v>
      </c>
      <c r="H754">
        <v>567</v>
      </c>
      <c r="I754">
        <v>563</v>
      </c>
      <c r="J754">
        <v>4</v>
      </c>
      <c r="K754">
        <v>19.260000000000002</v>
      </c>
      <c r="L754">
        <v>20.94</v>
      </c>
      <c r="M754">
        <v>197.85</v>
      </c>
      <c r="N754">
        <f>_xlfn.XLOOKUP(Table13[[#This Row],[Production_Order_ID]],[1]Sheet1!$A$2:$A$391,[1]Sheet1!$F$2:$F$391,"No Match")</f>
        <v>500</v>
      </c>
      <c r="O754" s="3">
        <f>Table13[[#This Row],[Good_Qty]]/Table13[[#This Row],[Planned_Production]]</f>
        <v>1.1259999999999999</v>
      </c>
      <c r="P754" t="str">
        <f>IF(Table13[[#This Row],[Good_Qty]]&gt;=Table13[[#This Row],[Planned_Production]],"Met","Not Met")</f>
        <v>Met</v>
      </c>
      <c r="Q754">
        <f>Table13[[#This Row],[Good_Qty]]-Table13[[#This Row],[Planned_Production]]</f>
        <v>63</v>
      </c>
      <c r="R754" s="3">
        <f>IF(Table13[[#This Row],[Actual_Qty]]=0,0,Table13[[#This Row],[Reject_Qty]]/Table13[[#This Row],[Actual_Qty]])</f>
        <v>7.0546737213403876E-3</v>
      </c>
      <c r="S754">
        <v>440.9</v>
      </c>
      <c r="T754">
        <f>(Table13[[#This Row],[Ideal_Cycle_Time_sec]]*Table13[[#This Row],[Actual_Qty]])/(Table13[[#This Row],[Operational_Time_min]]*60)</f>
        <v>0.41280789294624631</v>
      </c>
      <c r="U754">
        <f>Table13[[#This Row],[Good_Qty]]/Table13[[#This Row],[Actual_Qty]]</f>
        <v>0.99294532627865961</v>
      </c>
      <c r="V754" t="str">
        <f>IF(OR(Table13[[#This Row],[Performance_%]]&gt;=1,Table13[[#This Row],[Performance_%]]&lt;=0),"Error","OK")</f>
        <v>OK</v>
      </c>
      <c r="W754" t="str">
        <f>IF(OR(Table13[[#This Row],[Quality_%]]&gt;=1,Table13[[#This Row],[Quality_%]]&lt;=0),"Error","OK")</f>
        <v>OK</v>
      </c>
      <c r="X754">
        <f>Table13[[#This Row],[Performance_%]]*Table13[[#This Row],[Quality_%]]*[2]Availability_KPI!K754</f>
        <v>0.40160666666666661</v>
      </c>
      <c r="Y754" t="str">
        <f>IF(OR(Table13[[#This Row],[OEE_%]]&gt;1,Table13[[#This Row],[OEE_%]]&lt;0),"Error","OK")</f>
        <v>OK</v>
      </c>
    </row>
    <row r="755" spans="1:25" x14ac:dyDescent="0.2">
      <c r="A755" t="s">
        <v>899</v>
      </c>
      <c r="B755" t="s">
        <v>898</v>
      </c>
      <c r="C755" s="2">
        <v>46280</v>
      </c>
      <c r="D755" t="s">
        <v>53</v>
      </c>
      <c r="E755" t="s">
        <v>32</v>
      </c>
      <c r="F755" t="s">
        <v>97</v>
      </c>
      <c r="G755" t="s">
        <v>30</v>
      </c>
      <c r="H755">
        <v>581</v>
      </c>
      <c r="I755">
        <v>577</v>
      </c>
      <c r="J755">
        <v>4</v>
      </c>
      <c r="K755">
        <v>21.4</v>
      </c>
      <c r="L755">
        <v>22.96</v>
      </c>
      <c r="M755">
        <v>222.34</v>
      </c>
      <c r="N755">
        <f>_xlfn.XLOOKUP(Table13[[#This Row],[Production_Order_ID]],[1]Sheet1!$A$2:$A$391,[1]Sheet1!$F$2:$F$391,"No Match")</f>
        <v>500</v>
      </c>
      <c r="O755" s="3">
        <f>Table13[[#This Row],[Good_Qty]]/Table13[[#This Row],[Planned_Production]]</f>
        <v>1.1539999999999999</v>
      </c>
      <c r="P755" t="str">
        <f>IF(Table13[[#This Row],[Good_Qty]]&gt;=Table13[[#This Row],[Planned_Production]],"Met","Not Met")</f>
        <v>Met</v>
      </c>
      <c r="Q755">
        <f>Table13[[#This Row],[Good_Qty]]-Table13[[#This Row],[Planned_Production]]</f>
        <v>77</v>
      </c>
      <c r="R755" s="3">
        <f>IF(Table13[[#This Row],[Actual_Qty]]=0,0,Table13[[#This Row],[Reject_Qty]]/Table13[[#This Row],[Actual_Qty]])</f>
        <v>6.8846815834767644E-3</v>
      </c>
      <c r="S755">
        <v>437.57</v>
      </c>
      <c r="T755">
        <f>(Table13[[#This Row],[Ideal_Cycle_Time_sec]]*Table13[[#This Row],[Actual_Qty]])/(Table13[[#This Row],[Operational_Time_min]]*60)</f>
        <v>0.47357756092358555</v>
      </c>
      <c r="U755">
        <f>Table13[[#This Row],[Good_Qty]]/Table13[[#This Row],[Actual_Qty]]</f>
        <v>0.99311531841652323</v>
      </c>
      <c r="V755" t="str">
        <f>IF(OR(Table13[[#This Row],[Performance_%]]&gt;=1,Table13[[#This Row],[Performance_%]]&lt;=0),"Error","OK")</f>
        <v>OK</v>
      </c>
      <c r="W755" t="str">
        <f>IF(OR(Table13[[#This Row],[Quality_%]]&gt;=1,Table13[[#This Row],[Quality_%]]&lt;=0),"Error","OK")</f>
        <v>OK</v>
      </c>
      <c r="X755">
        <f>Table13[[#This Row],[Performance_%]]*Table13[[#This Row],[Quality_%]]*[2]Availability_KPI!K755</f>
        <v>0.45732592592592591</v>
      </c>
      <c r="Y755" t="str">
        <f>IF(OR(Table13[[#This Row],[OEE_%]]&gt;1,Table13[[#This Row],[OEE_%]]&lt;0),"Error","OK")</f>
        <v>OK</v>
      </c>
    </row>
    <row r="756" spans="1:25" x14ac:dyDescent="0.2">
      <c r="A756" t="s">
        <v>900</v>
      </c>
      <c r="B756" t="s">
        <v>898</v>
      </c>
      <c r="C756" s="2">
        <v>46280</v>
      </c>
      <c r="D756" t="s">
        <v>53</v>
      </c>
      <c r="E756" t="s">
        <v>35</v>
      </c>
      <c r="F756" t="s">
        <v>97</v>
      </c>
      <c r="G756" t="s">
        <v>71</v>
      </c>
      <c r="H756">
        <v>586</v>
      </c>
      <c r="I756">
        <v>581</v>
      </c>
      <c r="J756">
        <v>5</v>
      </c>
      <c r="K756">
        <v>23.54</v>
      </c>
      <c r="L756">
        <v>26.22</v>
      </c>
      <c r="M756">
        <v>256.06</v>
      </c>
      <c r="N756">
        <f>_xlfn.XLOOKUP(Table13[[#This Row],[Production_Order_ID]],[1]Sheet1!$A$2:$A$391,[1]Sheet1!$F$2:$F$391,"No Match")</f>
        <v>500</v>
      </c>
      <c r="O756" s="3">
        <f>Table13[[#This Row],[Good_Qty]]/Table13[[#This Row],[Planned_Production]]</f>
        <v>1.1619999999999999</v>
      </c>
      <c r="P756" t="str">
        <f>IF(Table13[[#This Row],[Good_Qty]]&gt;=Table13[[#This Row],[Planned_Production]],"Met","Not Met")</f>
        <v>Met</v>
      </c>
      <c r="Q756">
        <f>Table13[[#This Row],[Good_Qty]]-Table13[[#This Row],[Planned_Production]]</f>
        <v>81</v>
      </c>
      <c r="R756" s="3">
        <f>IF(Table13[[#This Row],[Actual_Qty]]=0,0,Table13[[#This Row],[Reject_Qty]]/Table13[[#This Row],[Actual_Qty]])</f>
        <v>8.5324232081911266E-3</v>
      </c>
      <c r="S756">
        <v>433.27</v>
      </c>
      <c r="T756">
        <f>(Table13[[#This Row],[Ideal_Cycle_Time_sec]]*Table13[[#This Row],[Actual_Qty]])/(Table13[[#This Row],[Operational_Time_min]]*60)</f>
        <v>0.53063293866026573</v>
      </c>
      <c r="U756">
        <f>Table13[[#This Row],[Good_Qty]]/Table13[[#This Row],[Actual_Qty]]</f>
        <v>0.99146757679180886</v>
      </c>
      <c r="V756" t="str">
        <f>IF(OR(Table13[[#This Row],[Performance_%]]&gt;=1,Table13[[#This Row],[Performance_%]]&lt;=0),"Error","OK")</f>
        <v>OK</v>
      </c>
      <c r="W756" t="str">
        <f>IF(OR(Table13[[#This Row],[Quality_%]]&gt;=1,Table13[[#This Row],[Quality_%]]&lt;=0),"Error","OK")</f>
        <v>OK</v>
      </c>
      <c r="X756">
        <f>Table13[[#This Row],[Performance_%]]*Table13[[#This Row],[Quality_%]]*[2]Availability_KPI!K756</f>
        <v>0.50654592592592596</v>
      </c>
      <c r="Y756" t="str">
        <f>IF(OR(Table13[[#This Row],[OEE_%]]&gt;1,Table13[[#This Row],[OEE_%]]&lt;0),"Error","OK")</f>
        <v>OK</v>
      </c>
    </row>
    <row r="757" spans="1:25" x14ac:dyDescent="0.2">
      <c r="A757" t="s">
        <v>901</v>
      </c>
      <c r="B757" t="s">
        <v>898</v>
      </c>
      <c r="C757" s="2">
        <v>46280</v>
      </c>
      <c r="D757" t="s">
        <v>53</v>
      </c>
      <c r="E757" t="s">
        <v>38</v>
      </c>
      <c r="F757" t="s">
        <v>97</v>
      </c>
      <c r="G757" t="s">
        <v>36</v>
      </c>
      <c r="H757">
        <v>581</v>
      </c>
      <c r="I757">
        <v>575</v>
      </c>
      <c r="J757">
        <v>6</v>
      </c>
      <c r="K757">
        <v>21.4</v>
      </c>
      <c r="L757">
        <v>21.4</v>
      </c>
      <c r="M757">
        <v>207.22</v>
      </c>
      <c r="N757">
        <f>_xlfn.XLOOKUP(Table13[[#This Row],[Production_Order_ID]],[1]Sheet1!$A$2:$A$391,[1]Sheet1!$F$2:$F$391,"No Match")</f>
        <v>500</v>
      </c>
      <c r="O757" s="3">
        <f>Table13[[#This Row],[Good_Qty]]/Table13[[#This Row],[Planned_Production]]</f>
        <v>1.1499999999999999</v>
      </c>
      <c r="P757" t="str">
        <f>IF(Table13[[#This Row],[Good_Qty]]&gt;=Table13[[#This Row],[Planned_Production]],"Met","Not Met")</f>
        <v>Met</v>
      </c>
      <c r="Q757">
        <f>Table13[[#This Row],[Good_Qty]]-Table13[[#This Row],[Planned_Production]]</f>
        <v>75</v>
      </c>
      <c r="R757" s="3">
        <f>IF(Table13[[#This Row],[Actual_Qty]]=0,0,Table13[[#This Row],[Reject_Qty]]/Table13[[#This Row],[Actual_Qty]])</f>
        <v>1.0327022375215147E-2</v>
      </c>
      <c r="S757">
        <v>441.8</v>
      </c>
      <c r="T757">
        <f>(Table13[[#This Row],[Ideal_Cycle_Time_sec]]*Table13[[#This Row],[Actual_Qty]])/(Table13[[#This Row],[Operational_Time_min]]*60)</f>
        <v>0.46904330768070013</v>
      </c>
      <c r="U757">
        <f>Table13[[#This Row],[Good_Qty]]/Table13[[#This Row],[Actual_Qty]]</f>
        <v>0.9896729776247849</v>
      </c>
      <c r="V757" t="str">
        <f>IF(OR(Table13[[#This Row],[Performance_%]]&gt;=1,Table13[[#This Row],[Performance_%]]&lt;=0),"Error","OK")</f>
        <v>OK</v>
      </c>
      <c r="W757" t="str">
        <f>IF(OR(Table13[[#This Row],[Quality_%]]&gt;=1,Table13[[#This Row],[Quality_%]]&lt;=0),"Error","OK")</f>
        <v>OK</v>
      </c>
      <c r="X757">
        <f>Table13[[#This Row],[Performance_%]]*Table13[[#This Row],[Quality_%]]*[2]Availability_KPI!K757</f>
        <v>0.45574074074074072</v>
      </c>
      <c r="Y757" t="str">
        <f>IF(OR(Table13[[#This Row],[OEE_%]]&gt;1,Table13[[#This Row],[OEE_%]]&lt;0),"Error","OK")</f>
        <v>OK</v>
      </c>
    </row>
    <row r="758" spans="1:25" x14ac:dyDescent="0.2">
      <c r="A758" t="s">
        <v>902</v>
      </c>
      <c r="B758" t="s">
        <v>898</v>
      </c>
      <c r="C758" s="2">
        <v>46280</v>
      </c>
      <c r="D758" t="s">
        <v>53</v>
      </c>
      <c r="E758" t="s">
        <v>41</v>
      </c>
      <c r="F758" t="s">
        <v>97</v>
      </c>
      <c r="G758" t="s">
        <v>50</v>
      </c>
      <c r="H758">
        <v>587</v>
      </c>
      <c r="I758">
        <v>582</v>
      </c>
      <c r="J758">
        <v>5</v>
      </c>
      <c r="K758">
        <v>19.260000000000002</v>
      </c>
      <c r="L758">
        <v>20.260000000000002</v>
      </c>
      <c r="M758">
        <v>198.17</v>
      </c>
      <c r="N758">
        <f>_xlfn.XLOOKUP(Table13[[#This Row],[Production_Order_ID]],[1]Sheet1!$A$2:$A$391,[1]Sheet1!$F$2:$F$391,"No Match")</f>
        <v>500</v>
      </c>
      <c r="O758" s="3">
        <f>Table13[[#This Row],[Good_Qty]]/Table13[[#This Row],[Planned_Production]]</f>
        <v>1.1639999999999999</v>
      </c>
      <c r="P758" t="str">
        <f>IF(Table13[[#This Row],[Good_Qty]]&gt;=Table13[[#This Row],[Planned_Production]],"Met","Not Met")</f>
        <v>Met</v>
      </c>
      <c r="Q758">
        <f>Table13[[#This Row],[Good_Qty]]-Table13[[#This Row],[Planned_Production]]</f>
        <v>82</v>
      </c>
      <c r="R758" s="3">
        <f>IF(Table13[[#This Row],[Actual_Qty]]=0,0,Table13[[#This Row],[Reject_Qty]]/Table13[[#This Row],[Actual_Qty]])</f>
        <v>8.5178875638841564E-3</v>
      </c>
      <c r="S758">
        <v>435.76</v>
      </c>
      <c r="T758">
        <f>(Table13[[#This Row],[Ideal_Cycle_Time_sec]]*Table13[[#This Row],[Actual_Qty]])/(Table13[[#This Row],[Operational_Time_min]]*60)</f>
        <v>0.43241004222507806</v>
      </c>
      <c r="U758">
        <f>Table13[[#This Row],[Good_Qty]]/Table13[[#This Row],[Actual_Qty]]</f>
        <v>0.99148211243611584</v>
      </c>
      <c r="V758" t="str">
        <f>IF(OR(Table13[[#This Row],[Performance_%]]&gt;=1,Table13[[#This Row],[Performance_%]]&lt;=0),"Error","OK")</f>
        <v>OK</v>
      </c>
      <c r="W758" t="str">
        <f>IF(OR(Table13[[#This Row],[Quality_%]]&gt;=1,Table13[[#This Row],[Quality_%]]&lt;=0),"Error","OK")</f>
        <v>OK</v>
      </c>
      <c r="X758">
        <f>Table13[[#This Row],[Performance_%]]*Table13[[#This Row],[Quality_%]]*[2]Availability_KPI!K758</f>
        <v>0.41516000000000003</v>
      </c>
      <c r="Y758" t="str">
        <f>IF(OR(Table13[[#This Row],[OEE_%]]&gt;1,Table13[[#This Row],[OEE_%]]&lt;0),"Error","OK")</f>
        <v>OK</v>
      </c>
    </row>
    <row r="759" spans="1:25" x14ac:dyDescent="0.2">
      <c r="A759" t="s">
        <v>903</v>
      </c>
      <c r="B759" t="s">
        <v>898</v>
      </c>
      <c r="C759" s="2">
        <v>46280</v>
      </c>
      <c r="D759" t="s">
        <v>53</v>
      </c>
      <c r="E759" t="s">
        <v>43</v>
      </c>
      <c r="F759" t="s">
        <v>97</v>
      </c>
      <c r="G759" t="s">
        <v>44</v>
      </c>
      <c r="H759">
        <v>580</v>
      </c>
      <c r="I759">
        <v>572</v>
      </c>
      <c r="J759">
        <v>8</v>
      </c>
      <c r="K759">
        <v>34.24</v>
      </c>
      <c r="L759">
        <v>36.479999999999997</v>
      </c>
      <c r="M759">
        <v>352.66</v>
      </c>
      <c r="N759">
        <f>_xlfn.XLOOKUP(Table13[[#This Row],[Production_Order_ID]],[1]Sheet1!$A$2:$A$391,[1]Sheet1!$F$2:$F$391,"No Match")</f>
        <v>500</v>
      </c>
      <c r="O759" s="3">
        <f>Table13[[#This Row],[Good_Qty]]/Table13[[#This Row],[Planned_Production]]</f>
        <v>1.1439999999999999</v>
      </c>
      <c r="P759" t="str">
        <f>IF(Table13[[#This Row],[Good_Qty]]&gt;=Table13[[#This Row],[Planned_Production]],"Met","Not Met")</f>
        <v>Met</v>
      </c>
      <c r="Q759">
        <f>Table13[[#This Row],[Good_Qty]]-Table13[[#This Row],[Planned_Production]]</f>
        <v>72</v>
      </c>
      <c r="R759" s="3">
        <f>IF(Table13[[#This Row],[Actual_Qty]]=0,0,Table13[[#This Row],[Reject_Qty]]/Table13[[#This Row],[Actual_Qty]])</f>
        <v>1.3793103448275862E-2</v>
      </c>
      <c r="S759">
        <v>408.75</v>
      </c>
      <c r="T759">
        <f>(Table13[[#This Row],[Ideal_Cycle_Time_sec]]*Table13[[#This Row],[Actual_Qty]])/(Table13[[#This Row],[Operational_Time_min]]*60)</f>
        <v>0.80975331294597352</v>
      </c>
      <c r="U759">
        <f>Table13[[#This Row],[Good_Qty]]/Table13[[#This Row],[Actual_Qty]]</f>
        <v>0.98620689655172411</v>
      </c>
      <c r="V759" t="str">
        <f>IF(OR(Table13[[#This Row],[Performance_%]]&gt;=1,Table13[[#This Row],[Performance_%]]&lt;=0),"Error","OK")</f>
        <v>OK</v>
      </c>
      <c r="W759" t="str">
        <f>IF(OR(Table13[[#This Row],[Quality_%]]&gt;=1,Table13[[#This Row],[Quality_%]]&lt;=0),"Error","OK")</f>
        <v>OK</v>
      </c>
      <c r="X759">
        <f>Table13[[#This Row],[Performance_%]]*Table13[[#This Row],[Quality_%]]*[2]Availability_KPI!K759</f>
        <v>0.72538074074074077</v>
      </c>
      <c r="Y759" t="str">
        <f>IF(OR(Table13[[#This Row],[OEE_%]]&gt;1,Table13[[#This Row],[OEE_%]]&lt;0),"Error","OK")</f>
        <v>OK</v>
      </c>
    </row>
    <row r="760" spans="1:25" x14ac:dyDescent="0.2">
      <c r="A760" t="s">
        <v>904</v>
      </c>
      <c r="B760" t="s">
        <v>898</v>
      </c>
      <c r="C760" s="2">
        <v>46280</v>
      </c>
      <c r="D760" t="s">
        <v>53</v>
      </c>
      <c r="E760" t="s">
        <v>46</v>
      </c>
      <c r="F760" t="s">
        <v>97</v>
      </c>
      <c r="G760" t="s">
        <v>75</v>
      </c>
      <c r="H760">
        <v>573</v>
      </c>
      <c r="I760">
        <v>568</v>
      </c>
      <c r="J760">
        <v>5</v>
      </c>
      <c r="K760">
        <v>26.75</v>
      </c>
      <c r="L760">
        <v>29.09</v>
      </c>
      <c r="M760">
        <v>277.83</v>
      </c>
      <c r="N760">
        <f>_xlfn.XLOOKUP(Table13[[#This Row],[Production_Order_ID]],[1]Sheet1!$A$2:$A$391,[1]Sheet1!$F$2:$F$391,"No Match")</f>
        <v>500</v>
      </c>
      <c r="O760" s="3">
        <f>Table13[[#This Row],[Good_Qty]]/Table13[[#This Row],[Planned_Production]]</f>
        <v>1.1359999999999999</v>
      </c>
      <c r="P760" t="str">
        <f>IF(Table13[[#This Row],[Good_Qty]]&gt;=Table13[[#This Row],[Planned_Production]],"Met","Not Met")</f>
        <v>Met</v>
      </c>
      <c r="Q760">
        <f>Table13[[#This Row],[Good_Qty]]-Table13[[#This Row],[Planned_Production]]</f>
        <v>68</v>
      </c>
      <c r="R760" s="3">
        <f>IF(Table13[[#This Row],[Actual_Qty]]=0,0,Table13[[#This Row],[Reject_Qty]]/Table13[[#This Row],[Actual_Qty]])</f>
        <v>8.7260034904013961E-3</v>
      </c>
      <c r="S760">
        <v>424.2</v>
      </c>
      <c r="T760">
        <f>(Table13[[#This Row],[Ideal_Cycle_Time_sec]]*Table13[[#This Row],[Actual_Qty]])/(Table13[[#This Row],[Operational_Time_min]]*60)</f>
        <v>0.60222182932578971</v>
      </c>
      <c r="U760">
        <f>Table13[[#This Row],[Good_Qty]]/Table13[[#This Row],[Actual_Qty]]</f>
        <v>0.99127399650959858</v>
      </c>
      <c r="V760" t="str">
        <f>IF(OR(Table13[[#This Row],[Performance_%]]&gt;=1,Table13[[#This Row],[Performance_%]]&lt;=0),"Error","OK")</f>
        <v>OK</v>
      </c>
      <c r="W760" t="str">
        <f>IF(OR(Table13[[#This Row],[Quality_%]]&gt;=1,Table13[[#This Row],[Quality_%]]&lt;=0),"Error","OK")</f>
        <v>OK</v>
      </c>
      <c r="X760">
        <f>Table13[[#This Row],[Performance_%]]*Table13[[#This Row],[Quality_%]]*[2]Availability_KPI!K760</f>
        <v>0.56274074074074076</v>
      </c>
      <c r="Y760" t="str">
        <f>IF(OR(Table13[[#This Row],[OEE_%]]&gt;1,Table13[[#This Row],[OEE_%]]&lt;0),"Error","OK")</f>
        <v>OK</v>
      </c>
    </row>
    <row r="761" spans="1:25" x14ac:dyDescent="0.2">
      <c r="A761" t="s">
        <v>905</v>
      </c>
      <c r="B761" t="s">
        <v>898</v>
      </c>
      <c r="C761" s="2">
        <v>46280</v>
      </c>
      <c r="D761" t="s">
        <v>53</v>
      </c>
      <c r="E761" t="s">
        <v>49</v>
      </c>
      <c r="F761" t="s">
        <v>97</v>
      </c>
      <c r="G761" t="s">
        <v>44</v>
      </c>
      <c r="H761">
        <v>580</v>
      </c>
      <c r="I761">
        <v>577</v>
      </c>
      <c r="J761">
        <v>3</v>
      </c>
      <c r="K761">
        <v>21.4</v>
      </c>
      <c r="L761">
        <v>22.89</v>
      </c>
      <c r="M761">
        <v>221.23</v>
      </c>
      <c r="N761">
        <f>_xlfn.XLOOKUP(Table13[[#This Row],[Production_Order_ID]],[1]Sheet1!$A$2:$A$391,[1]Sheet1!$F$2:$F$391,"No Match")</f>
        <v>500</v>
      </c>
      <c r="O761" s="3">
        <f>Table13[[#This Row],[Good_Qty]]/Table13[[#This Row],[Planned_Production]]</f>
        <v>1.1539999999999999</v>
      </c>
      <c r="P761" t="str">
        <f>IF(Table13[[#This Row],[Good_Qty]]&gt;=Table13[[#This Row],[Planned_Production]],"Met","Not Met")</f>
        <v>Met</v>
      </c>
      <c r="Q761">
        <f>Table13[[#This Row],[Good_Qty]]-Table13[[#This Row],[Planned_Production]]</f>
        <v>77</v>
      </c>
      <c r="R761" s="3">
        <f>IF(Table13[[#This Row],[Actual_Qty]]=0,0,Table13[[#This Row],[Reject_Qty]]/Table13[[#This Row],[Actual_Qty]])</f>
        <v>5.1724137931034482E-3</v>
      </c>
      <c r="S761">
        <v>440.74</v>
      </c>
      <c r="T761">
        <f>(Table13[[#This Row],[Ideal_Cycle_Time_sec]]*Table13[[#This Row],[Actual_Qty]])/(Table13[[#This Row],[Operational_Time_min]]*60)</f>
        <v>0.46936213338173677</v>
      </c>
      <c r="U761">
        <f>Table13[[#This Row],[Good_Qty]]/Table13[[#This Row],[Actual_Qty]]</f>
        <v>0.9948275862068966</v>
      </c>
      <c r="V761" t="str">
        <f>IF(OR(Table13[[#This Row],[Performance_%]]&gt;=1,Table13[[#This Row],[Performance_%]]&lt;=0),"Error","OK")</f>
        <v>OK</v>
      </c>
      <c r="W761" t="str">
        <f>IF(OR(Table13[[#This Row],[Quality_%]]&gt;=1,Table13[[#This Row],[Quality_%]]&lt;=0),"Error","OK")</f>
        <v>OK</v>
      </c>
      <c r="X761">
        <f>Table13[[#This Row],[Performance_%]]*Table13[[#This Row],[Quality_%]]*[2]Availability_KPI!K761</f>
        <v>0.45732592592592591</v>
      </c>
      <c r="Y761" t="str">
        <f>IF(OR(Table13[[#This Row],[OEE_%]]&gt;1,Table13[[#This Row],[OEE_%]]&lt;0),"Error","OK")</f>
        <v>OK</v>
      </c>
    </row>
    <row r="762" spans="1:25" x14ac:dyDescent="0.2">
      <c r="A762" t="s">
        <v>906</v>
      </c>
      <c r="B762" t="s">
        <v>907</v>
      </c>
      <c r="C762" s="2">
        <v>46280</v>
      </c>
      <c r="D762" t="s">
        <v>67</v>
      </c>
      <c r="E762" t="s">
        <v>28</v>
      </c>
      <c r="F762" t="s">
        <v>97</v>
      </c>
      <c r="G762" t="s">
        <v>71</v>
      </c>
      <c r="H762">
        <v>648</v>
      </c>
      <c r="I762">
        <v>645</v>
      </c>
      <c r="J762">
        <v>3</v>
      </c>
      <c r="K762">
        <v>19.260000000000002</v>
      </c>
      <c r="L762">
        <v>20.7</v>
      </c>
      <c r="M762">
        <v>223.55</v>
      </c>
      <c r="N762">
        <f>_xlfn.XLOOKUP(Table13[[#This Row],[Production_Order_ID]],[1]Sheet1!$A$2:$A$391,[1]Sheet1!$F$2:$F$391,"No Match")</f>
        <v>590</v>
      </c>
      <c r="O762" s="3">
        <f>Table13[[#This Row],[Good_Qty]]/Table13[[#This Row],[Planned_Production]]</f>
        <v>1.0932203389830508</v>
      </c>
      <c r="P762" t="str">
        <f>IF(Table13[[#This Row],[Good_Qty]]&gt;=Table13[[#This Row],[Planned_Production]],"Met","Not Met")</f>
        <v>Met</v>
      </c>
      <c r="Q762">
        <f>Table13[[#This Row],[Good_Qty]]-Table13[[#This Row],[Planned_Production]]</f>
        <v>55</v>
      </c>
      <c r="R762" s="3">
        <f>IF(Table13[[#This Row],[Actual_Qty]]=0,0,Table13[[#This Row],[Reject_Qty]]/Table13[[#This Row],[Actual_Qty]])</f>
        <v>4.6296296296296294E-3</v>
      </c>
      <c r="S762">
        <v>440.77</v>
      </c>
      <c r="T762">
        <f>(Table13[[#This Row],[Ideal_Cycle_Time_sec]]*Table13[[#This Row],[Actual_Qty]])/(Table13[[#This Row],[Operational_Time_min]]*60)</f>
        <v>0.47191959525376059</v>
      </c>
      <c r="U762">
        <f>Table13[[#This Row],[Good_Qty]]/Table13[[#This Row],[Actual_Qty]]</f>
        <v>0.99537037037037035</v>
      </c>
      <c r="V762" t="str">
        <f>IF(OR(Table13[[#This Row],[Performance_%]]&gt;=1,Table13[[#This Row],[Performance_%]]&lt;=0),"Error","OK")</f>
        <v>OK</v>
      </c>
      <c r="W762" t="str">
        <f>IF(OR(Table13[[#This Row],[Quality_%]]&gt;=1,Table13[[#This Row],[Quality_%]]&lt;=0),"Error","OK")</f>
        <v>OK</v>
      </c>
      <c r="X762">
        <f>Table13[[#This Row],[Performance_%]]*Table13[[#This Row],[Quality_%]]*[2]Availability_KPI!K762</f>
        <v>0.46010000000000006</v>
      </c>
      <c r="Y762" t="str">
        <f>IF(OR(Table13[[#This Row],[OEE_%]]&gt;1,Table13[[#This Row],[OEE_%]]&lt;0),"Error","OK")</f>
        <v>OK</v>
      </c>
    </row>
    <row r="763" spans="1:25" x14ac:dyDescent="0.2">
      <c r="A763" t="s">
        <v>908</v>
      </c>
      <c r="B763" t="s">
        <v>907</v>
      </c>
      <c r="C763" s="2">
        <v>46280</v>
      </c>
      <c r="D763" t="s">
        <v>67</v>
      </c>
      <c r="E763" t="s">
        <v>32</v>
      </c>
      <c r="F763" t="s">
        <v>97</v>
      </c>
      <c r="G763" t="s">
        <v>50</v>
      </c>
      <c r="H763">
        <v>652</v>
      </c>
      <c r="I763">
        <v>647</v>
      </c>
      <c r="J763">
        <v>5</v>
      </c>
      <c r="K763">
        <v>21.4</v>
      </c>
      <c r="L763">
        <v>23.29</v>
      </c>
      <c r="M763">
        <v>253.04</v>
      </c>
      <c r="N763">
        <f>_xlfn.XLOOKUP(Table13[[#This Row],[Production_Order_ID]],[1]Sheet1!$A$2:$A$391,[1]Sheet1!$F$2:$F$391,"No Match")</f>
        <v>590</v>
      </c>
      <c r="O763" s="3">
        <f>Table13[[#This Row],[Good_Qty]]/Table13[[#This Row],[Planned_Production]]</f>
        <v>1.0966101694915253</v>
      </c>
      <c r="P763" t="str">
        <f>IF(Table13[[#This Row],[Good_Qty]]&gt;=Table13[[#This Row],[Planned_Production]],"Met","Not Met")</f>
        <v>Met</v>
      </c>
      <c r="Q763">
        <f>Table13[[#This Row],[Good_Qty]]-Table13[[#This Row],[Planned_Production]]</f>
        <v>57</v>
      </c>
      <c r="R763" s="3">
        <f>IF(Table13[[#This Row],[Actual_Qty]]=0,0,Table13[[#This Row],[Reject_Qty]]/Table13[[#This Row],[Actual_Qty]])</f>
        <v>7.6687116564417178E-3</v>
      </c>
      <c r="S763">
        <v>438.26</v>
      </c>
      <c r="T763">
        <f>(Table13[[#This Row],[Ideal_Cycle_Time_sec]]*Table13[[#This Row],[Actual_Qty]])/(Table13[[#This Row],[Operational_Time_min]]*60)</f>
        <v>0.53061348666697095</v>
      </c>
      <c r="U763">
        <f>Table13[[#This Row],[Good_Qty]]/Table13[[#This Row],[Actual_Qty]]</f>
        <v>0.99233128834355833</v>
      </c>
      <c r="V763" t="str">
        <f>IF(OR(Table13[[#This Row],[Performance_%]]&gt;=1,Table13[[#This Row],[Performance_%]]&lt;=0),"Error","OK")</f>
        <v>OK</v>
      </c>
      <c r="W763" t="str">
        <f>IF(OR(Table13[[#This Row],[Quality_%]]&gt;=1,Table13[[#This Row],[Quality_%]]&lt;=0),"Error","OK")</f>
        <v>OK</v>
      </c>
      <c r="X763">
        <f>Table13[[#This Row],[Performance_%]]*Table13[[#This Row],[Quality_%]]*[2]Availability_KPI!K763</f>
        <v>0.51280740740740738</v>
      </c>
      <c r="Y763" t="str">
        <f>IF(OR(Table13[[#This Row],[OEE_%]]&gt;1,Table13[[#This Row],[OEE_%]]&lt;0),"Error","OK")</f>
        <v>OK</v>
      </c>
    </row>
    <row r="764" spans="1:25" x14ac:dyDescent="0.2">
      <c r="A764" t="s">
        <v>909</v>
      </c>
      <c r="B764" t="s">
        <v>907</v>
      </c>
      <c r="C764" s="2">
        <v>46280</v>
      </c>
      <c r="D764" t="s">
        <v>67</v>
      </c>
      <c r="E764" t="s">
        <v>35</v>
      </c>
      <c r="F764" t="s">
        <v>97</v>
      </c>
      <c r="G764" t="s">
        <v>55</v>
      </c>
      <c r="H764">
        <v>650</v>
      </c>
      <c r="I764">
        <v>645</v>
      </c>
      <c r="J764">
        <v>5</v>
      </c>
      <c r="K764">
        <v>23.54</v>
      </c>
      <c r="L764">
        <v>24.48</v>
      </c>
      <c r="M764">
        <v>265.17</v>
      </c>
      <c r="N764">
        <f>_xlfn.XLOOKUP(Table13[[#This Row],[Production_Order_ID]],[1]Sheet1!$A$2:$A$391,[1]Sheet1!$F$2:$F$391,"No Match")</f>
        <v>590</v>
      </c>
      <c r="O764" s="3">
        <f>Table13[[#This Row],[Good_Qty]]/Table13[[#This Row],[Planned_Production]]</f>
        <v>1.0932203389830508</v>
      </c>
      <c r="P764" t="str">
        <f>IF(Table13[[#This Row],[Good_Qty]]&gt;=Table13[[#This Row],[Planned_Production]],"Met","Not Met")</f>
        <v>Met</v>
      </c>
      <c r="Q764">
        <f>Table13[[#This Row],[Good_Qty]]-Table13[[#This Row],[Planned_Production]]</f>
        <v>55</v>
      </c>
      <c r="R764" s="3">
        <f>IF(Table13[[#This Row],[Actual_Qty]]=0,0,Table13[[#This Row],[Reject_Qty]]/Table13[[#This Row],[Actual_Qty]])</f>
        <v>7.6923076923076927E-3</v>
      </c>
      <c r="S764">
        <v>433.59</v>
      </c>
      <c r="T764">
        <f>(Table13[[#This Row],[Ideal_Cycle_Time_sec]]*Table13[[#This Row],[Actual_Qty]])/(Table13[[#This Row],[Operational_Time_min]]*60)</f>
        <v>0.58815163326337483</v>
      </c>
      <c r="U764">
        <f>Table13[[#This Row],[Good_Qty]]/Table13[[#This Row],[Actual_Qty]]</f>
        <v>0.99230769230769234</v>
      </c>
      <c r="V764" t="str">
        <f>IF(OR(Table13[[#This Row],[Performance_%]]&gt;=1,Table13[[#This Row],[Performance_%]]&lt;=0),"Error","OK")</f>
        <v>OK</v>
      </c>
      <c r="W764" t="str">
        <f>IF(OR(Table13[[#This Row],[Quality_%]]&gt;=1,Table13[[#This Row],[Quality_%]]&lt;=0),"Error","OK")</f>
        <v>OK</v>
      </c>
      <c r="X764">
        <f>Table13[[#This Row],[Performance_%]]*Table13[[#This Row],[Quality_%]]*[2]Availability_KPI!K764</f>
        <v>0.56234444444444442</v>
      </c>
      <c r="Y764" t="str">
        <f>IF(OR(Table13[[#This Row],[OEE_%]]&gt;1,Table13[[#This Row],[OEE_%]]&lt;0),"Error","OK")</f>
        <v>OK</v>
      </c>
    </row>
    <row r="765" spans="1:25" x14ac:dyDescent="0.2">
      <c r="A765" t="s">
        <v>910</v>
      </c>
      <c r="B765" t="s">
        <v>907</v>
      </c>
      <c r="C765" s="2">
        <v>46280</v>
      </c>
      <c r="D765" t="s">
        <v>67</v>
      </c>
      <c r="E765" t="s">
        <v>38</v>
      </c>
      <c r="F765" t="s">
        <v>97</v>
      </c>
      <c r="G765" t="s">
        <v>75</v>
      </c>
      <c r="H765">
        <v>662</v>
      </c>
      <c r="I765">
        <v>657</v>
      </c>
      <c r="J765">
        <v>5</v>
      </c>
      <c r="K765">
        <v>21.4</v>
      </c>
      <c r="L765">
        <v>22.23</v>
      </c>
      <c r="M765">
        <v>245.3</v>
      </c>
      <c r="N765">
        <f>_xlfn.XLOOKUP(Table13[[#This Row],[Production_Order_ID]],[1]Sheet1!$A$2:$A$391,[1]Sheet1!$F$2:$F$391,"No Match")</f>
        <v>590</v>
      </c>
      <c r="O765" s="3">
        <f>Table13[[#This Row],[Good_Qty]]/Table13[[#This Row],[Planned_Production]]</f>
        <v>1.1135593220338984</v>
      </c>
      <c r="P765" t="str">
        <f>IF(Table13[[#This Row],[Good_Qty]]&gt;=Table13[[#This Row],[Planned_Production]],"Met","Not Met")</f>
        <v>Met</v>
      </c>
      <c r="Q765">
        <f>Table13[[#This Row],[Good_Qty]]-Table13[[#This Row],[Planned_Production]]</f>
        <v>67</v>
      </c>
      <c r="R765" s="3">
        <f>IF(Table13[[#This Row],[Actual_Qty]]=0,0,Table13[[#This Row],[Reject_Qty]]/Table13[[#This Row],[Actual_Qty]])</f>
        <v>7.5528700906344415E-3</v>
      </c>
      <c r="S765">
        <v>434.74</v>
      </c>
      <c r="T765">
        <f>(Table13[[#This Row],[Ideal_Cycle_Time_sec]]*Table13[[#This Row],[Actual_Qty]])/(Table13[[#This Row],[Operational_Time_min]]*60)</f>
        <v>0.5431138918280658</v>
      </c>
      <c r="U765">
        <f>Table13[[#This Row],[Good_Qty]]/Table13[[#This Row],[Actual_Qty]]</f>
        <v>0.99244712990936557</v>
      </c>
      <c r="V765" t="str">
        <f>IF(OR(Table13[[#This Row],[Performance_%]]&gt;=1,Table13[[#This Row],[Performance_%]]&lt;=0),"Error","OK")</f>
        <v>OK</v>
      </c>
      <c r="W765" t="str">
        <f>IF(OR(Table13[[#This Row],[Quality_%]]&gt;=1,Table13[[#This Row],[Quality_%]]&lt;=0),"Error","OK")</f>
        <v>OK</v>
      </c>
      <c r="X765">
        <f>Table13[[#This Row],[Performance_%]]*Table13[[#This Row],[Quality_%]]*[2]Availability_KPI!K765</f>
        <v>0.52073333333333338</v>
      </c>
      <c r="Y765" t="str">
        <f>IF(OR(Table13[[#This Row],[OEE_%]]&gt;1,Table13[[#This Row],[OEE_%]]&lt;0),"Error","OK")</f>
        <v>OK</v>
      </c>
    </row>
    <row r="766" spans="1:25" x14ac:dyDescent="0.2">
      <c r="A766" t="s">
        <v>911</v>
      </c>
      <c r="B766" t="s">
        <v>907</v>
      </c>
      <c r="C766" s="2">
        <v>46280</v>
      </c>
      <c r="D766" t="s">
        <v>67</v>
      </c>
      <c r="E766" t="s">
        <v>41</v>
      </c>
      <c r="F766" t="s">
        <v>97</v>
      </c>
      <c r="G766" t="s">
        <v>30</v>
      </c>
      <c r="H766">
        <v>634</v>
      </c>
      <c r="I766">
        <v>630</v>
      </c>
      <c r="J766">
        <v>4</v>
      </c>
      <c r="K766">
        <v>19.260000000000002</v>
      </c>
      <c r="L766">
        <v>19.579999999999998</v>
      </c>
      <c r="M766">
        <v>206.92</v>
      </c>
      <c r="N766">
        <f>_xlfn.XLOOKUP(Table13[[#This Row],[Production_Order_ID]],[1]Sheet1!$A$2:$A$391,[1]Sheet1!$F$2:$F$391,"No Match")</f>
        <v>590</v>
      </c>
      <c r="O766" s="3">
        <f>Table13[[#This Row],[Good_Qty]]/Table13[[#This Row],[Planned_Production]]</f>
        <v>1.0677966101694916</v>
      </c>
      <c r="P766" t="str">
        <f>IF(Table13[[#This Row],[Good_Qty]]&gt;=Table13[[#This Row],[Planned_Production]],"Met","Not Met")</f>
        <v>Met</v>
      </c>
      <c r="Q766">
        <f>Table13[[#This Row],[Good_Qty]]-Table13[[#This Row],[Planned_Production]]</f>
        <v>40</v>
      </c>
      <c r="R766" s="3">
        <f>IF(Table13[[#This Row],[Actual_Qty]]=0,0,Table13[[#This Row],[Reject_Qty]]/Table13[[#This Row],[Actual_Qty]])</f>
        <v>6.3091482649842269E-3</v>
      </c>
      <c r="S766">
        <v>437.95</v>
      </c>
      <c r="T766">
        <f>(Table13[[#This Row],[Ideal_Cycle_Time_sec]]*Table13[[#This Row],[Actual_Qty]])/(Table13[[#This Row],[Operational_Time_min]]*60)</f>
        <v>0.4646968832058454</v>
      </c>
      <c r="U766">
        <f>Table13[[#This Row],[Good_Qty]]/Table13[[#This Row],[Actual_Qty]]</f>
        <v>0.99369085173501581</v>
      </c>
      <c r="V766" t="str">
        <f>IF(OR(Table13[[#This Row],[Performance_%]]&gt;=1,Table13[[#This Row],[Performance_%]]&lt;=0),"Error","OK")</f>
        <v>OK</v>
      </c>
      <c r="W766" t="str">
        <f>IF(OR(Table13[[#This Row],[Quality_%]]&gt;=1,Table13[[#This Row],[Quality_%]]&lt;=0),"Error","OK")</f>
        <v>OK</v>
      </c>
      <c r="X766">
        <f>Table13[[#This Row],[Performance_%]]*Table13[[#This Row],[Quality_%]]*[2]Availability_KPI!K766</f>
        <v>0.44940000000000002</v>
      </c>
      <c r="Y766" t="str">
        <f>IF(OR(Table13[[#This Row],[OEE_%]]&gt;1,Table13[[#This Row],[OEE_%]]&lt;0),"Error","OK")</f>
        <v>OK</v>
      </c>
    </row>
    <row r="767" spans="1:25" x14ac:dyDescent="0.2">
      <c r="A767" t="s">
        <v>912</v>
      </c>
      <c r="B767" t="s">
        <v>907</v>
      </c>
      <c r="C767" s="2">
        <v>46280</v>
      </c>
      <c r="D767" t="s">
        <v>67</v>
      </c>
      <c r="E767" t="s">
        <v>43</v>
      </c>
      <c r="F767" t="s">
        <v>97</v>
      </c>
      <c r="G767" t="s">
        <v>57</v>
      </c>
      <c r="H767">
        <v>645</v>
      </c>
      <c r="I767">
        <v>636</v>
      </c>
      <c r="J767">
        <v>9</v>
      </c>
      <c r="K767">
        <v>34.24</v>
      </c>
      <c r="L767">
        <v>37.479999999999997</v>
      </c>
      <c r="M767">
        <v>402.92</v>
      </c>
      <c r="N767">
        <f>_xlfn.XLOOKUP(Table13[[#This Row],[Production_Order_ID]],[1]Sheet1!$A$2:$A$391,[1]Sheet1!$F$2:$F$391,"No Match")</f>
        <v>590</v>
      </c>
      <c r="O767" s="3">
        <f>Table13[[#This Row],[Good_Qty]]/Table13[[#This Row],[Planned_Production]]</f>
        <v>1.0779661016949154</v>
      </c>
      <c r="P767" t="str">
        <f>IF(Table13[[#This Row],[Good_Qty]]&gt;=Table13[[#This Row],[Planned_Production]],"Met","Not Met")</f>
        <v>Met</v>
      </c>
      <c r="Q767">
        <f>Table13[[#This Row],[Good_Qty]]-Table13[[#This Row],[Planned_Production]]</f>
        <v>46</v>
      </c>
      <c r="R767" s="3">
        <f>IF(Table13[[#This Row],[Actual_Qty]]=0,0,Table13[[#This Row],[Reject_Qty]]/Table13[[#This Row],[Actual_Qty]])</f>
        <v>1.3953488372093023E-2</v>
      </c>
      <c r="S767">
        <v>414.51</v>
      </c>
      <c r="T767">
        <f>(Table13[[#This Row],[Ideal_Cycle_Time_sec]]*Table13[[#This Row],[Actual_Qty]])/(Table13[[#This Row],[Operational_Time_min]]*60)</f>
        <v>0.88798822706327973</v>
      </c>
      <c r="U767">
        <f>Table13[[#This Row],[Good_Qty]]/Table13[[#This Row],[Actual_Qty]]</f>
        <v>0.98604651162790702</v>
      </c>
      <c r="V767" t="str">
        <f>IF(OR(Table13[[#This Row],[Performance_%]]&gt;=1,Table13[[#This Row],[Performance_%]]&lt;=0),"Error","OK")</f>
        <v>OK</v>
      </c>
      <c r="W767" t="str">
        <f>IF(OR(Table13[[#This Row],[Quality_%]]&gt;=1,Table13[[#This Row],[Quality_%]]&lt;=0),"Error","OK")</f>
        <v>OK</v>
      </c>
      <c r="X767">
        <f>Table13[[#This Row],[Performance_%]]*Table13[[#This Row],[Quality_%]]*[2]Availability_KPI!K767</f>
        <v>0.80654222222222249</v>
      </c>
      <c r="Y767" t="str">
        <f>IF(OR(Table13[[#This Row],[OEE_%]]&gt;1,Table13[[#This Row],[OEE_%]]&lt;0),"Error","OK")</f>
        <v>OK</v>
      </c>
    </row>
    <row r="768" spans="1:25" x14ac:dyDescent="0.2">
      <c r="A768" t="s">
        <v>913</v>
      </c>
      <c r="B768" t="s">
        <v>907</v>
      </c>
      <c r="C768" s="2">
        <v>46280</v>
      </c>
      <c r="D768" t="s">
        <v>67</v>
      </c>
      <c r="E768" t="s">
        <v>46</v>
      </c>
      <c r="F768" t="s">
        <v>97</v>
      </c>
      <c r="G768" t="s">
        <v>39</v>
      </c>
      <c r="H768">
        <v>647</v>
      </c>
      <c r="I768">
        <v>641</v>
      </c>
      <c r="J768">
        <v>6</v>
      </c>
      <c r="K768">
        <v>26.75</v>
      </c>
      <c r="L768">
        <v>28.25</v>
      </c>
      <c r="M768">
        <v>304.64</v>
      </c>
      <c r="N768">
        <f>_xlfn.XLOOKUP(Table13[[#This Row],[Production_Order_ID]],[1]Sheet1!$A$2:$A$391,[1]Sheet1!$F$2:$F$391,"No Match")</f>
        <v>590</v>
      </c>
      <c r="O768" s="3">
        <f>Table13[[#This Row],[Good_Qty]]/Table13[[#This Row],[Planned_Production]]</f>
        <v>1.0864406779661018</v>
      </c>
      <c r="P768" t="str">
        <f>IF(Table13[[#This Row],[Good_Qty]]&gt;=Table13[[#This Row],[Planned_Production]],"Met","Not Met")</f>
        <v>Met</v>
      </c>
      <c r="Q768">
        <f>Table13[[#This Row],[Good_Qty]]-Table13[[#This Row],[Planned_Production]]</f>
        <v>51</v>
      </c>
      <c r="R768" s="3">
        <f>IF(Table13[[#This Row],[Actual_Qty]]=0,0,Table13[[#This Row],[Reject_Qty]]/Table13[[#This Row],[Actual_Qty]])</f>
        <v>9.2735703245749607E-3</v>
      </c>
      <c r="S768">
        <v>429.31</v>
      </c>
      <c r="T768">
        <f>(Table13[[#This Row],[Ideal_Cycle_Time_sec]]*Table13[[#This Row],[Actual_Qty]])/(Table13[[#This Row],[Operational_Time_min]]*60)</f>
        <v>0.6719018114338513</v>
      </c>
      <c r="U768">
        <f>Table13[[#This Row],[Good_Qty]]/Table13[[#This Row],[Actual_Qty]]</f>
        <v>0.99072642967542501</v>
      </c>
      <c r="V768" t="str">
        <f>IF(OR(Table13[[#This Row],[Performance_%]]&gt;=1,Table13[[#This Row],[Performance_%]]&lt;=0),"Error","OK")</f>
        <v>OK</v>
      </c>
      <c r="W768" t="str">
        <f>IF(OR(Table13[[#This Row],[Quality_%]]&gt;=1,Table13[[#This Row],[Quality_%]]&lt;=0),"Error","OK")</f>
        <v>OK</v>
      </c>
      <c r="X768">
        <f>Table13[[#This Row],[Performance_%]]*Table13[[#This Row],[Quality_%]]*[2]Availability_KPI!K768</f>
        <v>0.63506481481481492</v>
      </c>
      <c r="Y768" t="str">
        <f>IF(OR(Table13[[#This Row],[OEE_%]]&gt;1,Table13[[#This Row],[OEE_%]]&lt;0),"Error","OK")</f>
        <v>OK</v>
      </c>
    </row>
    <row r="769" spans="1:25" x14ac:dyDescent="0.2">
      <c r="A769" t="s">
        <v>914</v>
      </c>
      <c r="B769" t="s">
        <v>907</v>
      </c>
      <c r="C769" s="2">
        <v>46280</v>
      </c>
      <c r="D769" t="s">
        <v>67</v>
      </c>
      <c r="E769" t="s">
        <v>49</v>
      </c>
      <c r="F769" t="s">
        <v>97</v>
      </c>
      <c r="G769" t="s">
        <v>33</v>
      </c>
      <c r="H769">
        <v>649</v>
      </c>
      <c r="I769">
        <v>644</v>
      </c>
      <c r="J769">
        <v>5</v>
      </c>
      <c r="K769">
        <v>21.4</v>
      </c>
      <c r="L769">
        <v>22.62</v>
      </c>
      <c r="M769">
        <v>244.63</v>
      </c>
      <c r="N769">
        <f>_xlfn.XLOOKUP(Table13[[#This Row],[Production_Order_ID]],[1]Sheet1!$A$2:$A$391,[1]Sheet1!$F$2:$F$391,"No Match")</f>
        <v>590</v>
      </c>
      <c r="O769" s="3">
        <f>Table13[[#This Row],[Good_Qty]]/Table13[[#This Row],[Planned_Production]]</f>
        <v>1.0915254237288134</v>
      </c>
      <c r="P769" t="str">
        <f>IF(Table13[[#This Row],[Good_Qty]]&gt;=Table13[[#This Row],[Planned_Production]],"Met","Not Met")</f>
        <v>Met</v>
      </c>
      <c r="Q769">
        <f>Table13[[#This Row],[Good_Qty]]-Table13[[#This Row],[Planned_Production]]</f>
        <v>54</v>
      </c>
      <c r="R769" s="3">
        <f>IF(Table13[[#This Row],[Actual_Qty]]=0,0,Table13[[#This Row],[Reject_Qty]]/Table13[[#This Row],[Actual_Qty]])</f>
        <v>7.7041602465331279E-3</v>
      </c>
      <c r="S769">
        <v>439.5</v>
      </c>
      <c r="T769">
        <f>(Table13[[#This Row],[Ideal_Cycle_Time_sec]]*Table13[[#This Row],[Actual_Qty]])/(Table13[[#This Row],[Operational_Time_min]]*60)</f>
        <v>0.52668183541903668</v>
      </c>
      <c r="U769">
        <f>Table13[[#This Row],[Good_Qty]]/Table13[[#This Row],[Actual_Qty]]</f>
        <v>0.99229583975346691</v>
      </c>
      <c r="V769" t="str">
        <f>IF(OR(Table13[[#This Row],[Performance_%]]&gt;=1,Table13[[#This Row],[Performance_%]]&lt;=0),"Error","OK")</f>
        <v>OK</v>
      </c>
      <c r="W769" t="str">
        <f>IF(OR(Table13[[#This Row],[Quality_%]]&gt;=1,Table13[[#This Row],[Quality_%]]&lt;=0),"Error","OK")</f>
        <v>OK</v>
      </c>
      <c r="X769">
        <f>Table13[[#This Row],[Performance_%]]*Table13[[#This Row],[Quality_%]]*[2]Availability_KPI!K769</f>
        <v>0.51042962962962957</v>
      </c>
      <c r="Y769" t="str">
        <f>IF(OR(Table13[[#This Row],[OEE_%]]&gt;1,Table13[[#This Row],[OEE_%]]&lt;0),"Error","OK")</f>
        <v>OK</v>
      </c>
    </row>
    <row r="770" spans="1:25" x14ac:dyDescent="0.2">
      <c r="A770" t="s">
        <v>915</v>
      </c>
      <c r="B770" t="s">
        <v>916</v>
      </c>
      <c r="C770" s="2">
        <v>46281</v>
      </c>
      <c r="D770" t="s">
        <v>27</v>
      </c>
      <c r="E770" t="s">
        <v>28</v>
      </c>
      <c r="F770" t="s">
        <v>54</v>
      </c>
      <c r="G770" t="s">
        <v>33</v>
      </c>
      <c r="H770">
        <v>609</v>
      </c>
      <c r="I770">
        <v>606</v>
      </c>
      <c r="J770">
        <v>3</v>
      </c>
      <c r="K770">
        <v>18</v>
      </c>
      <c r="L770">
        <v>18</v>
      </c>
      <c r="M770">
        <v>182.7</v>
      </c>
      <c r="N770">
        <f>_xlfn.XLOOKUP(Table13[[#This Row],[Production_Order_ID]],[1]Sheet1!$A$2:$A$391,[1]Sheet1!$F$2:$F$391,"No Match")</f>
        <v>520</v>
      </c>
      <c r="O770" s="3">
        <f>Table13[[#This Row],[Good_Qty]]/Table13[[#This Row],[Planned_Production]]</f>
        <v>1.1653846153846155</v>
      </c>
      <c r="P770" t="str">
        <f>IF(Table13[[#This Row],[Good_Qty]]&gt;=Table13[[#This Row],[Planned_Production]],"Met","Not Met")</f>
        <v>Met</v>
      </c>
      <c r="Q770">
        <f>Table13[[#This Row],[Good_Qty]]-Table13[[#This Row],[Planned_Production]]</f>
        <v>86</v>
      </c>
      <c r="R770" s="3">
        <f>IF(Table13[[#This Row],[Actual_Qty]]=0,0,Table13[[#This Row],[Reject_Qty]]/Table13[[#This Row],[Actual_Qty]])</f>
        <v>4.9261083743842365E-3</v>
      </c>
      <c r="S770">
        <v>439.8</v>
      </c>
      <c r="T770">
        <f>(Table13[[#This Row],[Ideal_Cycle_Time_sec]]*Table13[[#This Row],[Actual_Qty]])/(Table13[[#This Row],[Operational_Time_min]]*60)</f>
        <v>0.41541609822646658</v>
      </c>
      <c r="U770">
        <f>Table13[[#This Row],[Good_Qty]]/Table13[[#This Row],[Actual_Qty]]</f>
        <v>0.99507389162561577</v>
      </c>
      <c r="V770" t="str">
        <f>IF(OR(Table13[[#This Row],[Performance_%]]&gt;=1,Table13[[#This Row],[Performance_%]]&lt;=0),"Error","OK")</f>
        <v>OK</v>
      </c>
      <c r="W770" t="str">
        <f>IF(OR(Table13[[#This Row],[Quality_%]]&gt;=1,Table13[[#This Row],[Quality_%]]&lt;=0),"Error","OK")</f>
        <v>OK</v>
      </c>
      <c r="X770">
        <f>Table13[[#This Row],[Performance_%]]*Table13[[#This Row],[Quality_%]]*[2]Availability_KPI!K770</f>
        <v>0.40400000000000003</v>
      </c>
      <c r="Y770" t="str">
        <f>IF(OR(Table13[[#This Row],[OEE_%]]&gt;1,Table13[[#This Row],[OEE_%]]&lt;0),"Error","OK")</f>
        <v>OK</v>
      </c>
    </row>
    <row r="771" spans="1:25" x14ac:dyDescent="0.2">
      <c r="A771" t="s">
        <v>917</v>
      </c>
      <c r="B771" t="s">
        <v>916</v>
      </c>
      <c r="C771" s="2">
        <v>46281</v>
      </c>
      <c r="D771" t="s">
        <v>27</v>
      </c>
      <c r="E771" t="s">
        <v>32</v>
      </c>
      <c r="F771" t="s">
        <v>54</v>
      </c>
      <c r="G771" t="s">
        <v>50</v>
      </c>
      <c r="H771">
        <v>622</v>
      </c>
      <c r="I771">
        <v>616</v>
      </c>
      <c r="J771">
        <v>6</v>
      </c>
      <c r="K771">
        <v>20</v>
      </c>
      <c r="L771">
        <v>20.34</v>
      </c>
      <c r="M771">
        <v>210.84</v>
      </c>
      <c r="N771">
        <f>_xlfn.XLOOKUP(Table13[[#This Row],[Production_Order_ID]],[1]Sheet1!$A$2:$A$391,[1]Sheet1!$F$2:$F$391,"No Match")</f>
        <v>520</v>
      </c>
      <c r="O771" s="3">
        <f>Table13[[#This Row],[Good_Qty]]/Table13[[#This Row],[Planned_Production]]</f>
        <v>1.1846153846153846</v>
      </c>
      <c r="P771" t="str">
        <f>IF(Table13[[#This Row],[Good_Qty]]&gt;=Table13[[#This Row],[Planned_Production]],"Met","Not Met")</f>
        <v>Met</v>
      </c>
      <c r="Q771">
        <f>Table13[[#This Row],[Good_Qty]]-Table13[[#This Row],[Planned_Production]]</f>
        <v>96</v>
      </c>
      <c r="R771" s="3">
        <f>IF(Table13[[#This Row],[Actual_Qty]]=0,0,Table13[[#This Row],[Reject_Qty]]/Table13[[#This Row],[Actual_Qty]])</f>
        <v>9.6463022508038593E-3</v>
      </c>
      <c r="S771">
        <v>437.75</v>
      </c>
      <c r="T771">
        <f>(Table13[[#This Row],[Ideal_Cycle_Time_sec]]*Table13[[#This Row],[Actual_Qty]])/(Table13[[#This Row],[Operational_Time_min]]*60)</f>
        <v>0.47363411383971066</v>
      </c>
      <c r="U771">
        <f>Table13[[#This Row],[Good_Qty]]/Table13[[#This Row],[Actual_Qty]]</f>
        <v>0.99035369774919613</v>
      </c>
      <c r="V771" t="str">
        <f>IF(OR(Table13[[#This Row],[Performance_%]]&gt;=1,Table13[[#This Row],[Performance_%]]&lt;=0),"Error","OK")</f>
        <v>OK</v>
      </c>
      <c r="W771" t="str">
        <f>IF(OR(Table13[[#This Row],[Quality_%]]&gt;=1,Table13[[#This Row],[Quality_%]]&lt;=0),"Error","OK")</f>
        <v>OK</v>
      </c>
      <c r="X771">
        <f>Table13[[#This Row],[Performance_%]]*Table13[[#This Row],[Quality_%]]*[2]Availability_KPI!K771</f>
        <v>0.45629629629629626</v>
      </c>
      <c r="Y771" t="str">
        <f>IF(OR(Table13[[#This Row],[OEE_%]]&gt;1,Table13[[#This Row],[OEE_%]]&lt;0),"Error","OK")</f>
        <v>OK</v>
      </c>
    </row>
    <row r="772" spans="1:25" x14ac:dyDescent="0.2">
      <c r="A772" t="s">
        <v>918</v>
      </c>
      <c r="B772" t="s">
        <v>916</v>
      </c>
      <c r="C772" s="2">
        <v>46281</v>
      </c>
      <c r="D772" t="s">
        <v>27</v>
      </c>
      <c r="E772" t="s">
        <v>35</v>
      </c>
      <c r="F772" t="s">
        <v>54</v>
      </c>
      <c r="G772" t="s">
        <v>55</v>
      </c>
      <c r="H772">
        <v>618</v>
      </c>
      <c r="I772">
        <v>612</v>
      </c>
      <c r="J772">
        <v>6</v>
      </c>
      <c r="K772">
        <v>22</v>
      </c>
      <c r="L772">
        <v>22</v>
      </c>
      <c r="M772">
        <v>226.6</v>
      </c>
      <c r="N772">
        <f>_xlfn.XLOOKUP(Table13[[#This Row],[Production_Order_ID]],[1]Sheet1!$A$2:$A$391,[1]Sheet1!$F$2:$F$391,"No Match")</f>
        <v>520</v>
      </c>
      <c r="O772" s="3">
        <f>Table13[[#This Row],[Good_Qty]]/Table13[[#This Row],[Planned_Production]]</f>
        <v>1.176923076923077</v>
      </c>
      <c r="P772" t="str">
        <f>IF(Table13[[#This Row],[Good_Qty]]&gt;=Table13[[#This Row],[Planned_Production]],"Met","Not Met")</f>
        <v>Met</v>
      </c>
      <c r="Q772">
        <f>Table13[[#This Row],[Good_Qty]]-Table13[[#This Row],[Planned_Production]]</f>
        <v>92</v>
      </c>
      <c r="R772" s="3">
        <f>IF(Table13[[#This Row],[Actual_Qty]]=0,0,Table13[[#This Row],[Reject_Qty]]/Table13[[#This Row],[Actual_Qty]])</f>
        <v>9.7087378640776691E-3</v>
      </c>
      <c r="S772">
        <v>438.7</v>
      </c>
      <c r="T772">
        <f>(Table13[[#This Row],[Ideal_Cycle_Time_sec]]*Table13[[#This Row],[Actual_Qty]])/(Table13[[#This Row],[Operational_Time_min]]*60)</f>
        <v>0.51652609984043762</v>
      </c>
      <c r="U772">
        <f>Table13[[#This Row],[Good_Qty]]/Table13[[#This Row],[Actual_Qty]]</f>
        <v>0.99029126213592233</v>
      </c>
      <c r="V772" t="str">
        <f>IF(OR(Table13[[#This Row],[Performance_%]]&gt;=1,Table13[[#This Row],[Performance_%]]&lt;=0),"Error","OK")</f>
        <v>OK</v>
      </c>
      <c r="W772" t="str">
        <f>IF(OR(Table13[[#This Row],[Quality_%]]&gt;=1,Table13[[#This Row],[Quality_%]]&lt;=0),"Error","OK")</f>
        <v>OK</v>
      </c>
      <c r="X772">
        <f>Table13[[#This Row],[Performance_%]]*Table13[[#This Row],[Quality_%]]*[2]Availability_KPI!K772</f>
        <v>0.49866666666666659</v>
      </c>
      <c r="Y772" t="str">
        <f>IF(OR(Table13[[#This Row],[OEE_%]]&gt;1,Table13[[#This Row],[OEE_%]]&lt;0),"Error","OK")</f>
        <v>OK</v>
      </c>
    </row>
    <row r="773" spans="1:25" x14ac:dyDescent="0.2">
      <c r="A773" t="s">
        <v>919</v>
      </c>
      <c r="B773" t="s">
        <v>916</v>
      </c>
      <c r="C773" s="2">
        <v>46281</v>
      </c>
      <c r="D773" t="s">
        <v>27</v>
      </c>
      <c r="E773" t="s">
        <v>38</v>
      </c>
      <c r="F773" t="s">
        <v>54</v>
      </c>
      <c r="G773" t="s">
        <v>36</v>
      </c>
      <c r="H773">
        <v>619</v>
      </c>
      <c r="I773">
        <v>614</v>
      </c>
      <c r="J773">
        <v>5</v>
      </c>
      <c r="K773">
        <v>20</v>
      </c>
      <c r="L773">
        <v>20.48</v>
      </c>
      <c r="M773">
        <v>211.3</v>
      </c>
      <c r="N773">
        <f>_xlfn.XLOOKUP(Table13[[#This Row],[Production_Order_ID]],[1]Sheet1!$A$2:$A$391,[1]Sheet1!$F$2:$F$391,"No Match")</f>
        <v>520</v>
      </c>
      <c r="O773" s="3">
        <f>Table13[[#This Row],[Good_Qty]]/Table13[[#This Row],[Planned_Production]]</f>
        <v>1.1807692307692308</v>
      </c>
      <c r="P773" t="str">
        <f>IF(Table13[[#This Row],[Good_Qty]]&gt;=Table13[[#This Row],[Planned_Production]],"Met","Not Met")</f>
        <v>Met</v>
      </c>
      <c r="Q773">
        <f>Table13[[#This Row],[Good_Qty]]-Table13[[#This Row],[Planned_Production]]</f>
        <v>94</v>
      </c>
      <c r="R773" s="3">
        <f>IF(Table13[[#This Row],[Actual_Qty]]=0,0,Table13[[#This Row],[Reject_Qty]]/Table13[[#This Row],[Actual_Qty]])</f>
        <v>8.0775444264943458E-3</v>
      </c>
      <c r="S773">
        <v>440.85</v>
      </c>
      <c r="T773">
        <f>(Table13[[#This Row],[Ideal_Cycle_Time_sec]]*Table13[[#This Row],[Actual_Qty]])/(Table13[[#This Row],[Operational_Time_min]]*60)</f>
        <v>0.46803523496276134</v>
      </c>
      <c r="U773">
        <f>Table13[[#This Row],[Good_Qty]]/Table13[[#This Row],[Actual_Qty]]</f>
        <v>0.99192245557350567</v>
      </c>
      <c r="V773" t="str">
        <f>IF(OR(Table13[[#This Row],[Performance_%]]&gt;=1,Table13[[#This Row],[Performance_%]]&lt;=0),"Error","OK")</f>
        <v>OK</v>
      </c>
      <c r="W773" t="str">
        <f>IF(OR(Table13[[#This Row],[Quality_%]]&gt;=1,Table13[[#This Row],[Quality_%]]&lt;=0),"Error","OK")</f>
        <v>OK</v>
      </c>
      <c r="X773">
        <f>Table13[[#This Row],[Performance_%]]*Table13[[#This Row],[Quality_%]]*[2]Availability_KPI!K773</f>
        <v>0.45481481481481484</v>
      </c>
      <c r="Y773" t="str">
        <f>IF(OR(Table13[[#This Row],[OEE_%]]&gt;1,Table13[[#This Row],[OEE_%]]&lt;0),"Error","OK")</f>
        <v>OK</v>
      </c>
    </row>
    <row r="774" spans="1:25" x14ac:dyDescent="0.2">
      <c r="A774" t="s">
        <v>920</v>
      </c>
      <c r="B774" t="s">
        <v>916</v>
      </c>
      <c r="C774" s="2">
        <v>46281</v>
      </c>
      <c r="D774" t="s">
        <v>27</v>
      </c>
      <c r="E774" t="s">
        <v>41</v>
      </c>
      <c r="F774" t="s">
        <v>54</v>
      </c>
      <c r="G774" t="s">
        <v>39</v>
      </c>
      <c r="H774">
        <v>628</v>
      </c>
      <c r="I774">
        <v>622</v>
      </c>
      <c r="J774">
        <v>6</v>
      </c>
      <c r="K774">
        <v>18</v>
      </c>
      <c r="L774">
        <v>18.7</v>
      </c>
      <c r="M774">
        <v>195.7</v>
      </c>
      <c r="N774">
        <f>_xlfn.XLOOKUP(Table13[[#This Row],[Production_Order_ID]],[1]Sheet1!$A$2:$A$391,[1]Sheet1!$F$2:$F$391,"No Match")</f>
        <v>520</v>
      </c>
      <c r="O774" s="3">
        <f>Table13[[#This Row],[Good_Qty]]/Table13[[#This Row],[Planned_Production]]</f>
        <v>1.1961538461538461</v>
      </c>
      <c r="P774" t="str">
        <f>IF(Table13[[#This Row],[Good_Qty]]&gt;=Table13[[#This Row],[Planned_Production]],"Met","Not Met")</f>
        <v>Met</v>
      </c>
      <c r="Q774">
        <f>Table13[[#This Row],[Good_Qty]]-Table13[[#This Row],[Planned_Production]]</f>
        <v>102</v>
      </c>
      <c r="R774" s="3">
        <f>IF(Table13[[#This Row],[Actual_Qty]]=0,0,Table13[[#This Row],[Reject_Qty]]/Table13[[#This Row],[Actual_Qty]])</f>
        <v>9.5541401273885346E-3</v>
      </c>
      <c r="S774">
        <v>440.13</v>
      </c>
      <c r="T774">
        <f>(Table13[[#This Row],[Ideal_Cycle_Time_sec]]*Table13[[#This Row],[Actual_Qty]])/(Table13[[#This Row],[Operational_Time_min]]*60)</f>
        <v>0.4280553472837571</v>
      </c>
      <c r="U774">
        <f>Table13[[#This Row],[Good_Qty]]/Table13[[#This Row],[Actual_Qty]]</f>
        <v>0.99044585987261147</v>
      </c>
      <c r="V774" t="str">
        <f>IF(OR(Table13[[#This Row],[Performance_%]]&gt;=1,Table13[[#This Row],[Performance_%]]&lt;=0),"Error","OK")</f>
        <v>OK</v>
      </c>
      <c r="W774" t="str">
        <f>IF(OR(Table13[[#This Row],[Quality_%]]&gt;=1,Table13[[#This Row],[Quality_%]]&lt;=0),"Error","OK")</f>
        <v>OK</v>
      </c>
      <c r="X774">
        <f>Table13[[#This Row],[Performance_%]]*Table13[[#This Row],[Quality_%]]*[2]Availability_KPI!K774</f>
        <v>0.41466666666666668</v>
      </c>
      <c r="Y774" t="str">
        <f>IF(OR(Table13[[#This Row],[OEE_%]]&gt;1,Table13[[#This Row],[OEE_%]]&lt;0),"Error","OK")</f>
        <v>OK</v>
      </c>
    </row>
    <row r="775" spans="1:25" x14ac:dyDescent="0.2">
      <c r="A775" t="s">
        <v>921</v>
      </c>
      <c r="B775" t="s">
        <v>916</v>
      </c>
      <c r="C775" s="2">
        <v>46281</v>
      </c>
      <c r="D775" t="s">
        <v>27</v>
      </c>
      <c r="E775" t="s">
        <v>43</v>
      </c>
      <c r="F775" t="s">
        <v>54</v>
      </c>
      <c r="G775" t="s">
        <v>36</v>
      </c>
      <c r="H775">
        <v>618</v>
      </c>
      <c r="I775">
        <v>609</v>
      </c>
      <c r="J775">
        <v>9</v>
      </c>
      <c r="K775">
        <v>32</v>
      </c>
      <c r="L775">
        <v>34.79</v>
      </c>
      <c r="M775">
        <v>358.34</v>
      </c>
      <c r="N775">
        <f>_xlfn.XLOOKUP(Table13[[#This Row],[Production_Order_ID]],[1]Sheet1!$A$2:$A$391,[1]Sheet1!$F$2:$F$391,"No Match")</f>
        <v>520</v>
      </c>
      <c r="O775" s="3">
        <f>Table13[[#This Row],[Good_Qty]]/Table13[[#This Row],[Planned_Production]]</f>
        <v>1.1711538461538462</v>
      </c>
      <c r="P775" t="str">
        <f>IF(Table13[[#This Row],[Good_Qty]]&gt;=Table13[[#This Row],[Planned_Production]],"Met","Not Met")</f>
        <v>Met</v>
      </c>
      <c r="Q775">
        <f>Table13[[#This Row],[Good_Qty]]-Table13[[#This Row],[Planned_Production]]</f>
        <v>89</v>
      </c>
      <c r="R775" s="3">
        <f>IF(Table13[[#This Row],[Actual_Qty]]=0,0,Table13[[#This Row],[Reject_Qty]]/Table13[[#This Row],[Actual_Qty]])</f>
        <v>1.4563106796116505E-2</v>
      </c>
      <c r="S775">
        <v>420.72</v>
      </c>
      <c r="T775">
        <f>(Table13[[#This Row],[Ideal_Cycle_Time_sec]]*Table13[[#This Row],[Actual_Qty]])/(Table13[[#This Row],[Operational_Time_min]]*60)</f>
        <v>0.78341890093173605</v>
      </c>
      <c r="U775">
        <f>Table13[[#This Row],[Good_Qty]]/Table13[[#This Row],[Actual_Qty]]</f>
        <v>0.9854368932038835</v>
      </c>
      <c r="V775" t="str">
        <f>IF(OR(Table13[[#This Row],[Performance_%]]&gt;=1,Table13[[#This Row],[Performance_%]]&lt;=0),"Error","OK")</f>
        <v>OK</v>
      </c>
      <c r="W775" t="str">
        <f>IF(OR(Table13[[#This Row],[Quality_%]]&gt;=1,Table13[[#This Row],[Quality_%]]&lt;=0),"Error","OK")</f>
        <v>OK</v>
      </c>
      <c r="X775">
        <f>Table13[[#This Row],[Performance_%]]*Table13[[#This Row],[Quality_%]]*[2]Availability_KPI!K775</f>
        <v>0.72177777777777774</v>
      </c>
      <c r="Y775" t="str">
        <f>IF(OR(Table13[[#This Row],[OEE_%]]&gt;1,Table13[[#This Row],[OEE_%]]&lt;0),"Error","OK")</f>
        <v>OK</v>
      </c>
    </row>
    <row r="776" spans="1:25" x14ac:dyDescent="0.2">
      <c r="A776" t="s">
        <v>922</v>
      </c>
      <c r="B776" t="s">
        <v>916</v>
      </c>
      <c r="C776" s="2">
        <v>46281</v>
      </c>
      <c r="D776" t="s">
        <v>27</v>
      </c>
      <c r="E776" t="s">
        <v>46</v>
      </c>
      <c r="F776" t="s">
        <v>54</v>
      </c>
      <c r="G776" t="s">
        <v>75</v>
      </c>
      <c r="H776">
        <v>628</v>
      </c>
      <c r="I776">
        <v>623</v>
      </c>
      <c r="J776">
        <v>5</v>
      </c>
      <c r="K776">
        <v>25</v>
      </c>
      <c r="L776">
        <v>25.44</v>
      </c>
      <c r="M776">
        <v>266.25</v>
      </c>
      <c r="N776">
        <f>_xlfn.XLOOKUP(Table13[[#This Row],[Production_Order_ID]],[1]Sheet1!$A$2:$A$391,[1]Sheet1!$F$2:$F$391,"No Match")</f>
        <v>520</v>
      </c>
      <c r="O776" s="3">
        <f>Table13[[#This Row],[Good_Qty]]/Table13[[#This Row],[Planned_Production]]</f>
        <v>1.198076923076923</v>
      </c>
      <c r="P776" t="str">
        <f>IF(Table13[[#This Row],[Good_Qty]]&gt;=Table13[[#This Row],[Planned_Production]],"Met","Not Met")</f>
        <v>Met</v>
      </c>
      <c r="Q776">
        <f>Table13[[#This Row],[Good_Qty]]-Table13[[#This Row],[Planned_Production]]</f>
        <v>103</v>
      </c>
      <c r="R776" s="3">
        <f>IF(Table13[[#This Row],[Actual_Qty]]=0,0,Table13[[#This Row],[Reject_Qty]]/Table13[[#This Row],[Actual_Qty]])</f>
        <v>7.9617834394904458E-3</v>
      </c>
      <c r="S776">
        <v>429.18</v>
      </c>
      <c r="T776">
        <f>(Table13[[#This Row],[Ideal_Cycle_Time_sec]]*Table13[[#This Row],[Actual_Qty]])/(Table13[[#This Row],[Operational_Time_min]]*60)</f>
        <v>0.60968979604517148</v>
      </c>
      <c r="U776">
        <f>Table13[[#This Row],[Good_Qty]]/Table13[[#This Row],[Actual_Qty]]</f>
        <v>0.9920382165605095</v>
      </c>
      <c r="V776" t="str">
        <f>IF(OR(Table13[[#This Row],[Performance_%]]&gt;=1,Table13[[#This Row],[Performance_%]]&lt;=0),"Error","OK")</f>
        <v>OK</v>
      </c>
      <c r="W776" t="str">
        <f>IF(OR(Table13[[#This Row],[Quality_%]]&gt;=1,Table13[[#This Row],[Quality_%]]&lt;=0),"Error","OK")</f>
        <v>OK</v>
      </c>
      <c r="X776">
        <f>Table13[[#This Row],[Performance_%]]*Table13[[#This Row],[Quality_%]]*[2]Availability_KPI!K776</f>
        <v>0.57685185185185195</v>
      </c>
      <c r="Y776" t="str">
        <f>IF(OR(Table13[[#This Row],[OEE_%]]&gt;1,Table13[[#This Row],[OEE_%]]&lt;0),"Error","OK")</f>
        <v>OK</v>
      </c>
    </row>
    <row r="777" spans="1:25" x14ac:dyDescent="0.2">
      <c r="A777" t="s">
        <v>923</v>
      </c>
      <c r="B777" t="s">
        <v>916</v>
      </c>
      <c r="C777" s="2">
        <v>46281</v>
      </c>
      <c r="D777" t="s">
        <v>27</v>
      </c>
      <c r="E777" t="s">
        <v>49</v>
      </c>
      <c r="F777" t="s">
        <v>54</v>
      </c>
      <c r="G777" t="s">
        <v>47</v>
      </c>
      <c r="H777">
        <v>623</v>
      </c>
      <c r="I777">
        <v>618</v>
      </c>
      <c r="J777">
        <v>5</v>
      </c>
      <c r="K777">
        <v>20</v>
      </c>
      <c r="L777">
        <v>20.78</v>
      </c>
      <c r="M777">
        <v>215.76</v>
      </c>
      <c r="N777">
        <f>_xlfn.XLOOKUP(Table13[[#This Row],[Production_Order_ID]],[1]Sheet1!$A$2:$A$391,[1]Sheet1!$F$2:$F$391,"No Match")</f>
        <v>520</v>
      </c>
      <c r="O777" s="3">
        <f>Table13[[#This Row],[Good_Qty]]/Table13[[#This Row],[Planned_Production]]</f>
        <v>1.1884615384615385</v>
      </c>
      <c r="P777" t="str">
        <f>IF(Table13[[#This Row],[Good_Qty]]&gt;=Table13[[#This Row],[Planned_Production]],"Met","Not Met")</f>
        <v>Met</v>
      </c>
      <c r="Q777">
        <f>Table13[[#This Row],[Good_Qty]]-Table13[[#This Row],[Planned_Production]]</f>
        <v>98</v>
      </c>
      <c r="R777" s="3">
        <f>IF(Table13[[#This Row],[Actual_Qty]]=0,0,Table13[[#This Row],[Reject_Qty]]/Table13[[#This Row],[Actual_Qty]])</f>
        <v>8.0256821829855531E-3</v>
      </c>
      <c r="S777">
        <v>441.81</v>
      </c>
      <c r="T777">
        <f>(Table13[[#This Row],[Ideal_Cycle_Time_sec]]*Table13[[#This Row],[Actual_Qty]])/(Table13[[#This Row],[Operational_Time_min]]*60)</f>
        <v>0.4700361392151981</v>
      </c>
      <c r="U777">
        <f>Table13[[#This Row],[Good_Qty]]/Table13[[#This Row],[Actual_Qty]]</f>
        <v>0.99197431781701439</v>
      </c>
      <c r="V777" t="str">
        <f>IF(OR(Table13[[#This Row],[Performance_%]]&gt;=1,Table13[[#This Row],[Performance_%]]&lt;=0),"Error","OK")</f>
        <v>OK</v>
      </c>
      <c r="W777" t="str">
        <f>IF(OR(Table13[[#This Row],[Quality_%]]&gt;=1,Table13[[#This Row],[Quality_%]]&lt;=0),"Error","OK")</f>
        <v>OK</v>
      </c>
      <c r="X777">
        <f>Table13[[#This Row],[Performance_%]]*Table13[[#This Row],[Quality_%]]*[2]Availability_KPI!K777</f>
        <v>0.45777777777777778</v>
      </c>
      <c r="Y777" t="str">
        <f>IF(OR(Table13[[#This Row],[OEE_%]]&gt;1,Table13[[#This Row],[OEE_%]]&lt;0),"Error","OK")</f>
        <v>OK</v>
      </c>
    </row>
    <row r="778" spans="1:25" x14ac:dyDescent="0.2">
      <c r="A778" t="s">
        <v>924</v>
      </c>
      <c r="B778" t="s">
        <v>925</v>
      </c>
      <c r="C778" s="2">
        <v>46281</v>
      </c>
      <c r="D778" t="s">
        <v>53</v>
      </c>
      <c r="E778" t="s">
        <v>28</v>
      </c>
      <c r="F778" t="s">
        <v>29</v>
      </c>
      <c r="G778" t="s">
        <v>44</v>
      </c>
      <c r="H778">
        <v>624</v>
      </c>
      <c r="I778">
        <v>623</v>
      </c>
      <c r="J778">
        <v>1</v>
      </c>
      <c r="K778">
        <v>19.8</v>
      </c>
      <c r="L778">
        <v>21.45</v>
      </c>
      <c r="M778">
        <v>223.06</v>
      </c>
      <c r="N778">
        <f>_xlfn.XLOOKUP(Table13[[#This Row],[Production_Order_ID]],[1]Sheet1!$A$2:$A$391,[1]Sheet1!$F$2:$F$391,"No Match")</f>
        <v>690</v>
      </c>
      <c r="O778" s="3">
        <f>Table13[[#This Row],[Good_Qty]]/Table13[[#This Row],[Planned_Production]]</f>
        <v>0.90289855072463765</v>
      </c>
      <c r="P778" t="str">
        <f>IF(Table13[[#This Row],[Good_Qty]]&gt;=Table13[[#This Row],[Planned_Production]],"Met","Not Met")</f>
        <v>Not Met</v>
      </c>
      <c r="Q778">
        <f>Table13[[#This Row],[Good_Qty]]-Table13[[#This Row],[Planned_Production]]</f>
        <v>-67</v>
      </c>
      <c r="R778" s="3">
        <f>IF(Table13[[#This Row],[Actual_Qty]]=0,0,Table13[[#This Row],[Reject_Qty]]/Table13[[#This Row],[Actual_Qty]])</f>
        <v>1.6025641025641025E-3</v>
      </c>
      <c r="S778">
        <v>438.01</v>
      </c>
      <c r="T778">
        <f>(Table13[[#This Row],[Ideal_Cycle_Time_sec]]*Table13[[#This Row],[Actual_Qty]])/(Table13[[#This Row],[Operational_Time_min]]*60)</f>
        <v>0.47012625282527803</v>
      </c>
      <c r="U778">
        <f>Table13[[#This Row],[Good_Qty]]/Table13[[#This Row],[Actual_Qty]]</f>
        <v>0.9983974358974359</v>
      </c>
      <c r="V778" t="str">
        <f>IF(OR(Table13[[#This Row],[Performance_%]]&gt;=1,Table13[[#This Row],[Performance_%]]&lt;=0),"Error","OK")</f>
        <v>OK</v>
      </c>
      <c r="W778" t="str">
        <f>IF(OR(Table13[[#This Row],[Quality_%]]&gt;=1,Table13[[#This Row],[Quality_%]]&lt;=0),"Error","OK")</f>
        <v>OK</v>
      </c>
      <c r="X778">
        <f>Table13[[#This Row],[Performance_%]]*Table13[[#This Row],[Quality_%]]*[2]Availability_KPI!K778</f>
        <v>0.45686666666666675</v>
      </c>
      <c r="Y778" t="str">
        <f>IF(OR(Table13[[#This Row],[OEE_%]]&gt;1,Table13[[#This Row],[OEE_%]]&lt;0),"Error","OK")</f>
        <v>OK</v>
      </c>
    </row>
    <row r="779" spans="1:25" x14ac:dyDescent="0.2">
      <c r="A779" t="s">
        <v>926</v>
      </c>
      <c r="B779" t="s">
        <v>925</v>
      </c>
      <c r="C779" s="2">
        <v>46281</v>
      </c>
      <c r="D779" t="s">
        <v>53</v>
      </c>
      <c r="E779" t="s">
        <v>32</v>
      </c>
      <c r="F779" t="s">
        <v>29</v>
      </c>
      <c r="G779" t="s">
        <v>61</v>
      </c>
      <c r="H779">
        <v>615</v>
      </c>
      <c r="I779">
        <v>611</v>
      </c>
      <c r="J779">
        <v>4</v>
      </c>
      <c r="K779">
        <v>22</v>
      </c>
      <c r="L779">
        <v>22.51</v>
      </c>
      <c r="M779">
        <v>230.77</v>
      </c>
      <c r="N779">
        <f>_xlfn.XLOOKUP(Table13[[#This Row],[Production_Order_ID]],[1]Sheet1!$A$2:$A$391,[1]Sheet1!$F$2:$F$391,"No Match")</f>
        <v>690</v>
      </c>
      <c r="O779" s="3">
        <f>Table13[[#This Row],[Good_Qty]]/Table13[[#This Row],[Planned_Production]]</f>
        <v>0.88550724637681155</v>
      </c>
      <c r="P779" t="str">
        <f>IF(Table13[[#This Row],[Good_Qty]]&gt;=Table13[[#This Row],[Planned_Production]],"Met","Not Met")</f>
        <v>Not Met</v>
      </c>
      <c r="Q779">
        <f>Table13[[#This Row],[Good_Qty]]-Table13[[#This Row],[Planned_Production]]</f>
        <v>-79</v>
      </c>
      <c r="R779" s="3">
        <f>IF(Table13[[#This Row],[Actual_Qty]]=0,0,Table13[[#This Row],[Reject_Qty]]/Table13[[#This Row],[Actual_Qty]])</f>
        <v>6.5040650406504065E-3</v>
      </c>
      <c r="S779">
        <v>438.43</v>
      </c>
      <c r="T779">
        <f>(Table13[[#This Row],[Ideal_Cycle_Time_sec]]*Table13[[#This Row],[Actual_Qty]])/(Table13[[#This Row],[Operational_Time_min]]*60)</f>
        <v>0.51433524165773326</v>
      </c>
      <c r="U779">
        <f>Table13[[#This Row],[Good_Qty]]/Table13[[#This Row],[Actual_Qty]]</f>
        <v>0.99349593495934962</v>
      </c>
      <c r="V779" t="str">
        <f>IF(OR(Table13[[#This Row],[Performance_%]]&gt;=1,Table13[[#This Row],[Performance_%]]&lt;=0),"Error","OK")</f>
        <v>OK</v>
      </c>
      <c r="W779" t="str">
        <f>IF(OR(Table13[[#This Row],[Quality_%]]&gt;=1,Table13[[#This Row],[Quality_%]]&lt;=0),"Error","OK")</f>
        <v>OK</v>
      </c>
      <c r="X779">
        <f>Table13[[#This Row],[Performance_%]]*Table13[[#This Row],[Quality_%]]*[2]Availability_KPI!K779</f>
        <v>0.49785185185185188</v>
      </c>
      <c r="Y779" t="str">
        <f>IF(OR(Table13[[#This Row],[OEE_%]]&gt;1,Table13[[#This Row],[OEE_%]]&lt;0),"Error","OK")</f>
        <v>OK</v>
      </c>
    </row>
    <row r="780" spans="1:25" x14ac:dyDescent="0.2">
      <c r="A780" t="s">
        <v>927</v>
      </c>
      <c r="B780" t="s">
        <v>925</v>
      </c>
      <c r="C780" s="2">
        <v>46281</v>
      </c>
      <c r="D780" t="s">
        <v>53</v>
      </c>
      <c r="E780" t="s">
        <v>35</v>
      </c>
      <c r="F780" t="s">
        <v>29</v>
      </c>
      <c r="G780" t="s">
        <v>44</v>
      </c>
      <c r="H780">
        <v>622</v>
      </c>
      <c r="I780">
        <v>617</v>
      </c>
      <c r="J780">
        <v>5</v>
      </c>
      <c r="K780">
        <v>24.2</v>
      </c>
      <c r="L780">
        <v>25.95</v>
      </c>
      <c r="M780">
        <v>268.98</v>
      </c>
      <c r="N780">
        <f>_xlfn.XLOOKUP(Table13[[#This Row],[Production_Order_ID]],[1]Sheet1!$A$2:$A$391,[1]Sheet1!$F$2:$F$391,"No Match")</f>
        <v>690</v>
      </c>
      <c r="O780" s="3">
        <f>Table13[[#This Row],[Good_Qty]]/Table13[[#This Row],[Planned_Production]]</f>
        <v>0.89420289855072466</v>
      </c>
      <c r="P780" t="str">
        <f>IF(Table13[[#This Row],[Good_Qty]]&gt;=Table13[[#This Row],[Planned_Production]],"Met","Not Met")</f>
        <v>Not Met</v>
      </c>
      <c r="Q780">
        <f>Table13[[#This Row],[Good_Qty]]-Table13[[#This Row],[Planned_Production]]</f>
        <v>-73</v>
      </c>
      <c r="R780" s="3">
        <f>IF(Table13[[#This Row],[Actual_Qty]]=0,0,Table13[[#This Row],[Reject_Qty]]/Table13[[#This Row],[Actual_Qty]])</f>
        <v>8.0385852090032149E-3</v>
      </c>
      <c r="S780">
        <v>430.39</v>
      </c>
      <c r="T780">
        <f>(Table13[[#This Row],[Ideal_Cycle_Time_sec]]*Table13[[#This Row],[Actual_Qty]])/(Table13[[#This Row],[Operational_Time_min]]*60)</f>
        <v>0.58289768194738112</v>
      </c>
      <c r="U780">
        <f>Table13[[#This Row],[Good_Qty]]/Table13[[#This Row],[Actual_Qty]]</f>
        <v>0.99196141479099675</v>
      </c>
      <c r="V780" t="str">
        <f>IF(OR(Table13[[#This Row],[Performance_%]]&gt;=1,Table13[[#This Row],[Performance_%]]&lt;=0),"Error","OK")</f>
        <v>OK</v>
      </c>
      <c r="W780" t="str">
        <f>IF(OR(Table13[[#This Row],[Quality_%]]&gt;=1,Table13[[#This Row],[Quality_%]]&lt;=0),"Error","OK")</f>
        <v>OK</v>
      </c>
      <c r="X780">
        <f>Table13[[#This Row],[Performance_%]]*Table13[[#This Row],[Quality_%]]*[2]Availability_KPI!K780</f>
        <v>0.55301481481481485</v>
      </c>
      <c r="Y780" t="str">
        <f>IF(OR(Table13[[#This Row],[OEE_%]]&gt;1,Table13[[#This Row],[OEE_%]]&lt;0),"Error","OK")</f>
        <v>OK</v>
      </c>
    </row>
    <row r="781" spans="1:25" x14ac:dyDescent="0.2">
      <c r="A781" t="s">
        <v>928</v>
      </c>
      <c r="B781" t="s">
        <v>925</v>
      </c>
      <c r="C781" s="2">
        <v>46281</v>
      </c>
      <c r="D781" t="s">
        <v>53</v>
      </c>
      <c r="E781" t="s">
        <v>38</v>
      </c>
      <c r="F781" t="s">
        <v>29</v>
      </c>
      <c r="G781" t="s">
        <v>61</v>
      </c>
      <c r="H781">
        <v>617</v>
      </c>
      <c r="I781">
        <v>614</v>
      </c>
      <c r="J781">
        <v>3</v>
      </c>
      <c r="K781">
        <v>22</v>
      </c>
      <c r="L781">
        <v>23.06</v>
      </c>
      <c r="M781">
        <v>237.16</v>
      </c>
      <c r="N781">
        <f>_xlfn.XLOOKUP(Table13[[#This Row],[Production_Order_ID]],[1]Sheet1!$A$2:$A$391,[1]Sheet1!$F$2:$F$391,"No Match")</f>
        <v>690</v>
      </c>
      <c r="O781" s="3">
        <f>Table13[[#This Row],[Good_Qty]]/Table13[[#This Row],[Planned_Production]]</f>
        <v>0.88985507246376816</v>
      </c>
      <c r="P781" t="str">
        <f>IF(Table13[[#This Row],[Good_Qty]]&gt;=Table13[[#This Row],[Planned_Production]],"Met","Not Met")</f>
        <v>Not Met</v>
      </c>
      <c r="Q781">
        <f>Table13[[#This Row],[Good_Qty]]-Table13[[#This Row],[Planned_Production]]</f>
        <v>-76</v>
      </c>
      <c r="R781" s="3">
        <f>IF(Table13[[#This Row],[Actual_Qty]]=0,0,Table13[[#This Row],[Reject_Qty]]/Table13[[#This Row],[Actual_Qty]])</f>
        <v>4.8622366288492711E-3</v>
      </c>
      <c r="S781">
        <v>440.98</v>
      </c>
      <c r="T781">
        <f>(Table13[[#This Row],[Ideal_Cycle_Time_sec]]*Table13[[#This Row],[Actual_Qty]])/(Table13[[#This Row],[Operational_Time_min]]*60)</f>
        <v>0.51302402225346566</v>
      </c>
      <c r="U781">
        <f>Table13[[#This Row],[Good_Qty]]/Table13[[#This Row],[Actual_Qty]]</f>
        <v>0.99513776337115067</v>
      </c>
      <c r="V781" t="str">
        <f>IF(OR(Table13[[#This Row],[Performance_%]]&gt;=1,Table13[[#This Row],[Performance_%]]&lt;=0),"Error","OK")</f>
        <v>OK</v>
      </c>
      <c r="W781" t="str">
        <f>IF(OR(Table13[[#This Row],[Quality_%]]&gt;=1,Table13[[#This Row],[Quality_%]]&lt;=0),"Error","OK")</f>
        <v>OK</v>
      </c>
      <c r="X781">
        <f>Table13[[#This Row],[Performance_%]]*Table13[[#This Row],[Quality_%]]*[2]Availability_KPI!K781</f>
        <v>0.50029629629629613</v>
      </c>
      <c r="Y781" t="str">
        <f>IF(OR(Table13[[#This Row],[OEE_%]]&gt;1,Table13[[#This Row],[OEE_%]]&lt;0),"Error","OK")</f>
        <v>OK</v>
      </c>
    </row>
    <row r="782" spans="1:25" x14ac:dyDescent="0.2">
      <c r="A782" t="s">
        <v>929</v>
      </c>
      <c r="B782" t="s">
        <v>925</v>
      </c>
      <c r="C782" s="2">
        <v>46281</v>
      </c>
      <c r="D782" t="s">
        <v>53</v>
      </c>
      <c r="E782" t="s">
        <v>41</v>
      </c>
      <c r="F782" t="s">
        <v>29</v>
      </c>
      <c r="G782" t="s">
        <v>61</v>
      </c>
      <c r="H782">
        <v>628</v>
      </c>
      <c r="I782">
        <v>624</v>
      </c>
      <c r="J782">
        <v>4</v>
      </c>
      <c r="K782">
        <v>19.8</v>
      </c>
      <c r="L782">
        <v>20.09</v>
      </c>
      <c r="M782">
        <v>210.32</v>
      </c>
      <c r="N782">
        <f>_xlfn.XLOOKUP(Table13[[#This Row],[Production_Order_ID]],[1]Sheet1!$A$2:$A$391,[1]Sheet1!$F$2:$F$391,"No Match")</f>
        <v>690</v>
      </c>
      <c r="O782" s="3">
        <f>Table13[[#This Row],[Good_Qty]]/Table13[[#This Row],[Planned_Production]]</f>
        <v>0.90434782608695652</v>
      </c>
      <c r="P782" t="str">
        <f>IF(Table13[[#This Row],[Good_Qty]]&gt;=Table13[[#This Row],[Planned_Production]],"Met","Not Met")</f>
        <v>Not Met</v>
      </c>
      <c r="Q782">
        <f>Table13[[#This Row],[Good_Qty]]-Table13[[#This Row],[Planned_Production]]</f>
        <v>-66</v>
      </c>
      <c r="R782" s="3">
        <f>IF(Table13[[#This Row],[Actual_Qty]]=0,0,Table13[[#This Row],[Reject_Qty]]/Table13[[#This Row],[Actual_Qty]])</f>
        <v>6.369426751592357E-3</v>
      </c>
      <c r="S782">
        <v>440.47</v>
      </c>
      <c r="T782">
        <f>(Table13[[#This Row],[Ideal_Cycle_Time_sec]]*Table13[[#This Row],[Actual_Qty]])/(Table13[[#This Row],[Operational_Time_min]]*60)</f>
        <v>0.47049742320702881</v>
      </c>
      <c r="U782">
        <f>Table13[[#This Row],[Good_Qty]]/Table13[[#This Row],[Actual_Qty]]</f>
        <v>0.99363057324840764</v>
      </c>
      <c r="V782" t="str">
        <f>IF(OR(Table13[[#This Row],[Performance_%]]&gt;=1,Table13[[#This Row],[Performance_%]]&lt;=0),"Error","OK")</f>
        <v>OK</v>
      </c>
      <c r="W782" t="str">
        <f>IF(OR(Table13[[#This Row],[Quality_%]]&gt;=1,Table13[[#This Row],[Quality_%]]&lt;=0),"Error","OK")</f>
        <v>OK</v>
      </c>
      <c r="X782">
        <f>Table13[[#This Row],[Performance_%]]*Table13[[#This Row],[Quality_%]]*[2]Availability_KPI!K782</f>
        <v>0.45759999999999995</v>
      </c>
      <c r="Y782" t="str">
        <f>IF(OR(Table13[[#This Row],[OEE_%]]&gt;1,Table13[[#This Row],[OEE_%]]&lt;0),"Error","OK")</f>
        <v>OK</v>
      </c>
    </row>
    <row r="783" spans="1:25" x14ac:dyDescent="0.2">
      <c r="A783" t="s">
        <v>930</v>
      </c>
      <c r="B783" t="s">
        <v>925</v>
      </c>
      <c r="C783" s="2">
        <v>46281</v>
      </c>
      <c r="D783" t="s">
        <v>53</v>
      </c>
      <c r="E783" t="s">
        <v>43</v>
      </c>
      <c r="F783" t="s">
        <v>29</v>
      </c>
      <c r="G783" t="s">
        <v>71</v>
      </c>
      <c r="H783">
        <v>627</v>
      </c>
      <c r="I783">
        <v>617</v>
      </c>
      <c r="J783">
        <v>10</v>
      </c>
      <c r="K783">
        <v>35.200000000000003</v>
      </c>
      <c r="L783">
        <v>37.18</v>
      </c>
      <c r="M783">
        <v>388.58</v>
      </c>
      <c r="N783">
        <f>_xlfn.XLOOKUP(Table13[[#This Row],[Production_Order_ID]],[1]Sheet1!$A$2:$A$391,[1]Sheet1!$F$2:$F$391,"No Match")</f>
        <v>690</v>
      </c>
      <c r="O783" s="3">
        <f>Table13[[#This Row],[Good_Qty]]/Table13[[#This Row],[Planned_Production]]</f>
        <v>0.89420289855072466</v>
      </c>
      <c r="P783" t="str">
        <f>IF(Table13[[#This Row],[Good_Qty]]&gt;=Table13[[#This Row],[Planned_Production]],"Met","Not Met")</f>
        <v>Not Met</v>
      </c>
      <c r="Q783">
        <f>Table13[[#This Row],[Good_Qty]]-Table13[[#This Row],[Planned_Production]]</f>
        <v>-73</v>
      </c>
      <c r="R783" s="3">
        <f>IF(Table13[[#This Row],[Actual_Qty]]=0,0,Table13[[#This Row],[Reject_Qty]]/Table13[[#This Row],[Actual_Qty]])</f>
        <v>1.5948963317384369E-2</v>
      </c>
      <c r="S783">
        <v>412.65</v>
      </c>
      <c r="T783">
        <f>(Table13[[#This Row],[Ideal_Cycle_Time_sec]]*Table13[[#This Row],[Actual_Qty]])/(Table13[[#This Row],[Operational_Time_min]]*60)</f>
        <v>0.89140918453895557</v>
      </c>
      <c r="U783">
        <f>Table13[[#This Row],[Good_Qty]]/Table13[[#This Row],[Actual_Qty]]</f>
        <v>0.98405103668261562</v>
      </c>
      <c r="V783" t="str">
        <f>IF(OR(Table13[[#This Row],[Performance_%]]&gt;=1,Table13[[#This Row],[Performance_%]]&lt;=0),"Error","OK")</f>
        <v>OK</v>
      </c>
      <c r="W783" t="str">
        <f>IF(OR(Table13[[#This Row],[Quality_%]]&gt;=1,Table13[[#This Row],[Quality_%]]&lt;=0),"Error","OK")</f>
        <v>OK</v>
      </c>
      <c r="X783">
        <f>Table13[[#This Row],[Performance_%]]*Table13[[#This Row],[Quality_%]]*[2]Availability_KPI!K783</f>
        <v>0.80438518518518509</v>
      </c>
      <c r="Y783" t="str">
        <f>IF(OR(Table13[[#This Row],[OEE_%]]&gt;1,Table13[[#This Row],[OEE_%]]&lt;0),"Error","OK")</f>
        <v>OK</v>
      </c>
    </row>
    <row r="784" spans="1:25" x14ac:dyDescent="0.2">
      <c r="A784" t="s">
        <v>931</v>
      </c>
      <c r="B784" t="s">
        <v>925</v>
      </c>
      <c r="C784" s="2">
        <v>46281</v>
      </c>
      <c r="D784" t="s">
        <v>53</v>
      </c>
      <c r="E784" t="s">
        <v>46</v>
      </c>
      <c r="F784" t="s">
        <v>29</v>
      </c>
      <c r="G784" t="s">
        <v>61</v>
      </c>
      <c r="H784">
        <v>622</v>
      </c>
      <c r="I784">
        <v>616</v>
      </c>
      <c r="J784">
        <v>6</v>
      </c>
      <c r="K784">
        <v>27.5</v>
      </c>
      <c r="L784">
        <v>28.89</v>
      </c>
      <c r="M784">
        <v>299.49</v>
      </c>
      <c r="N784">
        <f>_xlfn.XLOOKUP(Table13[[#This Row],[Production_Order_ID]],[1]Sheet1!$A$2:$A$391,[1]Sheet1!$F$2:$F$391,"No Match")</f>
        <v>690</v>
      </c>
      <c r="O784" s="3">
        <f>Table13[[#This Row],[Good_Qty]]/Table13[[#This Row],[Planned_Production]]</f>
        <v>0.89275362318840579</v>
      </c>
      <c r="P784" t="str">
        <f>IF(Table13[[#This Row],[Good_Qty]]&gt;=Table13[[#This Row],[Planned_Production]],"Met","Not Met")</f>
        <v>Not Met</v>
      </c>
      <c r="Q784">
        <f>Table13[[#This Row],[Good_Qty]]-Table13[[#This Row],[Planned_Production]]</f>
        <v>-74</v>
      </c>
      <c r="R784" s="3">
        <f>IF(Table13[[#This Row],[Actual_Qty]]=0,0,Table13[[#This Row],[Reject_Qty]]/Table13[[#This Row],[Actual_Qty]])</f>
        <v>9.6463022508038593E-3</v>
      </c>
      <c r="S784">
        <v>423.49</v>
      </c>
      <c r="T784">
        <f>(Table13[[#This Row],[Ideal_Cycle_Time_sec]]*Table13[[#This Row],[Actual_Qty]])/(Table13[[#This Row],[Operational_Time_min]]*60)</f>
        <v>0.67317606869898539</v>
      </c>
      <c r="U784">
        <f>Table13[[#This Row],[Good_Qty]]/Table13[[#This Row],[Actual_Qty]]</f>
        <v>0.99035369774919613</v>
      </c>
      <c r="V784" t="str">
        <f>IF(OR(Table13[[#This Row],[Performance_%]]&gt;=1,Table13[[#This Row],[Performance_%]]&lt;=0),"Error","OK")</f>
        <v>OK</v>
      </c>
      <c r="W784" t="str">
        <f>IF(OR(Table13[[#This Row],[Quality_%]]&gt;=1,Table13[[#This Row],[Quality_%]]&lt;=0),"Error","OK")</f>
        <v>OK</v>
      </c>
      <c r="X784">
        <f>Table13[[#This Row],[Performance_%]]*Table13[[#This Row],[Quality_%]]*[2]Availability_KPI!K784</f>
        <v>0.6274074074074073</v>
      </c>
      <c r="Y784" t="str">
        <f>IF(OR(Table13[[#This Row],[OEE_%]]&gt;1,Table13[[#This Row],[OEE_%]]&lt;0),"Error","OK")</f>
        <v>OK</v>
      </c>
    </row>
    <row r="785" spans="1:25" x14ac:dyDescent="0.2">
      <c r="A785" t="s">
        <v>932</v>
      </c>
      <c r="B785" t="s">
        <v>925</v>
      </c>
      <c r="C785" s="2">
        <v>46281</v>
      </c>
      <c r="D785" t="s">
        <v>53</v>
      </c>
      <c r="E785" t="s">
        <v>49</v>
      </c>
      <c r="F785" t="s">
        <v>29</v>
      </c>
      <c r="G785" t="s">
        <v>71</v>
      </c>
      <c r="H785">
        <v>620</v>
      </c>
      <c r="I785">
        <v>618</v>
      </c>
      <c r="J785">
        <v>2</v>
      </c>
      <c r="K785">
        <v>22</v>
      </c>
      <c r="L785">
        <v>22.89</v>
      </c>
      <c r="M785">
        <v>236.49</v>
      </c>
      <c r="N785">
        <f>_xlfn.XLOOKUP(Table13[[#This Row],[Production_Order_ID]],[1]Sheet1!$A$2:$A$391,[1]Sheet1!$F$2:$F$391,"No Match")</f>
        <v>690</v>
      </c>
      <c r="O785" s="3">
        <f>Table13[[#This Row],[Good_Qty]]/Table13[[#This Row],[Planned_Production]]</f>
        <v>0.89565217391304353</v>
      </c>
      <c r="P785" t="str">
        <f>IF(Table13[[#This Row],[Good_Qty]]&gt;=Table13[[#This Row],[Planned_Production]],"Met","Not Met")</f>
        <v>Not Met</v>
      </c>
      <c r="Q785">
        <f>Table13[[#This Row],[Good_Qty]]-Table13[[#This Row],[Planned_Production]]</f>
        <v>-72</v>
      </c>
      <c r="R785" s="3">
        <f>IF(Table13[[#This Row],[Actual_Qty]]=0,0,Table13[[#This Row],[Reject_Qty]]/Table13[[#This Row],[Actual_Qty]])</f>
        <v>3.2258064516129032E-3</v>
      </c>
      <c r="S785">
        <v>441.02</v>
      </c>
      <c r="T785">
        <f>(Table13[[#This Row],[Ideal_Cycle_Time_sec]]*Table13[[#This Row],[Actual_Qty]])/(Table13[[#This Row],[Operational_Time_min]]*60)</f>
        <v>0.51547170952186605</v>
      </c>
      <c r="U785">
        <f>Table13[[#This Row],[Good_Qty]]/Table13[[#This Row],[Actual_Qty]]</f>
        <v>0.99677419354838714</v>
      </c>
      <c r="V785" t="str">
        <f>IF(OR(Table13[[#This Row],[Performance_%]]&gt;=1,Table13[[#This Row],[Performance_%]]&lt;=0),"Error","OK")</f>
        <v>OK</v>
      </c>
      <c r="W785" t="str">
        <f>IF(OR(Table13[[#This Row],[Quality_%]]&gt;=1,Table13[[#This Row],[Quality_%]]&lt;=0),"Error","OK")</f>
        <v>OK</v>
      </c>
      <c r="X785">
        <f>Table13[[#This Row],[Performance_%]]*Table13[[#This Row],[Quality_%]]*[2]Availability_KPI!K785</f>
        <v>0.50355555555555565</v>
      </c>
      <c r="Y785" t="str">
        <f>IF(OR(Table13[[#This Row],[OEE_%]]&gt;1,Table13[[#This Row],[OEE_%]]&lt;0),"Error","OK")</f>
        <v>OK</v>
      </c>
    </row>
    <row r="786" spans="1:25" x14ac:dyDescent="0.2">
      <c r="A786" t="s">
        <v>933</v>
      </c>
      <c r="B786" t="s">
        <v>934</v>
      </c>
      <c r="C786" s="2">
        <v>46281</v>
      </c>
      <c r="D786" t="s">
        <v>67</v>
      </c>
      <c r="E786" t="s">
        <v>28</v>
      </c>
      <c r="F786" t="s">
        <v>29</v>
      </c>
      <c r="G786" t="s">
        <v>39</v>
      </c>
      <c r="H786">
        <v>560</v>
      </c>
      <c r="I786">
        <v>558</v>
      </c>
      <c r="J786">
        <v>2</v>
      </c>
      <c r="K786">
        <v>19.8</v>
      </c>
      <c r="L786">
        <v>21.09</v>
      </c>
      <c r="M786">
        <v>196.84</v>
      </c>
      <c r="N786">
        <f>_xlfn.XLOOKUP(Table13[[#This Row],[Production_Order_ID]],[1]Sheet1!$A$2:$A$391,[1]Sheet1!$F$2:$F$391,"No Match")</f>
        <v>490</v>
      </c>
      <c r="O786" s="3">
        <f>Table13[[#This Row],[Good_Qty]]/Table13[[#This Row],[Planned_Production]]</f>
        <v>1.1387755102040817</v>
      </c>
      <c r="P786" t="str">
        <f>IF(Table13[[#This Row],[Good_Qty]]&gt;=Table13[[#This Row],[Planned_Production]],"Met","Not Met")</f>
        <v>Met</v>
      </c>
      <c r="Q786">
        <f>Table13[[#This Row],[Good_Qty]]-Table13[[#This Row],[Planned_Production]]</f>
        <v>68</v>
      </c>
      <c r="R786" s="3">
        <f>IF(Table13[[#This Row],[Actual_Qty]]=0,0,Table13[[#This Row],[Reject_Qty]]/Table13[[#This Row],[Actual_Qty]])</f>
        <v>3.5714285714285713E-3</v>
      </c>
      <c r="S786">
        <v>442.61</v>
      </c>
      <c r="T786">
        <f>(Table13[[#This Row],[Ideal_Cycle_Time_sec]]*Table13[[#This Row],[Actual_Qty]])/(Table13[[#This Row],[Operational_Time_min]]*60)</f>
        <v>0.41752332753439819</v>
      </c>
      <c r="U786">
        <f>Table13[[#This Row],[Good_Qty]]/Table13[[#This Row],[Actual_Qty]]</f>
        <v>0.99642857142857144</v>
      </c>
      <c r="V786" t="str">
        <f>IF(OR(Table13[[#This Row],[Performance_%]]&gt;=1,Table13[[#This Row],[Performance_%]]&lt;=0),"Error","OK")</f>
        <v>OK</v>
      </c>
      <c r="W786" t="str">
        <f>IF(OR(Table13[[#This Row],[Quality_%]]&gt;=1,Table13[[#This Row],[Quality_%]]&lt;=0),"Error","OK")</f>
        <v>OK</v>
      </c>
      <c r="X786">
        <f>Table13[[#This Row],[Performance_%]]*Table13[[#This Row],[Quality_%]]*[2]Availability_KPI!K786</f>
        <v>0.40919999999999995</v>
      </c>
      <c r="Y786" t="str">
        <f>IF(OR(Table13[[#This Row],[OEE_%]]&gt;1,Table13[[#This Row],[OEE_%]]&lt;0),"Error","OK")</f>
        <v>OK</v>
      </c>
    </row>
    <row r="787" spans="1:25" x14ac:dyDescent="0.2">
      <c r="A787" t="s">
        <v>935</v>
      </c>
      <c r="B787" t="s">
        <v>934</v>
      </c>
      <c r="C787" s="2">
        <v>46281</v>
      </c>
      <c r="D787" t="s">
        <v>67</v>
      </c>
      <c r="E787" t="s">
        <v>32</v>
      </c>
      <c r="F787" t="s">
        <v>29</v>
      </c>
      <c r="G787" t="s">
        <v>30</v>
      </c>
      <c r="H787">
        <v>563</v>
      </c>
      <c r="I787">
        <v>559</v>
      </c>
      <c r="J787">
        <v>4</v>
      </c>
      <c r="K787">
        <v>22</v>
      </c>
      <c r="L787">
        <v>22.88</v>
      </c>
      <c r="M787">
        <v>214.73</v>
      </c>
      <c r="N787">
        <f>_xlfn.XLOOKUP(Table13[[#This Row],[Production_Order_ID]],[1]Sheet1!$A$2:$A$391,[1]Sheet1!$F$2:$F$391,"No Match")</f>
        <v>490</v>
      </c>
      <c r="O787" s="3">
        <f>Table13[[#This Row],[Good_Qty]]/Table13[[#This Row],[Planned_Production]]</f>
        <v>1.1408163265306122</v>
      </c>
      <c r="P787" t="str">
        <f>IF(Table13[[#This Row],[Good_Qty]]&gt;=Table13[[#This Row],[Planned_Production]],"Met","Not Met")</f>
        <v>Met</v>
      </c>
      <c r="Q787">
        <f>Table13[[#This Row],[Good_Qty]]-Table13[[#This Row],[Planned_Production]]</f>
        <v>69</v>
      </c>
      <c r="R787" s="3">
        <f>IF(Table13[[#This Row],[Actual_Qty]]=0,0,Table13[[#This Row],[Reject_Qty]]/Table13[[#This Row],[Actual_Qty]])</f>
        <v>7.104795737122558E-3</v>
      </c>
      <c r="S787">
        <v>435.54</v>
      </c>
      <c r="T787">
        <f>(Table13[[#This Row],[Ideal_Cycle_Time_sec]]*Table13[[#This Row],[Actual_Qty]])/(Table13[[#This Row],[Operational_Time_min]]*60)</f>
        <v>0.47397100916869478</v>
      </c>
      <c r="U787">
        <f>Table13[[#This Row],[Good_Qty]]/Table13[[#This Row],[Actual_Qty]]</f>
        <v>0.99289520426287747</v>
      </c>
      <c r="V787" t="str">
        <f>IF(OR(Table13[[#This Row],[Performance_%]]&gt;=1,Table13[[#This Row],[Performance_%]]&lt;=0),"Error","OK")</f>
        <v>OK</v>
      </c>
      <c r="W787" t="str">
        <f>IF(OR(Table13[[#This Row],[Quality_%]]&gt;=1,Table13[[#This Row],[Quality_%]]&lt;=0),"Error","OK")</f>
        <v>OK</v>
      </c>
      <c r="X787">
        <f>Table13[[#This Row],[Performance_%]]*Table13[[#This Row],[Quality_%]]*[2]Availability_KPI!K787</f>
        <v>0.45548148148148154</v>
      </c>
      <c r="Y787" t="str">
        <f>IF(OR(Table13[[#This Row],[OEE_%]]&gt;1,Table13[[#This Row],[OEE_%]]&lt;0),"Error","OK")</f>
        <v>OK</v>
      </c>
    </row>
    <row r="788" spans="1:25" x14ac:dyDescent="0.2">
      <c r="A788" t="s">
        <v>936</v>
      </c>
      <c r="B788" t="s">
        <v>934</v>
      </c>
      <c r="C788" s="2">
        <v>46281</v>
      </c>
      <c r="D788" t="s">
        <v>67</v>
      </c>
      <c r="E788" t="s">
        <v>35</v>
      </c>
      <c r="F788" t="s">
        <v>29</v>
      </c>
      <c r="G788" t="s">
        <v>57</v>
      </c>
      <c r="H788">
        <v>568</v>
      </c>
      <c r="I788">
        <v>561</v>
      </c>
      <c r="J788">
        <v>7</v>
      </c>
      <c r="K788">
        <v>24.2</v>
      </c>
      <c r="L788">
        <v>26.04</v>
      </c>
      <c r="M788">
        <v>246.51</v>
      </c>
      <c r="N788">
        <f>_xlfn.XLOOKUP(Table13[[#This Row],[Production_Order_ID]],[1]Sheet1!$A$2:$A$391,[1]Sheet1!$F$2:$F$391,"No Match")</f>
        <v>490</v>
      </c>
      <c r="O788" s="3">
        <f>Table13[[#This Row],[Good_Qty]]/Table13[[#This Row],[Planned_Production]]</f>
        <v>1.1448979591836734</v>
      </c>
      <c r="P788" t="str">
        <f>IF(Table13[[#This Row],[Good_Qty]]&gt;=Table13[[#This Row],[Planned_Production]],"Met","Not Met")</f>
        <v>Met</v>
      </c>
      <c r="Q788">
        <f>Table13[[#This Row],[Good_Qty]]-Table13[[#This Row],[Planned_Production]]</f>
        <v>71</v>
      </c>
      <c r="R788" s="3">
        <f>IF(Table13[[#This Row],[Actual_Qty]]=0,0,Table13[[#This Row],[Reject_Qty]]/Table13[[#This Row],[Actual_Qty]])</f>
        <v>1.232394366197183E-2</v>
      </c>
      <c r="S788">
        <v>434.31</v>
      </c>
      <c r="T788">
        <f>(Table13[[#This Row],[Ideal_Cycle_Time_sec]]*Table13[[#This Row],[Actual_Qty]])/(Table13[[#This Row],[Operational_Time_min]]*60)</f>
        <v>0.52748804617285661</v>
      </c>
      <c r="U788">
        <f>Table13[[#This Row],[Good_Qty]]/Table13[[#This Row],[Actual_Qty]]</f>
        <v>0.98767605633802813</v>
      </c>
      <c r="V788" t="str">
        <f>IF(OR(Table13[[#This Row],[Performance_%]]&gt;=1,Table13[[#This Row],[Performance_%]]&lt;=0),"Error","OK")</f>
        <v>OK</v>
      </c>
      <c r="W788" t="str">
        <f>IF(OR(Table13[[#This Row],[Quality_%]]&gt;=1,Table13[[#This Row],[Quality_%]]&lt;=0),"Error","OK")</f>
        <v>OK</v>
      </c>
      <c r="X788">
        <f>Table13[[#This Row],[Performance_%]]*Table13[[#This Row],[Quality_%]]*[2]Availability_KPI!K788</f>
        <v>0.50282222222222217</v>
      </c>
      <c r="Y788" t="str">
        <f>IF(OR(Table13[[#This Row],[OEE_%]]&gt;1,Table13[[#This Row],[OEE_%]]&lt;0),"Error","OK")</f>
        <v>OK</v>
      </c>
    </row>
    <row r="789" spans="1:25" x14ac:dyDescent="0.2">
      <c r="A789" t="s">
        <v>937</v>
      </c>
      <c r="B789" t="s">
        <v>934</v>
      </c>
      <c r="C789" s="2">
        <v>46281</v>
      </c>
      <c r="D789" t="s">
        <v>67</v>
      </c>
      <c r="E789" t="s">
        <v>38</v>
      </c>
      <c r="F789" t="s">
        <v>29</v>
      </c>
      <c r="G789" t="s">
        <v>61</v>
      </c>
      <c r="H789">
        <v>566</v>
      </c>
      <c r="I789">
        <v>561</v>
      </c>
      <c r="J789">
        <v>5</v>
      </c>
      <c r="K789">
        <v>22</v>
      </c>
      <c r="L789">
        <v>22.36</v>
      </c>
      <c r="M789">
        <v>210.89</v>
      </c>
      <c r="N789">
        <f>_xlfn.XLOOKUP(Table13[[#This Row],[Production_Order_ID]],[1]Sheet1!$A$2:$A$391,[1]Sheet1!$F$2:$F$391,"No Match")</f>
        <v>490</v>
      </c>
      <c r="O789" s="3">
        <f>Table13[[#This Row],[Good_Qty]]/Table13[[#This Row],[Planned_Production]]</f>
        <v>1.1448979591836734</v>
      </c>
      <c r="P789" t="str">
        <f>IF(Table13[[#This Row],[Good_Qty]]&gt;=Table13[[#This Row],[Planned_Production]],"Met","Not Met")</f>
        <v>Met</v>
      </c>
      <c r="Q789">
        <f>Table13[[#This Row],[Good_Qty]]-Table13[[#This Row],[Planned_Production]]</f>
        <v>71</v>
      </c>
      <c r="R789" s="3">
        <f>IF(Table13[[#This Row],[Actual_Qty]]=0,0,Table13[[#This Row],[Reject_Qty]]/Table13[[#This Row],[Actual_Qty]])</f>
        <v>8.8339222614840993E-3</v>
      </c>
      <c r="S789">
        <v>437.46</v>
      </c>
      <c r="T789">
        <f>(Table13[[#This Row],[Ideal_Cycle_Time_sec]]*Table13[[#This Row],[Actual_Qty]])/(Table13[[#This Row],[Operational_Time_min]]*60)</f>
        <v>0.47440527895883816</v>
      </c>
      <c r="U789">
        <f>Table13[[#This Row],[Good_Qty]]/Table13[[#This Row],[Actual_Qty]]</f>
        <v>0.99116607773851595</v>
      </c>
      <c r="V789" t="str">
        <f>IF(OR(Table13[[#This Row],[Performance_%]]&gt;=1,Table13[[#This Row],[Performance_%]]&lt;=0),"Error","OK")</f>
        <v>OK</v>
      </c>
      <c r="W789" t="str">
        <f>IF(OR(Table13[[#This Row],[Quality_%]]&gt;=1,Table13[[#This Row],[Quality_%]]&lt;=0),"Error","OK")</f>
        <v>OK</v>
      </c>
      <c r="X789">
        <f>Table13[[#This Row],[Performance_%]]*Table13[[#This Row],[Quality_%]]*[2]Availability_KPI!K789</f>
        <v>0.45711111111111113</v>
      </c>
      <c r="Y789" t="str">
        <f>IF(OR(Table13[[#This Row],[OEE_%]]&gt;1,Table13[[#This Row],[OEE_%]]&lt;0),"Error","OK")</f>
        <v>OK</v>
      </c>
    </row>
    <row r="790" spans="1:25" x14ac:dyDescent="0.2">
      <c r="A790" t="s">
        <v>938</v>
      </c>
      <c r="B790" t="s">
        <v>934</v>
      </c>
      <c r="C790" s="2">
        <v>46281</v>
      </c>
      <c r="D790" t="s">
        <v>67</v>
      </c>
      <c r="E790" t="s">
        <v>41</v>
      </c>
      <c r="F790" t="s">
        <v>29</v>
      </c>
      <c r="G790" t="s">
        <v>50</v>
      </c>
      <c r="H790">
        <v>576</v>
      </c>
      <c r="I790">
        <v>571</v>
      </c>
      <c r="J790">
        <v>5</v>
      </c>
      <c r="K790">
        <v>19.8</v>
      </c>
      <c r="L790">
        <v>20.59</v>
      </c>
      <c r="M790">
        <v>197.67</v>
      </c>
      <c r="N790">
        <f>_xlfn.XLOOKUP(Table13[[#This Row],[Production_Order_ID]],[1]Sheet1!$A$2:$A$391,[1]Sheet1!$F$2:$F$391,"No Match")</f>
        <v>490</v>
      </c>
      <c r="O790" s="3">
        <f>Table13[[#This Row],[Good_Qty]]/Table13[[#This Row],[Planned_Production]]</f>
        <v>1.1653061224489796</v>
      </c>
      <c r="P790" t="str">
        <f>IF(Table13[[#This Row],[Good_Qty]]&gt;=Table13[[#This Row],[Planned_Production]],"Met","Not Met")</f>
        <v>Met</v>
      </c>
      <c r="Q790">
        <f>Table13[[#This Row],[Good_Qty]]-Table13[[#This Row],[Planned_Production]]</f>
        <v>81</v>
      </c>
      <c r="R790" s="3">
        <f>IF(Table13[[#This Row],[Actual_Qty]]=0,0,Table13[[#This Row],[Reject_Qty]]/Table13[[#This Row],[Actual_Qty]])</f>
        <v>8.6805555555555559E-3</v>
      </c>
      <c r="S790">
        <v>438.97</v>
      </c>
      <c r="T790">
        <f>(Table13[[#This Row],[Ideal_Cycle_Time_sec]]*Table13[[#This Row],[Actual_Qty]])/(Table13[[#This Row],[Operational_Time_min]]*60)</f>
        <v>0.43301364557942457</v>
      </c>
      <c r="U790">
        <f>Table13[[#This Row],[Good_Qty]]/Table13[[#This Row],[Actual_Qty]]</f>
        <v>0.99131944444444442</v>
      </c>
      <c r="V790" t="str">
        <f>IF(OR(Table13[[#This Row],[Performance_%]]&gt;=1,Table13[[#This Row],[Performance_%]]&lt;=0),"Error","OK")</f>
        <v>OK</v>
      </c>
      <c r="W790" t="str">
        <f>IF(OR(Table13[[#This Row],[Quality_%]]&gt;=1,Table13[[#This Row],[Quality_%]]&lt;=0),"Error","OK")</f>
        <v>OK</v>
      </c>
      <c r="X790">
        <f>Table13[[#This Row],[Performance_%]]*Table13[[#This Row],[Quality_%]]*[2]Availability_KPI!K790</f>
        <v>0.41873333333333335</v>
      </c>
      <c r="Y790" t="str">
        <f>IF(OR(Table13[[#This Row],[OEE_%]]&gt;1,Table13[[#This Row],[OEE_%]]&lt;0),"Error","OK")</f>
        <v>OK</v>
      </c>
    </row>
    <row r="791" spans="1:25" x14ac:dyDescent="0.2">
      <c r="A791" t="s">
        <v>939</v>
      </c>
      <c r="B791" t="s">
        <v>934</v>
      </c>
      <c r="C791" s="2">
        <v>46281</v>
      </c>
      <c r="D791" t="s">
        <v>67</v>
      </c>
      <c r="E791" t="s">
        <v>43</v>
      </c>
      <c r="F791" t="s">
        <v>29</v>
      </c>
      <c r="G791" t="s">
        <v>30</v>
      </c>
      <c r="H791">
        <v>568</v>
      </c>
      <c r="I791">
        <v>560</v>
      </c>
      <c r="J791">
        <v>8</v>
      </c>
      <c r="K791">
        <v>35.200000000000003</v>
      </c>
      <c r="L791">
        <v>37.869999999999997</v>
      </c>
      <c r="M791">
        <v>358.53</v>
      </c>
      <c r="N791">
        <f>_xlfn.XLOOKUP(Table13[[#This Row],[Production_Order_ID]],[1]Sheet1!$A$2:$A$391,[1]Sheet1!$F$2:$F$391,"No Match")</f>
        <v>490</v>
      </c>
      <c r="O791" s="3">
        <f>Table13[[#This Row],[Good_Qty]]/Table13[[#This Row],[Planned_Production]]</f>
        <v>1.1428571428571428</v>
      </c>
      <c r="P791" t="str">
        <f>IF(Table13[[#This Row],[Good_Qty]]&gt;=Table13[[#This Row],[Planned_Production]],"Met","Not Met")</f>
        <v>Met</v>
      </c>
      <c r="Q791">
        <f>Table13[[#This Row],[Good_Qty]]-Table13[[#This Row],[Planned_Production]]</f>
        <v>70</v>
      </c>
      <c r="R791" s="3">
        <f>IF(Table13[[#This Row],[Actual_Qty]]=0,0,Table13[[#This Row],[Reject_Qty]]/Table13[[#This Row],[Actual_Qty]])</f>
        <v>1.4084507042253521E-2</v>
      </c>
      <c r="S791">
        <v>412.81</v>
      </c>
      <c r="T791">
        <f>(Table13[[#This Row],[Ideal_Cycle_Time_sec]]*Table13[[#This Row],[Actual_Qty]])/(Table13[[#This Row],[Operational_Time_min]]*60)</f>
        <v>0.80721558747769362</v>
      </c>
      <c r="U791">
        <f>Table13[[#This Row],[Good_Qty]]/Table13[[#This Row],[Actual_Qty]]</f>
        <v>0.9859154929577465</v>
      </c>
      <c r="V791" t="str">
        <f>IF(OR(Table13[[#This Row],[Performance_%]]&gt;=1,Table13[[#This Row],[Performance_%]]&lt;=0),"Error","OK")</f>
        <v>OK</v>
      </c>
      <c r="W791" t="str">
        <f>IF(OR(Table13[[#This Row],[Quality_%]]&gt;=1,Table13[[#This Row],[Quality_%]]&lt;=0),"Error","OK")</f>
        <v>OK</v>
      </c>
      <c r="X791">
        <f>Table13[[#This Row],[Performance_%]]*Table13[[#This Row],[Quality_%]]*[2]Availability_KPI!K791</f>
        <v>0.73007407407407421</v>
      </c>
      <c r="Y791" t="str">
        <f>IF(OR(Table13[[#This Row],[OEE_%]]&gt;1,Table13[[#This Row],[OEE_%]]&lt;0),"Error","OK")</f>
        <v>OK</v>
      </c>
    </row>
    <row r="792" spans="1:25" x14ac:dyDescent="0.2">
      <c r="A792" t="s">
        <v>940</v>
      </c>
      <c r="B792" t="s">
        <v>934</v>
      </c>
      <c r="C792" s="2">
        <v>46281</v>
      </c>
      <c r="D792" t="s">
        <v>67</v>
      </c>
      <c r="E792" t="s">
        <v>46</v>
      </c>
      <c r="F792" t="s">
        <v>29</v>
      </c>
      <c r="G792" t="s">
        <v>75</v>
      </c>
      <c r="H792">
        <v>581</v>
      </c>
      <c r="I792">
        <v>576</v>
      </c>
      <c r="J792">
        <v>5</v>
      </c>
      <c r="K792">
        <v>27.5</v>
      </c>
      <c r="L792">
        <v>27.63</v>
      </c>
      <c r="M792">
        <v>267.55</v>
      </c>
      <c r="N792">
        <f>_xlfn.XLOOKUP(Table13[[#This Row],[Production_Order_ID]],[1]Sheet1!$A$2:$A$391,[1]Sheet1!$F$2:$F$391,"No Match")</f>
        <v>490</v>
      </c>
      <c r="O792" s="3">
        <f>Table13[[#This Row],[Good_Qty]]/Table13[[#This Row],[Planned_Production]]</f>
        <v>1.1755102040816328</v>
      </c>
      <c r="P792" t="str">
        <f>IF(Table13[[#This Row],[Good_Qty]]&gt;=Table13[[#This Row],[Planned_Production]],"Met","Not Met")</f>
        <v>Met</v>
      </c>
      <c r="Q792">
        <f>Table13[[#This Row],[Good_Qty]]-Table13[[#This Row],[Planned_Production]]</f>
        <v>86</v>
      </c>
      <c r="R792" s="3">
        <f>IF(Table13[[#This Row],[Actual_Qty]]=0,0,Table13[[#This Row],[Reject_Qty]]/Table13[[#This Row],[Actual_Qty]])</f>
        <v>8.6058519793459545E-3</v>
      </c>
      <c r="S792">
        <v>431.97</v>
      </c>
      <c r="T792">
        <f>(Table13[[#This Row],[Ideal_Cycle_Time_sec]]*Table13[[#This Row],[Actual_Qty]])/(Table13[[#This Row],[Operational_Time_min]]*60)</f>
        <v>0.61645870469399877</v>
      </c>
      <c r="U792">
        <f>Table13[[#This Row],[Good_Qty]]/Table13[[#This Row],[Actual_Qty]]</f>
        <v>0.99139414802065406</v>
      </c>
      <c r="V792" t="str">
        <f>IF(OR(Table13[[#This Row],[Performance_%]]&gt;=1,Table13[[#This Row],[Performance_%]]&lt;=0),"Error","OK")</f>
        <v>OK</v>
      </c>
      <c r="W792" t="str">
        <f>IF(OR(Table13[[#This Row],[Quality_%]]&gt;=1,Table13[[#This Row],[Quality_%]]&lt;=0),"Error","OK")</f>
        <v>OK</v>
      </c>
      <c r="X792">
        <f>Table13[[#This Row],[Performance_%]]*Table13[[#This Row],[Quality_%]]*[2]Availability_KPI!K792</f>
        <v>0.58666666666666667</v>
      </c>
      <c r="Y792" t="str">
        <f>IF(OR(Table13[[#This Row],[OEE_%]]&gt;1,Table13[[#This Row],[OEE_%]]&lt;0),"Error","OK")</f>
        <v>OK</v>
      </c>
    </row>
    <row r="793" spans="1:25" x14ac:dyDescent="0.2">
      <c r="A793" t="s">
        <v>941</v>
      </c>
      <c r="B793" t="s">
        <v>934</v>
      </c>
      <c r="C793" s="2">
        <v>46281</v>
      </c>
      <c r="D793" t="s">
        <v>67</v>
      </c>
      <c r="E793" t="s">
        <v>49</v>
      </c>
      <c r="F793" t="s">
        <v>29</v>
      </c>
      <c r="G793" t="s">
        <v>71</v>
      </c>
      <c r="H793">
        <v>572</v>
      </c>
      <c r="I793">
        <v>568</v>
      </c>
      <c r="J793">
        <v>4</v>
      </c>
      <c r="K793">
        <v>22</v>
      </c>
      <c r="L793">
        <v>23.01</v>
      </c>
      <c r="M793">
        <v>219.38</v>
      </c>
      <c r="N793">
        <f>_xlfn.XLOOKUP(Table13[[#This Row],[Production_Order_ID]],[1]Sheet1!$A$2:$A$391,[1]Sheet1!$F$2:$F$391,"No Match")</f>
        <v>490</v>
      </c>
      <c r="O793" s="3">
        <f>Table13[[#This Row],[Good_Qty]]/Table13[[#This Row],[Planned_Production]]</f>
        <v>1.1591836734693877</v>
      </c>
      <c r="P793" t="str">
        <f>IF(Table13[[#This Row],[Good_Qty]]&gt;=Table13[[#This Row],[Planned_Production]],"Met","Not Met")</f>
        <v>Met</v>
      </c>
      <c r="Q793">
        <f>Table13[[#This Row],[Good_Qty]]-Table13[[#This Row],[Planned_Production]]</f>
        <v>78</v>
      </c>
      <c r="R793" s="3">
        <f>IF(Table13[[#This Row],[Actual_Qty]]=0,0,Table13[[#This Row],[Reject_Qty]]/Table13[[#This Row],[Actual_Qty]])</f>
        <v>6.993006993006993E-3</v>
      </c>
      <c r="S793">
        <v>442.69</v>
      </c>
      <c r="T793">
        <f>(Table13[[#This Row],[Ideal_Cycle_Time_sec]]*Table13[[#This Row],[Actual_Qty]])/(Table13[[#This Row],[Operational_Time_min]]*60)</f>
        <v>0.47377020789566815</v>
      </c>
      <c r="U793">
        <f>Table13[[#This Row],[Good_Qty]]/Table13[[#This Row],[Actual_Qty]]</f>
        <v>0.99300699300699302</v>
      </c>
      <c r="V793" t="str">
        <f>IF(OR(Table13[[#This Row],[Performance_%]]&gt;=1,Table13[[#This Row],[Performance_%]]&lt;=0),"Error","OK")</f>
        <v>OK</v>
      </c>
      <c r="W793" t="str">
        <f>IF(OR(Table13[[#This Row],[Quality_%]]&gt;=1,Table13[[#This Row],[Quality_%]]&lt;=0),"Error","OK")</f>
        <v>OK</v>
      </c>
      <c r="X793">
        <f>Table13[[#This Row],[Performance_%]]*Table13[[#This Row],[Quality_%]]*[2]Availability_KPI!K793</f>
        <v>0.46281481481481485</v>
      </c>
      <c r="Y793" t="str">
        <f>IF(OR(Table13[[#This Row],[OEE_%]]&gt;1,Table13[[#This Row],[OEE_%]]&lt;0),"Error","OK")</f>
        <v>OK</v>
      </c>
    </row>
    <row r="794" spans="1:25" x14ac:dyDescent="0.2">
      <c r="A794" t="s">
        <v>942</v>
      </c>
      <c r="B794" t="s">
        <v>943</v>
      </c>
      <c r="C794" s="2">
        <v>46282</v>
      </c>
      <c r="D794" t="s">
        <v>27</v>
      </c>
      <c r="E794" t="s">
        <v>28</v>
      </c>
      <c r="F794" t="s">
        <v>54</v>
      </c>
      <c r="G794" t="s">
        <v>57</v>
      </c>
      <c r="H794">
        <v>543</v>
      </c>
      <c r="I794">
        <v>541</v>
      </c>
      <c r="J794">
        <v>2</v>
      </c>
      <c r="K794">
        <v>18</v>
      </c>
      <c r="L794">
        <v>18.54</v>
      </c>
      <c r="M794">
        <v>167.77</v>
      </c>
      <c r="N794">
        <f>_xlfn.XLOOKUP(Table13[[#This Row],[Production_Order_ID]],[1]Sheet1!$A$2:$A$391,[1]Sheet1!$F$2:$F$391,"No Match")</f>
        <v>510</v>
      </c>
      <c r="O794" s="3">
        <f>Table13[[#This Row],[Good_Qty]]/Table13[[#This Row],[Planned_Production]]</f>
        <v>1.0607843137254902</v>
      </c>
      <c r="P794" t="str">
        <f>IF(Table13[[#This Row],[Good_Qty]]&gt;=Table13[[#This Row],[Planned_Production]],"Met","Not Met")</f>
        <v>Met</v>
      </c>
      <c r="Q794">
        <f>Table13[[#This Row],[Good_Qty]]-Table13[[#This Row],[Planned_Production]]</f>
        <v>31</v>
      </c>
      <c r="R794" s="3">
        <f>IF(Table13[[#This Row],[Actual_Qty]]=0,0,Table13[[#This Row],[Reject_Qty]]/Table13[[#This Row],[Actual_Qty]])</f>
        <v>3.6832412523020259E-3</v>
      </c>
      <c r="S794">
        <v>443.19</v>
      </c>
      <c r="T794">
        <f>(Table13[[#This Row],[Ideal_Cycle_Time_sec]]*Table13[[#This Row],[Actual_Qty]])/(Table13[[#This Row],[Operational_Time_min]]*60)</f>
        <v>0.36756244500101537</v>
      </c>
      <c r="U794">
        <f>Table13[[#This Row],[Good_Qty]]/Table13[[#This Row],[Actual_Qty]]</f>
        <v>0.99631675874769798</v>
      </c>
      <c r="V794" t="str">
        <f>IF(OR(Table13[[#This Row],[Performance_%]]&gt;=1,Table13[[#This Row],[Performance_%]]&lt;=0),"Error","OK")</f>
        <v>OK</v>
      </c>
      <c r="W794" t="str">
        <f>IF(OR(Table13[[#This Row],[Quality_%]]&gt;=1,Table13[[#This Row],[Quality_%]]&lt;=0),"Error","OK")</f>
        <v>OK</v>
      </c>
      <c r="X794">
        <f>Table13[[#This Row],[Performance_%]]*Table13[[#This Row],[Quality_%]]*[2]Availability_KPI!K794</f>
        <v>0.36066666666666664</v>
      </c>
      <c r="Y794" t="str">
        <f>IF(OR(Table13[[#This Row],[OEE_%]]&gt;1,Table13[[#This Row],[OEE_%]]&lt;0),"Error","OK")</f>
        <v>OK</v>
      </c>
    </row>
    <row r="795" spans="1:25" x14ac:dyDescent="0.2">
      <c r="A795" t="s">
        <v>944</v>
      </c>
      <c r="B795" t="s">
        <v>943</v>
      </c>
      <c r="C795" s="2">
        <v>46282</v>
      </c>
      <c r="D795" t="s">
        <v>27</v>
      </c>
      <c r="E795" t="s">
        <v>32</v>
      </c>
      <c r="F795" t="s">
        <v>54</v>
      </c>
      <c r="G795" t="s">
        <v>30</v>
      </c>
      <c r="H795">
        <v>545</v>
      </c>
      <c r="I795">
        <v>540</v>
      </c>
      <c r="J795">
        <v>5</v>
      </c>
      <c r="K795">
        <v>20</v>
      </c>
      <c r="L795">
        <v>21.34</v>
      </c>
      <c r="M795">
        <v>193.83</v>
      </c>
      <c r="N795">
        <f>_xlfn.XLOOKUP(Table13[[#This Row],[Production_Order_ID]],[1]Sheet1!$A$2:$A$391,[1]Sheet1!$F$2:$F$391,"No Match")</f>
        <v>510</v>
      </c>
      <c r="O795" s="3">
        <f>Table13[[#This Row],[Good_Qty]]/Table13[[#This Row],[Planned_Production]]</f>
        <v>1.0588235294117647</v>
      </c>
      <c r="P795" t="str">
        <f>IF(Table13[[#This Row],[Good_Qty]]&gt;=Table13[[#This Row],[Planned_Production]],"Met","Not Met")</f>
        <v>Met</v>
      </c>
      <c r="Q795">
        <f>Table13[[#This Row],[Good_Qty]]-Table13[[#This Row],[Planned_Production]]</f>
        <v>30</v>
      </c>
      <c r="R795" s="3">
        <f>IF(Table13[[#This Row],[Actual_Qty]]=0,0,Table13[[#This Row],[Reject_Qty]]/Table13[[#This Row],[Actual_Qty]])</f>
        <v>9.1743119266055051E-3</v>
      </c>
      <c r="S795">
        <v>437.12</v>
      </c>
      <c r="T795">
        <f>(Table13[[#This Row],[Ideal_Cycle_Time_sec]]*Table13[[#This Row],[Actual_Qty]])/(Table13[[#This Row],[Operational_Time_min]]*60)</f>
        <v>0.41559907271839919</v>
      </c>
      <c r="U795">
        <f>Table13[[#This Row],[Good_Qty]]/Table13[[#This Row],[Actual_Qty]]</f>
        <v>0.99082568807339455</v>
      </c>
      <c r="V795" t="str">
        <f>IF(OR(Table13[[#This Row],[Performance_%]]&gt;=1,Table13[[#This Row],[Performance_%]]&lt;=0),"Error","OK")</f>
        <v>OK</v>
      </c>
      <c r="W795" t="str">
        <f>IF(OR(Table13[[#This Row],[Quality_%]]&gt;=1,Table13[[#This Row],[Quality_%]]&lt;=0),"Error","OK")</f>
        <v>OK</v>
      </c>
      <c r="X795">
        <f>Table13[[#This Row],[Performance_%]]*Table13[[#This Row],[Quality_%]]*[2]Availability_KPI!K795</f>
        <v>0.4</v>
      </c>
      <c r="Y795" t="str">
        <f>IF(OR(Table13[[#This Row],[OEE_%]]&gt;1,Table13[[#This Row],[OEE_%]]&lt;0),"Error","OK")</f>
        <v>OK</v>
      </c>
    </row>
    <row r="796" spans="1:25" x14ac:dyDescent="0.2">
      <c r="A796" t="s">
        <v>945</v>
      </c>
      <c r="B796" t="s">
        <v>943</v>
      </c>
      <c r="C796" s="2">
        <v>46282</v>
      </c>
      <c r="D796" t="s">
        <v>27</v>
      </c>
      <c r="E796" t="s">
        <v>35</v>
      </c>
      <c r="F796" t="s">
        <v>54</v>
      </c>
      <c r="G796" t="s">
        <v>47</v>
      </c>
      <c r="H796">
        <v>538</v>
      </c>
      <c r="I796">
        <v>534</v>
      </c>
      <c r="J796">
        <v>4</v>
      </c>
      <c r="K796">
        <v>22</v>
      </c>
      <c r="L796">
        <v>23.82</v>
      </c>
      <c r="M796">
        <v>213.56</v>
      </c>
      <c r="N796">
        <f>_xlfn.XLOOKUP(Table13[[#This Row],[Production_Order_ID]],[1]Sheet1!$A$2:$A$391,[1]Sheet1!$F$2:$F$391,"No Match")</f>
        <v>510</v>
      </c>
      <c r="O796" s="3">
        <f>Table13[[#This Row],[Good_Qty]]/Table13[[#This Row],[Planned_Production]]</f>
        <v>1.0470588235294118</v>
      </c>
      <c r="P796" t="str">
        <f>IF(Table13[[#This Row],[Good_Qty]]&gt;=Table13[[#This Row],[Planned_Production]],"Met","Not Met")</f>
        <v>Met</v>
      </c>
      <c r="Q796">
        <f>Table13[[#This Row],[Good_Qty]]-Table13[[#This Row],[Planned_Production]]</f>
        <v>24</v>
      </c>
      <c r="R796" s="3">
        <f>IF(Table13[[#This Row],[Actual_Qty]]=0,0,Table13[[#This Row],[Reject_Qty]]/Table13[[#This Row],[Actual_Qty]])</f>
        <v>7.4349442379182153E-3</v>
      </c>
      <c r="S796">
        <v>436.9</v>
      </c>
      <c r="T796">
        <f>(Table13[[#This Row],[Ideal_Cycle_Time_sec]]*Table13[[#This Row],[Actual_Qty]])/(Table13[[#This Row],[Operational_Time_min]]*60)</f>
        <v>0.45151445792324713</v>
      </c>
      <c r="U796">
        <f>Table13[[#This Row],[Good_Qty]]/Table13[[#This Row],[Actual_Qty]]</f>
        <v>0.99256505576208176</v>
      </c>
      <c r="V796" t="str">
        <f>IF(OR(Table13[[#This Row],[Performance_%]]&gt;=1,Table13[[#This Row],[Performance_%]]&lt;=0),"Error","OK")</f>
        <v>OK</v>
      </c>
      <c r="W796" t="str">
        <f>IF(OR(Table13[[#This Row],[Quality_%]]&gt;=1,Table13[[#This Row],[Quality_%]]&lt;=0),"Error","OK")</f>
        <v>OK</v>
      </c>
      <c r="X796">
        <f>Table13[[#This Row],[Performance_%]]*Table13[[#This Row],[Quality_%]]*[2]Availability_KPI!K796</f>
        <v>0.43511111111111112</v>
      </c>
      <c r="Y796" t="str">
        <f>IF(OR(Table13[[#This Row],[OEE_%]]&gt;1,Table13[[#This Row],[OEE_%]]&lt;0),"Error","OK")</f>
        <v>OK</v>
      </c>
    </row>
    <row r="797" spans="1:25" x14ac:dyDescent="0.2">
      <c r="A797" t="s">
        <v>946</v>
      </c>
      <c r="B797" t="s">
        <v>943</v>
      </c>
      <c r="C797" s="2">
        <v>46282</v>
      </c>
      <c r="D797" t="s">
        <v>27</v>
      </c>
      <c r="E797" t="s">
        <v>38</v>
      </c>
      <c r="F797" t="s">
        <v>54</v>
      </c>
      <c r="G797" t="s">
        <v>55</v>
      </c>
      <c r="H797">
        <v>537</v>
      </c>
      <c r="I797">
        <v>534</v>
      </c>
      <c r="J797">
        <v>3</v>
      </c>
      <c r="K797">
        <v>20</v>
      </c>
      <c r="L797">
        <v>20.46</v>
      </c>
      <c r="M797">
        <v>183.16</v>
      </c>
      <c r="N797">
        <f>_xlfn.XLOOKUP(Table13[[#This Row],[Production_Order_ID]],[1]Sheet1!$A$2:$A$391,[1]Sheet1!$F$2:$F$391,"No Match")</f>
        <v>510</v>
      </c>
      <c r="O797" s="3">
        <f>Table13[[#This Row],[Good_Qty]]/Table13[[#This Row],[Planned_Production]]</f>
        <v>1.0470588235294118</v>
      </c>
      <c r="P797" t="str">
        <f>IF(Table13[[#This Row],[Good_Qty]]&gt;=Table13[[#This Row],[Planned_Production]],"Met","Not Met")</f>
        <v>Met</v>
      </c>
      <c r="Q797">
        <f>Table13[[#This Row],[Good_Qty]]-Table13[[#This Row],[Planned_Production]]</f>
        <v>24</v>
      </c>
      <c r="R797" s="3">
        <f>IF(Table13[[#This Row],[Actual_Qty]]=0,0,Table13[[#This Row],[Reject_Qty]]/Table13[[#This Row],[Actual_Qty]])</f>
        <v>5.5865921787709499E-3</v>
      </c>
      <c r="S797">
        <v>439.59</v>
      </c>
      <c r="T797">
        <f>(Table13[[#This Row],[Ideal_Cycle_Time_sec]]*Table13[[#This Row],[Actual_Qty]])/(Table13[[#This Row],[Operational_Time_min]]*60)</f>
        <v>0.40719761596032672</v>
      </c>
      <c r="U797">
        <f>Table13[[#This Row],[Good_Qty]]/Table13[[#This Row],[Actual_Qty]]</f>
        <v>0.994413407821229</v>
      </c>
      <c r="V797" t="str">
        <f>IF(OR(Table13[[#This Row],[Performance_%]]&gt;=1,Table13[[#This Row],[Performance_%]]&lt;=0),"Error","OK")</f>
        <v>OK</v>
      </c>
      <c r="W797" t="str">
        <f>IF(OR(Table13[[#This Row],[Quality_%]]&gt;=1,Table13[[#This Row],[Quality_%]]&lt;=0),"Error","OK")</f>
        <v>OK</v>
      </c>
      <c r="X797">
        <f>Table13[[#This Row],[Performance_%]]*Table13[[#This Row],[Quality_%]]*[2]Availability_KPI!K797</f>
        <v>0.39555555555555555</v>
      </c>
      <c r="Y797" t="str">
        <f>IF(OR(Table13[[#This Row],[OEE_%]]&gt;1,Table13[[#This Row],[OEE_%]]&lt;0),"Error","OK")</f>
        <v>OK</v>
      </c>
    </row>
    <row r="798" spans="1:25" x14ac:dyDescent="0.2">
      <c r="A798" t="s">
        <v>947</v>
      </c>
      <c r="B798" t="s">
        <v>943</v>
      </c>
      <c r="C798" s="2">
        <v>46282</v>
      </c>
      <c r="D798" t="s">
        <v>27</v>
      </c>
      <c r="E798" t="s">
        <v>41</v>
      </c>
      <c r="F798" t="s">
        <v>54</v>
      </c>
      <c r="G798" t="s">
        <v>47</v>
      </c>
      <c r="H798">
        <v>541</v>
      </c>
      <c r="I798">
        <v>536</v>
      </c>
      <c r="J798">
        <v>5</v>
      </c>
      <c r="K798">
        <v>18</v>
      </c>
      <c r="L798">
        <v>19.23</v>
      </c>
      <c r="M798">
        <v>173.42</v>
      </c>
      <c r="N798">
        <f>_xlfn.XLOOKUP(Table13[[#This Row],[Production_Order_ID]],[1]Sheet1!$A$2:$A$391,[1]Sheet1!$F$2:$F$391,"No Match")</f>
        <v>510</v>
      </c>
      <c r="O798" s="3">
        <f>Table13[[#This Row],[Good_Qty]]/Table13[[#This Row],[Planned_Production]]</f>
        <v>1.0509803921568628</v>
      </c>
      <c r="P798" t="str">
        <f>IF(Table13[[#This Row],[Good_Qty]]&gt;=Table13[[#This Row],[Planned_Production]],"Met","Not Met")</f>
        <v>Met</v>
      </c>
      <c r="Q798">
        <f>Table13[[#This Row],[Good_Qty]]-Table13[[#This Row],[Planned_Production]]</f>
        <v>26</v>
      </c>
      <c r="R798" s="3">
        <f>IF(Table13[[#This Row],[Actual_Qty]]=0,0,Table13[[#This Row],[Reject_Qty]]/Table13[[#This Row],[Actual_Qty]])</f>
        <v>9.242144177449169E-3</v>
      </c>
      <c r="S798">
        <v>441.54</v>
      </c>
      <c r="T798">
        <f>(Table13[[#This Row],[Ideal_Cycle_Time_sec]]*Table13[[#This Row],[Actual_Qty]])/(Table13[[#This Row],[Operational_Time_min]]*60)</f>
        <v>0.36757711645604019</v>
      </c>
      <c r="U798">
        <f>Table13[[#This Row],[Good_Qty]]/Table13[[#This Row],[Actual_Qty]]</f>
        <v>0.99075785582255083</v>
      </c>
      <c r="V798" t="str">
        <f>IF(OR(Table13[[#This Row],[Performance_%]]&gt;=1,Table13[[#This Row],[Performance_%]]&lt;=0),"Error","OK")</f>
        <v>OK</v>
      </c>
      <c r="W798" t="str">
        <f>IF(OR(Table13[[#This Row],[Quality_%]]&gt;=1,Table13[[#This Row],[Quality_%]]&lt;=0),"Error","OK")</f>
        <v>OK</v>
      </c>
      <c r="X798">
        <f>Table13[[#This Row],[Performance_%]]*Table13[[#This Row],[Quality_%]]*[2]Availability_KPI!K798</f>
        <v>0.35733333333333334</v>
      </c>
      <c r="Y798" t="str">
        <f>IF(OR(Table13[[#This Row],[OEE_%]]&gt;1,Table13[[#This Row],[OEE_%]]&lt;0),"Error","OK")</f>
        <v>OK</v>
      </c>
    </row>
    <row r="799" spans="1:25" x14ac:dyDescent="0.2">
      <c r="A799" t="s">
        <v>948</v>
      </c>
      <c r="B799" t="s">
        <v>943</v>
      </c>
      <c r="C799" s="2">
        <v>46282</v>
      </c>
      <c r="D799" t="s">
        <v>27</v>
      </c>
      <c r="E799" t="s">
        <v>43</v>
      </c>
      <c r="F799" t="s">
        <v>54</v>
      </c>
      <c r="G799" t="s">
        <v>39</v>
      </c>
      <c r="H799">
        <v>531</v>
      </c>
      <c r="I799">
        <v>523</v>
      </c>
      <c r="J799">
        <v>8</v>
      </c>
      <c r="K799">
        <v>32</v>
      </c>
      <c r="L799">
        <v>33.94</v>
      </c>
      <c r="M799">
        <v>300.36</v>
      </c>
      <c r="N799">
        <f>_xlfn.XLOOKUP(Table13[[#This Row],[Production_Order_ID]],[1]Sheet1!$A$2:$A$391,[1]Sheet1!$F$2:$F$391,"No Match")</f>
        <v>510</v>
      </c>
      <c r="O799" s="3">
        <f>Table13[[#This Row],[Good_Qty]]/Table13[[#This Row],[Planned_Production]]</f>
        <v>1.0254901960784313</v>
      </c>
      <c r="P799" t="str">
        <f>IF(Table13[[#This Row],[Good_Qty]]&gt;=Table13[[#This Row],[Planned_Production]],"Met","Not Met")</f>
        <v>Met</v>
      </c>
      <c r="Q799">
        <f>Table13[[#This Row],[Good_Qty]]-Table13[[#This Row],[Planned_Production]]</f>
        <v>13</v>
      </c>
      <c r="R799" s="3">
        <f>IF(Table13[[#This Row],[Actual_Qty]]=0,0,Table13[[#This Row],[Reject_Qty]]/Table13[[#This Row],[Actual_Qty]])</f>
        <v>1.5065913370998116E-2</v>
      </c>
      <c r="S799">
        <v>419.82</v>
      </c>
      <c r="T799">
        <f>(Table13[[#This Row],[Ideal_Cycle_Time_sec]]*Table13[[#This Row],[Actual_Qty]])/(Table13[[#This Row],[Operational_Time_min]]*60)</f>
        <v>0.67457481777904815</v>
      </c>
      <c r="U799">
        <f>Table13[[#This Row],[Good_Qty]]/Table13[[#This Row],[Actual_Qty]]</f>
        <v>0.98493408662900184</v>
      </c>
      <c r="V799" t="str">
        <f>IF(OR(Table13[[#This Row],[Performance_%]]&gt;=1,Table13[[#This Row],[Performance_%]]&lt;=0),"Error","OK")</f>
        <v>OK</v>
      </c>
      <c r="W799" t="str">
        <f>IF(OR(Table13[[#This Row],[Quality_%]]&gt;=1,Table13[[#This Row],[Quality_%]]&lt;=0),"Error","OK")</f>
        <v>OK</v>
      </c>
      <c r="X799">
        <f>Table13[[#This Row],[Performance_%]]*Table13[[#This Row],[Quality_%]]*[2]Availability_KPI!K799</f>
        <v>0.61985185185185177</v>
      </c>
      <c r="Y799" t="str">
        <f>IF(OR(Table13[[#This Row],[OEE_%]]&gt;1,Table13[[#This Row],[OEE_%]]&lt;0),"Error","OK")</f>
        <v>OK</v>
      </c>
    </row>
    <row r="800" spans="1:25" x14ac:dyDescent="0.2">
      <c r="A800" t="s">
        <v>949</v>
      </c>
      <c r="B800" t="s">
        <v>943</v>
      </c>
      <c r="C800" s="2">
        <v>46282</v>
      </c>
      <c r="D800" t="s">
        <v>27</v>
      </c>
      <c r="E800" t="s">
        <v>46</v>
      </c>
      <c r="F800" t="s">
        <v>54</v>
      </c>
      <c r="G800" t="s">
        <v>61</v>
      </c>
      <c r="H800">
        <v>537</v>
      </c>
      <c r="I800">
        <v>533</v>
      </c>
      <c r="J800">
        <v>4</v>
      </c>
      <c r="K800">
        <v>25</v>
      </c>
      <c r="L800">
        <v>26.9</v>
      </c>
      <c r="M800">
        <v>240.77</v>
      </c>
      <c r="N800">
        <f>_xlfn.XLOOKUP(Table13[[#This Row],[Production_Order_ID]],[1]Sheet1!$A$2:$A$391,[1]Sheet1!$F$2:$F$391,"No Match")</f>
        <v>510</v>
      </c>
      <c r="O800" s="3">
        <f>Table13[[#This Row],[Good_Qty]]/Table13[[#This Row],[Planned_Production]]</f>
        <v>1.0450980392156863</v>
      </c>
      <c r="P800" t="str">
        <f>IF(Table13[[#This Row],[Good_Qty]]&gt;=Table13[[#This Row],[Planned_Production]],"Met","Not Met")</f>
        <v>Met</v>
      </c>
      <c r="Q800">
        <f>Table13[[#This Row],[Good_Qty]]-Table13[[#This Row],[Planned_Production]]</f>
        <v>23</v>
      </c>
      <c r="R800" s="3">
        <f>IF(Table13[[#This Row],[Actual_Qty]]=0,0,Table13[[#This Row],[Reject_Qty]]/Table13[[#This Row],[Actual_Qty]])</f>
        <v>7.4487895716945996E-3</v>
      </c>
      <c r="S800">
        <v>432.37</v>
      </c>
      <c r="T800">
        <f>(Table13[[#This Row],[Ideal_Cycle_Time_sec]]*Table13[[#This Row],[Actual_Qty]])/(Table13[[#This Row],[Operational_Time_min]]*60)</f>
        <v>0.51749658856997482</v>
      </c>
      <c r="U800">
        <f>Table13[[#This Row],[Good_Qty]]/Table13[[#This Row],[Actual_Qty]]</f>
        <v>0.99255121042830541</v>
      </c>
      <c r="V800" t="str">
        <f>IF(OR(Table13[[#This Row],[Performance_%]]&gt;=1,Table13[[#This Row],[Performance_%]]&lt;=0),"Error","OK")</f>
        <v>OK</v>
      </c>
      <c r="W800" t="str">
        <f>IF(OR(Table13[[#This Row],[Quality_%]]&gt;=1,Table13[[#This Row],[Quality_%]]&lt;=0),"Error","OK")</f>
        <v>OK</v>
      </c>
      <c r="X800">
        <f>Table13[[#This Row],[Performance_%]]*Table13[[#This Row],[Quality_%]]*[2]Availability_KPI!K800</f>
        <v>0.49351851851851852</v>
      </c>
      <c r="Y800" t="str">
        <f>IF(OR(Table13[[#This Row],[OEE_%]]&gt;1,Table13[[#This Row],[OEE_%]]&lt;0),"Error","OK")</f>
        <v>OK</v>
      </c>
    </row>
    <row r="801" spans="1:25" x14ac:dyDescent="0.2">
      <c r="A801" t="s">
        <v>950</v>
      </c>
      <c r="B801" t="s">
        <v>943</v>
      </c>
      <c r="C801" s="2">
        <v>46282</v>
      </c>
      <c r="D801" t="s">
        <v>27</v>
      </c>
      <c r="E801" t="s">
        <v>49</v>
      </c>
      <c r="F801" t="s">
        <v>54</v>
      </c>
      <c r="G801" t="s">
        <v>47</v>
      </c>
      <c r="H801">
        <v>530</v>
      </c>
      <c r="I801">
        <v>528</v>
      </c>
      <c r="J801">
        <v>2</v>
      </c>
      <c r="K801">
        <v>20</v>
      </c>
      <c r="L801">
        <v>20.27</v>
      </c>
      <c r="M801">
        <v>179.06</v>
      </c>
      <c r="N801">
        <f>_xlfn.XLOOKUP(Table13[[#This Row],[Production_Order_ID]],[1]Sheet1!$A$2:$A$391,[1]Sheet1!$F$2:$F$391,"No Match")</f>
        <v>510</v>
      </c>
      <c r="O801" s="3">
        <f>Table13[[#This Row],[Good_Qty]]/Table13[[#This Row],[Planned_Production]]</f>
        <v>1.0352941176470589</v>
      </c>
      <c r="P801" t="str">
        <f>IF(Table13[[#This Row],[Good_Qty]]&gt;=Table13[[#This Row],[Planned_Production]],"Met","Not Met")</f>
        <v>Met</v>
      </c>
      <c r="Q801">
        <f>Table13[[#This Row],[Good_Qty]]-Table13[[#This Row],[Planned_Production]]</f>
        <v>18</v>
      </c>
      <c r="R801" s="3">
        <f>IF(Table13[[#This Row],[Actual_Qty]]=0,0,Table13[[#This Row],[Reject_Qty]]/Table13[[#This Row],[Actual_Qty]])</f>
        <v>3.7735849056603774E-3</v>
      </c>
      <c r="S801">
        <v>441.88</v>
      </c>
      <c r="T801">
        <f>(Table13[[#This Row],[Ideal_Cycle_Time_sec]]*Table13[[#This Row],[Actual_Qty]])/(Table13[[#This Row],[Operational_Time_min]]*60)</f>
        <v>0.39980688573066597</v>
      </c>
      <c r="U801">
        <f>Table13[[#This Row],[Good_Qty]]/Table13[[#This Row],[Actual_Qty]]</f>
        <v>0.99622641509433962</v>
      </c>
      <c r="V801" t="str">
        <f>IF(OR(Table13[[#This Row],[Performance_%]]&gt;=1,Table13[[#This Row],[Performance_%]]&lt;=0),"Error","OK")</f>
        <v>OK</v>
      </c>
      <c r="W801" t="str">
        <f>IF(OR(Table13[[#This Row],[Quality_%]]&gt;=1,Table13[[#This Row],[Quality_%]]&lt;=0),"Error","OK")</f>
        <v>OK</v>
      </c>
      <c r="X801">
        <f>Table13[[#This Row],[Performance_%]]*Table13[[#This Row],[Quality_%]]*[2]Availability_KPI!K801</f>
        <v>0.39111111111111113</v>
      </c>
      <c r="Y801" t="str">
        <f>IF(OR(Table13[[#This Row],[OEE_%]]&gt;1,Table13[[#This Row],[OEE_%]]&lt;0),"Error","OK")</f>
        <v>OK</v>
      </c>
    </row>
    <row r="802" spans="1:25" x14ac:dyDescent="0.2">
      <c r="A802" t="s">
        <v>951</v>
      </c>
      <c r="B802" t="s">
        <v>952</v>
      </c>
      <c r="C802" s="2">
        <v>46282</v>
      </c>
      <c r="D802" t="s">
        <v>53</v>
      </c>
      <c r="E802" t="s">
        <v>28</v>
      </c>
      <c r="F802" t="s">
        <v>54</v>
      </c>
      <c r="G802" t="s">
        <v>75</v>
      </c>
      <c r="H802">
        <v>655</v>
      </c>
      <c r="I802">
        <v>651</v>
      </c>
      <c r="J802">
        <v>4</v>
      </c>
      <c r="K802">
        <v>18</v>
      </c>
      <c r="L802">
        <v>18.2</v>
      </c>
      <c r="M802">
        <v>198.67</v>
      </c>
      <c r="N802">
        <f>_xlfn.XLOOKUP(Table13[[#This Row],[Production_Order_ID]],[1]Sheet1!$A$2:$A$391,[1]Sheet1!$F$2:$F$391,"No Match")</f>
        <v>630</v>
      </c>
      <c r="O802" s="3">
        <f>Table13[[#This Row],[Good_Qty]]/Table13[[#This Row],[Planned_Production]]</f>
        <v>1.0333333333333334</v>
      </c>
      <c r="P802" t="str">
        <f>IF(Table13[[#This Row],[Good_Qty]]&gt;=Table13[[#This Row],[Planned_Production]],"Met","Not Met")</f>
        <v>Met</v>
      </c>
      <c r="Q802">
        <f>Table13[[#This Row],[Good_Qty]]-Table13[[#This Row],[Planned_Production]]</f>
        <v>21</v>
      </c>
      <c r="R802" s="3">
        <f>IF(Table13[[#This Row],[Actual_Qty]]=0,0,Table13[[#This Row],[Reject_Qty]]/Table13[[#This Row],[Actual_Qty]])</f>
        <v>6.1068702290076335E-3</v>
      </c>
      <c r="S802">
        <v>439.04</v>
      </c>
      <c r="T802">
        <f>(Table13[[#This Row],[Ideal_Cycle_Time_sec]]*Table13[[#This Row],[Actual_Qty]])/(Table13[[#This Row],[Operational_Time_min]]*60)</f>
        <v>0.44756741982507287</v>
      </c>
      <c r="U802">
        <f>Table13[[#This Row],[Good_Qty]]/Table13[[#This Row],[Actual_Qty]]</f>
        <v>0.99389312977099231</v>
      </c>
      <c r="V802" t="str">
        <f>IF(OR(Table13[[#This Row],[Performance_%]]&gt;=1,Table13[[#This Row],[Performance_%]]&lt;=0),"Error","OK")</f>
        <v>OK</v>
      </c>
      <c r="W802" t="str">
        <f>IF(OR(Table13[[#This Row],[Quality_%]]&gt;=1,Table13[[#This Row],[Quality_%]]&lt;=0),"Error","OK")</f>
        <v>OK</v>
      </c>
      <c r="X802">
        <f>Table13[[#This Row],[Performance_%]]*Table13[[#This Row],[Quality_%]]*[2]Availability_KPI!K802</f>
        <v>0.434</v>
      </c>
      <c r="Y802" t="str">
        <f>IF(OR(Table13[[#This Row],[OEE_%]]&gt;1,Table13[[#This Row],[OEE_%]]&lt;0),"Error","OK")</f>
        <v>OK</v>
      </c>
    </row>
    <row r="803" spans="1:25" x14ac:dyDescent="0.2">
      <c r="A803" t="s">
        <v>953</v>
      </c>
      <c r="B803" t="s">
        <v>952</v>
      </c>
      <c r="C803" s="2">
        <v>46282</v>
      </c>
      <c r="D803" t="s">
        <v>53</v>
      </c>
      <c r="E803" t="s">
        <v>32</v>
      </c>
      <c r="F803" t="s">
        <v>54</v>
      </c>
      <c r="G803" t="s">
        <v>75</v>
      </c>
      <c r="H803">
        <v>670</v>
      </c>
      <c r="I803">
        <v>664</v>
      </c>
      <c r="J803">
        <v>6</v>
      </c>
      <c r="K803">
        <v>20</v>
      </c>
      <c r="L803">
        <v>20.8</v>
      </c>
      <c r="M803">
        <v>232.26</v>
      </c>
      <c r="N803">
        <f>_xlfn.XLOOKUP(Table13[[#This Row],[Production_Order_ID]],[1]Sheet1!$A$2:$A$391,[1]Sheet1!$F$2:$F$391,"No Match")</f>
        <v>630</v>
      </c>
      <c r="O803" s="3">
        <f>Table13[[#This Row],[Good_Qty]]/Table13[[#This Row],[Planned_Production]]</f>
        <v>1.053968253968254</v>
      </c>
      <c r="P803" t="str">
        <f>IF(Table13[[#This Row],[Good_Qty]]&gt;=Table13[[#This Row],[Planned_Production]],"Met","Not Met")</f>
        <v>Met</v>
      </c>
      <c r="Q803">
        <f>Table13[[#This Row],[Good_Qty]]-Table13[[#This Row],[Planned_Production]]</f>
        <v>34</v>
      </c>
      <c r="R803" s="3">
        <f>IF(Table13[[#This Row],[Actual_Qty]]=0,0,Table13[[#This Row],[Reject_Qty]]/Table13[[#This Row],[Actual_Qty]])</f>
        <v>8.9552238805970154E-3</v>
      </c>
      <c r="S803">
        <v>438.76</v>
      </c>
      <c r="T803">
        <f>(Table13[[#This Row],[Ideal_Cycle_Time_sec]]*Table13[[#This Row],[Actual_Qty]])/(Table13[[#This Row],[Operational_Time_min]]*60)</f>
        <v>0.50901024098216185</v>
      </c>
      <c r="U803">
        <f>Table13[[#This Row],[Good_Qty]]/Table13[[#This Row],[Actual_Qty]]</f>
        <v>0.991044776119403</v>
      </c>
      <c r="V803" t="str">
        <f>IF(OR(Table13[[#This Row],[Performance_%]]&gt;=1,Table13[[#This Row],[Performance_%]]&lt;=0),"Error","OK")</f>
        <v>OK</v>
      </c>
      <c r="W803" t="str">
        <f>IF(OR(Table13[[#This Row],[Quality_%]]&gt;=1,Table13[[#This Row],[Quality_%]]&lt;=0),"Error","OK")</f>
        <v>OK</v>
      </c>
      <c r="X803">
        <f>Table13[[#This Row],[Performance_%]]*Table13[[#This Row],[Quality_%]]*[2]Availability_KPI!K803</f>
        <v>0.49185185185185187</v>
      </c>
      <c r="Y803" t="str">
        <f>IF(OR(Table13[[#This Row],[OEE_%]]&gt;1,Table13[[#This Row],[OEE_%]]&lt;0),"Error","OK")</f>
        <v>OK</v>
      </c>
    </row>
    <row r="804" spans="1:25" x14ac:dyDescent="0.2">
      <c r="A804" t="s">
        <v>954</v>
      </c>
      <c r="B804" t="s">
        <v>952</v>
      </c>
      <c r="C804" s="2">
        <v>46282</v>
      </c>
      <c r="D804" t="s">
        <v>53</v>
      </c>
      <c r="E804" t="s">
        <v>35</v>
      </c>
      <c r="F804" t="s">
        <v>54</v>
      </c>
      <c r="G804" t="s">
        <v>44</v>
      </c>
      <c r="H804">
        <v>661</v>
      </c>
      <c r="I804">
        <v>658</v>
      </c>
      <c r="J804">
        <v>3</v>
      </c>
      <c r="K804">
        <v>22</v>
      </c>
      <c r="L804">
        <v>23.03</v>
      </c>
      <c r="M804">
        <v>253.73</v>
      </c>
      <c r="N804">
        <f>_xlfn.XLOOKUP(Table13[[#This Row],[Production_Order_ID]],[1]Sheet1!$A$2:$A$391,[1]Sheet1!$F$2:$F$391,"No Match")</f>
        <v>630</v>
      </c>
      <c r="O804" s="3">
        <f>Table13[[#This Row],[Good_Qty]]/Table13[[#This Row],[Planned_Production]]</f>
        <v>1.0444444444444445</v>
      </c>
      <c r="P804" t="str">
        <f>IF(Table13[[#This Row],[Good_Qty]]&gt;=Table13[[#This Row],[Planned_Production]],"Met","Not Met")</f>
        <v>Met</v>
      </c>
      <c r="Q804">
        <f>Table13[[#This Row],[Good_Qty]]-Table13[[#This Row],[Planned_Production]]</f>
        <v>28</v>
      </c>
      <c r="R804" s="3">
        <f>IF(Table13[[#This Row],[Actual_Qty]]=0,0,Table13[[#This Row],[Reject_Qty]]/Table13[[#This Row],[Actual_Qty]])</f>
        <v>4.5385779122541605E-3</v>
      </c>
      <c r="S804">
        <v>430.72</v>
      </c>
      <c r="T804">
        <f>(Table13[[#This Row],[Ideal_Cycle_Time_sec]]*Table13[[#This Row],[Actual_Qty]])/(Table13[[#This Row],[Operational_Time_min]]*60)</f>
        <v>0.56270121347201585</v>
      </c>
      <c r="U804">
        <f>Table13[[#This Row],[Good_Qty]]/Table13[[#This Row],[Actual_Qty]]</f>
        <v>0.9954614220877458</v>
      </c>
      <c r="V804" t="str">
        <f>IF(OR(Table13[[#This Row],[Performance_%]]&gt;=1,Table13[[#This Row],[Performance_%]]&lt;=0),"Error","OK")</f>
        <v>OK</v>
      </c>
      <c r="W804" t="str">
        <f>IF(OR(Table13[[#This Row],[Quality_%]]&gt;=1,Table13[[#This Row],[Quality_%]]&lt;=0),"Error","OK")</f>
        <v>OK</v>
      </c>
      <c r="X804">
        <f>Table13[[#This Row],[Performance_%]]*Table13[[#This Row],[Quality_%]]*[2]Availability_KPI!K804</f>
        <v>0.53614814814814826</v>
      </c>
      <c r="Y804" t="str">
        <f>IF(OR(Table13[[#This Row],[OEE_%]]&gt;1,Table13[[#This Row],[OEE_%]]&lt;0),"Error","OK")</f>
        <v>OK</v>
      </c>
    </row>
    <row r="805" spans="1:25" x14ac:dyDescent="0.2">
      <c r="A805" t="s">
        <v>955</v>
      </c>
      <c r="B805" t="s">
        <v>952</v>
      </c>
      <c r="C805" s="2">
        <v>46282</v>
      </c>
      <c r="D805" t="s">
        <v>53</v>
      </c>
      <c r="E805" t="s">
        <v>38</v>
      </c>
      <c r="F805" t="s">
        <v>54</v>
      </c>
      <c r="G805" t="s">
        <v>44</v>
      </c>
      <c r="H805">
        <v>654</v>
      </c>
      <c r="I805">
        <v>649</v>
      </c>
      <c r="J805">
        <v>5</v>
      </c>
      <c r="K805">
        <v>20</v>
      </c>
      <c r="L805">
        <v>20.57</v>
      </c>
      <c r="M805">
        <v>224.19</v>
      </c>
      <c r="N805">
        <f>_xlfn.XLOOKUP(Table13[[#This Row],[Production_Order_ID]],[1]Sheet1!$A$2:$A$391,[1]Sheet1!$F$2:$F$391,"No Match")</f>
        <v>630</v>
      </c>
      <c r="O805" s="3">
        <f>Table13[[#This Row],[Good_Qty]]/Table13[[#This Row],[Planned_Production]]</f>
        <v>1.0301587301587301</v>
      </c>
      <c r="P805" t="str">
        <f>IF(Table13[[#This Row],[Good_Qty]]&gt;=Table13[[#This Row],[Planned_Production]],"Met","Not Met")</f>
        <v>Met</v>
      </c>
      <c r="Q805">
        <f>Table13[[#This Row],[Good_Qty]]-Table13[[#This Row],[Planned_Production]]</f>
        <v>19</v>
      </c>
      <c r="R805" s="3">
        <f>IF(Table13[[#This Row],[Actual_Qty]]=0,0,Table13[[#This Row],[Reject_Qty]]/Table13[[#This Row],[Actual_Qty]])</f>
        <v>7.6452599388379203E-3</v>
      </c>
      <c r="S805">
        <v>439.71</v>
      </c>
      <c r="T805">
        <f>(Table13[[#This Row],[Ideal_Cycle_Time_sec]]*Table13[[#This Row],[Actual_Qty]])/(Table13[[#This Row],[Operational_Time_min]]*60)</f>
        <v>0.49578131040913331</v>
      </c>
      <c r="U805">
        <f>Table13[[#This Row],[Good_Qty]]/Table13[[#This Row],[Actual_Qty]]</f>
        <v>0.99235474006116209</v>
      </c>
      <c r="V805" t="str">
        <f>IF(OR(Table13[[#This Row],[Performance_%]]&gt;=1,Table13[[#This Row],[Performance_%]]&lt;=0),"Error","OK")</f>
        <v>OK</v>
      </c>
      <c r="W805" t="str">
        <f>IF(OR(Table13[[#This Row],[Quality_%]]&gt;=1,Table13[[#This Row],[Quality_%]]&lt;=0),"Error","OK")</f>
        <v>OK</v>
      </c>
      <c r="X805">
        <f>Table13[[#This Row],[Performance_%]]*Table13[[#This Row],[Quality_%]]*[2]Availability_KPI!K805</f>
        <v>0.48074074074074075</v>
      </c>
      <c r="Y805" t="str">
        <f>IF(OR(Table13[[#This Row],[OEE_%]]&gt;1,Table13[[#This Row],[OEE_%]]&lt;0),"Error","OK")</f>
        <v>OK</v>
      </c>
    </row>
    <row r="806" spans="1:25" x14ac:dyDescent="0.2">
      <c r="A806" t="s">
        <v>956</v>
      </c>
      <c r="B806" t="s">
        <v>952</v>
      </c>
      <c r="C806" s="2">
        <v>46282</v>
      </c>
      <c r="D806" t="s">
        <v>53</v>
      </c>
      <c r="E806" t="s">
        <v>41</v>
      </c>
      <c r="F806" t="s">
        <v>54</v>
      </c>
      <c r="G806" t="s">
        <v>55</v>
      </c>
      <c r="H806">
        <v>657</v>
      </c>
      <c r="I806">
        <v>654</v>
      </c>
      <c r="J806">
        <v>3</v>
      </c>
      <c r="K806">
        <v>18</v>
      </c>
      <c r="L806">
        <v>18.690000000000001</v>
      </c>
      <c r="M806">
        <v>204.68</v>
      </c>
      <c r="N806">
        <f>_xlfn.XLOOKUP(Table13[[#This Row],[Production_Order_ID]],[1]Sheet1!$A$2:$A$391,[1]Sheet1!$F$2:$F$391,"No Match")</f>
        <v>630</v>
      </c>
      <c r="O806" s="3">
        <f>Table13[[#This Row],[Good_Qty]]/Table13[[#This Row],[Planned_Production]]</f>
        <v>1.0380952380952382</v>
      </c>
      <c r="P806" t="str">
        <f>IF(Table13[[#This Row],[Good_Qty]]&gt;=Table13[[#This Row],[Planned_Production]],"Met","Not Met")</f>
        <v>Met</v>
      </c>
      <c r="Q806">
        <f>Table13[[#This Row],[Good_Qty]]-Table13[[#This Row],[Planned_Production]]</f>
        <v>24</v>
      </c>
      <c r="R806" s="3">
        <f>IF(Table13[[#This Row],[Actual_Qty]]=0,0,Table13[[#This Row],[Reject_Qty]]/Table13[[#This Row],[Actual_Qty]])</f>
        <v>4.5662100456621002E-3</v>
      </c>
      <c r="S806">
        <v>440.33</v>
      </c>
      <c r="T806">
        <f>(Table13[[#This Row],[Ideal_Cycle_Time_sec]]*Table13[[#This Row],[Actual_Qty]])/(Table13[[#This Row],[Operational_Time_min]]*60)</f>
        <v>0.44761883133104718</v>
      </c>
      <c r="U806">
        <f>Table13[[#This Row],[Good_Qty]]/Table13[[#This Row],[Actual_Qty]]</f>
        <v>0.99543378995433784</v>
      </c>
      <c r="V806" t="str">
        <f>IF(OR(Table13[[#This Row],[Performance_%]]&gt;=1,Table13[[#This Row],[Performance_%]]&lt;=0),"Error","OK")</f>
        <v>OK</v>
      </c>
      <c r="W806" t="str">
        <f>IF(OR(Table13[[#This Row],[Quality_%]]&gt;=1,Table13[[#This Row],[Quality_%]]&lt;=0),"Error","OK")</f>
        <v>OK</v>
      </c>
      <c r="X806">
        <f>Table13[[#This Row],[Performance_%]]*Table13[[#This Row],[Quality_%]]*[2]Availability_KPI!K806</f>
        <v>0.436</v>
      </c>
      <c r="Y806" t="str">
        <f>IF(OR(Table13[[#This Row],[OEE_%]]&gt;1,Table13[[#This Row],[OEE_%]]&lt;0),"Error","OK")</f>
        <v>OK</v>
      </c>
    </row>
    <row r="807" spans="1:25" x14ac:dyDescent="0.2">
      <c r="A807" t="s">
        <v>957</v>
      </c>
      <c r="B807" t="s">
        <v>952</v>
      </c>
      <c r="C807" s="2">
        <v>46282</v>
      </c>
      <c r="D807" t="s">
        <v>53</v>
      </c>
      <c r="E807" t="s">
        <v>43</v>
      </c>
      <c r="F807" t="s">
        <v>54</v>
      </c>
      <c r="G807" t="s">
        <v>44</v>
      </c>
      <c r="H807">
        <v>651</v>
      </c>
      <c r="I807">
        <v>640</v>
      </c>
      <c r="J807">
        <v>11</v>
      </c>
      <c r="K807">
        <v>32</v>
      </c>
      <c r="L807">
        <v>33.58</v>
      </c>
      <c r="M807">
        <v>364.38</v>
      </c>
      <c r="N807">
        <f>_xlfn.XLOOKUP(Table13[[#This Row],[Production_Order_ID]],[1]Sheet1!$A$2:$A$391,[1]Sheet1!$F$2:$F$391,"No Match")</f>
        <v>630</v>
      </c>
      <c r="O807" s="3">
        <f>Table13[[#This Row],[Good_Qty]]/Table13[[#This Row],[Planned_Production]]</f>
        <v>1.0158730158730158</v>
      </c>
      <c r="P807" t="str">
        <f>IF(Table13[[#This Row],[Good_Qty]]&gt;=Table13[[#This Row],[Planned_Production]],"Met","Not Met")</f>
        <v>Met</v>
      </c>
      <c r="Q807">
        <f>Table13[[#This Row],[Good_Qty]]-Table13[[#This Row],[Planned_Production]]</f>
        <v>10</v>
      </c>
      <c r="R807" s="3">
        <f>IF(Table13[[#This Row],[Actual_Qty]]=0,0,Table13[[#This Row],[Reject_Qty]]/Table13[[#This Row],[Actual_Qty]])</f>
        <v>1.6897081413210446E-2</v>
      </c>
      <c r="S807">
        <v>404.2</v>
      </c>
      <c r="T807">
        <f>(Table13[[#This Row],[Ideal_Cycle_Time_sec]]*Table13[[#This Row],[Actual_Qty]])/(Table13[[#This Row],[Operational_Time_min]]*60)</f>
        <v>0.85898070262246418</v>
      </c>
      <c r="U807">
        <f>Table13[[#This Row],[Good_Qty]]/Table13[[#This Row],[Actual_Qty]]</f>
        <v>0.98310291858678955</v>
      </c>
      <c r="V807" t="str">
        <f>IF(OR(Table13[[#This Row],[Performance_%]]&gt;=1,Table13[[#This Row],[Performance_%]]&lt;=0),"Error","OK")</f>
        <v>OK</v>
      </c>
      <c r="W807" t="str">
        <f>IF(OR(Table13[[#This Row],[Quality_%]]&gt;=1,Table13[[#This Row],[Quality_%]]&lt;=0),"Error","OK")</f>
        <v>OK</v>
      </c>
      <c r="X807">
        <f>Table13[[#This Row],[Performance_%]]*Table13[[#This Row],[Quality_%]]*[2]Availability_KPI!K807</f>
        <v>0.75851851851851848</v>
      </c>
      <c r="Y807" t="str">
        <f>IF(OR(Table13[[#This Row],[OEE_%]]&gt;1,Table13[[#This Row],[OEE_%]]&lt;0),"Error","OK")</f>
        <v>OK</v>
      </c>
    </row>
    <row r="808" spans="1:25" x14ac:dyDescent="0.2">
      <c r="A808" t="s">
        <v>958</v>
      </c>
      <c r="B808" t="s">
        <v>952</v>
      </c>
      <c r="C808" s="2">
        <v>46282</v>
      </c>
      <c r="D808" t="s">
        <v>53</v>
      </c>
      <c r="E808" t="s">
        <v>46</v>
      </c>
      <c r="F808" t="s">
        <v>54</v>
      </c>
      <c r="G808" t="s">
        <v>39</v>
      </c>
      <c r="H808">
        <v>648</v>
      </c>
      <c r="I808">
        <v>641</v>
      </c>
      <c r="J808">
        <v>7</v>
      </c>
      <c r="K808">
        <v>25</v>
      </c>
      <c r="L808">
        <v>25.71</v>
      </c>
      <c r="M808">
        <v>277.69</v>
      </c>
      <c r="N808">
        <f>_xlfn.XLOOKUP(Table13[[#This Row],[Production_Order_ID]],[1]Sheet1!$A$2:$A$391,[1]Sheet1!$F$2:$F$391,"No Match")</f>
        <v>630</v>
      </c>
      <c r="O808" s="3">
        <f>Table13[[#This Row],[Good_Qty]]/Table13[[#This Row],[Planned_Production]]</f>
        <v>1.0174603174603174</v>
      </c>
      <c r="P808" t="str">
        <f>IF(Table13[[#This Row],[Good_Qty]]&gt;=Table13[[#This Row],[Planned_Production]],"Met","Not Met")</f>
        <v>Met</v>
      </c>
      <c r="Q808">
        <f>Table13[[#This Row],[Good_Qty]]-Table13[[#This Row],[Planned_Production]]</f>
        <v>11</v>
      </c>
      <c r="R808" s="3">
        <f>IF(Table13[[#This Row],[Actual_Qty]]=0,0,Table13[[#This Row],[Reject_Qty]]/Table13[[#This Row],[Actual_Qty]])</f>
        <v>1.0802469135802469E-2</v>
      </c>
      <c r="S808">
        <v>429.65</v>
      </c>
      <c r="T808">
        <f>(Table13[[#This Row],[Ideal_Cycle_Time_sec]]*Table13[[#This Row],[Actual_Qty]])/(Table13[[#This Row],[Operational_Time_min]]*60)</f>
        <v>0.6284184801582684</v>
      </c>
      <c r="U808">
        <f>Table13[[#This Row],[Good_Qty]]/Table13[[#This Row],[Actual_Qty]]</f>
        <v>0.98919753086419748</v>
      </c>
      <c r="V808" t="str">
        <f>IF(OR(Table13[[#This Row],[Performance_%]]&gt;=1,Table13[[#This Row],[Performance_%]]&lt;=0),"Error","OK")</f>
        <v>OK</v>
      </c>
      <c r="W808" t="str">
        <f>IF(OR(Table13[[#This Row],[Quality_%]]&gt;=1,Table13[[#This Row],[Quality_%]]&lt;=0),"Error","OK")</f>
        <v>OK</v>
      </c>
      <c r="X808">
        <f>Table13[[#This Row],[Performance_%]]*Table13[[#This Row],[Quality_%]]*[2]Availability_KPI!K808</f>
        <v>0.59351851851851856</v>
      </c>
      <c r="Y808" t="str">
        <f>IF(OR(Table13[[#This Row],[OEE_%]]&gt;1,Table13[[#This Row],[OEE_%]]&lt;0),"Error","OK")</f>
        <v>OK</v>
      </c>
    </row>
    <row r="809" spans="1:25" x14ac:dyDescent="0.2">
      <c r="A809" t="s">
        <v>959</v>
      </c>
      <c r="B809" t="s">
        <v>952</v>
      </c>
      <c r="C809" s="2">
        <v>46282</v>
      </c>
      <c r="D809" t="s">
        <v>53</v>
      </c>
      <c r="E809" t="s">
        <v>49</v>
      </c>
      <c r="F809" t="s">
        <v>54</v>
      </c>
      <c r="G809" t="s">
        <v>50</v>
      </c>
      <c r="H809">
        <v>640</v>
      </c>
      <c r="I809">
        <v>635</v>
      </c>
      <c r="J809">
        <v>5</v>
      </c>
      <c r="K809">
        <v>20</v>
      </c>
      <c r="L809">
        <v>20.87</v>
      </c>
      <c r="M809">
        <v>222.66</v>
      </c>
      <c r="N809">
        <f>_xlfn.XLOOKUP(Table13[[#This Row],[Production_Order_ID]],[1]Sheet1!$A$2:$A$391,[1]Sheet1!$F$2:$F$391,"No Match")</f>
        <v>630</v>
      </c>
      <c r="O809" s="3">
        <f>Table13[[#This Row],[Good_Qty]]/Table13[[#This Row],[Planned_Production]]</f>
        <v>1.0079365079365079</v>
      </c>
      <c r="P809" t="str">
        <f>IF(Table13[[#This Row],[Good_Qty]]&gt;=Table13[[#This Row],[Planned_Production]],"Met","Not Met")</f>
        <v>Met</v>
      </c>
      <c r="Q809">
        <f>Table13[[#This Row],[Good_Qty]]-Table13[[#This Row],[Planned_Production]]</f>
        <v>5</v>
      </c>
      <c r="R809" s="3">
        <f>IF(Table13[[#This Row],[Actual_Qty]]=0,0,Table13[[#This Row],[Reject_Qty]]/Table13[[#This Row],[Actual_Qty]])</f>
        <v>7.8125E-3</v>
      </c>
      <c r="S809">
        <v>442.42</v>
      </c>
      <c r="T809">
        <f>(Table13[[#This Row],[Ideal_Cycle_Time_sec]]*Table13[[#This Row],[Actual_Qty]])/(Table13[[#This Row],[Operational_Time_min]]*60)</f>
        <v>0.48219640462305802</v>
      </c>
      <c r="U809">
        <f>Table13[[#This Row],[Good_Qty]]/Table13[[#This Row],[Actual_Qty]]</f>
        <v>0.9921875</v>
      </c>
      <c r="V809" t="str">
        <f>IF(OR(Table13[[#This Row],[Performance_%]]&gt;=1,Table13[[#This Row],[Performance_%]]&lt;=0),"Error","OK")</f>
        <v>OK</v>
      </c>
      <c r="W809" t="str">
        <f>IF(OR(Table13[[#This Row],[Quality_%]]&gt;=1,Table13[[#This Row],[Quality_%]]&lt;=0),"Error","OK")</f>
        <v>OK</v>
      </c>
      <c r="X809">
        <f>Table13[[#This Row],[Performance_%]]*Table13[[#This Row],[Quality_%]]*[2]Availability_KPI!K809</f>
        <v>0.47037037037037033</v>
      </c>
      <c r="Y809" t="str">
        <f>IF(OR(Table13[[#This Row],[OEE_%]]&gt;1,Table13[[#This Row],[OEE_%]]&lt;0),"Error","OK")</f>
        <v>OK</v>
      </c>
    </row>
    <row r="810" spans="1:25" x14ac:dyDescent="0.2">
      <c r="A810" t="s">
        <v>960</v>
      </c>
      <c r="B810" t="s">
        <v>961</v>
      </c>
      <c r="C810" s="2">
        <v>46282</v>
      </c>
      <c r="D810" t="s">
        <v>67</v>
      </c>
      <c r="E810" t="s">
        <v>28</v>
      </c>
      <c r="F810" t="s">
        <v>54</v>
      </c>
      <c r="G810" t="s">
        <v>47</v>
      </c>
      <c r="H810">
        <v>580</v>
      </c>
      <c r="I810">
        <v>578</v>
      </c>
      <c r="J810">
        <v>2</v>
      </c>
      <c r="K810">
        <v>18</v>
      </c>
      <c r="L810">
        <v>19.760000000000002</v>
      </c>
      <c r="M810">
        <v>191.05</v>
      </c>
      <c r="N810">
        <f>_xlfn.XLOOKUP(Table13[[#This Row],[Production_Order_ID]],[1]Sheet1!$A$2:$A$391,[1]Sheet1!$F$2:$F$391,"No Match")</f>
        <v>520</v>
      </c>
      <c r="O810" s="3">
        <f>Table13[[#This Row],[Good_Qty]]/Table13[[#This Row],[Planned_Production]]</f>
        <v>1.1115384615384616</v>
      </c>
      <c r="P810" t="str">
        <f>IF(Table13[[#This Row],[Good_Qty]]&gt;=Table13[[#This Row],[Planned_Production]],"Met","Not Met")</f>
        <v>Met</v>
      </c>
      <c r="Q810">
        <f>Table13[[#This Row],[Good_Qty]]-Table13[[#This Row],[Planned_Production]]</f>
        <v>58</v>
      </c>
      <c r="R810" s="3">
        <f>IF(Table13[[#This Row],[Actual_Qty]]=0,0,Table13[[#This Row],[Reject_Qty]]/Table13[[#This Row],[Actual_Qty]])</f>
        <v>3.4482758620689655E-3</v>
      </c>
      <c r="S810">
        <v>442.12</v>
      </c>
      <c r="T810">
        <f>(Table13[[#This Row],[Ideal_Cycle_Time_sec]]*Table13[[#This Row],[Actual_Qty]])/(Table13[[#This Row],[Operational_Time_min]]*60)</f>
        <v>0.39355830996109653</v>
      </c>
      <c r="U810">
        <f>Table13[[#This Row],[Good_Qty]]/Table13[[#This Row],[Actual_Qty]]</f>
        <v>0.99655172413793103</v>
      </c>
      <c r="V810" t="str">
        <f>IF(OR(Table13[[#This Row],[Performance_%]]&gt;=1,Table13[[#This Row],[Performance_%]]&lt;=0),"Error","OK")</f>
        <v>OK</v>
      </c>
      <c r="W810" t="str">
        <f>IF(OR(Table13[[#This Row],[Quality_%]]&gt;=1,Table13[[#This Row],[Quality_%]]&lt;=0),"Error","OK")</f>
        <v>OK</v>
      </c>
      <c r="X810">
        <f>Table13[[#This Row],[Performance_%]]*Table13[[#This Row],[Quality_%]]*[2]Availability_KPI!K810</f>
        <v>0.38533333333333331</v>
      </c>
      <c r="Y810" t="str">
        <f>IF(OR(Table13[[#This Row],[OEE_%]]&gt;1,Table13[[#This Row],[OEE_%]]&lt;0),"Error","OK")</f>
        <v>OK</v>
      </c>
    </row>
    <row r="811" spans="1:25" x14ac:dyDescent="0.2">
      <c r="A811" t="s">
        <v>962</v>
      </c>
      <c r="B811" t="s">
        <v>961</v>
      </c>
      <c r="C811" s="2">
        <v>46282</v>
      </c>
      <c r="D811" t="s">
        <v>67</v>
      </c>
      <c r="E811" t="s">
        <v>32</v>
      </c>
      <c r="F811" t="s">
        <v>54</v>
      </c>
      <c r="G811" t="s">
        <v>44</v>
      </c>
      <c r="H811">
        <v>579</v>
      </c>
      <c r="I811">
        <v>575</v>
      </c>
      <c r="J811">
        <v>4</v>
      </c>
      <c r="K811">
        <v>20</v>
      </c>
      <c r="L811">
        <v>21.44</v>
      </c>
      <c r="M811">
        <v>206.87</v>
      </c>
      <c r="N811">
        <f>_xlfn.XLOOKUP(Table13[[#This Row],[Production_Order_ID]],[1]Sheet1!$A$2:$A$391,[1]Sheet1!$F$2:$F$391,"No Match")</f>
        <v>520</v>
      </c>
      <c r="O811" s="3">
        <f>Table13[[#This Row],[Good_Qty]]/Table13[[#This Row],[Planned_Production]]</f>
        <v>1.1057692307692308</v>
      </c>
      <c r="P811" t="str">
        <f>IF(Table13[[#This Row],[Good_Qty]]&gt;=Table13[[#This Row],[Planned_Production]],"Met","Not Met")</f>
        <v>Met</v>
      </c>
      <c r="Q811">
        <f>Table13[[#This Row],[Good_Qty]]-Table13[[#This Row],[Planned_Production]]</f>
        <v>55</v>
      </c>
      <c r="R811" s="3">
        <f>IF(Table13[[#This Row],[Actual_Qty]]=0,0,Table13[[#This Row],[Reject_Qty]]/Table13[[#This Row],[Actual_Qty]])</f>
        <v>6.9084628670120895E-3</v>
      </c>
      <c r="S811">
        <v>438.86</v>
      </c>
      <c r="T811">
        <f>(Table13[[#This Row],[Ideal_Cycle_Time_sec]]*Table13[[#This Row],[Actual_Qty]])/(Table13[[#This Row],[Operational_Time_min]]*60)</f>
        <v>0.43977578270974793</v>
      </c>
      <c r="U811">
        <f>Table13[[#This Row],[Good_Qty]]/Table13[[#This Row],[Actual_Qty]]</f>
        <v>0.99309153713298792</v>
      </c>
      <c r="V811" t="str">
        <f>IF(OR(Table13[[#This Row],[Performance_%]]&gt;=1,Table13[[#This Row],[Performance_%]]&lt;=0),"Error","OK")</f>
        <v>OK</v>
      </c>
      <c r="W811" t="str">
        <f>IF(OR(Table13[[#This Row],[Quality_%]]&gt;=1,Table13[[#This Row],[Quality_%]]&lt;=0),"Error","OK")</f>
        <v>OK</v>
      </c>
      <c r="X811">
        <f>Table13[[#This Row],[Performance_%]]*Table13[[#This Row],[Quality_%]]*[2]Availability_KPI!K811</f>
        <v>0.42592592592592593</v>
      </c>
      <c r="Y811" t="str">
        <f>IF(OR(Table13[[#This Row],[OEE_%]]&gt;1,Table13[[#This Row],[OEE_%]]&lt;0),"Error","OK")</f>
        <v>OK</v>
      </c>
    </row>
    <row r="812" spans="1:25" x14ac:dyDescent="0.2">
      <c r="A812" t="s">
        <v>963</v>
      </c>
      <c r="B812" t="s">
        <v>961</v>
      </c>
      <c r="C812" s="2">
        <v>46282</v>
      </c>
      <c r="D812" t="s">
        <v>67</v>
      </c>
      <c r="E812" t="s">
        <v>35</v>
      </c>
      <c r="F812" t="s">
        <v>54</v>
      </c>
      <c r="G812" t="s">
        <v>50</v>
      </c>
      <c r="H812">
        <v>592</v>
      </c>
      <c r="I812">
        <v>588</v>
      </c>
      <c r="J812">
        <v>4</v>
      </c>
      <c r="K812">
        <v>22</v>
      </c>
      <c r="L812">
        <v>22.63</v>
      </c>
      <c r="M812">
        <v>223.26</v>
      </c>
      <c r="N812">
        <f>_xlfn.XLOOKUP(Table13[[#This Row],[Production_Order_ID]],[1]Sheet1!$A$2:$A$391,[1]Sheet1!$F$2:$F$391,"No Match")</f>
        <v>520</v>
      </c>
      <c r="O812" s="3">
        <f>Table13[[#This Row],[Good_Qty]]/Table13[[#This Row],[Planned_Production]]</f>
        <v>1.1307692307692307</v>
      </c>
      <c r="P812" t="str">
        <f>IF(Table13[[#This Row],[Good_Qty]]&gt;=Table13[[#This Row],[Planned_Production]],"Met","Not Met")</f>
        <v>Met</v>
      </c>
      <c r="Q812">
        <f>Table13[[#This Row],[Good_Qty]]-Table13[[#This Row],[Planned_Production]]</f>
        <v>68</v>
      </c>
      <c r="R812" s="3">
        <f>IF(Table13[[#This Row],[Actual_Qty]]=0,0,Table13[[#This Row],[Reject_Qty]]/Table13[[#This Row],[Actual_Qty]])</f>
        <v>6.7567567567567571E-3</v>
      </c>
      <c r="S812">
        <v>435.3</v>
      </c>
      <c r="T812">
        <f>(Table13[[#This Row],[Ideal_Cycle_Time_sec]]*Table13[[#This Row],[Actual_Qty]])/(Table13[[#This Row],[Operational_Time_min]]*60)</f>
        <v>0.49865992801899073</v>
      </c>
      <c r="U812">
        <f>Table13[[#This Row],[Good_Qty]]/Table13[[#This Row],[Actual_Qty]]</f>
        <v>0.9932432432432432</v>
      </c>
      <c r="V812" t="str">
        <f>IF(OR(Table13[[#This Row],[Performance_%]]&gt;=1,Table13[[#This Row],[Performance_%]]&lt;=0),"Error","OK")</f>
        <v>OK</v>
      </c>
      <c r="W812" t="str">
        <f>IF(OR(Table13[[#This Row],[Quality_%]]&gt;=1,Table13[[#This Row],[Quality_%]]&lt;=0),"Error","OK")</f>
        <v>OK</v>
      </c>
      <c r="X812">
        <f>Table13[[#This Row],[Performance_%]]*Table13[[#This Row],[Quality_%]]*[2]Availability_KPI!K812</f>
        <v>0.4791111111111111</v>
      </c>
      <c r="Y812" t="str">
        <f>IF(OR(Table13[[#This Row],[OEE_%]]&gt;1,Table13[[#This Row],[OEE_%]]&lt;0),"Error","OK")</f>
        <v>OK</v>
      </c>
    </row>
    <row r="813" spans="1:25" x14ac:dyDescent="0.2">
      <c r="A813" t="s">
        <v>964</v>
      </c>
      <c r="B813" t="s">
        <v>961</v>
      </c>
      <c r="C813" s="2">
        <v>46282</v>
      </c>
      <c r="D813" t="s">
        <v>67</v>
      </c>
      <c r="E813" t="s">
        <v>38</v>
      </c>
      <c r="F813" t="s">
        <v>54</v>
      </c>
      <c r="G813" t="s">
        <v>47</v>
      </c>
      <c r="H813">
        <v>578</v>
      </c>
      <c r="I813">
        <v>574</v>
      </c>
      <c r="J813">
        <v>4</v>
      </c>
      <c r="K813">
        <v>20</v>
      </c>
      <c r="L813">
        <v>20.95</v>
      </c>
      <c r="M813">
        <v>201.86</v>
      </c>
      <c r="N813">
        <f>_xlfn.XLOOKUP(Table13[[#This Row],[Production_Order_ID]],[1]Sheet1!$A$2:$A$391,[1]Sheet1!$F$2:$F$391,"No Match")</f>
        <v>520</v>
      </c>
      <c r="O813" s="3">
        <f>Table13[[#This Row],[Good_Qty]]/Table13[[#This Row],[Planned_Production]]</f>
        <v>1.1038461538461539</v>
      </c>
      <c r="P813" t="str">
        <f>IF(Table13[[#This Row],[Good_Qty]]&gt;=Table13[[#This Row],[Planned_Production]],"Met","Not Met")</f>
        <v>Met</v>
      </c>
      <c r="Q813">
        <f>Table13[[#This Row],[Good_Qty]]-Table13[[#This Row],[Planned_Production]]</f>
        <v>54</v>
      </c>
      <c r="R813" s="3">
        <f>IF(Table13[[#This Row],[Actual_Qty]]=0,0,Table13[[#This Row],[Reject_Qty]]/Table13[[#This Row],[Actual_Qty]])</f>
        <v>6.920415224913495E-3</v>
      </c>
      <c r="S813">
        <v>438.35</v>
      </c>
      <c r="T813">
        <f>(Table13[[#This Row],[Ideal_Cycle_Time_sec]]*Table13[[#This Row],[Actual_Qty]])/(Table13[[#This Row],[Operational_Time_min]]*60)</f>
        <v>0.43952701418197027</v>
      </c>
      <c r="U813">
        <f>Table13[[#This Row],[Good_Qty]]/Table13[[#This Row],[Actual_Qty]]</f>
        <v>0.99307958477508651</v>
      </c>
      <c r="V813" t="str">
        <f>IF(OR(Table13[[#This Row],[Performance_%]]&gt;=1,Table13[[#This Row],[Performance_%]]&lt;=0),"Error","OK")</f>
        <v>OK</v>
      </c>
      <c r="W813" t="str">
        <f>IF(OR(Table13[[#This Row],[Quality_%]]&gt;=1,Table13[[#This Row],[Quality_%]]&lt;=0),"Error","OK")</f>
        <v>OK</v>
      </c>
      <c r="X813">
        <f>Table13[[#This Row],[Performance_%]]*Table13[[#This Row],[Quality_%]]*[2]Availability_KPI!K813</f>
        <v>0.42518518518518517</v>
      </c>
      <c r="Y813" t="str">
        <f>IF(OR(Table13[[#This Row],[OEE_%]]&gt;1,Table13[[#This Row],[OEE_%]]&lt;0),"Error","OK")</f>
        <v>OK</v>
      </c>
    </row>
    <row r="814" spans="1:25" x14ac:dyDescent="0.2">
      <c r="A814" t="s">
        <v>965</v>
      </c>
      <c r="B814" t="s">
        <v>961</v>
      </c>
      <c r="C814" s="2">
        <v>46282</v>
      </c>
      <c r="D814" t="s">
        <v>67</v>
      </c>
      <c r="E814" t="s">
        <v>41</v>
      </c>
      <c r="F814" t="s">
        <v>54</v>
      </c>
      <c r="G814" t="s">
        <v>71</v>
      </c>
      <c r="H814">
        <v>571</v>
      </c>
      <c r="I814">
        <v>568</v>
      </c>
      <c r="J814">
        <v>3</v>
      </c>
      <c r="K814">
        <v>18</v>
      </c>
      <c r="L814">
        <v>19.989999999999998</v>
      </c>
      <c r="M814">
        <v>190.25</v>
      </c>
      <c r="N814">
        <f>_xlfn.XLOOKUP(Table13[[#This Row],[Production_Order_ID]],[1]Sheet1!$A$2:$A$391,[1]Sheet1!$F$2:$F$391,"No Match")</f>
        <v>520</v>
      </c>
      <c r="O814" s="3">
        <f>Table13[[#This Row],[Good_Qty]]/Table13[[#This Row],[Planned_Production]]</f>
        <v>1.0923076923076922</v>
      </c>
      <c r="P814" t="str">
        <f>IF(Table13[[#This Row],[Good_Qty]]&gt;=Table13[[#This Row],[Planned_Production]],"Met","Not Met")</f>
        <v>Met</v>
      </c>
      <c r="Q814">
        <f>Table13[[#This Row],[Good_Qty]]-Table13[[#This Row],[Planned_Production]]</f>
        <v>48</v>
      </c>
      <c r="R814" s="3">
        <f>IF(Table13[[#This Row],[Actual_Qty]]=0,0,Table13[[#This Row],[Reject_Qty]]/Table13[[#This Row],[Actual_Qty]])</f>
        <v>5.2539404553415062E-3</v>
      </c>
      <c r="S814">
        <v>439.83</v>
      </c>
      <c r="T814">
        <f>(Table13[[#This Row],[Ideal_Cycle_Time_sec]]*Table13[[#This Row],[Actual_Qty]])/(Table13[[#This Row],[Operational_Time_min]]*60)</f>
        <v>0.38946865834526978</v>
      </c>
      <c r="U814">
        <f>Table13[[#This Row],[Good_Qty]]/Table13[[#This Row],[Actual_Qty]]</f>
        <v>0.99474605954465845</v>
      </c>
      <c r="V814" t="str">
        <f>IF(OR(Table13[[#This Row],[Performance_%]]&gt;=1,Table13[[#This Row],[Performance_%]]&lt;=0),"Error","OK")</f>
        <v>OK</v>
      </c>
      <c r="W814" t="str">
        <f>IF(OR(Table13[[#This Row],[Quality_%]]&gt;=1,Table13[[#This Row],[Quality_%]]&lt;=0),"Error","OK")</f>
        <v>OK</v>
      </c>
      <c r="X814">
        <f>Table13[[#This Row],[Performance_%]]*Table13[[#This Row],[Quality_%]]*[2]Availability_KPI!K814</f>
        <v>0.37866666666666665</v>
      </c>
      <c r="Y814" t="str">
        <f>IF(OR(Table13[[#This Row],[OEE_%]]&gt;1,Table13[[#This Row],[OEE_%]]&lt;0),"Error","OK")</f>
        <v>OK</v>
      </c>
    </row>
    <row r="815" spans="1:25" x14ac:dyDescent="0.2">
      <c r="A815" t="s">
        <v>966</v>
      </c>
      <c r="B815" t="s">
        <v>961</v>
      </c>
      <c r="C815" s="2">
        <v>46282</v>
      </c>
      <c r="D815" t="s">
        <v>67</v>
      </c>
      <c r="E815" t="s">
        <v>43</v>
      </c>
      <c r="F815" t="s">
        <v>54</v>
      </c>
      <c r="G815" t="s">
        <v>47</v>
      </c>
      <c r="H815">
        <v>579</v>
      </c>
      <c r="I815">
        <v>571</v>
      </c>
      <c r="J815">
        <v>8</v>
      </c>
      <c r="K815">
        <v>32</v>
      </c>
      <c r="L815">
        <v>34.049999999999997</v>
      </c>
      <c r="M815">
        <v>328.62</v>
      </c>
      <c r="N815">
        <f>_xlfn.XLOOKUP(Table13[[#This Row],[Production_Order_ID]],[1]Sheet1!$A$2:$A$391,[1]Sheet1!$F$2:$F$391,"No Match")</f>
        <v>520</v>
      </c>
      <c r="O815" s="3">
        <f>Table13[[#This Row],[Good_Qty]]/Table13[[#This Row],[Planned_Production]]</f>
        <v>1.0980769230769232</v>
      </c>
      <c r="P815" t="str">
        <f>IF(Table13[[#This Row],[Good_Qty]]&gt;=Table13[[#This Row],[Planned_Production]],"Met","Not Met")</f>
        <v>Met</v>
      </c>
      <c r="Q815">
        <f>Table13[[#This Row],[Good_Qty]]-Table13[[#This Row],[Planned_Production]]</f>
        <v>51</v>
      </c>
      <c r="R815" s="3">
        <f>IF(Table13[[#This Row],[Actual_Qty]]=0,0,Table13[[#This Row],[Reject_Qty]]/Table13[[#This Row],[Actual_Qty]])</f>
        <v>1.3816925734024179E-2</v>
      </c>
      <c r="S815">
        <v>415.49</v>
      </c>
      <c r="T815">
        <f>(Table13[[#This Row],[Ideal_Cycle_Time_sec]]*Table13[[#This Row],[Actual_Qty]])/(Table13[[#This Row],[Operational_Time_min]]*60)</f>
        <v>0.74321885003249166</v>
      </c>
      <c r="U815">
        <f>Table13[[#This Row],[Good_Qty]]/Table13[[#This Row],[Actual_Qty]]</f>
        <v>0.98618307426597585</v>
      </c>
      <c r="V815" t="str">
        <f>IF(OR(Table13[[#This Row],[Performance_%]]&gt;=1,Table13[[#This Row],[Performance_%]]&lt;=0),"Error","OK")</f>
        <v>OK</v>
      </c>
      <c r="W815" t="str">
        <f>IF(OR(Table13[[#This Row],[Quality_%]]&gt;=1,Table13[[#This Row],[Quality_%]]&lt;=0),"Error","OK")</f>
        <v>OK</v>
      </c>
      <c r="X815">
        <f>Table13[[#This Row],[Performance_%]]*Table13[[#This Row],[Quality_%]]*[2]Availability_KPI!K815</f>
        <v>0.67674074074074064</v>
      </c>
      <c r="Y815" t="str">
        <f>IF(OR(Table13[[#This Row],[OEE_%]]&gt;1,Table13[[#This Row],[OEE_%]]&lt;0),"Error","OK")</f>
        <v>OK</v>
      </c>
    </row>
    <row r="816" spans="1:25" x14ac:dyDescent="0.2">
      <c r="A816" t="s">
        <v>967</v>
      </c>
      <c r="B816" t="s">
        <v>961</v>
      </c>
      <c r="C816" s="2">
        <v>46282</v>
      </c>
      <c r="D816" t="s">
        <v>67</v>
      </c>
      <c r="E816" t="s">
        <v>46</v>
      </c>
      <c r="F816" t="s">
        <v>54</v>
      </c>
      <c r="G816" t="s">
        <v>55</v>
      </c>
      <c r="H816">
        <v>581</v>
      </c>
      <c r="I816">
        <v>576</v>
      </c>
      <c r="J816">
        <v>5</v>
      </c>
      <c r="K816">
        <v>25</v>
      </c>
      <c r="L816">
        <v>25.77</v>
      </c>
      <c r="M816">
        <v>249.53</v>
      </c>
      <c r="N816">
        <f>_xlfn.XLOOKUP(Table13[[#This Row],[Production_Order_ID]],[1]Sheet1!$A$2:$A$391,[1]Sheet1!$F$2:$F$391,"No Match")</f>
        <v>520</v>
      </c>
      <c r="O816" s="3">
        <f>Table13[[#This Row],[Good_Qty]]/Table13[[#This Row],[Planned_Production]]</f>
        <v>1.1076923076923078</v>
      </c>
      <c r="P816" t="str">
        <f>IF(Table13[[#This Row],[Good_Qty]]&gt;=Table13[[#This Row],[Planned_Production]],"Met","Not Met")</f>
        <v>Met</v>
      </c>
      <c r="Q816">
        <f>Table13[[#This Row],[Good_Qty]]-Table13[[#This Row],[Planned_Production]]</f>
        <v>56</v>
      </c>
      <c r="R816" s="3">
        <f>IF(Table13[[#This Row],[Actual_Qty]]=0,0,Table13[[#This Row],[Reject_Qty]]/Table13[[#This Row],[Actual_Qty]])</f>
        <v>8.6058519793459545E-3</v>
      </c>
      <c r="S816">
        <v>432.81</v>
      </c>
      <c r="T816">
        <f>(Table13[[#This Row],[Ideal_Cycle_Time_sec]]*Table13[[#This Row],[Actual_Qty]])/(Table13[[#This Row],[Operational_Time_min]]*60)</f>
        <v>0.55932934389994071</v>
      </c>
      <c r="U816">
        <f>Table13[[#This Row],[Good_Qty]]/Table13[[#This Row],[Actual_Qty]]</f>
        <v>0.99139414802065406</v>
      </c>
      <c r="V816" t="str">
        <f>IF(OR(Table13[[#This Row],[Performance_%]]&gt;=1,Table13[[#This Row],[Performance_%]]&lt;=0),"Error","OK")</f>
        <v>OK</v>
      </c>
      <c r="W816" t="str">
        <f>IF(OR(Table13[[#This Row],[Quality_%]]&gt;=1,Table13[[#This Row],[Quality_%]]&lt;=0),"Error","OK")</f>
        <v>OK</v>
      </c>
      <c r="X816">
        <f>Table13[[#This Row],[Performance_%]]*Table13[[#This Row],[Quality_%]]*[2]Availability_KPI!K816</f>
        <v>0.53333333333333333</v>
      </c>
      <c r="Y816" t="str">
        <f>IF(OR(Table13[[#This Row],[OEE_%]]&gt;1,Table13[[#This Row],[OEE_%]]&lt;0),"Error","OK")</f>
        <v>OK</v>
      </c>
    </row>
    <row r="817" spans="1:25" x14ac:dyDescent="0.2">
      <c r="A817" t="s">
        <v>968</v>
      </c>
      <c r="B817" t="s">
        <v>961</v>
      </c>
      <c r="C817" s="2">
        <v>46282</v>
      </c>
      <c r="D817" t="s">
        <v>67</v>
      </c>
      <c r="E817" t="s">
        <v>49</v>
      </c>
      <c r="F817" t="s">
        <v>54</v>
      </c>
      <c r="G817" t="s">
        <v>71</v>
      </c>
      <c r="H817">
        <v>584</v>
      </c>
      <c r="I817">
        <v>580</v>
      </c>
      <c r="J817">
        <v>4</v>
      </c>
      <c r="K817">
        <v>20</v>
      </c>
      <c r="L817">
        <v>20.61</v>
      </c>
      <c r="M817">
        <v>200.61</v>
      </c>
      <c r="N817">
        <f>_xlfn.XLOOKUP(Table13[[#This Row],[Production_Order_ID]],[1]Sheet1!$A$2:$A$391,[1]Sheet1!$F$2:$F$391,"No Match")</f>
        <v>520</v>
      </c>
      <c r="O817" s="3">
        <f>Table13[[#This Row],[Good_Qty]]/Table13[[#This Row],[Planned_Production]]</f>
        <v>1.1153846153846154</v>
      </c>
      <c r="P817" t="str">
        <f>IF(Table13[[#This Row],[Good_Qty]]&gt;=Table13[[#This Row],[Planned_Production]],"Met","Not Met")</f>
        <v>Met</v>
      </c>
      <c r="Q817">
        <f>Table13[[#This Row],[Good_Qty]]-Table13[[#This Row],[Planned_Production]]</f>
        <v>60</v>
      </c>
      <c r="R817" s="3">
        <f>IF(Table13[[#This Row],[Actual_Qty]]=0,0,Table13[[#This Row],[Reject_Qty]]/Table13[[#This Row],[Actual_Qty]])</f>
        <v>6.8493150684931503E-3</v>
      </c>
      <c r="S817">
        <v>441.92</v>
      </c>
      <c r="T817">
        <f>(Table13[[#This Row],[Ideal_Cycle_Time_sec]]*Table13[[#This Row],[Actual_Qty]])/(Table13[[#This Row],[Operational_Time_min]]*60)</f>
        <v>0.44050205165339124</v>
      </c>
      <c r="U817">
        <f>Table13[[#This Row],[Good_Qty]]/Table13[[#This Row],[Actual_Qty]]</f>
        <v>0.99315068493150682</v>
      </c>
      <c r="V817" t="str">
        <f>IF(OR(Table13[[#This Row],[Performance_%]]&gt;=1,Table13[[#This Row],[Performance_%]]&lt;=0),"Error","OK")</f>
        <v>OK</v>
      </c>
      <c r="W817" t="str">
        <f>IF(OR(Table13[[#This Row],[Quality_%]]&gt;=1,Table13[[#This Row],[Quality_%]]&lt;=0),"Error","OK")</f>
        <v>OK</v>
      </c>
      <c r="X817">
        <f>Table13[[#This Row],[Performance_%]]*Table13[[#This Row],[Quality_%]]*[2]Availability_KPI!K817</f>
        <v>0.42962962962962964</v>
      </c>
      <c r="Y817" t="str">
        <f>IF(OR(Table13[[#This Row],[OEE_%]]&gt;1,Table13[[#This Row],[OEE_%]]&lt;0),"Error","OK")</f>
        <v>OK</v>
      </c>
    </row>
    <row r="818" spans="1:25" x14ac:dyDescent="0.2">
      <c r="A818" t="s">
        <v>969</v>
      </c>
      <c r="B818" t="s">
        <v>970</v>
      </c>
      <c r="C818" s="2">
        <v>46283</v>
      </c>
      <c r="D818" t="s">
        <v>27</v>
      </c>
      <c r="E818" t="s">
        <v>28</v>
      </c>
      <c r="F818" t="s">
        <v>29</v>
      </c>
      <c r="G818" t="s">
        <v>47</v>
      </c>
      <c r="H818">
        <v>620</v>
      </c>
      <c r="I818">
        <v>617</v>
      </c>
      <c r="J818">
        <v>3</v>
      </c>
      <c r="K818">
        <v>19.8</v>
      </c>
      <c r="L818">
        <v>20.49</v>
      </c>
      <c r="M818">
        <v>211.77</v>
      </c>
      <c r="N818">
        <f>_xlfn.XLOOKUP(Table13[[#This Row],[Production_Order_ID]],[1]Sheet1!$A$2:$A$391,[1]Sheet1!$F$2:$F$391,"No Match")</f>
        <v>540</v>
      </c>
      <c r="O818" s="3">
        <f>Table13[[#This Row],[Good_Qty]]/Table13[[#This Row],[Planned_Production]]</f>
        <v>1.1425925925925926</v>
      </c>
      <c r="P818" t="str">
        <f>IF(Table13[[#This Row],[Good_Qty]]&gt;=Table13[[#This Row],[Planned_Production]],"Met","Not Met")</f>
        <v>Met</v>
      </c>
      <c r="Q818">
        <f>Table13[[#This Row],[Good_Qty]]-Table13[[#This Row],[Planned_Production]]</f>
        <v>77</v>
      </c>
      <c r="R818" s="3">
        <f>IF(Table13[[#This Row],[Actual_Qty]]=0,0,Table13[[#This Row],[Reject_Qty]]/Table13[[#This Row],[Actual_Qty]])</f>
        <v>4.8387096774193551E-3</v>
      </c>
      <c r="S818">
        <v>440.68</v>
      </c>
      <c r="T818">
        <f>(Table13[[#This Row],[Ideal_Cycle_Time_sec]]*Table13[[#This Row],[Actual_Qty]])/(Table13[[#This Row],[Operational_Time_min]]*60)</f>
        <v>0.46428247254243443</v>
      </c>
      <c r="U818">
        <f>Table13[[#This Row],[Good_Qty]]/Table13[[#This Row],[Actual_Qty]]</f>
        <v>0.99516129032258061</v>
      </c>
      <c r="V818" t="str">
        <f>IF(OR(Table13[[#This Row],[Performance_%]]&gt;=1,Table13[[#This Row],[Performance_%]]&lt;=0),"Error","OK")</f>
        <v>OK</v>
      </c>
      <c r="W818" t="str">
        <f>IF(OR(Table13[[#This Row],[Quality_%]]&gt;=1,Table13[[#This Row],[Quality_%]]&lt;=0),"Error","OK")</f>
        <v>OK</v>
      </c>
      <c r="X818">
        <f>Table13[[#This Row],[Performance_%]]*Table13[[#This Row],[Quality_%]]*[2]Availability_KPI!K818</f>
        <v>0.45246666666666663</v>
      </c>
      <c r="Y818" t="str">
        <f>IF(OR(Table13[[#This Row],[OEE_%]]&gt;1,Table13[[#This Row],[OEE_%]]&lt;0),"Error","OK")</f>
        <v>OK</v>
      </c>
    </row>
    <row r="819" spans="1:25" x14ac:dyDescent="0.2">
      <c r="A819" t="s">
        <v>971</v>
      </c>
      <c r="B819" t="s">
        <v>970</v>
      </c>
      <c r="C819" s="2">
        <v>46283</v>
      </c>
      <c r="D819" t="s">
        <v>27</v>
      </c>
      <c r="E819" t="s">
        <v>32</v>
      </c>
      <c r="F819" t="s">
        <v>29</v>
      </c>
      <c r="G819" t="s">
        <v>30</v>
      </c>
      <c r="H819">
        <v>607</v>
      </c>
      <c r="I819">
        <v>602</v>
      </c>
      <c r="J819">
        <v>5</v>
      </c>
      <c r="K819">
        <v>22</v>
      </c>
      <c r="L819">
        <v>22</v>
      </c>
      <c r="M819">
        <v>222.57</v>
      </c>
      <c r="N819">
        <f>_xlfn.XLOOKUP(Table13[[#This Row],[Production_Order_ID]],[1]Sheet1!$A$2:$A$391,[1]Sheet1!$F$2:$F$391,"No Match")</f>
        <v>540</v>
      </c>
      <c r="O819" s="3">
        <f>Table13[[#This Row],[Good_Qty]]/Table13[[#This Row],[Planned_Production]]</f>
        <v>1.1148148148148149</v>
      </c>
      <c r="P819" t="str">
        <f>IF(Table13[[#This Row],[Good_Qty]]&gt;=Table13[[#This Row],[Planned_Production]],"Met","Not Met")</f>
        <v>Met</v>
      </c>
      <c r="Q819">
        <f>Table13[[#This Row],[Good_Qty]]-Table13[[#This Row],[Planned_Production]]</f>
        <v>62</v>
      </c>
      <c r="R819" s="3">
        <f>IF(Table13[[#This Row],[Actual_Qty]]=0,0,Table13[[#This Row],[Reject_Qty]]/Table13[[#This Row],[Actual_Qty]])</f>
        <v>8.2372322899505763E-3</v>
      </c>
      <c r="S819">
        <v>435.15</v>
      </c>
      <c r="T819">
        <f>(Table13[[#This Row],[Ideal_Cycle_Time_sec]]*Table13[[#This Row],[Actual_Qty]])/(Table13[[#This Row],[Operational_Time_min]]*60)</f>
        <v>0.51147114021984752</v>
      </c>
      <c r="U819">
        <f>Table13[[#This Row],[Good_Qty]]/Table13[[#This Row],[Actual_Qty]]</f>
        <v>0.99176276771004945</v>
      </c>
      <c r="V819" t="str">
        <f>IF(OR(Table13[[#This Row],[Performance_%]]&gt;=1,Table13[[#This Row],[Performance_%]]&lt;=0),"Error","OK")</f>
        <v>OK</v>
      </c>
      <c r="W819" t="str">
        <f>IF(OR(Table13[[#This Row],[Quality_%]]&gt;=1,Table13[[#This Row],[Quality_%]]&lt;=0),"Error","OK")</f>
        <v>OK</v>
      </c>
      <c r="X819">
        <f>Table13[[#This Row],[Performance_%]]*Table13[[#This Row],[Quality_%]]*[2]Availability_KPI!K819</f>
        <v>0.49051851851851846</v>
      </c>
      <c r="Y819" t="str">
        <f>IF(OR(Table13[[#This Row],[OEE_%]]&gt;1,Table13[[#This Row],[OEE_%]]&lt;0),"Error","OK")</f>
        <v>OK</v>
      </c>
    </row>
    <row r="820" spans="1:25" x14ac:dyDescent="0.2">
      <c r="A820" t="s">
        <v>972</v>
      </c>
      <c r="B820" t="s">
        <v>970</v>
      </c>
      <c r="C820" s="2">
        <v>46283</v>
      </c>
      <c r="D820" t="s">
        <v>27</v>
      </c>
      <c r="E820" t="s">
        <v>35</v>
      </c>
      <c r="F820" t="s">
        <v>29</v>
      </c>
      <c r="G820" t="s">
        <v>47</v>
      </c>
      <c r="H820">
        <v>621</v>
      </c>
      <c r="I820">
        <v>615</v>
      </c>
      <c r="J820">
        <v>6</v>
      </c>
      <c r="K820">
        <v>24.2</v>
      </c>
      <c r="L820">
        <v>26.5</v>
      </c>
      <c r="M820">
        <v>274.25</v>
      </c>
      <c r="N820">
        <f>_xlfn.XLOOKUP(Table13[[#This Row],[Production_Order_ID]],[1]Sheet1!$A$2:$A$391,[1]Sheet1!$F$2:$F$391,"No Match")</f>
        <v>540</v>
      </c>
      <c r="O820" s="3">
        <f>Table13[[#This Row],[Good_Qty]]/Table13[[#This Row],[Planned_Production]]</f>
        <v>1.1388888888888888</v>
      </c>
      <c r="P820" t="str">
        <f>IF(Table13[[#This Row],[Good_Qty]]&gt;=Table13[[#This Row],[Planned_Production]],"Met","Not Met")</f>
        <v>Met</v>
      </c>
      <c r="Q820">
        <f>Table13[[#This Row],[Good_Qty]]-Table13[[#This Row],[Planned_Production]]</f>
        <v>75</v>
      </c>
      <c r="R820" s="3">
        <f>IF(Table13[[#This Row],[Actual_Qty]]=0,0,Table13[[#This Row],[Reject_Qty]]/Table13[[#This Row],[Actual_Qty]])</f>
        <v>9.6618357487922701E-3</v>
      </c>
      <c r="S820">
        <v>429.66</v>
      </c>
      <c r="T820">
        <f>(Table13[[#This Row],[Ideal_Cycle_Time_sec]]*Table13[[#This Row],[Actual_Qty]])/(Table13[[#This Row],[Operational_Time_min]]*60)</f>
        <v>0.58294930875576023</v>
      </c>
      <c r="U820">
        <f>Table13[[#This Row],[Good_Qty]]/Table13[[#This Row],[Actual_Qty]]</f>
        <v>0.99033816425120769</v>
      </c>
      <c r="V820" t="str">
        <f>IF(OR(Table13[[#This Row],[Performance_%]]&gt;=1,Table13[[#This Row],[Performance_%]]&lt;=0),"Error","OK")</f>
        <v>OK</v>
      </c>
      <c r="W820" t="str">
        <f>IF(OR(Table13[[#This Row],[Quality_%]]&gt;=1,Table13[[#This Row],[Quality_%]]&lt;=0),"Error","OK")</f>
        <v>OK</v>
      </c>
      <c r="X820">
        <f>Table13[[#This Row],[Performance_%]]*Table13[[#This Row],[Quality_%]]*[2]Availability_KPI!K820</f>
        <v>0.55122222222222206</v>
      </c>
      <c r="Y820" t="str">
        <f>IF(OR(Table13[[#This Row],[OEE_%]]&gt;1,Table13[[#This Row],[OEE_%]]&lt;0),"Error","OK")</f>
        <v>OK</v>
      </c>
    </row>
    <row r="821" spans="1:25" x14ac:dyDescent="0.2">
      <c r="A821" t="s">
        <v>973</v>
      </c>
      <c r="B821" t="s">
        <v>970</v>
      </c>
      <c r="C821" s="2">
        <v>46283</v>
      </c>
      <c r="D821" t="s">
        <v>27</v>
      </c>
      <c r="E821" t="s">
        <v>38</v>
      </c>
      <c r="F821" t="s">
        <v>29</v>
      </c>
      <c r="G821" t="s">
        <v>36</v>
      </c>
      <c r="H821">
        <v>609</v>
      </c>
      <c r="I821">
        <v>606</v>
      </c>
      <c r="J821">
        <v>3</v>
      </c>
      <c r="K821">
        <v>22</v>
      </c>
      <c r="L821">
        <v>23.25</v>
      </c>
      <c r="M821">
        <v>236</v>
      </c>
      <c r="N821">
        <f>_xlfn.XLOOKUP(Table13[[#This Row],[Production_Order_ID]],[1]Sheet1!$A$2:$A$391,[1]Sheet1!$F$2:$F$391,"No Match")</f>
        <v>540</v>
      </c>
      <c r="O821" s="3">
        <f>Table13[[#This Row],[Good_Qty]]/Table13[[#This Row],[Planned_Production]]</f>
        <v>1.1222222222222222</v>
      </c>
      <c r="P821" t="str">
        <f>IF(Table13[[#This Row],[Good_Qty]]&gt;=Table13[[#This Row],[Planned_Production]],"Met","Not Met")</f>
        <v>Met</v>
      </c>
      <c r="Q821">
        <f>Table13[[#This Row],[Good_Qty]]-Table13[[#This Row],[Planned_Production]]</f>
        <v>66</v>
      </c>
      <c r="R821" s="3">
        <f>IF(Table13[[#This Row],[Actual_Qty]]=0,0,Table13[[#This Row],[Reject_Qty]]/Table13[[#This Row],[Actual_Qty]])</f>
        <v>4.9261083743842365E-3</v>
      </c>
      <c r="S821">
        <v>436.86</v>
      </c>
      <c r="T821">
        <f>(Table13[[#This Row],[Ideal_Cycle_Time_sec]]*Table13[[#This Row],[Actual_Qty]])/(Table13[[#This Row],[Operational_Time_min]]*60)</f>
        <v>0.51114773611683373</v>
      </c>
      <c r="U821">
        <f>Table13[[#This Row],[Good_Qty]]/Table13[[#This Row],[Actual_Qty]]</f>
        <v>0.99507389162561577</v>
      </c>
      <c r="V821" t="str">
        <f>IF(OR(Table13[[#This Row],[Performance_%]]&gt;=1,Table13[[#This Row],[Performance_%]]&lt;=0),"Error","OK")</f>
        <v>OK</v>
      </c>
      <c r="W821" t="str">
        <f>IF(OR(Table13[[#This Row],[Quality_%]]&gt;=1,Table13[[#This Row],[Quality_%]]&lt;=0),"Error","OK")</f>
        <v>OK</v>
      </c>
      <c r="X821">
        <f>Table13[[#This Row],[Performance_%]]*Table13[[#This Row],[Quality_%]]*[2]Availability_KPI!K821</f>
        <v>0.4937777777777777</v>
      </c>
      <c r="Y821" t="str">
        <f>IF(OR(Table13[[#This Row],[OEE_%]]&gt;1,Table13[[#This Row],[OEE_%]]&lt;0),"Error","OK")</f>
        <v>OK</v>
      </c>
    </row>
    <row r="822" spans="1:25" x14ac:dyDescent="0.2">
      <c r="A822" t="s">
        <v>974</v>
      </c>
      <c r="B822" t="s">
        <v>970</v>
      </c>
      <c r="C822" s="2">
        <v>46283</v>
      </c>
      <c r="D822" t="s">
        <v>27</v>
      </c>
      <c r="E822" t="s">
        <v>41</v>
      </c>
      <c r="F822" t="s">
        <v>29</v>
      </c>
      <c r="G822" t="s">
        <v>75</v>
      </c>
      <c r="H822">
        <v>626</v>
      </c>
      <c r="I822">
        <v>621</v>
      </c>
      <c r="J822">
        <v>5</v>
      </c>
      <c r="K822">
        <v>19.8</v>
      </c>
      <c r="L822">
        <v>21.22</v>
      </c>
      <c r="M822">
        <v>221.39</v>
      </c>
      <c r="N822">
        <f>_xlfn.XLOOKUP(Table13[[#This Row],[Production_Order_ID]],[1]Sheet1!$A$2:$A$391,[1]Sheet1!$F$2:$F$391,"No Match")</f>
        <v>540</v>
      </c>
      <c r="O822" s="3">
        <f>Table13[[#This Row],[Good_Qty]]/Table13[[#This Row],[Planned_Production]]</f>
        <v>1.1499999999999999</v>
      </c>
      <c r="P822" t="str">
        <f>IF(Table13[[#This Row],[Good_Qty]]&gt;=Table13[[#This Row],[Planned_Production]],"Met","Not Met")</f>
        <v>Met</v>
      </c>
      <c r="Q822">
        <f>Table13[[#This Row],[Good_Qty]]-Table13[[#This Row],[Planned_Production]]</f>
        <v>81</v>
      </c>
      <c r="R822" s="3">
        <f>IF(Table13[[#This Row],[Actual_Qty]]=0,0,Table13[[#This Row],[Reject_Qty]]/Table13[[#This Row],[Actual_Qty]])</f>
        <v>7.9872204472843447E-3</v>
      </c>
      <c r="S822">
        <v>437.54</v>
      </c>
      <c r="T822">
        <f>(Table13[[#This Row],[Ideal_Cycle_Time_sec]]*Table13[[#This Row],[Actual_Qty]])/(Table13[[#This Row],[Operational_Time_min]]*60)</f>
        <v>0.4721396900854779</v>
      </c>
      <c r="U822">
        <f>Table13[[#This Row],[Good_Qty]]/Table13[[#This Row],[Actual_Qty]]</f>
        <v>0.99201277955271561</v>
      </c>
      <c r="V822" t="str">
        <f>IF(OR(Table13[[#This Row],[Performance_%]]&gt;=1,Table13[[#This Row],[Performance_%]]&lt;=0),"Error","OK")</f>
        <v>OK</v>
      </c>
      <c r="W822" t="str">
        <f>IF(OR(Table13[[#This Row],[Quality_%]]&gt;=1,Table13[[#This Row],[Quality_%]]&lt;=0),"Error","OK")</f>
        <v>OK</v>
      </c>
      <c r="X822">
        <f>Table13[[#This Row],[Performance_%]]*Table13[[#This Row],[Quality_%]]*[2]Availability_KPI!K822</f>
        <v>0.45539999999999997</v>
      </c>
      <c r="Y822" t="str">
        <f>IF(OR(Table13[[#This Row],[OEE_%]]&gt;1,Table13[[#This Row],[OEE_%]]&lt;0),"Error","OK")</f>
        <v>OK</v>
      </c>
    </row>
    <row r="823" spans="1:25" x14ac:dyDescent="0.2">
      <c r="A823" t="s">
        <v>975</v>
      </c>
      <c r="B823" t="s">
        <v>970</v>
      </c>
      <c r="C823" s="2">
        <v>46283</v>
      </c>
      <c r="D823" t="s">
        <v>27</v>
      </c>
      <c r="E823" t="s">
        <v>43</v>
      </c>
      <c r="F823" t="s">
        <v>29</v>
      </c>
      <c r="G823" t="s">
        <v>55</v>
      </c>
      <c r="H823">
        <v>618</v>
      </c>
      <c r="I823">
        <v>608</v>
      </c>
      <c r="J823">
        <v>10</v>
      </c>
      <c r="K823">
        <v>35.200000000000003</v>
      </c>
      <c r="L823">
        <v>37.130000000000003</v>
      </c>
      <c r="M823">
        <v>382.46</v>
      </c>
      <c r="N823">
        <f>_xlfn.XLOOKUP(Table13[[#This Row],[Production_Order_ID]],[1]Sheet1!$A$2:$A$391,[1]Sheet1!$F$2:$F$391,"No Match")</f>
        <v>540</v>
      </c>
      <c r="O823" s="3">
        <f>Table13[[#This Row],[Good_Qty]]/Table13[[#This Row],[Planned_Production]]</f>
        <v>1.125925925925926</v>
      </c>
      <c r="P823" t="str">
        <f>IF(Table13[[#This Row],[Good_Qty]]&gt;=Table13[[#This Row],[Planned_Production]],"Met","Not Met")</f>
        <v>Met</v>
      </c>
      <c r="Q823">
        <f>Table13[[#This Row],[Good_Qty]]-Table13[[#This Row],[Planned_Production]]</f>
        <v>68</v>
      </c>
      <c r="R823" s="3">
        <f>IF(Table13[[#This Row],[Actual_Qty]]=0,0,Table13[[#This Row],[Reject_Qty]]/Table13[[#This Row],[Actual_Qty]])</f>
        <v>1.6181229773462782E-2</v>
      </c>
      <c r="S823">
        <v>401.3</v>
      </c>
      <c r="T823">
        <f>(Table13[[#This Row],[Ideal_Cycle_Time_sec]]*Table13[[#This Row],[Actual_Qty]])/(Table13[[#This Row],[Operational_Time_min]]*60)</f>
        <v>0.90346374283578379</v>
      </c>
      <c r="U823">
        <f>Table13[[#This Row],[Good_Qty]]/Table13[[#This Row],[Actual_Qty]]</f>
        <v>0.98381877022653719</v>
      </c>
      <c r="V823" t="str">
        <f>IF(OR(Table13[[#This Row],[Performance_%]]&gt;=1,Table13[[#This Row],[Performance_%]]&lt;=0),"Error","OK")</f>
        <v>OK</v>
      </c>
      <c r="W823" t="str">
        <f>IF(OR(Table13[[#This Row],[Quality_%]]&gt;=1,Table13[[#This Row],[Quality_%]]&lt;=0),"Error","OK")</f>
        <v>OK</v>
      </c>
      <c r="X823">
        <f>Table13[[#This Row],[Performance_%]]*Table13[[#This Row],[Quality_%]]*[2]Availability_KPI!K823</f>
        <v>0.79265185185185194</v>
      </c>
      <c r="Y823" t="str">
        <f>IF(OR(Table13[[#This Row],[OEE_%]]&gt;1,Table13[[#This Row],[OEE_%]]&lt;0),"Error","OK")</f>
        <v>OK</v>
      </c>
    </row>
    <row r="824" spans="1:25" x14ac:dyDescent="0.2">
      <c r="A824" t="s">
        <v>976</v>
      </c>
      <c r="B824" t="s">
        <v>970</v>
      </c>
      <c r="C824" s="2">
        <v>46283</v>
      </c>
      <c r="D824" t="s">
        <v>27</v>
      </c>
      <c r="E824" t="s">
        <v>46</v>
      </c>
      <c r="F824" t="s">
        <v>29</v>
      </c>
      <c r="G824" t="s">
        <v>39</v>
      </c>
      <c r="H824">
        <v>615</v>
      </c>
      <c r="I824">
        <v>609</v>
      </c>
      <c r="J824">
        <v>6</v>
      </c>
      <c r="K824">
        <v>27.5</v>
      </c>
      <c r="L824">
        <v>28.7</v>
      </c>
      <c r="M824">
        <v>294.14999999999998</v>
      </c>
      <c r="N824">
        <f>_xlfn.XLOOKUP(Table13[[#This Row],[Production_Order_ID]],[1]Sheet1!$A$2:$A$391,[1]Sheet1!$F$2:$F$391,"No Match")</f>
        <v>540</v>
      </c>
      <c r="O824" s="3">
        <f>Table13[[#This Row],[Good_Qty]]/Table13[[#This Row],[Planned_Production]]</f>
        <v>1.1277777777777778</v>
      </c>
      <c r="P824" t="str">
        <f>IF(Table13[[#This Row],[Good_Qty]]&gt;=Table13[[#This Row],[Planned_Production]],"Met","Not Met")</f>
        <v>Met</v>
      </c>
      <c r="Q824">
        <f>Table13[[#This Row],[Good_Qty]]-Table13[[#This Row],[Planned_Production]]</f>
        <v>69</v>
      </c>
      <c r="R824" s="3">
        <f>IF(Table13[[#This Row],[Actual_Qty]]=0,0,Table13[[#This Row],[Reject_Qty]]/Table13[[#This Row],[Actual_Qty]])</f>
        <v>9.7560975609756097E-3</v>
      </c>
      <c r="S824">
        <v>430.89</v>
      </c>
      <c r="T824">
        <f>(Table13[[#This Row],[Ideal_Cycle_Time_sec]]*Table13[[#This Row],[Actual_Qty]])/(Table13[[#This Row],[Operational_Time_min]]*60)</f>
        <v>0.65416927754183207</v>
      </c>
      <c r="U824">
        <f>Table13[[#This Row],[Good_Qty]]/Table13[[#This Row],[Actual_Qty]]</f>
        <v>0.99024390243902438</v>
      </c>
      <c r="V824" t="str">
        <f>IF(OR(Table13[[#This Row],[Performance_%]]&gt;=1,Table13[[#This Row],[Performance_%]]&lt;=0),"Error","OK")</f>
        <v>OK</v>
      </c>
      <c r="W824" t="str">
        <f>IF(OR(Table13[[#This Row],[Quality_%]]&gt;=1,Table13[[#This Row],[Quality_%]]&lt;=0),"Error","OK")</f>
        <v>OK</v>
      </c>
      <c r="X824">
        <f>Table13[[#This Row],[Performance_%]]*Table13[[#This Row],[Quality_%]]*[2]Availability_KPI!K824</f>
        <v>0.62027777777777782</v>
      </c>
      <c r="Y824" t="str">
        <f>IF(OR(Table13[[#This Row],[OEE_%]]&gt;1,Table13[[#This Row],[OEE_%]]&lt;0),"Error","OK")</f>
        <v>OK</v>
      </c>
    </row>
    <row r="825" spans="1:25" x14ac:dyDescent="0.2">
      <c r="A825" t="s">
        <v>977</v>
      </c>
      <c r="B825" t="s">
        <v>970</v>
      </c>
      <c r="C825" s="2">
        <v>46283</v>
      </c>
      <c r="D825" t="s">
        <v>27</v>
      </c>
      <c r="E825" t="s">
        <v>49</v>
      </c>
      <c r="F825" t="s">
        <v>29</v>
      </c>
      <c r="G825" t="s">
        <v>50</v>
      </c>
      <c r="H825">
        <v>621</v>
      </c>
      <c r="I825">
        <v>616</v>
      </c>
      <c r="J825">
        <v>5</v>
      </c>
      <c r="K825">
        <v>22</v>
      </c>
      <c r="L825">
        <v>22.01</v>
      </c>
      <c r="M825">
        <v>227.76</v>
      </c>
      <c r="N825">
        <f>_xlfn.XLOOKUP(Table13[[#This Row],[Production_Order_ID]],[1]Sheet1!$A$2:$A$391,[1]Sheet1!$F$2:$F$391,"No Match")</f>
        <v>540</v>
      </c>
      <c r="O825" s="3">
        <f>Table13[[#This Row],[Good_Qty]]/Table13[[#This Row],[Planned_Production]]</f>
        <v>1.1407407407407408</v>
      </c>
      <c r="P825" t="str">
        <f>IF(Table13[[#This Row],[Good_Qty]]&gt;=Table13[[#This Row],[Planned_Production]],"Met","Not Met")</f>
        <v>Met</v>
      </c>
      <c r="Q825">
        <f>Table13[[#This Row],[Good_Qty]]-Table13[[#This Row],[Planned_Production]]</f>
        <v>76</v>
      </c>
      <c r="R825" s="3">
        <f>IF(Table13[[#This Row],[Actual_Qty]]=0,0,Table13[[#This Row],[Reject_Qty]]/Table13[[#This Row],[Actual_Qty]])</f>
        <v>8.0515297906602248E-3</v>
      </c>
      <c r="S825">
        <v>442.97</v>
      </c>
      <c r="T825">
        <f>(Table13[[#This Row],[Ideal_Cycle_Time_sec]]*Table13[[#This Row],[Actual_Qty]])/(Table13[[#This Row],[Operational_Time_min]]*60)</f>
        <v>0.51403029550533896</v>
      </c>
      <c r="U825">
        <f>Table13[[#This Row],[Good_Qty]]/Table13[[#This Row],[Actual_Qty]]</f>
        <v>0.99194847020933974</v>
      </c>
      <c r="V825" t="str">
        <f>IF(OR(Table13[[#This Row],[Performance_%]]&gt;=1,Table13[[#This Row],[Performance_%]]&lt;=0),"Error","OK")</f>
        <v>OK</v>
      </c>
      <c r="W825" t="str">
        <f>IF(OR(Table13[[#This Row],[Quality_%]]&gt;=1,Table13[[#This Row],[Quality_%]]&lt;=0),"Error","OK")</f>
        <v>OK</v>
      </c>
      <c r="X825">
        <f>Table13[[#This Row],[Performance_%]]*Table13[[#This Row],[Quality_%]]*[2]Availability_KPI!K825</f>
        <v>0.50192592592592589</v>
      </c>
      <c r="Y825" t="str">
        <f>IF(OR(Table13[[#This Row],[OEE_%]]&gt;1,Table13[[#This Row],[OEE_%]]&lt;0),"Error","OK")</f>
        <v>OK</v>
      </c>
    </row>
    <row r="826" spans="1:25" x14ac:dyDescent="0.2">
      <c r="A826" t="s">
        <v>978</v>
      </c>
      <c r="B826" t="s">
        <v>979</v>
      </c>
      <c r="C826" s="2">
        <v>46283</v>
      </c>
      <c r="D826" t="s">
        <v>53</v>
      </c>
      <c r="E826" t="s">
        <v>28</v>
      </c>
      <c r="F826" t="s">
        <v>54</v>
      </c>
      <c r="G826" t="s">
        <v>55</v>
      </c>
      <c r="H826">
        <v>661</v>
      </c>
      <c r="I826">
        <v>660</v>
      </c>
      <c r="J826">
        <v>1</v>
      </c>
      <c r="K826">
        <v>18</v>
      </c>
      <c r="L826">
        <v>18.25</v>
      </c>
      <c r="M826">
        <v>201.06</v>
      </c>
      <c r="N826">
        <f>_xlfn.XLOOKUP(Table13[[#This Row],[Production_Order_ID]],[1]Sheet1!$A$2:$A$391,[1]Sheet1!$F$2:$F$391,"No Match")</f>
        <v>470</v>
      </c>
      <c r="O826" s="3">
        <f>Table13[[#This Row],[Good_Qty]]/Table13[[#This Row],[Planned_Production]]</f>
        <v>1.4042553191489362</v>
      </c>
      <c r="P826" t="str">
        <f>IF(Table13[[#This Row],[Good_Qty]]&gt;=Table13[[#This Row],[Planned_Production]],"Met","Not Met")</f>
        <v>Met</v>
      </c>
      <c r="Q826">
        <f>Table13[[#This Row],[Good_Qty]]-Table13[[#This Row],[Planned_Production]]</f>
        <v>190</v>
      </c>
      <c r="R826" s="3">
        <f>IF(Table13[[#This Row],[Actual_Qty]]=0,0,Table13[[#This Row],[Reject_Qty]]/Table13[[#This Row],[Actual_Qty]])</f>
        <v>1.5128593040847202E-3</v>
      </c>
      <c r="S826">
        <v>440.07</v>
      </c>
      <c r="T826">
        <f>(Table13[[#This Row],[Ideal_Cycle_Time_sec]]*Table13[[#This Row],[Actual_Qty]])/(Table13[[#This Row],[Operational_Time_min]]*60)</f>
        <v>0.45061013020655805</v>
      </c>
      <c r="U826">
        <f>Table13[[#This Row],[Good_Qty]]/Table13[[#This Row],[Actual_Qty]]</f>
        <v>0.99848714069591527</v>
      </c>
      <c r="V826" t="str">
        <f>IF(OR(Table13[[#This Row],[Performance_%]]&gt;=1,Table13[[#This Row],[Performance_%]]&lt;=0),"Error","OK")</f>
        <v>OK</v>
      </c>
      <c r="W826" t="str">
        <f>IF(OR(Table13[[#This Row],[Quality_%]]&gt;=1,Table13[[#This Row],[Quality_%]]&lt;=0),"Error","OK")</f>
        <v>OK</v>
      </c>
      <c r="X826">
        <f>Table13[[#This Row],[Performance_%]]*Table13[[#This Row],[Quality_%]]*[2]Availability_KPI!K826</f>
        <v>0.44</v>
      </c>
      <c r="Y826" t="str">
        <f>IF(OR(Table13[[#This Row],[OEE_%]]&gt;1,Table13[[#This Row],[OEE_%]]&lt;0),"Error","OK")</f>
        <v>OK</v>
      </c>
    </row>
    <row r="827" spans="1:25" x14ac:dyDescent="0.2">
      <c r="A827" t="s">
        <v>980</v>
      </c>
      <c r="B827" t="s">
        <v>979</v>
      </c>
      <c r="C827" s="2">
        <v>46283</v>
      </c>
      <c r="D827" t="s">
        <v>53</v>
      </c>
      <c r="E827" t="s">
        <v>32</v>
      </c>
      <c r="F827" t="s">
        <v>54</v>
      </c>
      <c r="G827" t="s">
        <v>71</v>
      </c>
      <c r="H827">
        <v>664</v>
      </c>
      <c r="I827">
        <v>660</v>
      </c>
      <c r="J827">
        <v>4</v>
      </c>
      <c r="K827">
        <v>20</v>
      </c>
      <c r="L827">
        <v>20.67</v>
      </c>
      <c r="M827">
        <v>228.7</v>
      </c>
      <c r="N827">
        <f>_xlfn.XLOOKUP(Table13[[#This Row],[Production_Order_ID]],[1]Sheet1!$A$2:$A$391,[1]Sheet1!$F$2:$F$391,"No Match")</f>
        <v>470</v>
      </c>
      <c r="O827" s="3">
        <f>Table13[[#This Row],[Good_Qty]]/Table13[[#This Row],[Planned_Production]]</f>
        <v>1.4042553191489362</v>
      </c>
      <c r="P827" t="str">
        <f>IF(Table13[[#This Row],[Good_Qty]]&gt;=Table13[[#This Row],[Planned_Production]],"Met","Not Met")</f>
        <v>Met</v>
      </c>
      <c r="Q827">
        <f>Table13[[#This Row],[Good_Qty]]-Table13[[#This Row],[Planned_Production]]</f>
        <v>190</v>
      </c>
      <c r="R827" s="3">
        <f>IF(Table13[[#This Row],[Actual_Qty]]=0,0,Table13[[#This Row],[Reject_Qty]]/Table13[[#This Row],[Actual_Qty]])</f>
        <v>6.024096385542169E-3</v>
      </c>
      <c r="S827">
        <v>436.41</v>
      </c>
      <c r="T827">
        <f>(Table13[[#This Row],[Ideal_Cycle_Time_sec]]*Table13[[#This Row],[Actual_Qty]])/(Table13[[#This Row],[Operational_Time_min]]*60)</f>
        <v>0.50716833558656615</v>
      </c>
      <c r="U827">
        <f>Table13[[#This Row],[Good_Qty]]/Table13[[#This Row],[Actual_Qty]]</f>
        <v>0.99397590361445787</v>
      </c>
      <c r="V827" t="str">
        <f>IF(OR(Table13[[#This Row],[Performance_%]]&gt;=1,Table13[[#This Row],[Performance_%]]&lt;=0),"Error","OK")</f>
        <v>OK</v>
      </c>
      <c r="W827" t="str">
        <f>IF(OR(Table13[[#This Row],[Quality_%]]&gt;=1,Table13[[#This Row],[Quality_%]]&lt;=0),"Error","OK")</f>
        <v>OK</v>
      </c>
      <c r="X827">
        <f>Table13[[#This Row],[Performance_%]]*Table13[[#This Row],[Quality_%]]*[2]Availability_KPI!K827</f>
        <v>0.48888888888888898</v>
      </c>
      <c r="Y827" t="str">
        <f>IF(OR(Table13[[#This Row],[OEE_%]]&gt;1,Table13[[#This Row],[OEE_%]]&lt;0),"Error","OK")</f>
        <v>OK</v>
      </c>
    </row>
    <row r="828" spans="1:25" x14ac:dyDescent="0.2">
      <c r="A828" t="s">
        <v>981</v>
      </c>
      <c r="B828" t="s">
        <v>979</v>
      </c>
      <c r="C828" s="2">
        <v>46283</v>
      </c>
      <c r="D828" t="s">
        <v>53</v>
      </c>
      <c r="E828" t="s">
        <v>35</v>
      </c>
      <c r="F828" t="s">
        <v>54</v>
      </c>
      <c r="G828" t="s">
        <v>75</v>
      </c>
      <c r="H828">
        <v>664</v>
      </c>
      <c r="I828">
        <v>661</v>
      </c>
      <c r="J828">
        <v>3</v>
      </c>
      <c r="K828">
        <v>22</v>
      </c>
      <c r="L828">
        <v>22.3</v>
      </c>
      <c r="M828">
        <v>246.75</v>
      </c>
      <c r="N828">
        <f>_xlfn.XLOOKUP(Table13[[#This Row],[Production_Order_ID]],[1]Sheet1!$A$2:$A$391,[1]Sheet1!$F$2:$F$391,"No Match")</f>
        <v>470</v>
      </c>
      <c r="O828" s="3">
        <f>Table13[[#This Row],[Good_Qty]]/Table13[[#This Row],[Planned_Production]]</f>
        <v>1.4063829787234043</v>
      </c>
      <c r="P828" t="str">
        <f>IF(Table13[[#This Row],[Good_Qty]]&gt;=Table13[[#This Row],[Planned_Production]],"Met","Not Met")</f>
        <v>Met</v>
      </c>
      <c r="Q828">
        <f>Table13[[#This Row],[Good_Qty]]-Table13[[#This Row],[Planned_Production]]</f>
        <v>191</v>
      </c>
      <c r="R828" s="3">
        <f>IF(Table13[[#This Row],[Actual_Qty]]=0,0,Table13[[#This Row],[Reject_Qty]]/Table13[[#This Row],[Actual_Qty]])</f>
        <v>4.5180722891566263E-3</v>
      </c>
      <c r="S828">
        <v>437.42</v>
      </c>
      <c r="T828">
        <f>(Table13[[#This Row],[Ideal_Cycle_Time_sec]]*Table13[[#This Row],[Actual_Qty]])/(Table13[[#This Row],[Operational_Time_min]]*60)</f>
        <v>0.55659701583527654</v>
      </c>
      <c r="U828">
        <f>Table13[[#This Row],[Good_Qty]]/Table13[[#This Row],[Actual_Qty]]</f>
        <v>0.99548192771084343</v>
      </c>
      <c r="V828" t="str">
        <f>IF(OR(Table13[[#This Row],[Performance_%]]&gt;=1,Table13[[#This Row],[Performance_%]]&lt;=0),"Error","OK")</f>
        <v>OK</v>
      </c>
      <c r="W828" t="str">
        <f>IF(OR(Table13[[#This Row],[Quality_%]]&gt;=1,Table13[[#This Row],[Quality_%]]&lt;=0),"Error","OK")</f>
        <v>OK</v>
      </c>
      <c r="X828">
        <f>Table13[[#This Row],[Performance_%]]*Table13[[#This Row],[Quality_%]]*[2]Availability_KPI!K828</f>
        <v>0.53859259259259262</v>
      </c>
      <c r="Y828" t="str">
        <f>IF(OR(Table13[[#This Row],[OEE_%]]&gt;1,Table13[[#This Row],[OEE_%]]&lt;0),"Error","OK")</f>
        <v>OK</v>
      </c>
    </row>
    <row r="829" spans="1:25" x14ac:dyDescent="0.2">
      <c r="A829" t="s">
        <v>982</v>
      </c>
      <c r="B829" t="s">
        <v>979</v>
      </c>
      <c r="C829" s="2">
        <v>46283</v>
      </c>
      <c r="D829" t="s">
        <v>53</v>
      </c>
      <c r="E829" t="s">
        <v>38</v>
      </c>
      <c r="F829" t="s">
        <v>54</v>
      </c>
      <c r="G829" t="s">
        <v>71</v>
      </c>
      <c r="H829">
        <v>668</v>
      </c>
      <c r="I829">
        <v>667</v>
      </c>
      <c r="J829">
        <v>1</v>
      </c>
      <c r="K829">
        <v>20</v>
      </c>
      <c r="L829">
        <v>20.87</v>
      </c>
      <c r="M829">
        <v>232.31</v>
      </c>
      <c r="N829">
        <f>_xlfn.XLOOKUP(Table13[[#This Row],[Production_Order_ID]],[1]Sheet1!$A$2:$A$391,[1]Sheet1!$F$2:$F$391,"No Match")</f>
        <v>470</v>
      </c>
      <c r="O829" s="3">
        <f>Table13[[#This Row],[Good_Qty]]/Table13[[#This Row],[Planned_Production]]</f>
        <v>1.4191489361702128</v>
      </c>
      <c r="P829" t="str">
        <f>IF(Table13[[#This Row],[Good_Qty]]&gt;=Table13[[#This Row],[Planned_Production]],"Met","Not Met")</f>
        <v>Met</v>
      </c>
      <c r="Q829">
        <f>Table13[[#This Row],[Good_Qty]]-Table13[[#This Row],[Planned_Production]]</f>
        <v>197</v>
      </c>
      <c r="R829" s="3">
        <f>IF(Table13[[#This Row],[Actual_Qty]]=0,0,Table13[[#This Row],[Reject_Qty]]/Table13[[#This Row],[Actual_Qty]])</f>
        <v>1.4970059880239522E-3</v>
      </c>
      <c r="S829">
        <v>437.49</v>
      </c>
      <c r="T829">
        <f>(Table13[[#This Row],[Ideal_Cycle_Time_sec]]*Table13[[#This Row],[Actual_Qty]])/(Table13[[#This Row],[Operational_Time_min]]*60)</f>
        <v>0.5089640144155676</v>
      </c>
      <c r="U829">
        <f>Table13[[#This Row],[Good_Qty]]/Table13[[#This Row],[Actual_Qty]]</f>
        <v>0.99850299401197606</v>
      </c>
      <c r="V829" t="str">
        <f>IF(OR(Table13[[#This Row],[Performance_%]]&gt;=1,Table13[[#This Row],[Performance_%]]&lt;=0),"Error","OK")</f>
        <v>OK</v>
      </c>
      <c r="W829" t="str">
        <f>IF(OR(Table13[[#This Row],[Quality_%]]&gt;=1,Table13[[#This Row],[Quality_%]]&lt;=0),"Error","OK")</f>
        <v>OK</v>
      </c>
      <c r="X829">
        <f>Table13[[#This Row],[Performance_%]]*Table13[[#This Row],[Quality_%]]*[2]Availability_KPI!K829</f>
        <v>0.49407407407407417</v>
      </c>
      <c r="Y829" t="str">
        <f>IF(OR(Table13[[#This Row],[OEE_%]]&gt;1,Table13[[#This Row],[OEE_%]]&lt;0),"Error","OK")</f>
        <v>OK</v>
      </c>
    </row>
    <row r="830" spans="1:25" x14ac:dyDescent="0.2">
      <c r="A830" t="s">
        <v>983</v>
      </c>
      <c r="B830" t="s">
        <v>979</v>
      </c>
      <c r="C830" s="2">
        <v>46283</v>
      </c>
      <c r="D830" t="s">
        <v>53</v>
      </c>
      <c r="E830" t="s">
        <v>41</v>
      </c>
      <c r="F830" t="s">
        <v>54</v>
      </c>
      <c r="G830" t="s">
        <v>50</v>
      </c>
      <c r="H830">
        <v>670</v>
      </c>
      <c r="I830">
        <v>663</v>
      </c>
      <c r="J830">
        <v>7</v>
      </c>
      <c r="K830">
        <v>18</v>
      </c>
      <c r="L830">
        <v>18.989999999999998</v>
      </c>
      <c r="M830">
        <v>212.01</v>
      </c>
      <c r="N830">
        <f>_xlfn.XLOOKUP(Table13[[#This Row],[Production_Order_ID]],[1]Sheet1!$A$2:$A$391,[1]Sheet1!$F$2:$F$391,"No Match")</f>
        <v>470</v>
      </c>
      <c r="O830" s="3">
        <f>Table13[[#This Row],[Good_Qty]]/Table13[[#This Row],[Planned_Production]]</f>
        <v>1.4106382978723404</v>
      </c>
      <c r="P830" t="str">
        <f>IF(Table13[[#This Row],[Good_Qty]]&gt;=Table13[[#This Row],[Planned_Production]],"Met","Not Met")</f>
        <v>Met</v>
      </c>
      <c r="Q830">
        <f>Table13[[#This Row],[Good_Qty]]-Table13[[#This Row],[Planned_Production]]</f>
        <v>193</v>
      </c>
      <c r="R830" s="3">
        <f>IF(Table13[[#This Row],[Actual_Qty]]=0,0,Table13[[#This Row],[Reject_Qty]]/Table13[[#This Row],[Actual_Qty]])</f>
        <v>1.0447761194029851E-2</v>
      </c>
      <c r="S830">
        <v>435.9</v>
      </c>
      <c r="T830">
        <f>(Table13[[#This Row],[Ideal_Cycle_Time_sec]]*Table13[[#This Row],[Actual_Qty]])/(Table13[[#This Row],[Operational_Time_min]]*60)</f>
        <v>0.46111493461803166</v>
      </c>
      <c r="U830">
        <f>Table13[[#This Row],[Good_Qty]]/Table13[[#This Row],[Actual_Qty]]</f>
        <v>0.9895522388059701</v>
      </c>
      <c r="V830" t="str">
        <f>IF(OR(Table13[[#This Row],[Performance_%]]&gt;=1,Table13[[#This Row],[Performance_%]]&lt;=0),"Error","OK")</f>
        <v>OK</v>
      </c>
      <c r="W830" t="str">
        <f>IF(OR(Table13[[#This Row],[Quality_%]]&gt;=1,Table13[[#This Row],[Quality_%]]&lt;=0),"Error","OK")</f>
        <v>OK</v>
      </c>
      <c r="X830">
        <f>Table13[[#This Row],[Performance_%]]*Table13[[#This Row],[Quality_%]]*[2]Availability_KPI!K830</f>
        <v>0.44199999999999995</v>
      </c>
      <c r="Y830" t="str">
        <f>IF(OR(Table13[[#This Row],[OEE_%]]&gt;1,Table13[[#This Row],[OEE_%]]&lt;0),"Error","OK")</f>
        <v>OK</v>
      </c>
    </row>
    <row r="831" spans="1:25" x14ac:dyDescent="0.2">
      <c r="A831" t="s">
        <v>984</v>
      </c>
      <c r="B831" t="s">
        <v>979</v>
      </c>
      <c r="C831" s="2">
        <v>46283</v>
      </c>
      <c r="D831" t="s">
        <v>53</v>
      </c>
      <c r="E831" t="s">
        <v>43</v>
      </c>
      <c r="F831" t="s">
        <v>54</v>
      </c>
      <c r="G831" t="s">
        <v>36</v>
      </c>
      <c r="H831">
        <v>675</v>
      </c>
      <c r="I831">
        <v>664</v>
      </c>
      <c r="J831">
        <v>11</v>
      </c>
      <c r="K831">
        <v>32</v>
      </c>
      <c r="L831">
        <v>34.01</v>
      </c>
      <c r="M831">
        <v>382.65</v>
      </c>
      <c r="N831">
        <f>_xlfn.XLOOKUP(Table13[[#This Row],[Production_Order_ID]],[1]Sheet1!$A$2:$A$391,[1]Sheet1!$F$2:$F$391,"No Match")</f>
        <v>470</v>
      </c>
      <c r="O831" s="3">
        <f>Table13[[#This Row],[Good_Qty]]/Table13[[#This Row],[Planned_Production]]</f>
        <v>1.4127659574468086</v>
      </c>
      <c r="P831" t="str">
        <f>IF(Table13[[#This Row],[Good_Qty]]&gt;=Table13[[#This Row],[Planned_Production]],"Met","Not Met")</f>
        <v>Met</v>
      </c>
      <c r="Q831">
        <f>Table13[[#This Row],[Good_Qty]]-Table13[[#This Row],[Planned_Production]]</f>
        <v>194</v>
      </c>
      <c r="R831" s="3">
        <f>IF(Table13[[#This Row],[Actual_Qty]]=0,0,Table13[[#This Row],[Reject_Qty]]/Table13[[#This Row],[Actual_Qty]])</f>
        <v>1.6296296296296295E-2</v>
      </c>
      <c r="S831">
        <v>413.51</v>
      </c>
      <c r="T831">
        <f>(Table13[[#This Row],[Ideal_Cycle_Time_sec]]*Table13[[#This Row],[Actual_Qty]])/(Table13[[#This Row],[Operational_Time_min]]*60)</f>
        <v>0.8705956325119103</v>
      </c>
      <c r="U831">
        <f>Table13[[#This Row],[Good_Qty]]/Table13[[#This Row],[Actual_Qty]]</f>
        <v>0.98370370370370375</v>
      </c>
      <c r="V831" t="str">
        <f>IF(OR(Table13[[#This Row],[Performance_%]]&gt;=1,Table13[[#This Row],[Performance_%]]&lt;=0),"Error","OK")</f>
        <v>OK</v>
      </c>
      <c r="W831" t="str">
        <f>IF(OR(Table13[[#This Row],[Quality_%]]&gt;=1,Table13[[#This Row],[Quality_%]]&lt;=0),"Error","OK")</f>
        <v>OK</v>
      </c>
      <c r="X831">
        <f>Table13[[#This Row],[Performance_%]]*Table13[[#This Row],[Quality_%]]*[2]Availability_KPI!K831</f>
        <v>0.78696296296296309</v>
      </c>
      <c r="Y831" t="str">
        <f>IF(OR(Table13[[#This Row],[OEE_%]]&gt;1,Table13[[#This Row],[OEE_%]]&lt;0),"Error","OK")</f>
        <v>OK</v>
      </c>
    </row>
    <row r="832" spans="1:25" x14ac:dyDescent="0.2">
      <c r="A832" t="s">
        <v>985</v>
      </c>
      <c r="B832" t="s">
        <v>979</v>
      </c>
      <c r="C832" s="2">
        <v>46283</v>
      </c>
      <c r="D832" t="s">
        <v>53</v>
      </c>
      <c r="E832" t="s">
        <v>46</v>
      </c>
      <c r="F832" t="s">
        <v>54</v>
      </c>
      <c r="G832" t="s">
        <v>36</v>
      </c>
      <c r="H832">
        <v>678</v>
      </c>
      <c r="I832">
        <v>673</v>
      </c>
      <c r="J832">
        <v>5</v>
      </c>
      <c r="K832">
        <v>25</v>
      </c>
      <c r="L832">
        <v>27.18</v>
      </c>
      <c r="M832">
        <v>307.08</v>
      </c>
      <c r="N832">
        <f>_xlfn.XLOOKUP(Table13[[#This Row],[Production_Order_ID]],[1]Sheet1!$A$2:$A$391,[1]Sheet1!$F$2:$F$391,"No Match")</f>
        <v>470</v>
      </c>
      <c r="O832" s="3">
        <f>Table13[[#This Row],[Good_Qty]]/Table13[[#This Row],[Planned_Production]]</f>
        <v>1.4319148936170212</v>
      </c>
      <c r="P832" t="str">
        <f>IF(Table13[[#This Row],[Good_Qty]]&gt;=Table13[[#This Row],[Planned_Production]],"Met","Not Met")</f>
        <v>Met</v>
      </c>
      <c r="Q832">
        <f>Table13[[#This Row],[Good_Qty]]-Table13[[#This Row],[Planned_Production]]</f>
        <v>203</v>
      </c>
      <c r="R832" s="3">
        <f>IF(Table13[[#This Row],[Actual_Qty]]=0,0,Table13[[#This Row],[Reject_Qty]]/Table13[[#This Row],[Actual_Qty]])</f>
        <v>7.3746312684365781E-3</v>
      </c>
      <c r="S832">
        <v>425.29</v>
      </c>
      <c r="T832">
        <f>(Table13[[#This Row],[Ideal_Cycle_Time_sec]]*Table13[[#This Row],[Actual_Qty]])/(Table13[[#This Row],[Operational_Time_min]]*60)</f>
        <v>0.66425262761880122</v>
      </c>
      <c r="U832">
        <f>Table13[[#This Row],[Good_Qty]]/Table13[[#This Row],[Actual_Qty]]</f>
        <v>0.99262536873156337</v>
      </c>
      <c r="V832" t="str">
        <f>IF(OR(Table13[[#This Row],[Performance_%]]&gt;=1,Table13[[#This Row],[Performance_%]]&lt;=0),"Error","OK")</f>
        <v>OK</v>
      </c>
      <c r="W832" t="str">
        <f>IF(OR(Table13[[#This Row],[Quality_%]]&gt;=1,Table13[[#This Row],[Quality_%]]&lt;=0),"Error","OK")</f>
        <v>OK</v>
      </c>
      <c r="X832">
        <f>Table13[[#This Row],[Performance_%]]*Table13[[#This Row],[Quality_%]]*[2]Availability_KPI!K832</f>
        <v>0.62314814814814812</v>
      </c>
      <c r="Y832" t="str">
        <f>IF(OR(Table13[[#This Row],[OEE_%]]&gt;1,Table13[[#This Row],[OEE_%]]&lt;0),"Error","OK")</f>
        <v>OK</v>
      </c>
    </row>
    <row r="833" spans="1:25" x14ac:dyDescent="0.2">
      <c r="A833" t="s">
        <v>986</v>
      </c>
      <c r="B833" t="s">
        <v>979</v>
      </c>
      <c r="C833" s="2">
        <v>46283</v>
      </c>
      <c r="D833" t="s">
        <v>53</v>
      </c>
      <c r="E833" t="s">
        <v>49</v>
      </c>
      <c r="F833" t="s">
        <v>54</v>
      </c>
      <c r="G833" t="s">
        <v>33</v>
      </c>
      <c r="H833">
        <v>673</v>
      </c>
      <c r="I833">
        <v>670</v>
      </c>
      <c r="J833">
        <v>3</v>
      </c>
      <c r="K833">
        <v>20</v>
      </c>
      <c r="L833">
        <v>20.78</v>
      </c>
      <c r="M833">
        <v>233.13</v>
      </c>
      <c r="N833">
        <f>_xlfn.XLOOKUP(Table13[[#This Row],[Production_Order_ID]],[1]Sheet1!$A$2:$A$391,[1]Sheet1!$F$2:$F$391,"No Match")</f>
        <v>470</v>
      </c>
      <c r="O833" s="3">
        <f>Table13[[#This Row],[Good_Qty]]/Table13[[#This Row],[Planned_Production]]</f>
        <v>1.425531914893617</v>
      </c>
      <c r="P833" t="str">
        <f>IF(Table13[[#This Row],[Good_Qty]]&gt;=Table13[[#This Row],[Planned_Production]],"Met","Not Met")</f>
        <v>Met</v>
      </c>
      <c r="Q833">
        <f>Table13[[#This Row],[Good_Qty]]-Table13[[#This Row],[Planned_Production]]</f>
        <v>200</v>
      </c>
      <c r="R833" s="3">
        <f>IF(Table13[[#This Row],[Actual_Qty]]=0,0,Table13[[#This Row],[Reject_Qty]]/Table13[[#This Row],[Actual_Qty]])</f>
        <v>4.4576523031203564E-3</v>
      </c>
      <c r="S833">
        <v>438.83</v>
      </c>
      <c r="T833">
        <f>(Table13[[#This Row],[Ideal_Cycle_Time_sec]]*Table13[[#This Row],[Actual_Qty]])/(Table13[[#This Row],[Operational_Time_min]]*60)</f>
        <v>0.5112078329497376</v>
      </c>
      <c r="U833">
        <f>Table13[[#This Row],[Good_Qty]]/Table13[[#This Row],[Actual_Qty]]</f>
        <v>0.99554234769687966</v>
      </c>
      <c r="V833" t="str">
        <f>IF(OR(Table13[[#This Row],[Performance_%]]&gt;=1,Table13[[#This Row],[Performance_%]]&lt;=0),"Error","OK")</f>
        <v>OK</v>
      </c>
      <c r="W833" t="str">
        <f>IF(OR(Table13[[#This Row],[Quality_%]]&gt;=1,Table13[[#This Row],[Quality_%]]&lt;=0),"Error","OK")</f>
        <v>OK</v>
      </c>
      <c r="X833">
        <f>Table13[[#This Row],[Performance_%]]*Table13[[#This Row],[Quality_%]]*[2]Availability_KPI!K833</f>
        <v>0.49629629629629629</v>
      </c>
      <c r="Y833" t="str">
        <f>IF(OR(Table13[[#This Row],[OEE_%]]&gt;1,Table13[[#This Row],[OEE_%]]&lt;0),"Error","OK")</f>
        <v>OK</v>
      </c>
    </row>
    <row r="834" spans="1:25" x14ac:dyDescent="0.2">
      <c r="A834" t="s">
        <v>987</v>
      </c>
      <c r="B834" t="s">
        <v>988</v>
      </c>
      <c r="C834" s="2">
        <v>46283</v>
      </c>
      <c r="D834" t="s">
        <v>67</v>
      </c>
      <c r="E834" t="s">
        <v>28</v>
      </c>
      <c r="F834" t="s">
        <v>54</v>
      </c>
      <c r="G834" t="s">
        <v>55</v>
      </c>
      <c r="H834">
        <v>609</v>
      </c>
      <c r="I834">
        <v>606</v>
      </c>
      <c r="J834">
        <v>3</v>
      </c>
      <c r="K834">
        <v>18</v>
      </c>
      <c r="L834">
        <v>18.41</v>
      </c>
      <c r="M834">
        <v>186.87</v>
      </c>
      <c r="N834">
        <f>_xlfn.XLOOKUP(Table13[[#This Row],[Production_Order_ID]],[1]Sheet1!$A$2:$A$391,[1]Sheet1!$F$2:$F$391,"No Match")</f>
        <v>500</v>
      </c>
      <c r="O834" s="3">
        <f>Table13[[#This Row],[Good_Qty]]/Table13[[#This Row],[Planned_Production]]</f>
        <v>1.212</v>
      </c>
      <c r="P834" t="str">
        <f>IF(Table13[[#This Row],[Good_Qty]]&gt;=Table13[[#This Row],[Planned_Production]],"Met","Not Met")</f>
        <v>Met</v>
      </c>
      <c r="Q834">
        <f>Table13[[#This Row],[Good_Qty]]-Table13[[#This Row],[Planned_Production]]</f>
        <v>106</v>
      </c>
      <c r="R834" s="3">
        <f>IF(Table13[[#This Row],[Actual_Qty]]=0,0,Table13[[#This Row],[Reject_Qty]]/Table13[[#This Row],[Actual_Qty]])</f>
        <v>4.9261083743842365E-3</v>
      </c>
      <c r="S834">
        <v>442.66</v>
      </c>
      <c r="T834">
        <f>(Table13[[#This Row],[Ideal_Cycle_Time_sec]]*Table13[[#This Row],[Actual_Qty]])/(Table13[[#This Row],[Operational_Time_min]]*60)</f>
        <v>0.4127321194596304</v>
      </c>
      <c r="U834">
        <f>Table13[[#This Row],[Good_Qty]]/Table13[[#This Row],[Actual_Qty]]</f>
        <v>0.99507389162561577</v>
      </c>
      <c r="V834" t="str">
        <f>IF(OR(Table13[[#This Row],[Performance_%]]&gt;=1,Table13[[#This Row],[Performance_%]]&lt;=0),"Error","OK")</f>
        <v>OK</v>
      </c>
      <c r="W834" t="str">
        <f>IF(OR(Table13[[#This Row],[Quality_%]]&gt;=1,Table13[[#This Row],[Quality_%]]&lt;=0),"Error","OK")</f>
        <v>OK</v>
      </c>
      <c r="X834">
        <f>Table13[[#This Row],[Performance_%]]*Table13[[#This Row],[Quality_%]]*[2]Availability_KPI!K834</f>
        <v>0.40400000000000003</v>
      </c>
      <c r="Y834" t="str">
        <f>IF(OR(Table13[[#This Row],[OEE_%]]&gt;1,Table13[[#This Row],[OEE_%]]&lt;0),"Error","OK")</f>
        <v>OK</v>
      </c>
    </row>
    <row r="835" spans="1:25" x14ac:dyDescent="0.2">
      <c r="A835" t="s">
        <v>989</v>
      </c>
      <c r="B835" t="s">
        <v>988</v>
      </c>
      <c r="C835" s="2">
        <v>46283</v>
      </c>
      <c r="D835" t="s">
        <v>67</v>
      </c>
      <c r="E835" t="s">
        <v>32</v>
      </c>
      <c r="F835" t="s">
        <v>54</v>
      </c>
      <c r="G835" t="s">
        <v>71</v>
      </c>
      <c r="H835">
        <v>617</v>
      </c>
      <c r="I835">
        <v>612</v>
      </c>
      <c r="J835">
        <v>5</v>
      </c>
      <c r="K835">
        <v>20</v>
      </c>
      <c r="L835">
        <v>21.17</v>
      </c>
      <c r="M835">
        <v>217.74</v>
      </c>
      <c r="N835">
        <f>_xlfn.XLOOKUP(Table13[[#This Row],[Production_Order_ID]],[1]Sheet1!$A$2:$A$391,[1]Sheet1!$F$2:$F$391,"No Match")</f>
        <v>500</v>
      </c>
      <c r="O835" s="3">
        <f>Table13[[#This Row],[Good_Qty]]/Table13[[#This Row],[Planned_Production]]</f>
        <v>1.224</v>
      </c>
      <c r="P835" t="str">
        <f>IF(Table13[[#This Row],[Good_Qty]]&gt;=Table13[[#This Row],[Planned_Production]],"Met","Not Met")</f>
        <v>Met</v>
      </c>
      <c r="Q835">
        <f>Table13[[#This Row],[Good_Qty]]-Table13[[#This Row],[Planned_Production]]</f>
        <v>112</v>
      </c>
      <c r="R835" s="3">
        <f>IF(Table13[[#This Row],[Actual_Qty]]=0,0,Table13[[#This Row],[Reject_Qty]]/Table13[[#This Row],[Actual_Qty]])</f>
        <v>8.1037277147487843E-3</v>
      </c>
      <c r="S835">
        <v>439.19</v>
      </c>
      <c r="T835">
        <f>(Table13[[#This Row],[Ideal_Cycle_Time_sec]]*Table13[[#This Row],[Actual_Qty]])/(Table13[[#This Row],[Operational_Time_min]]*60)</f>
        <v>0.46828631495859802</v>
      </c>
      <c r="U835">
        <f>Table13[[#This Row],[Good_Qty]]/Table13[[#This Row],[Actual_Qty]]</f>
        <v>0.99189627228525123</v>
      </c>
      <c r="V835" t="str">
        <f>IF(OR(Table13[[#This Row],[Performance_%]]&gt;=1,Table13[[#This Row],[Performance_%]]&lt;=0),"Error","OK")</f>
        <v>OK</v>
      </c>
      <c r="W835" t="str">
        <f>IF(OR(Table13[[#This Row],[Quality_%]]&gt;=1,Table13[[#This Row],[Quality_%]]&lt;=0),"Error","OK")</f>
        <v>OK</v>
      </c>
      <c r="X835">
        <f>Table13[[#This Row],[Performance_%]]*Table13[[#This Row],[Quality_%]]*[2]Availability_KPI!K835</f>
        <v>0.45333333333333331</v>
      </c>
      <c r="Y835" t="str">
        <f>IF(OR(Table13[[#This Row],[OEE_%]]&gt;1,Table13[[#This Row],[OEE_%]]&lt;0),"Error","OK")</f>
        <v>OK</v>
      </c>
    </row>
    <row r="836" spans="1:25" x14ac:dyDescent="0.2">
      <c r="A836" t="s">
        <v>990</v>
      </c>
      <c r="B836" t="s">
        <v>988</v>
      </c>
      <c r="C836" s="2">
        <v>46283</v>
      </c>
      <c r="D836" t="s">
        <v>67</v>
      </c>
      <c r="E836" t="s">
        <v>35</v>
      </c>
      <c r="F836" t="s">
        <v>54</v>
      </c>
      <c r="G836" t="s">
        <v>55</v>
      </c>
      <c r="H836">
        <v>615</v>
      </c>
      <c r="I836">
        <v>610</v>
      </c>
      <c r="J836">
        <v>5</v>
      </c>
      <c r="K836">
        <v>22</v>
      </c>
      <c r="L836">
        <v>23.98</v>
      </c>
      <c r="M836">
        <v>245.82</v>
      </c>
      <c r="N836">
        <f>_xlfn.XLOOKUP(Table13[[#This Row],[Production_Order_ID]],[1]Sheet1!$A$2:$A$391,[1]Sheet1!$F$2:$F$391,"No Match")</f>
        <v>500</v>
      </c>
      <c r="O836" s="3">
        <f>Table13[[#This Row],[Good_Qty]]/Table13[[#This Row],[Planned_Production]]</f>
        <v>1.22</v>
      </c>
      <c r="P836" t="str">
        <f>IF(Table13[[#This Row],[Good_Qty]]&gt;=Table13[[#This Row],[Planned_Production]],"Met","Not Met")</f>
        <v>Met</v>
      </c>
      <c r="Q836">
        <f>Table13[[#This Row],[Good_Qty]]-Table13[[#This Row],[Planned_Production]]</f>
        <v>110</v>
      </c>
      <c r="R836" s="3">
        <f>IF(Table13[[#This Row],[Actual_Qty]]=0,0,Table13[[#This Row],[Reject_Qty]]/Table13[[#This Row],[Actual_Qty]])</f>
        <v>8.130081300813009E-3</v>
      </c>
      <c r="S836">
        <v>436.23</v>
      </c>
      <c r="T836">
        <f>(Table13[[#This Row],[Ideal_Cycle_Time_sec]]*Table13[[#This Row],[Actual_Qty]])/(Table13[[#This Row],[Operational_Time_min]]*60)</f>
        <v>0.51692914288334135</v>
      </c>
      <c r="U836">
        <f>Table13[[#This Row],[Good_Qty]]/Table13[[#This Row],[Actual_Qty]]</f>
        <v>0.99186991869918695</v>
      </c>
      <c r="V836" t="str">
        <f>IF(OR(Table13[[#This Row],[Performance_%]]&gt;=1,Table13[[#This Row],[Performance_%]]&lt;=0),"Error","OK")</f>
        <v>OK</v>
      </c>
      <c r="W836" t="str">
        <f>IF(OR(Table13[[#This Row],[Quality_%]]&gt;=1,Table13[[#This Row],[Quality_%]]&lt;=0),"Error","OK")</f>
        <v>OK</v>
      </c>
      <c r="X836">
        <f>Table13[[#This Row],[Performance_%]]*Table13[[#This Row],[Quality_%]]*[2]Availability_KPI!K836</f>
        <v>0.497037037037037</v>
      </c>
      <c r="Y836" t="str">
        <f>IF(OR(Table13[[#This Row],[OEE_%]]&gt;1,Table13[[#This Row],[OEE_%]]&lt;0),"Error","OK")</f>
        <v>OK</v>
      </c>
    </row>
    <row r="837" spans="1:25" x14ac:dyDescent="0.2">
      <c r="A837" t="s">
        <v>991</v>
      </c>
      <c r="B837" t="s">
        <v>988</v>
      </c>
      <c r="C837" s="2">
        <v>46283</v>
      </c>
      <c r="D837" t="s">
        <v>67</v>
      </c>
      <c r="E837" t="s">
        <v>38</v>
      </c>
      <c r="F837" t="s">
        <v>54</v>
      </c>
      <c r="G837" t="s">
        <v>33</v>
      </c>
      <c r="H837">
        <v>609</v>
      </c>
      <c r="I837">
        <v>606</v>
      </c>
      <c r="J837">
        <v>3</v>
      </c>
      <c r="K837">
        <v>20</v>
      </c>
      <c r="L837">
        <v>20.309999999999999</v>
      </c>
      <c r="M837">
        <v>206.17</v>
      </c>
      <c r="N837">
        <f>_xlfn.XLOOKUP(Table13[[#This Row],[Production_Order_ID]],[1]Sheet1!$A$2:$A$391,[1]Sheet1!$F$2:$F$391,"No Match")</f>
        <v>500</v>
      </c>
      <c r="O837" s="3">
        <f>Table13[[#This Row],[Good_Qty]]/Table13[[#This Row],[Planned_Production]]</f>
        <v>1.212</v>
      </c>
      <c r="P837" t="str">
        <f>IF(Table13[[#This Row],[Good_Qty]]&gt;=Table13[[#This Row],[Planned_Production]],"Met","Not Met")</f>
        <v>Met</v>
      </c>
      <c r="Q837">
        <f>Table13[[#This Row],[Good_Qty]]-Table13[[#This Row],[Planned_Production]]</f>
        <v>106</v>
      </c>
      <c r="R837" s="3">
        <f>IF(Table13[[#This Row],[Actual_Qty]]=0,0,Table13[[#This Row],[Reject_Qty]]/Table13[[#This Row],[Actual_Qty]])</f>
        <v>4.9261083743842365E-3</v>
      </c>
      <c r="S837">
        <v>439.06</v>
      </c>
      <c r="T837">
        <f>(Table13[[#This Row],[Ideal_Cycle_Time_sec]]*Table13[[#This Row],[Actual_Qty]])/(Table13[[#This Row],[Operational_Time_min]]*60)</f>
        <v>0.46235138705416118</v>
      </c>
      <c r="U837">
        <f>Table13[[#This Row],[Good_Qty]]/Table13[[#This Row],[Actual_Qty]]</f>
        <v>0.99507389162561577</v>
      </c>
      <c r="V837" t="str">
        <f>IF(OR(Table13[[#This Row],[Performance_%]]&gt;=1,Table13[[#This Row],[Performance_%]]&lt;=0),"Error","OK")</f>
        <v>OK</v>
      </c>
      <c r="W837" t="str">
        <f>IF(OR(Table13[[#This Row],[Quality_%]]&gt;=1,Table13[[#This Row],[Quality_%]]&lt;=0),"Error","OK")</f>
        <v>OK</v>
      </c>
      <c r="X837">
        <f>Table13[[#This Row],[Performance_%]]*Table13[[#This Row],[Quality_%]]*[2]Availability_KPI!K837</f>
        <v>0.44888888888888895</v>
      </c>
      <c r="Y837" t="str">
        <f>IF(OR(Table13[[#This Row],[OEE_%]]&gt;1,Table13[[#This Row],[OEE_%]]&lt;0),"Error","OK")</f>
        <v>OK</v>
      </c>
    </row>
    <row r="838" spans="1:25" x14ac:dyDescent="0.2">
      <c r="A838" t="s">
        <v>992</v>
      </c>
      <c r="B838" t="s">
        <v>988</v>
      </c>
      <c r="C838" s="2">
        <v>46283</v>
      </c>
      <c r="D838" t="s">
        <v>67</v>
      </c>
      <c r="E838" t="s">
        <v>41</v>
      </c>
      <c r="F838" t="s">
        <v>54</v>
      </c>
      <c r="G838" t="s">
        <v>55</v>
      </c>
      <c r="H838">
        <v>609</v>
      </c>
      <c r="I838">
        <v>606</v>
      </c>
      <c r="J838">
        <v>3</v>
      </c>
      <c r="K838">
        <v>18</v>
      </c>
      <c r="L838">
        <v>19.02</v>
      </c>
      <c r="M838">
        <v>193.1</v>
      </c>
      <c r="N838">
        <f>_xlfn.XLOOKUP(Table13[[#This Row],[Production_Order_ID]],[1]Sheet1!$A$2:$A$391,[1]Sheet1!$F$2:$F$391,"No Match")</f>
        <v>500</v>
      </c>
      <c r="O838" s="3">
        <f>Table13[[#This Row],[Good_Qty]]/Table13[[#This Row],[Planned_Production]]</f>
        <v>1.212</v>
      </c>
      <c r="P838" t="str">
        <f>IF(Table13[[#This Row],[Good_Qty]]&gt;=Table13[[#This Row],[Planned_Production]],"Met","Not Met")</f>
        <v>Met</v>
      </c>
      <c r="Q838">
        <f>Table13[[#This Row],[Good_Qty]]-Table13[[#This Row],[Planned_Production]]</f>
        <v>106</v>
      </c>
      <c r="R838" s="3">
        <f>IF(Table13[[#This Row],[Actual_Qty]]=0,0,Table13[[#This Row],[Reject_Qty]]/Table13[[#This Row],[Actual_Qty]])</f>
        <v>4.9261083743842365E-3</v>
      </c>
      <c r="S838">
        <v>438.78</v>
      </c>
      <c r="T838">
        <f>(Table13[[#This Row],[Ideal_Cycle_Time_sec]]*Table13[[#This Row],[Actual_Qty]])/(Table13[[#This Row],[Operational_Time_min]]*60)</f>
        <v>0.41638178586079583</v>
      </c>
      <c r="U838">
        <f>Table13[[#This Row],[Good_Qty]]/Table13[[#This Row],[Actual_Qty]]</f>
        <v>0.99507389162561577</v>
      </c>
      <c r="V838" t="str">
        <f>IF(OR(Table13[[#This Row],[Performance_%]]&gt;=1,Table13[[#This Row],[Performance_%]]&lt;=0),"Error","OK")</f>
        <v>OK</v>
      </c>
      <c r="W838" t="str">
        <f>IF(OR(Table13[[#This Row],[Quality_%]]&gt;=1,Table13[[#This Row],[Quality_%]]&lt;=0),"Error","OK")</f>
        <v>OK</v>
      </c>
      <c r="X838">
        <f>Table13[[#This Row],[Performance_%]]*Table13[[#This Row],[Quality_%]]*[2]Availability_KPI!K838</f>
        <v>0.40399999999999997</v>
      </c>
      <c r="Y838" t="str">
        <f>IF(OR(Table13[[#This Row],[OEE_%]]&gt;1,Table13[[#This Row],[OEE_%]]&lt;0),"Error","OK")</f>
        <v>OK</v>
      </c>
    </row>
    <row r="839" spans="1:25" x14ac:dyDescent="0.2">
      <c r="A839" t="s">
        <v>993</v>
      </c>
      <c r="B839" t="s">
        <v>988</v>
      </c>
      <c r="C839" s="2">
        <v>46283</v>
      </c>
      <c r="D839" t="s">
        <v>67</v>
      </c>
      <c r="E839" t="s">
        <v>43</v>
      </c>
      <c r="F839" t="s">
        <v>54</v>
      </c>
      <c r="G839" t="s">
        <v>36</v>
      </c>
      <c r="H839">
        <v>608</v>
      </c>
      <c r="I839">
        <v>600</v>
      </c>
      <c r="J839">
        <v>8</v>
      </c>
      <c r="K839">
        <v>32</v>
      </c>
      <c r="L839">
        <v>35.729999999999997</v>
      </c>
      <c r="M839">
        <v>362.1</v>
      </c>
      <c r="N839">
        <f>_xlfn.XLOOKUP(Table13[[#This Row],[Production_Order_ID]],[1]Sheet1!$A$2:$A$391,[1]Sheet1!$F$2:$F$391,"No Match")</f>
        <v>500</v>
      </c>
      <c r="O839" s="3">
        <f>Table13[[#This Row],[Good_Qty]]/Table13[[#This Row],[Planned_Production]]</f>
        <v>1.2</v>
      </c>
      <c r="P839" t="str">
        <f>IF(Table13[[#This Row],[Good_Qty]]&gt;=Table13[[#This Row],[Planned_Production]],"Met","Not Met")</f>
        <v>Met</v>
      </c>
      <c r="Q839">
        <f>Table13[[#This Row],[Good_Qty]]-Table13[[#This Row],[Planned_Production]]</f>
        <v>100</v>
      </c>
      <c r="R839" s="3">
        <f>IF(Table13[[#This Row],[Actual_Qty]]=0,0,Table13[[#This Row],[Reject_Qty]]/Table13[[#This Row],[Actual_Qty]])</f>
        <v>1.3157894736842105E-2</v>
      </c>
      <c r="S839">
        <v>404.28</v>
      </c>
      <c r="T839">
        <f>(Table13[[#This Row],[Ideal_Cycle_Time_sec]]*Table13[[#This Row],[Actual_Qty]])/(Table13[[#This Row],[Operational_Time_min]]*60)</f>
        <v>0.80208436397216454</v>
      </c>
      <c r="U839">
        <f>Table13[[#This Row],[Good_Qty]]/Table13[[#This Row],[Actual_Qty]]</f>
        <v>0.98684210526315785</v>
      </c>
      <c r="V839" t="str">
        <f>IF(OR(Table13[[#This Row],[Performance_%]]&gt;=1,Table13[[#This Row],[Performance_%]]&lt;=0),"Error","OK")</f>
        <v>OK</v>
      </c>
      <c r="W839" t="str">
        <f>IF(OR(Table13[[#This Row],[Quality_%]]&gt;=1,Table13[[#This Row],[Quality_%]]&lt;=0),"Error","OK")</f>
        <v>OK</v>
      </c>
      <c r="X839">
        <f>Table13[[#This Row],[Performance_%]]*Table13[[#This Row],[Quality_%]]*[2]Availability_KPI!K839</f>
        <v>0.71111111111111114</v>
      </c>
      <c r="Y839" t="str">
        <f>IF(OR(Table13[[#This Row],[OEE_%]]&gt;1,Table13[[#This Row],[OEE_%]]&lt;0),"Error","OK")</f>
        <v>OK</v>
      </c>
    </row>
    <row r="840" spans="1:25" x14ac:dyDescent="0.2">
      <c r="A840" t="s">
        <v>994</v>
      </c>
      <c r="B840" t="s">
        <v>988</v>
      </c>
      <c r="C840" s="2">
        <v>46283</v>
      </c>
      <c r="D840" t="s">
        <v>67</v>
      </c>
      <c r="E840" t="s">
        <v>46</v>
      </c>
      <c r="F840" t="s">
        <v>54</v>
      </c>
      <c r="G840" t="s">
        <v>33</v>
      </c>
      <c r="H840">
        <v>599</v>
      </c>
      <c r="I840">
        <v>591</v>
      </c>
      <c r="J840">
        <v>8</v>
      </c>
      <c r="K840">
        <v>25</v>
      </c>
      <c r="L840">
        <v>26.72</v>
      </c>
      <c r="M840">
        <v>266.74</v>
      </c>
      <c r="N840">
        <f>_xlfn.XLOOKUP(Table13[[#This Row],[Production_Order_ID]],[1]Sheet1!$A$2:$A$391,[1]Sheet1!$F$2:$F$391,"No Match")</f>
        <v>500</v>
      </c>
      <c r="O840" s="3">
        <f>Table13[[#This Row],[Good_Qty]]/Table13[[#This Row],[Planned_Production]]</f>
        <v>1.1819999999999999</v>
      </c>
      <c r="P840" t="str">
        <f>IF(Table13[[#This Row],[Good_Qty]]&gt;=Table13[[#This Row],[Planned_Production]],"Met","Not Met")</f>
        <v>Met</v>
      </c>
      <c r="Q840">
        <f>Table13[[#This Row],[Good_Qty]]-Table13[[#This Row],[Planned_Production]]</f>
        <v>91</v>
      </c>
      <c r="R840" s="3">
        <f>IF(Table13[[#This Row],[Actual_Qty]]=0,0,Table13[[#This Row],[Reject_Qty]]/Table13[[#This Row],[Actual_Qty]])</f>
        <v>1.335559265442404E-2</v>
      </c>
      <c r="S840">
        <v>428.28</v>
      </c>
      <c r="T840">
        <f>(Table13[[#This Row],[Ideal_Cycle_Time_sec]]*Table13[[#This Row],[Actual_Qty]])/(Table13[[#This Row],[Operational_Time_min]]*60)</f>
        <v>0.582757386133682</v>
      </c>
      <c r="U840">
        <f>Table13[[#This Row],[Good_Qty]]/Table13[[#This Row],[Actual_Qty]]</f>
        <v>0.98664440734557601</v>
      </c>
      <c r="V840" t="str">
        <f>IF(OR(Table13[[#This Row],[Performance_%]]&gt;=1,Table13[[#This Row],[Performance_%]]&lt;=0),"Error","OK")</f>
        <v>OK</v>
      </c>
      <c r="W840" t="str">
        <f>IF(OR(Table13[[#This Row],[Quality_%]]&gt;=1,Table13[[#This Row],[Quality_%]]&lt;=0),"Error","OK")</f>
        <v>OK</v>
      </c>
      <c r="X840">
        <f>Table13[[#This Row],[Performance_%]]*Table13[[#This Row],[Quality_%]]*[2]Availability_KPI!K840</f>
        <v>0.54722222222222217</v>
      </c>
      <c r="Y840" t="str">
        <f>IF(OR(Table13[[#This Row],[OEE_%]]&gt;1,Table13[[#This Row],[OEE_%]]&lt;0),"Error","OK")</f>
        <v>OK</v>
      </c>
    </row>
    <row r="841" spans="1:25" x14ac:dyDescent="0.2">
      <c r="A841" t="s">
        <v>995</v>
      </c>
      <c r="B841" t="s">
        <v>988</v>
      </c>
      <c r="C841" s="2">
        <v>46283</v>
      </c>
      <c r="D841" t="s">
        <v>67</v>
      </c>
      <c r="E841" t="s">
        <v>49</v>
      </c>
      <c r="F841" t="s">
        <v>54</v>
      </c>
      <c r="G841" t="s">
        <v>30</v>
      </c>
      <c r="H841">
        <v>610</v>
      </c>
      <c r="I841">
        <v>606</v>
      </c>
      <c r="J841">
        <v>4</v>
      </c>
      <c r="K841">
        <v>20</v>
      </c>
      <c r="L841">
        <v>21.35</v>
      </c>
      <c r="M841">
        <v>217.11</v>
      </c>
      <c r="N841">
        <f>_xlfn.XLOOKUP(Table13[[#This Row],[Production_Order_ID]],[1]Sheet1!$A$2:$A$391,[1]Sheet1!$F$2:$F$391,"No Match")</f>
        <v>500</v>
      </c>
      <c r="O841" s="3">
        <f>Table13[[#This Row],[Good_Qty]]/Table13[[#This Row],[Planned_Production]]</f>
        <v>1.212</v>
      </c>
      <c r="P841" t="str">
        <f>IF(Table13[[#This Row],[Good_Qty]]&gt;=Table13[[#This Row],[Planned_Production]],"Met","Not Met")</f>
        <v>Met</v>
      </c>
      <c r="Q841">
        <f>Table13[[#This Row],[Good_Qty]]-Table13[[#This Row],[Planned_Production]]</f>
        <v>106</v>
      </c>
      <c r="R841" s="3">
        <f>IF(Table13[[#This Row],[Actual_Qty]]=0,0,Table13[[#This Row],[Reject_Qty]]/Table13[[#This Row],[Actual_Qty]])</f>
        <v>6.5573770491803279E-3</v>
      </c>
      <c r="S841">
        <v>442.25</v>
      </c>
      <c r="T841">
        <f>(Table13[[#This Row],[Ideal_Cycle_Time_sec]]*Table13[[#This Row],[Actual_Qty]])/(Table13[[#This Row],[Operational_Time_min]]*60)</f>
        <v>0.45977011494252873</v>
      </c>
      <c r="U841">
        <f>Table13[[#This Row],[Good_Qty]]/Table13[[#This Row],[Actual_Qty]]</f>
        <v>0.99344262295081964</v>
      </c>
      <c r="V841" t="str">
        <f>IF(OR(Table13[[#This Row],[Performance_%]]&gt;=1,Table13[[#This Row],[Performance_%]]&lt;=0),"Error","OK")</f>
        <v>OK</v>
      </c>
      <c r="W841" t="str">
        <f>IF(OR(Table13[[#This Row],[Quality_%]]&gt;=1,Table13[[#This Row],[Quality_%]]&lt;=0),"Error","OK")</f>
        <v>OK</v>
      </c>
      <c r="X841">
        <f>Table13[[#This Row],[Performance_%]]*Table13[[#This Row],[Quality_%]]*[2]Availability_KPI!K841</f>
        <v>0.44888888888888889</v>
      </c>
      <c r="Y841" t="str">
        <f>IF(OR(Table13[[#This Row],[OEE_%]]&gt;1,Table13[[#This Row],[OEE_%]]&lt;0),"Error","OK")</f>
        <v>OK</v>
      </c>
    </row>
    <row r="842" spans="1:25" x14ac:dyDescent="0.2">
      <c r="A842" t="s">
        <v>996</v>
      </c>
      <c r="B842" t="s">
        <v>997</v>
      </c>
      <c r="C842" s="2">
        <v>46286</v>
      </c>
      <c r="D842" t="s">
        <v>27</v>
      </c>
      <c r="E842" t="s">
        <v>28</v>
      </c>
      <c r="F842" t="s">
        <v>54</v>
      </c>
      <c r="G842" t="s">
        <v>57</v>
      </c>
      <c r="H842">
        <v>663</v>
      </c>
      <c r="I842">
        <v>662</v>
      </c>
      <c r="J842">
        <v>1</v>
      </c>
      <c r="K842">
        <v>18</v>
      </c>
      <c r="L842">
        <v>18.510000000000002</v>
      </c>
      <c r="M842">
        <v>204.57</v>
      </c>
      <c r="N842">
        <f>_xlfn.XLOOKUP(Table13[[#This Row],[Production_Order_ID]],[1]Sheet1!$A$2:$A$391,[1]Sheet1!$F$2:$F$391,"No Match")</f>
        <v>400</v>
      </c>
      <c r="O842" s="3">
        <f>Table13[[#This Row],[Good_Qty]]/Table13[[#This Row],[Planned_Production]]</f>
        <v>1.655</v>
      </c>
      <c r="P842" t="str">
        <f>IF(Table13[[#This Row],[Good_Qty]]&gt;=Table13[[#This Row],[Planned_Production]],"Met","Not Met")</f>
        <v>Met</v>
      </c>
      <c r="Q842">
        <f>Table13[[#This Row],[Good_Qty]]-Table13[[#This Row],[Planned_Production]]</f>
        <v>262</v>
      </c>
      <c r="R842" s="3">
        <f>IF(Table13[[#This Row],[Actual_Qty]]=0,0,Table13[[#This Row],[Reject_Qty]]/Table13[[#This Row],[Actual_Qty]])</f>
        <v>1.5082956259426848E-3</v>
      </c>
      <c r="S842">
        <v>439.8</v>
      </c>
      <c r="T842">
        <f>(Table13[[#This Row],[Ideal_Cycle_Time_sec]]*Table13[[#This Row],[Actual_Qty]])/(Table13[[#This Row],[Operational_Time_min]]*60)</f>
        <v>0.45225102319236016</v>
      </c>
      <c r="U842">
        <f>Table13[[#This Row],[Good_Qty]]/Table13[[#This Row],[Actual_Qty]]</f>
        <v>0.99849170437405732</v>
      </c>
      <c r="V842" t="str">
        <f>IF(OR(Table13[[#This Row],[Performance_%]]&gt;=1,Table13[[#This Row],[Performance_%]]&lt;=0),"Error","OK")</f>
        <v>OK</v>
      </c>
      <c r="W842" t="str">
        <f>IF(OR(Table13[[#This Row],[Quality_%]]&gt;=1,Table13[[#This Row],[Quality_%]]&lt;=0),"Error","OK")</f>
        <v>OK</v>
      </c>
      <c r="X842">
        <f>Table13[[#This Row],[Performance_%]]*Table13[[#This Row],[Quality_%]]*[2]Availability_KPI!K842</f>
        <v>0.44133333333333336</v>
      </c>
      <c r="Y842" t="str">
        <f>IF(OR(Table13[[#This Row],[OEE_%]]&gt;1,Table13[[#This Row],[OEE_%]]&lt;0),"Error","OK")</f>
        <v>OK</v>
      </c>
    </row>
    <row r="843" spans="1:25" x14ac:dyDescent="0.2">
      <c r="A843" t="s">
        <v>998</v>
      </c>
      <c r="B843" t="s">
        <v>997</v>
      </c>
      <c r="C843" s="2">
        <v>46286</v>
      </c>
      <c r="D843" t="s">
        <v>27</v>
      </c>
      <c r="E843" t="s">
        <v>32</v>
      </c>
      <c r="F843" t="s">
        <v>54</v>
      </c>
      <c r="G843" t="s">
        <v>33</v>
      </c>
      <c r="H843">
        <v>650</v>
      </c>
      <c r="I843">
        <v>644</v>
      </c>
      <c r="J843">
        <v>6</v>
      </c>
      <c r="K843">
        <v>20</v>
      </c>
      <c r="L843">
        <v>20.53</v>
      </c>
      <c r="M843">
        <v>222.41</v>
      </c>
      <c r="N843">
        <f>_xlfn.XLOOKUP(Table13[[#This Row],[Production_Order_ID]],[1]Sheet1!$A$2:$A$391,[1]Sheet1!$F$2:$F$391,"No Match")</f>
        <v>400</v>
      </c>
      <c r="O843" s="3">
        <f>Table13[[#This Row],[Good_Qty]]/Table13[[#This Row],[Planned_Production]]</f>
        <v>1.61</v>
      </c>
      <c r="P843" t="str">
        <f>IF(Table13[[#This Row],[Good_Qty]]&gt;=Table13[[#This Row],[Planned_Production]],"Met","Not Met")</f>
        <v>Met</v>
      </c>
      <c r="Q843">
        <f>Table13[[#This Row],[Good_Qty]]-Table13[[#This Row],[Planned_Production]]</f>
        <v>244</v>
      </c>
      <c r="R843" s="3">
        <f>IF(Table13[[#This Row],[Actual_Qty]]=0,0,Table13[[#This Row],[Reject_Qty]]/Table13[[#This Row],[Actual_Qty]])</f>
        <v>9.2307692307692316E-3</v>
      </c>
      <c r="S843">
        <v>436.74</v>
      </c>
      <c r="T843">
        <f>(Table13[[#This Row],[Ideal_Cycle_Time_sec]]*Table13[[#This Row],[Actual_Qty]])/(Table13[[#This Row],[Operational_Time_min]]*60)</f>
        <v>0.4960998916212544</v>
      </c>
      <c r="U843">
        <f>Table13[[#This Row],[Good_Qty]]/Table13[[#This Row],[Actual_Qty]]</f>
        <v>0.99076923076923074</v>
      </c>
      <c r="V843" t="str">
        <f>IF(OR(Table13[[#This Row],[Performance_%]]&gt;=1,Table13[[#This Row],[Performance_%]]&lt;=0),"Error","OK")</f>
        <v>OK</v>
      </c>
      <c r="W843" t="str">
        <f>IF(OR(Table13[[#This Row],[Quality_%]]&gt;=1,Table13[[#This Row],[Quality_%]]&lt;=0),"Error","OK")</f>
        <v>OK</v>
      </c>
      <c r="X843">
        <f>Table13[[#This Row],[Performance_%]]*Table13[[#This Row],[Quality_%]]*[2]Availability_KPI!K843</f>
        <v>0.47703703703703698</v>
      </c>
      <c r="Y843" t="str">
        <f>IF(OR(Table13[[#This Row],[OEE_%]]&gt;1,Table13[[#This Row],[OEE_%]]&lt;0),"Error","OK")</f>
        <v>OK</v>
      </c>
    </row>
    <row r="844" spans="1:25" x14ac:dyDescent="0.2">
      <c r="A844" t="s">
        <v>999</v>
      </c>
      <c r="B844" t="s">
        <v>997</v>
      </c>
      <c r="C844" s="2">
        <v>46286</v>
      </c>
      <c r="D844" t="s">
        <v>27</v>
      </c>
      <c r="E844" t="s">
        <v>35</v>
      </c>
      <c r="F844" t="s">
        <v>54</v>
      </c>
      <c r="G844" t="s">
        <v>71</v>
      </c>
      <c r="H844">
        <v>652</v>
      </c>
      <c r="I844">
        <v>647</v>
      </c>
      <c r="J844">
        <v>5</v>
      </c>
      <c r="K844">
        <v>22</v>
      </c>
      <c r="L844">
        <v>22.93</v>
      </c>
      <c r="M844">
        <v>249.2</v>
      </c>
      <c r="N844">
        <f>_xlfn.XLOOKUP(Table13[[#This Row],[Production_Order_ID]],[1]Sheet1!$A$2:$A$391,[1]Sheet1!$F$2:$F$391,"No Match")</f>
        <v>400</v>
      </c>
      <c r="O844" s="3">
        <f>Table13[[#This Row],[Good_Qty]]/Table13[[#This Row],[Planned_Production]]</f>
        <v>1.6174999999999999</v>
      </c>
      <c r="P844" t="str">
        <f>IF(Table13[[#This Row],[Good_Qty]]&gt;=Table13[[#This Row],[Planned_Production]],"Met","Not Met")</f>
        <v>Met</v>
      </c>
      <c r="Q844">
        <f>Table13[[#This Row],[Good_Qty]]-Table13[[#This Row],[Planned_Production]]</f>
        <v>247</v>
      </c>
      <c r="R844" s="3">
        <f>IF(Table13[[#This Row],[Actual_Qty]]=0,0,Table13[[#This Row],[Reject_Qty]]/Table13[[#This Row],[Actual_Qty]])</f>
        <v>7.6687116564417178E-3</v>
      </c>
      <c r="S844">
        <v>436.49</v>
      </c>
      <c r="T844">
        <f>(Table13[[#This Row],[Ideal_Cycle_Time_sec]]*Table13[[#This Row],[Actual_Qty]])/(Table13[[#This Row],[Operational_Time_min]]*60)</f>
        <v>0.54770250559386624</v>
      </c>
      <c r="U844">
        <f>Table13[[#This Row],[Good_Qty]]/Table13[[#This Row],[Actual_Qty]]</f>
        <v>0.99233128834355833</v>
      </c>
      <c r="V844" t="str">
        <f>IF(OR(Table13[[#This Row],[Performance_%]]&gt;=1,Table13[[#This Row],[Performance_%]]&lt;=0),"Error","OK")</f>
        <v>OK</v>
      </c>
      <c r="W844" t="str">
        <f>IF(OR(Table13[[#This Row],[Quality_%]]&gt;=1,Table13[[#This Row],[Quality_%]]&lt;=0),"Error","OK")</f>
        <v>OK</v>
      </c>
      <c r="X844">
        <f>Table13[[#This Row],[Performance_%]]*Table13[[#This Row],[Quality_%]]*[2]Availability_KPI!K844</f>
        <v>0.5271851851851852</v>
      </c>
      <c r="Y844" t="str">
        <f>IF(OR(Table13[[#This Row],[OEE_%]]&gt;1,Table13[[#This Row],[OEE_%]]&lt;0),"Error","OK")</f>
        <v>OK</v>
      </c>
    </row>
    <row r="845" spans="1:25" x14ac:dyDescent="0.2">
      <c r="A845" t="s">
        <v>1000</v>
      </c>
      <c r="B845" t="s">
        <v>997</v>
      </c>
      <c r="C845" s="2">
        <v>46286</v>
      </c>
      <c r="D845" t="s">
        <v>27</v>
      </c>
      <c r="E845" t="s">
        <v>38</v>
      </c>
      <c r="F845" t="s">
        <v>54</v>
      </c>
      <c r="G845" t="s">
        <v>39</v>
      </c>
      <c r="H845">
        <v>657</v>
      </c>
      <c r="I845">
        <v>651</v>
      </c>
      <c r="J845">
        <v>6</v>
      </c>
      <c r="K845">
        <v>20</v>
      </c>
      <c r="L845">
        <v>20.239999999999998</v>
      </c>
      <c r="M845">
        <v>221.65</v>
      </c>
      <c r="N845">
        <f>_xlfn.XLOOKUP(Table13[[#This Row],[Production_Order_ID]],[1]Sheet1!$A$2:$A$391,[1]Sheet1!$F$2:$F$391,"No Match")</f>
        <v>400</v>
      </c>
      <c r="O845" s="3">
        <f>Table13[[#This Row],[Good_Qty]]/Table13[[#This Row],[Planned_Production]]</f>
        <v>1.6274999999999999</v>
      </c>
      <c r="P845" t="str">
        <f>IF(Table13[[#This Row],[Good_Qty]]&gt;=Table13[[#This Row],[Planned_Production]],"Met","Not Met")</f>
        <v>Met</v>
      </c>
      <c r="Q845">
        <f>Table13[[#This Row],[Good_Qty]]-Table13[[#This Row],[Planned_Production]]</f>
        <v>251</v>
      </c>
      <c r="R845" s="3">
        <f>IF(Table13[[#This Row],[Actual_Qty]]=0,0,Table13[[#This Row],[Reject_Qty]]/Table13[[#This Row],[Actual_Qty]])</f>
        <v>9.1324200913242004E-3</v>
      </c>
      <c r="S845">
        <v>436.95</v>
      </c>
      <c r="T845">
        <f>(Table13[[#This Row],[Ideal_Cycle_Time_sec]]*Table13[[#This Row],[Actual_Qty]])/(Table13[[#This Row],[Operational_Time_min]]*60)</f>
        <v>0.50120151047030548</v>
      </c>
      <c r="U845">
        <f>Table13[[#This Row],[Good_Qty]]/Table13[[#This Row],[Actual_Qty]]</f>
        <v>0.9908675799086758</v>
      </c>
      <c r="V845" t="str">
        <f>IF(OR(Table13[[#This Row],[Performance_%]]&gt;=1,Table13[[#This Row],[Performance_%]]&lt;=0),"Error","OK")</f>
        <v>OK</v>
      </c>
      <c r="W845" t="str">
        <f>IF(OR(Table13[[#This Row],[Quality_%]]&gt;=1,Table13[[#This Row],[Quality_%]]&lt;=0),"Error","OK")</f>
        <v>OK</v>
      </c>
      <c r="X845">
        <f>Table13[[#This Row],[Performance_%]]*Table13[[#This Row],[Quality_%]]*[2]Availability_KPI!K845</f>
        <v>0.48222222222222216</v>
      </c>
      <c r="Y845" t="str">
        <f>IF(OR(Table13[[#This Row],[OEE_%]]&gt;1,Table13[[#This Row],[OEE_%]]&lt;0),"Error","OK")</f>
        <v>OK</v>
      </c>
    </row>
    <row r="846" spans="1:25" x14ac:dyDescent="0.2">
      <c r="A846" t="s">
        <v>1001</v>
      </c>
      <c r="B846" t="s">
        <v>997</v>
      </c>
      <c r="C846" s="2">
        <v>46286</v>
      </c>
      <c r="D846" t="s">
        <v>27</v>
      </c>
      <c r="E846" t="s">
        <v>41</v>
      </c>
      <c r="F846" t="s">
        <v>54</v>
      </c>
      <c r="G846" t="s">
        <v>44</v>
      </c>
      <c r="H846">
        <v>677</v>
      </c>
      <c r="I846">
        <v>673</v>
      </c>
      <c r="J846">
        <v>4</v>
      </c>
      <c r="K846">
        <v>18</v>
      </c>
      <c r="L846">
        <v>19.14</v>
      </c>
      <c r="M846">
        <v>215.97</v>
      </c>
      <c r="N846">
        <f>_xlfn.XLOOKUP(Table13[[#This Row],[Production_Order_ID]],[1]Sheet1!$A$2:$A$391,[1]Sheet1!$F$2:$F$391,"No Match")</f>
        <v>400</v>
      </c>
      <c r="O846" s="3">
        <f>Table13[[#This Row],[Good_Qty]]/Table13[[#This Row],[Planned_Production]]</f>
        <v>1.6825000000000001</v>
      </c>
      <c r="P846" t="str">
        <f>IF(Table13[[#This Row],[Good_Qty]]&gt;=Table13[[#This Row],[Planned_Production]],"Met","Not Met")</f>
        <v>Met</v>
      </c>
      <c r="Q846">
        <f>Table13[[#This Row],[Good_Qty]]-Table13[[#This Row],[Planned_Production]]</f>
        <v>273</v>
      </c>
      <c r="R846" s="3">
        <f>IF(Table13[[#This Row],[Actual_Qty]]=0,0,Table13[[#This Row],[Reject_Qty]]/Table13[[#This Row],[Actual_Qty]])</f>
        <v>5.9084194977843431E-3</v>
      </c>
      <c r="S846">
        <v>436.14</v>
      </c>
      <c r="T846">
        <f>(Table13[[#This Row],[Ideal_Cycle_Time_sec]]*Table13[[#This Row],[Actual_Qty]])/(Table13[[#This Row],[Operational_Time_min]]*60)</f>
        <v>0.46567615903150367</v>
      </c>
      <c r="U846">
        <f>Table13[[#This Row],[Good_Qty]]/Table13[[#This Row],[Actual_Qty]]</f>
        <v>0.99409158050221569</v>
      </c>
      <c r="V846" t="str">
        <f>IF(OR(Table13[[#This Row],[Performance_%]]&gt;=1,Table13[[#This Row],[Performance_%]]&lt;=0),"Error","OK")</f>
        <v>OK</v>
      </c>
      <c r="W846" t="str">
        <f>IF(OR(Table13[[#This Row],[Quality_%]]&gt;=1,Table13[[#This Row],[Quality_%]]&lt;=0),"Error","OK")</f>
        <v>OK</v>
      </c>
      <c r="X846">
        <f>Table13[[#This Row],[Performance_%]]*Table13[[#This Row],[Quality_%]]*[2]Availability_KPI!K846</f>
        <v>0.44866666666666666</v>
      </c>
      <c r="Y846" t="str">
        <f>IF(OR(Table13[[#This Row],[OEE_%]]&gt;1,Table13[[#This Row],[OEE_%]]&lt;0),"Error","OK")</f>
        <v>OK</v>
      </c>
    </row>
    <row r="847" spans="1:25" x14ac:dyDescent="0.2">
      <c r="A847" t="s">
        <v>1002</v>
      </c>
      <c r="B847" t="s">
        <v>997</v>
      </c>
      <c r="C847" s="2">
        <v>46286</v>
      </c>
      <c r="D847" t="s">
        <v>27</v>
      </c>
      <c r="E847" t="s">
        <v>43</v>
      </c>
      <c r="F847" t="s">
        <v>54</v>
      </c>
      <c r="G847" t="s">
        <v>75</v>
      </c>
      <c r="H847">
        <v>649</v>
      </c>
      <c r="I847">
        <v>641</v>
      </c>
      <c r="J847">
        <v>8</v>
      </c>
      <c r="K847">
        <v>32</v>
      </c>
      <c r="L847">
        <v>35.94</v>
      </c>
      <c r="M847">
        <v>388.8</v>
      </c>
      <c r="N847">
        <f>_xlfn.XLOOKUP(Table13[[#This Row],[Production_Order_ID]],[1]Sheet1!$A$2:$A$391,[1]Sheet1!$F$2:$F$391,"No Match")</f>
        <v>400</v>
      </c>
      <c r="O847" s="3">
        <f>Table13[[#This Row],[Good_Qty]]/Table13[[#This Row],[Planned_Production]]</f>
        <v>1.6025</v>
      </c>
      <c r="P847" t="str">
        <f>IF(Table13[[#This Row],[Good_Qty]]&gt;=Table13[[#This Row],[Planned_Production]],"Met","Not Met")</f>
        <v>Met</v>
      </c>
      <c r="Q847">
        <f>Table13[[#This Row],[Good_Qty]]-Table13[[#This Row],[Planned_Production]]</f>
        <v>241</v>
      </c>
      <c r="R847" s="3">
        <f>IF(Table13[[#This Row],[Actual_Qty]]=0,0,Table13[[#This Row],[Reject_Qty]]/Table13[[#This Row],[Actual_Qty]])</f>
        <v>1.2326656394453005E-2</v>
      </c>
      <c r="S847">
        <v>401.2</v>
      </c>
      <c r="T847">
        <f>(Table13[[#This Row],[Ideal_Cycle_Time_sec]]*Table13[[#This Row],[Actual_Qty]])/(Table13[[#This Row],[Operational_Time_min]]*60)</f>
        <v>0.86274509803921573</v>
      </c>
      <c r="U847">
        <f>Table13[[#This Row],[Good_Qty]]/Table13[[#This Row],[Actual_Qty]]</f>
        <v>0.98767334360554704</v>
      </c>
      <c r="V847" t="str">
        <f>IF(OR(Table13[[#This Row],[Performance_%]]&gt;=1,Table13[[#This Row],[Performance_%]]&lt;=0),"Error","OK")</f>
        <v>OK</v>
      </c>
      <c r="W847" t="str">
        <f>IF(OR(Table13[[#This Row],[Quality_%]]&gt;=1,Table13[[#This Row],[Quality_%]]&lt;=0),"Error","OK")</f>
        <v>OK</v>
      </c>
      <c r="X847">
        <f>Table13[[#This Row],[Performance_%]]*Table13[[#This Row],[Quality_%]]*[2]Availability_KPI!K847</f>
        <v>0.75970370370370377</v>
      </c>
      <c r="Y847" t="str">
        <f>IF(OR(Table13[[#This Row],[OEE_%]]&gt;1,Table13[[#This Row],[OEE_%]]&lt;0),"Error","OK")</f>
        <v>OK</v>
      </c>
    </row>
    <row r="848" spans="1:25" x14ac:dyDescent="0.2">
      <c r="A848" t="s">
        <v>1003</v>
      </c>
      <c r="B848" t="s">
        <v>997</v>
      </c>
      <c r="C848" s="2">
        <v>46286</v>
      </c>
      <c r="D848" t="s">
        <v>27</v>
      </c>
      <c r="E848" t="s">
        <v>46</v>
      </c>
      <c r="F848" t="s">
        <v>54</v>
      </c>
      <c r="G848" t="s">
        <v>75</v>
      </c>
      <c r="H848">
        <v>649</v>
      </c>
      <c r="I848">
        <v>643</v>
      </c>
      <c r="J848">
        <v>6</v>
      </c>
      <c r="K848">
        <v>25</v>
      </c>
      <c r="L848">
        <v>26.84</v>
      </c>
      <c r="M848">
        <v>290.37</v>
      </c>
      <c r="N848">
        <f>_xlfn.XLOOKUP(Table13[[#This Row],[Production_Order_ID]],[1]Sheet1!$A$2:$A$391,[1]Sheet1!$F$2:$F$391,"No Match")</f>
        <v>400</v>
      </c>
      <c r="O848" s="3">
        <f>Table13[[#This Row],[Good_Qty]]/Table13[[#This Row],[Planned_Production]]</f>
        <v>1.6074999999999999</v>
      </c>
      <c r="P848" t="str">
        <f>IF(Table13[[#This Row],[Good_Qty]]&gt;=Table13[[#This Row],[Planned_Production]],"Met","Not Met")</f>
        <v>Met</v>
      </c>
      <c r="Q848">
        <f>Table13[[#This Row],[Good_Qty]]-Table13[[#This Row],[Planned_Production]]</f>
        <v>243</v>
      </c>
      <c r="R848" s="3">
        <f>IF(Table13[[#This Row],[Actual_Qty]]=0,0,Table13[[#This Row],[Reject_Qty]]/Table13[[#This Row],[Actual_Qty]])</f>
        <v>9.2449922958397542E-3</v>
      </c>
      <c r="S848">
        <v>433.59</v>
      </c>
      <c r="T848">
        <f>(Table13[[#This Row],[Ideal_Cycle_Time_sec]]*Table13[[#This Row],[Actual_Qty]])/(Table13[[#This Row],[Operational_Time_min]]*60)</f>
        <v>0.62366905755821556</v>
      </c>
      <c r="U848">
        <f>Table13[[#This Row],[Good_Qty]]/Table13[[#This Row],[Actual_Qty]]</f>
        <v>0.99075500770416025</v>
      </c>
      <c r="V848" t="str">
        <f>IF(OR(Table13[[#This Row],[Performance_%]]&gt;=1,Table13[[#This Row],[Performance_%]]&lt;=0),"Error","OK")</f>
        <v>OK</v>
      </c>
      <c r="W848" t="str">
        <f>IF(OR(Table13[[#This Row],[Quality_%]]&gt;=1,Table13[[#This Row],[Quality_%]]&lt;=0),"Error","OK")</f>
        <v>OK</v>
      </c>
      <c r="X848">
        <f>Table13[[#This Row],[Performance_%]]*Table13[[#This Row],[Quality_%]]*[2]Availability_KPI!K848</f>
        <v>0.59537037037037044</v>
      </c>
      <c r="Y848" t="str">
        <f>IF(OR(Table13[[#This Row],[OEE_%]]&gt;1,Table13[[#This Row],[OEE_%]]&lt;0),"Error","OK")</f>
        <v>OK</v>
      </c>
    </row>
    <row r="849" spans="1:25" x14ac:dyDescent="0.2">
      <c r="A849" t="s">
        <v>1004</v>
      </c>
      <c r="B849" t="s">
        <v>997</v>
      </c>
      <c r="C849" s="2">
        <v>46286</v>
      </c>
      <c r="D849" t="s">
        <v>27</v>
      </c>
      <c r="E849" t="s">
        <v>49</v>
      </c>
      <c r="F849" t="s">
        <v>54</v>
      </c>
      <c r="G849" t="s">
        <v>61</v>
      </c>
      <c r="H849">
        <v>660</v>
      </c>
      <c r="I849">
        <v>655</v>
      </c>
      <c r="J849">
        <v>5</v>
      </c>
      <c r="K849">
        <v>20</v>
      </c>
      <c r="L849">
        <v>20.62</v>
      </c>
      <c r="M849">
        <v>226.85</v>
      </c>
      <c r="N849">
        <f>_xlfn.XLOOKUP(Table13[[#This Row],[Production_Order_ID]],[1]Sheet1!$A$2:$A$391,[1]Sheet1!$F$2:$F$391,"No Match")</f>
        <v>400</v>
      </c>
      <c r="O849" s="3">
        <f>Table13[[#This Row],[Good_Qty]]/Table13[[#This Row],[Planned_Production]]</f>
        <v>1.6375</v>
      </c>
      <c r="P849" t="str">
        <f>IF(Table13[[#This Row],[Good_Qty]]&gt;=Table13[[#This Row],[Planned_Production]],"Met","Not Met")</f>
        <v>Met</v>
      </c>
      <c r="Q849">
        <f>Table13[[#This Row],[Good_Qty]]-Table13[[#This Row],[Planned_Production]]</f>
        <v>255</v>
      </c>
      <c r="R849" s="3">
        <f>IF(Table13[[#This Row],[Actual_Qty]]=0,0,Table13[[#This Row],[Reject_Qty]]/Table13[[#This Row],[Actual_Qty]])</f>
        <v>7.575757575757576E-3</v>
      </c>
      <c r="S849">
        <v>441.34</v>
      </c>
      <c r="T849">
        <f>(Table13[[#This Row],[Ideal_Cycle_Time_sec]]*Table13[[#This Row],[Actual_Qty]])/(Table13[[#This Row],[Operational_Time_min]]*60)</f>
        <v>0.49848189604386645</v>
      </c>
      <c r="U849">
        <f>Table13[[#This Row],[Good_Qty]]/Table13[[#This Row],[Actual_Qty]]</f>
        <v>0.99242424242424243</v>
      </c>
      <c r="V849" t="str">
        <f>IF(OR(Table13[[#This Row],[Performance_%]]&gt;=1,Table13[[#This Row],[Performance_%]]&lt;=0),"Error","OK")</f>
        <v>OK</v>
      </c>
      <c r="W849" t="str">
        <f>IF(OR(Table13[[#This Row],[Quality_%]]&gt;=1,Table13[[#This Row],[Quality_%]]&lt;=0),"Error","OK")</f>
        <v>OK</v>
      </c>
      <c r="X849">
        <f>Table13[[#This Row],[Performance_%]]*Table13[[#This Row],[Quality_%]]*[2]Availability_KPI!K849</f>
        <v>0.48518518518518522</v>
      </c>
      <c r="Y849" t="str">
        <f>IF(OR(Table13[[#This Row],[OEE_%]]&gt;1,Table13[[#This Row],[OEE_%]]&lt;0),"Error","OK")</f>
        <v>OK</v>
      </c>
    </row>
    <row r="850" spans="1:25" x14ac:dyDescent="0.2">
      <c r="A850" t="s">
        <v>1005</v>
      </c>
      <c r="B850" t="s">
        <v>1006</v>
      </c>
      <c r="C850" s="2">
        <v>46286</v>
      </c>
      <c r="D850" t="s">
        <v>53</v>
      </c>
      <c r="E850" t="s">
        <v>28</v>
      </c>
      <c r="F850" t="s">
        <v>54</v>
      </c>
      <c r="G850" t="s">
        <v>71</v>
      </c>
      <c r="H850">
        <v>652</v>
      </c>
      <c r="I850">
        <v>649</v>
      </c>
      <c r="J850">
        <v>3</v>
      </c>
      <c r="K850">
        <v>18</v>
      </c>
      <c r="L850">
        <v>18.989999999999998</v>
      </c>
      <c r="M850">
        <v>206.37</v>
      </c>
      <c r="N850">
        <f>_xlfn.XLOOKUP(Table13[[#This Row],[Production_Order_ID]],[1]Sheet1!$A$2:$A$391,[1]Sheet1!$F$2:$F$391,"No Match")</f>
        <v>400</v>
      </c>
      <c r="O850" s="3">
        <f>Table13[[#This Row],[Good_Qty]]/Table13[[#This Row],[Planned_Production]]</f>
        <v>1.6225000000000001</v>
      </c>
      <c r="P850" t="str">
        <f>IF(Table13[[#This Row],[Good_Qty]]&gt;=Table13[[#This Row],[Planned_Production]],"Met","Not Met")</f>
        <v>Met</v>
      </c>
      <c r="Q850">
        <f>Table13[[#This Row],[Good_Qty]]-Table13[[#This Row],[Planned_Production]]</f>
        <v>249</v>
      </c>
      <c r="R850" s="3">
        <f>IF(Table13[[#This Row],[Actual_Qty]]=0,0,Table13[[#This Row],[Reject_Qty]]/Table13[[#This Row],[Actual_Qty]])</f>
        <v>4.601226993865031E-3</v>
      </c>
      <c r="S850">
        <v>438.97</v>
      </c>
      <c r="T850">
        <f>(Table13[[#This Row],[Ideal_Cycle_Time_sec]]*Table13[[#This Row],[Actual_Qty]])/(Table13[[#This Row],[Operational_Time_min]]*60)</f>
        <v>0.44558853680205934</v>
      </c>
      <c r="U850">
        <f>Table13[[#This Row],[Good_Qty]]/Table13[[#This Row],[Actual_Qty]]</f>
        <v>0.995398773006135</v>
      </c>
      <c r="V850" t="str">
        <f>IF(OR(Table13[[#This Row],[Performance_%]]&gt;=1,Table13[[#This Row],[Performance_%]]&lt;=0),"Error","OK")</f>
        <v>OK</v>
      </c>
      <c r="W850" t="str">
        <f>IF(OR(Table13[[#This Row],[Quality_%]]&gt;=1,Table13[[#This Row],[Quality_%]]&lt;=0),"Error","OK")</f>
        <v>OK</v>
      </c>
      <c r="X850">
        <f>Table13[[#This Row],[Performance_%]]*Table13[[#This Row],[Quality_%]]*[2]Availability_KPI!K850</f>
        <v>0.43266666666666664</v>
      </c>
      <c r="Y850" t="str">
        <f>IF(OR(Table13[[#This Row],[OEE_%]]&gt;1,Table13[[#This Row],[OEE_%]]&lt;0),"Error","OK")</f>
        <v>OK</v>
      </c>
    </row>
    <row r="851" spans="1:25" x14ac:dyDescent="0.2">
      <c r="A851" t="s">
        <v>1007</v>
      </c>
      <c r="B851" t="s">
        <v>1006</v>
      </c>
      <c r="C851" s="2">
        <v>46286</v>
      </c>
      <c r="D851" t="s">
        <v>53</v>
      </c>
      <c r="E851" t="s">
        <v>32</v>
      </c>
      <c r="F851" t="s">
        <v>54</v>
      </c>
      <c r="G851" t="s">
        <v>36</v>
      </c>
      <c r="H851">
        <v>642</v>
      </c>
      <c r="I851">
        <v>636</v>
      </c>
      <c r="J851">
        <v>6</v>
      </c>
      <c r="K851">
        <v>20</v>
      </c>
      <c r="L851">
        <v>20.47</v>
      </c>
      <c r="M851">
        <v>219.02</v>
      </c>
      <c r="N851">
        <f>_xlfn.XLOOKUP(Table13[[#This Row],[Production_Order_ID]],[1]Sheet1!$A$2:$A$391,[1]Sheet1!$F$2:$F$391,"No Match")</f>
        <v>400</v>
      </c>
      <c r="O851" s="3">
        <f>Table13[[#This Row],[Good_Qty]]/Table13[[#This Row],[Planned_Production]]</f>
        <v>1.59</v>
      </c>
      <c r="P851" t="str">
        <f>IF(Table13[[#This Row],[Good_Qty]]&gt;=Table13[[#This Row],[Planned_Production]],"Met","Not Met")</f>
        <v>Met</v>
      </c>
      <c r="Q851">
        <f>Table13[[#This Row],[Good_Qty]]-Table13[[#This Row],[Planned_Production]]</f>
        <v>236</v>
      </c>
      <c r="R851" s="3">
        <f>IF(Table13[[#This Row],[Actual_Qty]]=0,0,Table13[[#This Row],[Reject_Qty]]/Table13[[#This Row],[Actual_Qty]])</f>
        <v>9.3457943925233638E-3</v>
      </c>
      <c r="S851">
        <v>440.78</v>
      </c>
      <c r="T851">
        <f>(Table13[[#This Row],[Ideal_Cycle_Time_sec]]*Table13[[#This Row],[Actual_Qty]])/(Table13[[#This Row],[Operational_Time_min]]*60)</f>
        <v>0.48550297200417442</v>
      </c>
      <c r="U851">
        <f>Table13[[#This Row],[Good_Qty]]/Table13[[#This Row],[Actual_Qty]]</f>
        <v>0.99065420560747663</v>
      </c>
      <c r="V851" t="str">
        <f>IF(OR(Table13[[#This Row],[Performance_%]]&gt;=1,Table13[[#This Row],[Performance_%]]&lt;=0),"Error","OK")</f>
        <v>OK</v>
      </c>
      <c r="W851" t="str">
        <f>IF(OR(Table13[[#This Row],[Quality_%]]&gt;=1,Table13[[#This Row],[Quality_%]]&lt;=0),"Error","OK")</f>
        <v>OK</v>
      </c>
      <c r="X851">
        <f>Table13[[#This Row],[Performance_%]]*Table13[[#This Row],[Quality_%]]*[2]Availability_KPI!K851</f>
        <v>0.47111111111111104</v>
      </c>
      <c r="Y851" t="str">
        <f>IF(OR(Table13[[#This Row],[OEE_%]]&gt;1,Table13[[#This Row],[OEE_%]]&lt;0),"Error","OK")</f>
        <v>OK</v>
      </c>
    </row>
    <row r="852" spans="1:25" x14ac:dyDescent="0.2">
      <c r="A852" t="s">
        <v>1008</v>
      </c>
      <c r="B852" t="s">
        <v>1006</v>
      </c>
      <c r="C852" s="2">
        <v>46286</v>
      </c>
      <c r="D852" t="s">
        <v>53</v>
      </c>
      <c r="E852" t="s">
        <v>35</v>
      </c>
      <c r="F852" t="s">
        <v>54</v>
      </c>
      <c r="G852" t="s">
        <v>61</v>
      </c>
      <c r="H852">
        <v>657</v>
      </c>
      <c r="I852">
        <v>650</v>
      </c>
      <c r="J852">
        <v>7</v>
      </c>
      <c r="K852">
        <v>22</v>
      </c>
      <c r="L852">
        <v>23.12</v>
      </c>
      <c r="M852">
        <v>253.15</v>
      </c>
      <c r="N852">
        <f>_xlfn.XLOOKUP(Table13[[#This Row],[Production_Order_ID]],[1]Sheet1!$A$2:$A$391,[1]Sheet1!$F$2:$F$391,"No Match")</f>
        <v>400</v>
      </c>
      <c r="O852" s="3">
        <f>Table13[[#This Row],[Good_Qty]]/Table13[[#This Row],[Planned_Production]]</f>
        <v>1.625</v>
      </c>
      <c r="P852" t="str">
        <f>IF(Table13[[#This Row],[Good_Qty]]&gt;=Table13[[#This Row],[Planned_Production]],"Met","Not Met")</f>
        <v>Met</v>
      </c>
      <c r="Q852">
        <f>Table13[[#This Row],[Good_Qty]]-Table13[[#This Row],[Planned_Production]]</f>
        <v>250</v>
      </c>
      <c r="R852" s="3">
        <f>IF(Table13[[#This Row],[Actual_Qty]]=0,0,Table13[[#This Row],[Reject_Qty]]/Table13[[#This Row],[Actual_Qty]])</f>
        <v>1.06544901065449E-2</v>
      </c>
      <c r="S852">
        <v>434.41</v>
      </c>
      <c r="T852">
        <f>(Table13[[#This Row],[Ideal_Cycle_Time_sec]]*Table13[[#This Row],[Actual_Qty]])/(Table13[[#This Row],[Operational_Time_min]]*60)</f>
        <v>0.55454524527520077</v>
      </c>
      <c r="U852">
        <f>Table13[[#This Row],[Good_Qty]]/Table13[[#This Row],[Actual_Qty]]</f>
        <v>0.98934550989345504</v>
      </c>
      <c r="V852" t="str">
        <f>IF(OR(Table13[[#This Row],[Performance_%]]&gt;=1,Table13[[#This Row],[Performance_%]]&lt;=0),"Error","OK")</f>
        <v>OK</v>
      </c>
      <c r="W852" t="str">
        <f>IF(OR(Table13[[#This Row],[Quality_%]]&gt;=1,Table13[[#This Row],[Quality_%]]&lt;=0),"Error","OK")</f>
        <v>OK</v>
      </c>
      <c r="X852">
        <f>Table13[[#This Row],[Performance_%]]*Table13[[#This Row],[Quality_%]]*[2]Availability_KPI!K852</f>
        <v>0.52962962962962956</v>
      </c>
      <c r="Y852" t="str">
        <f>IF(OR(Table13[[#This Row],[OEE_%]]&gt;1,Table13[[#This Row],[OEE_%]]&lt;0),"Error","OK")</f>
        <v>OK</v>
      </c>
    </row>
    <row r="853" spans="1:25" x14ac:dyDescent="0.2">
      <c r="A853" t="s">
        <v>1009</v>
      </c>
      <c r="B853" t="s">
        <v>1006</v>
      </c>
      <c r="C853" s="2">
        <v>46286</v>
      </c>
      <c r="D853" t="s">
        <v>53</v>
      </c>
      <c r="E853" t="s">
        <v>38</v>
      </c>
      <c r="F853" t="s">
        <v>54</v>
      </c>
      <c r="G853" t="s">
        <v>33</v>
      </c>
      <c r="H853">
        <v>643</v>
      </c>
      <c r="I853">
        <v>638</v>
      </c>
      <c r="J853">
        <v>5</v>
      </c>
      <c r="K853">
        <v>20</v>
      </c>
      <c r="L853">
        <v>20.399999999999999</v>
      </c>
      <c r="M853">
        <v>218.6</v>
      </c>
      <c r="N853">
        <f>_xlfn.XLOOKUP(Table13[[#This Row],[Production_Order_ID]],[1]Sheet1!$A$2:$A$391,[1]Sheet1!$F$2:$F$391,"No Match")</f>
        <v>400</v>
      </c>
      <c r="O853" s="3">
        <f>Table13[[#This Row],[Good_Qty]]/Table13[[#This Row],[Planned_Production]]</f>
        <v>1.595</v>
      </c>
      <c r="P853" t="str">
        <f>IF(Table13[[#This Row],[Good_Qty]]&gt;=Table13[[#This Row],[Planned_Production]],"Met","Not Met")</f>
        <v>Met</v>
      </c>
      <c r="Q853">
        <f>Table13[[#This Row],[Good_Qty]]-Table13[[#This Row],[Planned_Production]]</f>
        <v>238</v>
      </c>
      <c r="R853" s="3">
        <f>IF(Table13[[#This Row],[Actual_Qty]]=0,0,Table13[[#This Row],[Reject_Qty]]/Table13[[#This Row],[Actual_Qty]])</f>
        <v>7.7760497667185074E-3</v>
      </c>
      <c r="S853">
        <v>437.97</v>
      </c>
      <c r="T853">
        <f>(Table13[[#This Row],[Ideal_Cycle_Time_sec]]*Table13[[#This Row],[Actual_Qty]])/(Table13[[#This Row],[Operational_Time_min]]*60)</f>
        <v>0.48937902900503077</v>
      </c>
      <c r="U853">
        <f>Table13[[#This Row],[Good_Qty]]/Table13[[#This Row],[Actual_Qty]]</f>
        <v>0.99222395023328147</v>
      </c>
      <c r="V853" t="str">
        <f>IF(OR(Table13[[#This Row],[Performance_%]]&gt;=1,Table13[[#This Row],[Performance_%]]&lt;=0),"Error","OK")</f>
        <v>OK</v>
      </c>
      <c r="W853" t="str">
        <f>IF(OR(Table13[[#This Row],[Quality_%]]&gt;=1,Table13[[#This Row],[Quality_%]]&lt;=0),"Error","OK")</f>
        <v>OK</v>
      </c>
      <c r="X853">
        <f>Table13[[#This Row],[Performance_%]]*Table13[[#This Row],[Quality_%]]*[2]Availability_KPI!K853</f>
        <v>0.47259259259259262</v>
      </c>
      <c r="Y853" t="str">
        <f>IF(OR(Table13[[#This Row],[OEE_%]]&gt;1,Table13[[#This Row],[OEE_%]]&lt;0),"Error","OK")</f>
        <v>OK</v>
      </c>
    </row>
    <row r="854" spans="1:25" x14ac:dyDescent="0.2">
      <c r="A854" t="s">
        <v>1010</v>
      </c>
      <c r="B854" t="s">
        <v>1006</v>
      </c>
      <c r="C854" s="2">
        <v>46286</v>
      </c>
      <c r="D854" t="s">
        <v>53</v>
      </c>
      <c r="E854" t="s">
        <v>41</v>
      </c>
      <c r="F854" t="s">
        <v>54</v>
      </c>
      <c r="G854" t="s">
        <v>33</v>
      </c>
      <c r="H854">
        <v>657</v>
      </c>
      <c r="I854">
        <v>653</v>
      </c>
      <c r="J854">
        <v>4</v>
      </c>
      <c r="K854">
        <v>18</v>
      </c>
      <c r="L854">
        <v>18.43</v>
      </c>
      <c r="M854">
        <v>201.76</v>
      </c>
      <c r="N854">
        <f>_xlfn.XLOOKUP(Table13[[#This Row],[Production_Order_ID]],[1]Sheet1!$A$2:$A$391,[1]Sheet1!$F$2:$F$391,"No Match")</f>
        <v>400</v>
      </c>
      <c r="O854" s="3">
        <f>Table13[[#This Row],[Good_Qty]]/Table13[[#This Row],[Planned_Production]]</f>
        <v>1.6325000000000001</v>
      </c>
      <c r="P854" t="str">
        <f>IF(Table13[[#This Row],[Good_Qty]]&gt;=Table13[[#This Row],[Planned_Production]],"Met","Not Met")</f>
        <v>Met</v>
      </c>
      <c r="Q854">
        <f>Table13[[#This Row],[Good_Qty]]-Table13[[#This Row],[Planned_Production]]</f>
        <v>253</v>
      </c>
      <c r="R854" s="3">
        <f>IF(Table13[[#This Row],[Actual_Qty]]=0,0,Table13[[#This Row],[Reject_Qty]]/Table13[[#This Row],[Actual_Qty]])</f>
        <v>6.0882800608828003E-3</v>
      </c>
      <c r="S854">
        <v>437.36</v>
      </c>
      <c r="T854">
        <f>(Table13[[#This Row],[Ideal_Cycle_Time_sec]]*Table13[[#This Row],[Actual_Qty]])/(Table13[[#This Row],[Operational_Time_min]]*60)</f>
        <v>0.45065849643314426</v>
      </c>
      <c r="U854">
        <f>Table13[[#This Row],[Good_Qty]]/Table13[[#This Row],[Actual_Qty]]</f>
        <v>0.9939117199391172</v>
      </c>
      <c r="V854" t="str">
        <f>IF(OR(Table13[[#This Row],[Performance_%]]&gt;=1,Table13[[#This Row],[Performance_%]]&lt;=0),"Error","OK")</f>
        <v>OK</v>
      </c>
      <c r="W854" t="str">
        <f>IF(OR(Table13[[#This Row],[Quality_%]]&gt;=1,Table13[[#This Row],[Quality_%]]&lt;=0),"Error","OK")</f>
        <v>OK</v>
      </c>
      <c r="X854">
        <f>Table13[[#This Row],[Performance_%]]*Table13[[#This Row],[Quality_%]]*[2]Availability_KPI!K854</f>
        <v>0.43533333333333329</v>
      </c>
      <c r="Y854" t="str">
        <f>IF(OR(Table13[[#This Row],[OEE_%]]&gt;1,Table13[[#This Row],[OEE_%]]&lt;0),"Error","OK")</f>
        <v>OK</v>
      </c>
    </row>
    <row r="855" spans="1:25" x14ac:dyDescent="0.2">
      <c r="A855" t="s">
        <v>1011</v>
      </c>
      <c r="B855" t="s">
        <v>1006</v>
      </c>
      <c r="C855" s="2">
        <v>46286</v>
      </c>
      <c r="D855" t="s">
        <v>53</v>
      </c>
      <c r="E855" t="s">
        <v>43</v>
      </c>
      <c r="F855" t="s">
        <v>54</v>
      </c>
      <c r="G855" t="s">
        <v>39</v>
      </c>
      <c r="H855">
        <v>656</v>
      </c>
      <c r="I855">
        <v>646</v>
      </c>
      <c r="J855">
        <v>10</v>
      </c>
      <c r="K855">
        <v>32</v>
      </c>
      <c r="L855">
        <v>34.31</v>
      </c>
      <c r="M855">
        <v>375.14</v>
      </c>
      <c r="N855">
        <f>_xlfn.XLOOKUP(Table13[[#This Row],[Production_Order_ID]],[1]Sheet1!$A$2:$A$391,[1]Sheet1!$F$2:$F$391,"No Match")</f>
        <v>400</v>
      </c>
      <c r="O855" s="3">
        <f>Table13[[#This Row],[Good_Qty]]/Table13[[#This Row],[Planned_Production]]</f>
        <v>1.615</v>
      </c>
      <c r="P855" t="str">
        <f>IF(Table13[[#This Row],[Good_Qty]]&gt;=Table13[[#This Row],[Planned_Production]],"Met","Not Met")</f>
        <v>Met</v>
      </c>
      <c r="Q855">
        <f>Table13[[#This Row],[Good_Qty]]-Table13[[#This Row],[Planned_Production]]</f>
        <v>246</v>
      </c>
      <c r="R855" s="3">
        <f>IF(Table13[[#This Row],[Actual_Qty]]=0,0,Table13[[#This Row],[Reject_Qty]]/Table13[[#This Row],[Actual_Qty]])</f>
        <v>1.524390243902439E-2</v>
      </c>
      <c r="S855">
        <v>401</v>
      </c>
      <c r="T855">
        <f>(Table13[[#This Row],[Ideal_Cycle_Time_sec]]*Table13[[#This Row],[Actual_Qty]])/(Table13[[#This Row],[Operational_Time_min]]*60)</f>
        <v>0.87248545303408143</v>
      </c>
      <c r="U855">
        <f>Table13[[#This Row],[Good_Qty]]/Table13[[#This Row],[Actual_Qty]]</f>
        <v>0.9847560975609756</v>
      </c>
      <c r="V855" t="str">
        <f>IF(OR(Table13[[#This Row],[Performance_%]]&gt;=1,Table13[[#This Row],[Performance_%]]&lt;=0),"Error","OK")</f>
        <v>OK</v>
      </c>
      <c r="W855" t="str">
        <f>IF(OR(Table13[[#This Row],[Quality_%]]&gt;=1,Table13[[#This Row],[Quality_%]]&lt;=0),"Error","OK")</f>
        <v>OK</v>
      </c>
      <c r="X855">
        <f>Table13[[#This Row],[Performance_%]]*Table13[[#This Row],[Quality_%]]*[2]Availability_KPI!K855</f>
        <v>0.76562962962962955</v>
      </c>
      <c r="Y855" t="str">
        <f>IF(OR(Table13[[#This Row],[OEE_%]]&gt;1,Table13[[#This Row],[OEE_%]]&lt;0),"Error","OK")</f>
        <v>OK</v>
      </c>
    </row>
    <row r="856" spans="1:25" x14ac:dyDescent="0.2">
      <c r="A856" t="s">
        <v>1012</v>
      </c>
      <c r="B856" t="s">
        <v>1006</v>
      </c>
      <c r="C856" s="2">
        <v>46286</v>
      </c>
      <c r="D856" t="s">
        <v>53</v>
      </c>
      <c r="E856" t="s">
        <v>46</v>
      </c>
      <c r="F856" t="s">
        <v>54</v>
      </c>
      <c r="G856" t="s">
        <v>71</v>
      </c>
      <c r="H856">
        <v>653</v>
      </c>
      <c r="I856">
        <v>647</v>
      </c>
      <c r="J856">
        <v>6</v>
      </c>
      <c r="K856">
        <v>25</v>
      </c>
      <c r="L856">
        <v>26.88</v>
      </c>
      <c r="M856">
        <v>292.54000000000002</v>
      </c>
      <c r="N856">
        <f>_xlfn.XLOOKUP(Table13[[#This Row],[Production_Order_ID]],[1]Sheet1!$A$2:$A$391,[1]Sheet1!$F$2:$F$391,"No Match")</f>
        <v>400</v>
      </c>
      <c r="O856" s="3">
        <f>Table13[[#This Row],[Good_Qty]]/Table13[[#This Row],[Planned_Production]]</f>
        <v>1.6174999999999999</v>
      </c>
      <c r="P856" t="str">
        <f>IF(Table13[[#This Row],[Good_Qty]]&gt;=Table13[[#This Row],[Planned_Production]],"Met","Not Met")</f>
        <v>Met</v>
      </c>
      <c r="Q856">
        <f>Table13[[#This Row],[Good_Qty]]-Table13[[#This Row],[Planned_Production]]</f>
        <v>247</v>
      </c>
      <c r="R856" s="3">
        <f>IF(Table13[[#This Row],[Actual_Qty]]=0,0,Table13[[#This Row],[Reject_Qty]]/Table13[[#This Row],[Actual_Qty]])</f>
        <v>9.1883614088820835E-3</v>
      </c>
      <c r="S856">
        <v>429.88</v>
      </c>
      <c r="T856">
        <f>(Table13[[#This Row],[Ideal_Cycle_Time_sec]]*Table13[[#This Row],[Actual_Qty]])/(Table13[[#This Row],[Operational_Time_min]]*60)</f>
        <v>0.6329285692131138</v>
      </c>
      <c r="U856">
        <f>Table13[[#This Row],[Good_Qty]]/Table13[[#This Row],[Actual_Qty]]</f>
        <v>0.99081163859111787</v>
      </c>
      <c r="V856" t="str">
        <f>IF(OR(Table13[[#This Row],[Performance_%]]&gt;=1,Table13[[#This Row],[Performance_%]]&lt;=0),"Error","OK")</f>
        <v>OK</v>
      </c>
      <c r="W856" t="str">
        <f>IF(OR(Table13[[#This Row],[Quality_%]]&gt;=1,Table13[[#This Row],[Quality_%]]&lt;=0),"Error","OK")</f>
        <v>OK</v>
      </c>
      <c r="X856">
        <f>Table13[[#This Row],[Performance_%]]*Table13[[#This Row],[Quality_%]]*[2]Availability_KPI!K856</f>
        <v>0.59907407407407409</v>
      </c>
      <c r="Y856" t="str">
        <f>IF(OR(Table13[[#This Row],[OEE_%]]&gt;1,Table13[[#This Row],[OEE_%]]&lt;0),"Error","OK")</f>
        <v>OK</v>
      </c>
    </row>
    <row r="857" spans="1:25" x14ac:dyDescent="0.2">
      <c r="A857" t="s">
        <v>1013</v>
      </c>
      <c r="B857" t="s">
        <v>1006</v>
      </c>
      <c r="C857" s="2">
        <v>46286</v>
      </c>
      <c r="D857" t="s">
        <v>53</v>
      </c>
      <c r="E857" t="s">
        <v>49</v>
      </c>
      <c r="F857" t="s">
        <v>54</v>
      </c>
      <c r="G857" t="s">
        <v>55</v>
      </c>
      <c r="H857">
        <v>643</v>
      </c>
      <c r="I857">
        <v>639</v>
      </c>
      <c r="J857">
        <v>4</v>
      </c>
      <c r="K857">
        <v>20</v>
      </c>
      <c r="L857">
        <v>20.99</v>
      </c>
      <c r="M857">
        <v>224.89</v>
      </c>
      <c r="N857">
        <f>_xlfn.XLOOKUP(Table13[[#This Row],[Production_Order_ID]],[1]Sheet1!$A$2:$A$391,[1]Sheet1!$F$2:$F$391,"No Match")</f>
        <v>400</v>
      </c>
      <c r="O857" s="3">
        <f>Table13[[#This Row],[Good_Qty]]/Table13[[#This Row],[Planned_Production]]</f>
        <v>1.5974999999999999</v>
      </c>
      <c r="P857" t="str">
        <f>IF(Table13[[#This Row],[Good_Qty]]&gt;=Table13[[#This Row],[Planned_Production]],"Met","Not Met")</f>
        <v>Met</v>
      </c>
      <c r="Q857">
        <f>Table13[[#This Row],[Good_Qty]]-Table13[[#This Row],[Planned_Production]]</f>
        <v>239</v>
      </c>
      <c r="R857" s="3">
        <f>IF(Table13[[#This Row],[Actual_Qty]]=0,0,Table13[[#This Row],[Reject_Qty]]/Table13[[#This Row],[Actual_Qty]])</f>
        <v>6.2208398133748056E-3</v>
      </c>
      <c r="S857">
        <v>440.67</v>
      </c>
      <c r="T857">
        <f>(Table13[[#This Row],[Ideal_Cycle_Time_sec]]*Table13[[#This Row],[Actual_Qty]])/(Table13[[#This Row],[Operational_Time_min]]*60)</f>
        <v>0.48638058713625465</v>
      </c>
      <c r="U857">
        <f>Table13[[#This Row],[Good_Qty]]/Table13[[#This Row],[Actual_Qty]]</f>
        <v>0.99377916018662515</v>
      </c>
      <c r="V857" t="str">
        <f>IF(OR(Table13[[#This Row],[Performance_%]]&gt;=1,Table13[[#This Row],[Performance_%]]&lt;=0),"Error","OK")</f>
        <v>OK</v>
      </c>
      <c r="W857" t="str">
        <f>IF(OR(Table13[[#This Row],[Quality_%]]&gt;=1,Table13[[#This Row],[Quality_%]]&lt;=0),"Error","OK")</f>
        <v>OK</v>
      </c>
      <c r="X857">
        <f>Table13[[#This Row],[Performance_%]]*Table13[[#This Row],[Quality_%]]*[2]Availability_KPI!K857</f>
        <v>0.47333333333333338</v>
      </c>
      <c r="Y857" t="str">
        <f>IF(OR(Table13[[#This Row],[OEE_%]]&gt;1,Table13[[#This Row],[OEE_%]]&lt;0),"Error","OK")</f>
        <v>OK</v>
      </c>
    </row>
    <row r="858" spans="1:25" x14ac:dyDescent="0.2">
      <c r="A858" t="s">
        <v>1014</v>
      </c>
      <c r="B858" t="s">
        <v>1015</v>
      </c>
      <c r="C858" s="2">
        <v>46286</v>
      </c>
      <c r="D858" t="s">
        <v>67</v>
      </c>
      <c r="E858" t="s">
        <v>28</v>
      </c>
      <c r="F858" t="s">
        <v>54</v>
      </c>
      <c r="G858" t="s">
        <v>30</v>
      </c>
      <c r="H858">
        <v>581</v>
      </c>
      <c r="I858">
        <v>578</v>
      </c>
      <c r="J858">
        <v>3</v>
      </c>
      <c r="K858">
        <v>18</v>
      </c>
      <c r="L858">
        <v>18.8</v>
      </c>
      <c r="M858">
        <v>182.07</v>
      </c>
      <c r="N858">
        <f>_xlfn.XLOOKUP(Table13[[#This Row],[Production_Order_ID]],[1]Sheet1!$A$2:$A$391,[1]Sheet1!$F$2:$F$391,"No Match")</f>
        <v>400</v>
      </c>
      <c r="O858" s="3">
        <f>Table13[[#This Row],[Good_Qty]]/Table13[[#This Row],[Planned_Production]]</f>
        <v>1.4450000000000001</v>
      </c>
      <c r="P858" t="str">
        <f>IF(Table13[[#This Row],[Good_Qty]]&gt;=Table13[[#This Row],[Planned_Production]],"Met","Not Met")</f>
        <v>Met</v>
      </c>
      <c r="Q858">
        <f>Table13[[#This Row],[Good_Qty]]-Table13[[#This Row],[Planned_Production]]</f>
        <v>178</v>
      </c>
      <c r="R858" s="3">
        <f>IF(Table13[[#This Row],[Actual_Qty]]=0,0,Table13[[#This Row],[Reject_Qty]]/Table13[[#This Row],[Actual_Qty]])</f>
        <v>5.1635111876075735E-3</v>
      </c>
      <c r="S858">
        <v>441.62</v>
      </c>
      <c r="T858">
        <f>(Table13[[#This Row],[Ideal_Cycle_Time_sec]]*Table13[[#This Row],[Actual_Qty]])/(Table13[[#This Row],[Operational_Time_min]]*60)</f>
        <v>0.39468321181105925</v>
      </c>
      <c r="U858">
        <f>Table13[[#This Row],[Good_Qty]]/Table13[[#This Row],[Actual_Qty]]</f>
        <v>0.99483648881239239</v>
      </c>
      <c r="V858" t="str">
        <f>IF(OR(Table13[[#This Row],[Performance_%]]&gt;=1,Table13[[#This Row],[Performance_%]]&lt;=0),"Error","OK")</f>
        <v>OK</v>
      </c>
      <c r="W858" t="str">
        <f>IF(OR(Table13[[#This Row],[Quality_%]]&gt;=1,Table13[[#This Row],[Quality_%]]&lt;=0),"Error","OK")</f>
        <v>OK</v>
      </c>
      <c r="X858">
        <f>Table13[[#This Row],[Performance_%]]*Table13[[#This Row],[Quality_%]]*[2]Availability_KPI!K858</f>
        <v>0.38533333333333331</v>
      </c>
      <c r="Y858" t="str">
        <f>IF(OR(Table13[[#This Row],[OEE_%]]&gt;1,Table13[[#This Row],[OEE_%]]&lt;0),"Error","OK")</f>
        <v>OK</v>
      </c>
    </row>
    <row r="859" spans="1:25" x14ac:dyDescent="0.2">
      <c r="A859" t="s">
        <v>1016</v>
      </c>
      <c r="B859" t="s">
        <v>1015</v>
      </c>
      <c r="C859" s="2">
        <v>46286</v>
      </c>
      <c r="D859" t="s">
        <v>67</v>
      </c>
      <c r="E859" t="s">
        <v>32</v>
      </c>
      <c r="F859" t="s">
        <v>54</v>
      </c>
      <c r="G859" t="s">
        <v>75</v>
      </c>
      <c r="H859">
        <v>573</v>
      </c>
      <c r="I859">
        <v>567</v>
      </c>
      <c r="J859">
        <v>6</v>
      </c>
      <c r="K859">
        <v>20</v>
      </c>
      <c r="L859">
        <v>20.89</v>
      </c>
      <c r="M859">
        <v>199.5</v>
      </c>
      <c r="N859">
        <f>_xlfn.XLOOKUP(Table13[[#This Row],[Production_Order_ID]],[1]Sheet1!$A$2:$A$391,[1]Sheet1!$F$2:$F$391,"No Match")</f>
        <v>400</v>
      </c>
      <c r="O859" s="3">
        <f>Table13[[#This Row],[Good_Qty]]/Table13[[#This Row],[Planned_Production]]</f>
        <v>1.4175</v>
      </c>
      <c r="P859" t="str">
        <f>IF(Table13[[#This Row],[Good_Qty]]&gt;=Table13[[#This Row],[Planned_Production]],"Met","Not Met")</f>
        <v>Met</v>
      </c>
      <c r="Q859">
        <f>Table13[[#This Row],[Good_Qty]]-Table13[[#This Row],[Planned_Production]]</f>
        <v>167</v>
      </c>
      <c r="R859" s="3">
        <f>IF(Table13[[#This Row],[Actual_Qty]]=0,0,Table13[[#This Row],[Reject_Qty]]/Table13[[#This Row],[Actual_Qty]])</f>
        <v>1.0471204188481676E-2</v>
      </c>
      <c r="S859">
        <v>437.36</v>
      </c>
      <c r="T859">
        <f>(Table13[[#This Row],[Ideal_Cycle_Time_sec]]*Table13[[#This Row],[Actual_Qty]])/(Table13[[#This Row],[Operational_Time_min]]*60)</f>
        <v>0.43671117614779581</v>
      </c>
      <c r="U859">
        <f>Table13[[#This Row],[Good_Qty]]/Table13[[#This Row],[Actual_Qty]]</f>
        <v>0.98952879581151831</v>
      </c>
      <c r="V859" t="str">
        <f>IF(OR(Table13[[#This Row],[Performance_%]]&gt;=1,Table13[[#This Row],[Performance_%]]&lt;=0),"Error","OK")</f>
        <v>OK</v>
      </c>
      <c r="W859" t="str">
        <f>IF(OR(Table13[[#This Row],[Quality_%]]&gt;=1,Table13[[#This Row],[Quality_%]]&lt;=0),"Error","OK")</f>
        <v>OK</v>
      </c>
      <c r="X859">
        <f>Table13[[#This Row],[Performance_%]]*Table13[[#This Row],[Quality_%]]*[2]Availability_KPI!K859</f>
        <v>0.41999999999999993</v>
      </c>
      <c r="Y859" t="str">
        <f>IF(OR(Table13[[#This Row],[OEE_%]]&gt;1,Table13[[#This Row],[OEE_%]]&lt;0),"Error","OK")</f>
        <v>OK</v>
      </c>
    </row>
    <row r="860" spans="1:25" x14ac:dyDescent="0.2">
      <c r="A860" t="s">
        <v>1017</v>
      </c>
      <c r="B860" t="s">
        <v>1015</v>
      </c>
      <c r="C860" s="2">
        <v>46286</v>
      </c>
      <c r="D860" t="s">
        <v>67</v>
      </c>
      <c r="E860" t="s">
        <v>35</v>
      </c>
      <c r="F860" t="s">
        <v>54</v>
      </c>
      <c r="G860" t="s">
        <v>55</v>
      </c>
      <c r="H860">
        <v>582</v>
      </c>
      <c r="I860">
        <v>580</v>
      </c>
      <c r="J860">
        <v>2</v>
      </c>
      <c r="K860">
        <v>22</v>
      </c>
      <c r="L860">
        <v>22.86</v>
      </c>
      <c r="M860">
        <v>221.7</v>
      </c>
      <c r="N860">
        <f>_xlfn.XLOOKUP(Table13[[#This Row],[Production_Order_ID]],[1]Sheet1!$A$2:$A$391,[1]Sheet1!$F$2:$F$391,"No Match")</f>
        <v>400</v>
      </c>
      <c r="O860" s="3">
        <f>Table13[[#This Row],[Good_Qty]]/Table13[[#This Row],[Planned_Production]]</f>
        <v>1.45</v>
      </c>
      <c r="P860" t="str">
        <f>IF(Table13[[#This Row],[Good_Qty]]&gt;=Table13[[#This Row],[Planned_Production]],"Met","Not Met")</f>
        <v>Met</v>
      </c>
      <c r="Q860">
        <f>Table13[[#This Row],[Good_Qty]]-Table13[[#This Row],[Planned_Production]]</f>
        <v>180</v>
      </c>
      <c r="R860" s="3">
        <f>IF(Table13[[#This Row],[Actual_Qty]]=0,0,Table13[[#This Row],[Reject_Qty]]/Table13[[#This Row],[Actual_Qty]])</f>
        <v>3.4364261168384879E-3</v>
      </c>
      <c r="S860">
        <v>434.96</v>
      </c>
      <c r="T860">
        <f>(Table13[[#This Row],[Ideal_Cycle_Time_sec]]*Table13[[#This Row],[Actual_Qty]])/(Table13[[#This Row],[Operational_Time_min]]*60)</f>
        <v>0.49061982711053892</v>
      </c>
      <c r="U860">
        <f>Table13[[#This Row],[Good_Qty]]/Table13[[#This Row],[Actual_Qty]]</f>
        <v>0.99656357388316152</v>
      </c>
      <c r="V860" t="str">
        <f>IF(OR(Table13[[#This Row],[Performance_%]]&gt;=1,Table13[[#This Row],[Performance_%]]&lt;=0),"Error","OK")</f>
        <v>OK</v>
      </c>
      <c r="W860" t="str">
        <f>IF(OR(Table13[[#This Row],[Quality_%]]&gt;=1,Table13[[#This Row],[Quality_%]]&lt;=0),"Error","OK")</f>
        <v>OK</v>
      </c>
      <c r="X860">
        <f>Table13[[#This Row],[Performance_%]]*Table13[[#This Row],[Quality_%]]*[2]Availability_KPI!K860</f>
        <v>0.47259259259259262</v>
      </c>
      <c r="Y860" t="str">
        <f>IF(OR(Table13[[#This Row],[OEE_%]]&gt;1,Table13[[#This Row],[OEE_%]]&lt;0),"Error","OK")</f>
        <v>OK</v>
      </c>
    </row>
    <row r="861" spans="1:25" x14ac:dyDescent="0.2">
      <c r="A861" t="s">
        <v>1018</v>
      </c>
      <c r="B861" t="s">
        <v>1015</v>
      </c>
      <c r="C861" s="2">
        <v>46286</v>
      </c>
      <c r="D861" t="s">
        <v>67</v>
      </c>
      <c r="E861" t="s">
        <v>38</v>
      </c>
      <c r="F861" t="s">
        <v>54</v>
      </c>
      <c r="G861" t="s">
        <v>36</v>
      </c>
      <c r="H861">
        <v>577</v>
      </c>
      <c r="I861">
        <v>573</v>
      </c>
      <c r="J861">
        <v>4</v>
      </c>
      <c r="K861">
        <v>20</v>
      </c>
      <c r="L861">
        <v>20.74</v>
      </c>
      <c r="M861">
        <v>199.42</v>
      </c>
      <c r="N861">
        <f>_xlfn.XLOOKUP(Table13[[#This Row],[Production_Order_ID]],[1]Sheet1!$A$2:$A$391,[1]Sheet1!$F$2:$F$391,"No Match")</f>
        <v>400</v>
      </c>
      <c r="O861" s="3">
        <f>Table13[[#This Row],[Good_Qty]]/Table13[[#This Row],[Planned_Production]]</f>
        <v>1.4325000000000001</v>
      </c>
      <c r="P861" t="str">
        <f>IF(Table13[[#This Row],[Good_Qty]]&gt;=Table13[[#This Row],[Planned_Production]],"Met","Not Met")</f>
        <v>Met</v>
      </c>
      <c r="Q861">
        <f>Table13[[#This Row],[Good_Qty]]-Table13[[#This Row],[Planned_Production]]</f>
        <v>173</v>
      </c>
      <c r="R861" s="3">
        <f>IF(Table13[[#This Row],[Actual_Qty]]=0,0,Table13[[#This Row],[Reject_Qty]]/Table13[[#This Row],[Actual_Qty]])</f>
        <v>6.9324090121317154E-3</v>
      </c>
      <c r="S861">
        <v>438.18</v>
      </c>
      <c r="T861">
        <f>(Table13[[#This Row],[Ideal_Cycle_Time_sec]]*Table13[[#This Row],[Actual_Qty]])/(Table13[[#This Row],[Operational_Time_min]]*60)</f>
        <v>0.43893681439895327</v>
      </c>
      <c r="U861">
        <f>Table13[[#This Row],[Good_Qty]]/Table13[[#This Row],[Actual_Qty]]</f>
        <v>0.99306759098786823</v>
      </c>
      <c r="V861" t="str">
        <f>IF(OR(Table13[[#This Row],[Performance_%]]&gt;=1,Table13[[#This Row],[Performance_%]]&lt;=0),"Error","OK")</f>
        <v>OK</v>
      </c>
      <c r="W861" t="str">
        <f>IF(OR(Table13[[#This Row],[Quality_%]]&gt;=1,Table13[[#This Row],[Quality_%]]&lt;=0),"Error","OK")</f>
        <v>OK</v>
      </c>
      <c r="X861">
        <f>Table13[[#This Row],[Performance_%]]*Table13[[#This Row],[Quality_%]]*[2]Availability_KPI!K861</f>
        <v>0.42444444444444446</v>
      </c>
      <c r="Y861" t="str">
        <f>IF(OR(Table13[[#This Row],[OEE_%]]&gt;1,Table13[[#This Row],[OEE_%]]&lt;0),"Error","OK")</f>
        <v>OK</v>
      </c>
    </row>
    <row r="862" spans="1:25" x14ac:dyDescent="0.2">
      <c r="A862" t="s">
        <v>1019</v>
      </c>
      <c r="B862" t="s">
        <v>1015</v>
      </c>
      <c r="C862" s="2">
        <v>46286</v>
      </c>
      <c r="D862" t="s">
        <v>67</v>
      </c>
      <c r="E862" t="s">
        <v>41</v>
      </c>
      <c r="F862" t="s">
        <v>54</v>
      </c>
      <c r="G862" t="s">
        <v>30</v>
      </c>
      <c r="H862">
        <v>581</v>
      </c>
      <c r="I862">
        <v>574</v>
      </c>
      <c r="J862">
        <v>7</v>
      </c>
      <c r="K862">
        <v>18</v>
      </c>
      <c r="L862">
        <v>19.71</v>
      </c>
      <c r="M862">
        <v>190.83</v>
      </c>
      <c r="N862">
        <f>_xlfn.XLOOKUP(Table13[[#This Row],[Production_Order_ID]],[1]Sheet1!$A$2:$A$391,[1]Sheet1!$F$2:$F$391,"No Match")</f>
        <v>400</v>
      </c>
      <c r="O862" s="3">
        <f>Table13[[#This Row],[Good_Qty]]/Table13[[#This Row],[Planned_Production]]</f>
        <v>1.4350000000000001</v>
      </c>
      <c r="P862" t="str">
        <f>IF(Table13[[#This Row],[Good_Qty]]&gt;=Table13[[#This Row],[Planned_Production]],"Met","Not Met")</f>
        <v>Met</v>
      </c>
      <c r="Q862">
        <f>Table13[[#This Row],[Good_Qty]]-Table13[[#This Row],[Planned_Production]]</f>
        <v>174</v>
      </c>
      <c r="R862" s="3">
        <f>IF(Table13[[#This Row],[Actual_Qty]]=0,0,Table13[[#This Row],[Reject_Qty]]/Table13[[#This Row],[Actual_Qty]])</f>
        <v>1.2048192771084338E-2</v>
      </c>
      <c r="S862">
        <v>436.96</v>
      </c>
      <c r="T862">
        <f>(Table13[[#This Row],[Ideal_Cycle_Time_sec]]*Table13[[#This Row],[Actual_Qty]])/(Table13[[#This Row],[Operational_Time_min]]*60)</f>
        <v>0.39889234712559501</v>
      </c>
      <c r="U862">
        <f>Table13[[#This Row],[Good_Qty]]/Table13[[#This Row],[Actual_Qty]]</f>
        <v>0.98795180722891562</v>
      </c>
      <c r="V862" t="str">
        <f>IF(OR(Table13[[#This Row],[Performance_%]]&gt;=1,Table13[[#This Row],[Performance_%]]&lt;=0),"Error","OK")</f>
        <v>OK</v>
      </c>
      <c r="W862" t="str">
        <f>IF(OR(Table13[[#This Row],[Quality_%]]&gt;=1,Table13[[#This Row],[Quality_%]]&lt;=0),"Error","OK")</f>
        <v>OK</v>
      </c>
      <c r="X862">
        <f>Table13[[#This Row],[Performance_%]]*Table13[[#This Row],[Quality_%]]*[2]Availability_KPI!K862</f>
        <v>0.38266666666666665</v>
      </c>
      <c r="Y862" t="str">
        <f>IF(OR(Table13[[#This Row],[OEE_%]]&gt;1,Table13[[#This Row],[OEE_%]]&lt;0),"Error","OK")</f>
        <v>OK</v>
      </c>
    </row>
    <row r="863" spans="1:25" x14ac:dyDescent="0.2">
      <c r="A863" t="s">
        <v>1020</v>
      </c>
      <c r="B863" t="s">
        <v>1015</v>
      </c>
      <c r="C863" s="2">
        <v>46286</v>
      </c>
      <c r="D863" t="s">
        <v>67</v>
      </c>
      <c r="E863" t="s">
        <v>43</v>
      </c>
      <c r="F863" t="s">
        <v>54</v>
      </c>
      <c r="G863" t="s">
        <v>44</v>
      </c>
      <c r="H863">
        <v>576</v>
      </c>
      <c r="I863">
        <v>567</v>
      </c>
      <c r="J863">
        <v>9</v>
      </c>
      <c r="K863">
        <v>32</v>
      </c>
      <c r="L863">
        <v>35.08</v>
      </c>
      <c r="M863">
        <v>336.8</v>
      </c>
      <c r="N863">
        <f>_xlfn.XLOOKUP(Table13[[#This Row],[Production_Order_ID]],[1]Sheet1!$A$2:$A$391,[1]Sheet1!$F$2:$F$391,"No Match")</f>
        <v>400</v>
      </c>
      <c r="O863" s="3">
        <f>Table13[[#This Row],[Good_Qty]]/Table13[[#This Row],[Planned_Production]]</f>
        <v>1.4175</v>
      </c>
      <c r="P863" t="str">
        <f>IF(Table13[[#This Row],[Good_Qty]]&gt;=Table13[[#This Row],[Planned_Production]],"Met","Not Met")</f>
        <v>Met</v>
      </c>
      <c r="Q863">
        <f>Table13[[#This Row],[Good_Qty]]-Table13[[#This Row],[Planned_Production]]</f>
        <v>167</v>
      </c>
      <c r="R863" s="3">
        <f>IF(Table13[[#This Row],[Actual_Qty]]=0,0,Table13[[#This Row],[Reject_Qty]]/Table13[[#This Row],[Actual_Qty]])</f>
        <v>1.5625E-2</v>
      </c>
      <c r="S863">
        <v>413.86</v>
      </c>
      <c r="T863">
        <f>(Table13[[#This Row],[Ideal_Cycle_Time_sec]]*Table13[[#This Row],[Actual_Qty]])/(Table13[[#This Row],[Operational_Time_min]]*60)</f>
        <v>0.74227999806697909</v>
      </c>
      <c r="U863">
        <f>Table13[[#This Row],[Good_Qty]]/Table13[[#This Row],[Actual_Qty]]</f>
        <v>0.984375</v>
      </c>
      <c r="V863" t="str">
        <f>IF(OR(Table13[[#This Row],[Performance_%]]&gt;=1,Table13[[#This Row],[Performance_%]]&lt;=0),"Error","OK")</f>
        <v>OK</v>
      </c>
      <c r="W863" t="str">
        <f>IF(OR(Table13[[#This Row],[Quality_%]]&gt;=1,Table13[[#This Row],[Quality_%]]&lt;=0),"Error","OK")</f>
        <v>OK</v>
      </c>
      <c r="X863">
        <f>Table13[[#This Row],[Performance_%]]*Table13[[#This Row],[Quality_%]]*[2]Availability_KPI!K863</f>
        <v>0.67199999999999993</v>
      </c>
      <c r="Y863" t="str">
        <f>IF(OR(Table13[[#This Row],[OEE_%]]&gt;1,Table13[[#This Row],[OEE_%]]&lt;0),"Error","OK")</f>
        <v>OK</v>
      </c>
    </row>
    <row r="864" spans="1:25" x14ac:dyDescent="0.2">
      <c r="A864" t="s">
        <v>1021</v>
      </c>
      <c r="B864" t="s">
        <v>1015</v>
      </c>
      <c r="C864" s="2">
        <v>46286</v>
      </c>
      <c r="D864" t="s">
        <v>67</v>
      </c>
      <c r="E864" t="s">
        <v>46</v>
      </c>
      <c r="F864" t="s">
        <v>54</v>
      </c>
      <c r="G864" t="s">
        <v>39</v>
      </c>
      <c r="H864">
        <v>593</v>
      </c>
      <c r="I864">
        <v>588</v>
      </c>
      <c r="J864">
        <v>5</v>
      </c>
      <c r="K864">
        <v>25</v>
      </c>
      <c r="L864">
        <v>26.02</v>
      </c>
      <c r="M864">
        <v>257.12</v>
      </c>
      <c r="N864">
        <f>_xlfn.XLOOKUP(Table13[[#This Row],[Production_Order_ID]],[1]Sheet1!$A$2:$A$391,[1]Sheet1!$F$2:$F$391,"No Match")</f>
        <v>400</v>
      </c>
      <c r="O864" s="3">
        <f>Table13[[#This Row],[Good_Qty]]/Table13[[#This Row],[Planned_Production]]</f>
        <v>1.47</v>
      </c>
      <c r="P864" t="str">
        <f>IF(Table13[[#This Row],[Good_Qty]]&gt;=Table13[[#This Row],[Planned_Production]],"Met","Not Met")</f>
        <v>Met</v>
      </c>
      <c r="Q864">
        <f>Table13[[#This Row],[Good_Qty]]-Table13[[#This Row],[Planned_Production]]</f>
        <v>188</v>
      </c>
      <c r="R864" s="3">
        <f>IF(Table13[[#This Row],[Actual_Qty]]=0,0,Table13[[#This Row],[Reject_Qty]]/Table13[[#This Row],[Actual_Qty]])</f>
        <v>8.4317032040472171E-3</v>
      </c>
      <c r="S864">
        <v>432.9</v>
      </c>
      <c r="T864">
        <f>(Table13[[#This Row],[Ideal_Cycle_Time_sec]]*Table13[[#This Row],[Actual_Qty]])/(Table13[[#This Row],[Operational_Time_min]]*60)</f>
        <v>0.57076307076307076</v>
      </c>
      <c r="U864">
        <f>Table13[[#This Row],[Good_Qty]]/Table13[[#This Row],[Actual_Qty]]</f>
        <v>0.99156829679595282</v>
      </c>
      <c r="V864" t="str">
        <f>IF(OR(Table13[[#This Row],[Performance_%]]&gt;=1,Table13[[#This Row],[Performance_%]]&lt;=0),"Error","OK")</f>
        <v>OK</v>
      </c>
      <c r="W864" t="str">
        <f>IF(OR(Table13[[#This Row],[Quality_%]]&gt;=1,Table13[[#This Row],[Quality_%]]&lt;=0),"Error","OK")</f>
        <v>OK</v>
      </c>
      <c r="X864">
        <f>Table13[[#This Row],[Performance_%]]*Table13[[#This Row],[Quality_%]]*[2]Availability_KPI!K864</f>
        <v>0.5444444444444444</v>
      </c>
      <c r="Y864" t="str">
        <f>IF(OR(Table13[[#This Row],[OEE_%]]&gt;1,Table13[[#This Row],[OEE_%]]&lt;0),"Error","OK")</f>
        <v>OK</v>
      </c>
    </row>
    <row r="865" spans="1:25" x14ac:dyDescent="0.2">
      <c r="A865" t="s">
        <v>1022</v>
      </c>
      <c r="B865" t="s">
        <v>1015</v>
      </c>
      <c r="C865" s="2">
        <v>46286</v>
      </c>
      <c r="D865" t="s">
        <v>67</v>
      </c>
      <c r="E865" t="s">
        <v>49</v>
      </c>
      <c r="F865" t="s">
        <v>54</v>
      </c>
      <c r="G865" t="s">
        <v>44</v>
      </c>
      <c r="H865">
        <v>594</v>
      </c>
      <c r="I865">
        <v>592</v>
      </c>
      <c r="J865">
        <v>2</v>
      </c>
      <c r="K865">
        <v>20</v>
      </c>
      <c r="L865">
        <v>21.23</v>
      </c>
      <c r="M865">
        <v>210.22</v>
      </c>
      <c r="N865">
        <f>_xlfn.XLOOKUP(Table13[[#This Row],[Production_Order_ID]],[1]Sheet1!$A$2:$A$391,[1]Sheet1!$F$2:$F$391,"No Match")</f>
        <v>400</v>
      </c>
      <c r="O865" s="3">
        <f>Table13[[#This Row],[Good_Qty]]/Table13[[#This Row],[Planned_Production]]</f>
        <v>1.48</v>
      </c>
      <c r="P865" t="str">
        <f>IF(Table13[[#This Row],[Good_Qty]]&gt;=Table13[[#This Row],[Planned_Production]],"Met","Not Met")</f>
        <v>Met</v>
      </c>
      <c r="Q865">
        <f>Table13[[#This Row],[Good_Qty]]-Table13[[#This Row],[Planned_Production]]</f>
        <v>192</v>
      </c>
      <c r="R865" s="3">
        <f>IF(Table13[[#This Row],[Actual_Qty]]=0,0,Table13[[#This Row],[Reject_Qty]]/Table13[[#This Row],[Actual_Qty]])</f>
        <v>3.3670033670033669E-3</v>
      </c>
      <c r="S865">
        <v>442.78</v>
      </c>
      <c r="T865">
        <f>(Table13[[#This Row],[Ideal_Cycle_Time_sec]]*Table13[[#This Row],[Actual_Qty]])/(Table13[[#This Row],[Operational_Time_min]]*60)</f>
        <v>0.44717466913591403</v>
      </c>
      <c r="U865">
        <f>Table13[[#This Row],[Good_Qty]]/Table13[[#This Row],[Actual_Qty]]</f>
        <v>0.99663299663299665</v>
      </c>
      <c r="V865" t="str">
        <f>IF(OR(Table13[[#This Row],[Performance_%]]&gt;=1,Table13[[#This Row],[Performance_%]]&lt;=0),"Error","OK")</f>
        <v>OK</v>
      </c>
      <c r="W865" t="str">
        <f>IF(OR(Table13[[#This Row],[Quality_%]]&gt;=1,Table13[[#This Row],[Quality_%]]&lt;=0),"Error","OK")</f>
        <v>OK</v>
      </c>
      <c r="X865">
        <f>Table13[[#This Row],[Performance_%]]*Table13[[#This Row],[Quality_%]]*[2]Availability_KPI!K865</f>
        <v>0.43851851851851853</v>
      </c>
      <c r="Y865" t="str">
        <f>IF(OR(Table13[[#This Row],[OEE_%]]&gt;1,Table13[[#This Row],[OEE_%]]&lt;0),"Error","OK")</f>
        <v>OK</v>
      </c>
    </row>
    <row r="866" spans="1:25" x14ac:dyDescent="0.2">
      <c r="A866" t="s">
        <v>1023</v>
      </c>
      <c r="B866" t="s">
        <v>1024</v>
      </c>
      <c r="C866" s="2">
        <v>46287</v>
      </c>
      <c r="D866" t="s">
        <v>27</v>
      </c>
      <c r="E866" t="s">
        <v>28</v>
      </c>
      <c r="F866" t="s">
        <v>54</v>
      </c>
      <c r="G866" t="s">
        <v>71</v>
      </c>
      <c r="H866">
        <v>581</v>
      </c>
      <c r="I866">
        <v>580</v>
      </c>
      <c r="J866">
        <v>1</v>
      </c>
      <c r="K866">
        <v>18</v>
      </c>
      <c r="L866">
        <v>18.86</v>
      </c>
      <c r="M866">
        <v>182.61</v>
      </c>
      <c r="N866">
        <f>_xlfn.XLOOKUP(Table13[[#This Row],[Production_Order_ID]],[1]Sheet1!$A$2:$A$391,[1]Sheet1!$F$2:$F$391,"No Match")</f>
        <v>440</v>
      </c>
      <c r="O866" s="3">
        <f>Table13[[#This Row],[Good_Qty]]/Table13[[#This Row],[Planned_Production]]</f>
        <v>1.3181818181818181</v>
      </c>
      <c r="P866" t="str">
        <f>IF(Table13[[#This Row],[Good_Qty]]&gt;=Table13[[#This Row],[Planned_Production]],"Met","Not Met")</f>
        <v>Met</v>
      </c>
      <c r="Q866">
        <f>Table13[[#This Row],[Good_Qty]]-Table13[[#This Row],[Planned_Production]]</f>
        <v>140</v>
      </c>
      <c r="R866" s="3">
        <f>IF(Table13[[#This Row],[Actual_Qty]]=0,0,Table13[[#This Row],[Reject_Qty]]/Table13[[#This Row],[Actual_Qty]])</f>
        <v>1.7211703958691911E-3</v>
      </c>
      <c r="S866">
        <v>440.33</v>
      </c>
      <c r="T866">
        <f>(Table13[[#This Row],[Ideal_Cycle_Time_sec]]*Table13[[#This Row],[Actual_Qty]])/(Table13[[#This Row],[Operational_Time_min]]*60)</f>
        <v>0.39583948402334612</v>
      </c>
      <c r="U866">
        <f>Table13[[#This Row],[Good_Qty]]/Table13[[#This Row],[Actual_Qty]]</f>
        <v>0.99827882960413084</v>
      </c>
      <c r="V866" t="str">
        <f>IF(OR(Table13[[#This Row],[Performance_%]]&gt;=1,Table13[[#This Row],[Performance_%]]&lt;=0),"Error","OK")</f>
        <v>OK</v>
      </c>
      <c r="W866" t="str">
        <f>IF(OR(Table13[[#This Row],[Quality_%]]&gt;=1,Table13[[#This Row],[Quality_%]]&lt;=0),"Error","OK")</f>
        <v>OK</v>
      </c>
      <c r="X866">
        <f>Table13[[#This Row],[Performance_%]]*Table13[[#This Row],[Quality_%]]*[2]Availability_KPI!K866</f>
        <v>0.38666666666666666</v>
      </c>
      <c r="Y866" t="str">
        <f>IF(OR(Table13[[#This Row],[OEE_%]]&gt;1,Table13[[#This Row],[OEE_%]]&lt;0),"Error","OK")</f>
        <v>OK</v>
      </c>
    </row>
    <row r="867" spans="1:25" x14ac:dyDescent="0.2">
      <c r="A867" t="s">
        <v>1025</v>
      </c>
      <c r="B867" t="s">
        <v>1024</v>
      </c>
      <c r="C867" s="2">
        <v>46287</v>
      </c>
      <c r="D867" t="s">
        <v>27</v>
      </c>
      <c r="E867" t="s">
        <v>32</v>
      </c>
      <c r="F867" t="s">
        <v>54</v>
      </c>
      <c r="G867" t="s">
        <v>33</v>
      </c>
      <c r="H867">
        <v>573</v>
      </c>
      <c r="I867">
        <v>567</v>
      </c>
      <c r="J867">
        <v>6</v>
      </c>
      <c r="K867">
        <v>20</v>
      </c>
      <c r="L867">
        <v>21.37</v>
      </c>
      <c r="M867">
        <v>204.05</v>
      </c>
      <c r="N867">
        <f>_xlfn.XLOOKUP(Table13[[#This Row],[Production_Order_ID]],[1]Sheet1!$A$2:$A$391,[1]Sheet1!$F$2:$F$391,"No Match")</f>
        <v>440</v>
      </c>
      <c r="O867" s="3">
        <f>Table13[[#This Row],[Good_Qty]]/Table13[[#This Row],[Planned_Production]]</f>
        <v>1.2886363636363636</v>
      </c>
      <c r="P867" t="str">
        <f>IF(Table13[[#This Row],[Good_Qty]]&gt;=Table13[[#This Row],[Planned_Production]],"Met","Not Met")</f>
        <v>Met</v>
      </c>
      <c r="Q867">
        <f>Table13[[#This Row],[Good_Qty]]-Table13[[#This Row],[Planned_Production]]</f>
        <v>127</v>
      </c>
      <c r="R867" s="3">
        <f>IF(Table13[[#This Row],[Actual_Qty]]=0,0,Table13[[#This Row],[Reject_Qty]]/Table13[[#This Row],[Actual_Qty]])</f>
        <v>1.0471204188481676E-2</v>
      </c>
      <c r="S867">
        <v>436.65</v>
      </c>
      <c r="T867">
        <f>(Table13[[#This Row],[Ideal_Cycle_Time_sec]]*Table13[[#This Row],[Actual_Qty]])/(Table13[[#This Row],[Operational_Time_min]]*60)</f>
        <v>0.43742127562120692</v>
      </c>
      <c r="U867">
        <f>Table13[[#This Row],[Good_Qty]]/Table13[[#This Row],[Actual_Qty]]</f>
        <v>0.98952879581151831</v>
      </c>
      <c r="V867" t="str">
        <f>IF(OR(Table13[[#This Row],[Performance_%]]&gt;=1,Table13[[#This Row],[Performance_%]]&lt;=0),"Error","OK")</f>
        <v>OK</v>
      </c>
      <c r="W867" t="str">
        <f>IF(OR(Table13[[#This Row],[Quality_%]]&gt;=1,Table13[[#This Row],[Quality_%]]&lt;=0),"Error","OK")</f>
        <v>OK</v>
      </c>
      <c r="X867">
        <f>Table13[[#This Row],[Performance_%]]*Table13[[#This Row],[Quality_%]]*[2]Availability_KPI!K867</f>
        <v>0.41999999999999993</v>
      </c>
      <c r="Y867" t="str">
        <f>IF(OR(Table13[[#This Row],[OEE_%]]&gt;1,Table13[[#This Row],[OEE_%]]&lt;0),"Error","OK")</f>
        <v>OK</v>
      </c>
    </row>
    <row r="868" spans="1:25" x14ac:dyDescent="0.2">
      <c r="A868" t="s">
        <v>1026</v>
      </c>
      <c r="B868" t="s">
        <v>1024</v>
      </c>
      <c r="C868" s="2">
        <v>46287</v>
      </c>
      <c r="D868" t="s">
        <v>27</v>
      </c>
      <c r="E868" t="s">
        <v>35</v>
      </c>
      <c r="F868" t="s">
        <v>54</v>
      </c>
      <c r="G868" t="s">
        <v>75</v>
      </c>
      <c r="H868">
        <v>568</v>
      </c>
      <c r="I868">
        <v>564</v>
      </c>
      <c r="J868">
        <v>4</v>
      </c>
      <c r="K868">
        <v>22</v>
      </c>
      <c r="L868">
        <v>23.32</v>
      </c>
      <c r="M868">
        <v>220.79</v>
      </c>
      <c r="N868">
        <f>_xlfn.XLOOKUP(Table13[[#This Row],[Production_Order_ID]],[1]Sheet1!$A$2:$A$391,[1]Sheet1!$F$2:$F$391,"No Match")</f>
        <v>440</v>
      </c>
      <c r="O868" s="3">
        <f>Table13[[#This Row],[Good_Qty]]/Table13[[#This Row],[Planned_Production]]</f>
        <v>1.2818181818181817</v>
      </c>
      <c r="P868" t="str">
        <f>IF(Table13[[#This Row],[Good_Qty]]&gt;=Table13[[#This Row],[Planned_Production]],"Met","Not Met")</f>
        <v>Met</v>
      </c>
      <c r="Q868">
        <f>Table13[[#This Row],[Good_Qty]]-Table13[[#This Row],[Planned_Production]]</f>
        <v>124</v>
      </c>
      <c r="R868" s="3">
        <f>IF(Table13[[#This Row],[Actual_Qty]]=0,0,Table13[[#This Row],[Reject_Qty]]/Table13[[#This Row],[Actual_Qty]])</f>
        <v>7.0422535211267607E-3</v>
      </c>
      <c r="S868">
        <v>432.56</v>
      </c>
      <c r="T868">
        <f>(Table13[[#This Row],[Ideal_Cycle_Time_sec]]*Table13[[#This Row],[Actual_Qty]])/(Table13[[#This Row],[Operational_Time_min]]*60)</f>
        <v>0.48147463165032983</v>
      </c>
      <c r="U868">
        <f>Table13[[#This Row],[Good_Qty]]/Table13[[#This Row],[Actual_Qty]]</f>
        <v>0.99295774647887325</v>
      </c>
      <c r="V868" t="str">
        <f>IF(OR(Table13[[#This Row],[Performance_%]]&gt;=1,Table13[[#This Row],[Performance_%]]&lt;=0),"Error","OK")</f>
        <v>OK</v>
      </c>
      <c r="W868" t="str">
        <f>IF(OR(Table13[[#This Row],[Quality_%]]&gt;=1,Table13[[#This Row],[Quality_%]]&lt;=0),"Error","OK")</f>
        <v>OK</v>
      </c>
      <c r="X868">
        <f>Table13[[#This Row],[Performance_%]]*Table13[[#This Row],[Quality_%]]*[2]Availability_KPI!K868</f>
        <v>0.45955555555555555</v>
      </c>
      <c r="Y868" t="str">
        <f>IF(OR(Table13[[#This Row],[OEE_%]]&gt;1,Table13[[#This Row],[OEE_%]]&lt;0),"Error","OK")</f>
        <v>OK</v>
      </c>
    </row>
    <row r="869" spans="1:25" x14ac:dyDescent="0.2">
      <c r="A869" t="s">
        <v>1027</v>
      </c>
      <c r="B869" t="s">
        <v>1024</v>
      </c>
      <c r="C869" s="2">
        <v>46287</v>
      </c>
      <c r="D869" t="s">
        <v>27</v>
      </c>
      <c r="E869" t="s">
        <v>38</v>
      </c>
      <c r="F869" t="s">
        <v>54</v>
      </c>
      <c r="G869" t="s">
        <v>47</v>
      </c>
      <c r="H869">
        <v>562</v>
      </c>
      <c r="I869">
        <v>558</v>
      </c>
      <c r="J869">
        <v>4</v>
      </c>
      <c r="K869">
        <v>20</v>
      </c>
      <c r="L869">
        <v>21.16</v>
      </c>
      <c r="M869">
        <v>198.16</v>
      </c>
      <c r="N869">
        <f>_xlfn.XLOOKUP(Table13[[#This Row],[Production_Order_ID]],[1]Sheet1!$A$2:$A$391,[1]Sheet1!$F$2:$F$391,"No Match")</f>
        <v>440</v>
      </c>
      <c r="O869" s="3">
        <f>Table13[[#This Row],[Good_Qty]]/Table13[[#This Row],[Planned_Production]]</f>
        <v>1.2681818181818181</v>
      </c>
      <c r="P869" t="str">
        <f>IF(Table13[[#This Row],[Good_Qty]]&gt;=Table13[[#This Row],[Planned_Production]],"Met","Not Met")</f>
        <v>Met</v>
      </c>
      <c r="Q869">
        <f>Table13[[#This Row],[Good_Qty]]-Table13[[#This Row],[Planned_Production]]</f>
        <v>118</v>
      </c>
      <c r="R869" s="3">
        <f>IF(Table13[[#This Row],[Actual_Qty]]=0,0,Table13[[#This Row],[Reject_Qty]]/Table13[[#This Row],[Actual_Qty]])</f>
        <v>7.1174377224199285E-3</v>
      </c>
      <c r="S869">
        <v>438.77</v>
      </c>
      <c r="T869">
        <f>(Table13[[#This Row],[Ideal_Cycle_Time_sec]]*Table13[[#This Row],[Actual_Qty]])/(Table13[[#This Row],[Operational_Time_min]]*60)</f>
        <v>0.42695109814557364</v>
      </c>
      <c r="U869">
        <f>Table13[[#This Row],[Good_Qty]]/Table13[[#This Row],[Actual_Qty]]</f>
        <v>0.99288256227758009</v>
      </c>
      <c r="V869" t="str">
        <f>IF(OR(Table13[[#This Row],[Performance_%]]&gt;=1,Table13[[#This Row],[Performance_%]]&lt;=0),"Error","OK")</f>
        <v>OK</v>
      </c>
      <c r="W869" t="str">
        <f>IF(OR(Table13[[#This Row],[Quality_%]]&gt;=1,Table13[[#This Row],[Quality_%]]&lt;=0),"Error","OK")</f>
        <v>OK</v>
      </c>
      <c r="X869">
        <f>Table13[[#This Row],[Performance_%]]*Table13[[#This Row],[Quality_%]]*[2]Availability_KPI!K869</f>
        <v>0.41333333333333333</v>
      </c>
      <c r="Y869" t="str">
        <f>IF(OR(Table13[[#This Row],[OEE_%]]&gt;1,Table13[[#This Row],[OEE_%]]&lt;0),"Error","OK")</f>
        <v>OK</v>
      </c>
    </row>
    <row r="870" spans="1:25" x14ac:dyDescent="0.2">
      <c r="A870" t="s">
        <v>1028</v>
      </c>
      <c r="B870" t="s">
        <v>1024</v>
      </c>
      <c r="C870" s="2">
        <v>46287</v>
      </c>
      <c r="D870" t="s">
        <v>27</v>
      </c>
      <c r="E870" t="s">
        <v>41</v>
      </c>
      <c r="F870" t="s">
        <v>54</v>
      </c>
      <c r="G870" t="s">
        <v>50</v>
      </c>
      <c r="H870">
        <v>580</v>
      </c>
      <c r="I870">
        <v>576</v>
      </c>
      <c r="J870">
        <v>4</v>
      </c>
      <c r="K870">
        <v>18</v>
      </c>
      <c r="L870">
        <v>19.100000000000001</v>
      </c>
      <c r="M870">
        <v>184.6</v>
      </c>
      <c r="N870">
        <f>_xlfn.XLOOKUP(Table13[[#This Row],[Production_Order_ID]],[1]Sheet1!$A$2:$A$391,[1]Sheet1!$F$2:$F$391,"No Match")</f>
        <v>440</v>
      </c>
      <c r="O870" s="3">
        <f>Table13[[#This Row],[Good_Qty]]/Table13[[#This Row],[Planned_Production]]</f>
        <v>1.3090909090909091</v>
      </c>
      <c r="P870" t="str">
        <f>IF(Table13[[#This Row],[Good_Qty]]&gt;=Table13[[#This Row],[Planned_Production]],"Met","Not Met")</f>
        <v>Met</v>
      </c>
      <c r="Q870">
        <f>Table13[[#This Row],[Good_Qty]]-Table13[[#This Row],[Planned_Production]]</f>
        <v>136</v>
      </c>
      <c r="R870" s="3">
        <f>IF(Table13[[#This Row],[Actual_Qty]]=0,0,Table13[[#This Row],[Reject_Qty]]/Table13[[#This Row],[Actual_Qty]])</f>
        <v>6.8965517241379309E-3</v>
      </c>
      <c r="S870">
        <v>436.38</v>
      </c>
      <c r="T870">
        <f>(Table13[[#This Row],[Ideal_Cycle_Time_sec]]*Table13[[#This Row],[Actual_Qty]])/(Table13[[#This Row],[Operational_Time_min]]*60)</f>
        <v>0.39873504743572119</v>
      </c>
      <c r="U870">
        <f>Table13[[#This Row],[Good_Qty]]/Table13[[#This Row],[Actual_Qty]]</f>
        <v>0.99310344827586206</v>
      </c>
      <c r="V870" t="str">
        <f>IF(OR(Table13[[#This Row],[Performance_%]]&gt;=1,Table13[[#This Row],[Performance_%]]&lt;=0),"Error","OK")</f>
        <v>OK</v>
      </c>
      <c r="W870" t="str">
        <f>IF(OR(Table13[[#This Row],[Quality_%]]&gt;=1,Table13[[#This Row],[Quality_%]]&lt;=0),"Error","OK")</f>
        <v>OK</v>
      </c>
      <c r="X870">
        <f>Table13[[#This Row],[Performance_%]]*Table13[[#This Row],[Quality_%]]*[2]Availability_KPI!K870</f>
        <v>0.38400000000000001</v>
      </c>
      <c r="Y870" t="str">
        <f>IF(OR(Table13[[#This Row],[OEE_%]]&gt;1,Table13[[#This Row],[OEE_%]]&lt;0),"Error","OK")</f>
        <v>OK</v>
      </c>
    </row>
    <row r="871" spans="1:25" x14ac:dyDescent="0.2">
      <c r="A871" t="s">
        <v>1029</v>
      </c>
      <c r="B871" t="s">
        <v>1024</v>
      </c>
      <c r="C871" s="2">
        <v>46287</v>
      </c>
      <c r="D871" t="s">
        <v>27</v>
      </c>
      <c r="E871" t="s">
        <v>43</v>
      </c>
      <c r="F871" t="s">
        <v>54</v>
      </c>
      <c r="G871" t="s">
        <v>61</v>
      </c>
      <c r="H871">
        <v>571</v>
      </c>
      <c r="I871">
        <v>561</v>
      </c>
      <c r="J871">
        <v>10</v>
      </c>
      <c r="K871">
        <v>32</v>
      </c>
      <c r="L871">
        <v>35.15</v>
      </c>
      <c r="M871">
        <v>334.55</v>
      </c>
      <c r="N871">
        <f>_xlfn.XLOOKUP(Table13[[#This Row],[Production_Order_ID]],[1]Sheet1!$A$2:$A$391,[1]Sheet1!$F$2:$F$391,"No Match")</f>
        <v>440</v>
      </c>
      <c r="O871" s="3">
        <f>Table13[[#This Row],[Good_Qty]]/Table13[[#This Row],[Planned_Production]]</f>
        <v>1.2749999999999999</v>
      </c>
      <c r="P871" t="str">
        <f>IF(Table13[[#This Row],[Good_Qty]]&gt;=Table13[[#This Row],[Planned_Production]],"Met","Not Met")</f>
        <v>Met</v>
      </c>
      <c r="Q871">
        <f>Table13[[#This Row],[Good_Qty]]-Table13[[#This Row],[Planned_Production]]</f>
        <v>121</v>
      </c>
      <c r="R871" s="3">
        <f>IF(Table13[[#This Row],[Actual_Qty]]=0,0,Table13[[#This Row],[Reject_Qty]]/Table13[[#This Row],[Actual_Qty]])</f>
        <v>1.7513134851138354E-2</v>
      </c>
      <c r="S871">
        <v>408.40999999999997</v>
      </c>
      <c r="T871">
        <f>(Table13[[#This Row],[Ideal_Cycle_Time_sec]]*Table13[[#This Row],[Actual_Qty]])/(Table13[[#This Row],[Operational_Time_min]]*60)</f>
        <v>0.74565591766443851</v>
      </c>
      <c r="U871">
        <f>Table13[[#This Row],[Good_Qty]]/Table13[[#This Row],[Actual_Qty]]</f>
        <v>0.98248686514886163</v>
      </c>
      <c r="V871" t="str">
        <f>IF(OR(Table13[[#This Row],[Performance_%]]&gt;=1,Table13[[#This Row],[Performance_%]]&lt;=0),"Error","OK")</f>
        <v>OK</v>
      </c>
      <c r="W871" t="str">
        <f>IF(OR(Table13[[#This Row],[Quality_%]]&gt;=1,Table13[[#This Row],[Quality_%]]&lt;=0),"Error","OK")</f>
        <v>OK</v>
      </c>
      <c r="X871">
        <f>Table13[[#This Row],[Performance_%]]*Table13[[#This Row],[Quality_%]]*[2]Availability_KPI!K871</f>
        <v>0.66488888888888875</v>
      </c>
      <c r="Y871" t="str">
        <f>IF(OR(Table13[[#This Row],[OEE_%]]&gt;1,Table13[[#This Row],[OEE_%]]&lt;0),"Error","OK")</f>
        <v>OK</v>
      </c>
    </row>
    <row r="872" spans="1:25" x14ac:dyDescent="0.2">
      <c r="A872" t="s">
        <v>1030</v>
      </c>
      <c r="B872" t="s">
        <v>1024</v>
      </c>
      <c r="C872" s="2">
        <v>46287</v>
      </c>
      <c r="D872" t="s">
        <v>27</v>
      </c>
      <c r="E872" t="s">
        <v>46</v>
      </c>
      <c r="F872" t="s">
        <v>54</v>
      </c>
      <c r="G872" t="s">
        <v>57</v>
      </c>
      <c r="H872">
        <v>563</v>
      </c>
      <c r="I872">
        <v>558</v>
      </c>
      <c r="J872">
        <v>5</v>
      </c>
      <c r="K872">
        <v>25</v>
      </c>
      <c r="L872">
        <v>26.53</v>
      </c>
      <c r="M872">
        <v>248.93</v>
      </c>
      <c r="N872">
        <f>_xlfn.XLOOKUP(Table13[[#This Row],[Production_Order_ID]],[1]Sheet1!$A$2:$A$391,[1]Sheet1!$F$2:$F$391,"No Match")</f>
        <v>440</v>
      </c>
      <c r="O872" s="3">
        <f>Table13[[#This Row],[Good_Qty]]/Table13[[#This Row],[Planned_Production]]</f>
        <v>1.2681818181818181</v>
      </c>
      <c r="P872" t="str">
        <f>IF(Table13[[#This Row],[Good_Qty]]&gt;=Table13[[#This Row],[Planned_Production]],"Met","Not Met")</f>
        <v>Met</v>
      </c>
      <c r="Q872">
        <f>Table13[[#This Row],[Good_Qty]]-Table13[[#This Row],[Planned_Production]]</f>
        <v>118</v>
      </c>
      <c r="R872" s="3">
        <f>IF(Table13[[#This Row],[Actual_Qty]]=0,0,Table13[[#This Row],[Reject_Qty]]/Table13[[#This Row],[Actual_Qty]])</f>
        <v>8.8809946714031966E-3</v>
      </c>
      <c r="S872">
        <v>430.25</v>
      </c>
      <c r="T872">
        <f>(Table13[[#This Row],[Ideal_Cycle_Time_sec]]*Table13[[#This Row],[Actual_Qty]])/(Table13[[#This Row],[Operational_Time_min]]*60)</f>
        <v>0.54522564400542317</v>
      </c>
      <c r="U872">
        <f>Table13[[#This Row],[Good_Qty]]/Table13[[#This Row],[Actual_Qty]]</f>
        <v>0.99111900532859676</v>
      </c>
      <c r="V872" t="str">
        <f>IF(OR(Table13[[#This Row],[Performance_%]]&gt;=1,Table13[[#This Row],[Performance_%]]&lt;=0),"Error","OK")</f>
        <v>OK</v>
      </c>
      <c r="W872" t="str">
        <f>IF(OR(Table13[[#This Row],[Quality_%]]&gt;=1,Table13[[#This Row],[Quality_%]]&lt;=0),"Error","OK")</f>
        <v>OK</v>
      </c>
      <c r="X872">
        <f>Table13[[#This Row],[Performance_%]]*Table13[[#This Row],[Quality_%]]*[2]Availability_KPI!K872</f>
        <v>0.51666666666666661</v>
      </c>
      <c r="Y872" t="str">
        <f>IF(OR(Table13[[#This Row],[OEE_%]]&gt;1,Table13[[#This Row],[OEE_%]]&lt;0),"Error","OK")</f>
        <v>OK</v>
      </c>
    </row>
    <row r="873" spans="1:25" x14ac:dyDescent="0.2">
      <c r="A873" t="s">
        <v>1031</v>
      </c>
      <c r="B873" t="s">
        <v>1024</v>
      </c>
      <c r="C873" s="2">
        <v>46287</v>
      </c>
      <c r="D873" t="s">
        <v>27</v>
      </c>
      <c r="E873" t="s">
        <v>49</v>
      </c>
      <c r="F873" t="s">
        <v>54</v>
      </c>
      <c r="G873" t="s">
        <v>44</v>
      </c>
      <c r="H873">
        <v>570</v>
      </c>
      <c r="I873">
        <v>567</v>
      </c>
      <c r="J873">
        <v>3</v>
      </c>
      <c r="K873">
        <v>20</v>
      </c>
      <c r="L873">
        <v>20.11</v>
      </c>
      <c r="M873">
        <v>191</v>
      </c>
      <c r="N873">
        <f>_xlfn.XLOOKUP(Table13[[#This Row],[Production_Order_ID]],[1]Sheet1!$A$2:$A$391,[1]Sheet1!$F$2:$F$391,"No Match")</f>
        <v>440</v>
      </c>
      <c r="O873" s="3">
        <f>Table13[[#This Row],[Good_Qty]]/Table13[[#This Row],[Planned_Production]]</f>
        <v>1.2886363636363636</v>
      </c>
      <c r="P873" t="str">
        <f>IF(Table13[[#This Row],[Good_Qty]]&gt;=Table13[[#This Row],[Planned_Production]],"Met","Not Met")</f>
        <v>Met</v>
      </c>
      <c r="Q873">
        <f>Table13[[#This Row],[Good_Qty]]-Table13[[#This Row],[Planned_Production]]</f>
        <v>127</v>
      </c>
      <c r="R873" s="3">
        <f>IF(Table13[[#This Row],[Actual_Qty]]=0,0,Table13[[#This Row],[Reject_Qty]]/Table13[[#This Row],[Actual_Qty]])</f>
        <v>5.263157894736842E-3</v>
      </c>
      <c r="S873">
        <v>441.88</v>
      </c>
      <c r="T873">
        <f>(Table13[[#This Row],[Ideal_Cycle_Time_sec]]*Table13[[#This Row],[Actual_Qty]])/(Table13[[#This Row],[Operational_Time_min]]*60)</f>
        <v>0.42998099031411247</v>
      </c>
      <c r="U873">
        <f>Table13[[#This Row],[Good_Qty]]/Table13[[#This Row],[Actual_Qty]]</f>
        <v>0.99473684210526314</v>
      </c>
      <c r="V873" t="str">
        <f>IF(OR(Table13[[#This Row],[Performance_%]]&gt;=1,Table13[[#This Row],[Performance_%]]&lt;=0),"Error","OK")</f>
        <v>OK</v>
      </c>
      <c r="W873" t="str">
        <f>IF(OR(Table13[[#This Row],[Quality_%]]&gt;=1,Table13[[#This Row],[Quality_%]]&lt;=0),"Error","OK")</f>
        <v>OK</v>
      </c>
      <c r="X873">
        <f>Table13[[#This Row],[Performance_%]]*Table13[[#This Row],[Quality_%]]*[2]Availability_KPI!K873</f>
        <v>0.42000000000000004</v>
      </c>
      <c r="Y873" t="str">
        <f>IF(OR(Table13[[#This Row],[OEE_%]]&gt;1,Table13[[#This Row],[OEE_%]]&lt;0),"Error","OK")</f>
        <v>OK</v>
      </c>
    </row>
    <row r="874" spans="1:25" x14ac:dyDescent="0.2">
      <c r="A874" t="s">
        <v>1032</v>
      </c>
      <c r="B874" t="s">
        <v>1033</v>
      </c>
      <c r="C874" s="2">
        <v>46287</v>
      </c>
      <c r="D874" t="s">
        <v>53</v>
      </c>
      <c r="E874" t="s">
        <v>28</v>
      </c>
      <c r="F874" t="s">
        <v>29</v>
      </c>
      <c r="G874" t="s">
        <v>75</v>
      </c>
      <c r="H874">
        <v>550</v>
      </c>
      <c r="I874">
        <v>548</v>
      </c>
      <c r="J874">
        <v>2</v>
      </c>
      <c r="K874">
        <v>19.8</v>
      </c>
      <c r="L874">
        <v>20.13</v>
      </c>
      <c r="M874">
        <v>184.5</v>
      </c>
      <c r="N874">
        <f>_xlfn.XLOOKUP(Table13[[#This Row],[Production_Order_ID]],[1]Sheet1!$A$2:$A$391,[1]Sheet1!$F$2:$F$391,"No Match")</f>
        <v>460</v>
      </c>
      <c r="O874" s="3">
        <f>Table13[[#This Row],[Good_Qty]]/Table13[[#This Row],[Planned_Production]]</f>
        <v>1.191304347826087</v>
      </c>
      <c r="P874" t="str">
        <f>IF(Table13[[#This Row],[Good_Qty]]&gt;=Table13[[#This Row],[Planned_Production]],"Met","Not Met")</f>
        <v>Met</v>
      </c>
      <c r="Q874">
        <f>Table13[[#This Row],[Good_Qty]]-Table13[[#This Row],[Planned_Production]]</f>
        <v>88</v>
      </c>
      <c r="R874" s="3">
        <f>IF(Table13[[#This Row],[Actual_Qty]]=0,0,Table13[[#This Row],[Reject_Qty]]/Table13[[#This Row],[Actual_Qty]])</f>
        <v>3.6363636363636364E-3</v>
      </c>
      <c r="S874">
        <v>439.64</v>
      </c>
      <c r="T874">
        <f>(Table13[[#This Row],[Ideal_Cycle_Time_sec]]*Table13[[#This Row],[Actual_Qty]])/(Table13[[#This Row],[Operational_Time_min]]*60)</f>
        <v>0.41283777636247843</v>
      </c>
      <c r="U874">
        <f>Table13[[#This Row],[Good_Qty]]/Table13[[#This Row],[Actual_Qty]]</f>
        <v>0.99636363636363634</v>
      </c>
      <c r="V874" t="str">
        <f>IF(OR(Table13[[#This Row],[Performance_%]]&gt;=1,Table13[[#This Row],[Performance_%]]&lt;=0),"Error","OK")</f>
        <v>OK</v>
      </c>
      <c r="W874" t="str">
        <f>IF(OR(Table13[[#This Row],[Quality_%]]&gt;=1,Table13[[#This Row],[Quality_%]]&lt;=0),"Error","OK")</f>
        <v>OK</v>
      </c>
      <c r="X874">
        <f>Table13[[#This Row],[Performance_%]]*Table13[[#This Row],[Quality_%]]*[2]Availability_KPI!K874</f>
        <v>0.40186666666666671</v>
      </c>
      <c r="Y874" t="str">
        <f>IF(OR(Table13[[#This Row],[OEE_%]]&gt;1,Table13[[#This Row],[OEE_%]]&lt;0),"Error","OK")</f>
        <v>OK</v>
      </c>
    </row>
    <row r="875" spans="1:25" x14ac:dyDescent="0.2">
      <c r="A875" t="s">
        <v>1034</v>
      </c>
      <c r="B875" t="s">
        <v>1033</v>
      </c>
      <c r="C875" s="2">
        <v>46287</v>
      </c>
      <c r="D875" t="s">
        <v>53</v>
      </c>
      <c r="E875" t="s">
        <v>32</v>
      </c>
      <c r="F875" t="s">
        <v>29</v>
      </c>
      <c r="G875" t="s">
        <v>71</v>
      </c>
      <c r="H875">
        <v>542</v>
      </c>
      <c r="I875">
        <v>537</v>
      </c>
      <c r="J875">
        <v>5</v>
      </c>
      <c r="K875">
        <v>22</v>
      </c>
      <c r="L875">
        <v>23.35</v>
      </c>
      <c r="M875">
        <v>210.95</v>
      </c>
      <c r="N875">
        <f>_xlfn.XLOOKUP(Table13[[#This Row],[Production_Order_ID]],[1]Sheet1!$A$2:$A$391,[1]Sheet1!$F$2:$F$391,"No Match")</f>
        <v>460</v>
      </c>
      <c r="O875" s="3">
        <f>Table13[[#This Row],[Good_Qty]]/Table13[[#This Row],[Planned_Production]]</f>
        <v>1.1673913043478261</v>
      </c>
      <c r="P875" t="str">
        <f>IF(Table13[[#This Row],[Good_Qty]]&gt;=Table13[[#This Row],[Planned_Production]],"Met","Not Met")</f>
        <v>Met</v>
      </c>
      <c r="Q875">
        <f>Table13[[#This Row],[Good_Qty]]-Table13[[#This Row],[Planned_Production]]</f>
        <v>77</v>
      </c>
      <c r="R875" s="3">
        <f>IF(Table13[[#This Row],[Actual_Qty]]=0,0,Table13[[#This Row],[Reject_Qty]]/Table13[[#This Row],[Actual_Qty]])</f>
        <v>9.2250922509225092E-3</v>
      </c>
      <c r="S875">
        <v>436.02</v>
      </c>
      <c r="T875">
        <f>(Table13[[#This Row],[Ideal_Cycle_Time_sec]]*Table13[[#This Row],[Actual_Qty]])/(Table13[[#This Row],[Operational_Time_min]]*60)</f>
        <v>0.45578948977875638</v>
      </c>
      <c r="U875">
        <f>Table13[[#This Row],[Good_Qty]]/Table13[[#This Row],[Actual_Qty]]</f>
        <v>0.9907749077490775</v>
      </c>
      <c r="V875" t="str">
        <f>IF(OR(Table13[[#This Row],[Performance_%]]&gt;=1,Table13[[#This Row],[Performance_%]]&lt;=0),"Error","OK")</f>
        <v>OK</v>
      </c>
      <c r="W875" t="str">
        <f>IF(OR(Table13[[#This Row],[Quality_%]]&gt;=1,Table13[[#This Row],[Quality_%]]&lt;=0),"Error","OK")</f>
        <v>OK</v>
      </c>
      <c r="X875">
        <f>Table13[[#This Row],[Performance_%]]*Table13[[#This Row],[Quality_%]]*[2]Availability_KPI!K875</f>
        <v>0.43755555555555564</v>
      </c>
      <c r="Y875" t="str">
        <f>IF(OR(Table13[[#This Row],[OEE_%]]&gt;1,Table13[[#This Row],[OEE_%]]&lt;0),"Error","OK")</f>
        <v>OK</v>
      </c>
    </row>
    <row r="876" spans="1:25" x14ac:dyDescent="0.2">
      <c r="A876" t="s">
        <v>1035</v>
      </c>
      <c r="B876" t="s">
        <v>1033</v>
      </c>
      <c r="C876" s="2">
        <v>46287</v>
      </c>
      <c r="D876" t="s">
        <v>53</v>
      </c>
      <c r="E876" t="s">
        <v>35</v>
      </c>
      <c r="F876" t="s">
        <v>29</v>
      </c>
      <c r="G876" t="s">
        <v>57</v>
      </c>
      <c r="H876">
        <v>545</v>
      </c>
      <c r="I876">
        <v>541</v>
      </c>
      <c r="J876">
        <v>4</v>
      </c>
      <c r="K876">
        <v>24.2</v>
      </c>
      <c r="L876">
        <v>25.18</v>
      </c>
      <c r="M876">
        <v>228.68</v>
      </c>
      <c r="N876">
        <f>_xlfn.XLOOKUP(Table13[[#This Row],[Production_Order_ID]],[1]Sheet1!$A$2:$A$391,[1]Sheet1!$F$2:$F$391,"No Match")</f>
        <v>460</v>
      </c>
      <c r="O876" s="3">
        <f>Table13[[#This Row],[Good_Qty]]/Table13[[#This Row],[Planned_Production]]</f>
        <v>1.1760869565217391</v>
      </c>
      <c r="P876" t="str">
        <f>IF(Table13[[#This Row],[Good_Qty]]&gt;=Table13[[#This Row],[Planned_Production]],"Met","Not Met")</f>
        <v>Met</v>
      </c>
      <c r="Q876">
        <f>Table13[[#This Row],[Good_Qty]]-Table13[[#This Row],[Planned_Production]]</f>
        <v>81</v>
      </c>
      <c r="R876" s="3">
        <f>IF(Table13[[#This Row],[Actual_Qty]]=0,0,Table13[[#This Row],[Reject_Qty]]/Table13[[#This Row],[Actual_Qty]])</f>
        <v>7.3394495412844041E-3</v>
      </c>
      <c r="S876">
        <v>431.95</v>
      </c>
      <c r="T876">
        <f>(Table13[[#This Row],[Ideal_Cycle_Time_sec]]*Table13[[#This Row],[Actual_Qty]])/(Table13[[#This Row],[Operational_Time_min]]*60)</f>
        <v>0.50889377628583554</v>
      </c>
      <c r="U876">
        <f>Table13[[#This Row],[Good_Qty]]/Table13[[#This Row],[Actual_Qty]]</f>
        <v>0.9926605504587156</v>
      </c>
      <c r="V876" t="str">
        <f>IF(OR(Table13[[#This Row],[Performance_%]]&gt;=1,Table13[[#This Row],[Performance_%]]&lt;=0),"Error","OK")</f>
        <v>OK</v>
      </c>
      <c r="W876" t="str">
        <f>IF(OR(Table13[[#This Row],[Quality_%]]&gt;=1,Table13[[#This Row],[Quality_%]]&lt;=0),"Error","OK")</f>
        <v>OK</v>
      </c>
      <c r="X876">
        <f>Table13[[#This Row],[Performance_%]]*Table13[[#This Row],[Quality_%]]*[2]Availability_KPI!K876</f>
        <v>0.48489629629629627</v>
      </c>
      <c r="Y876" t="str">
        <f>IF(OR(Table13[[#This Row],[OEE_%]]&gt;1,Table13[[#This Row],[OEE_%]]&lt;0),"Error","OK")</f>
        <v>OK</v>
      </c>
    </row>
    <row r="877" spans="1:25" x14ac:dyDescent="0.2">
      <c r="A877" t="s">
        <v>1036</v>
      </c>
      <c r="B877" t="s">
        <v>1033</v>
      </c>
      <c r="C877" s="2">
        <v>46287</v>
      </c>
      <c r="D877" t="s">
        <v>53</v>
      </c>
      <c r="E877" t="s">
        <v>38</v>
      </c>
      <c r="F877" t="s">
        <v>29</v>
      </c>
      <c r="G877" t="s">
        <v>55</v>
      </c>
      <c r="H877">
        <v>548</v>
      </c>
      <c r="I877">
        <v>546</v>
      </c>
      <c r="J877">
        <v>2</v>
      </c>
      <c r="K877">
        <v>22</v>
      </c>
      <c r="L877">
        <v>22.58</v>
      </c>
      <c r="M877">
        <v>206.26</v>
      </c>
      <c r="N877">
        <f>_xlfn.XLOOKUP(Table13[[#This Row],[Production_Order_ID]],[1]Sheet1!$A$2:$A$391,[1]Sheet1!$F$2:$F$391,"No Match")</f>
        <v>460</v>
      </c>
      <c r="O877" s="3">
        <f>Table13[[#This Row],[Good_Qty]]/Table13[[#This Row],[Planned_Production]]</f>
        <v>1.1869565217391305</v>
      </c>
      <c r="P877" t="str">
        <f>IF(Table13[[#This Row],[Good_Qty]]&gt;=Table13[[#This Row],[Planned_Production]],"Met","Not Met")</f>
        <v>Met</v>
      </c>
      <c r="Q877">
        <f>Table13[[#This Row],[Good_Qty]]-Table13[[#This Row],[Planned_Production]]</f>
        <v>86</v>
      </c>
      <c r="R877" s="3">
        <f>IF(Table13[[#This Row],[Actual_Qty]]=0,0,Table13[[#This Row],[Reject_Qty]]/Table13[[#This Row],[Actual_Qty]])</f>
        <v>3.6496350364963502E-3</v>
      </c>
      <c r="S877">
        <v>439.42</v>
      </c>
      <c r="T877">
        <f>(Table13[[#This Row],[Ideal_Cycle_Time_sec]]*Table13[[#This Row],[Actual_Qty]])/(Table13[[#This Row],[Operational_Time_min]]*60)</f>
        <v>0.45726943091651112</v>
      </c>
      <c r="U877">
        <f>Table13[[#This Row],[Good_Qty]]/Table13[[#This Row],[Actual_Qty]]</f>
        <v>0.9963503649635036</v>
      </c>
      <c r="V877" t="str">
        <f>IF(OR(Table13[[#This Row],[Performance_%]]&gt;=1,Table13[[#This Row],[Performance_%]]&lt;=0),"Error","OK")</f>
        <v>OK</v>
      </c>
      <c r="W877" t="str">
        <f>IF(OR(Table13[[#This Row],[Quality_%]]&gt;=1,Table13[[#This Row],[Quality_%]]&lt;=0),"Error","OK")</f>
        <v>OK</v>
      </c>
      <c r="X877">
        <f>Table13[[#This Row],[Performance_%]]*Table13[[#This Row],[Quality_%]]*[2]Availability_KPI!K877</f>
        <v>0.44488888888888883</v>
      </c>
      <c r="Y877" t="str">
        <f>IF(OR(Table13[[#This Row],[OEE_%]]&gt;1,Table13[[#This Row],[OEE_%]]&lt;0),"Error","OK")</f>
        <v>OK</v>
      </c>
    </row>
    <row r="878" spans="1:25" x14ac:dyDescent="0.2">
      <c r="A878" t="s">
        <v>1037</v>
      </c>
      <c r="B878" t="s">
        <v>1033</v>
      </c>
      <c r="C878" s="2">
        <v>46287</v>
      </c>
      <c r="D878" t="s">
        <v>53</v>
      </c>
      <c r="E878" t="s">
        <v>41</v>
      </c>
      <c r="F878" t="s">
        <v>29</v>
      </c>
      <c r="G878" t="s">
        <v>71</v>
      </c>
      <c r="H878">
        <v>547</v>
      </c>
      <c r="I878">
        <v>541</v>
      </c>
      <c r="J878">
        <v>6</v>
      </c>
      <c r="K878">
        <v>19.8</v>
      </c>
      <c r="L878">
        <v>21.01</v>
      </c>
      <c r="M878">
        <v>191.56</v>
      </c>
      <c r="N878">
        <f>_xlfn.XLOOKUP(Table13[[#This Row],[Production_Order_ID]],[1]Sheet1!$A$2:$A$391,[1]Sheet1!$F$2:$F$391,"No Match")</f>
        <v>460</v>
      </c>
      <c r="O878" s="3">
        <f>Table13[[#This Row],[Good_Qty]]/Table13[[#This Row],[Planned_Production]]</f>
        <v>1.1760869565217391</v>
      </c>
      <c r="P878" t="str">
        <f>IF(Table13[[#This Row],[Good_Qty]]&gt;=Table13[[#This Row],[Planned_Production]],"Met","Not Met")</f>
        <v>Met</v>
      </c>
      <c r="Q878">
        <f>Table13[[#This Row],[Good_Qty]]-Table13[[#This Row],[Planned_Production]]</f>
        <v>81</v>
      </c>
      <c r="R878" s="3">
        <f>IF(Table13[[#This Row],[Actual_Qty]]=0,0,Table13[[#This Row],[Reject_Qty]]/Table13[[#This Row],[Actual_Qty]])</f>
        <v>1.0968921389396709E-2</v>
      </c>
      <c r="S878">
        <v>436.57</v>
      </c>
      <c r="T878">
        <f>(Table13[[#This Row],[Ideal_Cycle_Time_sec]]*Table13[[#This Row],[Actual_Qty]])/(Table13[[#This Row],[Operational_Time_min]]*60)</f>
        <v>0.4134732116270014</v>
      </c>
      <c r="U878">
        <f>Table13[[#This Row],[Good_Qty]]/Table13[[#This Row],[Actual_Qty]]</f>
        <v>0.98903107861060324</v>
      </c>
      <c r="V878" t="str">
        <f>IF(OR(Table13[[#This Row],[Performance_%]]&gt;=1,Table13[[#This Row],[Performance_%]]&lt;=0),"Error","OK")</f>
        <v>OK</v>
      </c>
      <c r="W878" t="str">
        <f>IF(OR(Table13[[#This Row],[Quality_%]]&gt;=1,Table13[[#This Row],[Quality_%]]&lt;=0),"Error","OK")</f>
        <v>OK</v>
      </c>
      <c r="X878">
        <f>Table13[[#This Row],[Performance_%]]*Table13[[#This Row],[Quality_%]]*[2]Availability_KPI!K878</f>
        <v>0.39673333333333327</v>
      </c>
      <c r="Y878" t="str">
        <f>IF(OR(Table13[[#This Row],[OEE_%]]&gt;1,Table13[[#This Row],[OEE_%]]&lt;0),"Error","OK")</f>
        <v>OK</v>
      </c>
    </row>
    <row r="879" spans="1:25" x14ac:dyDescent="0.2">
      <c r="A879" t="s">
        <v>1038</v>
      </c>
      <c r="B879" t="s">
        <v>1033</v>
      </c>
      <c r="C879" s="2">
        <v>46287</v>
      </c>
      <c r="D879" t="s">
        <v>53</v>
      </c>
      <c r="E879" t="s">
        <v>43</v>
      </c>
      <c r="F879" t="s">
        <v>29</v>
      </c>
      <c r="G879" t="s">
        <v>30</v>
      </c>
      <c r="H879">
        <v>545</v>
      </c>
      <c r="I879">
        <v>536</v>
      </c>
      <c r="J879">
        <v>9</v>
      </c>
      <c r="K879">
        <v>35.200000000000003</v>
      </c>
      <c r="L879">
        <v>36.53</v>
      </c>
      <c r="M879">
        <v>331.78</v>
      </c>
      <c r="N879">
        <f>_xlfn.XLOOKUP(Table13[[#This Row],[Production_Order_ID]],[1]Sheet1!$A$2:$A$391,[1]Sheet1!$F$2:$F$391,"No Match")</f>
        <v>460</v>
      </c>
      <c r="O879" s="3">
        <f>Table13[[#This Row],[Good_Qty]]/Table13[[#This Row],[Planned_Production]]</f>
        <v>1.1652173913043478</v>
      </c>
      <c r="P879" t="str">
        <f>IF(Table13[[#This Row],[Good_Qty]]&gt;=Table13[[#This Row],[Planned_Production]],"Met","Not Met")</f>
        <v>Met</v>
      </c>
      <c r="Q879">
        <f>Table13[[#This Row],[Good_Qty]]-Table13[[#This Row],[Planned_Production]]</f>
        <v>76</v>
      </c>
      <c r="R879" s="3">
        <f>IF(Table13[[#This Row],[Actual_Qty]]=0,0,Table13[[#This Row],[Reject_Qty]]/Table13[[#This Row],[Actual_Qty]])</f>
        <v>1.6513761467889909E-2</v>
      </c>
      <c r="S879">
        <v>417.32</v>
      </c>
      <c r="T879">
        <f>(Table13[[#This Row],[Ideal_Cycle_Time_sec]]*Table13[[#This Row],[Actual_Qty]])/(Table13[[#This Row],[Operational_Time_min]]*60)</f>
        <v>0.76615866321607717</v>
      </c>
      <c r="U879">
        <f>Table13[[#This Row],[Good_Qty]]/Table13[[#This Row],[Actual_Qty]]</f>
        <v>0.98348623853211015</v>
      </c>
      <c r="V879" t="str">
        <f>IF(OR(Table13[[#This Row],[Performance_%]]&gt;=1,Table13[[#This Row],[Performance_%]]&lt;=0),"Error","OK")</f>
        <v>OK</v>
      </c>
      <c r="W879" t="str">
        <f>IF(OR(Table13[[#This Row],[Quality_%]]&gt;=1,Table13[[#This Row],[Quality_%]]&lt;=0),"Error","OK")</f>
        <v>OK</v>
      </c>
      <c r="X879">
        <f>Table13[[#This Row],[Performance_%]]*Table13[[#This Row],[Quality_%]]*[2]Availability_KPI!K879</f>
        <v>0.69878518518518518</v>
      </c>
      <c r="Y879" t="str">
        <f>IF(OR(Table13[[#This Row],[OEE_%]]&gt;1,Table13[[#This Row],[OEE_%]]&lt;0),"Error","OK")</f>
        <v>OK</v>
      </c>
    </row>
    <row r="880" spans="1:25" x14ac:dyDescent="0.2">
      <c r="A880" t="s">
        <v>1039</v>
      </c>
      <c r="B880" t="s">
        <v>1033</v>
      </c>
      <c r="C880" s="2">
        <v>46287</v>
      </c>
      <c r="D880" t="s">
        <v>53</v>
      </c>
      <c r="E880" t="s">
        <v>46</v>
      </c>
      <c r="F880" t="s">
        <v>29</v>
      </c>
      <c r="G880" t="s">
        <v>75</v>
      </c>
      <c r="H880">
        <v>552</v>
      </c>
      <c r="I880">
        <v>547</v>
      </c>
      <c r="J880">
        <v>5</v>
      </c>
      <c r="K880">
        <v>27.5</v>
      </c>
      <c r="L880">
        <v>30.4</v>
      </c>
      <c r="M880">
        <v>279.64999999999998</v>
      </c>
      <c r="N880">
        <f>_xlfn.XLOOKUP(Table13[[#This Row],[Production_Order_ID]],[1]Sheet1!$A$2:$A$391,[1]Sheet1!$F$2:$F$391,"No Match")</f>
        <v>460</v>
      </c>
      <c r="O880" s="3">
        <f>Table13[[#This Row],[Good_Qty]]/Table13[[#This Row],[Planned_Production]]</f>
        <v>1.1891304347826086</v>
      </c>
      <c r="P880" t="str">
        <f>IF(Table13[[#This Row],[Good_Qty]]&gt;=Table13[[#This Row],[Planned_Production]],"Met","Not Met")</f>
        <v>Met</v>
      </c>
      <c r="Q880">
        <f>Table13[[#This Row],[Good_Qty]]-Table13[[#This Row],[Planned_Production]]</f>
        <v>87</v>
      </c>
      <c r="R880" s="3">
        <f>IF(Table13[[#This Row],[Actual_Qty]]=0,0,Table13[[#This Row],[Reject_Qty]]/Table13[[#This Row],[Actual_Qty]])</f>
        <v>9.057971014492754E-3</v>
      </c>
      <c r="S880">
        <v>428.21</v>
      </c>
      <c r="T880">
        <f>(Table13[[#This Row],[Ideal_Cycle_Time_sec]]*Table13[[#This Row],[Actual_Qty]])/(Table13[[#This Row],[Operational_Time_min]]*60)</f>
        <v>0.59083160131711077</v>
      </c>
      <c r="U880">
        <f>Table13[[#This Row],[Good_Qty]]/Table13[[#This Row],[Actual_Qty]]</f>
        <v>0.99094202898550721</v>
      </c>
      <c r="V880" t="str">
        <f>IF(OR(Table13[[#This Row],[Performance_%]]&gt;=1,Table13[[#This Row],[Performance_%]]&lt;=0),"Error","OK")</f>
        <v>OK</v>
      </c>
      <c r="W880" t="str">
        <f>IF(OR(Table13[[#This Row],[Quality_%]]&gt;=1,Table13[[#This Row],[Quality_%]]&lt;=0),"Error","OK")</f>
        <v>OK</v>
      </c>
      <c r="X880">
        <f>Table13[[#This Row],[Performance_%]]*Table13[[#This Row],[Quality_%]]*[2]Availability_KPI!K880</f>
        <v>0.55712962962962953</v>
      </c>
      <c r="Y880" t="str">
        <f>IF(OR(Table13[[#This Row],[OEE_%]]&gt;1,Table13[[#This Row],[OEE_%]]&lt;0),"Error","OK")</f>
        <v>OK</v>
      </c>
    </row>
    <row r="881" spans="1:25" x14ac:dyDescent="0.2">
      <c r="A881" t="s">
        <v>1040</v>
      </c>
      <c r="B881" t="s">
        <v>1033</v>
      </c>
      <c r="C881" s="2">
        <v>46287</v>
      </c>
      <c r="D881" t="s">
        <v>53</v>
      </c>
      <c r="E881" t="s">
        <v>49</v>
      </c>
      <c r="F881" t="s">
        <v>29</v>
      </c>
      <c r="G881" t="s">
        <v>71</v>
      </c>
      <c r="H881">
        <v>565</v>
      </c>
      <c r="I881">
        <v>562</v>
      </c>
      <c r="J881">
        <v>3</v>
      </c>
      <c r="K881">
        <v>22</v>
      </c>
      <c r="L881">
        <v>23.75</v>
      </c>
      <c r="M881">
        <v>223.6</v>
      </c>
      <c r="N881">
        <f>_xlfn.XLOOKUP(Table13[[#This Row],[Production_Order_ID]],[1]Sheet1!$A$2:$A$391,[1]Sheet1!$F$2:$F$391,"No Match")</f>
        <v>460</v>
      </c>
      <c r="O881" s="3">
        <f>Table13[[#This Row],[Good_Qty]]/Table13[[#This Row],[Planned_Production]]</f>
        <v>1.2217391304347827</v>
      </c>
      <c r="P881" t="str">
        <f>IF(Table13[[#This Row],[Good_Qty]]&gt;=Table13[[#This Row],[Planned_Production]],"Met","Not Met")</f>
        <v>Met</v>
      </c>
      <c r="Q881">
        <f>Table13[[#This Row],[Good_Qty]]-Table13[[#This Row],[Planned_Production]]</f>
        <v>102</v>
      </c>
      <c r="R881" s="3">
        <f>IF(Table13[[#This Row],[Actual_Qty]]=0,0,Table13[[#This Row],[Reject_Qty]]/Table13[[#This Row],[Actual_Qty]])</f>
        <v>5.3097345132743362E-3</v>
      </c>
      <c r="S881">
        <v>440.38</v>
      </c>
      <c r="T881">
        <f>(Table13[[#This Row],[Ideal_Cycle_Time_sec]]*Table13[[#This Row],[Actual_Qty]])/(Table13[[#This Row],[Operational_Time_min]]*60)</f>
        <v>0.47042705542183266</v>
      </c>
      <c r="U881">
        <f>Table13[[#This Row],[Good_Qty]]/Table13[[#This Row],[Actual_Qty]]</f>
        <v>0.99469026548672568</v>
      </c>
      <c r="V881" t="str">
        <f>IF(OR(Table13[[#This Row],[Performance_%]]&gt;=1,Table13[[#This Row],[Performance_%]]&lt;=0),"Error","OK")</f>
        <v>OK</v>
      </c>
      <c r="W881" t="str">
        <f>IF(OR(Table13[[#This Row],[Quality_%]]&gt;=1,Table13[[#This Row],[Quality_%]]&lt;=0),"Error","OK")</f>
        <v>OK</v>
      </c>
      <c r="X881">
        <f>Table13[[#This Row],[Performance_%]]*Table13[[#This Row],[Quality_%]]*[2]Availability_KPI!K881</f>
        <v>0.4579259259259259</v>
      </c>
      <c r="Y881" t="str">
        <f>IF(OR(Table13[[#This Row],[OEE_%]]&gt;1,Table13[[#This Row],[OEE_%]]&lt;0),"Error","OK")</f>
        <v>OK</v>
      </c>
    </row>
    <row r="882" spans="1:25" x14ac:dyDescent="0.2">
      <c r="A882" t="s">
        <v>1041</v>
      </c>
      <c r="B882" t="s">
        <v>1042</v>
      </c>
      <c r="C882" s="2">
        <v>46287</v>
      </c>
      <c r="D882" t="s">
        <v>67</v>
      </c>
      <c r="E882" t="s">
        <v>28</v>
      </c>
      <c r="F882" t="s">
        <v>29</v>
      </c>
      <c r="G882" t="s">
        <v>55</v>
      </c>
      <c r="H882">
        <v>628</v>
      </c>
      <c r="I882">
        <v>627</v>
      </c>
      <c r="J882">
        <v>1</v>
      </c>
      <c r="K882">
        <v>19.8</v>
      </c>
      <c r="L882">
        <v>19.8</v>
      </c>
      <c r="M882">
        <v>207.24</v>
      </c>
      <c r="N882">
        <f>_xlfn.XLOOKUP(Table13[[#This Row],[Production_Order_ID]],[1]Sheet1!$A$2:$A$391,[1]Sheet1!$F$2:$F$391,"No Match")</f>
        <v>520</v>
      </c>
      <c r="O882" s="3">
        <f>Table13[[#This Row],[Good_Qty]]/Table13[[#This Row],[Planned_Production]]</f>
        <v>1.2057692307692307</v>
      </c>
      <c r="P882" t="str">
        <f>IF(Table13[[#This Row],[Good_Qty]]&gt;=Table13[[#This Row],[Planned_Production]],"Met","Not Met")</f>
        <v>Met</v>
      </c>
      <c r="Q882">
        <f>Table13[[#This Row],[Good_Qty]]-Table13[[#This Row],[Planned_Production]]</f>
        <v>107</v>
      </c>
      <c r="R882" s="3">
        <f>IF(Table13[[#This Row],[Actual_Qty]]=0,0,Table13[[#This Row],[Reject_Qty]]/Table13[[#This Row],[Actual_Qty]])</f>
        <v>1.5923566878980893E-3</v>
      </c>
      <c r="S882">
        <v>442.54</v>
      </c>
      <c r="T882">
        <f>(Table13[[#This Row],[Ideal_Cycle_Time_sec]]*Table13[[#This Row],[Actual_Qty]])/(Table13[[#This Row],[Operational_Time_min]]*60)</f>
        <v>0.46829665115017849</v>
      </c>
      <c r="U882">
        <f>Table13[[#This Row],[Good_Qty]]/Table13[[#This Row],[Actual_Qty]]</f>
        <v>0.99840764331210186</v>
      </c>
      <c r="V882" t="str">
        <f>IF(OR(Table13[[#This Row],[Performance_%]]&gt;=1,Table13[[#This Row],[Performance_%]]&lt;=0),"Error","OK")</f>
        <v>OK</v>
      </c>
      <c r="W882" t="str">
        <f>IF(OR(Table13[[#This Row],[Quality_%]]&gt;=1,Table13[[#This Row],[Quality_%]]&lt;=0),"Error","OK")</f>
        <v>OK</v>
      </c>
      <c r="X882">
        <f>Table13[[#This Row],[Performance_%]]*Table13[[#This Row],[Quality_%]]*[2]Availability_KPI!K882</f>
        <v>0.45979999999999999</v>
      </c>
      <c r="Y882" t="str">
        <f>IF(OR(Table13[[#This Row],[OEE_%]]&gt;1,Table13[[#This Row],[OEE_%]]&lt;0),"Error","OK")</f>
        <v>OK</v>
      </c>
    </row>
    <row r="883" spans="1:25" x14ac:dyDescent="0.2">
      <c r="A883" t="s">
        <v>1043</v>
      </c>
      <c r="B883" t="s">
        <v>1042</v>
      </c>
      <c r="C883" s="2">
        <v>46287</v>
      </c>
      <c r="D883" t="s">
        <v>67</v>
      </c>
      <c r="E883" t="s">
        <v>32</v>
      </c>
      <c r="F883" t="s">
        <v>29</v>
      </c>
      <c r="G883" t="s">
        <v>57</v>
      </c>
      <c r="H883">
        <v>648</v>
      </c>
      <c r="I883">
        <v>644</v>
      </c>
      <c r="J883">
        <v>4</v>
      </c>
      <c r="K883">
        <v>22</v>
      </c>
      <c r="L883">
        <v>23.02</v>
      </c>
      <c r="M883">
        <v>248.65</v>
      </c>
      <c r="N883">
        <f>_xlfn.XLOOKUP(Table13[[#This Row],[Production_Order_ID]],[1]Sheet1!$A$2:$A$391,[1]Sheet1!$F$2:$F$391,"No Match")</f>
        <v>520</v>
      </c>
      <c r="O883" s="3">
        <f>Table13[[#This Row],[Good_Qty]]/Table13[[#This Row],[Planned_Production]]</f>
        <v>1.2384615384615385</v>
      </c>
      <c r="P883" t="str">
        <f>IF(Table13[[#This Row],[Good_Qty]]&gt;=Table13[[#This Row],[Planned_Production]],"Met","Not Met")</f>
        <v>Met</v>
      </c>
      <c r="Q883">
        <f>Table13[[#This Row],[Good_Qty]]-Table13[[#This Row],[Planned_Production]]</f>
        <v>124</v>
      </c>
      <c r="R883" s="3">
        <f>IF(Table13[[#This Row],[Actual_Qty]]=0,0,Table13[[#This Row],[Reject_Qty]]/Table13[[#This Row],[Actual_Qty]])</f>
        <v>6.1728395061728392E-3</v>
      </c>
      <c r="S883">
        <v>436.2</v>
      </c>
      <c r="T883">
        <f>(Table13[[#This Row],[Ideal_Cycle_Time_sec]]*Table13[[#This Row],[Actual_Qty]])/(Table13[[#This Row],[Operational_Time_min]]*60)</f>
        <v>0.54470426409903716</v>
      </c>
      <c r="U883">
        <f>Table13[[#This Row],[Good_Qty]]/Table13[[#This Row],[Actual_Qty]]</f>
        <v>0.99382716049382713</v>
      </c>
      <c r="V883" t="str">
        <f>IF(OR(Table13[[#This Row],[Performance_%]]&gt;=1,Table13[[#This Row],[Performance_%]]&lt;=0),"Error","OK")</f>
        <v>OK</v>
      </c>
      <c r="W883" t="str">
        <f>IF(OR(Table13[[#This Row],[Quality_%]]&gt;=1,Table13[[#This Row],[Quality_%]]&lt;=0),"Error","OK")</f>
        <v>OK</v>
      </c>
      <c r="X883">
        <f>Table13[[#This Row],[Performance_%]]*Table13[[#This Row],[Quality_%]]*[2]Availability_KPI!K883</f>
        <v>0.52474074074074062</v>
      </c>
      <c r="Y883" t="str">
        <f>IF(OR(Table13[[#This Row],[OEE_%]]&gt;1,Table13[[#This Row],[OEE_%]]&lt;0),"Error","OK")</f>
        <v>OK</v>
      </c>
    </row>
    <row r="884" spans="1:25" x14ac:dyDescent="0.2">
      <c r="A884" t="s">
        <v>1044</v>
      </c>
      <c r="B884" t="s">
        <v>1042</v>
      </c>
      <c r="C884" s="2">
        <v>46287</v>
      </c>
      <c r="D884" t="s">
        <v>67</v>
      </c>
      <c r="E884" t="s">
        <v>35</v>
      </c>
      <c r="F884" t="s">
        <v>29</v>
      </c>
      <c r="G884" t="s">
        <v>57</v>
      </c>
      <c r="H884">
        <v>619</v>
      </c>
      <c r="I884">
        <v>616</v>
      </c>
      <c r="J884">
        <v>3</v>
      </c>
      <c r="K884">
        <v>24.2</v>
      </c>
      <c r="L884">
        <v>24.47</v>
      </c>
      <c r="M884">
        <v>252.43</v>
      </c>
      <c r="N884">
        <f>_xlfn.XLOOKUP(Table13[[#This Row],[Production_Order_ID]],[1]Sheet1!$A$2:$A$391,[1]Sheet1!$F$2:$F$391,"No Match")</f>
        <v>520</v>
      </c>
      <c r="O884" s="3">
        <f>Table13[[#This Row],[Good_Qty]]/Table13[[#This Row],[Planned_Production]]</f>
        <v>1.1846153846153846</v>
      </c>
      <c r="P884" t="str">
        <f>IF(Table13[[#This Row],[Good_Qty]]&gt;=Table13[[#This Row],[Planned_Production]],"Met","Not Met")</f>
        <v>Met</v>
      </c>
      <c r="Q884">
        <f>Table13[[#This Row],[Good_Qty]]-Table13[[#This Row],[Planned_Production]]</f>
        <v>96</v>
      </c>
      <c r="R884" s="3">
        <f>IF(Table13[[#This Row],[Actual_Qty]]=0,0,Table13[[#This Row],[Reject_Qty]]/Table13[[#This Row],[Actual_Qty]])</f>
        <v>4.8465266558966073E-3</v>
      </c>
      <c r="S884">
        <v>432.41</v>
      </c>
      <c r="T884">
        <f>(Table13[[#This Row],[Ideal_Cycle_Time_sec]]*Table13[[#This Row],[Actual_Qty]])/(Table13[[#This Row],[Operational_Time_min]]*60)</f>
        <v>0.57737640973458826</v>
      </c>
      <c r="U884">
        <f>Table13[[#This Row],[Good_Qty]]/Table13[[#This Row],[Actual_Qty]]</f>
        <v>0.99515347334410342</v>
      </c>
      <c r="V884" t="str">
        <f>IF(OR(Table13[[#This Row],[Performance_%]]&gt;=1,Table13[[#This Row],[Performance_%]]&lt;=0),"Error","OK")</f>
        <v>OK</v>
      </c>
      <c r="W884" t="str">
        <f>IF(OR(Table13[[#This Row],[Quality_%]]&gt;=1,Table13[[#This Row],[Quality_%]]&lt;=0),"Error","OK")</f>
        <v>OK</v>
      </c>
      <c r="X884">
        <f>Table13[[#This Row],[Performance_%]]*Table13[[#This Row],[Quality_%]]*[2]Availability_KPI!K884</f>
        <v>0.55211851851851845</v>
      </c>
      <c r="Y884" t="str">
        <f>IF(OR(Table13[[#This Row],[OEE_%]]&gt;1,Table13[[#This Row],[OEE_%]]&lt;0),"Error","OK")</f>
        <v>OK</v>
      </c>
    </row>
    <row r="885" spans="1:25" x14ac:dyDescent="0.2">
      <c r="A885" t="s">
        <v>1045</v>
      </c>
      <c r="B885" t="s">
        <v>1042</v>
      </c>
      <c r="C885" s="2">
        <v>46287</v>
      </c>
      <c r="D885" t="s">
        <v>67</v>
      </c>
      <c r="E885" t="s">
        <v>38</v>
      </c>
      <c r="F885" t="s">
        <v>29</v>
      </c>
      <c r="G885" t="s">
        <v>33</v>
      </c>
      <c r="H885">
        <v>628</v>
      </c>
      <c r="I885">
        <v>625</v>
      </c>
      <c r="J885">
        <v>3</v>
      </c>
      <c r="K885">
        <v>22</v>
      </c>
      <c r="L885">
        <v>22.61</v>
      </c>
      <c r="M885">
        <v>236.63</v>
      </c>
      <c r="N885">
        <f>_xlfn.XLOOKUP(Table13[[#This Row],[Production_Order_ID]],[1]Sheet1!$A$2:$A$391,[1]Sheet1!$F$2:$F$391,"No Match")</f>
        <v>520</v>
      </c>
      <c r="O885" s="3">
        <f>Table13[[#This Row],[Good_Qty]]/Table13[[#This Row],[Planned_Production]]</f>
        <v>1.2019230769230769</v>
      </c>
      <c r="P885" t="str">
        <f>IF(Table13[[#This Row],[Good_Qty]]&gt;=Table13[[#This Row],[Planned_Production]],"Met","Not Met")</f>
        <v>Met</v>
      </c>
      <c r="Q885">
        <f>Table13[[#This Row],[Good_Qty]]-Table13[[#This Row],[Planned_Production]]</f>
        <v>105</v>
      </c>
      <c r="R885" s="3">
        <f>IF(Table13[[#This Row],[Actual_Qty]]=0,0,Table13[[#This Row],[Reject_Qty]]/Table13[[#This Row],[Actual_Qty]])</f>
        <v>4.7770700636942673E-3</v>
      </c>
      <c r="S885">
        <v>439.78</v>
      </c>
      <c r="T885">
        <f>(Table13[[#This Row],[Ideal_Cycle_Time_sec]]*Table13[[#This Row],[Actual_Qty]])/(Table13[[#This Row],[Operational_Time_min]]*60)</f>
        <v>0.52359513089878273</v>
      </c>
      <c r="U885">
        <f>Table13[[#This Row],[Good_Qty]]/Table13[[#This Row],[Actual_Qty]]</f>
        <v>0.99522292993630568</v>
      </c>
      <c r="V885" t="str">
        <f>IF(OR(Table13[[#This Row],[Performance_%]]&gt;=1,Table13[[#This Row],[Performance_%]]&lt;=0),"Error","OK")</f>
        <v>OK</v>
      </c>
      <c r="W885" t="str">
        <f>IF(OR(Table13[[#This Row],[Quality_%]]&gt;=1,Table13[[#This Row],[Quality_%]]&lt;=0),"Error","OK")</f>
        <v>OK</v>
      </c>
      <c r="X885">
        <f>Table13[[#This Row],[Performance_%]]*Table13[[#This Row],[Quality_%]]*[2]Availability_KPI!K885</f>
        <v>0.50925925925925919</v>
      </c>
      <c r="Y885" t="str">
        <f>IF(OR(Table13[[#This Row],[OEE_%]]&gt;1,Table13[[#This Row],[OEE_%]]&lt;0),"Error","OK")</f>
        <v>OK</v>
      </c>
    </row>
    <row r="886" spans="1:25" x14ac:dyDescent="0.2">
      <c r="A886" t="s">
        <v>1046</v>
      </c>
      <c r="B886" t="s">
        <v>1042</v>
      </c>
      <c r="C886" s="2">
        <v>46287</v>
      </c>
      <c r="D886" t="s">
        <v>67</v>
      </c>
      <c r="E886" t="s">
        <v>41</v>
      </c>
      <c r="F886" t="s">
        <v>29</v>
      </c>
      <c r="G886" t="s">
        <v>36</v>
      </c>
      <c r="H886">
        <v>635</v>
      </c>
      <c r="I886">
        <v>632</v>
      </c>
      <c r="J886">
        <v>3</v>
      </c>
      <c r="K886">
        <v>19.8</v>
      </c>
      <c r="L886">
        <v>21.09</v>
      </c>
      <c r="M886">
        <v>223.24</v>
      </c>
      <c r="N886">
        <f>_xlfn.XLOOKUP(Table13[[#This Row],[Production_Order_ID]],[1]Sheet1!$A$2:$A$391,[1]Sheet1!$F$2:$F$391,"No Match")</f>
        <v>520</v>
      </c>
      <c r="O886" s="3">
        <f>Table13[[#This Row],[Good_Qty]]/Table13[[#This Row],[Planned_Production]]</f>
        <v>1.2153846153846153</v>
      </c>
      <c r="P886" t="str">
        <f>IF(Table13[[#This Row],[Good_Qty]]&gt;=Table13[[#This Row],[Planned_Production]],"Met","Not Met")</f>
        <v>Met</v>
      </c>
      <c r="Q886">
        <f>Table13[[#This Row],[Good_Qty]]-Table13[[#This Row],[Planned_Production]]</f>
        <v>112</v>
      </c>
      <c r="R886" s="3">
        <f>IF(Table13[[#This Row],[Actual_Qty]]=0,0,Table13[[#This Row],[Reject_Qty]]/Table13[[#This Row],[Actual_Qty]])</f>
        <v>4.7244094488188976E-3</v>
      </c>
      <c r="S886">
        <v>438.17</v>
      </c>
      <c r="T886">
        <f>(Table13[[#This Row],[Ideal_Cycle_Time_sec]]*Table13[[#This Row],[Actual_Qty]])/(Table13[[#This Row],[Operational_Time_min]]*60)</f>
        <v>0.47823903964214803</v>
      </c>
      <c r="U886">
        <f>Table13[[#This Row],[Good_Qty]]/Table13[[#This Row],[Actual_Qty]]</f>
        <v>0.99527559055118109</v>
      </c>
      <c r="V886" t="str">
        <f>IF(OR(Table13[[#This Row],[Performance_%]]&gt;=1,Table13[[#This Row],[Performance_%]]&lt;=0),"Error","OK")</f>
        <v>OK</v>
      </c>
      <c r="W886" t="str">
        <f>IF(OR(Table13[[#This Row],[Quality_%]]&gt;=1,Table13[[#This Row],[Quality_%]]&lt;=0),"Error","OK")</f>
        <v>OK</v>
      </c>
      <c r="X886">
        <f>Table13[[#This Row],[Performance_%]]*Table13[[#This Row],[Quality_%]]*[2]Availability_KPI!K886</f>
        <v>0.46346666666666669</v>
      </c>
      <c r="Y886" t="str">
        <f>IF(OR(Table13[[#This Row],[OEE_%]]&gt;1,Table13[[#This Row],[OEE_%]]&lt;0),"Error","OK")</f>
        <v>OK</v>
      </c>
    </row>
    <row r="887" spans="1:25" x14ac:dyDescent="0.2">
      <c r="A887" t="s">
        <v>1047</v>
      </c>
      <c r="B887" t="s">
        <v>1042</v>
      </c>
      <c r="C887" s="2">
        <v>46287</v>
      </c>
      <c r="D887" t="s">
        <v>67</v>
      </c>
      <c r="E887" t="s">
        <v>43</v>
      </c>
      <c r="F887" t="s">
        <v>29</v>
      </c>
      <c r="G887" t="s">
        <v>36</v>
      </c>
      <c r="H887">
        <v>635</v>
      </c>
      <c r="I887">
        <v>625</v>
      </c>
      <c r="J887">
        <v>10</v>
      </c>
      <c r="K887">
        <v>35.200000000000003</v>
      </c>
      <c r="L887">
        <v>38.44</v>
      </c>
      <c r="M887">
        <v>406.83</v>
      </c>
      <c r="N887">
        <f>_xlfn.XLOOKUP(Table13[[#This Row],[Production_Order_ID]],[1]Sheet1!$A$2:$A$391,[1]Sheet1!$F$2:$F$391,"No Match")</f>
        <v>520</v>
      </c>
      <c r="O887" s="3">
        <f>Table13[[#This Row],[Good_Qty]]/Table13[[#This Row],[Planned_Production]]</f>
        <v>1.2019230769230769</v>
      </c>
      <c r="P887" t="str">
        <f>IF(Table13[[#This Row],[Good_Qty]]&gt;=Table13[[#This Row],[Planned_Production]],"Met","Not Met")</f>
        <v>Met</v>
      </c>
      <c r="Q887">
        <f>Table13[[#This Row],[Good_Qty]]-Table13[[#This Row],[Planned_Production]]</f>
        <v>105</v>
      </c>
      <c r="R887" s="3">
        <f>IF(Table13[[#This Row],[Actual_Qty]]=0,0,Table13[[#This Row],[Reject_Qty]]/Table13[[#This Row],[Actual_Qty]])</f>
        <v>1.5748031496062992E-2</v>
      </c>
      <c r="S887">
        <v>413.51</v>
      </c>
      <c r="T887">
        <f>(Table13[[#This Row],[Ideal_Cycle_Time_sec]]*Table13[[#This Row],[Actual_Qty]])/(Table13[[#This Row],[Operational_Time_min]]*60)</f>
        <v>0.900905258236399</v>
      </c>
      <c r="U887">
        <f>Table13[[#This Row],[Good_Qty]]/Table13[[#This Row],[Actual_Qty]]</f>
        <v>0.98425196850393704</v>
      </c>
      <c r="V887" t="str">
        <f>IF(OR(Table13[[#This Row],[Performance_%]]&gt;=1,Table13[[#This Row],[Performance_%]]&lt;=0),"Error","OK")</f>
        <v>OK</v>
      </c>
      <c r="W887" t="str">
        <f>IF(OR(Table13[[#This Row],[Quality_%]]&gt;=1,Table13[[#This Row],[Quality_%]]&lt;=0),"Error","OK")</f>
        <v>OK</v>
      </c>
      <c r="X887">
        <f>Table13[[#This Row],[Performance_%]]*Table13[[#This Row],[Quality_%]]*[2]Availability_KPI!K887</f>
        <v>0.81481481481481488</v>
      </c>
      <c r="Y887" t="str">
        <f>IF(OR(Table13[[#This Row],[OEE_%]]&gt;1,Table13[[#This Row],[OEE_%]]&lt;0),"Error","OK")</f>
        <v>OK</v>
      </c>
    </row>
    <row r="888" spans="1:25" x14ac:dyDescent="0.2">
      <c r="A888" t="s">
        <v>1048</v>
      </c>
      <c r="B888" t="s">
        <v>1042</v>
      </c>
      <c r="C888" s="2">
        <v>46287</v>
      </c>
      <c r="D888" t="s">
        <v>67</v>
      </c>
      <c r="E888" t="s">
        <v>46</v>
      </c>
      <c r="F888" t="s">
        <v>29</v>
      </c>
      <c r="G888" t="s">
        <v>55</v>
      </c>
      <c r="H888">
        <v>628</v>
      </c>
      <c r="I888">
        <v>623</v>
      </c>
      <c r="J888">
        <v>5</v>
      </c>
      <c r="K888">
        <v>27.5</v>
      </c>
      <c r="L888">
        <v>27.71</v>
      </c>
      <c r="M888">
        <v>290.02</v>
      </c>
      <c r="N888">
        <f>_xlfn.XLOOKUP(Table13[[#This Row],[Production_Order_ID]],[1]Sheet1!$A$2:$A$391,[1]Sheet1!$F$2:$F$391,"No Match")</f>
        <v>520</v>
      </c>
      <c r="O888" s="3">
        <f>Table13[[#This Row],[Good_Qty]]/Table13[[#This Row],[Planned_Production]]</f>
        <v>1.198076923076923</v>
      </c>
      <c r="P888" t="str">
        <f>IF(Table13[[#This Row],[Good_Qty]]&gt;=Table13[[#This Row],[Planned_Production]],"Met","Not Met")</f>
        <v>Met</v>
      </c>
      <c r="Q888">
        <f>Table13[[#This Row],[Good_Qty]]-Table13[[#This Row],[Planned_Production]]</f>
        <v>103</v>
      </c>
      <c r="R888" s="3">
        <f>IF(Table13[[#This Row],[Actual_Qty]]=0,0,Table13[[#This Row],[Reject_Qty]]/Table13[[#This Row],[Actual_Qty]])</f>
        <v>7.9617834394904458E-3</v>
      </c>
      <c r="S888">
        <v>432.41</v>
      </c>
      <c r="T888">
        <f>(Table13[[#This Row],[Ideal_Cycle_Time_sec]]*Table13[[#This Row],[Actual_Qty]])/(Table13[[#This Row],[Operational_Time_min]]*60)</f>
        <v>0.66564911388111581</v>
      </c>
      <c r="U888">
        <f>Table13[[#This Row],[Good_Qty]]/Table13[[#This Row],[Actual_Qty]]</f>
        <v>0.9920382165605095</v>
      </c>
      <c r="V888" t="str">
        <f>IF(OR(Table13[[#This Row],[Performance_%]]&gt;=1,Table13[[#This Row],[Performance_%]]&lt;=0),"Error","OK")</f>
        <v>OK</v>
      </c>
      <c r="W888" t="str">
        <f>IF(OR(Table13[[#This Row],[Quality_%]]&gt;=1,Table13[[#This Row],[Quality_%]]&lt;=0),"Error","OK")</f>
        <v>OK</v>
      </c>
      <c r="X888">
        <f>Table13[[#This Row],[Performance_%]]*Table13[[#This Row],[Quality_%]]*[2]Availability_KPI!K888</f>
        <v>0.63453703703703701</v>
      </c>
      <c r="Y888" t="str">
        <f>IF(OR(Table13[[#This Row],[OEE_%]]&gt;1,Table13[[#This Row],[OEE_%]]&lt;0),"Error","OK")</f>
        <v>OK</v>
      </c>
    </row>
    <row r="889" spans="1:25" x14ac:dyDescent="0.2">
      <c r="A889" t="s">
        <v>1049</v>
      </c>
      <c r="B889" t="s">
        <v>1042</v>
      </c>
      <c r="C889" s="2">
        <v>46287</v>
      </c>
      <c r="D889" t="s">
        <v>67</v>
      </c>
      <c r="E889" t="s">
        <v>49</v>
      </c>
      <c r="F889" t="s">
        <v>29</v>
      </c>
      <c r="G889" t="s">
        <v>47</v>
      </c>
      <c r="H889">
        <v>641</v>
      </c>
      <c r="I889">
        <v>639</v>
      </c>
      <c r="J889">
        <v>2</v>
      </c>
      <c r="K889">
        <v>22</v>
      </c>
      <c r="L889">
        <v>22.91</v>
      </c>
      <c r="M889">
        <v>244.71</v>
      </c>
      <c r="N889">
        <f>_xlfn.XLOOKUP(Table13[[#This Row],[Production_Order_ID]],[1]Sheet1!$A$2:$A$391,[1]Sheet1!$F$2:$F$391,"No Match")</f>
        <v>520</v>
      </c>
      <c r="O889" s="3">
        <f>Table13[[#This Row],[Good_Qty]]/Table13[[#This Row],[Planned_Production]]</f>
        <v>1.2288461538461539</v>
      </c>
      <c r="P889" t="str">
        <f>IF(Table13[[#This Row],[Good_Qty]]&gt;=Table13[[#This Row],[Planned_Production]],"Met","Not Met")</f>
        <v>Met</v>
      </c>
      <c r="Q889">
        <f>Table13[[#This Row],[Good_Qty]]-Table13[[#This Row],[Planned_Production]]</f>
        <v>119</v>
      </c>
      <c r="R889" s="3">
        <f>IF(Table13[[#This Row],[Actual_Qty]]=0,0,Table13[[#This Row],[Reject_Qty]]/Table13[[#This Row],[Actual_Qty]])</f>
        <v>3.1201248049921998E-3</v>
      </c>
      <c r="S889">
        <v>439.69</v>
      </c>
      <c r="T889">
        <f>(Table13[[#This Row],[Ideal_Cycle_Time_sec]]*Table13[[#This Row],[Actual_Qty]])/(Table13[[#This Row],[Operational_Time_min]]*60)</f>
        <v>0.53454327670252522</v>
      </c>
      <c r="U889">
        <f>Table13[[#This Row],[Good_Qty]]/Table13[[#This Row],[Actual_Qty]]</f>
        <v>0.99687987519500776</v>
      </c>
      <c r="V889" t="str">
        <f>IF(OR(Table13[[#This Row],[Performance_%]]&gt;=1,Table13[[#This Row],[Performance_%]]&lt;=0),"Error","OK")</f>
        <v>OK</v>
      </c>
      <c r="W889" t="str">
        <f>IF(OR(Table13[[#This Row],[Quality_%]]&gt;=1,Table13[[#This Row],[Quality_%]]&lt;=0),"Error","OK")</f>
        <v>OK</v>
      </c>
      <c r="X889">
        <f>Table13[[#This Row],[Performance_%]]*Table13[[#This Row],[Quality_%]]*[2]Availability_KPI!K889</f>
        <v>0.52066666666666661</v>
      </c>
      <c r="Y889" t="str">
        <f>IF(OR(Table13[[#This Row],[OEE_%]]&gt;1,Table13[[#This Row],[OEE_%]]&lt;0),"Error","OK")</f>
        <v>OK</v>
      </c>
    </row>
    <row r="890" spans="1:25" x14ac:dyDescent="0.2">
      <c r="A890" t="s">
        <v>1050</v>
      </c>
      <c r="B890" t="s">
        <v>1051</v>
      </c>
      <c r="C890" s="2">
        <v>46288</v>
      </c>
      <c r="D890" t="s">
        <v>27</v>
      </c>
      <c r="E890" t="s">
        <v>28</v>
      </c>
      <c r="F890" t="s">
        <v>54</v>
      </c>
      <c r="G890" t="s">
        <v>39</v>
      </c>
      <c r="H890">
        <v>658</v>
      </c>
      <c r="I890">
        <v>655</v>
      </c>
      <c r="J890">
        <v>3</v>
      </c>
      <c r="K890">
        <v>18</v>
      </c>
      <c r="L890">
        <v>18.399999999999999</v>
      </c>
      <c r="M890">
        <v>201.84</v>
      </c>
      <c r="N890">
        <f>_xlfn.XLOOKUP(Table13[[#This Row],[Production_Order_ID]],[1]Sheet1!$A$2:$A$391,[1]Sheet1!$F$2:$F$391,"No Match")</f>
        <v>460</v>
      </c>
      <c r="O890" s="3">
        <f>Table13[[#This Row],[Good_Qty]]/Table13[[#This Row],[Planned_Production]]</f>
        <v>1.423913043478261</v>
      </c>
      <c r="P890" t="str">
        <f>IF(Table13[[#This Row],[Good_Qty]]&gt;=Table13[[#This Row],[Planned_Production]],"Met","Not Met")</f>
        <v>Met</v>
      </c>
      <c r="Q890">
        <f>Table13[[#This Row],[Good_Qty]]-Table13[[#This Row],[Planned_Production]]</f>
        <v>195</v>
      </c>
      <c r="R890" s="3">
        <f>IF(Table13[[#This Row],[Actual_Qty]]=0,0,Table13[[#This Row],[Reject_Qty]]/Table13[[#This Row],[Actual_Qty]])</f>
        <v>4.559270516717325E-3</v>
      </c>
      <c r="S890">
        <v>441.98</v>
      </c>
      <c r="T890">
        <f>(Table13[[#This Row],[Ideal_Cycle_Time_sec]]*Table13[[#This Row],[Actual_Qty]])/(Table13[[#This Row],[Operational_Time_min]]*60)</f>
        <v>0.44662654418751974</v>
      </c>
      <c r="U890">
        <f>Table13[[#This Row],[Good_Qty]]/Table13[[#This Row],[Actual_Qty]]</f>
        <v>0.99544072948328266</v>
      </c>
      <c r="V890" t="str">
        <f>IF(OR(Table13[[#This Row],[Performance_%]]&gt;=1,Table13[[#This Row],[Performance_%]]&lt;=0),"Error","OK")</f>
        <v>OK</v>
      </c>
      <c r="W890" t="str">
        <f>IF(OR(Table13[[#This Row],[Quality_%]]&gt;=1,Table13[[#This Row],[Quality_%]]&lt;=0),"Error","OK")</f>
        <v>OK</v>
      </c>
      <c r="X890">
        <f>Table13[[#This Row],[Performance_%]]*Table13[[#This Row],[Quality_%]]*[2]Availability_KPI!K890</f>
        <v>0.43666666666666659</v>
      </c>
      <c r="Y890" t="str">
        <f>IF(OR(Table13[[#This Row],[OEE_%]]&gt;1,Table13[[#This Row],[OEE_%]]&lt;0),"Error","OK")</f>
        <v>OK</v>
      </c>
    </row>
    <row r="891" spans="1:25" x14ac:dyDescent="0.2">
      <c r="A891" t="s">
        <v>1052</v>
      </c>
      <c r="B891" t="s">
        <v>1051</v>
      </c>
      <c r="C891" s="2">
        <v>46288</v>
      </c>
      <c r="D891" t="s">
        <v>27</v>
      </c>
      <c r="E891" t="s">
        <v>32</v>
      </c>
      <c r="F891" t="s">
        <v>54</v>
      </c>
      <c r="G891" t="s">
        <v>44</v>
      </c>
      <c r="H891">
        <v>665</v>
      </c>
      <c r="I891">
        <v>657</v>
      </c>
      <c r="J891">
        <v>8</v>
      </c>
      <c r="K891">
        <v>20</v>
      </c>
      <c r="L891">
        <v>21.35</v>
      </c>
      <c r="M891">
        <v>236.65</v>
      </c>
      <c r="N891">
        <f>_xlfn.XLOOKUP(Table13[[#This Row],[Production_Order_ID]],[1]Sheet1!$A$2:$A$391,[1]Sheet1!$F$2:$F$391,"No Match")</f>
        <v>460</v>
      </c>
      <c r="O891" s="3">
        <f>Table13[[#This Row],[Good_Qty]]/Table13[[#This Row],[Planned_Production]]</f>
        <v>1.4282608695652175</v>
      </c>
      <c r="P891" t="str">
        <f>IF(Table13[[#This Row],[Good_Qty]]&gt;=Table13[[#This Row],[Planned_Production]],"Met","Not Met")</f>
        <v>Met</v>
      </c>
      <c r="Q891">
        <f>Table13[[#This Row],[Good_Qty]]-Table13[[#This Row],[Planned_Production]]</f>
        <v>197</v>
      </c>
      <c r="R891" s="3">
        <f>IF(Table13[[#This Row],[Actual_Qty]]=0,0,Table13[[#This Row],[Reject_Qty]]/Table13[[#This Row],[Actual_Qty]])</f>
        <v>1.2030075187969926E-2</v>
      </c>
      <c r="S891">
        <v>434.56</v>
      </c>
      <c r="T891">
        <f>(Table13[[#This Row],[Ideal_Cycle_Time_sec]]*Table13[[#This Row],[Actual_Qty]])/(Table13[[#This Row],[Operational_Time_min]]*60)</f>
        <v>0.51009450171821313</v>
      </c>
      <c r="U891">
        <f>Table13[[#This Row],[Good_Qty]]/Table13[[#This Row],[Actual_Qty]]</f>
        <v>0.98796992481203005</v>
      </c>
      <c r="V891" t="str">
        <f>IF(OR(Table13[[#This Row],[Performance_%]]&gt;=1,Table13[[#This Row],[Performance_%]]&lt;=0),"Error","OK")</f>
        <v>OK</v>
      </c>
      <c r="W891" t="str">
        <f>IF(OR(Table13[[#This Row],[Quality_%]]&gt;=1,Table13[[#This Row],[Quality_%]]&lt;=0),"Error","OK")</f>
        <v>OK</v>
      </c>
      <c r="X891">
        <f>Table13[[#This Row],[Performance_%]]*Table13[[#This Row],[Quality_%]]*[2]Availability_KPI!K891</f>
        <v>0.4866666666666668</v>
      </c>
      <c r="Y891" t="str">
        <f>IF(OR(Table13[[#This Row],[OEE_%]]&gt;1,Table13[[#This Row],[OEE_%]]&lt;0),"Error","OK")</f>
        <v>OK</v>
      </c>
    </row>
    <row r="892" spans="1:25" x14ac:dyDescent="0.2">
      <c r="A892" t="s">
        <v>1053</v>
      </c>
      <c r="B892" t="s">
        <v>1051</v>
      </c>
      <c r="C892" s="2">
        <v>46288</v>
      </c>
      <c r="D892" t="s">
        <v>27</v>
      </c>
      <c r="E892" t="s">
        <v>35</v>
      </c>
      <c r="F892" t="s">
        <v>54</v>
      </c>
      <c r="G892" t="s">
        <v>57</v>
      </c>
      <c r="H892">
        <v>664</v>
      </c>
      <c r="I892">
        <v>657</v>
      </c>
      <c r="J892">
        <v>7</v>
      </c>
      <c r="K892">
        <v>22</v>
      </c>
      <c r="L892">
        <v>23.13</v>
      </c>
      <c r="M892">
        <v>255.98</v>
      </c>
      <c r="N892">
        <f>_xlfn.XLOOKUP(Table13[[#This Row],[Production_Order_ID]],[1]Sheet1!$A$2:$A$391,[1]Sheet1!$F$2:$F$391,"No Match")</f>
        <v>460</v>
      </c>
      <c r="O892" s="3">
        <f>Table13[[#This Row],[Good_Qty]]/Table13[[#This Row],[Planned_Production]]</f>
        <v>1.4282608695652175</v>
      </c>
      <c r="P892" t="str">
        <f>IF(Table13[[#This Row],[Good_Qty]]&gt;=Table13[[#This Row],[Planned_Production]],"Met","Not Met")</f>
        <v>Met</v>
      </c>
      <c r="Q892">
        <f>Table13[[#This Row],[Good_Qty]]-Table13[[#This Row],[Planned_Production]]</f>
        <v>197</v>
      </c>
      <c r="R892" s="3">
        <f>IF(Table13[[#This Row],[Actual_Qty]]=0,0,Table13[[#This Row],[Reject_Qty]]/Table13[[#This Row],[Actual_Qty]])</f>
        <v>1.0542168674698794E-2</v>
      </c>
      <c r="S892">
        <v>432.58</v>
      </c>
      <c r="T892">
        <f>(Table13[[#This Row],[Ideal_Cycle_Time_sec]]*Table13[[#This Row],[Actual_Qty]])/(Table13[[#This Row],[Operational_Time_min]]*60)</f>
        <v>0.56282460277097113</v>
      </c>
      <c r="U892">
        <f>Table13[[#This Row],[Good_Qty]]/Table13[[#This Row],[Actual_Qty]]</f>
        <v>0.98945783132530118</v>
      </c>
      <c r="V892" t="str">
        <f>IF(OR(Table13[[#This Row],[Performance_%]]&gt;=1,Table13[[#This Row],[Performance_%]]&lt;=0),"Error","OK")</f>
        <v>OK</v>
      </c>
      <c r="W892" t="str">
        <f>IF(OR(Table13[[#This Row],[Quality_%]]&gt;=1,Table13[[#This Row],[Quality_%]]&lt;=0),"Error","OK")</f>
        <v>OK</v>
      </c>
      <c r="X892">
        <f>Table13[[#This Row],[Performance_%]]*Table13[[#This Row],[Quality_%]]*[2]Availability_KPI!K892</f>
        <v>0.53533333333333333</v>
      </c>
      <c r="Y892" t="str">
        <f>IF(OR(Table13[[#This Row],[OEE_%]]&gt;1,Table13[[#This Row],[OEE_%]]&lt;0),"Error","OK")</f>
        <v>OK</v>
      </c>
    </row>
    <row r="893" spans="1:25" x14ac:dyDescent="0.2">
      <c r="A893" t="s">
        <v>1054</v>
      </c>
      <c r="B893" t="s">
        <v>1051</v>
      </c>
      <c r="C893" s="2">
        <v>46288</v>
      </c>
      <c r="D893" t="s">
        <v>27</v>
      </c>
      <c r="E893" t="s">
        <v>38</v>
      </c>
      <c r="F893" t="s">
        <v>54</v>
      </c>
      <c r="G893" t="s">
        <v>39</v>
      </c>
      <c r="H893">
        <v>668</v>
      </c>
      <c r="I893">
        <v>665</v>
      </c>
      <c r="J893">
        <v>3</v>
      </c>
      <c r="K893">
        <v>20</v>
      </c>
      <c r="L893">
        <v>20.329999999999998</v>
      </c>
      <c r="M893">
        <v>226.35</v>
      </c>
      <c r="N893">
        <f>_xlfn.XLOOKUP(Table13[[#This Row],[Production_Order_ID]],[1]Sheet1!$A$2:$A$391,[1]Sheet1!$F$2:$F$391,"No Match")</f>
        <v>460</v>
      </c>
      <c r="O893" s="3">
        <f>Table13[[#This Row],[Good_Qty]]/Table13[[#This Row],[Planned_Production]]</f>
        <v>1.4456521739130435</v>
      </c>
      <c r="P893" t="str">
        <f>IF(Table13[[#This Row],[Good_Qty]]&gt;=Table13[[#This Row],[Planned_Production]],"Met","Not Met")</f>
        <v>Met</v>
      </c>
      <c r="Q893">
        <f>Table13[[#This Row],[Good_Qty]]-Table13[[#This Row],[Planned_Production]]</f>
        <v>205</v>
      </c>
      <c r="R893" s="3">
        <f>IF(Table13[[#This Row],[Actual_Qty]]=0,0,Table13[[#This Row],[Reject_Qty]]/Table13[[#This Row],[Actual_Qty]])</f>
        <v>4.4910179640718561E-3</v>
      </c>
      <c r="S893">
        <v>441.04</v>
      </c>
      <c r="T893">
        <f>(Table13[[#This Row],[Ideal_Cycle_Time_sec]]*Table13[[#This Row],[Actual_Qty]])/(Table13[[#This Row],[Operational_Time_min]]*60)</f>
        <v>0.50486728339077325</v>
      </c>
      <c r="U893">
        <f>Table13[[#This Row],[Good_Qty]]/Table13[[#This Row],[Actual_Qty]]</f>
        <v>0.99550898203592819</v>
      </c>
      <c r="V893" t="str">
        <f>IF(OR(Table13[[#This Row],[Performance_%]]&gt;=1,Table13[[#This Row],[Performance_%]]&lt;=0),"Error","OK")</f>
        <v>OK</v>
      </c>
      <c r="W893" t="str">
        <f>IF(OR(Table13[[#This Row],[Quality_%]]&gt;=1,Table13[[#This Row],[Quality_%]]&lt;=0),"Error","OK")</f>
        <v>OK</v>
      </c>
      <c r="X893">
        <f>Table13[[#This Row],[Performance_%]]*Table13[[#This Row],[Quality_%]]*[2]Availability_KPI!K893</f>
        <v>0.49259259259259258</v>
      </c>
      <c r="Y893" t="str">
        <f>IF(OR(Table13[[#This Row],[OEE_%]]&gt;1,Table13[[#This Row],[OEE_%]]&lt;0),"Error","OK")</f>
        <v>OK</v>
      </c>
    </row>
    <row r="894" spans="1:25" x14ac:dyDescent="0.2">
      <c r="A894" t="s">
        <v>1055</v>
      </c>
      <c r="B894" t="s">
        <v>1051</v>
      </c>
      <c r="C894" s="2">
        <v>46288</v>
      </c>
      <c r="D894" t="s">
        <v>27</v>
      </c>
      <c r="E894" t="s">
        <v>41</v>
      </c>
      <c r="F894" t="s">
        <v>54</v>
      </c>
      <c r="G894" t="s">
        <v>71</v>
      </c>
      <c r="H894">
        <v>663</v>
      </c>
      <c r="I894">
        <v>657</v>
      </c>
      <c r="J894">
        <v>6</v>
      </c>
      <c r="K894">
        <v>18</v>
      </c>
      <c r="L894">
        <v>18.190000000000001</v>
      </c>
      <c r="M894">
        <v>201.01</v>
      </c>
      <c r="N894">
        <f>_xlfn.XLOOKUP(Table13[[#This Row],[Production_Order_ID]],[1]Sheet1!$A$2:$A$391,[1]Sheet1!$F$2:$F$391,"No Match")</f>
        <v>460</v>
      </c>
      <c r="O894" s="3">
        <f>Table13[[#This Row],[Good_Qty]]/Table13[[#This Row],[Planned_Production]]</f>
        <v>1.4282608695652175</v>
      </c>
      <c r="P894" t="str">
        <f>IF(Table13[[#This Row],[Good_Qty]]&gt;=Table13[[#This Row],[Planned_Production]],"Met","Not Met")</f>
        <v>Met</v>
      </c>
      <c r="Q894">
        <f>Table13[[#This Row],[Good_Qty]]-Table13[[#This Row],[Planned_Production]]</f>
        <v>197</v>
      </c>
      <c r="R894" s="3">
        <f>IF(Table13[[#This Row],[Actual_Qty]]=0,0,Table13[[#This Row],[Reject_Qty]]/Table13[[#This Row],[Actual_Qty]])</f>
        <v>9.0497737556561094E-3</v>
      </c>
      <c r="S894">
        <v>435.03</v>
      </c>
      <c r="T894">
        <f>(Table13[[#This Row],[Ideal_Cycle_Time_sec]]*Table13[[#This Row],[Actual_Qty]])/(Table13[[#This Row],[Operational_Time_min]]*60)</f>
        <v>0.45720984759671746</v>
      </c>
      <c r="U894">
        <f>Table13[[#This Row],[Good_Qty]]/Table13[[#This Row],[Actual_Qty]]</f>
        <v>0.99095022624434392</v>
      </c>
      <c r="V894" t="str">
        <f>IF(OR(Table13[[#This Row],[Performance_%]]&gt;=1,Table13[[#This Row],[Performance_%]]&lt;=0),"Error","OK")</f>
        <v>OK</v>
      </c>
      <c r="W894" t="str">
        <f>IF(OR(Table13[[#This Row],[Quality_%]]&gt;=1,Table13[[#This Row],[Quality_%]]&lt;=0),"Error","OK")</f>
        <v>OK</v>
      </c>
      <c r="X894">
        <f>Table13[[#This Row],[Performance_%]]*Table13[[#This Row],[Quality_%]]*[2]Availability_KPI!K894</f>
        <v>0.43799999999999994</v>
      </c>
      <c r="Y894" t="str">
        <f>IF(OR(Table13[[#This Row],[OEE_%]]&gt;1,Table13[[#This Row],[OEE_%]]&lt;0),"Error","OK")</f>
        <v>OK</v>
      </c>
    </row>
    <row r="895" spans="1:25" x14ac:dyDescent="0.2">
      <c r="A895" t="s">
        <v>1056</v>
      </c>
      <c r="B895" t="s">
        <v>1051</v>
      </c>
      <c r="C895" s="2">
        <v>46288</v>
      </c>
      <c r="D895" t="s">
        <v>27</v>
      </c>
      <c r="E895" t="s">
        <v>43</v>
      </c>
      <c r="F895" t="s">
        <v>54</v>
      </c>
      <c r="G895" t="s">
        <v>36</v>
      </c>
      <c r="H895">
        <v>686</v>
      </c>
      <c r="I895">
        <v>676</v>
      </c>
      <c r="J895">
        <v>10</v>
      </c>
      <c r="K895">
        <v>32</v>
      </c>
      <c r="L895">
        <v>35.08</v>
      </c>
      <c r="M895">
        <v>401.06</v>
      </c>
      <c r="N895">
        <f>_xlfn.XLOOKUP(Table13[[#This Row],[Production_Order_ID]],[1]Sheet1!$A$2:$A$391,[1]Sheet1!$F$2:$F$391,"No Match")</f>
        <v>460</v>
      </c>
      <c r="O895" s="3">
        <f>Table13[[#This Row],[Good_Qty]]/Table13[[#This Row],[Planned_Production]]</f>
        <v>1.4695652173913043</v>
      </c>
      <c r="P895" t="str">
        <f>IF(Table13[[#This Row],[Good_Qty]]&gt;=Table13[[#This Row],[Planned_Production]],"Met","Not Met")</f>
        <v>Met</v>
      </c>
      <c r="Q895">
        <f>Table13[[#This Row],[Good_Qty]]-Table13[[#This Row],[Planned_Production]]</f>
        <v>216</v>
      </c>
      <c r="R895" s="3">
        <f>IF(Table13[[#This Row],[Actual_Qty]]=0,0,Table13[[#This Row],[Reject_Qty]]/Table13[[#This Row],[Actual_Qty]])</f>
        <v>1.4577259475218658E-2</v>
      </c>
      <c r="S895">
        <v>412.43</v>
      </c>
      <c r="T895">
        <f>(Table13[[#This Row],[Ideal_Cycle_Time_sec]]*Table13[[#This Row],[Actual_Qty]])/(Table13[[#This Row],[Operational_Time_min]]*60)</f>
        <v>0.88710003313693642</v>
      </c>
      <c r="U895">
        <f>Table13[[#This Row],[Good_Qty]]/Table13[[#This Row],[Actual_Qty]]</f>
        <v>0.98542274052478129</v>
      </c>
      <c r="V895" t="str">
        <f>IF(OR(Table13[[#This Row],[Performance_%]]&gt;=1,Table13[[#This Row],[Performance_%]]&lt;=0),"Error","OK")</f>
        <v>OK</v>
      </c>
      <c r="W895" t="str">
        <f>IF(OR(Table13[[#This Row],[Quality_%]]&gt;=1,Table13[[#This Row],[Quality_%]]&lt;=0),"Error","OK")</f>
        <v>OK</v>
      </c>
      <c r="X895">
        <f>Table13[[#This Row],[Performance_%]]*Table13[[#This Row],[Quality_%]]*[2]Availability_KPI!K895</f>
        <v>0.80118518518518522</v>
      </c>
      <c r="Y895" t="str">
        <f>IF(OR(Table13[[#This Row],[OEE_%]]&gt;1,Table13[[#This Row],[OEE_%]]&lt;0),"Error","OK")</f>
        <v>OK</v>
      </c>
    </row>
    <row r="896" spans="1:25" x14ac:dyDescent="0.2">
      <c r="A896" t="s">
        <v>1057</v>
      </c>
      <c r="B896" t="s">
        <v>1051</v>
      </c>
      <c r="C896" s="2">
        <v>46288</v>
      </c>
      <c r="D896" t="s">
        <v>27</v>
      </c>
      <c r="E896" t="s">
        <v>46</v>
      </c>
      <c r="F896" t="s">
        <v>54</v>
      </c>
      <c r="G896" t="s">
        <v>71</v>
      </c>
      <c r="H896">
        <v>677</v>
      </c>
      <c r="I896">
        <v>670</v>
      </c>
      <c r="J896">
        <v>7</v>
      </c>
      <c r="K896">
        <v>25</v>
      </c>
      <c r="L896">
        <v>26.27</v>
      </c>
      <c r="M896">
        <v>296.44</v>
      </c>
      <c r="N896">
        <f>_xlfn.XLOOKUP(Table13[[#This Row],[Production_Order_ID]],[1]Sheet1!$A$2:$A$391,[1]Sheet1!$F$2:$F$391,"No Match")</f>
        <v>460</v>
      </c>
      <c r="O896" s="3">
        <f>Table13[[#This Row],[Good_Qty]]/Table13[[#This Row],[Planned_Production]]</f>
        <v>1.4565217391304348</v>
      </c>
      <c r="P896" t="str">
        <f>IF(Table13[[#This Row],[Good_Qty]]&gt;=Table13[[#This Row],[Planned_Production]],"Met","Not Met")</f>
        <v>Met</v>
      </c>
      <c r="Q896">
        <f>Table13[[#This Row],[Good_Qty]]-Table13[[#This Row],[Planned_Production]]</f>
        <v>210</v>
      </c>
      <c r="R896" s="3">
        <f>IF(Table13[[#This Row],[Actual_Qty]]=0,0,Table13[[#This Row],[Reject_Qty]]/Table13[[#This Row],[Actual_Qty]])</f>
        <v>1.03397341211226E-2</v>
      </c>
      <c r="S896">
        <v>429.77</v>
      </c>
      <c r="T896">
        <f>(Table13[[#This Row],[Ideal_Cycle_Time_sec]]*Table13[[#This Row],[Actual_Qty]])/(Table13[[#This Row],[Operational_Time_min]]*60)</f>
        <v>0.65635882758995134</v>
      </c>
      <c r="U896">
        <f>Table13[[#This Row],[Good_Qty]]/Table13[[#This Row],[Actual_Qty]]</f>
        <v>0.98966026587887745</v>
      </c>
      <c r="V896" t="str">
        <f>IF(OR(Table13[[#This Row],[Performance_%]]&gt;=1,Table13[[#This Row],[Performance_%]]&lt;=0),"Error","OK")</f>
        <v>OK</v>
      </c>
      <c r="W896" t="str">
        <f>IF(OR(Table13[[#This Row],[Quality_%]]&gt;=1,Table13[[#This Row],[Quality_%]]&lt;=0),"Error","OK")</f>
        <v>OK</v>
      </c>
      <c r="X896">
        <f>Table13[[#This Row],[Performance_%]]*Table13[[#This Row],[Quality_%]]*[2]Availability_KPI!K896</f>
        <v>0.62037037037037046</v>
      </c>
      <c r="Y896" t="str">
        <f>IF(OR(Table13[[#This Row],[OEE_%]]&gt;1,Table13[[#This Row],[OEE_%]]&lt;0),"Error","OK")</f>
        <v>OK</v>
      </c>
    </row>
    <row r="897" spans="1:25" x14ac:dyDescent="0.2">
      <c r="A897" t="s">
        <v>1058</v>
      </c>
      <c r="B897" t="s">
        <v>1051</v>
      </c>
      <c r="C897" s="2">
        <v>46288</v>
      </c>
      <c r="D897" t="s">
        <v>27</v>
      </c>
      <c r="E897" t="s">
        <v>49</v>
      </c>
      <c r="F897" t="s">
        <v>54</v>
      </c>
      <c r="G897" t="s">
        <v>36</v>
      </c>
      <c r="H897">
        <v>671</v>
      </c>
      <c r="I897">
        <v>670</v>
      </c>
      <c r="J897">
        <v>1</v>
      </c>
      <c r="K897">
        <v>20</v>
      </c>
      <c r="L897">
        <v>21.3</v>
      </c>
      <c r="M897">
        <v>238.19</v>
      </c>
      <c r="N897">
        <f>_xlfn.XLOOKUP(Table13[[#This Row],[Production_Order_ID]],[1]Sheet1!$A$2:$A$391,[1]Sheet1!$F$2:$F$391,"No Match")</f>
        <v>460</v>
      </c>
      <c r="O897" s="3">
        <f>Table13[[#This Row],[Good_Qty]]/Table13[[#This Row],[Planned_Production]]</f>
        <v>1.4565217391304348</v>
      </c>
      <c r="P897" t="str">
        <f>IF(Table13[[#This Row],[Good_Qty]]&gt;=Table13[[#This Row],[Planned_Production]],"Met","Not Met")</f>
        <v>Met</v>
      </c>
      <c r="Q897">
        <f>Table13[[#This Row],[Good_Qty]]-Table13[[#This Row],[Planned_Production]]</f>
        <v>210</v>
      </c>
      <c r="R897" s="3">
        <f>IF(Table13[[#This Row],[Actual_Qty]]=0,0,Table13[[#This Row],[Reject_Qty]]/Table13[[#This Row],[Actual_Qty]])</f>
        <v>1.4903129657228018E-3</v>
      </c>
      <c r="S897">
        <v>442.16</v>
      </c>
      <c r="T897">
        <f>(Table13[[#This Row],[Ideal_Cycle_Time_sec]]*Table13[[#This Row],[Actual_Qty]])/(Table13[[#This Row],[Operational_Time_min]]*60)</f>
        <v>0.50585006935649235</v>
      </c>
      <c r="U897">
        <f>Table13[[#This Row],[Good_Qty]]/Table13[[#This Row],[Actual_Qty]]</f>
        <v>0.99850968703427723</v>
      </c>
      <c r="V897" t="str">
        <f>IF(OR(Table13[[#This Row],[Performance_%]]&gt;=1,Table13[[#This Row],[Performance_%]]&lt;=0),"Error","OK")</f>
        <v>OK</v>
      </c>
      <c r="W897" t="str">
        <f>IF(OR(Table13[[#This Row],[Quality_%]]&gt;=1,Table13[[#This Row],[Quality_%]]&lt;=0),"Error","OK")</f>
        <v>OK</v>
      </c>
      <c r="X897">
        <f>Table13[[#This Row],[Performance_%]]*Table13[[#This Row],[Quality_%]]*[2]Availability_KPI!K897</f>
        <v>0.49629629629629629</v>
      </c>
      <c r="Y897" t="str">
        <f>IF(OR(Table13[[#This Row],[OEE_%]]&gt;1,Table13[[#This Row],[OEE_%]]&lt;0),"Error","OK")</f>
        <v>OK</v>
      </c>
    </row>
    <row r="898" spans="1:25" x14ac:dyDescent="0.2">
      <c r="A898" t="s">
        <v>1059</v>
      </c>
      <c r="B898" t="s">
        <v>1060</v>
      </c>
      <c r="C898" s="2">
        <v>46288</v>
      </c>
      <c r="D898" t="s">
        <v>53</v>
      </c>
      <c r="E898" t="s">
        <v>28</v>
      </c>
      <c r="F898" t="s">
        <v>54</v>
      </c>
      <c r="G898" t="s">
        <v>33</v>
      </c>
      <c r="H898">
        <v>642</v>
      </c>
      <c r="I898">
        <v>640</v>
      </c>
      <c r="J898">
        <v>2</v>
      </c>
      <c r="K898">
        <v>18</v>
      </c>
      <c r="L898">
        <v>19.07</v>
      </c>
      <c r="M898">
        <v>204.02</v>
      </c>
      <c r="N898">
        <f>_xlfn.XLOOKUP(Table13[[#This Row],[Production_Order_ID]],[1]Sheet1!$A$2:$A$391,[1]Sheet1!$F$2:$F$391,"No Match")</f>
        <v>560</v>
      </c>
      <c r="O898" s="3">
        <f>Table13[[#This Row],[Good_Qty]]/Table13[[#This Row],[Planned_Production]]</f>
        <v>1.1428571428571428</v>
      </c>
      <c r="P898" t="str">
        <f>IF(Table13[[#This Row],[Good_Qty]]&gt;=Table13[[#This Row],[Planned_Production]],"Met","Not Met")</f>
        <v>Met</v>
      </c>
      <c r="Q898">
        <f>Table13[[#This Row],[Good_Qty]]-Table13[[#This Row],[Planned_Production]]</f>
        <v>80</v>
      </c>
      <c r="R898" s="3">
        <f>IF(Table13[[#This Row],[Actual_Qty]]=0,0,Table13[[#This Row],[Reject_Qty]]/Table13[[#This Row],[Actual_Qty]])</f>
        <v>3.1152647975077881E-3</v>
      </c>
      <c r="S898">
        <v>439.79</v>
      </c>
      <c r="T898">
        <f>(Table13[[#This Row],[Ideal_Cycle_Time_sec]]*Table13[[#This Row],[Actual_Qty]])/(Table13[[#This Row],[Operational_Time_min]]*60)</f>
        <v>0.43793628777371013</v>
      </c>
      <c r="U898">
        <f>Table13[[#This Row],[Good_Qty]]/Table13[[#This Row],[Actual_Qty]]</f>
        <v>0.99688473520249221</v>
      </c>
      <c r="V898" t="str">
        <f>IF(OR(Table13[[#This Row],[Performance_%]]&gt;=1,Table13[[#This Row],[Performance_%]]&lt;=0),"Error","OK")</f>
        <v>OK</v>
      </c>
      <c r="W898" t="str">
        <f>IF(OR(Table13[[#This Row],[Quality_%]]&gt;=1,Table13[[#This Row],[Quality_%]]&lt;=0),"Error","OK")</f>
        <v>OK</v>
      </c>
      <c r="X898">
        <f>Table13[[#This Row],[Performance_%]]*Table13[[#This Row],[Quality_%]]*[2]Availability_KPI!K898</f>
        <v>0.42666666666666664</v>
      </c>
      <c r="Y898" t="str">
        <f>IF(OR(Table13[[#This Row],[OEE_%]]&gt;1,Table13[[#This Row],[OEE_%]]&lt;0),"Error","OK")</f>
        <v>OK</v>
      </c>
    </row>
    <row r="899" spans="1:25" x14ac:dyDescent="0.2">
      <c r="A899" t="s">
        <v>1061</v>
      </c>
      <c r="B899" t="s">
        <v>1060</v>
      </c>
      <c r="C899" s="2">
        <v>46288</v>
      </c>
      <c r="D899" t="s">
        <v>53</v>
      </c>
      <c r="E899" t="s">
        <v>32</v>
      </c>
      <c r="F899" t="s">
        <v>54</v>
      </c>
      <c r="G899" t="s">
        <v>75</v>
      </c>
      <c r="H899">
        <v>635</v>
      </c>
      <c r="I899">
        <v>631</v>
      </c>
      <c r="J899">
        <v>4</v>
      </c>
      <c r="K899">
        <v>20</v>
      </c>
      <c r="L899">
        <v>20.93</v>
      </c>
      <c r="M899">
        <v>221.46</v>
      </c>
      <c r="N899">
        <f>_xlfn.XLOOKUP(Table13[[#This Row],[Production_Order_ID]],[1]Sheet1!$A$2:$A$391,[1]Sheet1!$F$2:$F$391,"No Match")</f>
        <v>560</v>
      </c>
      <c r="O899" s="3">
        <f>Table13[[#This Row],[Good_Qty]]/Table13[[#This Row],[Planned_Production]]</f>
        <v>1.1267857142857143</v>
      </c>
      <c r="P899" t="str">
        <f>IF(Table13[[#This Row],[Good_Qty]]&gt;=Table13[[#This Row],[Planned_Production]],"Met","Not Met")</f>
        <v>Met</v>
      </c>
      <c r="Q899">
        <f>Table13[[#This Row],[Good_Qty]]-Table13[[#This Row],[Planned_Production]]</f>
        <v>71</v>
      </c>
      <c r="R899" s="3">
        <f>IF(Table13[[#This Row],[Actual_Qty]]=0,0,Table13[[#This Row],[Reject_Qty]]/Table13[[#This Row],[Actual_Qty]])</f>
        <v>6.2992125984251968E-3</v>
      </c>
      <c r="S899">
        <v>437.1</v>
      </c>
      <c r="T899">
        <f>(Table13[[#This Row],[Ideal_Cycle_Time_sec]]*Table13[[#This Row],[Actual_Qty]])/(Table13[[#This Row],[Operational_Time_min]]*60)</f>
        <v>0.48425226874094413</v>
      </c>
      <c r="U899">
        <f>Table13[[#This Row],[Good_Qty]]/Table13[[#This Row],[Actual_Qty]]</f>
        <v>0.99370078740157475</v>
      </c>
      <c r="V899" t="str">
        <f>IF(OR(Table13[[#This Row],[Performance_%]]&gt;=1,Table13[[#This Row],[Performance_%]]&lt;=0),"Error","OK")</f>
        <v>OK</v>
      </c>
      <c r="W899" t="str">
        <f>IF(OR(Table13[[#This Row],[Quality_%]]&gt;=1,Table13[[#This Row],[Quality_%]]&lt;=0),"Error","OK")</f>
        <v>OK</v>
      </c>
      <c r="X899">
        <f>Table13[[#This Row],[Performance_%]]*Table13[[#This Row],[Quality_%]]*[2]Availability_KPI!K899</f>
        <v>0.46740740740740744</v>
      </c>
      <c r="Y899" t="str">
        <f>IF(OR(Table13[[#This Row],[OEE_%]]&gt;1,Table13[[#This Row],[OEE_%]]&lt;0),"Error","OK")</f>
        <v>OK</v>
      </c>
    </row>
    <row r="900" spans="1:25" x14ac:dyDescent="0.2">
      <c r="A900" t="s">
        <v>1062</v>
      </c>
      <c r="B900" t="s">
        <v>1060</v>
      </c>
      <c r="C900" s="2">
        <v>46288</v>
      </c>
      <c r="D900" t="s">
        <v>53</v>
      </c>
      <c r="E900" t="s">
        <v>35</v>
      </c>
      <c r="F900" t="s">
        <v>54</v>
      </c>
      <c r="G900" t="s">
        <v>47</v>
      </c>
      <c r="H900">
        <v>647</v>
      </c>
      <c r="I900">
        <v>641</v>
      </c>
      <c r="J900">
        <v>6</v>
      </c>
      <c r="K900">
        <v>22</v>
      </c>
      <c r="L900">
        <v>23.3</v>
      </c>
      <c r="M900">
        <v>251.2</v>
      </c>
      <c r="N900">
        <f>_xlfn.XLOOKUP(Table13[[#This Row],[Production_Order_ID]],[1]Sheet1!$A$2:$A$391,[1]Sheet1!$F$2:$F$391,"No Match")</f>
        <v>560</v>
      </c>
      <c r="O900" s="3">
        <f>Table13[[#This Row],[Good_Qty]]/Table13[[#This Row],[Planned_Production]]</f>
        <v>1.1446428571428571</v>
      </c>
      <c r="P900" t="str">
        <f>IF(Table13[[#This Row],[Good_Qty]]&gt;=Table13[[#This Row],[Planned_Production]],"Met","Not Met")</f>
        <v>Met</v>
      </c>
      <c r="Q900">
        <f>Table13[[#This Row],[Good_Qty]]-Table13[[#This Row],[Planned_Production]]</f>
        <v>81</v>
      </c>
      <c r="R900" s="3">
        <f>IF(Table13[[#This Row],[Actual_Qty]]=0,0,Table13[[#This Row],[Reject_Qty]]/Table13[[#This Row],[Actual_Qty]])</f>
        <v>9.2735703245749607E-3</v>
      </c>
      <c r="S900">
        <v>432.25</v>
      </c>
      <c r="T900">
        <f>(Table13[[#This Row],[Ideal_Cycle_Time_sec]]*Table13[[#This Row],[Actual_Qty]])/(Table13[[#This Row],[Operational_Time_min]]*60)</f>
        <v>0.54883362251783308</v>
      </c>
      <c r="U900">
        <f>Table13[[#This Row],[Good_Qty]]/Table13[[#This Row],[Actual_Qty]]</f>
        <v>0.99072642967542501</v>
      </c>
      <c r="V900" t="str">
        <f>IF(OR(Table13[[#This Row],[Performance_%]]&gt;=1,Table13[[#This Row],[Performance_%]]&lt;=0),"Error","OK")</f>
        <v>OK</v>
      </c>
      <c r="W900" t="str">
        <f>IF(OR(Table13[[#This Row],[Quality_%]]&gt;=1,Table13[[#This Row],[Quality_%]]&lt;=0),"Error","OK")</f>
        <v>OK</v>
      </c>
      <c r="X900">
        <f>Table13[[#This Row],[Performance_%]]*Table13[[#This Row],[Quality_%]]*[2]Availability_KPI!K900</f>
        <v>0.52229629629629637</v>
      </c>
      <c r="Y900" t="str">
        <f>IF(OR(Table13[[#This Row],[OEE_%]]&gt;1,Table13[[#This Row],[OEE_%]]&lt;0),"Error","OK")</f>
        <v>OK</v>
      </c>
    </row>
    <row r="901" spans="1:25" x14ac:dyDescent="0.2">
      <c r="A901" t="s">
        <v>1063</v>
      </c>
      <c r="B901" t="s">
        <v>1060</v>
      </c>
      <c r="C901" s="2">
        <v>46288</v>
      </c>
      <c r="D901" t="s">
        <v>53</v>
      </c>
      <c r="E901" t="s">
        <v>38</v>
      </c>
      <c r="F901" t="s">
        <v>54</v>
      </c>
      <c r="G901" t="s">
        <v>33</v>
      </c>
      <c r="H901">
        <v>645</v>
      </c>
      <c r="I901">
        <v>642</v>
      </c>
      <c r="J901">
        <v>3</v>
      </c>
      <c r="K901">
        <v>20</v>
      </c>
      <c r="L901">
        <v>20.98</v>
      </c>
      <c r="M901">
        <v>225.57</v>
      </c>
      <c r="N901">
        <f>_xlfn.XLOOKUP(Table13[[#This Row],[Production_Order_ID]],[1]Sheet1!$A$2:$A$391,[1]Sheet1!$F$2:$F$391,"No Match")</f>
        <v>560</v>
      </c>
      <c r="O901" s="3">
        <f>Table13[[#This Row],[Good_Qty]]/Table13[[#This Row],[Planned_Production]]</f>
        <v>1.1464285714285714</v>
      </c>
      <c r="P901" t="str">
        <f>IF(Table13[[#This Row],[Good_Qty]]&gt;=Table13[[#This Row],[Planned_Production]],"Met","Not Met")</f>
        <v>Met</v>
      </c>
      <c r="Q901">
        <f>Table13[[#This Row],[Good_Qty]]-Table13[[#This Row],[Planned_Production]]</f>
        <v>82</v>
      </c>
      <c r="R901" s="3">
        <f>IF(Table13[[#This Row],[Actual_Qty]]=0,0,Table13[[#This Row],[Reject_Qty]]/Table13[[#This Row],[Actual_Qty]])</f>
        <v>4.6511627906976744E-3</v>
      </c>
      <c r="S901">
        <v>438.15</v>
      </c>
      <c r="T901">
        <f>(Table13[[#This Row],[Ideal_Cycle_Time_sec]]*Table13[[#This Row],[Actual_Qty]])/(Table13[[#This Row],[Operational_Time_min]]*60)</f>
        <v>0.49069953212370193</v>
      </c>
      <c r="U901">
        <f>Table13[[#This Row],[Good_Qty]]/Table13[[#This Row],[Actual_Qty]]</f>
        <v>0.99534883720930234</v>
      </c>
      <c r="V901" t="str">
        <f>IF(OR(Table13[[#This Row],[Performance_%]]&gt;=1,Table13[[#This Row],[Performance_%]]&lt;=0),"Error","OK")</f>
        <v>OK</v>
      </c>
      <c r="W901" t="str">
        <f>IF(OR(Table13[[#This Row],[Quality_%]]&gt;=1,Table13[[#This Row],[Quality_%]]&lt;=0),"Error","OK")</f>
        <v>OK</v>
      </c>
      <c r="X901">
        <f>Table13[[#This Row],[Performance_%]]*Table13[[#This Row],[Quality_%]]*[2]Availability_KPI!K901</f>
        <v>0.47555555555555551</v>
      </c>
      <c r="Y901" t="str">
        <f>IF(OR(Table13[[#This Row],[OEE_%]]&gt;1,Table13[[#This Row],[OEE_%]]&lt;0),"Error","OK")</f>
        <v>OK</v>
      </c>
    </row>
    <row r="902" spans="1:25" x14ac:dyDescent="0.2">
      <c r="A902" t="s">
        <v>1064</v>
      </c>
      <c r="B902" t="s">
        <v>1060</v>
      </c>
      <c r="C902" s="2">
        <v>46288</v>
      </c>
      <c r="D902" t="s">
        <v>53</v>
      </c>
      <c r="E902" t="s">
        <v>41</v>
      </c>
      <c r="F902" t="s">
        <v>54</v>
      </c>
      <c r="G902" t="s">
        <v>57</v>
      </c>
      <c r="H902">
        <v>646</v>
      </c>
      <c r="I902">
        <v>640</v>
      </c>
      <c r="J902">
        <v>6</v>
      </c>
      <c r="K902">
        <v>18</v>
      </c>
      <c r="L902">
        <v>19</v>
      </c>
      <c r="M902">
        <v>204.55</v>
      </c>
      <c r="N902">
        <f>_xlfn.XLOOKUP(Table13[[#This Row],[Production_Order_ID]],[1]Sheet1!$A$2:$A$391,[1]Sheet1!$F$2:$F$391,"No Match")</f>
        <v>560</v>
      </c>
      <c r="O902" s="3">
        <f>Table13[[#This Row],[Good_Qty]]/Table13[[#This Row],[Planned_Production]]</f>
        <v>1.1428571428571428</v>
      </c>
      <c r="P902" t="str">
        <f>IF(Table13[[#This Row],[Good_Qty]]&gt;=Table13[[#This Row],[Planned_Production]],"Met","Not Met")</f>
        <v>Met</v>
      </c>
      <c r="Q902">
        <f>Table13[[#This Row],[Good_Qty]]-Table13[[#This Row],[Planned_Production]]</f>
        <v>80</v>
      </c>
      <c r="R902" s="3">
        <f>IF(Table13[[#This Row],[Actual_Qty]]=0,0,Table13[[#This Row],[Reject_Qty]]/Table13[[#This Row],[Actual_Qty]])</f>
        <v>9.2879256965944269E-3</v>
      </c>
      <c r="S902">
        <v>439.93</v>
      </c>
      <c r="T902">
        <f>(Table13[[#This Row],[Ideal_Cycle_Time_sec]]*Table13[[#This Row],[Actual_Qty]])/(Table13[[#This Row],[Operational_Time_min]]*60)</f>
        <v>0.44052462891823702</v>
      </c>
      <c r="U902">
        <f>Table13[[#This Row],[Good_Qty]]/Table13[[#This Row],[Actual_Qty]]</f>
        <v>0.99071207430340558</v>
      </c>
      <c r="V902" t="str">
        <f>IF(OR(Table13[[#This Row],[Performance_%]]&gt;=1,Table13[[#This Row],[Performance_%]]&lt;=0),"Error","OK")</f>
        <v>OK</v>
      </c>
      <c r="W902" t="str">
        <f>IF(OR(Table13[[#This Row],[Quality_%]]&gt;=1,Table13[[#This Row],[Quality_%]]&lt;=0),"Error","OK")</f>
        <v>OK</v>
      </c>
      <c r="X902">
        <f>Table13[[#This Row],[Performance_%]]*Table13[[#This Row],[Quality_%]]*[2]Availability_KPI!K902</f>
        <v>0.42666666666666669</v>
      </c>
      <c r="Y902" t="str">
        <f>IF(OR(Table13[[#This Row],[OEE_%]]&gt;1,Table13[[#This Row],[OEE_%]]&lt;0),"Error","OK")</f>
        <v>OK</v>
      </c>
    </row>
    <row r="903" spans="1:25" x14ac:dyDescent="0.2">
      <c r="A903" t="s">
        <v>1065</v>
      </c>
      <c r="B903" t="s">
        <v>1060</v>
      </c>
      <c r="C903" s="2">
        <v>46288</v>
      </c>
      <c r="D903" t="s">
        <v>53</v>
      </c>
      <c r="E903" t="s">
        <v>43</v>
      </c>
      <c r="F903" t="s">
        <v>54</v>
      </c>
      <c r="G903" t="s">
        <v>50</v>
      </c>
      <c r="H903">
        <v>650</v>
      </c>
      <c r="I903">
        <v>639</v>
      </c>
      <c r="J903">
        <v>11</v>
      </c>
      <c r="K903">
        <v>32</v>
      </c>
      <c r="L903">
        <v>32.99</v>
      </c>
      <c r="M903">
        <v>357.37</v>
      </c>
      <c r="N903">
        <f>_xlfn.XLOOKUP(Table13[[#This Row],[Production_Order_ID]],[1]Sheet1!$A$2:$A$391,[1]Sheet1!$F$2:$F$391,"No Match")</f>
        <v>560</v>
      </c>
      <c r="O903" s="3">
        <f>Table13[[#This Row],[Good_Qty]]/Table13[[#This Row],[Planned_Production]]</f>
        <v>1.1410714285714285</v>
      </c>
      <c r="P903" t="str">
        <f>IF(Table13[[#This Row],[Good_Qty]]&gt;=Table13[[#This Row],[Planned_Production]],"Met","Not Met")</f>
        <v>Met</v>
      </c>
      <c r="Q903">
        <f>Table13[[#This Row],[Good_Qty]]-Table13[[#This Row],[Planned_Production]]</f>
        <v>79</v>
      </c>
      <c r="R903" s="3">
        <f>IF(Table13[[#This Row],[Actual_Qty]]=0,0,Table13[[#This Row],[Reject_Qty]]/Table13[[#This Row],[Actual_Qty]])</f>
        <v>1.6923076923076923E-2</v>
      </c>
      <c r="S903">
        <v>407.65999999999997</v>
      </c>
      <c r="T903">
        <f>(Table13[[#This Row],[Ideal_Cycle_Time_sec]]*Table13[[#This Row],[Actual_Qty]])/(Table13[[#This Row],[Operational_Time_min]]*60)</f>
        <v>0.85038185415951206</v>
      </c>
      <c r="U903">
        <f>Table13[[#This Row],[Good_Qty]]/Table13[[#This Row],[Actual_Qty]]</f>
        <v>0.98307692307692307</v>
      </c>
      <c r="V903" t="str">
        <f>IF(OR(Table13[[#This Row],[Performance_%]]&gt;=1,Table13[[#This Row],[Performance_%]]&lt;=0),"Error","OK")</f>
        <v>OK</v>
      </c>
      <c r="W903" t="str">
        <f>IF(OR(Table13[[#This Row],[Quality_%]]&gt;=1,Table13[[#This Row],[Quality_%]]&lt;=0),"Error","OK")</f>
        <v>OK</v>
      </c>
      <c r="X903">
        <f>Table13[[#This Row],[Performance_%]]*Table13[[#This Row],[Quality_%]]*[2]Availability_KPI!K903</f>
        <v>0.75733333333333319</v>
      </c>
      <c r="Y903" t="str">
        <f>IF(OR(Table13[[#This Row],[OEE_%]]&gt;1,Table13[[#This Row],[OEE_%]]&lt;0),"Error","OK")</f>
        <v>OK</v>
      </c>
    </row>
    <row r="904" spans="1:25" x14ac:dyDescent="0.2">
      <c r="A904" t="s">
        <v>1066</v>
      </c>
      <c r="B904" t="s">
        <v>1060</v>
      </c>
      <c r="C904" s="2">
        <v>46288</v>
      </c>
      <c r="D904" t="s">
        <v>53</v>
      </c>
      <c r="E904" t="s">
        <v>46</v>
      </c>
      <c r="F904" t="s">
        <v>54</v>
      </c>
      <c r="G904" t="s">
        <v>50</v>
      </c>
      <c r="H904">
        <v>650</v>
      </c>
      <c r="I904">
        <v>644</v>
      </c>
      <c r="J904">
        <v>6</v>
      </c>
      <c r="K904">
        <v>25</v>
      </c>
      <c r="L904">
        <v>26.15</v>
      </c>
      <c r="M904">
        <v>283.32</v>
      </c>
      <c r="N904">
        <f>_xlfn.XLOOKUP(Table13[[#This Row],[Production_Order_ID]],[1]Sheet1!$A$2:$A$391,[1]Sheet1!$F$2:$F$391,"No Match")</f>
        <v>560</v>
      </c>
      <c r="O904" s="3">
        <f>Table13[[#This Row],[Good_Qty]]/Table13[[#This Row],[Planned_Production]]</f>
        <v>1.1499999999999999</v>
      </c>
      <c r="P904" t="str">
        <f>IF(Table13[[#This Row],[Good_Qty]]&gt;=Table13[[#This Row],[Planned_Production]],"Met","Not Met")</f>
        <v>Met</v>
      </c>
      <c r="Q904">
        <f>Table13[[#This Row],[Good_Qty]]-Table13[[#This Row],[Planned_Production]]</f>
        <v>84</v>
      </c>
      <c r="R904" s="3">
        <f>IF(Table13[[#This Row],[Actual_Qty]]=0,0,Table13[[#This Row],[Reject_Qty]]/Table13[[#This Row],[Actual_Qty]])</f>
        <v>9.2307692307692316E-3</v>
      </c>
      <c r="S904">
        <v>432.69</v>
      </c>
      <c r="T904">
        <f>(Table13[[#This Row],[Ideal_Cycle_Time_sec]]*Table13[[#This Row],[Actual_Qty]])/(Table13[[#This Row],[Operational_Time_min]]*60)</f>
        <v>0.62592926421533501</v>
      </c>
      <c r="U904">
        <f>Table13[[#This Row],[Good_Qty]]/Table13[[#This Row],[Actual_Qty]]</f>
        <v>0.99076923076923074</v>
      </c>
      <c r="V904" t="str">
        <f>IF(OR(Table13[[#This Row],[Performance_%]]&gt;=1,Table13[[#This Row],[Performance_%]]&lt;=0),"Error","OK")</f>
        <v>OK</v>
      </c>
      <c r="W904" t="str">
        <f>IF(OR(Table13[[#This Row],[Quality_%]]&gt;=1,Table13[[#This Row],[Quality_%]]&lt;=0),"Error","OK")</f>
        <v>OK</v>
      </c>
      <c r="X904">
        <f>Table13[[#This Row],[Performance_%]]*Table13[[#This Row],[Quality_%]]*[2]Availability_KPI!K904</f>
        <v>0.59629629629629621</v>
      </c>
      <c r="Y904" t="str">
        <f>IF(OR(Table13[[#This Row],[OEE_%]]&gt;1,Table13[[#This Row],[OEE_%]]&lt;0),"Error","OK")</f>
        <v>OK</v>
      </c>
    </row>
    <row r="905" spans="1:25" x14ac:dyDescent="0.2">
      <c r="A905" t="s">
        <v>1067</v>
      </c>
      <c r="B905" t="s">
        <v>1060</v>
      </c>
      <c r="C905" s="2">
        <v>46288</v>
      </c>
      <c r="D905" t="s">
        <v>53</v>
      </c>
      <c r="E905" t="s">
        <v>49</v>
      </c>
      <c r="F905" t="s">
        <v>54</v>
      </c>
      <c r="G905" t="s">
        <v>44</v>
      </c>
      <c r="H905">
        <v>644</v>
      </c>
      <c r="I905">
        <v>641</v>
      </c>
      <c r="J905">
        <v>3</v>
      </c>
      <c r="K905">
        <v>20</v>
      </c>
      <c r="L905">
        <v>20.81</v>
      </c>
      <c r="M905">
        <v>223.32</v>
      </c>
      <c r="N905">
        <f>_xlfn.XLOOKUP(Table13[[#This Row],[Production_Order_ID]],[1]Sheet1!$A$2:$A$391,[1]Sheet1!$F$2:$F$391,"No Match")</f>
        <v>560</v>
      </c>
      <c r="O905" s="3">
        <f>Table13[[#This Row],[Good_Qty]]/Table13[[#This Row],[Planned_Production]]</f>
        <v>1.1446428571428571</v>
      </c>
      <c r="P905" t="str">
        <f>IF(Table13[[#This Row],[Good_Qty]]&gt;=Table13[[#This Row],[Planned_Production]],"Met","Not Met")</f>
        <v>Met</v>
      </c>
      <c r="Q905">
        <f>Table13[[#This Row],[Good_Qty]]-Table13[[#This Row],[Planned_Production]]</f>
        <v>81</v>
      </c>
      <c r="R905" s="3">
        <f>IF(Table13[[#This Row],[Actual_Qty]]=0,0,Table13[[#This Row],[Reject_Qty]]/Table13[[#This Row],[Actual_Qty]])</f>
        <v>4.658385093167702E-3</v>
      </c>
      <c r="S905">
        <v>439.17</v>
      </c>
      <c r="T905">
        <f>(Table13[[#This Row],[Ideal_Cycle_Time_sec]]*Table13[[#This Row],[Actual_Qty]])/(Table13[[#This Row],[Operational_Time_min]]*60)</f>
        <v>0.4888008440163642</v>
      </c>
      <c r="U905">
        <f>Table13[[#This Row],[Good_Qty]]/Table13[[#This Row],[Actual_Qty]]</f>
        <v>0.99534161490683226</v>
      </c>
      <c r="V905" t="str">
        <f>IF(OR(Table13[[#This Row],[Performance_%]]&gt;=1,Table13[[#This Row],[Performance_%]]&lt;=0),"Error","OK")</f>
        <v>OK</v>
      </c>
      <c r="W905" t="str">
        <f>IF(OR(Table13[[#This Row],[Quality_%]]&gt;=1,Table13[[#This Row],[Quality_%]]&lt;=0),"Error","OK")</f>
        <v>OK</v>
      </c>
      <c r="X905">
        <f>Table13[[#This Row],[Performance_%]]*Table13[[#This Row],[Quality_%]]*[2]Availability_KPI!K905</f>
        <v>0.47481481481481475</v>
      </c>
      <c r="Y905" t="str">
        <f>IF(OR(Table13[[#This Row],[OEE_%]]&gt;1,Table13[[#This Row],[OEE_%]]&lt;0),"Error","OK")</f>
        <v>OK</v>
      </c>
    </row>
    <row r="906" spans="1:25" x14ac:dyDescent="0.2">
      <c r="A906" t="s">
        <v>1068</v>
      </c>
      <c r="B906" t="s">
        <v>1069</v>
      </c>
      <c r="C906" s="2">
        <v>46288</v>
      </c>
      <c r="D906" t="s">
        <v>67</v>
      </c>
      <c r="E906" t="s">
        <v>28</v>
      </c>
      <c r="F906" t="s">
        <v>54</v>
      </c>
      <c r="G906" t="s">
        <v>75</v>
      </c>
      <c r="H906">
        <v>613</v>
      </c>
      <c r="I906">
        <v>611</v>
      </c>
      <c r="J906">
        <v>2</v>
      </c>
      <c r="K906">
        <v>18</v>
      </c>
      <c r="L906">
        <v>18.809999999999999</v>
      </c>
      <c r="M906">
        <v>192.18</v>
      </c>
      <c r="N906">
        <f>_xlfn.XLOOKUP(Table13[[#This Row],[Production_Order_ID]],[1]Sheet1!$A$2:$A$391,[1]Sheet1!$F$2:$F$391,"No Match")</f>
        <v>710</v>
      </c>
      <c r="O906" s="3">
        <f>Table13[[#This Row],[Good_Qty]]/Table13[[#This Row],[Planned_Production]]</f>
        <v>0.8605633802816901</v>
      </c>
      <c r="P906" t="str">
        <f>IF(Table13[[#This Row],[Good_Qty]]&gt;=Table13[[#This Row],[Planned_Production]],"Met","Not Met")</f>
        <v>Not Met</v>
      </c>
      <c r="Q906">
        <f>Table13[[#This Row],[Good_Qty]]-Table13[[#This Row],[Planned_Production]]</f>
        <v>-99</v>
      </c>
      <c r="R906" s="3">
        <f>IF(Table13[[#This Row],[Actual_Qty]]=0,0,Table13[[#This Row],[Reject_Qty]]/Table13[[#This Row],[Actual_Qty]])</f>
        <v>3.2626427406199023E-3</v>
      </c>
      <c r="S906">
        <v>442.58</v>
      </c>
      <c r="T906">
        <f>(Table13[[#This Row],[Ideal_Cycle_Time_sec]]*Table13[[#This Row],[Actual_Qty]])/(Table13[[#This Row],[Operational_Time_min]]*60)</f>
        <v>0.41551809842288401</v>
      </c>
      <c r="U906">
        <f>Table13[[#This Row],[Good_Qty]]/Table13[[#This Row],[Actual_Qty]]</f>
        <v>0.99673735725938006</v>
      </c>
      <c r="V906" t="str">
        <f>IF(OR(Table13[[#This Row],[Performance_%]]&gt;=1,Table13[[#This Row],[Performance_%]]&lt;=0),"Error","OK")</f>
        <v>OK</v>
      </c>
      <c r="W906" t="str">
        <f>IF(OR(Table13[[#This Row],[Quality_%]]&gt;=1,Table13[[#This Row],[Quality_%]]&lt;=0),"Error","OK")</f>
        <v>OK</v>
      </c>
      <c r="X906">
        <f>Table13[[#This Row],[Performance_%]]*Table13[[#This Row],[Quality_%]]*[2]Availability_KPI!K906</f>
        <v>0.40733333333333333</v>
      </c>
      <c r="Y906" t="str">
        <f>IF(OR(Table13[[#This Row],[OEE_%]]&gt;1,Table13[[#This Row],[OEE_%]]&lt;0),"Error","OK")</f>
        <v>OK</v>
      </c>
    </row>
    <row r="907" spans="1:25" x14ac:dyDescent="0.2">
      <c r="A907" t="s">
        <v>1070</v>
      </c>
      <c r="B907" t="s">
        <v>1069</v>
      </c>
      <c r="C907" s="2">
        <v>46288</v>
      </c>
      <c r="D907" t="s">
        <v>67</v>
      </c>
      <c r="E907" t="s">
        <v>32</v>
      </c>
      <c r="F907" t="s">
        <v>54</v>
      </c>
      <c r="G907" t="s">
        <v>39</v>
      </c>
      <c r="H907">
        <v>618</v>
      </c>
      <c r="I907">
        <v>614</v>
      </c>
      <c r="J907">
        <v>4</v>
      </c>
      <c r="K907">
        <v>20</v>
      </c>
      <c r="L907">
        <v>21.16</v>
      </c>
      <c r="M907">
        <v>217.98</v>
      </c>
      <c r="N907">
        <f>_xlfn.XLOOKUP(Table13[[#This Row],[Production_Order_ID]],[1]Sheet1!$A$2:$A$391,[1]Sheet1!$F$2:$F$391,"No Match")</f>
        <v>710</v>
      </c>
      <c r="O907" s="3">
        <f>Table13[[#This Row],[Good_Qty]]/Table13[[#This Row],[Planned_Production]]</f>
        <v>0.86478873239436616</v>
      </c>
      <c r="P907" t="str">
        <f>IF(Table13[[#This Row],[Good_Qty]]&gt;=Table13[[#This Row],[Planned_Production]],"Met","Not Met")</f>
        <v>Not Met</v>
      </c>
      <c r="Q907">
        <f>Table13[[#This Row],[Good_Qty]]-Table13[[#This Row],[Planned_Production]]</f>
        <v>-96</v>
      </c>
      <c r="R907" s="3">
        <f>IF(Table13[[#This Row],[Actual_Qty]]=0,0,Table13[[#This Row],[Reject_Qty]]/Table13[[#This Row],[Actual_Qty]])</f>
        <v>6.4724919093851136E-3</v>
      </c>
      <c r="S907">
        <v>439.01</v>
      </c>
      <c r="T907">
        <f>(Table13[[#This Row],[Ideal_Cycle_Time_sec]]*Table13[[#This Row],[Actual_Qty]])/(Table13[[#This Row],[Operational_Time_min]]*60)</f>
        <v>0.4692376027880914</v>
      </c>
      <c r="U907">
        <f>Table13[[#This Row],[Good_Qty]]/Table13[[#This Row],[Actual_Qty]]</f>
        <v>0.99352750809061485</v>
      </c>
      <c r="V907" t="str">
        <f>IF(OR(Table13[[#This Row],[Performance_%]]&gt;=1,Table13[[#This Row],[Performance_%]]&lt;=0),"Error","OK")</f>
        <v>OK</v>
      </c>
      <c r="W907" t="str">
        <f>IF(OR(Table13[[#This Row],[Quality_%]]&gt;=1,Table13[[#This Row],[Quality_%]]&lt;=0),"Error","OK")</f>
        <v>OK</v>
      </c>
      <c r="X907">
        <f>Table13[[#This Row],[Performance_%]]*Table13[[#This Row],[Quality_%]]*[2]Availability_KPI!K907</f>
        <v>0.45481481481481478</v>
      </c>
      <c r="Y907" t="str">
        <f>IF(OR(Table13[[#This Row],[OEE_%]]&gt;1,Table13[[#This Row],[OEE_%]]&lt;0),"Error","OK")</f>
        <v>OK</v>
      </c>
    </row>
    <row r="908" spans="1:25" x14ac:dyDescent="0.2">
      <c r="A908" t="s">
        <v>1071</v>
      </c>
      <c r="B908" t="s">
        <v>1069</v>
      </c>
      <c r="C908" s="2">
        <v>46288</v>
      </c>
      <c r="D908" t="s">
        <v>67</v>
      </c>
      <c r="E908" t="s">
        <v>35</v>
      </c>
      <c r="F908" t="s">
        <v>54</v>
      </c>
      <c r="G908" t="s">
        <v>55</v>
      </c>
      <c r="H908">
        <v>622</v>
      </c>
      <c r="I908">
        <v>618</v>
      </c>
      <c r="J908">
        <v>4</v>
      </c>
      <c r="K908">
        <v>22</v>
      </c>
      <c r="L908">
        <v>22.97</v>
      </c>
      <c r="M908">
        <v>238.17</v>
      </c>
      <c r="N908">
        <f>_xlfn.XLOOKUP(Table13[[#This Row],[Production_Order_ID]],[1]Sheet1!$A$2:$A$391,[1]Sheet1!$F$2:$F$391,"No Match")</f>
        <v>710</v>
      </c>
      <c r="O908" s="3">
        <f>Table13[[#This Row],[Good_Qty]]/Table13[[#This Row],[Planned_Production]]</f>
        <v>0.87042253521126756</v>
      </c>
      <c r="P908" t="str">
        <f>IF(Table13[[#This Row],[Good_Qty]]&gt;=Table13[[#This Row],[Planned_Production]],"Met","Not Met")</f>
        <v>Not Met</v>
      </c>
      <c r="Q908">
        <f>Table13[[#This Row],[Good_Qty]]-Table13[[#This Row],[Planned_Production]]</f>
        <v>-92</v>
      </c>
      <c r="R908" s="3">
        <f>IF(Table13[[#This Row],[Actual_Qty]]=0,0,Table13[[#This Row],[Reject_Qty]]/Table13[[#This Row],[Actual_Qty]])</f>
        <v>6.4308681672025723E-3</v>
      </c>
      <c r="S908">
        <v>430.82</v>
      </c>
      <c r="T908">
        <f>(Table13[[#This Row],[Ideal_Cycle_Time_sec]]*Table13[[#This Row],[Actual_Qty]])/(Table13[[#This Row],[Operational_Time_min]]*60)</f>
        <v>0.52937808520186314</v>
      </c>
      <c r="U908">
        <f>Table13[[#This Row],[Good_Qty]]/Table13[[#This Row],[Actual_Qty]]</f>
        <v>0.99356913183279738</v>
      </c>
      <c r="V908" t="str">
        <f>IF(OR(Table13[[#This Row],[Performance_%]]&gt;=1,Table13[[#This Row],[Performance_%]]&lt;=0),"Error","OK")</f>
        <v>OK</v>
      </c>
      <c r="W908" t="str">
        <f>IF(OR(Table13[[#This Row],[Quality_%]]&gt;=1,Table13[[#This Row],[Quality_%]]&lt;=0),"Error","OK")</f>
        <v>OK</v>
      </c>
      <c r="X908">
        <f>Table13[[#This Row],[Performance_%]]*Table13[[#This Row],[Quality_%]]*[2]Availability_KPI!K908</f>
        <v>0.50355555555555553</v>
      </c>
      <c r="Y908" t="str">
        <f>IF(OR(Table13[[#This Row],[OEE_%]]&gt;1,Table13[[#This Row],[OEE_%]]&lt;0),"Error","OK")</f>
        <v>OK</v>
      </c>
    </row>
    <row r="909" spans="1:25" x14ac:dyDescent="0.2">
      <c r="A909" t="s">
        <v>1072</v>
      </c>
      <c r="B909" t="s">
        <v>1069</v>
      </c>
      <c r="C909" s="2">
        <v>46288</v>
      </c>
      <c r="D909" t="s">
        <v>67</v>
      </c>
      <c r="E909" t="s">
        <v>38</v>
      </c>
      <c r="F909" t="s">
        <v>54</v>
      </c>
      <c r="G909" t="s">
        <v>33</v>
      </c>
      <c r="H909">
        <v>618</v>
      </c>
      <c r="I909">
        <v>615</v>
      </c>
      <c r="J909">
        <v>3</v>
      </c>
      <c r="K909">
        <v>20</v>
      </c>
      <c r="L909">
        <v>20.92</v>
      </c>
      <c r="M909">
        <v>215.46</v>
      </c>
      <c r="N909">
        <f>_xlfn.XLOOKUP(Table13[[#This Row],[Production_Order_ID]],[1]Sheet1!$A$2:$A$391,[1]Sheet1!$F$2:$F$391,"No Match")</f>
        <v>710</v>
      </c>
      <c r="O909" s="3">
        <f>Table13[[#This Row],[Good_Qty]]/Table13[[#This Row],[Planned_Production]]</f>
        <v>0.86619718309859151</v>
      </c>
      <c r="P909" t="str">
        <f>IF(Table13[[#This Row],[Good_Qty]]&gt;=Table13[[#This Row],[Planned_Production]],"Met","Not Met")</f>
        <v>Not Met</v>
      </c>
      <c r="Q909">
        <f>Table13[[#This Row],[Good_Qty]]-Table13[[#This Row],[Planned_Production]]</f>
        <v>-95</v>
      </c>
      <c r="R909" s="3">
        <f>IF(Table13[[#This Row],[Actual_Qty]]=0,0,Table13[[#This Row],[Reject_Qty]]/Table13[[#This Row],[Actual_Qty]])</f>
        <v>4.8543689320388345E-3</v>
      </c>
      <c r="S909">
        <v>437.47</v>
      </c>
      <c r="T909">
        <f>(Table13[[#This Row],[Ideal_Cycle_Time_sec]]*Table13[[#This Row],[Actual_Qty]])/(Table13[[#This Row],[Operational_Time_min]]*60)</f>
        <v>0.47088943241822295</v>
      </c>
      <c r="U909">
        <f>Table13[[#This Row],[Good_Qty]]/Table13[[#This Row],[Actual_Qty]]</f>
        <v>0.99514563106796117</v>
      </c>
      <c r="V909" t="str">
        <f>IF(OR(Table13[[#This Row],[Performance_%]]&gt;=1,Table13[[#This Row],[Performance_%]]&lt;=0),"Error","OK")</f>
        <v>OK</v>
      </c>
      <c r="W909" t="str">
        <f>IF(OR(Table13[[#This Row],[Quality_%]]&gt;=1,Table13[[#This Row],[Quality_%]]&lt;=0),"Error","OK")</f>
        <v>OK</v>
      </c>
      <c r="X909">
        <f>Table13[[#This Row],[Performance_%]]*Table13[[#This Row],[Quality_%]]*[2]Availability_KPI!K909</f>
        <v>0.4555555555555556</v>
      </c>
      <c r="Y909" t="str">
        <f>IF(OR(Table13[[#This Row],[OEE_%]]&gt;1,Table13[[#This Row],[OEE_%]]&lt;0),"Error","OK")</f>
        <v>OK</v>
      </c>
    </row>
    <row r="910" spans="1:25" x14ac:dyDescent="0.2">
      <c r="A910" t="s">
        <v>1073</v>
      </c>
      <c r="B910" t="s">
        <v>1069</v>
      </c>
      <c r="C910" s="2">
        <v>46288</v>
      </c>
      <c r="D910" t="s">
        <v>67</v>
      </c>
      <c r="E910" t="s">
        <v>41</v>
      </c>
      <c r="F910" t="s">
        <v>54</v>
      </c>
      <c r="G910" t="s">
        <v>36</v>
      </c>
      <c r="H910">
        <v>628</v>
      </c>
      <c r="I910">
        <v>624</v>
      </c>
      <c r="J910">
        <v>4</v>
      </c>
      <c r="K910">
        <v>18</v>
      </c>
      <c r="L910">
        <v>18.93</v>
      </c>
      <c r="M910">
        <v>198.08</v>
      </c>
      <c r="N910">
        <f>_xlfn.XLOOKUP(Table13[[#This Row],[Production_Order_ID]],[1]Sheet1!$A$2:$A$391,[1]Sheet1!$F$2:$F$391,"No Match")</f>
        <v>710</v>
      </c>
      <c r="O910" s="3">
        <f>Table13[[#This Row],[Good_Qty]]/Table13[[#This Row],[Planned_Production]]</f>
        <v>0.87887323943661977</v>
      </c>
      <c r="P910" t="str">
        <f>IF(Table13[[#This Row],[Good_Qty]]&gt;=Table13[[#This Row],[Planned_Production]],"Met","Not Met")</f>
        <v>Not Met</v>
      </c>
      <c r="Q910">
        <f>Table13[[#This Row],[Good_Qty]]-Table13[[#This Row],[Planned_Production]]</f>
        <v>-86</v>
      </c>
      <c r="R910" s="3">
        <f>IF(Table13[[#This Row],[Actual_Qty]]=0,0,Table13[[#This Row],[Reject_Qty]]/Table13[[#This Row],[Actual_Qty]])</f>
        <v>6.369426751592357E-3</v>
      </c>
      <c r="S910">
        <v>437.19</v>
      </c>
      <c r="T910">
        <f>(Table13[[#This Row],[Ideal_Cycle_Time_sec]]*Table13[[#This Row],[Actual_Qty]])/(Table13[[#This Row],[Operational_Time_min]]*60)</f>
        <v>0.43093391889109994</v>
      </c>
      <c r="U910">
        <f>Table13[[#This Row],[Good_Qty]]/Table13[[#This Row],[Actual_Qty]]</f>
        <v>0.99363057324840764</v>
      </c>
      <c r="V910" t="str">
        <f>IF(OR(Table13[[#This Row],[Performance_%]]&gt;=1,Table13[[#This Row],[Performance_%]]&lt;=0),"Error","OK")</f>
        <v>OK</v>
      </c>
      <c r="W910" t="str">
        <f>IF(OR(Table13[[#This Row],[Quality_%]]&gt;=1,Table13[[#This Row],[Quality_%]]&lt;=0),"Error","OK")</f>
        <v>OK</v>
      </c>
      <c r="X910">
        <f>Table13[[#This Row],[Performance_%]]*Table13[[#This Row],[Quality_%]]*[2]Availability_KPI!K910</f>
        <v>0.41599999999999998</v>
      </c>
      <c r="Y910" t="str">
        <f>IF(OR(Table13[[#This Row],[OEE_%]]&gt;1,Table13[[#This Row],[OEE_%]]&lt;0),"Error","OK")</f>
        <v>OK</v>
      </c>
    </row>
    <row r="911" spans="1:25" x14ac:dyDescent="0.2">
      <c r="A911" t="s">
        <v>1074</v>
      </c>
      <c r="B911" t="s">
        <v>1069</v>
      </c>
      <c r="C911" s="2">
        <v>46288</v>
      </c>
      <c r="D911" t="s">
        <v>67</v>
      </c>
      <c r="E911" t="s">
        <v>43</v>
      </c>
      <c r="F911" t="s">
        <v>54</v>
      </c>
      <c r="G911" t="s">
        <v>36</v>
      </c>
      <c r="H911">
        <v>627</v>
      </c>
      <c r="I911">
        <v>617</v>
      </c>
      <c r="J911">
        <v>10</v>
      </c>
      <c r="K911">
        <v>32</v>
      </c>
      <c r="L911">
        <v>33.020000000000003</v>
      </c>
      <c r="M911">
        <v>345.1</v>
      </c>
      <c r="N911">
        <f>_xlfn.XLOOKUP(Table13[[#This Row],[Production_Order_ID]],[1]Sheet1!$A$2:$A$391,[1]Sheet1!$F$2:$F$391,"No Match")</f>
        <v>710</v>
      </c>
      <c r="O911" s="3">
        <f>Table13[[#This Row],[Good_Qty]]/Table13[[#This Row],[Planned_Production]]</f>
        <v>0.86901408450704221</v>
      </c>
      <c r="P911" t="str">
        <f>IF(Table13[[#This Row],[Good_Qty]]&gt;=Table13[[#This Row],[Planned_Production]],"Met","Not Met")</f>
        <v>Not Met</v>
      </c>
      <c r="Q911">
        <f>Table13[[#This Row],[Good_Qty]]-Table13[[#This Row],[Planned_Production]]</f>
        <v>-93</v>
      </c>
      <c r="R911" s="3">
        <f>IF(Table13[[#This Row],[Actual_Qty]]=0,0,Table13[[#This Row],[Reject_Qty]]/Table13[[#This Row],[Actual_Qty]])</f>
        <v>1.5948963317384369E-2</v>
      </c>
      <c r="S911">
        <v>418.83</v>
      </c>
      <c r="T911">
        <f>(Table13[[#This Row],[Ideal_Cycle_Time_sec]]*Table13[[#This Row],[Actual_Qty]])/(Table13[[#This Row],[Operational_Time_min]]*60)</f>
        <v>0.79841463123462986</v>
      </c>
      <c r="U911">
        <f>Table13[[#This Row],[Good_Qty]]/Table13[[#This Row],[Actual_Qty]]</f>
        <v>0.98405103668261562</v>
      </c>
      <c r="V911" t="str">
        <f>IF(OR(Table13[[#This Row],[Performance_%]]&gt;=1,Table13[[#This Row],[Performance_%]]&lt;=0),"Error","OK")</f>
        <v>OK</v>
      </c>
      <c r="W911" t="str">
        <f>IF(OR(Table13[[#This Row],[Quality_%]]&gt;=1,Table13[[#This Row],[Quality_%]]&lt;=0),"Error","OK")</f>
        <v>OK</v>
      </c>
      <c r="X911">
        <f>Table13[[#This Row],[Performance_%]]*Table13[[#This Row],[Quality_%]]*[2]Availability_KPI!K911</f>
        <v>0.73125925925925928</v>
      </c>
      <c r="Y911" t="str">
        <f>IF(OR(Table13[[#This Row],[OEE_%]]&gt;1,Table13[[#This Row],[OEE_%]]&lt;0),"Error","OK")</f>
        <v>OK</v>
      </c>
    </row>
    <row r="912" spans="1:25" x14ac:dyDescent="0.2">
      <c r="A912" t="s">
        <v>1075</v>
      </c>
      <c r="B912" t="s">
        <v>1069</v>
      </c>
      <c r="C912" s="2">
        <v>46288</v>
      </c>
      <c r="D912" t="s">
        <v>67</v>
      </c>
      <c r="E912" t="s">
        <v>46</v>
      </c>
      <c r="F912" t="s">
        <v>54</v>
      </c>
      <c r="G912" t="s">
        <v>36</v>
      </c>
      <c r="H912">
        <v>617</v>
      </c>
      <c r="I912">
        <v>613</v>
      </c>
      <c r="J912">
        <v>4</v>
      </c>
      <c r="K912">
        <v>25</v>
      </c>
      <c r="L912">
        <v>26.72</v>
      </c>
      <c r="M912">
        <v>274.77999999999997</v>
      </c>
      <c r="N912">
        <f>_xlfn.XLOOKUP(Table13[[#This Row],[Production_Order_ID]],[1]Sheet1!$A$2:$A$391,[1]Sheet1!$F$2:$F$391,"No Match")</f>
        <v>710</v>
      </c>
      <c r="O912" s="3">
        <f>Table13[[#This Row],[Good_Qty]]/Table13[[#This Row],[Planned_Production]]</f>
        <v>0.86338028169014081</v>
      </c>
      <c r="P912" t="str">
        <f>IF(Table13[[#This Row],[Good_Qty]]&gt;=Table13[[#This Row],[Planned_Production]],"Met","Not Met")</f>
        <v>Not Met</v>
      </c>
      <c r="Q912">
        <f>Table13[[#This Row],[Good_Qty]]-Table13[[#This Row],[Planned_Production]]</f>
        <v>-97</v>
      </c>
      <c r="R912" s="3">
        <f>IF(Table13[[#This Row],[Actual_Qty]]=0,0,Table13[[#This Row],[Reject_Qty]]/Table13[[#This Row],[Actual_Qty]])</f>
        <v>6.4829821717990272E-3</v>
      </c>
      <c r="S912">
        <v>428.9</v>
      </c>
      <c r="T912">
        <f>(Table13[[#This Row],[Ideal_Cycle_Time_sec]]*Table13[[#This Row],[Actual_Qty]])/(Table13[[#This Row],[Operational_Time_min]]*60)</f>
        <v>0.59940156990751536</v>
      </c>
      <c r="U912">
        <f>Table13[[#This Row],[Good_Qty]]/Table13[[#This Row],[Actual_Qty]]</f>
        <v>0.99351701782820101</v>
      </c>
      <c r="V912" t="str">
        <f>IF(OR(Table13[[#This Row],[Performance_%]]&gt;=1,Table13[[#This Row],[Performance_%]]&lt;=0),"Error","OK")</f>
        <v>OK</v>
      </c>
      <c r="W912" t="str">
        <f>IF(OR(Table13[[#This Row],[Quality_%]]&gt;=1,Table13[[#This Row],[Quality_%]]&lt;=0),"Error","OK")</f>
        <v>OK</v>
      </c>
      <c r="X912">
        <f>Table13[[#This Row],[Performance_%]]*Table13[[#This Row],[Quality_%]]*[2]Availability_KPI!K912</f>
        <v>0.56759259259259254</v>
      </c>
      <c r="Y912" t="str">
        <f>IF(OR(Table13[[#This Row],[OEE_%]]&gt;1,Table13[[#This Row],[OEE_%]]&lt;0),"Error","OK")</f>
        <v>OK</v>
      </c>
    </row>
    <row r="913" spans="1:25" x14ac:dyDescent="0.2">
      <c r="A913" t="s">
        <v>1076</v>
      </c>
      <c r="B913" t="s">
        <v>1069</v>
      </c>
      <c r="C913" s="2">
        <v>46288</v>
      </c>
      <c r="D913" t="s">
        <v>67</v>
      </c>
      <c r="E913" t="s">
        <v>49</v>
      </c>
      <c r="F913" t="s">
        <v>54</v>
      </c>
      <c r="G913" t="s">
        <v>75</v>
      </c>
      <c r="H913">
        <v>626</v>
      </c>
      <c r="I913">
        <v>622</v>
      </c>
      <c r="J913">
        <v>4</v>
      </c>
      <c r="K913">
        <v>20</v>
      </c>
      <c r="L913">
        <v>21.17</v>
      </c>
      <c r="M913">
        <v>220.91</v>
      </c>
      <c r="N913">
        <f>_xlfn.XLOOKUP(Table13[[#This Row],[Production_Order_ID]],[1]Sheet1!$A$2:$A$391,[1]Sheet1!$F$2:$F$391,"No Match")</f>
        <v>710</v>
      </c>
      <c r="O913" s="3">
        <f>Table13[[#This Row],[Good_Qty]]/Table13[[#This Row],[Planned_Production]]</f>
        <v>0.87605633802816907</v>
      </c>
      <c r="P913" t="str">
        <f>IF(Table13[[#This Row],[Good_Qty]]&gt;=Table13[[#This Row],[Planned_Production]],"Met","Not Met")</f>
        <v>Not Met</v>
      </c>
      <c r="Q913">
        <f>Table13[[#This Row],[Good_Qty]]-Table13[[#This Row],[Planned_Production]]</f>
        <v>-88</v>
      </c>
      <c r="R913" s="3">
        <f>IF(Table13[[#This Row],[Actual_Qty]]=0,0,Table13[[#This Row],[Reject_Qty]]/Table13[[#This Row],[Actual_Qty]])</f>
        <v>6.3897763578274758E-3</v>
      </c>
      <c r="S913">
        <v>439.65</v>
      </c>
      <c r="T913">
        <f>(Table13[[#This Row],[Ideal_Cycle_Time_sec]]*Table13[[#This Row],[Actual_Qty]])/(Table13[[#This Row],[Operational_Time_min]]*60)</f>
        <v>0.47461996284923613</v>
      </c>
      <c r="U913">
        <f>Table13[[#This Row],[Good_Qty]]/Table13[[#This Row],[Actual_Qty]]</f>
        <v>0.99361022364217255</v>
      </c>
      <c r="V913" t="str">
        <f>IF(OR(Table13[[#This Row],[Performance_%]]&gt;=1,Table13[[#This Row],[Performance_%]]&lt;=0),"Error","OK")</f>
        <v>OK</v>
      </c>
      <c r="W913" t="str">
        <f>IF(OR(Table13[[#This Row],[Quality_%]]&gt;=1,Table13[[#This Row],[Quality_%]]&lt;=0),"Error","OK")</f>
        <v>OK</v>
      </c>
      <c r="X913">
        <f>Table13[[#This Row],[Performance_%]]*Table13[[#This Row],[Quality_%]]*[2]Availability_KPI!K913</f>
        <v>0.46074074074074073</v>
      </c>
      <c r="Y913" t="str">
        <f>IF(OR(Table13[[#This Row],[OEE_%]]&gt;1,Table13[[#This Row],[OEE_%]]&lt;0),"Error","OK")</f>
        <v>OK</v>
      </c>
    </row>
    <row r="914" spans="1:25" x14ac:dyDescent="0.2">
      <c r="A914" t="s">
        <v>1077</v>
      </c>
      <c r="B914" t="s">
        <v>1078</v>
      </c>
      <c r="C914" s="2">
        <v>46289</v>
      </c>
      <c r="D914" t="s">
        <v>27</v>
      </c>
      <c r="E914" t="s">
        <v>28</v>
      </c>
      <c r="F914" t="s">
        <v>97</v>
      </c>
      <c r="G914" t="s">
        <v>36</v>
      </c>
      <c r="H914">
        <v>655</v>
      </c>
      <c r="I914">
        <v>654</v>
      </c>
      <c r="J914">
        <v>1</v>
      </c>
      <c r="K914">
        <v>19.260000000000002</v>
      </c>
      <c r="L914">
        <v>20.440000000000001</v>
      </c>
      <c r="M914">
        <v>223.08</v>
      </c>
      <c r="N914">
        <f>_xlfn.XLOOKUP(Table13[[#This Row],[Production_Order_ID]],[1]Sheet1!$A$2:$A$391,[1]Sheet1!$F$2:$F$391,"No Match")</f>
        <v>570</v>
      </c>
      <c r="O914" s="3">
        <f>Table13[[#This Row],[Good_Qty]]/Table13[[#This Row],[Planned_Production]]</f>
        <v>1.1473684210526316</v>
      </c>
      <c r="P914" t="str">
        <f>IF(Table13[[#This Row],[Good_Qty]]&gt;=Table13[[#This Row],[Planned_Production]],"Met","Not Met")</f>
        <v>Met</v>
      </c>
      <c r="Q914">
        <f>Table13[[#This Row],[Good_Qty]]-Table13[[#This Row],[Planned_Production]]</f>
        <v>84</v>
      </c>
      <c r="R914" s="3">
        <f>IF(Table13[[#This Row],[Actual_Qty]]=0,0,Table13[[#This Row],[Reject_Qty]]/Table13[[#This Row],[Actual_Qty]])</f>
        <v>1.5267175572519084E-3</v>
      </c>
      <c r="S914">
        <v>438.67</v>
      </c>
      <c r="T914">
        <f>(Table13[[#This Row],[Ideal_Cycle_Time_sec]]*Table13[[#This Row],[Actual_Qty]])/(Table13[[#This Row],[Operational_Time_min]]*60)</f>
        <v>0.47930106914081205</v>
      </c>
      <c r="U914">
        <f>Table13[[#This Row],[Good_Qty]]/Table13[[#This Row],[Actual_Qty]]</f>
        <v>0.99847328244274813</v>
      </c>
      <c r="V914" t="str">
        <f>IF(OR(Table13[[#This Row],[Performance_%]]&gt;=1,Table13[[#This Row],[Performance_%]]&lt;=0),"Error","OK")</f>
        <v>OK</v>
      </c>
      <c r="W914" t="str">
        <f>IF(OR(Table13[[#This Row],[Quality_%]]&gt;=1,Table13[[#This Row],[Quality_%]]&lt;=0),"Error","OK")</f>
        <v>OK</v>
      </c>
      <c r="X914">
        <f>Table13[[#This Row],[Performance_%]]*Table13[[#This Row],[Quality_%]]*[2]Availability_KPI!K914</f>
        <v>0.46652000000000005</v>
      </c>
      <c r="Y914" t="str">
        <f>IF(OR(Table13[[#This Row],[OEE_%]]&gt;1,Table13[[#This Row],[OEE_%]]&lt;0),"Error","OK")</f>
        <v>OK</v>
      </c>
    </row>
    <row r="915" spans="1:25" x14ac:dyDescent="0.2">
      <c r="A915" t="s">
        <v>1079</v>
      </c>
      <c r="B915" t="s">
        <v>1078</v>
      </c>
      <c r="C915" s="2">
        <v>46289</v>
      </c>
      <c r="D915" t="s">
        <v>27</v>
      </c>
      <c r="E915" t="s">
        <v>32</v>
      </c>
      <c r="F915" t="s">
        <v>97</v>
      </c>
      <c r="G915" t="s">
        <v>50</v>
      </c>
      <c r="H915">
        <v>653</v>
      </c>
      <c r="I915">
        <v>652</v>
      </c>
      <c r="J915">
        <v>1</v>
      </c>
      <c r="K915">
        <v>21.4</v>
      </c>
      <c r="L915">
        <v>23.48</v>
      </c>
      <c r="M915">
        <v>255.54</v>
      </c>
      <c r="N915">
        <f>_xlfn.XLOOKUP(Table13[[#This Row],[Production_Order_ID]],[1]Sheet1!$A$2:$A$391,[1]Sheet1!$F$2:$F$391,"No Match")</f>
        <v>570</v>
      </c>
      <c r="O915" s="3">
        <f>Table13[[#This Row],[Good_Qty]]/Table13[[#This Row],[Planned_Production]]</f>
        <v>1.143859649122807</v>
      </c>
      <c r="P915" t="str">
        <f>IF(Table13[[#This Row],[Good_Qty]]&gt;=Table13[[#This Row],[Planned_Production]],"Met","Not Met")</f>
        <v>Met</v>
      </c>
      <c r="Q915">
        <f>Table13[[#This Row],[Good_Qty]]-Table13[[#This Row],[Planned_Production]]</f>
        <v>82</v>
      </c>
      <c r="R915" s="3">
        <f>IF(Table13[[#This Row],[Actual_Qty]]=0,0,Table13[[#This Row],[Reject_Qty]]/Table13[[#This Row],[Actual_Qty]])</f>
        <v>1.5313935681470138E-3</v>
      </c>
      <c r="S915">
        <v>436.42</v>
      </c>
      <c r="T915">
        <f>(Table13[[#This Row],[Ideal_Cycle_Time_sec]]*Table13[[#This Row],[Actual_Qty]])/(Table13[[#This Row],[Operational_Time_min]]*60)</f>
        <v>0.53366787345523414</v>
      </c>
      <c r="U915">
        <f>Table13[[#This Row],[Good_Qty]]/Table13[[#This Row],[Actual_Qty]]</f>
        <v>0.99846860643185298</v>
      </c>
      <c r="V915" t="str">
        <f>IF(OR(Table13[[#This Row],[Performance_%]]&gt;=1,Table13[[#This Row],[Performance_%]]&lt;=0),"Error","OK")</f>
        <v>OK</v>
      </c>
      <c r="W915" t="str">
        <f>IF(OR(Table13[[#This Row],[Quality_%]]&gt;=1,Table13[[#This Row],[Quality_%]]&lt;=0),"Error","OK")</f>
        <v>OK</v>
      </c>
      <c r="X915">
        <f>Table13[[#This Row],[Performance_%]]*Table13[[#This Row],[Quality_%]]*[2]Availability_KPI!K915</f>
        <v>0.51677037037037021</v>
      </c>
      <c r="Y915" t="str">
        <f>IF(OR(Table13[[#This Row],[OEE_%]]&gt;1,Table13[[#This Row],[OEE_%]]&lt;0),"Error","OK")</f>
        <v>OK</v>
      </c>
    </row>
    <row r="916" spans="1:25" x14ac:dyDescent="0.2">
      <c r="A916" t="s">
        <v>1080</v>
      </c>
      <c r="B916" t="s">
        <v>1078</v>
      </c>
      <c r="C916" s="2">
        <v>46289</v>
      </c>
      <c r="D916" t="s">
        <v>27</v>
      </c>
      <c r="E916" t="s">
        <v>35</v>
      </c>
      <c r="F916" t="s">
        <v>97</v>
      </c>
      <c r="G916" t="s">
        <v>61</v>
      </c>
      <c r="H916">
        <v>663</v>
      </c>
      <c r="I916">
        <v>659</v>
      </c>
      <c r="J916">
        <v>4</v>
      </c>
      <c r="K916">
        <v>23.54</v>
      </c>
      <c r="L916">
        <v>24.99</v>
      </c>
      <c r="M916">
        <v>276.17</v>
      </c>
      <c r="N916">
        <f>_xlfn.XLOOKUP(Table13[[#This Row],[Production_Order_ID]],[1]Sheet1!$A$2:$A$391,[1]Sheet1!$F$2:$F$391,"No Match")</f>
        <v>570</v>
      </c>
      <c r="O916" s="3">
        <f>Table13[[#This Row],[Good_Qty]]/Table13[[#This Row],[Planned_Production]]</f>
        <v>1.156140350877193</v>
      </c>
      <c r="P916" t="str">
        <f>IF(Table13[[#This Row],[Good_Qty]]&gt;=Table13[[#This Row],[Planned_Production]],"Met","Not Met")</f>
        <v>Met</v>
      </c>
      <c r="Q916">
        <f>Table13[[#This Row],[Good_Qty]]-Table13[[#This Row],[Planned_Production]]</f>
        <v>89</v>
      </c>
      <c r="R916" s="3">
        <f>IF(Table13[[#This Row],[Actual_Qty]]=0,0,Table13[[#This Row],[Reject_Qty]]/Table13[[#This Row],[Actual_Qty]])</f>
        <v>6.0331825037707393E-3</v>
      </c>
      <c r="S916">
        <v>433.63</v>
      </c>
      <c r="T916">
        <f>(Table13[[#This Row],[Ideal_Cycle_Time_sec]]*Table13[[#This Row],[Actual_Qty]])/(Table13[[#This Row],[Operational_Time_min]]*60)</f>
        <v>0.5998593270760787</v>
      </c>
      <c r="U916">
        <f>Table13[[#This Row],[Good_Qty]]/Table13[[#This Row],[Actual_Qty]]</f>
        <v>0.99396681749622928</v>
      </c>
      <c r="V916" t="str">
        <f>IF(OR(Table13[[#This Row],[Performance_%]]&gt;=1,Table13[[#This Row],[Performance_%]]&lt;=0),"Error","OK")</f>
        <v>OK</v>
      </c>
      <c r="W916" t="str">
        <f>IF(OR(Table13[[#This Row],[Quality_%]]&gt;=1,Table13[[#This Row],[Quality_%]]&lt;=0),"Error","OK")</f>
        <v>OK</v>
      </c>
      <c r="X916">
        <f>Table13[[#This Row],[Performance_%]]*Table13[[#This Row],[Quality_%]]*[2]Availability_KPI!K916</f>
        <v>0.57455037037037038</v>
      </c>
      <c r="Y916" t="str">
        <f>IF(OR(Table13[[#This Row],[OEE_%]]&gt;1,Table13[[#This Row],[OEE_%]]&lt;0),"Error","OK")</f>
        <v>OK</v>
      </c>
    </row>
    <row r="917" spans="1:25" x14ac:dyDescent="0.2">
      <c r="A917" t="s">
        <v>1081</v>
      </c>
      <c r="B917" t="s">
        <v>1078</v>
      </c>
      <c r="C917" s="2">
        <v>46289</v>
      </c>
      <c r="D917" t="s">
        <v>27</v>
      </c>
      <c r="E917" t="s">
        <v>38</v>
      </c>
      <c r="F917" t="s">
        <v>97</v>
      </c>
      <c r="G917" t="s">
        <v>61</v>
      </c>
      <c r="H917">
        <v>666</v>
      </c>
      <c r="I917">
        <v>663</v>
      </c>
      <c r="J917">
        <v>3</v>
      </c>
      <c r="K917">
        <v>21.4</v>
      </c>
      <c r="L917">
        <v>21.92</v>
      </c>
      <c r="M917">
        <v>243.27</v>
      </c>
      <c r="N917">
        <f>_xlfn.XLOOKUP(Table13[[#This Row],[Production_Order_ID]],[1]Sheet1!$A$2:$A$391,[1]Sheet1!$F$2:$F$391,"No Match")</f>
        <v>570</v>
      </c>
      <c r="O917" s="3">
        <f>Table13[[#This Row],[Good_Qty]]/Table13[[#This Row],[Planned_Production]]</f>
        <v>1.1631578947368422</v>
      </c>
      <c r="P917" t="str">
        <f>IF(Table13[[#This Row],[Good_Qty]]&gt;=Table13[[#This Row],[Planned_Production]],"Met","Not Met")</f>
        <v>Met</v>
      </c>
      <c r="Q917">
        <f>Table13[[#This Row],[Good_Qty]]-Table13[[#This Row],[Planned_Production]]</f>
        <v>93</v>
      </c>
      <c r="R917" s="3">
        <f>IF(Table13[[#This Row],[Actual_Qty]]=0,0,Table13[[#This Row],[Reject_Qty]]/Table13[[#This Row],[Actual_Qty]])</f>
        <v>4.5045045045045045E-3</v>
      </c>
      <c r="S917">
        <v>437.33</v>
      </c>
      <c r="T917">
        <f>(Table13[[#This Row],[Ideal_Cycle_Time_sec]]*Table13[[#This Row],[Actual_Qty]])/(Table13[[#This Row],[Operational_Time_min]]*60)</f>
        <v>0.54315962774106508</v>
      </c>
      <c r="U917">
        <f>Table13[[#This Row],[Good_Qty]]/Table13[[#This Row],[Actual_Qty]]</f>
        <v>0.99549549549549554</v>
      </c>
      <c r="V917" t="str">
        <f>IF(OR(Table13[[#This Row],[Performance_%]]&gt;=1,Table13[[#This Row],[Performance_%]]&lt;=0),"Error","OK")</f>
        <v>OK</v>
      </c>
      <c r="W917" t="str">
        <f>IF(OR(Table13[[#This Row],[Quality_%]]&gt;=1,Table13[[#This Row],[Quality_%]]&lt;=0),"Error","OK")</f>
        <v>OK</v>
      </c>
      <c r="X917">
        <f>Table13[[#This Row],[Performance_%]]*Table13[[#This Row],[Quality_%]]*[2]Availability_KPI!K917</f>
        <v>0.52548888888888889</v>
      </c>
      <c r="Y917" t="str">
        <f>IF(OR(Table13[[#This Row],[OEE_%]]&gt;1,Table13[[#This Row],[OEE_%]]&lt;0),"Error","OK")</f>
        <v>OK</v>
      </c>
    </row>
    <row r="918" spans="1:25" x14ac:dyDescent="0.2">
      <c r="A918" t="s">
        <v>1082</v>
      </c>
      <c r="B918" t="s">
        <v>1078</v>
      </c>
      <c r="C918" s="2">
        <v>46289</v>
      </c>
      <c r="D918" t="s">
        <v>27</v>
      </c>
      <c r="E918" t="s">
        <v>41</v>
      </c>
      <c r="F918" t="s">
        <v>97</v>
      </c>
      <c r="G918" t="s">
        <v>39</v>
      </c>
      <c r="H918">
        <v>660</v>
      </c>
      <c r="I918">
        <v>655</v>
      </c>
      <c r="J918">
        <v>5</v>
      </c>
      <c r="K918">
        <v>19.260000000000002</v>
      </c>
      <c r="L918">
        <v>19.82</v>
      </c>
      <c r="M918">
        <v>218.02</v>
      </c>
      <c r="N918">
        <f>_xlfn.XLOOKUP(Table13[[#This Row],[Production_Order_ID]],[1]Sheet1!$A$2:$A$391,[1]Sheet1!$F$2:$F$391,"No Match")</f>
        <v>570</v>
      </c>
      <c r="O918" s="3">
        <f>Table13[[#This Row],[Good_Qty]]/Table13[[#This Row],[Planned_Production]]</f>
        <v>1.1491228070175439</v>
      </c>
      <c r="P918" t="str">
        <f>IF(Table13[[#This Row],[Good_Qty]]&gt;=Table13[[#This Row],[Planned_Production]],"Met","Not Met")</f>
        <v>Met</v>
      </c>
      <c r="Q918">
        <f>Table13[[#This Row],[Good_Qty]]-Table13[[#This Row],[Planned_Production]]</f>
        <v>85</v>
      </c>
      <c r="R918" s="3">
        <f>IF(Table13[[#This Row],[Actual_Qty]]=0,0,Table13[[#This Row],[Reject_Qty]]/Table13[[#This Row],[Actual_Qty]])</f>
        <v>7.575757575757576E-3</v>
      </c>
      <c r="S918">
        <v>435</v>
      </c>
      <c r="T918">
        <f>(Table13[[#This Row],[Ideal_Cycle_Time_sec]]*Table13[[#This Row],[Actual_Qty]])/(Table13[[#This Row],[Operational_Time_min]]*60)</f>
        <v>0.48703448275862071</v>
      </c>
      <c r="U918">
        <f>Table13[[#This Row],[Good_Qty]]/Table13[[#This Row],[Actual_Qty]]</f>
        <v>0.99242424242424243</v>
      </c>
      <c r="V918" t="str">
        <f>IF(OR(Table13[[#This Row],[Performance_%]]&gt;=1,Table13[[#This Row],[Performance_%]]&lt;=0),"Error","OK")</f>
        <v>OK</v>
      </c>
      <c r="W918" t="str">
        <f>IF(OR(Table13[[#This Row],[Quality_%]]&gt;=1,Table13[[#This Row],[Quality_%]]&lt;=0),"Error","OK")</f>
        <v>OK</v>
      </c>
      <c r="X918">
        <f>Table13[[#This Row],[Performance_%]]*Table13[[#This Row],[Quality_%]]*[2]Availability_KPI!K918</f>
        <v>0.46723333333333339</v>
      </c>
      <c r="Y918" t="str">
        <f>IF(OR(Table13[[#This Row],[OEE_%]]&gt;1,Table13[[#This Row],[OEE_%]]&lt;0),"Error","OK")</f>
        <v>OK</v>
      </c>
    </row>
    <row r="919" spans="1:25" x14ac:dyDescent="0.2">
      <c r="A919" t="s">
        <v>1083</v>
      </c>
      <c r="B919" t="s">
        <v>1078</v>
      </c>
      <c r="C919" s="2">
        <v>46289</v>
      </c>
      <c r="D919" t="s">
        <v>27</v>
      </c>
      <c r="E919" t="s">
        <v>43</v>
      </c>
      <c r="F919" t="s">
        <v>97</v>
      </c>
      <c r="G919" t="s">
        <v>50</v>
      </c>
      <c r="H919">
        <v>664</v>
      </c>
      <c r="I919">
        <v>654</v>
      </c>
      <c r="J919">
        <v>10</v>
      </c>
      <c r="K919">
        <v>34.24</v>
      </c>
      <c r="L919">
        <v>38.14</v>
      </c>
      <c r="M919">
        <v>422.07</v>
      </c>
      <c r="N919">
        <f>_xlfn.XLOOKUP(Table13[[#This Row],[Production_Order_ID]],[1]Sheet1!$A$2:$A$391,[1]Sheet1!$F$2:$F$391,"No Match")</f>
        <v>570</v>
      </c>
      <c r="O919" s="3">
        <f>Table13[[#This Row],[Good_Qty]]/Table13[[#This Row],[Planned_Production]]</f>
        <v>1.1473684210526316</v>
      </c>
      <c r="P919" t="str">
        <f>IF(Table13[[#This Row],[Good_Qty]]&gt;=Table13[[#This Row],[Planned_Production]],"Met","Not Met")</f>
        <v>Met</v>
      </c>
      <c r="Q919">
        <f>Table13[[#This Row],[Good_Qty]]-Table13[[#This Row],[Planned_Production]]</f>
        <v>84</v>
      </c>
      <c r="R919" s="3">
        <f>IF(Table13[[#This Row],[Actual_Qty]]=0,0,Table13[[#This Row],[Reject_Qty]]/Table13[[#This Row],[Actual_Qty]])</f>
        <v>1.5060240963855422E-2</v>
      </c>
      <c r="S919">
        <v>402.07</v>
      </c>
      <c r="T919">
        <f>(Table13[[#This Row],[Ideal_Cycle_Time_sec]]*Table13[[#This Row],[Actual_Qty]])/(Table13[[#This Row],[Operational_Time_min]]*60)</f>
        <v>0.94242959352019962</v>
      </c>
      <c r="U919">
        <f>Table13[[#This Row],[Good_Qty]]/Table13[[#This Row],[Actual_Qty]]</f>
        <v>0.98493975903614461</v>
      </c>
      <c r="V919" t="str">
        <f>IF(OR(Table13[[#This Row],[Performance_%]]&gt;=1,Table13[[#This Row],[Performance_%]]&lt;=0),"Error","OK")</f>
        <v>OK</v>
      </c>
      <c r="W919" t="str">
        <f>IF(OR(Table13[[#This Row],[Quality_%]]&gt;=1,Table13[[#This Row],[Quality_%]]&lt;=0),"Error","OK")</f>
        <v>OK</v>
      </c>
      <c r="X919">
        <f>Table13[[#This Row],[Performance_%]]*Table13[[#This Row],[Quality_%]]*[2]Availability_KPI!K919</f>
        <v>0.82936888888888893</v>
      </c>
      <c r="Y919" t="str">
        <f>IF(OR(Table13[[#This Row],[OEE_%]]&gt;1,Table13[[#This Row],[OEE_%]]&lt;0),"Error","OK")</f>
        <v>OK</v>
      </c>
    </row>
    <row r="920" spans="1:25" x14ac:dyDescent="0.2">
      <c r="A920" t="s">
        <v>1084</v>
      </c>
      <c r="B920" t="s">
        <v>1078</v>
      </c>
      <c r="C920" s="2">
        <v>46289</v>
      </c>
      <c r="D920" t="s">
        <v>27</v>
      </c>
      <c r="E920" t="s">
        <v>46</v>
      </c>
      <c r="F920" t="s">
        <v>97</v>
      </c>
      <c r="G920" t="s">
        <v>30</v>
      </c>
      <c r="H920">
        <v>657</v>
      </c>
      <c r="I920">
        <v>651</v>
      </c>
      <c r="J920">
        <v>6</v>
      </c>
      <c r="K920">
        <v>26.75</v>
      </c>
      <c r="L920">
        <v>28.8</v>
      </c>
      <c r="M920">
        <v>315.37</v>
      </c>
      <c r="N920">
        <f>_xlfn.XLOOKUP(Table13[[#This Row],[Production_Order_ID]],[1]Sheet1!$A$2:$A$391,[1]Sheet1!$F$2:$F$391,"No Match")</f>
        <v>570</v>
      </c>
      <c r="O920" s="3">
        <f>Table13[[#This Row],[Good_Qty]]/Table13[[#This Row],[Planned_Production]]</f>
        <v>1.1421052631578947</v>
      </c>
      <c r="P920" t="str">
        <f>IF(Table13[[#This Row],[Good_Qty]]&gt;=Table13[[#This Row],[Planned_Production]],"Met","Not Met")</f>
        <v>Met</v>
      </c>
      <c r="Q920">
        <f>Table13[[#This Row],[Good_Qty]]-Table13[[#This Row],[Planned_Production]]</f>
        <v>81</v>
      </c>
      <c r="R920" s="3">
        <f>IF(Table13[[#This Row],[Actual_Qty]]=0,0,Table13[[#This Row],[Reject_Qty]]/Table13[[#This Row],[Actual_Qty]])</f>
        <v>9.1324200913242004E-3</v>
      </c>
      <c r="S920">
        <v>423.22</v>
      </c>
      <c r="T920">
        <f>(Table13[[#This Row],[Ideal_Cycle_Time_sec]]*Table13[[#This Row],[Actual_Qty]])/(Table13[[#This Row],[Operational_Time_min]]*60)</f>
        <v>0.69210457917867774</v>
      </c>
      <c r="U920">
        <f>Table13[[#This Row],[Good_Qty]]/Table13[[#This Row],[Actual_Qty]]</f>
        <v>0.9908675799086758</v>
      </c>
      <c r="V920" t="str">
        <f>IF(OR(Table13[[#This Row],[Performance_%]]&gt;=1,Table13[[#This Row],[Performance_%]]&lt;=0),"Error","OK")</f>
        <v>OK</v>
      </c>
      <c r="W920" t="str">
        <f>IF(OR(Table13[[#This Row],[Quality_%]]&gt;=1,Table13[[#This Row],[Quality_%]]&lt;=0),"Error","OK")</f>
        <v>OK</v>
      </c>
      <c r="X920">
        <f>Table13[[#This Row],[Performance_%]]*Table13[[#This Row],[Quality_%]]*[2]Availability_KPI!K920</f>
        <v>0.64497222222222228</v>
      </c>
      <c r="Y920" t="str">
        <f>IF(OR(Table13[[#This Row],[OEE_%]]&gt;1,Table13[[#This Row],[OEE_%]]&lt;0),"Error","OK")</f>
        <v>OK</v>
      </c>
    </row>
    <row r="921" spans="1:25" x14ac:dyDescent="0.2">
      <c r="A921" t="s">
        <v>1085</v>
      </c>
      <c r="B921" t="s">
        <v>1078</v>
      </c>
      <c r="C921" s="2">
        <v>46289</v>
      </c>
      <c r="D921" t="s">
        <v>27</v>
      </c>
      <c r="E921" t="s">
        <v>49</v>
      </c>
      <c r="F921" t="s">
        <v>97</v>
      </c>
      <c r="G921" t="s">
        <v>75</v>
      </c>
      <c r="H921">
        <v>654</v>
      </c>
      <c r="I921">
        <v>651</v>
      </c>
      <c r="J921">
        <v>3</v>
      </c>
      <c r="K921">
        <v>21.4</v>
      </c>
      <c r="L921">
        <v>21.44</v>
      </c>
      <c r="M921">
        <v>233.71</v>
      </c>
      <c r="N921">
        <f>_xlfn.XLOOKUP(Table13[[#This Row],[Production_Order_ID]],[1]Sheet1!$A$2:$A$391,[1]Sheet1!$F$2:$F$391,"No Match")</f>
        <v>570</v>
      </c>
      <c r="O921" s="3">
        <f>Table13[[#This Row],[Good_Qty]]/Table13[[#This Row],[Planned_Production]]</f>
        <v>1.1421052631578947</v>
      </c>
      <c r="P921" t="str">
        <f>IF(Table13[[#This Row],[Good_Qty]]&gt;=Table13[[#This Row],[Planned_Production]],"Met","Not Met")</f>
        <v>Met</v>
      </c>
      <c r="Q921">
        <f>Table13[[#This Row],[Good_Qty]]-Table13[[#This Row],[Planned_Production]]</f>
        <v>81</v>
      </c>
      <c r="R921" s="3">
        <f>IF(Table13[[#This Row],[Actual_Qty]]=0,0,Table13[[#This Row],[Reject_Qty]]/Table13[[#This Row],[Actual_Qty]])</f>
        <v>4.5871559633027525E-3</v>
      </c>
      <c r="S921">
        <v>438.89</v>
      </c>
      <c r="T921">
        <f>(Table13[[#This Row],[Ideal_Cycle_Time_sec]]*Table13[[#This Row],[Actual_Qty]])/(Table13[[#This Row],[Operational_Time_min]]*60)</f>
        <v>0.53147713550092279</v>
      </c>
      <c r="U921">
        <f>Table13[[#This Row],[Good_Qty]]/Table13[[#This Row],[Actual_Qty]]</f>
        <v>0.99541284403669728</v>
      </c>
      <c r="V921" t="str">
        <f>IF(OR(Table13[[#This Row],[Performance_%]]&gt;=1,Table13[[#This Row],[Performance_%]]&lt;=0),"Error","OK")</f>
        <v>OK</v>
      </c>
      <c r="W921" t="str">
        <f>IF(OR(Table13[[#This Row],[Quality_%]]&gt;=1,Table13[[#This Row],[Quality_%]]&lt;=0),"Error","OK")</f>
        <v>OK</v>
      </c>
      <c r="X921">
        <f>Table13[[#This Row],[Performance_%]]*Table13[[#This Row],[Quality_%]]*[2]Availability_KPI!K921</f>
        <v>0.51597777777777776</v>
      </c>
      <c r="Y921" t="str">
        <f>IF(OR(Table13[[#This Row],[OEE_%]]&gt;1,Table13[[#This Row],[OEE_%]]&lt;0),"Error","OK")</f>
        <v>OK</v>
      </c>
    </row>
    <row r="922" spans="1:25" x14ac:dyDescent="0.2">
      <c r="A922" t="s">
        <v>1086</v>
      </c>
      <c r="B922" t="s">
        <v>1087</v>
      </c>
      <c r="C922" s="2">
        <v>46289</v>
      </c>
      <c r="D922" t="s">
        <v>53</v>
      </c>
      <c r="E922" t="s">
        <v>28</v>
      </c>
      <c r="F922" t="s">
        <v>54</v>
      </c>
      <c r="G922" t="s">
        <v>55</v>
      </c>
      <c r="H922">
        <v>652</v>
      </c>
      <c r="I922">
        <v>647</v>
      </c>
      <c r="J922">
        <v>5</v>
      </c>
      <c r="K922">
        <v>18</v>
      </c>
      <c r="L922">
        <v>18.36</v>
      </c>
      <c r="M922">
        <v>199.55</v>
      </c>
      <c r="N922">
        <f>_xlfn.XLOOKUP(Table13[[#This Row],[Production_Order_ID]],[1]Sheet1!$A$2:$A$391,[1]Sheet1!$F$2:$F$391,"No Match")</f>
        <v>670</v>
      </c>
      <c r="O922" s="3">
        <f>Table13[[#This Row],[Good_Qty]]/Table13[[#This Row],[Planned_Production]]</f>
        <v>0.96567164179104481</v>
      </c>
      <c r="P922" t="str">
        <f>IF(Table13[[#This Row],[Good_Qty]]&gt;=Table13[[#This Row],[Planned_Production]],"Met","Not Met")</f>
        <v>Not Met</v>
      </c>
      <c r="Q922">
        <f>Table13[[#This Row],[Good_Qty]]-Table13[[#This Row],[Planned_Production]]</f>
        <v>-23</v>
      </c>
      <c r="R922" s="3">
        <f>IF(Table13[[#This Row],[Actual_Qty]]=0,0,Table13[[#This Row],[Reject_Qty]]/Table13[[#This Row],[Actual_Qty]])</f>
        <v>7.6687116564417178E-3</v>
      </c>
      <c r="S922">
        <v>440.2</v>
      </c>
      <c r="T922">
        <f>(Table13[[#This Row],[Ideal_Cycle_Time_sec]]*Table13[[#This Row],[Actual_Qty]])/(Table13[[#This Row],[Operational_Time_min]]*60)</f>
        <v>0.44434348023625625</v>
      </c>
      <c r="U922">
        <f>Table13[[#This Row],[Good_Qty]]/Table13[[#This Row],[Actual_Qty]]</f>
        <v>0.99233128834355833</v>
      </c>
      <c r="V922" t="str">
        <f>IF(OR(Table13[[#This Row],[Performance_%]]&gt;=1,Table13[[#This Row],[Performance_%]]&lt;=0),"Error","OK")</f>
        <v>OK</v>
      </c>
      <c r="W922" t="str">
        <f>IF(OR(Table13[[#This Row],[Quality_%]]&gt;=1,Table13[[#This Row],[Quality_%]]&lt;=0),"Error","OK")</f>
        <v>OK</v>
      </c>
      <c r="X922">
        <f>Table13[[#This Row],[Performance_%]]*Table13[[#This Row],[Quality_%]]*[2]Availability_KPI!K922</f>
        <v>0.43133333333333335</v>
      </c>
      <c r="Y922" t="str">
        <f>IF(OR(Table13[[#This Row],[OEE_%]]&gt;1,Table13[[#This Row],[OEE_%]]&lt;0),"Error","OK")</f>
        <v>OK</v>
      </c>
    </row>
    <row r="923" spans="1:25" x14ac:dyDescent="0.2">
      <c r="A923" t="s">
        <v>1088</v>
      </c>
      <c r="B923" t="s">
        <v>1087</v>
      </c>
      <c r="C923" s="2">
        <v>46289</v>
      </c>
      <c r="D923" t="s">
        <v>53</v>
      </c>
      <c r="E923" t="s">
        <v>32</v>
      </c>
      <c r="F923" t="s">
        <v>54</v>
      </c>
      <c r="G923" t="s">
        <v>30</v>
      </c>
      <c r="H923">
        <v>650</v>
      </c>
      <c r="I923">
        <v>645</v>
      </c>
      <c r="J923">
        <v>5</v>
      </c>
      <c r="K923">
        <v>20</v>
      </c>
      <c r="L923">
        <v>20.57</v>
      </c>
      <c r="M923">
        <v>222.85</v>
      </c>
      <c r="N923">
        <f>_xlfn.XLOOKUP(Table13[[#This Row],[Production_Order_ID]],[1]Sheet1!$A$2:$A$391,[1]Sheet1!$F$2:$F$391,"No Match")</f>
        <v>670</v>
      </c>
      <c r="O923" s="3">
        <f>Table13[[#This Row],[Good_Qty]]/Table13[[#This Row],[Planned_Production]]</f>
        <v>0.96268656716417911</v>
      </c>
      <c r="P923" t="str">
        <f>IF(Table13[[#This Row],[Good_Qty]]&gt;=Table13[[#This Row],[Planned_Production]],"Met","Not Met")</f>
        <v>Not Met</v>
      </c>
      <c r="Q923">
        <f>Table13[[#This Row],[Good_Qty]]-Table13[[#This Row],[Planned_Production]]</f>
        <v>-25</v>
      </c>
      <c r="R923" s="3">
        <f>IF(Table13[[#This Row],[Actual_Qty]]=0,0,Table13[[#This Row],[Reject_Qty]]/Table13[[#This Row],[Actual_Qty]])</f>
        <v>7.6923076923076927E-3</v>
      </c>
      <c r="S923">
        <v>440.47</v>
      </c>
      <c r="T923">
        <f>(Table13[[#This Row],[Ideal_Cycle_Time_sec]]*Table13[[#This Row],[Actual_Qty]])/(Table13[[#This Row],[Operational_Time_min]]*60)</f>
        <v>0.4918988050642874</v>
      </c>
      <c r="U923">
        <f>Table13[[#This Row],[Good_Qty]]/Table13[[#This Row],[Actual_Qty]]</f>
        <v>0.99230769230769234</v>
      </c>
      <c r="V923" t="str">
        <f>IF(OR(Table13[[#This Row],[Performance_%]]&gt;=1,Table13[[#This Row],[Performance_%]]&lt;=0),"Error","OK")</f>
        <v>OK</v>
      </c>
      <c r="W923" t="str">
        <f>IF(OR(Table13[[#This Row],[Quality_%]]&gt;=1,Table13[[#This Row],[Quality_%]]&lt;=0),"Error","OK")</f>
        <v>OK</v>
      </c>
      <c r="X923">
        <f>Table13[[#This Row],[Performance_%]]*Table13[[#This Row],[Quality_%]]*[2]Availability_KPI!K923</f>
        <v>0.4777777777777778</v>
      </c>
      <c r="Y923" t="str">
        <f>IF(OR(Table13[[#This Row],[OEE_%]]&gt;1,Table13[[#This Row],[OEE_%]]&lt;0),"Error","OK")</f>
        <v>OK</v>
      </c>
    </row>
    <row r="924" spans="1:25" x14ac:dyDescent="0.2">
      <c r="A924" t="s">
        <v>1089</v>
      </c>
      <c r="B924" t="s">
        <v>1087</v>
      </c>
      <c r="C924" s="2">
        <v>46289</v>
      </c>
      <c r="D924" t="s">
        <v>53</v>
      </c>
      <c r="E924" t="s">
        <v>35</v>
      </c>
      <c r="F924" t="s">
        <v>54</v>
      </c>
      <c r="G924" t="s">
        <v>33</v>
      </c>
      <c r="H924">
        <v>658</v>
      </c>
      <c r="I924">
        <v>655</v>
      </c>
      <c r="J924">
        <v>3</v>
      </c>
      <c r="K924">
        <v>22</v>
      </c>
      <c r="L924">
        <v>23.12</v>
      </c>
      <c r="M924">
        <v>253.51</v>
      </c>
      <c r="N924">
        <f>_xlfn.XLOOKUP(Table13[[#This Row],[Production_Order_ID]],[1]Sheet1!$A$2:$A$391,[1]Sheet1!$F$2:$F$391,"No Match")</f>
        <v>670</v>
      </c>
      <c r="O924" s="3">
        <f>Table13[[#This Row],[Good_Qty]]/Table13[[#This Row],[Planned_Production]]</f>
        <v>0.97761194029850751</v>
      </c>
      <c r="P924" t="str">
        <f>IF(Table13[[#This Row],[Good_Qty]]&gt;=Table13[[#This Row],[Planned_Production]],"Met","Not Met")</f>
        <v>Not Met</v>
      </c>
      <c r="Q924">
        <f>Table13[[#This Row],[Good_Qty]]-Table13[[#This Row],[Planned_Production]]</f>
        <v>-15</v>
      </c>
      <c r="R924" s="3">
        <f>IF(Table13[[#This Row],[Actual_Qty]]=0,0,Table13[[#This Row],[Reject_Qty]]/Table13[[#This Row],[Actual_Qty]])</f>
        <v>4.559270516717325E-3</v>
      </c>
      <c r="S924">
        <v>432.48</v>
      </c>
      <c r="T924">
        <f>(Table13[[#This Row],[Ideal_Cycle_Time_sec]]*Table13[[#This Row],[Actual_Qty]])/(Table13[[#This Row],[Operational_Time_min]]*60)</f>
        <v>0.55786780120853363</v>
      </c>
      <c r="U924">
        <f>Table13[[#This Row],[Good_Qty]]/Table13[[#This Row],[Actual_Qty]]</f>
        <v>0.99544072948328266</v>
      </c>
      <c r="V924" t="str">
        <f>IF(OR(Table13[[#This Row],[Performance_%]]&gt;=1,Table13[[#This Row],[Performance_%]]&lt;=0),"Error","OK")</f>
        <v>OK</v>
      </c>
      <c r="W924" t="str">
        <f>IF(OR(Table13[[#This Row],[Quality_%]]&gt;=1,Table13[[#This Row],[Quality_%]]&lt;=0),"Error","OK")</f>
        <v>OK</v>
      </c>
      <c r="X924">
        <f>Table13[[#This Row],[Performance_%]]*Table13[[#This Row],[Quality_%]]*[2]Availability_KPI!K924</f>
        <v>0.53370370370370368</v>
      </c>
      <c r="Y924" t="str">
        <f>IF(OR(Table13[[#This Row],[OEE_%]]&gt;1,Table13[[#This Row],[OEE_%]]&lt;0),"Error","OK")</f>
        <v>OK</v>
      </c>
    </row>
    <row r="925" spans="1:25" x14ac:dyDescent="0.2">
      <c r="A925" t="s">
        <v>1090</v>
      </c>
      <c r="B925" t="s">
        <v>1087</v>
      </c>
      <c r="C925" s="2">
        <v>46289</v>
      </c>
      <c r="D925" t="s">
        <v>53</v>
      </c>
      <c r="E925" t="s">
        <v>38</v>
      </c>
      <c r="F925" t="s">
        <v>54</v>
      </c>
      <c r="G925" t="s">
        <v>33</v>
      </c>
      <c r="H925">
        <v>638</v>
      </c>
      <c r="I925">
        <v>634</v>
      </c>
      <c r="J925">
        <v>4</v>
      </c>
      <c r="K925">
        <v>20</v>
      </c>
      <c r="L925">
        <v>20.65</v>
      </c>
      <c r="M925">
        <v>219.56</v>
      </c>
      <c r="N925">
        <f>_xlfn.XLOOKUP(Table13[[#This Row],[Production_Order_ID]],[1]Sheet1!$A$2:$A$391,[1]Sheet1!$F$2:$F$391,"No Match")</f>
        <v>670</v>
      </c>
      <c r="O925" s="3">
        <f>Table13[[#This Row],[Good_Qty]]/Table13[[#This Row],[Planned_Production]]</f>
        <v>0.94626865671641791</v>
      </c>
      <c r="P925" t="str">
        <f>IF(Table13[[#This Row],[Good_Qty]]&gt;=Table13[[#This Row],[Planned_Production]],"Met","Not Met")</f>
        <v>Not Met</v>
      </c>
      <c r="Q925">
        <f>Table13[[#This Row],[Good_Qty]]-Table13[[#This Row],[Planned_Production]]</f>
        <v>-36</v>
      </c>
      <c r="R925" s="3">
        <f>IF(Table13[[#This Row],[Actual_Qty]]=0,0,Table13[[#This Row],[Reject_Qty]]/Table13[[#This Row],[Actual_Qty]])</f>
        <v>6.269592476489028E-3</v>
      </c>
      <c r="S925">
        <v>437.27</v>
      </c>
      <c r="T925">
        <f>(Table13[[#This Row],[Ideal_Cycle_Time_sec]]*Table13[[#This Row],[Actual_Qty]])/(Table13[[#This Row],[Operational_Time_min]]*60)</f>
        <v>0.4863509197216061</v>
      </c>
      <c r="U925">
        <f>Table13[[#This Row],[Good_Qty]]/Table13[[#This Row],[Actual_Qty]]</f>
        <v>0.99373040752351094</v>
      </c>
      <c r="V925" t="str">
        <f>IF(OR(Table13[[#This Row],[Performance_%]]&gt;=1,Table13[[#This Row],[Performance_%]]&lt;=0),"Error","OK")</f>
        <v>OK</v>
      </c>
      <c r="W925" t="str">
        <f>IF(OR(Table13[[#This Row],[Quality_%]]&gt;=1,Table13[[#This Row],[Quality_%]]&lt;=0),"Error","OK")</f>
        <v>OK</v>
      </c>
      <c r="X925">
        <f>Table13[[#This Row],[Performance_%]]*Table13[[#This Row],[Quality_%]]*[2]Availability_KPI!K925</f>
        <v>0.46962962962962967</v>
      </c>
      <c r="Y925" t="str">
        <f>IF(OR(Table13[[#This Row],[OEE_%]]&gt;1,Table13[[#This Row],[OEE_%]]&lt;0),"Error","OK")</f>
        <v>OK</v>
      </c>
    </row>
    <row r="926" spans="1:25" x14ac:dyDescent="0.2">
      <c r="A926" t="s">
        <v>1091</v>
      </c>
      <c r="B926" t="s">
        <v>1087</v>
      </c>
      <c r="C926" s="2">
        <v>46289</v>
      </c>
      <c r="D926" t="s">
        <v>53</v>
      </c>
      <c r="E926" t="s">
        <v>41</v>
      </c>
      <c r="F926" t="s">
        <v>54</v>
      </c>
      <c r="G926" t="s">
        <v>36</v>
      </c>
      <c r="H926">
        <v>646</v>
      </c>
      <c r="I926">
        <v>642</v>
      </c>
      <c r="J926">
        <v>4</v>
      </c>
      <c r="K926">
        <v>18</v>
      </c>
      <c r="L926">
        <v>18.510000000000002</v>
      </c>
      <c r="M926">
        <v>199.29</v>
      </c>
      <c r="N926">
        <f>_xlfn.XLOOKUP(Table13[[#This Row],[Production_Order_ID]],[1]Sheet1!$A$2:$A$391,[1]Sheet1!$F$2:$F$391,"No Match")</f>
        <v>670</v>
      </c>
      <c r="O926" s="3">
        <f>Table13[[#This Row],[Good_Qty]]/Table13[[#This Row],[Planned_Production]]</f>
        <v>0.95820895522388061</v>
      </c>
      <c r="P926" t="str">
        <f>IF(Table13[[#This Row],[Good_Qty]]&gt;=Table13[[#This Row],[Planned_Production]],"Met","Not Met")</f>
        <v>Not Met</v>
      </c>
      <c r="Q926">
        <f>Table13[[#This Row],[Good_Qty]]-Table13[[#This Row],[Planned_Production]]</f>
        <v>-28</v>
      </c>
      <c r="R926" s="3">
        <f>IF(Table13[[#This Row],[Actual_Qty]]=0,0,Table13[[#This Row],[Reject_Qty]]/Table13[[#This Row],[Actual_Qty]])</f>
        <v>6.1919504643962852E-3</v>
      </c>
      <c r="S926">
        <v>437.76</v>
      </c>
      <c r="T926">
        <f>(Table13[[#This Row],[Ideal_Cycle_Time_sec]]*Table13[[#This Row],[Actual_Qty]])/(Table13[[#This Row],[Operational_Time_min]]*60)</f>
        <v>0.44270833333333337</v>
      </c>
      <c r="U926">
        <f>Table13[[#This Row],[Good_Qty]]/Table13[[#This Row],[Actual_Qty]]</f>
        <v>0.99380804953560375</v>
      </c>
      <c r="V926" t="str">
        <f>IF(OR(Table13[[#This Row],[Performance_%]]&gt;=1,Table13[[#This Row],[Performance_%]]&lt;=0),"Error","OK")</f>
        <v>OK</v>
      </c>
      <c r="W926" t="str">
        <f>IF(OR(Table13[[#This Row],[Quality_%]]&gt;=1,Table13[[#This Row],[Quality_%]]&lt;=0),"Error","OK")</f>
        <v>OK</v>
      </c>
      <c r="X926">
        <f>Table13[[#This Row],[Performance_%]]*Table13[[#This Row],[Quality_%]]*[2]Availability_KPI!K926</f>
        <v>0.42800000000000005</v>
      </c>
      <c r="Y926" t="str">
        <f>IF(OR(Table13[[#This Row],[OEE_%]]&gt;1,Table13[[#This Row],[OEE_%]]&lt;0),"Error","OK")</f>
        <v>OK</v>
      </c>
    </row>
    <row r="927" spans="1:25" x14ac:dyDescent="0.2">
      <c r="A927" t="s">
        <v>1092</v>
      </c>
      <c r="B927" t="s">
        <v>1087</v>
      </c>
      <c r="C927" s="2">
        <v>46289</v>
      </c>
      <c r="D927" t="s">
        <v>53</v>
      </c>
      <c r="E927" t="s">
        <v>43</v>
      </c>
      <c r="F927" t="s">
        <v>54</v>
      </c>
      <c r="G927" t="s">
        <v>47</v>
      </c>
      <c r="H927">
        <v>647</v>
      </c>
      <c r="I927">
        <v>636</v>
      </c>
      <c r="J927">
        <v>11</v>
      </c>
      <c r="K927">
        <v>32</v>
      </c>
      <c r="L927">
        <v>36.33</v>
      </c>
      <c r="M927">
        <v>391.75</v>
      </c>
      <c r="N927">
        <f>_xlfn.XLOOKUP(Table13[[#This Row],[Production_Order_ID]],[1]Sheet1!$A$2:$A$391,[1]Sheet1!$F$2:$F$391,"No Match")</f>
        <v>670</v>
      </c>
      <c r="O927" s="3">
        <f>Table13[[#This Row],[Good_Qty]]/Table13[[#This Row],[Planned_Production]]</f>
        <v>0.94925373134328361</v>
      </c>
      <c r="P927" t="str">
        <f>IF(Table13[[#This Row],[Good_Qty]]&gt;=Table13[[#This Row],[Planned_Production]],"Met","Not Met")</f>
        <v>Not Met</v>
      </c>
      <c r="Q927">
        <f>Table13[[#This Row],[Good_Qty]]-Table13[[#This Row],[Planned_Production]]</f>
        <v>-34</v>
      </c>
      <c r="R927" s="3">
        <f>IF(Table13[[#This Row],[Actual_Qty]]=0,0,Table13[[#This Row],[Reject_Qty]]/Table13[[#This Row],[Actual_Qty]])</f>
        <v>1.7001545595054096E-2</v>
      </c>
      <c r="S927">
        <v>414.93</v>
      </c>
      <c r="T927">
        <f>(Table13[[#This Row],[Ideal_Cycle_Time_sec]]*Table13[[#This Row],[Actual_Qty]])/(Table13[[#This Row],[Operational_Time_min]]*60)</f>
        <v>0.8316262180769447</v>
      </c>
      <c r="U927">
        <f>Table13[[#This Row],[Good_Qty]]/Table13[[#This Row],[Actual_Qty]]</f>
        <v>0.98299845440494593</v>
      </c>
      <c r="V927" t="str">
        <f>IF(OR(Table13[[#This Row],[Performance_%]]&gt;=1,Table13[[#This Row],[Performance_%]]&lt;=0),"Error","OK")</f>
        <v>OK</v>
      </c>
      <c r="W927" t="str">
        <f>IF(OR(Table13[[#This Row],[Quality_%]]&gt;=1,Table13[[#This Row],[Quality_%]]&lt;=0),"Error","OK")</f>
        <v>OK</v>
      </c>
      <c r="X927">
        <f>Table13[[#This Row],[Performance_%]]*Table13[[#This Row],[Quality_%]]*[2]Availability_KPI!K927</f>
        <v>0.75377777777777777</v>
      </c>
      <c r="Y927" t="str">
        <f>IF(OR(Table13[[#This Row],[OEE_%]]&gt;1,Table13[[#This Row],[OEE_%]]&lt;0),"Error","OK")</f>
        <v>OK</v>
      </c>
    </row>
    <row r="928" spans="1:25" x14ac:dyDescent="0.2">
      <c r="A928" t="s">
        <v>1093</v>
      </c>
      <c r="B928" t="s">
        <v>1087</v>
      </c>
      <c r="C928" s="2">
        <v>46289</v>
      </c>
      <c r="D928" t="s">
        <v>53</v>
      </c>
      <c r="E928" t="s">
        <v>46</v>
      </c>
      <c r="F928" t="s">
        <v>54</v>
      </c>
      <c r="G928" t="s">
        <v>36</v>
      </c>
      <c r="H928">
        <v>655</v>
      </c>
      <c r="I928">
        <v>649</v>
      </c>
      <c r="J928">
        <v>6</v>
      </c>
      <c r="K928">
        <v>25</v>
      </c>
      <c r="L928">
        <v>26.13</v>
      </c>
      <c r="M928">
        <v>285.24</v>
      </c>
      <c r="N928">
        <f>_xlfn.XLOOKUP(Table13[[#This Row],[Production_Order_ID]],[1]Sheet1!$A$2:$A$391,[1]Sheet1!$F$2:$F$391,"No Match")</f>
        <v>670</v>
      </c>
      <c r="O928" s="3">
        <f>Table13[[#This Row],[Good_Qty]]/Table13[[#This Row],[Planned_Production]]</f>
        <v>0.9686567164179104</v>
      </c>
      <c r="P928" t="str">
        <f>IF(Table13[[#This Row],[Good_Qty]]&gt;=Table13[[#This Row],[Planned_Production]],"Met","Not Met")</f>
        <v>Not Met</v>
      </c>
      <c r="Q928">
        <f>Table13[[#This Row],[Good_Qty]]-Table13[[#This Row],[Planned_Production]]</f>
        <v>-21</v>
      </c>
      <c r="R928" s="3">
        <f>IF(Table13[[#This Row],[Actual_Qty]]=0,0,Table13[[#This Row],[Reject_Qty]]/Table13[[#This Row],[Actual_Qty]])</f>
        <v>9.1603053435114507E-3</v>
      </c>
      <c r="S928">
        <v>430.86</v>
      </c>
      <c r="T928">
        <f>(Table13[[#This Row],[Ideal_Cycle_Time_sec]]*Table13[[#This Row],[Actual_Qty]])/(Table13[[#This Row],[Operational_Time_min]]*60)</f>
        <v>0.63342307632796413</v>
      </c>
      <c r="U928">
        <f>Table13[[#This Row],[Good_Qty]]/Table13[[#This Row],[Actual_Qty]]</f>
        <v>0.99083969465648858</v>
      </c>
      <c r="V928" t="str">
        <f>IF(OR(Table13[[#This Row],[Performance_%]]&gt;=1,Table13[[#This Row],[Performance_%]]&lt;=0),"Error","OK")</f>
        <v>OK</v>
      </c>
      <c r="W928" t="str">
        <f>IF(OR(Table13[[#This Row],[Quality_%]]&gt;=1,Table13[[#This Row],[Quality_%]]&lt;=0),"Error","OK")</f>
        <v>OK</v>
      </c>
      <c r="X928">
        <f>Table13[[#This Row],[Performance_%]]*Table13[[#This Row],[Quality_%]]*[2]Availability_KPI!K928</f>
        <v>0.60092592592592586</v>
      </c>
      <c r="Y928" t="str">
        <f>IF(OR(Table13[[#This Row],[OEE_%]]&gt;1,Table13[[#This Row],[OEE_%]]&lt;0),"Error","OK")</f>
        <v>OK</v>
      </c>
    </row>
    <row r="929" spans="1:25" x14ac:dyDescent="0.2">
      <c r="A929" t="s">
        <v>1094</v>
      </c>
      <c r="B929" t="s">
        <v>1087</v>
      </c>
      <c r="C929" s="2">
        <v>46289</v>
      </c>
      <c r="D929" t="s">
        <v>53</v>
      </c>
      <c r="E929" t="s">
        <v>49</v>
      </c>
      <c r="F929" t="s">
        <v>54</v>
      </c>
      <c r="G929" t="s">
        <v>33</v>
      </c>
      <c r="H929">
        <v>660</v>
      </c>
      <c r="I929">
        <v>657</v>
      </c>
      <c r="J929">
        <v>3</v>
      </c>
      <c r="K929">
        <v>20</v>
      </c>
      <c r="L929">
        <v>21.35</v>
      </c>
      <c r="M929">
        <v>234.81</v>
      </c>
      <c r="N929">
        <f>_xlfn.XLOOKUP(Table13[[#This Row],[Production_Order_ID]],[1]Sheet1!$A$2:$A$391,[1]Sheet1!$F$2:$F$391,"No Match")</f>
        <v>670</v>
      </c>
      <c r="O929" s="3">
        <f>Table13[[#This Row],[Good_Qty]]/Table13[[#This Row],[Planned_Production]]</f>
        <v>0.9805970149253731</v>
      </c>
      <c r="P929" t="str">
        <f>IF(Table13[[#This Row],[Good_Qty]]&gt;=Table13[[#This Row],[Planned_Production]],"Met","Not Met")</f>
        <v>Not Met</v>
      </c>
      <c r="Q929">
        <f>Table13[[#This Row],[Good_Qty]]-Table13[[#This Row],[Planned_Production]]</f>
        <v>-13</v>
      </c>
      <c r="R929" s="3">
        <f>IF(Table13[[#This Row],[Actual_Qty]]=0,0,Table13[[#This Row],[Reject_Qty]]/Table13[[#This Row],[Actual_Qty]])</f>
        <v>4.5454545454545452E-3</v>
      </c>
      <c r="S929">
        <v>441.84</v>
      </c>
      <c r="T929">
        <f>(Table13[[#This Row],[Ideal_Cycle_Time_sec]]*Table13[[#This Row],[Actual_Qty]])/(Table13[[#This Row],[Operational_Time_min]]*60)</f>
        <v>0.49791779829802646</v>
      </c>
      <c r="U929">
        <f>Table13[[#This Row],[Good_Qty]]/Table13[[#This Row],[Actual_Qty]]</f>
        <v>0.99545454545454548</v>
      </c>
      <c r="V929" t="str">
        <f>IF(OR(Table13[[#This Row],[Performance_%]]&gt;=1,Table13[[#This Row],[Performance_%]]&lt;=0),"Error","OK")</f>
        <v>OK</v>
      </c>
      <c r="W929" t="str">
        <f>IF(OR(Table13[[#This Row],[Quality_%]]&gt;=1,Table13[[#This Row],[Quality_%]]&lt;=0),"Error","OK")</f>
        <v>OK</v>
      </c>
      <c r="X929">
        <f>Table13[[#This Row],[Performance_%]]*Table13[[#This Row],[Quality_%]]*[2]Availability_KPI!K929</f>
        <v>0.48666666666666669</v>
      </c>
      <c r="Y929" t="str">
        <f>IF(OR(Table13[[#This Row],[OEE_%]]&gt;1,Table13[[#This Row],[OEE_%]]&lt;0),"Error","OK")</f>
        <v>OK</v>
      </c>
    </row>
    <row r="930" spans="1:25" x14ac:dyDescent="0.2">
      <c r="A930" t="s">
        <v>1095</v>
      </c>
      <c r="B930" t="s">
        <v>1096</v>
      </c>
      <c r="C930" s="2">
        <v>46289</v>
      </c>
      <c r="D930" t="s">
        <v>67</v>
      </c>
      <c r="E930" t="s">
        <v>28</v>
      </c>
      <c r="F930" t="s">
        <v>54</v>
      </c>
      <c r="G930" t="s">
        <v>55</v>
      </c>
      <c r="H930">
        <v>582</v>
      </c>
      <c r="I930">
        <v>581</v>
      </c>
      <c r="J930">
        <v>1</v>
      </c>
      <c r="K930">
        <v>18</v>
      </c>
      <c r="L930">
        <v>18</v>
      </c>
      <c r="M930">
        <v>174.6</v>
      </c>
      <c r="N930">
        <f>_xlfn.XLOOKUP(Table13[[#This Row],[Production_Order_ID]],[1]Sheet1!$A$2:$A$391,[1]Sheet1!$F$2:$F$391,"No Match")</f>
        <v>640</v>
      </c>
      <c r="O930" s="3">
        <f>Table13[[#This Row],[Good_Qty]]/Table13[[#This Row],[Planned_Production]]</f>
        <v>0.90781250000000002</v>
      </c>
      <c r="P930" t="str">
        <f>IF(Table13[[#This Row],[Good_Qty]]&gt;=Table13[[#This Row],[Planned_Production]],"Met","Not Met")</f>
        <v>Not Met</v>
      </c>
      <c r="Q930">
        <f>Table13[[#This Row],[Good_Qty]]-Table13[[#This Row],[Planned_Production]]</f>
        <v>-59</v>
      </c>
      <c r="R930" s="3">
        <f>IF(Table13[[#This Row],[Actual_Qty]]=0,0,Table13[[#This Row],[Reject_Qty]]/Table13[[#This Row],[Actual_Qty]])</f>
        <v>1.718213058419244E-3</v>
      </c>
      <c r="S930">
        <v>443.67</v>
      </c>
      <c r="T930">
        <f>(Table13[[#This Row],[Ideal_Cycle_Time_sec]]*Table13[[#This Row],[Actual_Qty]])/(Table13[[#This Row],[Operational_Time_min]]*60)</f>
        <v>0.39353573602001485</v>
      </c>
      <c r="U930">
        <f>Table13[[#This Row],[Good_Qty]]/Table13[[#This Row],[Actual_Qty]]</f>
        <v>0.99828178694158076</v>
      </c>
      <c r="V930" t="str">
        <f>IF(OR(Table13[[#This Row],[Performance_%]]&gt;=1,Table13[[#This Row],[Performance_%]]&lt;=0),"Error","OK")</f>
        <v>OK</v>
      </c>
      <c r="W930" t="str">
        <f>IF(OR(Table13[[#This Row],[Quality_%]]&gt;=1,Table13[[#This Row],[Quality_%]]&lt;=0),"Error","OK")</f>
        <v>OK</v>
      </c>
      <c r="X930">
        <f>Table13[[#This Row],[Performance_%]]*Table13[[#This Row],[Quality_%]]*[2]Availability_KPI!K930</f>
        <v>0.38733333333333331</v>
      </c>
      <c r="Y930" t="str">
        <f>IF(OR(Table13[[#This Row],[OEE_%]]&gt;1,Table13[[#This Row],[OEE_%]]&lt;0),"Error","OK")</f>
        <v>OK</v>
      </c>
    </row>
    <row r="931" spans="1:25" x14ac:dyDescent="0.2">
      <c r="A931" t="s">
        <v>1097</v>
      </c>
      <c r="B931" t="s">
        <v>1096</v>
      </c>
      <c r="C931" s="2">
        <v>46289</v>
      </c>
      <c r="D931" t="s">
        <v>67</v>
      </c>
      <c r="E931" t="s">
        <v>32</v>
      </c>
      <c r="F931" t="s">
        <v>54</v>
      </c>
      <c r="G931" t="s">
        <v>55</v>
      </c>
      <c r="H931">
        <v>568</v>
      </c>
      <c r="I931">
        <v>562</v>
      </c>
      <c r="J931">
        <v>6</v>
      </c>
      <c r="K931">
        <v>20</v>
      </c>
      <c r="L931">
        <v>21.18</v>
      </c>
      <c r="M931">
        <v>200.51</v>
      </c>
      <c r="N931">
        <f>_xlfn.XLOOKUP(Table13[[#This Row],[Production_Order_ID]],[1]Sheet1!$A$2:$A$391,[1]Sheet1!$F$2:$F$391,"No Match")</f>
        <v>640</v>
      </c>
      <c r="O931" s="3">
        <f>Table13[[#This Row],[Good_Qty]]/Table13[[#This Row],[Planned_Production]]</f>
        <v>0.87812500000000004</v>
      </c>
      <c r="P931" t="str">
        <f>IF(Table13[[#This Row],[Good_Qty]]&gt;=Table13[[#This Row],[Planned_Production]],"Met","Not Met")</f>
        <v>Not Met</v>
      </c>
      <c r="Q931">
        <f>Table13[[#This Row],[Good_Qty]]-Table13[[#This Row],[Planned_Production]]</f>
        <v>-78</v>
      </c>
      <c r="R931" s="3">
        <f>IF(Table13[[#This Row],[Actual_Qty]]=0,0,Table13[[#This Row],[Reject_Qty]]/Table13[[#This Row],[Actual_Qty]])</f>
        <v>1.0563380281690141E-2</v>
      </c>
      <c r="S931">
        <v>438.51</v>
      </c>
      <c r="T931">
        <f>(Table13[[#This Row],[Ideal_Cycle_Time_sec]]*Table13[[#This Row],[Actual_Qty]])/(Table13[[#This Row],[Operational_Time_min]]*60)</f>
        <v>0.43176514408641387</v>
      </c>
      <c r="U931">
        <f>Table13[[#This Row],[Good_Qty]]/Table13[[#This Row],[Actual_Qty]]</f>
        <v>0.98943661971830987</v>
      </c>
      <c r="V931" t="str">
        <f>IF(OR(Table13[[#This Row],[Performance_%]]&gt;=1,Table13[[#This Row],[Performance_%]]&lt;=0),"Error","OK")</f>
        <v>OK</v>
      </c>
      <c r="W931" t="str">
        <f>IF(OR(Table13[[#This Row],[Quality_%]]&gt;=1,Table13[[#This Row],[Quality_%]]&lt;=0),"Error","OK")</f>
        <v>OK</v>
      </c>
      <c r="X931">
        <f>Table13[[#This Row],[Performance_%]]*Table13[[#This Row],[Quality_%]]*[2]Availability_KPI!K931</f>
        <v>0.41629629629629633</v>
      </c>
      <c r="Y931" t="str">
        <f>IF(OR(Table13[[#This Row],[OEE_%]]&gt;1,Table13[[#This Row],[OEE_%]]&lt;0),"Error","OK")</f>
        <v>OK</v>
      </c>
    </row>
    <row r="932" spans="1:25" x14ac:dyDescent="0.2">
      <c r="A932" t="s">
        <v>1098</v>
      </c>
      <c r="B932" t="s">
        <v>1096</v>
      </c>
      <c r="C932" s="2">
        <v>46289</v>
      </c>
      <c r="D932" t="s">
        <v>67</v>
      </c>
      <c r="E932" t="s">
        <v>35</v>
      </c>
      <c r="F932" t="s">
        <v>54</v>
      </c>
      <c r="G932" t="s">
        <v>33</v>
      </c>
      <c r="H932">
        <v>574</v>
      </c>
      <c r="I932">
        <v>571</v>
      </c>
      <c r="J932">
        <v>3</v>
      </c>
      <c r="K932">
        <v>22</v>
      </c>
      <c r="L932">
        <v>23.28</v>
      </c>
      <c r="M932">
        <v>222.71</v>
      </c>
      <c r="N932">
        <f>_xlfn.XLOOKUP(Table13[[#This Row],[Production_Order_ID]],[1]Sheet1!$A$2:$A$391,[1]Sheet1!$F$2:$F$391,"No Match")</f>
        <v>640</v>
      </c>
      <c r="O932" s="3">
        <f>Table13[[#This Row],[Good_Qty]]/Table13[[#This Row],[Planned_Production]]</f>
        <v>0.89218750000000002</v>
      </c>
      <c r="P932" t="str">
        <f>IF(Table13[[#This Row],[Good_Qty]]&gt;=Table13[[#This Row],[Planned_Production]],"Met","Not Met")</f>
        <v>Not Met</v>
      </c>
      <c r="Q932">
        <f>Table13[[#This Row],[Good_Qty]]-Table13[[#This Row],[Planned_Production]]</f>
        <v>-69</v>
      </c>
      <c r="R932" s="3">
        <f>IF(Table13[[#This Row],[Actual_Qty]]=0,0,Table13[[#This Row],[Reject_Qty]]/Table13[[#This Row],[Actual_Qty]])</f>
        <v>5.2264808362369342E-3</v>
      </c>
      <c r="S932">
        <v>435.18</v>
      </c>
      <c r="T932">
        <f>(Table13[[#This Row],[Ideal_Cycle_Time_sec]]*Table13[[#This Row],[Actual_Qty]])/(Table13[[#This Row],[Operational_Time_min]]*60)</f>
        <v>0.48363129433031543</v>
      </c>
      <c r="U932">
        <f>Table13[[#This Row],[Good_Qty]]/Table13[[#This Row],[Actual_Qty]]</f>
        <v>0.99477351916376311</v>
      </c>
      <c r="V932" t="str">
        <f>IF(OR(Table13[[#This Row],[Performance_%]]&gt;=1,Table13[[#This Row],[Performance_%]]&lt;=0),"Error","OK")</f>
        <v>OK</v>
      </c>
      <c r="W932" t="str">
        <f>IF(OR(Table13[[#This Row],[Quality_%]]&gt;=1,Table13[[#This Row],[Quality_%]]&lt;=0),"Error","OK")</f>
        <v>OK</v>
      </c>
      <c r="X932">
        <f>Table13[[#This Row],[Performance_%]]*Table13[[#This Row],[Quality_%]]*[2]Availability_KPI!K932</f>
        <v>0.46525925925925926</v>
      </c>
      <c r="Y932" t="str">
        <f>IF(OR(Table13[[#This Row],[OEE_%]]&gt;1,Table13[[#This Row],[OEE_%]]&lt;0),"Error","OK")</f>
        <v>OK</v>
      </c>
    </row>
    <row r="933" spans="1:25" x14ac:dyDescent="0.2">
      <c r="A933" t="s">
        <v>1099</v>
      </c>
      <c r="B933" t="s">
        <v>1096</v>
      </c>
      <c r="C933" s="2">
        <v>46289</v>
      </c>
      <c r="D933" t="s">
        <v>67</v>
      </c>
      <c r="E933" t="s">
        <v>38</v>
      </c>
      <c r="F933" t="s">
        <v>54</v>
      </c>
      <c r="G933" t="s">
        <v>57</v>
      </c>
      <c r="H933">
        <v>569</v>
      </c>
      <c r="I933">
        <v>565</v>
      </c>
      <c r="J933">
        <v>4</v>
      </c>
      <c r="K933">
        <v>20</v>
      </c>
      <c r="L933">
        <v>20.77</v>
      </c>
      <c r="M933">
        <v>197</v>
      </c>
      <c r="N933">
        <f>_xlfn.XLOOKUP(Table13[[#This Row],[Production_Order_ID]],[1]Sheet1!$A$2:$A$391,[1]Sheet1!$F$2:$F$391,"No Match")</f>
        <v>640</v>
      </c>
      <c r="O933" s="3">
        <f>Table13[[#This Row],[Good_Qty]]/Table13[[#This Row],[Planned_Production]]</f>
        <v>0.8828125</v>
      </c>
      <c r="P933" t="str">
        <f>IF(Table13[[#This Row],[Good_Qty]]&gt;=Table13[[#This Row],[Planned_Production]],"Met","Not Met")</f>
        <v>Not Met</v>
      </c>
      <c r="Q933">
        <f>Table13[[#This Row],[Good_Qty]]-Table13[[#This Row],[Planned_Production]]</f>
        <v>-75</v>
      </c>
      <c r="R933" s="3">
        <f>IF(Table13[[#This Row],[Actual_Qty]]=0,0,Table13[[#This Row],[Reject_Qty]]/Table13[[#This Row],[Actual_Qty]])</f>
        <v>7.0298769771528994E-3</v>
      </c>
      <c r="S933">
        <v>440.99</v>
      </c>
      <c r="T933">
        <f>(Table13[[#This Row],[Ideal_Cycle_Time_sec]]*Table13[[#This Row],[Actual_Qty]])/(Table13[[#This Row],[Operational_Time_min]]*60)</f>
        <v>0.43009289704226095</v>
      </c>
      <c r="U933">
        <f>Table13[[#This Row],[Good_Qty]]/Table13[[#This Row],[Actual_Qty]]</f>
        <v>0.99297012302284715</v>
      </c>
      <c r="V933" t="str">
        <f>IF(OR(Table13[[#This Row],[Performance_%]]&gt;=1,Table13[[#This Row],[Performance_%]]&lt;=0),"Error","OK")</f>
        <v>OK</v>
      </c>
      <c r="W933" t="str">
        <f>IF(OR(Table13[[#This Row],[Quality_%]]&gt;=1,Table13[[#This Row],[Quality_%]]&lt;=0),"Error","OK")</f>
        <v>OK</v>
      </c>
      <c r="X933">
        <f>Table13[[#This Row],[Performance_%]]*Table13[[#This Row],[Quality_%]]*[2]Availability_KPI!K933</f>
        <v>0.41851851851851857</v>
      </c>
      <c r="Y933" t="str">
        <f>IF(OR(Table13[[#This Row],[OEE_%]]&gt;1,Table13[[#This Row],[OEE_%]]&lt;0),"Error","OK")</f>
        <v>OK</v>
      </c>
    </row>
    <row r="934" spans="1:25" x14ac:dyDescent="0.2">
      <c r="A934" t="s">
        <v>1100</v>
      </c>
      <c r="B934" t="s">
        <v>1096</v>
      </c>
      <c r="C934" s="2">
        <v>46289</v>
      </c>
      <c r="D934" t="s">
        <v>67</v>
      </c>
      <c r="E934" t="s">
        <v>41</v>
      </c>
      <c r="F934" t="s">
        <v>54</v>
      </c>
      <c r="G934" t="s">
        <v>55</v>
      </c>
      <c r="H934">
        <v>566</v>
      </c>
      <c r="I934">
        <v>561</v>
      </c>
      <c r="J934">
        <v>5</v>
      </c>
      <c r="K934">
        <v>18</v>
      </c>
      <c r="L934">
        <v>19.54</v>
      </c>
      <c r="M934">
        <v>184.33</v>
      </c>
      <c r="N934">
        <f>_xlfn.XLOOKUP(Table13[[#This Row],[Production_Order_ID]],[1]Sheet1!$A$2:$A$391,[1]Sheet1!$F$2:$F$391,"No Match")</f>
        <v>640</v>
      </c>
      <c r="O934" s="3">
        <f>Table13[[#This Row],[Good_Qty]]/Table13[[#This Row],[Planned_Production]]</f>
        <v>0.87656250000000002</v>
      </c>
      <c r="P934" t="str">
        <f>IF(Table13[[#This Row],[Good_Qty]]&gt;=Table13[[#This Row],[Planned_Production]],"Met","Not Met")</f>
        <v>Not Met</v>
      </c>
      <c r="Q934">
        <f>Table13[[#This Row],[Good_Qty]]-Table13[[#This Row],[Planned_Production]]</f>
        <v>-79</v>
      </c>
      <c r="R934" s="3">
        <f>IF(Table13[[#This Row],[Actual_Qty]]=0,0,Table13[[#This Row],[Reject_Qty]]/Table13[[#This Row],[Actual_Qty]])</f>
        <v>8.8339222614840993E-3</v>
      </c>
      <c r="S934">
        <v>440.59</v>
      </c>
      <c r="T934">
        <f>(Table13[[#This Row],[Ideal_Cycle_Time_sec]]*Table13[[#This Row],[Actual_Qty]])/(Table13[[#This Row],[Operational_Time_min]]*60)</f>
        <v>0.38539231485054137</v>
      </c>
      <c r="U934">
        <f>Table13[[#This Row],[Good_Qty]]/Table13[[#This Row],[Actual_Qty]]</f>
        <v>0.99116607773851595</v>
      </c>
      <c r="V934" t="str">
        <f>IF(OR(Table13[[#This Row],[Performance_%]]&gt;=1,Table13[[#This Row],[Performance_%]]&lt;=0),"Error","OK")</f>
        <v>OK</v>
      </c>
      <c r="W934" t="str">
        <f>IF(OR(Table13[[#This Row],[Quality_%]]&gt;=1,Table13[[#This Row],[Quality_%]]&lt;=0),"Error","OK")</f>
        <v>OK</v>
      </c>
      <c r="X934">
        <f>Table13[[#This Row],[Performance_%]]*Table13[[#This Row],[Quality_%]]*[2]Availability_KPI!K934</f>
        <v>0.37400000000000005</v>
      </c>
      <c r="Y934" t="str">
        <f>IF(OR(Table13[[#This Row],[OEE_%]]&gt;1,Table13[[#This Row],[OEE_%]]&lt;0),"Error","OK")</f>
        <v>OK</v>
      </c>
    </row>
    <row r="935" spans="1:25" x14ac:dyDescent="0.2">
      <c r="A935" t="s">
        <v>1101</v>
      </c>
      <c r="B935" t="s">
        <v>1096</v>
      </c>
      <c r="C935" s="2">
        <v>46289</v>
      </c>
      <c r="D935" t="s">
        <v>67</v>
      </c>
      <c r="E935" t="s">
        <v>43</v>
      </c>
      <c r="F935" t="s">
        <v>54</v>
      </c>
      <c r="G935" t="s">
        <v>50</v>
      </c>
      <c r="H935">
        <v>560</v>
      </c>
      <c r="I935">
        <v>552</v>
      </c>
      <c r="J935">
        <v>8</v>
      </c>
      <c r="K935">
        <v>32</v>
      </c>
      <c r="L935">
        <v>34.340000000000003</v>
      </c>
      <c r="M935">
        <v>320.55</v>
      </c>
      <c r="N935">
        <f>_xlfn.XLOOKUP(Table13[[#This Row],[Production_Order_ID]],[1]Sheet1!$A$2:$A$391,[1]Sheet1!$F$2:$F$391,"No Match")</f>
        <v>640</v>
      </c>
      <c r="O935" s="3">
        <f>Table13[[#This Row],[Good_Qty]]/Table13[[#This Row],[Planned_Production]]</f>
        <v>0.86250000000000004</v>
      </c>
      <c r="P935" t="str">
        <f>IF(Table13[[#This Row],[Good_Qty]]&gt;=Table13[[#This Row],[Planned_Production]],"Met","Not Met")</f>
        <v>Not Met</v>
      </c>
      <c r="Q935">
        <f>Table13[[#This Row],[Good_Qty]]-Table13[[#This Row],[Planned_Production]]</f>
        <v>-88</v>
      </c>
      <c r="R935" s="3">
        <f>IF(Table13[[#This Row],[Actual_Qty]]=0,0,Table13[[#This Row],[Reject_Qty]]/Table13[[#This Row],[Actual_Qty]])</f>
        <v>1.4285714285714285E-2</v>
      </c>
      <c r="S935">
        <v>419.49</v>
      </c>
      <c r="T935">
        <f>(Table13[[#This Row],[Ideal_Cycle_Time_sec]]*Table13[[#This Row],[Actual_Qty]])/(Table13[[#This Row],[Operational_Time_min]]*60)</f>
        <v>0.71197565297543841</v>
      </c>
      <c r="U935">
        <f>Table13[[#This Row],[Good_Qty]]/Table13[[#This Row],[Actual_Qty]]</f>
        <v>0.98571428571428577</v>
      </c>
      <c r="V935" t="str">
        <f>IF(OR(Table13[[#This Row],[Performance_%]]&gt;=1,Table13[[#This Row],[Performance_%]]&lt;=0),"Error","OK")</f>
        <v>OK</v>
      </c>
      <c r="W935" t="str">
        <f>IF(OR(Table13[[#This Row],[Quality_%]]&gt;=1,Table13[[#This Row],[Quality_%]]&lt;=0),"Error","OK")</f>
        <v>OK</v>
      </c>
      <c r="X935">
        <f>Table13[[#This Row],[Performance_%]]*Table13[[#This Row],[Quality_%]]*[2]Availability_KPI!K935</f>
        <v>0.65422222222222226</v>
      </c>
      <c r="Y935" t="str">
        <f>IF(OR(Table13[[#This Row],[OEE_%]]&gt;1,Table13[[#This Row],[OEE_%]]&lt;0),"Error","OK")</f>
        <v>OK</v>
      </c>
    </row>
    <row r="936" spans="1:25" x14ac:dyDescent="0.2">
      <c r="A936" t="s">
        <v>1102</v>
      </c>
      <c r="B936" t="s">
        <v>1096</v>
      </c>
      <c r="C936" s="2">
        <v>46289</v>
      </c>
      <c r="D936" t="s">
        <v>67</v>
      </c>
      <c r="E936" t="s">
        <v>46</v>
      </c>
      <c r="F936" t="s">
        <v>54</v>
      </c>
      <c r="G936" t="s">
        <v>30</v>
      </c>
      <c r="H936">
        <v>564</v>
      </c>
      <c r="I936">
        <v>559</v>
      </c>
      <c r="J936">
        <v>5</v>
      </c>
      <c r="K936">
        <v>25</v>
      </c>
      <c r="L936">
        <v>25.07</v>
      </c>
      <c r="M936">
        <v>235.67</v>
      </c>
      <c r="N936">
        <f>_xlfn.XLOOKUP(Table13[[#This Row],[Production_Order_ID]],[1]Sheet1!$A$2:$A$391,[1]Sheet1!$F$2:$F$391,"No Match")</f>
        <v>640</v>
      </c>
      <c r="O936" s="3">
        <f>Table13[[#This Row],[Good_Qty]]/Table13[[#This Row],[Planned_Production]]</f>
        <v>0.87343749999999998</v>
      </c>
      <c r="P936" t="str">
        <f>IF(Table13[[#This Row],[Good_Qty]]&gt;=Table13[[#This Row],[Planned_Production]],"Met","Not Met")</f>
        <v>Not Met</v>
      </c>
      <c r="Q936">
        <f>Table13[[#This Row],[Good_Qty]]-Table13[[#This Row],[Planned_Production]]</f>
        <v>-81</v>
      </c>
      <c r="R936" s="3">
        <f>IF(Table13[[#This Row],[Actual_Qty]]=0,0,Table13[[#This Row],[Reject_Qty]]/Table13[[#This Row],[Actual_Qty]])</f>
        <v>8.8652482269503553E-3</v>
      </c>
      <c r="S936">
        <v>435.79</v>
      </c>
      <c r="T936">
        <f>(Table13[[#This Row],[Ideal_Cycle_Time_sec]]*Table13[[#This Row],[Actual_Qty]])/(Table13[[#This Row],[Operational_Time_min]]*60)</f>
        <v>0.53925055646068054</v>
      </c>
      <c r="U936">
        <f>Table13[[#This Row],[Good_Qty]]/Table13[[#This Row],[Actual_Qty]]</f>
        <v>0.99113475177304966</v>
      </c>
      <c r="V936" t="str">
        <f>IF(OR(Table13[[#This Row],[Performance_%]]&gt;=1,Table13[[#This Row],[Performance_%]]&lt;=0),"Error","OK")</f>
        <v>OK</v>
      </c>
      <c r="W936" t="str">
        <f>IF(OR(Table13[[#This Row],[Quality_%]]&gt;=1,Table13[[#This Row],[Quality_%]]&lt;=0),"Error","OK")</f>
        <v>OK</v>
      </c>
      <c r="X936">
        <f>Table13[[#This Row],[Performance_%]]*Table13[[#This Row],[Quality_%]]*[2]Availability_KPI!K936</f>
        <v>0.5175925925925926</v>
      </c>
      <c r="Y936" t="str">
        <f>IF(OR(Table13[[#This Row],[OEE_%]]&gt;1,Table13[[#This Row],[OEE_%]]&lt;0),"Error","OK")</f>
        <v>OK</v>
      </c>
    </row>
    <row r="937" spans="1:25" x14ac:dyDescent="0.2">
      <c r="A937" t="s">
        <v>1103</v>
      </c>
      <c r="B937" t="s">
        <v>1096</v>
      </c>
      <c r="C937" s="2">
        <v>46289</v>
      </c>
      <c r="D937" t="s">
        <v>67</v>
      </c>
      <c r="E937" t="s">
        <v>49</v>
      </c>
      <c r="F937" t="s">
        <v>54</v>
      </c>
      <c r="G937" t="s">
        <v>50</v>
      </c>
      <c r="H937">
        <v>576</v>
      </c>
      <c r="I937">
        <v>575</v>
      </c>
      <c r="J937">
        <v>1</v>
      </c>
      <c r="K937">
        <v>20</v>
      </c>
      <c r="L937">
        <v>21.33</v>
      </c>
      <c r="M937">
        <v>204.81</v>
      </c>
      <c r="N937">
        <f>_xlfn.XLOOKUP(Table13[[#This Row],[Production_Order_ID]],[1]Sheet1!$A$2:$A$391,[1]Sheet1!$F$2:$F$391,"No Match")</f>
        <v>640</v>
      </c>
      <c r="O937" s="3">
        <f>Table13[[#This Row],[Good_Qty]]/Table13[[#This Row],[Planned_Production]]</f>
        <v>0.8984375</v>
      </c>
      <c r="P937" t="str">
        <f>IF(Table13[[#This Row],[Good_Qty]]&gt;=Table13[[#This Row],[Planned_Production]],"Met","Not Met")</f>
        <v>Not Met</v>
      </c>
      <c r="Q937">
        <f>Table13[[#This Row],[Good_Qty]]-Table13[[#This Row],[Planned_Production]]</f>
        <v>-65</v>
      </c>
      <c r="R937" s="3">
        <f>IF(Table13[[#This Row],[Actual_Qty]]=0,0,Table13[[#This Row],[Reject_Qty]]/Table13[[#This Row],[Actual_Qty]])</f>
        <v>1.736111111111111E-3</v>
      </c>
      <c r="S937">
        <v>442.01</v>
      </c>
      <c r="T937">
        <f>(Table13[[#This Row],[Ideal_Cycle_Time_sec]]*Table13[[#This Row],[Actual_Qty]])/(Table13[[#This Row],[Operational_Time_min]]*60)</f>
        <v>0.43437931268523339</v>
      </c>
      <c r="U937">
        <f>Table13[[#This Row],[Good_Qty]]/Table13[[#This Row],[Actual_Qty]]</f>
        <v>0.99826388888888884</v>
      </c>
      <c r="V937" t="str">
        <f>IF(OR(Table13[[#This Row],[Performance_%]]&gt;=1,Table13[[#This Row],[Performance_%]]&lt;=0),"Error","OK")</f>
        <v>OK</v>
      </c>
      <c r="W937" t="str">
        <f>IF(OR(Table13[[#This Row],[Quality_%]]&gt;=1,Table13[[#This Row],[Quality_%]]&lt;=0),"Error","OK")</f>
        <v>OK</v>
      </c>
      <c r="X937">
        <f>Table13[[#This Row],[Performance_%]]*Table13[[#This Row],[Quality_%]]*[2]Availability_KPI!K937</f>
        <v>0.42592592592592593</v>
      </c>
      <c r="Y937" t="str">
        <f>IF(OR(Table13[[#This Row],[OEE_%]]&gt;1,Table13[[#This Row],[OEE_%]]&lt;0),"Error","OK")</f>
        <v>OK</v>
      </c>
    </row>
    <row r="938" spans="1:25" x14ac:dyDescent="0.2">
      <c r="A938" t="s">
        <v>1104</v>
      </c>
      <c r="B938" t="s">
        <v>1105</v>
      </c>
      <c r="C938" s="2">
        <v>46290</v>
      </c>
      <c r="D938" t="s">
        <v>27</v>
      </c>
      <c r="E938" t="s">
        <v>28</v>
      </c>
      <c r="F938" t="s">
        <v>29</v>
      </c>
      <c r="G938" t="s">
        <v>50</v>
      </c>
      <c r="H938">
        <v>638</v>
      </c>
      <c r="I938">
        <v>634</v>
      </c>
      <c r="J938">
        <v>4</v>
      </c>
      <c r="K938">
        <v>19.8</v>
      </c>
      <c r="L938">
        <v>20.56</v>
      </c>
      <c r="M938">
        <v>218.65</v>
      </c>
      <c r="N938">
        <f>_xlfn.XLOOKUP(Table13[[#This Row],[Production_Order_ID]],[1]Sheet1!$A$2:$A$391,[1]Sheet1!$F$2:$F$391,"No Match")</f>
        <v>650</v>
      </c>
      <c r="O938" s="3">
        <f>Table13[[#This Row],[Good_Qty]]/Table13[[#This Row],[Planned_Production]]</f>
        <v>0.97538461538461541</v>
      </c>
      <c r="P938" t="str">
        <f>IF(Table13[[#This Row],[Good_Qty]]&gt;=Table13[[#This Row],[Planned_Production]],"Met","Not Met")</f>
        <v>Not Met</v>
      </c>
      <c r="Q938">
        <f>Table13[[#This Row],[Good_Qty]]-Table13[[#This Row],[Planned_Production]]</f>
        <v>-16</v>
      </c>
      <c r="R938" s="3">
        <f>IF(Table13[[#This Row],[Actual_Qty]]=0,0,Table13[[#This Row],[Reject_Qty]]/Table13[[#This Row],[Actual_Qty]])</f>
        <v>6.269592476489028E-3</v>
      </c>
      <c r="S938">
        <v>439.67</v>
      </c>
      <c r="T938">
        <f>(Table13[[#This Row],[Ideal_Cycle_Time_sec]]*Table13[[#This Row],[Actual_Qty]])/(Table13[[#This Row],[Operational_Time_min]]*60)</f>
        <v>0.47885914435826865</v>
      </c>
      <c r="U938">
        <f>Table13[[#This Row],[Good_Qty]]/Table13[[#This Row],[Actual_Qty]]</f>
        <v>0.99373040752351094</v>
      </c>
      <c r="V938" t="str">
        <f>IF(OR(Table13[[#This Row],[Performance_%]]&gt;=1,Table13[[#This Row],[Performance_%]]&lt;=0),"Error","OK")</f>
        <v>OK</v>
      </c>
      <c r="W938" t="str">
        <f>IF(OR(Table13[[#This Row],[Quality_%]]&gt;=1,Table13[[#This Row],[Quality_%]]&lt;=0),"Error","OK")</f>
        <v>OK</v>
      </c>
      <c r="X938">
        <f>Table13[[#This Row],[Performance_%]]*Table13[[#This Row],[Quality_%]]*[2]Availability_KPI!K938</f>
        <v>0.46493333333333325</v>
      </c>
      <c r="Y938" t="str">
        <f>IF(OR(Table13[[#This Row],[OEE_%]]&gt;1,Table13[[#This Row],[OEE_%]]&lt;0),"Error","OK")</f>
        <v>OK</v>
      </c>
    </row>
    <row r="939" spans="1:25" x14ac:dyDescent="0.2">
      <c r="A939" t="s">
        <v>1106</v>
      </c>
      <c r="B939" t="s">
        <v>1105</v>
      </c>
      <c r="C939" s="2">
        <v>46290</v>
      </c>
      <c r="D939" t="s">
        <v>27</v>
      </c>
      <c r="E939" t="s">
        <v>32</v>
      </c>
      <c r="F939" t="s">
        <v>29</v>
      </c>
      <c r="G939" t="s">
        <v>44</v>
      </c>
      <c r="H939">
        <v>649</v>
      </c>
      <c r="I939">
        <v>646</v>
      </c>
      <c r="J939">
        <v>3</v>
      </c>
      <c r="K939">
        <v>22</v>
      </c>
      <c r="L939">
        <v>23.32</v>
      </c>
      <c r="M939">
        <v>252.24</v>
      </c>
      <c r="N939">
        <f>_xlfn.XLOOKUP(Table13[[#This Row],[Production_Order_ID]],[1]Sheet1!$A$2:$A$391,[1]Sheet1!$F$2:$F$391,"No Match")</f>
        <v>650</v>
      </c>
      <c r="O939" s="3">
        <f>Table13[[#This Row],[Good_Qty]]/Table13[[#This Row],[Planned_Production]]</f>
        <v>0.99384615384615382</v>
      </c>
      <c r="P939" t="str">
        <f>IF(Table13[[#This Row],[Good_Qty]]&gt;=Table13[[#This Row],[Planned_Production]],"Met","Not Met")</f>
        <v>Not Met</v>
      </c>
      <c r="Q939">
        <f>Table13[[#This Row],[Good_Qty]]-Table13[[#This Row],[Planned_Production]]</f>
        <v>-4</v>
      </c>
      <c r="R939" s="3">
        <f>IF(Table13[[#This Row],[Actual_Qty]]=0,0,Table13[[#This Row],[Reject_Qty]]/Table13[[#This Row],[Actual_Qty]])</f>
        <v>4.6224961479198771E-3</v>
      </c>
      <c r="S939">
        <v>436.9</v>
      </c>
      <c r="T939">
        <f>(Table13[[#This Row],[Ideal_Cycle_Time_sec]]*Table13[[#This Row],[Actual_Qty]])/(Table13[[#This Row],[Operational_Time_min]]*60)</f>
        <v>0.54467078660257873</v>
      </c>
      <c r="U939">
        <f>Table13[[#This Row],[Good_Qty]]/Table13[[#This Row],[Actual_Qty]]</f>
        <v>0.99537750385208013</v>
      </c>
      <c r="V939" t="str">
        <f>IF(OR(Table13[[#This Row],[Performance_%]]&gt;=1,Table13[[#This Row],[Performance_%]]&lt;=0),"Error","OK")</f>
        <v>OK</v>
      </c>
      <c r="W939" t="str">
        <f>IF(OR(Table13[[#This Row],[Quality_%]]&gt;=1,Table13[[#This Row],[Quality_%]]&lt;=0),"Error","OK")</f>
        <v>OK</v>
      </c>
      <c r="X939">
        <f>Table13[[#This Row],[Performance_%]]*Table13[[#This Row],[Quality_%]]*[2]Availability_KPI!K939</f>
        <v>0.52637037037037027</v>
      </c>
      <c r="Y939" t="str">
        <f>IF(OR(Table13[[#This Row],[OEE_%]]&gt;1,Table13[[#This Row],[OEE_%]]&lt;0),"Error","OK")</f>
        <v>OK</v>
      </c>
    </row>
    <row r="940" spans="1:25" x14ac:dyDescent="0.2">
      <c r="A940" t="s">
        <v>1107</v>
      </c>
      <c r="B940" t="s">
        <v>1105</v>
      </c>
      <c r="C940" s="2">
        <v>46290</v>
      </c>
      <c r="D940" t="s">
        <v>27</v>
      </c>
      <c r="E940" t="s">
        <v>35</v>
      </c>
      <c r="F940" t="s">
        <v>29</v>
      </c>
      <c r="G940" t="s">
        <v>30</v>
      </c>
      <c r="H940">
        <v>645</v>
      </c>
      <c r="I940">
        <v>641</v>
      </c>
      <c r="J940">
        <v>4</v>
      </c>
      <c r="K940">
        <v>24.2</v>
      </c>
      <c r="L940">
        <v>25.47</v>
      </c>
      <c r="M940">
        <v>273.83</v>
      </c>
      <c r="N940">
        <f>_xlfn.XLOOKUP(Table13[[#This Row],[Production_Order_ID]],[1]Sheet1!$A$2:$A$391,[1]Sheet1!$F$2:$F$391,"No Match")</f>
        <v>650</v>
      </c>
      <c r="O940" s="3">
        <f>Table13[[#This Row],[Good_Qty]]/Table13[[#This Row],[Planned_Production]]</f>
        <v>0.98615384615384616</v>
      </c>
      <c r="P940" t="str">
        <f>IF(Table13[[#This Row],[Good_Qty]]&gt;=Table13[[#This Row],[Planned_Production]],"Met","Not Met")</f>
        <v>Not Met</v>
      </c>
      <c r="Q940">
        <f>Table13[[#This Row],[Good_Qty]]-Table13[[#This Row],[Planned_Production]]</f>
        <v>-9</v>
      </c>
      <c r="R940" s="3">
        <f>IF(Table13[[#This Row],[Actual_Qty]]=0,0,Table13[[#This Row],[Reject_Qty]]/Table13[[#This Row],[Actual_Qty]])</f>
        <v>6.2015503875968991E-3</v>
      </c>
      <c r="S940">
        <v>429.9</v>
      </c>
      <c r="T940">
        <f>(Table13[[#This Row],[Ideal_Cycle_Time_sec]]*Table13[[#This Row],[Actual_Qty]])/(Table13[[#This Row],[Operational_Time_min]]*60)</f>
        <v>0.60514073040241911</v>
      </c>
      <c r="U940">
        <f>Table13[[#This Row],[Good_Qty]]/Table13[[#This Row],[Actual_Qty]]</f>
        <v>0.99379844961240305</v>
      </c>
      <c r="V940" t="str">
        <f>IF(OR(Table13[[#This Row],[Performance_%]]&gt;=1,Table13[[#This Row],[Performance_%]]&lt;=0),"Error","OK")</f>
        <v>OK</v>
      </c>
      <c r="W940" t="str">
        <f>IF(OR(Table13[[#This Row],[Quality_%]]&gt;=1,Table13[[#This Row],[Quality_%]]&lt;=0),"Error","OK")</f>
        <v>OK</v>
      </c>
      <c r="X940">
        <f>Table13[[#This Row],[Performance_%]]*Table13[[#This Row],[Quality_%]]*[2]Availability_KPI!K940</f>
        <v>0.57452592592592577</v>
      </c>
      <c r="Y940" t="str">
        <f>IF(OR(Table13[[#This Row],[OEE_%]]&gt;1,Table13[[#This Row],[OEE_%]]&lt;0),"Error","OK")</f>
        <v>OK</v>
      </c>
    </row>
    <row r="941" spans="1:25" x14ac:dyDescent="0.2">
      <c r="A941" t="s">
        <v>1108</v>
      </c>
      <c r="B941" t="s">
        <v>1105</v>
      </c>
      <c r="C941" s="2">
        <v>46290</v>
      </c>
      <c r="D941" t="s">
        <v>27</v>
      </c>
      <c r="E941" t="s">
        <v>38</v>
      </c>
      <c r="F941" t="s">
        <v>29</v>
      </c>
      <c r="G941" t="s">
        <v>30</v>
      </c>
      <c r="H941">
        <v>643</v>
      </c>
      <c r="I941">
        <v>639</v>
      </c>
      <c r="J941">
        <v>4</v>
      </c>
      <c r="K941">
        <v>22</v>
      </c>
      <c r="L941">
        <v>22.33</v>
      </c>
      <c r="M941">
        <v>239.27</v>
      </c>
      <c r="N941">
        <f>_xlfn.XLOOKUP(Table13[[#This Row],[Production_Order_ID]],[1]Sheet1!$A$2:$A$391,[1]Sheet1!$F$2:$F$391,"No Match")</f>
        <v>650</v>
      </c>
      <c r="O941" s="3">
        <f>Table13[[#This Row],[Good_Qty]]/Table13[[#This Row],[Planned_Production]]</f>
        <v>0.98307692307692307</v>
      </c>
      <c r="P941" t="str">
        <f>IF(Table13[[#This Row],[Good_Qty]]&gt;=Table13[[#This Row],[Planned_Production]],"Met","Not Met")</f>
        <v>Not Met</v>
      </c>
      <c r="Q941">
        <f>Table13[[#This Row],[Good_Qty]]-Table13[[#This Row],[Planned_Production]]</f>
        <v>-11</v>
      </c>
      <c r="R941" s="3">
        <f>IF(Table13[[#This Row],[Actual_Qty]]=0,0,Table13[[#This Row],[Reject_Qty]]/Table13[[#This Row],[Actual_Qty]])</f>
        <v>6.2208398133748056E-3</v>
      </c>
      <c r="S941">
        <v>439.16</v>
      </c>
      <c r="T941">
        <f>(Table13[[#This Row],[Ideal_Cycle_Time_sec]]*Table13[[#This Row],[Actual_Qty]])/(Table13[[#This Row],[Operational_Time_min]]*60)</f>
        <v>0.53685824452743114</v>
      </c>
      <c r="U941">
        <f>Table13[[#This Row],[Good_Qty]]/Table13[[#This Row],[Actual_Qty]]</f>
        <v>0.99377916018662515</v>
      </c>
      <c r="V941" t="str">
        <f>IF(OR(Table13[[#This Row],[Performance_%]]&gt;=1,Table13[[#This Row],[Performance_%]]&lt;=0),"Error","OK")</f>
        <v>OK</v>
      </c>
      <c r="W941" t="str">
        <f>IF(OR(Table13[[#This Row],[Quality_%]]&gt;=1,Table13[[#This Row],[Quality_%]]&lt;=0),"Error","OK")</f>
        <v>OK</v>
      </c>
      <c r="X941">
        <f>Table13[[#This Row],[Performance_%]]*Table13[[#This Row],[Quality_%]]*[2]Availability_KPI!K941</f>
        <v>0.52066666666666661</v>
      </c>
      <c r="Y941" t="str">
        <f>IF(OR(Table13[[#This Row],[OEE_%]]&gt;1,Table13[[#This Row],[OEE_%]]&lt;0),"Error","OK")</f>
        <v>OK</v>
      </c>
    </row>
    <row r="942" spans="1:25" x14ac:dyDescent="0.2">
      <c r="A942" t="s">
        <v>1109</v>
      </c>
      <c r="B942" t="s">
        <v>1105</v>
      </c>
      <c r="C942" s="2">
        <v>46290</v>
      </c>
      <c r="D942" t="s">
        <v>27</v>
      </c>
      <c r="E942" t="s">
        <v>41</v>
      </c>
      <c r="F942" t="s">
        <v>29</v>
      </c>
      <c r="G942" t="s">
        <v>75</v>
      </c>
      <c r="H942">
        <v>641</v>
      </c>
      <c r="I942">
        <v>635</v>
      </c>
      <c r="J942">
        <v>6</v>
      </c>
      <c r="K942">
        <v>19.8</v>
      </c>
      <c r="L942">
        <v>20.61</v>
      </c>
      <c r="M942">
        <v>220.19</v>
      </c>
      <c r="N942">
        <f>_xlfn.XLOOKUP(Table13[[#This Row],[Production_Order_ID]],[1]Sheet1!$A$2:$A$391,[1]Sheet1!$F$2:$F$391,"No Match")</f>
        <v>650</v>
      </c>
      <c r="O942" s="3">
        <f>Table13[[#This Row],[Good_Qty]]/Table13[[#This Row],[Planned_Production]]</f>
        <v>0.97692307692307689</v>
      </c>
      <c r="P942" t="str">
        <f>IF(Table13[[#This Row],[Good_Qty]]&gt;=Table13[[#This Row],[Planned_Production]],"Met","Not Met")</f>
        <v>Not Met</v>
      </c>
      <c r="Q942">
        <f>Table13[[#This Row],[Good_Qty]]-Table13[[#This Row],[Planned_Production]]</f>
        <v>-15</v>
      </c>
      <c r="R942" s="3">
        <f>IF(Table13[[#This Row],[Actual_Qty]]=0,0,Table13[[#This Row],[Reject_Qty]]/Table13[[#This Row],[Actual_Qty]])</f>
        <v>9.3603744149765994E-3</v>
      </c>
      <c r="S942">
        <v>436.69</v>
      </c>
      <c r="T942">
        <f>(Table13[[#This Row],[Ideal_Cycle_Time_sec]]*Table13[[#This Row],[Actual_Qty]])/(Table13[[#This Row],[Operational_Time_min]]*60)</f>
        <v>0.48439396368133003</v>
      </c>
      <c r="U942">
        <f>Table13[[#This Row],[Good_Qty]]/Table13[[#This Row],[Actual_Qty]]</f>
        <v>0.99063962558502339</v>
      </c>
      <c r="V942" t="str">
        <f>IF(OR(Table13[[#This Row],[Performance_%]]&gt;=1,Table13[[#This Row],[Performance_%]]&lt;=0),"Error","OK")</f>
        <v>OK</v>
      </c>
      <c r="W942" t="str">
        <f>IF(OR(Table13[[#This Row],[Quality_%]]&gt;=1,Table13[[#This Row],[Quality_%]]&lt;=0),"Error","OK")</f>
        <v>OK</v>
      </c>
      <c r="X942">
        <f>Table13[[#This Row],[Performance_%]]*Table13[[#This Row],[Quality_%]]*[2]Availability_KPI!K942</f>
        <v>0.46566666666666662</v>
      </c>
      <c r="Y942" t="str">
        <f>IF(OR(Table13[[#This Row],[OEE_%]]&gt;1,Table13[[#This Row],[OEE_%]]&lt;0),"Error","OK")</f>
        <v>OK</v>
      </c>
    </row>
    <row r="943" spans="1:25" x14ac:dyDescent="0.2">
      <c r="A943" t="s">
        <v>1110</v>
      </c>
      <c r="B943" t="s">
        <v>1105</v>
      </c>
      <c r="C943" s="2">
        <v>46290</v>
      </c>
      <c r="D943" t="s">
        <v>27</v>
      </c>
      <c r="E943" t="s">
        <v>43</v>
      </c>
      <c r="F943" t="s">
        <v>29</v>
      </c>
      <c r="G943" t="s">
        <v>71</v>
      </c>
      <c r="H943">
        <v>640</v>
      </c>
      <c r="I943">
        <v>630</v>
      </c>
      <c r="J943">
        <v>10</v>
      </c>
      <c r="K943">
        <v>35.200000000000003</v>
      </c>
      <c r="L943">
        <v>36.36</v>
      </c>
      <c r="M943">
        <v>387.8</v>
      </c>
      <c r="N943">
        <f>_xlfn.XLOOKUP(Table13[[#This Row],[Production_Order_ID]],[1]Sheet1!$A$2:$A$391,[1]Sheet1!$F$2:$F$391,"No Match")</f>
        <v>650</v>
      </c>
      <c r="O943" s="3">
        <f>Table13[[#This Row],[Good_Qty]]/Table13[[#This Row],[Planned_Production]]</f>
        <v>0.96923076923076923</v>
      </c>
      <c r="P943" t="str">
        <f>IF(Table13[[#This Row],[Good_Qty]]&gt;=Table13[[#This Row],[Planned_Production]],"Met","Not Met")</f>
        <v>Not Met</v>
      </c>
      <c r="Q943">
        <f>Table13[[#This Row],[Good_Qty]]-Table13[[#This Row],[Planned_Production]]</f>
        <v>-20</v>
      </c>
      <c r="R943" s="3">
        <f>IF(Table13[[#This Row],[Actual_Qty]]=0,0,Table13[[#This Row],[Reject_Qty]]/Table13[[#This Row],[Actual_Qty]])</f>
        <v>1.5625E-2</v>
      </c>
      <c r="S943">
        <v>408.33</v>
      </c>
      <c r="T943">
        <f>(Table13[[#This Row],[Ideal_Cycle_Time_sec]]*Table13[[#This Row],[Actual_Qty]])/(Table13[[#This Row],[Operational_Time_min]]*60)</f>
        <v>0.91951771034865593</v>
      </c>
      <c r="U943">
        <f>Table13[[#This Row],[Good_Qty]]/Table13[[#This Row],[Actual_Qty]]</f>
        <v>0.984375</v>
      </c>
      <c r="V943" t="str">
        <f>IF(OR(Table13[[#This Row],[Performance_%]]&gt;=1,Table13[[#This Row],[Performance_%]]&lt;=0),"Error","OK")</f>
        <v>OK</v>
      </c>
      <c r="W943" t="str">
        <f>IF(OR(Table13[[#This Row],[Quality_%]]&gt;=1,Table13[[#This Row],[Quality_%]]&lt;=0),"Error","OK")</f>
        <v>OK</v>
      </c>
      <c r="X943">
        <f>Table13[[#This Row],[Performance_%]]*Table13[[#This Row],[Quality_%]]*[2]Availability_KPI!K943</f>
        <v>0.82133333333333336</v>
      </c>
      <c r="Y943" t="str">
        <f>IF(OR(Table13[[#This Row],[OEE_%]]&gt;1,Table13[[#This Row],[OEE_%]]&lt;0),"Error","OK")</f>
        <v>OK</v>
      </c>
    </row>
    <row r="944" spans="1:25" x14ac:dyDescent="0.2">
      <c r="A944" t="s">
        <v>1111</v>
      </c>
      <c r="B944" t="s">
        <v>1105</v>
      </c>
      <c r="C944" s="2">
        <v>46290</v>
      </c>
      <c r="D944" t="s">
        <v>27</v>
      </c>
      <c r="E944" t="s">
        <v>46</v>
      </c>
      <c r="F944" t="s">
        <v>29</v>
      </c>
      <c r="G944" t="s">
        <v>30</v>
      </c>
      <c r="H944">
        <v>641</v>
      </c>
      <c r="I944">
        <v>633</v>
      </c>
      <c r="J944">
        <v>8</v>
      </c>
      <c r="K944">
        <v>27.5</v>
      </c>
      <c r="L944">
        <v>28.8</v>
      </c>
      <c r="M944">
        <v>307.66000000000003</v>
      </c>
      <c r="N944">
        <f>_xlfn.XLOOKUP(Table13[[#This Row],[Production_Order_ID]],[1]Sheet1!$A$2:$A$391,[1]Sheet1!$F$2:$F$391,"No Match")</f>
        <v>650</v>
      </c>
      <c r="O944" s="3">
        <f>Table13[[#This Row],[Good_Qty]]/Table13[[#This Row],[Planned_Production]]</f>
        <v>0.97384615384615381</v>
      </c>
      <c r="P944" t="str">
        <f>IF(Table13[[#This Row],[Good_Qty]]&gt;=Table13[[#This Row],[Planned_Production]],"Met","Not Met")</f>
        <v>Not Met</v>
      </c>
      <c r="Q944">
        <f>Table13[[#This Row],[Good_Qty]]-Table13[[#This Row],[Planned_Production]]</f>
        <v>-17</v>
      </c>
      <c r="R944" s="3">
        <f>IF(Table13[[#This Row],[Actual_Qty]]=0,0,Table13[[#This Row],[Reject_Qty]]/Table13[[#This Row],[Actual_Qty]])</f>
        <v>1.2480499219968799E-2</v>
      </c>
      <c r="S944">
        <v>423.29</v>
      </c>
      <c r="T944">
        <f>(Table13[[#This Row],[Ideal_Cycle_Time_sec]]*Table13[[#This Row],[Actual_Qty]])/(Table13[[#This Row],[Operational_Time_min]]*60)</f>
        <v>0.6940671092316536</v>
      </c>
      <c r="U944">
        <f>Table13[[#This Row],[Good_Qty]]/Table13[[#This Row],[Actual_Qty]]</f>
        <v>0.98751950078003126</v>
      </c>
      <c r="V944" t="str">
        <f>IF(OR(Table13[[#This Row],[Performance_%]]&gt;=1,Table13[[#This Row],[Performance_%]]&lt;=0),"Error","OK")</f>
        <v>OK</v>
      </c>
      <c r="W944" t="str">
        <f>IF(OR(Table13[[#This Row],[Quality_%]]&gt;=1,Table13[[#This Row],[Quality_%]]&lt;=0),"Error","OK")</f>
        <v>OK</v>
      </c>
      <c r="X944">
        <f>Table13[[#This Row],[Performance_%]]*Table13[[#This Row],[Quality_%]]*[2]Availability_KPI!K944</f>
        <v>0.64472222222222231</v>
      </c>
      <c r="Y944" t="str">
        <f>IF(OR(Table13[[#This Row],[OEE_%]]&gt;1,Table13[[#This Row],[OEE_%]]&lt;0),"Error","OK")</f>
        <v>OK</v>
      </c>
    </row>
    <row r="945" spans="1:25" x14ac:dyDescent="0.2">
      <c r="A945" t="s">
        <v>1112</v>
      </c>
      <c r="B945" t="s">
        <v>1105</v>
      </c>
      <c r="C945" s="2">
        <v>46290</v>
      </c>
      <c r="D945" t="s">
        <v>27</v>
      </c>
      <c r="E945" t="s">
        <v>49</v>
      </c>
      <c r="F945" t="s">
        <v>29</v>
      </c>
      <c r="G945" t="s">
        <v>71</v>
      </c>
      <c r="H945">
        <v>649</v>
      </c>
      <c r="I945">
        <v>647</v>
      </c>
      <c r="J945">
        <v>2</v>
      </c>
      <c r="K945">
        <v>22</v>
      </c>
      <c r="L945">
        <v>23.01</v>
      </c>
      <c r="M945">
        <v>248.93</v>
      </c>
      <c r="N945">
        <f>_xlfn.XLOOKUP(Table13[[#This Row],[Production_Order_ID]],[1]Sheet1!$A$2:$A$391,[1]Sheet1!$F$2:$F$391,"No Match")</f>
        <v>650</v>
      </c>
      <c r="O945" s="3">
        <f>Table13[[#This Row],[Good_Qty]]/Table13[[#This Row],[Planned_Production]]</f>
        <v>0.99538461538461542</v>
      </c>
      <c r="P945" t="str">
        <f>IF(Table13[[#This Row],[Good_Qty]]&gt;=Table13[[#This Row],[Planned_Production]],"Met","Not Met")</f>
        <v>Not Met</v>
      </c>
      <c r="Q945">
        <f>Table13[[#This Row],[Good_Qty]]-Table13[[#This Row],[Planned_Production]]</f>
        <v>-3</v>
      </c>
      <c r="R945" s="3">
        <f>IF(Table13[[#This Row],[Actual_Qty]]=0,0,Table13[[#This Row],[Reject_Qty]]/Table13[[#This Row],[Actual_Qty]])</f>
        <v>3.0816640986132513E-3</v>
      </c>
      <c r="S945">
        <v>440.67</v>
      </c>
      <c r="T945">
        <f>(Table13[[#This Row],[Ideal_Cycle_Time_sec]]*Table13[[#This Row],[Actual_Qty]])/(Table13[[#This Row],[Operational_Time_min]]*60)</f>
        <v>0.54001104378938125</v>
      </c>
      <c r="U945">
        <f>Table13[[#This Row],[Good_Qty]]/Table13[[#This Row],[Actual_Qty]]</f>
        <v>0.99691833590138679</v>
      </c>
      <c r="V945" t="str">
        <f>IF(OR(Table13[[#This Row],[Performance_%]]&gt;=1,Table13[[#This Row],[Performance_%]]&lt;=0),"Error","OK")</f>
        <v>OK</v>
      </c>
      <c r="W945" t="str">
        <f>IF(OR(Table13[[#This Row],[Quality_%]]&gt;=1,Table13[[#This Row],[Quality_%]]&lt;=0),"Error","OK")</f>
        <v>OK</v>
      </c>
      <c r="X945">
        <f>Table13[[#This Row],[Performance_%]]*Table13[[#This Row],[Quality_%]]*[2]Availability_KPI!K945</f>
        <v>0.5271851851851852</v>
      </c>
      <c r="Y945" t="str">
        <f>IF(OR(Table13[[#This Row],[OEE_%]]&gt;1,Table13[[#This Row],[OEE_%]]&lt;0),"Error","OK")</f>
        <v>OK</v>
      </c>
    </row>
    <row r="946" spans="1:25" x14ac:dyDescent="0.2">
      <c r="A946" t="s">
        <v>1113</v>
      </c>
      <c r="B946" t="s">
        <v>1114</v>
      </c>
      <c r="C946" s="2">
        <v>46290</v>
      </c>
      <c r="D946" t="s">
        <v>53</v>
      </c>
      <c r="E946" t="s">
        <v>28</v>
      </c>
      <c r="F946" t="s">
        <v>54</v>
      </c>
      <c r="G946" t="s">
        <v>44</v>
      </c>
      <c r="H946">
        <v>600</v>
      </c>
      <c r="I946">
        <v>596</v>
      </c>
      <c r="J946">
        <v>4</v>
      </c>
      <c r="K946">
        <v>18</v>
      </c>
      <c r="L946">
        <v>18</v>
      </c>
      <c r="M946">
        <v>180</v>
      </c>
      <c r="N946">
        <f>_xlfn.XLOOKUP(Table13[[#This Row],[Production_Order_ID]],[1]Sheet1!$A$2:$A$391,[1]Sheet1!$F$2:$F$391,"No Match")</f>
        <v>600</v>
      </c>
      <c r="O946" s="3">
        <f>Table13[[#This Row],[Good_Qty]]/Table13[[#This Row],[Planned_Production]]</f>
        <v>0.99333333333333329</v>
      </c>
      <c r="P946" t="str">
        <f>IF(Table13[[#This Row],[Good_Qty]]&gt;=Table13[[#This Row],[Planned_Production]],"Met","Not Met")</f>
        <v>Not Met</v>
      </c>
      <c r="Q946">
        <f>Table13[[#This Row],[Good_Qty]]-Table13[[#This Row],[Planned_Production]]</f>
        <v>-4</v>
      </c>
      <c r="R946" s="3">
        <f>IF(Table13[[#This Row],[Actual_Qty]]=0,0,Table13[[#This Row],[Reject_Qty]]/Table13[[#This Row],[Actual_Qty]])</f>
        <v>6.6666666666666671E-3</v>
      </c>
      <c r="S946">
        <v>440.85</v>
      </c>
      <c r="T946">
        <f>(Table13[[#This Row],[Ideal_Cycle_Time_sec]]*Table13[[#This Row],[Actual_Qty]])/(Table13[[#This Row],[Operational_Time_min]]*60)</f>
        <v>0.40830214358625383</v>
      </c>
      <c r="U946">
        <f>Table13[[#This Row],[Good_Qty]]/Table13[[#This Row],[Actual_Qty]]</f>
        <v>0.99333333333333329</v>
      </c>
      <c r="V946" t="str">
        <f>IF(OR(Table13[[#This Row],[Performance_%]]&gt;=1,Table13[[#This Row],[Performance_%]]&lt;=0),"Error","OK")</f>
        <v>OK</v>
      </c>
      <c r="W946" t="str">
        <f>IF(OR(Table13[[#This Row],[Quality_%]]&gt;=1,Table13[[#This Row],[Quality_%]]&lt;=0),"Error","OK")</f>
        <v>OK</v>
      </c>
      <c r="X946">
        <f>Table13[[#This Row],[Performance_%]]*Table13[[#This Row],[Quality_%]]*[2]Availability_KPI!K946</f>
        <v>0.39733333333333332</v>
      </c>
      <c r="Y946" t="str">
        <f>IF(OR(Table13[[#This Row],[OEE_%]]&gt;1,Table13[[#This Row],[OEE_%]]&lt;0),"Error","OK")</f>
        <v>OK</v>
      </c>
    </row>
    <row r="947" spans="1:25" x14ac:dyDescent="0.2">
      <c r="A947" t="s">
        <v>1115</v>
      </c>
      <c r="B947" t="s">
        <v>1114</v>
      </c>
      <c r="C947" s="2">
        <v>46290</v>
      </c>
      <c r="D947" t="s">
        <v>53</v>
      </c>
      <c r="E947" t="s">
        <v>32</v>
      </c>
      <c r="F947" t="s">
        <v>54</v>
      </c>
      <c r="G947" t="s">
        <v>47</v>
      </c>
      <c r="H947">
        <v>602</v>
      </c>
      <c r="I947">
        <v>597</v>
      </c>
      <c r="J947">
        <v>5</v>
      </c>
      <c r="K947">
        <v>20</v>
      </c>
      <c r="L947">
        <v>20.53</v>
      </c>
      <c r="M947">
        <v>205.95</v>
      </c>
      <c r="N947">
        <f>_xlfn.XLOOKUP(Table13[[#This Row],[Production_Order_ID]],[1]Sheet1!$A$2:$A$391,[1]Sheet1!$F$2:$F$391,"No Match")</f>
        <v>600</v>
      </c>
      <c r="O947" s="3">
        <f>Table13[[#This Row],[Good_Qty]]/Table13[[#This Row],[Planned_Production]]</f>
        <v>0.995</v>
      </c>
      <c r="P947" t="str">
        <f>IF(Table13[[#This Row],[Good_Qty]]&gt;=Table13[[#This Row],[Planned_Production]],"Met","Not Met")</f>
        <v>Not Met</v>
      </c>
      <c r="Q947">
        <f>Table13[[#This Row],[Good_Qty]]-Table13[[#This Row],[Planned_Production]]</f>
        <v>-3</v>
      </c>
      <c r="R947" s="3">
        <f>IF(Table13[[#This Row],[Actual_Qty]]=0,0,Table13[[#This Row],[Reject_Qty]]/Table13[[#This Row],[Actual_Qty]])</f>
        <v>8.3056478405315621E-3</v>
      </c>
      <c r="S947">
        <v>440.64</v>
      </c>
      <c r="T947">
        <f>(Table13[[#This Row],[Ideal_Cycle_Time_sec]]*Table13[[#This Row],[Actual_Qty]])/(Table13[[#This Row],[Operational_Time_min]]*60)</f>
        <v>0.45539820866618258</v>
      </c>
      <c r="U947">
        <f>Table13[[#This Row],[Good_Qty]]/Table13[[#This Row],[Actual_Qty]]</f>
        <v>0.99169435215946844</v>
      </c>
      <c r="V947" t="str">
        <f>IF(OR(Table13[[#This Row],[Performance_%]]&gt;=1,Table13[[#This Row],[Performance_%]]&lt;=0),"Error","OK")</f>
        <v>OK</v>
      </c>
      <c r="W947" t="str">
        <f>IF(OR(Table13[[#This Row],[Quality_%]]&gt;=1,Table13[[#This Row],[Quality_%]]&lt;=0),"Error","OK")</f>
        <v>OK</v>
      </c>
      <c r="X947">
        <f>Table13[[#This Row],[Performance_%]]*Table13[[#This Row],[Quality_%]]*[2]Availability_KPI!K947</f>
        <v>0.44222222222222224</v>
      </c>
      <c r="Y947" t="str">
        <f>IF(OR(Table13[[#This Row],[OEE_%]]&gt;1,Table13[[#This Row],[OEE_%]]&lt;0),"Error","OK")</f>
        <v>OK</v>
      </c>
    </row>
    <row r="948" spans="1:25" x14ac:dyDescent="0.2">
      <c r="A948" t="s">
        <v>1116</v>
      </c>
      <c r="B948" t="s">
        <v>1114</v>
      </c>
      <c r="C948" s="2">
        <v>46290</v>
      </c>
      <c r="D948" t="s">
        <v>53</v>
      </c>
      <c r="E948" t="s">
        <v>35</v>
      </c>
      <c r="F948" t="s">
        <v>54</v>
      </c>
      <c r="G948" t="s">
        <v>47</v>
      </c>
      <c r="H948">
        <v>602</v>
      </c>
      <c r="I948">
        <v>596</v>
      </c>
      <c r="J948">
        <v>6</v>
      </c>
      <c r="K948">
        <v>22</v>
      </c>
      <c r="L948">
        <v>22.91</v>
      </c>
      <c r="M948">
        <v>229.9</v>
      </c>
      <c r="N948">
        <f>_xlfn.XLOOKUP(Table13[[#This Row],[Production_Order_ID]],[1]Sheet1!$A$2:$A$391,[1]Sheet1!$F$2:$F$391,"No Match")</f>
        <v>600</v>
      </c>
      <c r="O948" s="3">
        <f>Table13[[#This Row],[Good_Qty]]/Table13[[#This Row],[Planned_Production]]</f>
        <v>0.99333333333333329</v>
      </c>
      <c r="P948" t="str">
        <f>IF(Table13[[#This Row],[Good_Qty]]&gt;=Table13[[#This Row],[Planned_Production]],"Met","Not Met")</f>
        <v>Not Met</v>
      </c>
      <c r="Q948">
        <f>Table13[[#This Row],[Good_Qty]]-Table13[[#This Row],[Planned_Production]]</f>
        <v>-4</v>
      </c>
      <c r="R948" s="3">
        <f>IF(Table13[[#This Row],[Actual_Qty]]=0,0,Table13[[#This Row],[Reject_Qty]]/Table13[[#This Row],[Actual_Qty]])</f>
        <v>9.9667774086378731E-3</v>
      </c>
      <c r="S948">
        <v>433.74</v>
      </c>
      <c r="T948">
        <f>(Table13[[#This Row],[Ideal_Cycle_Time_sec]]*Table13[[#This Row],[Actual_Qty]])/(Table13[[#This Row],[Operational_Time_min]]*60)</f>
        <v>0.50890702571432955</v>
      </c>
      <c r="U948">
        <f>Table13[[#This Row],[Good_Qty]]/Table13[[#This Row],[Actual_Qty]]</f>
        <v>0.99003322259136217</v>
      </c>
      <c r="V948" t="str">
        <f>IF(OR(Table13[[#This Row],[Performance_%]]&gt;=1,Table13[[#This Row],[Performance_%]]&lt;=0),"Error","OK")</f>
        <v>OK</v>
      </c>
      <c r="W948" t="str">
        <f>IF(OR(Table13[[#This Row],[Quality_%]]&gt;=1,Table13[[#This Row],[Quality_%]]&lt;=0),"Error","OK")</f>
        <v>OK</v>
      </c>
      <c r="X948">
        <f>Table13[[#This Row],[Performance_%]]*Table13[[#This Row],[Quality_%]]*[2]Availability_KPI!K948</f>
        <v>0.48562962962962958</v>
      </c>
      <c r="Y948" t="str">
        <f>IF(OR(Table13[[#This Row],[OEE_%]]&gt;1,Table13[[#This Row],[OEE_%]]&lt;0),"Error","OK")</f>
        <v>OK</v>
      </c>
    </row>
    <row r="949" spans="1:25" x14ac:dyDescent="0.2">
      <c r="A949" t="s">
        <v>1117</v>
      </c>
      <c r="B949" t="s">
        <v>1114</v>
      </c>
      <c r="C949" s="2">
        <v>46290</v>
      </c>
      <c r="D949" t="s">
        <v>53</v>
      </c>
      <c r="E949" t="s">
        <v>38</v>
      </c>
      <c r="F949" t="s">
        <v>54</v>
      </c>
      <c r="G949" t="s">
        <v>39</v>
      </c>
      <c r="H949">
        <v>595</v>
      </c>
      <c r="I949">
        <v>590</v>
      </c>
      <c r="J949">
        <v>5</v>
      </c>
      <c r="K949">
        <v>20</v>
      </c>
      <c r="L949">
        <v>20.71</v>
      </c>
      <c r="M949">
        <v>205.41</v>
      </c>
      <c r="N949">
        <f>_xlfn.XLOOKUP(Table13[[#This Row],[Production_Order_ID]],[1]Sheet1!$A$2:$A$391,[1]Sheet1!$F$2:$F$391,"No Match")</f>
        <v>600</v>
      </c>
      <c r="O949" s="3">
        <f>Table13[[#This Row],[Good_Qty]]/Table13[[#This Row],[Planned_Production]]</f>
        <v>0.98333333333333328</v>
      </c>
      <c r="P949" t="str">
        <f>IF(Table13[[#This Row],[Good_Qty]]&gt;=Table13[[#This Row],[Planned_Production]],"Met","Not Met")</f>
        <v>Not Met</v>
      </c>
      <c r="Q949">
        <f>Table13[[#This Row],[Good_Qty]]-Table13[[#This Row],[Planned_Production]]</f>
        <v>-10</v>
      </c>
      <c r="R949" s="3">
        <f>IF(Table13[[#This Row],[Actual_Qty]]=0,0,Table13[[#This Row],[Reject_Qty]]/Table13[[#This Row],[Actual_Qty]])</f>
        <v>8.4033613445378148E-3</v>
      </c>
      <c r="S949">
        <v>439.14</v>
      </c>
      <c r="T949">
        <f>(Table13[[#This Row],[Ideal_Cycle_Time_sec]]*Table13[[#This Row],[Actual_Qty]])/(Table13[[#This Row],[Operational_Time_min]]*60)</f>
        <v>0.45164032730640197</v>
      </c>
      <c r="U949">
        <f>Table13[[#This Row],[Good_Qty]]/Table13[[#This Row],[Actual_Qty]]</f>
        <v>0.99159663865546221</v>
      </c>
      <c r="V949" t="str">
        <f>IF(OR(Table13[[#This Row],[Performance_%]]&gt;=1,Table13[[#This Row],[Performance_%]]&lt;=0),"Error","OK")</f>
        <v>OK</v>
      </c>
      <c r="W949" t="str">
        <f>IF(OR(Table13[[#This Row],[Quality_%]]&gt;=1,Table13[[#This Row],[Quality_%]]&lt;=0),"Error","OK")</f>
        <v>OK</v>
      </c>
      <c r="X949">
        <f>Table13[[#This Row],[Performance_%]]*Table13[[#This Row],[Quality_%]]*[2]Availability_KPI!K949</f>
        <v>0.43703703703703711</v>
      </c>
      <c r="Y949" t="str">
        <f>IF(OR(Table13[[#This Row],[OEE_%]]&gt;1,Table13[[#This Row],[OEE_%]]&lt;0),"Error","OK")</f>
        <v>OK</v>
      </c>
    </row>
    <row r="950" spans="1:25" x14ac:dyDescent="0.2">
      <c r="A950" t="s">
        <v>1118</v>
      </c>
      <c r="B950" t="s">
        <v>1114</v>
      </c>
      <c r="C950" s="2">
        <v>46290</v>
      </c>
      <c r="D950" t="s">
        <v>53</v>
      </c>
      <c r="E950" t="s">
        <v>41</v>
      </c>
      <c r="F950" t="s">
        <v>54</v>
      </c>
      <c r="G950" t="s">
        <v>30</v>
      </c>
      <c r="H950">
        <v>608</v>
      </c>
      <c r="I950">
        <v>603</v>
      </c>
      <c r="J950">
        <v>5</v>
      </c>
      <c r="K950">
        <v>18</v>
      </c>
      <c r="L950">
        <v>19.079999999999998</v>
      </c>
      <c r="M950">
        <v>193.39</v>
      </c>
      <c r="N950">
        <f>_xlfn.XLOOKUP(Table13[[#This Row],[Production_Order_ID]],[1]Sheet1!$A$2:$A$391,[1]Sheet1!$F$2:$F$391,"No Match")</f>
        <v>600</v>
      </c>
      <c r="O950" s="3">
        <f>Table13[[#This Row],[Good_Qty]]/Table13[[#This Row],[Planned_Production]]</f>
        <v>1.0049999999999999</v>
      </c>
      <c r="P950" t="str">
        <f>IF(Table13[[#This Row],[Good_Qty]]&gt;=Table13[[#This Row],[Planned_Production]],"Met","Not Met")</f>
        <v>Met</v>
      </c>
      <c r="Q950">
        <f>Table13[[#This Row],[Good_Qty]]-Table13[[#This Row],[Planned_Production]]</f>
        <v>3</v>
      </c>
      <c r="R950" s="3">
        <f>IF(Table13[[#This Row],[Actual_Qty]]=0,0,Table13[[#This Row],[Reject_Qty]]/Table13[[#This Row],[Actual_Qty]])</f>
        <v>8.2236842105263153E-3</v>
      </c>
      <c r="S950">
        <v>435.77</v>
      </c>
      <c r="T950">
        <f>(Table13[[#This Row],[Ideal_Cycle_Time_sec]]*Table13[[#This Row],[Actual_Qty]])/(Table13[[#This Row],[Operational_Time_min]]*60)</f>
        <v>0.4185694288271336</v>
      </c>
      <c r="U950">
        <f>Table13[[#This Row],[Good_Qty]]/Table13[[#This Row],[Actual_Qty]]</f>
        <v>0.99177631578947367</v>
      </c>
      <c r="V950" t="str">
        <f>IF(OR(Table13[[#This Row],[Performance_%]]&gt;=1,Table13[[#This Row],[Performance_%]]&lt;=0),"Error","OK")</f>
        <v>OK</v>
      </c>
      <c r="W950" t="str">
        <f>IF(OR(Table13[[#This Row],[Quality_%]]&gt;=1,Table13[[#This Row],[Quality_%]]&lt;=0),"Error","OK")</f>
        <v>OK</v>
      </c>
      <c r="X950">
        <f>Table13[[#This Row],[Performance_%]]*Table13[[#This Row],[Quality_%]]*[2]Availability_KPI!K950</f>
        <v>0.40200000000000002</v>
      </c>
      <c r="Y950" t="str">
        <f>IF(OR(Table13[[#This Row],[OEE_%]]&gt;1,Table13[[#This Row],[OEE_%]]&lt;0),"Error","OK")</f>
        <v>OK</v>
      </c>
    </row>
    <row r="951" spans="1:25" x14ac:dyDescent="0.2">
      <c r="A951" t="s">
        <v>1119</v>
      </c>
      <c r="B951" t="s">
        <v>1114</v>
      </c>
      <c r="C951" s="2">
        <v>46290</v>
      </c>
      <c r="D951" t="s">
        <v>53</v>
      </c>
      <c r="E951" t="s">
        <v>43</v>
      </c>
      <c r="F951" t="s">
        <v>54</v>
      </c>
      <c r="G951" t="s">
        <v>57</v>
      </c>
      <c r="H951">
        <v>596</v>
      </c>
      <c r="I951">
        <v>588</v>
      </c>
      <c r="J951">
        <v>8</v>
      </c>
      <c r="K951">
        <v>32</v>
      </c>
      <c r="L951">
        <v>34.36</v>
      </c>
      <c r="M951">
        <v>341.26</v>
      </c>
      <c r="N951">
        <f>_xlfn.XLOOKUP(Table13[[#This Row],[Production_Order_ID]],[1]Sheet1!$A$2:$A$391,[1]Sheet1!$F$2:$F$391,"No Match")</f>
        <v>600</v>
      </c>
      <c r="O951" s="3">
        <f>Table13[[#This Row],[Good_Qty]]/Table13[[#This Row],[Planned_Production]]</f>
        <v>0.98</v>
      </c>
      <c r="P951" t="str">
        <f>IF(Table13[[#This Row],[Good_Qty]]&gt;=Table13[[#This Row],[Planned_Production]],"Met","Not Met")</f>
        <v>Not Met</v>
      </c>
      <c r="Q951">
        <f>Table13[[#This Row],[Good_Qty]]-Table13[[#This Row],[Planned_Production]]</f>
        <v>-12</v>
      </c>
      <c r="R951" s="3">
        <f>IF(Table13[[#This Row],[Actual_Qty]]=0,0,Table13[[#This Row],[Reject_Qty]]/Table13[[#This Row],[Actual_Qty]])</f>
        <v>1.3422818791946308E-2</v>
      </c>
      <c r="S951">
        <v>418.49</v>
      </c>
      <c r="T951">
        <f>(Table13[[#This Row],[Ideal_Cycle_Time_sec]]*Table13[[#This Row],[Actual_Qty]])/(Table13[[#This Row],[Operational_Time_min]]*60)</f>
        <v>0.759556182146925</v>
      </c>
      <c r="U951">
        <f>Table13[[#This Row],[Good_Qty]]/Table13[[#This Row],[Actual_Qty]]</f>
        <v>0.98657718120805371</v>
      </c>
      <c r="V951" t="str">
        <f>IF(OR(Table13[[#This Row],[Performance_%]]&gt;=1,Table13[[#This Row],[Performance_%]]&lt;=0),"Error","OK")</f>
        <v>OK</v>
      </c>
      <c r="W951" t="str">
        <f>IF(OR(Table13[[#This Row],[Quality_%]]&gt;=1,Table13[[#This Row],[Quality_%]]&lt;=0),"Error","OK")</f>
        <v>OK</v>
      </c>
      <c r="X951">
        <f>Table13[[#This Row],[Performance_%]]*Table13[[#This Row],[Quality_%]]*[2]Availability_KPI!K951</f>
        <v>0.69688888888888889</v>
      </c>
      <c r="Y951" t="str">
        <f>IF(OR(Table13[[#This Row],[OEE_%]]&gt;1,Table13[[#This Row],[OEE_%]]&lt;0),"Error","OK")</f>
        <v>OK</v>
      </c>
    </row>
    <row r="952" spans="1:25" x14ac:dyDescent="0.2">
      <c r="A952" t="s">
        <v>1120</v>
      </c>
      <c r="B952" t="s">
        <v>1114</v>
      </c>
      <c r="C952" s="2">
        <v>46290</v>
      </c>
      <c r="D952" t="s">
        <v>53</v>
      </c>
      <c r="E952" t="s">
        <v>46</v>
      </c>
      <c r="F952" t="s">
        <v>54</v>
      </c>
      <c r="G952" t="s">
        <v>30</v>
      </c>
      <c r="H952">
        <v>605</v>
      </c>
      <c r="I952">
        <v>597</v>
      </c>
      <c r="J952">
        <v>8</v>
      </c>
      <c r="K952">
        <v>25</v>
      </c>
      <c r="L952">
        <v>26.48</v>
      </c>
      <c r="M952">
        <v>266.99</v>
      </c>
      <c r="N952">
        <f>_xlfn.XLOOKUP(Table13[[#This Row],[Production_Order_ID]],[1]Sheet1!$A$2:$A$391,[1]Sheet1!$F$2:$F$391,"No Match")</f>
        <v>600</v>
      </c>
      <c r="O952" s="3">
        <f>Table13[[#This Row],[Good_Qty]]/Table13[[#This Row],[Planned_Production]]</f>
        <v>0.995</v>
      </c>
      <c r="P952" t="str">
        <f>IF(Table13[[#This Row],[Good_Qty]]&gt;=Table13[[#This Row],[Planned_Production]],"Met","Not Met")</f>
        <v>Not Met</v>
      </c>
      <c r="Q952">
        <f>Table13[[#This Row],[Good_Qty]]-Table13[[#This Row],[Planned_Production]]</f>
        <v>-3</v>
      </c>
      <c r="R952" s="3">
        <f>IF(Table13[[#This Row],[Actual_Qty]]=0,0,Table13[[#This Row],[Reject_Qty]]/Table13[[#This Row],[Actual_Qty]])</f>
        <v>1.3223140495867768E-2</v>
      </c>
      <c r="S952">
        <v>433.38</v>
      </c>
      <c r="T952">
        <f>(Table13[[#This Row],[Ideal_Cycle_Time_sec]]*Table13[[#This Row],[Actual_Qty]])/(Table13[[#This Row],[Operational_Time_min]]*60)</f>
        <v>0.5816681280477487</v>
      </c>
      <c r="U952">
        <f>Table13[[#This Row],[Good_Qty]]/Table13[[#This Row],[Actual_Qty]]</f>
        <v>0.98677685950413219</v>
      </c>
      <c r="V952" t="str">
        <f>IF(OR(Table13[[#This Row],[Performance_%]]&gt;=1,Table13[[#This Row],[Performance_%]]&lt;=0),"Error","OK")</f>
        <v>OK</v>
      </c>
      <c r="W952" t="str">
        <f>IF(OR(Table13[[#This Row],[Quality_%]]&gt;=1,Table13[[#This Row],[Quality_%]]&lt;=0),"Error","OK")</f>
        <v>OK</v>
      </c>
      <c r="X952">
        <f>Table13[[#This Row],[Performance_%]]*Table13[[#This Row],[Quality_%]]*[2]Availability_KPI!K952</f>
        <v>0.5527777777777777</v>
      </c>
      <c r="Y952" t="str">
        <f>IF(OR(Table13[[#This Row],[OEE_%]]&gt;1,Table13[[#This Row],[OEE_%]]&lt;0),"Error","OK")</f>
        <v>OK</v>
      </c>
    </row>
    <row r="953" spans="1:25" x14ac:dyDescent="0.2">
      <c r="A953" t="s">
        <v>1121</v>
      </c>
      <c r="B953" t="s">
        <v>1114</v>
      </c>
      <c r="C953" s="2">
        <v>46290</v>
      </c>
      <c r="D953" t="s">
        <v>53</v>
      </c>
      <c r="E953" t="s">
        <v>49</v>
      </c>
      <c r="F953" t="s">
        <v>54</v>
      </c>
      <c r="G953" t="s">
        <v>55</v>
      </c>
      <c r="H953">
        <v>608</v>
      </c>
      <c r="I953">
        <v>605</v>
      </c>
      <c r="J953">
        <v>3</v>
      </c>
      <c r="K953">
        <v>20</v>
      </c>
      <c r="L953">
        <v>20.9</v>
      </c>
      <c r="M953">
        <v>211.82</v>
      </c>
      <c r="N953">
        <f>_xlfn.XLOOKUP(Table13[[#This Row],[Production_Order_ID]],[1]Sheet1!$A$2:$A$391,[1]Sheet1!$F$2:$F$391,"No Match")</f>
        <v>600</v>
      </c>
      <c r="O953" s="3">
        <f>Table13[[#This Row],[Good_Qty]]/Table13[[#This Row],[Planned_Production]]</f>
        <v>1.0083333333333333</v>
      </c>
      <c r="P953" t="str">
        <f>IF(Table13[[#This Row],[Good_Qty]]&gt;=Table13[[#This Row],[Planned_Production]],"Met","Not Met")</f>
        <v>Met</v>
      </c>
      <c r="Q953">
        <f>Table13[[#This Row],[Good_Qty]]-Table13[[#This Row],[Planned_Production]]</f>
        <v>5</v>
      </c>
      <c r="R953" s="3">
        <f>IF(Table13[[#This Row],[Actual_Qty]]=0,0,Table13[[#This Row],[Reject_Qty]]/Table13[[#This Row],[Actual_Qty]])</f>
        <v>4.9342105263157892E-3</v>
      </c>
      <c r="S953">
        <v>443.26</v>
      </c>
      <c r="T953">
        <f>(Table13[[#This Row],[Ideal_Cycle_Time_sec]]*Table13[[#This Row],[Actual_Qty]])/(Table13[[#This Row],[Operational_Time_min]]*60)</f>
        <v>0.45721848726857078</v>
      </c>
      <c r="U953">
        <f>Table13[[#This Row],[Good_Qty]]/Table13[[#This Row],[Actual_Qty]]</f>
        <v>0.99506578947368418</v>
      </c>
      <c r="V953" t="str">
        <f>IF(OR(Table13[[#This Row],[Performance_%]]&gt;=1,Table13[[#This Row],[Performance_%]]&lt;=0),"Error","OK")</f>
        <v>OK</v>
      </c>
      <c r="W953" t="str">
        <f>IF(OR(Table13[[#This Row],[Quality_%]]&gt;=1,Table13[[#This Row],[Quality_%]]&lt;=0),"Error","OK")</f>
        <v>OK</v>
      </c>
      <c r="X953">
        <f>Table13[[#This Row],[Performance_%]]*Table13[[#This Row],[Quality_%]]*[2]Availability_KPI!K953</f>
        <v>0.44814814814814818</v>
      </c>
      <c r="Y953" t="str">
        <f>IF(OR(Table13[[#This Row],[OEE_%]]&gt;1,Table13[[#This Row],[OEE_%]]&lt;0),"Error","OK")</f>
        <v>OK</v>
      </c>
    </row>
    <row r="954" spans="1:25" x14ac:dyDescent="0.2">
      <c r="A954" t="s">
        <v>1122</v>
      </c>
      <c r="B954" t="s">
        <v>1123</v>
      </c>
      <c r="C954" s="2">
        <v>46290</v>
      </c>
      <c r="D954" t="s">
        <v>67</v>
      </c>
      <c r="E954" t="s">
        <v>28</v>
      </c>
      <c r="F954" t="s">
        <v>97</v>
      </c>
      <c r="G954" t="s">
        <v>36</v>
      </c>
      <c r="H954">
        <v>589</v>
      </c>
      <c r="I954">
        <v>586</v>
      </c>
      <c r="J954">
        <v>3</v>
      </c>
      <c r="K954">
        <v>19.260000000000002</v>
      </c>
      <c r="L954">
        <v>19.97</v>
      </c>
      <c r="M954">
        <v>196.05</v>
      </c>
      <c r="N954">
        <f>_xlfn.XLOOKUP(Table13[[#This Row],[Production_Order_ID]],[1]Sheet1!$A$2:$A$391,[1]Sheet1!$F$2:$F$391,"No Match")</f>
        <v>560</v>
      </c>
      <c r="O954" s="3">
        <f>Table13[[#This Row],[Good_Qty]]/Table13[[#This Row],[Planned_Production]]</f>
        <v>1.0464285714285715</v>
      </c>
      <c r="P954" t="str">
        <f>IF(Table13[[#This Row],[Good_Qty]]&gt;=Table13[[#This Row],[Planned_Production]],"Met","Not Met")</f>
        <v>Met</v>
      </c>
      <c r="Q954">
        <f>Table13[[#This Row],[Good_Qty]]-Table13[[#This Row],[Planned_Production]]</f>
        <v>26</v>
      </c>
      <c r="R954" s="3">
        <f>IF(Table13[[#This Row],[Actual_Qty]]=0,0,Table13[[#This Row],[Reject_Qty]]/Table13[[#This Row],[Actual_Qty]])</f>
        <v>5.0933786078098476E-3</v>
      </c>
      <c r="S954">
        <v>440.23</v>
      </c>
      <c r="T954">
        <f>(Table13[[#This Row],[Ideal_Cycle_Time_sec]]*Table13[[#This Row],[Actual_Qty]])/(Table13[[#This Row],[Operational_Time_min]]*60)</f>
        <v>0.42947777298230472</v>
      </c>
      <c r="U954">
        <f>Table13[[#This Row],[Good_Qty]]/Table13[[#This Row],[Actual_Qty]]</f>
        <v>0.9949066213921901</v>
      </c>
      <c r="V954" t="str">
        <f>IF(OR(Table13[[#This Row],[Performance_%]]&gt;=1,Table13[[#This Row],[Performance_%]]&lt;=0),"Error","OK")</f>
        <v>OK</v>
      </c>
      <c r="W954" t="str">
        <f>IF(OR(Table13[[#This Row],[Quality_%]]&gt;=1,Table13[[#This Row],[Quality_%]]&lt;=0),"Error","OK")</f>
        <v>OK</v>
      </c>
      <c r="X954">
        <f>Table13[[#This Row],[Performance_%]]*Table13[[#This Row],[Quality_%]]*[2]Availability_KPI!K954</f>
        <v>0.41801333333333335</v>
      </c>
      <c r="Y954" t="str">
        <f>IF(OR(Table13[[#This Row],[OEE_%]]&gt;1,Table13[[#This Row],[OEE_%]]&lt;0),"Error","OK")</f>
        <v>OK</v>
      </c>
    </row>
    <row r="955" spans="1:25" x14ac:dyDescent="0.2">
      <c r="A955" t="s">
        <v>1124</v>
      </c>
      <c r="B955" t="s">
        <v>1123</v>
      </c>
      <c r="C955" s="2">
        <v>46290</v>
      </c>
      <c r="D955" t="s">
        <v>67</v>
      </c>
      <c r="E955" t="s">
        <v>32</v>
      </c>
      <c r="F955" t="s">
        <v>97</v>
      </c>
      <c r="G955" t="s">
        <v>55</v>
      </c>
      <c r="H955">
        <v>590</v>
      </c>
      <c r="I955">
        <v>585</v>
      </c>
      <c r="J955">
        <v>5</v>
      </c>
      <c r="K955">
        <v>21.4</v>
      </c>
      <c r="L955">
        <v>22.62</v>
      </c>
      <c r="M955">
        <v>222.45</v>
      </c>
      <c r="N955">
        <f>_xlfn.XLOOKUP(Table13[[#This Row],[Production_Order_ID]],[1]Sheet1!$A$2:$A$391,[1]Sheet1!$F$2:$F$391,"No Match")</f>
        <v>560</v>
      </c>
      <c r="O955" s="3">
        <f>Table13[[#This Row],[Good_Qty]]/Table13[[#This Row],[Planned_Production]]</f>
        <v>1.0446428571428572</v>
      </c>
      <c r="P955" t="str">
        <f>IF(Table13[[#This Row],[Good_Qty]]&gt;=Table13[[#This Row],[Planned_Production]],"Met","Not Met")</f>
        <v>Met</v>
      </c>
      <c r="Q955">
        <f>Table13[[#This Row],[Good_Qty]]-Table13[[#This Row],[Planned_Production]]</f>
        <v>25</v>
      </c>
      <c r="R955" s="3">
        <f>IF(Table13[[#This Row],[Actual_Qty]]=0,0,Table13[[#This Row],[Reject_Qty]]/Table13[[#This Row],[Actual_Qty]])</f>
        <v>8.4745762711864406E-3</v>
      </c>
      <c r="S955">
        <v>436.83</v>
      </c>
      <c r="T955">
        <f>(Table13[[#This Row],[Ideal_Cycle_Time_sec]]*Table13[[#This Row],[Actual_Qty]])/(Table13[[#This Row],[Operational_Time_min]]*60)</f>
        <v>0.48172820853268628</v>
      </c>
      <c r="U955">
        <f>Table13[[#This Row],[Good_Qty]]/Table13[[#This Row],[Actual_Qty]]</f>
        <v>0.99152542372881358</v>
      </c>
      <c r="V955" t="str">
        <f>IF(OR(Table13[[#This Row],[Performance_%]]&gt;=1,Table13[[#This Row],[Performance_%]]&lt;=0),"Error","OK")</f>
        <v>OK</v>
      </c>
      <c r="W955" t="str">
        <f>IF(OR(Table13[[#This Row],[Quality_%]]&gt;=1,Table13[[#This Row],[Quality_%]]&lt;=0),"Error","OK")</f>
        <v>OK</v>
      </c>
      <c r="X955">
        <f>Table13[[#This Row],[Performance_%]]*Table13[[#This Row],[Quality_%]]*[2]Availability_KPI!K955</f>
        <v>0.46366666666666673</v>
      </c>
      <c r="Y955" t="str">
        <f>IF(OR(Table13[[#This Row],[OEE_%]]&gt;1,Table13[[#This Row],[OEE_%]]&lt;0),"Error","OK")</f>
        <v>OK</v>
      </c>
    </row>
    <row r="956" spans="1:25" x14ac:dyDescent="0.2">
      <c r="A956" t="s">
        <v>1125</v>
      </c>
      <c r="B956" t="s">
        <v>1123</v>
      </c>
      <c r="C956" s="2">
        <v>46290</v>
      </c>
      <c r="D956" t="s">
        <v>67</v>
      </c>
      <c r="E956" t="s">
        <v>35</v>
      </c>
      <c r="F956" t="s">
        <v>97</v>
      </c>
      <c r="G956" t="s">
        <v>57</v>
      </c>
      <c r="H956">
        <v>601</v>
      </c>
      <c r="I956">
        <v>597</v>
      </c>
      <c r="J956">
        <v>4</v>
      </c>
      <c r="K956">
        <v>23.54</v>
      </c>
      <c r="L956">
        <v>24.6</v>
      </c>
      <c r="M956">
        <v>246.44</v>
      </c>
      <c r="N956">
        <f>_xlfn.XLOOKUP(Table13[[#This Row],[Production_Order_ID]],[1]Sheet1!$A$2:$A$391,[1]Sheet1!$F$2:$F$391,"No Match")</f>
        <v>560</v>
      </c>
      <c r="O956" s="3">
        <f>Table13[[#This Row],[Good_Qty]]/Table13[[#This Row],[Planned_Production]]</f>
        <v>1.0660714285714286</v>
      </c>
      <c r="P956" t="str">
        <f>IF(Table13[[#This Row],[Good_Qty]]&gt;=Table13[[#This Row],[Planned_Production]],"Met","Not Met")</f>
        <v>Met</v>
      </c>
      <c r="Q956">
        <f>Table13[[#This Row],[Good_Qty]]-Table13[[#This Row],[Planned_Production]]</f>
        <v>37</v>
      </c>
      <c r="R956" s="3">
        <f>IF(Table13[[#This Row],[Actual_Qty]]=0,0,Table13[[#This Row],[Reject_Qty]]/Table13[[#This Row],[Actual_Qty]])</f>
        <v>6.6555740432612314E-3</v>
      </c>
      <c r="S956">
        <v>433.04</v>
      </c>
      <c r="T956">
        <f>(Table13[[#This Row],[Ideal_Cycle_Time_sec]]*Table13[[#This Row],[Actual_Qty]])/(Table13[[#This Row],[Operational_Time_min]]*60)</f>
        <v>0.54450474167128515</v>
      </c>
      <c r="U956">
        <f>Table13[[#This Row],[Good_Qty]]/Table13[[#This Row],[Actual_Qty]]</f>
        <v>0.99334442595673877</v>
      </c>
      <c r="V956" t="str">
        <f>IF(OR(Table13[[#This Row],[Performance_%]]&gt;=1,Table13[[#This Row],[Performance_%]]&lt;=0),"Error","OK")</f>
        <v>OK</v>
      </c>
      <c r="W956" t="str">
        <f>IF(OR(Table13[[#This Row],[Quality_%]]&gt;=1,Table13[[#This Row],[Quality_%]]&lt;=0),"Error","OK")</f>
        <v>OK</v>
      </c>
      <c r="X956">
        <f>Table13[[#This Row],[Performance_%]]*Table13[[#This Row],[Quality_%]]*[2]Availability_KPI!K956</f>
        <v>0.52049555555555549</v>
      </c>
      <c r="Y956" t="str">
        <f>IF(OR(Table13[[#This Row],[OEE_%]]&gt;1,Table13[[#This Row],[OEE_%]]&lt;0),"Error","OK")</f>
        <v>OK</v>
      </c>
    </row>
    <row r="957" spans="1:25" x14ac:dyDescent="0.2">
      <c r="A957" t="s">
        <v>1126</v>
      </c>
      <c r="B957" t="s">
        <v>1123</v>
      </c>
      <c r="C957" s="2">
        <v>46290</v>
      </c>
      <c r="D957" t="s">
        <v>67</v>
      </c>
      <c r="E957" t="s">
        <v>38</v>
      </c>
      <c r="F957" t="s">
        <v>97</v>
      </c>
      <c r="G957" t="s">
        <v>30</v>
      </c>
      <c r="H957">
        <v>591</v>
      </c>
      <c r="I957">
        <v>587</v>
      </c>
      <c r="J957">
        <v>4</v>
      </c>
      <c r="K957">
        <v>21.4</v>
      </c>
      <c r="L957">
        <v>22.22</v>
      </c>
      <c r="M957">
        <v>218.85</v>
      </c>
      <c r="N957">
        <f>_xlfn.XLOOKUP(Table13[[#This Row],[Production_Order_ID]],[1]Sheet1!$A$2:$A$391,[1]Sheet1!$F$2:$F$391,"No Match")</f>
        <v>560</v>
      </c>
      <c r="O957" s="3">
        <f>Table13[[#This Row],[Good_Qty]]/Table13[[#This Row],[Planned_Production]]</f>
        <v>1.0482142857142858</v>
      </c>
      <c r="P957" t="str">
        <f>IF(Table13[[#This Row],[Good_Qty]]&gt;=Table13[[#This Row],[Planned_Production]],"Met","Not Met")</f>
        <v>Met</v>
      </c>
      <c r="Q957">
        <f>Table13[[#This Row],[Good_Qty]]-Table13[[#This Row],[Planned_Production]]</f>
        <v>27</v>
      </c>
      <c r="R957" s="3">
        <f>IF(Table13[[#This Row],[Actual_Qty]]=0,0,Table13[[#This Row],[Reject_Qty]]/Table13[[#This Row],[Actual_Qty]])</f>
        <v>6.7681895093062603E-3</v>
      </c>
      <c r="S957">
        <v>438.96</v>
      </c>
      <c r="T957">
        <f>(Table13[[#This Row],[Ideal_Cycle_Time_sec]]*Table13[[#This Row],[Actual_Qty]])/(Table13[[#This Row],[Operational_Time_min]]*60)</f>
        <v>0.48020320758155643</v>
      </c>
      <c r="U957">
        <f>Table13[[#This Row],[Good_Qty]]/Table13[[#This Row],[Actual_Qty]]</f>
        <v>0.99323181049069376</v>
      </c>
      <c r="V957" t="str">
        <f>IF(OR(Table13[[#This Row],[Performance_%]]&gt;=1,Table13[[#This Row],[Performance_%]]&lt;=0),"Error","OK")</f>
        <v>OK</v>
      </c>
      <c r="W957" t="str">
        <f>IF(OR(Table13[[#This Row],[Quality_%]]&gt;=1,Table13[[#This Row],[Quality_%]]&lt;=0),"Error","OK")</f>
        <v>OK</v>
      </c>
      <c r="X957">
        <f>Table13[[#This Row],[Performance_%]]*Table13[[#This Row],[Quality_%]]*[2]Availability_KPI!K957</f>
        <v>0.46525185185185186</v>
      </c>
      <c r="Y957" t="str">
        <f>IF(OR(Table13[[#This Row],[OEE_%]]&gt;1,Table13[[#This Row],[OEE_%]]&lt;0),"Error","OK")</f>
        <v>OK</v>
      </c>
    </row>
    <row r="958" spans="1:25" x14ac:dyDescent="0.2">
      <c r="A958" t="s">
        <v>1127</v>
      </c>
      <c r="B958" t="s">
        <v>1123</v>
      </c>
      <c r="C958" s="2">
        <v>46290</v>
      </c>
      <c r="D958" t="s">
        <v>67</v>
      </c>
      <c r="E958" t="s">
        <v>41</v>
      </c>
      <c r="F958" t="s">
        <v>97</v>
      </c>
      <c r="G958" t="s">
        <v>61</v>
      </c>
      <c r="H958">
        <v>593</v>
      </c>
      <c r="I958">
        <v>590</v>
      </c>
      <c r="J958">
        <v>3</v>
      </c>
      <c r="K958">
        <v>19.260000000000002</v>
      </c>
      <c r="L958">
        <v>19.97</v>
      </c>
      <c r="M958">
        <v>197.42</v>
      </c>
      <c r="N958">
        <f>_xlfn.XLOOKUP(Table13[[#This Row],[Production_Order_ID]],[1]Sheet1!$A$2:$A$391,[1]Sheet1!$F$2:$F$391,"No Match")</f>
        <v>560</v>
      </c>
      <c r="O958" s="3">
        <f>Table13[[#This Row],[Good_Qty]]/Table13[[#This Row],[Planned_Production]]</f>
        <v>1.0535714285714286</v>
      </c>
      <c r="P958" t="str">
        <f>IF(Table13[[#This Row],[Good_Qty]]&gt;=Table13[[#This Row],[Planned_Production]],"Met","Not Met")</f>
        <v>Met</v>
      </c>
      <c r="Q958">
        <f>Table13[[#This Row],[Good_Qty]]-Table13[[#This Row],[Planned_Production]]</f>
        <v>30</v>
      </c>
      <c r="R958" s="3">
        <f>IF(Table13[[#This Row],[Actual_Qty]]=0,0,Table13[[#This Row],[Reject_Qty]]/Table13[[#This Row],[Actual_Qty]])</f>
        <v>5.0590219224283303E-3</v>
      </c>
      <c r="S958">
        <v>436.06</v>
      </c>
      <c r="T958">
        <f>(Table13[[#This Row],[Ideal_Cycle_Time_sec]]*Table13[[#This Row],[Actual_Qty]])/(Table13[[#This Row],[Operational_Time_min]]*60)</f>
        <v>0.43652937669128106</v>
      </c>
      <c r="U958">
        <f>Table13[[#This Row],[Good_Qty]]/Table13[[#This Row],[Actual_Qty]]</f>
        <v>0.99494097807757165</v>
      </c>
      <c r="V958" t="str">
        <f>IF(OR(Table13[[#This Row],[Performance_%]]&gt;=1,Table13[[#This Row],[Performance_%]]&lt;=0),"Error","OK")</f>
        <v>OK</v>
      </c>
      <c r="W958" t="str">
        <f>IF(OR(Table13[[#This Row],[Quality_%]]&gt;=1,Table13[[#This Row],[Quality_%]]&lt;=0),"Error","OK")</f>
        <v>OK</v>
      </c>
      <c r="X958">
        <f>Table13[[#This Row],[Performance_%]]*Table13[[#This Row],[Quality_%]]*[2]Availability_KPI!K958</f>
        <v>0.42086666666666667</v>
      </c>
      <c r="Y958" t="str">
        <f>IF(OR(Table13[[#This Row],[OEE_%]]&gt;1,Table13[[#This Row],[OEE_%]]&lt;0),"Error","OK")</f>
        <v>OK</v>
      </c>
    </row>
    <row r="959" spans="1:25" x14ac:dyDescent="0.2">
      <c r="A959" t="s">
        <v>1128</v>
      </c>
      <c r="B959" t="s">
        <v>1123</v>
      </c>
      <c r="C959" s="2">
        <v>46290</v>
      </c>
      <c r="D959" t="s">
        <v>67</v>
      </c>
      <c r="E959" t="s">
        <v>43</v>
      </c>
      <c r="F959" t="s">
        <v>97</v>
      </c>
      <c r="G959" t="s">
        <v>57</v>
      </c>
      <c r="H959">
        <v>597</v>
      </c>
      <c r="I959">
        <v>589</v>
      </c>
      <c r="J959">
        <v>8</v>
      </c>
      <c r="K959">
        <v>34.24</v>
      </c>
      <c r="L959">
        <v>35.21</v>
      </c>
      <c r="M959">
        <v>350.37</v>
      </c>
      <c r="N959">
        <f>_xlfn.XLOOKUP(Table13[[#This Row],[Production_Order_ID]],[1]Sheet1!$A$2:$A$391,[1]Sheet1!$F$2:$F$391,"No Match")</f>
        <v>560</v>
      </c>
      <c r="O959" s="3">
        <f>Table13[[#This Row],[Good_Qty]]/Table13[[#This Row],[Planned_Production]]</f>
        <v>1.0517857142857143</v>
      </c>
      <c r="P959" t="str">
        <f>IF(Table13[[#This Row],[Good_Qty]]&gt;=Table13[[#This Row],[Planned_Production]],"Met","Not Met")</f>
        <v>Met</v>
      </c>
      <c r="Q959">
        <f>Table13[[#This Row],[Good_Qty]]-Table13[[#This Row],[Planned_Production]]</f>
        <v>29</v>
      </c>
      <c r="R959" s="3">
        <f>IF(Table13[[#This Row],[Actual_Qty]]=0,0,Table13[[#This Row],[Reject_Qty]]/Table13[[#This Row],[Actual_Qty]])</f>
        <v>1.340033500837521E-2</v>
      </c>
      <c r="S959">
        <v>418.23</v>
      </c>
      <c r="T959">
        <f>(Table13[[#This Row],[Ideal_Cycle_Time_sec]]*Table13[[#This Row],[Actual_Qty]])/(Table13[[#This Row],[Operational_Time_min]]*60)</f>
        <v>0.81459484015972072</v>
      </c>
      <c r="U959">
        <f>Table13[[#This Row],[Good_Qty]]/Table13[[#This Row],[Actual_Qty]]</f>
        <v>0.98659966499162477</v>
      </c>
      <c r="V959" t="str">
        <f>IF(OR(Table13[[#This Row],[Performance_%]]&gt;=1,Table13[[#This Row],[Performance_%]]&lt;=0),"Error","OK")</f>
        <v>OK</v>
      </c>
      <c r="W959" t="str">
        <f>IF(OR(Table13[[#This Row],[Quality_%]]&gt;=1,Table13[[#This Row],[Quality_%]]&lt;=0),"Error","OK")</f>
        <v>OK</v>
      </c>
      <c r="X959">
        <f>Table13[[#This Row],[Performance_%]]*Table13[[#This Row],[Quality_%]]*[2]Availability_KPI!K959</f>
        <v>0.74693925925925919</v>
      </c>
      <c r="Y959" t="str">
        <f>IF(OR(Table13[[#This Row],[OEE_%]]&gt;1,Table13[[#This Row],[OEE_%]]&lt;0),"Error","OK")</f>
        <v>OK</v>
      </c>
    </row>
    <row r="960" spans="1:25" x14ac:dyDescent="0.2">
      <c r="A960" t="s">
        <v>1129</v>
      </c>
      <c r="B960" t="s">
        <v>1123</v>
      </c>
      <c r="C960" s="2">
        <v>46290</v>
      </c>
      <c r="D960" t="s">
        <v>67</v>
      </c>
      <c r="E960" t="s">
        <v>46</v>
      </c>
      <c r="F960" t="s">
        <v>97</v>
      </c>
      <c r="G960" t="s">
        <v>47</v>
      </c>
      <c r="H960">
        <v>586</v>
      </c>
      <c r="I960">
        <v>582</v>
      </c>
      <c r="J960">
        <v>4</v>
      </c>
      <c r="K960">
        <v>26.75</v>
      </c>
      <c r="L960">
        <v>28.62</v>
      </c>
      <c r="M960">
        <v>279.52999999999997</v>
      </c>
      <c r="N960">
        <f>_xlfn.XLOOKUP(Table13[[#This Row],[Production_Order_ID]],[1]Sheet1!$A$2:$A$391,[1]Sheet1!$F$2:$F$391,"No Match")</f>
        <v>560</v>
      </c>
      <c r="O960" s="3">
        <f>Table13[[#This Row],[Good_Qty]]/Table13[[#This Row],[Planned_Production]]</f>
        <v>1.0392857142857144</v>
      </c>
      <c r="P960" t="str">
        <f>IF(Table13[[#This Row],[Good_Qty]]&gt;=Table13[[#This Row],[Planned_Production]],"Met","Not Met")</f>
        <v>Met</v>
      </c>
      <c r="Q960">
        <f>Table13[[#This Row],[Good_Qty]]-Table13[[#This Row],[Planned_Production]]</f>
        <v>22</v>
      </c>
      <c r="R960" s="3">
        <f>IF(Table13[[#This Row],[Actual_Qty]]=0,0,Table13[[#This Row],[Reject_Qty]]/Table13[[#This Row],[Actual_Qty]])</f>
        <v>6.8259385665529011E-3</v>
      </c>
      <c r="S960">
        <v>434.14</v>
      </c>
      <c r="T960">
        <f>(Table13[[#This Row],[Ideal_Cycle_Time_sec]]*Table13[[#This Row],[Actual_Qty]])/(Table13[[#This Row],[Operational_Time_min]]*60)</f>
        <v>0.60178360283165189</v>
      </c>
      <c r="U960">
        <f>Table13[[#This Row],[Good_Qty]]/Table13[[#This Row],[Actual_Qty]]</f>
        <v>0.99317406143344711</v>
      </c>
      <c r="V960" t="str">
        <f>IF(OR(Table13[[#This Row],[Performance_%]]&gt;=1,Table13[[#This Row],[Performance_%]]&lt;=0),"Error","OK")</f>
        <v>OK</v>
      </c>
      <c r="W960" t="str">
        <f>IF(OR(Table13[[#This Row],[Quality_%]]&gt;=1,Table13[[#This Row],[Quality_%]]&lt;=0),"Error","OK")</f>
        <v>OK</v>
      </c>
      <c r="X960">
        <f>Table13[[#This Row],[Performance_%]]*Table13[[#This Row],[Quality_%]]*[2]Availability_KPI!K960</f>
        <v>0.57661111111111119</v>
      </c>
      <c r="Y960" t="str">
        <f>IF(OR(Table13[[#This Row],[OEE_%]]&gt;1,Table13[[#This Row],[OEE_%]]&lt;0),"Error","OK")</f>
        <v>OK</v>
      </c>
    </row>
    <row r="961" spans="1:25" x14ac:dyDescent="0.2">
      <c r="A961" t="s">
        <v>1130</v>
      </c>
      <c r="B961" t="s">
        <v>1123</v>
      </c>
      <c r="C961" s="2">
        <v>46290</v>
      </c>
      <c r="D961" t="s">
        <v>67</v>
      </c>
      <c r="E961" t="s">
        <v>49</v>
      </c>
      <c r="F961" t="s">
        <v>97</v>
      </c>
      <c r="G961" t="s">
        <v>75</v>
      </c>
      <c r="H961">
        <v>600</v>
      </c>
      <c r="I961">
        <v>599</v>
      </c>
      <c r="J961">
        <v>1</v>
      </c>
      <c r="K961">
        <v>21.4</v>
      </c>
      <c r="L961">
        <v>22.98</v>
      </c>
      <c r="M961">
        <v>229.79</v>
      </c>
      <c r="N961">
        <f>_xlfn.XLOOKUP(Table13[[#This Row],[Production_Order_ID]],[1]Sheet1!$A$2:$A$391,[1]Sheet1!$F$2:$F$391,"No Match")</f>
        <v>560</v>
      </c>
      <c r="O961" s="3">
        <f>Table13[[#This Row],[Good_Qty]]/Table13[[#This Row],[Planned_Production]]</f>
        <v>1.0696428571428571</v>
      </c>
      <c r="P961" t="str">
        <f>IF(Table13[[#This Row],[Good_Qty]]&gt;=Table13[[#This Row],[Planned_Production]],"Met","Not Met")</f>
        <v>Met</v>
      </c>
      <c r="Q961">
        <f>Table13[[#This Row],[Good_Qty]]-Table13[[#This Row],[Planned_Production]]</f>
        <v>39</v>
      </c>
      <c r="R961" s="3">
        <f>IF(Table13[[#This Row],[Actual_Qty]]=0,0,Table13[[#This Row],[Reject_Qty]]/Table13[[#This Row],[Actual_Qty]])</f>
        <v>1.6666666666666668E-3</v>
      </c>
      <c r="S961">
        <v>440.37</v>
      </c>
      <c r="T961">
        <f>(Table13[[#This Row],[Ideal_Cycle_Time_sec]]*Table13[[#This Row],[Actual_Qty]])/(Table13[[#This Row],[Operational_Time_min]]*60)</f>
        <v>0.48595499239276063</v>
      </c>
      <c r="U961">
        <f>Table13[[#This Row],[Good_Qty]]/Table13[[#This Row],[Actual_Qty]]</f>
        <v>0.99833333333333329</v>
      </c>
      <c r="V961" t="str">
        <f>IF(OR(Table13[[#This Row],[Performance_%]]&gt;=1,Table13[[#This Row],[Performance_%]]&lt;=0),"Error","OK")</f>
        <v>OK</v>
      </c>
      <c r="W961" t="str">
        <f>IF(OR(Table13[[#This Row],[Quality_%]]&gt;=1,Table13[[#This Row],[Quality_%]]&lt;=0),"Error","OK")</f>
        <v>OK</v>
      </c>
      <c r="X961">
        <f>Table13[[#This Row],[Performance_%]]*Table13[[#This Row],[Quality_%]]*[2]Availability_KPI!K961</f>
        <v>0.47476296296296294</v>
      </c>
      <c r="Y961" t="str">
        <f>IF(OR(Table13[[#This Row],[OEE_%]]&gt;1,Table13[[#This Row],[OEE_%]]&lt;0),"Error","OK")</f>
        <v>OK</v>
      </c>
    </row>
    <row r="962" spans="1:25" x14ac:dyDescent="0.2">
      <c r="A962" t="s">
        <v>1131</v>
      </c>
      <c r="B962" t="s">
        <v>1132</v>
      </c>
      <c r="C962" s="2">
        <v>46293</v>
      </c>
      <c r="D962" t="s">
        <v>27</v>
      </c>
      <c r="E962" t="s">
        <v>28</v>
      </c>
      <c r="F962" t="s">
        <v>54</v>
      </c>
      <c r="G962" t="s">
        <v>57</v>
      </c>
      <c r="H962">
        <v>590</v>
      </c>
      <c r="I962">
        <v>588</v>
      </c>
      <c r="J962">
        <v>2</v>
      </c>
      <c r="K962">
        <v>18</v>
      </c>
      <c r="L962">
        <v>19.12</v>
      </c>
      <c r="M962">
        <v>188.04</v>
      </c>
      <c r="N962">
        <f>_xlfn.XLOOKUP(Table13[[#This Row],[Production_Order_ID]],[1]Sheet1!$A$2:$A$391,[1]Sheet1!$F$2:$F$391,"No Match")</f>
        <v>610</v>
      </c>
      <c r="O962" s="3">
        <f>Table13[[#This Row],[Good_Qty]]/Table13[[#This Row],[Planned_Production]]</f>
        <v>0.9639344262295082</v>
      </c>
      <c r="P962" t="str">
        <f>IF(Table13[[#This Row],[Good_Qty]]&gt;=Table13[[#This Row],[Planned_Production]],"Met","Not Met")</f>
        <v>Not Met</v>
      </c>
      <c r="Q962">
        <f>Table13[[#This Row],[Good_Qty]]-Table13[[#This Row],[Planned_Production]]</f>
        <v>-22</v>
      </c>
      <c r="R962" s="3">
        <f>IF(Table13[[#This Row],[Actual_Qty]]=0,0,Table13[[#This Row],[Reject_Qty]]/Table13[[#This Row],[Actual_Qty]])</f>
        <v>3.3898305084745762E-3</v>
      </c>
      <c r="S962">
        <v>440.91</v>
      </c>
      <c r="T962">
        <f>(Table13[[#This Row],[Ideal_Cycle_Time_sec]]*Table13[[#This Row],[Actual_Qty]])/(Table13[[#This Row],[Operational_Time_min]]*60)</f>
        <v>0.40144247125263655</v>
      </c>
      <c r="U962">
        <f>Table13[[#This Row],[Good_Qty]]/Table13[[#This Row],[Actual_Qty]]</f>
        <v>0.99661016949152548</v>
      </c>
      <c r="V962" t="str">
        <f>IF(OR(Table13[[#This Row],[Performance_%]]&gt;=1,Table13[[#This Row],[Performance_%]]&lt;=0),"Error","OK")</f>
        <v>OK</v>
      </c>
      <c r="W962" t="str">
        <f>IF(OR(Table13[[#This Row],[Quality_%]]&gt;=1,Table13[[#This Row],[Quality_%]]&lt;=0),"Error","OK")</f>
        <v>OK</v>
      </c>
      <c r="X962">
        <f>Table13[[#This Row],[Performance_%]]*Table13[[#This Row],[Quality_%]]*[2]Availability_KPI!K962</f>
        <v>0.39199999999999996</v>
      </c>
      <c r="Y962" t="str">
        <f>IF(OR(Table13[[#This Row],[OEE_%]]&gt;1,Table13[[#This Row],[OEE_%]]&lt;0),"Error","OK")</f>
        <v>OK</v>
      </c>
    </row>
    <row r="963" spans="1:25" x14ac:dyDescent="0.2">
      <c r="A963" t="s">
        <v>1133</v>
      </c>
      <c r="B963" t="s">
        <v>1132</v>
      </c>
      <c r="C963" s="2">
        <v>46293</v>
      </c>
      <c r="D963" t="s">
        <v>27</v>
      </c>
      <c r="E963" t="s">
        <v>32</v>
      </c>
      <c r="F963" t="s">
        <v>54</v>
      </c>
      <c r="G963" t="s">
        <v>55</v>
      </c>
      <c r="H963">
        <v>586</v>
      </c>
      <c r="I963">
        <v>581</v>
      </c>
      <c r="J963">
        <v>5</v>
      </c>
      <c r="K963">
        <v>20</v>
      </c>
      <c r="L963">
        <v>20.55</v>
      </c>
      <c r="M963">
        <v>200.66</v>
      </c>
      <c r="N963">
        <f>_xlfn.XLOOKUP(Table13[[#This Row],[Production_Order_ID]],[1]Sheet1!$A$2:$A$391,[1]Sheet1!$F$2:$F$391,"No Match")</f>
        <v>610</v>
      </c>
      <c r="O963" s="3">
        <f>Table13[[#This Row],[Good_Qty]]/Table13[[#This Row],[Planned_Production]]</f>
        <v>0.95245901639344266</v>
      </c>
      <c r="P963" t="str">
        <f>IF(Table13[[#This Row],[Good_Qty]]&gt;=Table13[[#This Row],[Planned_Production]],"Met","Not Met")</f>
        <v>Not Met</v>
      </c>
      <c r="Q963">
        <f>Table13[[#This Row],[Good_Qty]]-Table13[[#This Row],[Planned_Production]]</f>
        <v>-29</v>
      </c>
      <c r="R963" s="3">
        <f>IF(Table13[[#This Row],[Actual_Qty]]=0,0,Table13[[#This Row],[Reject_Qty]]/Table13[[#This Row],[Actual_Qty]])</f>
        <v>8.5324232081911266E-3</v>
      </c>
      <c r="S963">
        <v>438.64</v>
      </c>
      <c r="T963">
        <f>(Table13[[#This Row],[Ideal_Cycle_Time_sec]]*Table13[[#This Row],[Actual_Qty]])/(Table13[[#This Row],[Operational_Time_min]]*60)</f>
        <v>0.44531582467019276</v>
      </c>
      <c r="U963">
        <f>Table13[[#This Row],[Good_Qty]]/Table13[[#This Row],[Actual_Qty]]</f>
        <v>0.99146757679180886</v>
      </c>
      <c r="V963" t="str">
        <f>IF(OR(Table13[[#This Row],[Performance_%]]&gt;=1,Table13[[#This Row],[Performance_%]]&lt;=0),"Error","OK")</f>
        <v>OK</v>
      </c>
      <c r="W963" t="str">
        <f>IF(OR(Table13[[#This Row],[Quality_%]]&gt;=1,Table13[[#This Row],[Quality_%]]&lt;=0),"Error","OK")</f>
        <v>OK</v>
      </c>
      <c r="X963">
        <f>Table13[[#This Row],[Performance_%]]*Table13[[#This Row],[Quality_%]]*[2]Availability_KPI!K963</f>
        <v>0.43037037037037035</v>
      </c>
      <c r="Y963" t="str">
        <f>IF(OR(Table13[[#This Row],[OEE_%]]&gt;1,Table13[[#This Row],[OEE_%]]&lt;0),"Error","OK")</f>
        <v>OK</v>
      </c>
    </row>
    <row r="964" spans="1:25" x14ac:dyDescent="0.2">
      <c r="A964" t="s">
        <v>1134</v>
      </c>
      <c r="B964" t="s">
        <v>1132</v>
      </c>
      <c r="C964" s="2">
        <v>46293</v>
      </c>
      <c r="D964" t="s">
        <v>27</v>
      </c>
      <c r="E964" t="s">
        <v>35</v>
      </c>
      <c r="F964" t="s">
        <v>54</v>
      </c>
      <c r="G964" t="s">
        <v>61</v>
      </c>
      <c r="H964">
        <v>600</v>
      </c>
      <c r="I964">
        <v>596</v>
      </c>
      <c r="J964">
        <v>4</v>
      </c>
      <c r="K964">
        <v>22</v>
      </c>
      <c r="L964">
        <v>22.69</v>
      </c>
      <c r="M964">
        <v>226.87</v>
      </c>
      <c r="N964">
        <f>_xlfn.XLOOKUP(Table13[[#This Row],[Production_Order_ID]],[1]Sheet1!$A$2:$A$391,[1]Sheet1!$F$2:$F$391,"No Match")</f>
        <v>610</v>
      </c>
      <c r="O964" s="3">
        <f>Table13[[#This Row],[Good_Qty]]/Table13[[#This Row],[Planned_Production]]</f>
        <v>0.9770491803278688</v>
      </c>
      <c r="P964" t="str">
        <f>IF(Table13[[#This Row],[Good_Qty]]&gt;=Table13[[#This Row],[Planned_Production]],"Met","Not Met")</f>
        <v>Not Met</v>
      </c>
      <c r="Q964">
        <f>Table13[[#This Row],[Good_Qty]]-Table13[[#This Row],[Planned_Production]]</f>
        <v>-14</v>
      </c>
      <c r="R964" s="3">
        <f>IF(Table13[[#This Row],[Actual_Qty]]=0,0,Table13[[#This Row],[Reject_Qty]]/Table13[[#This Row],[Actual_Qty]])</f>
        <v>6.6666666666666671E-3</v>
      </c>
      <c r="S964">
        <v>432.5</v>
      </c>
      <c r="T964">
        <f>(Table13[[#This Row],[Ideal_Cycle_Time_sec]]*Table13[[#This Row],[Actual_Qty]])/(Table13[[#This Row],[Operational_Time_min]]*60)</f>
        <v>0.50867052023121384</v>
      </c>
      <c r="U964">
        <f>Table13[[#This Row],[Good_Qty]]/Table13[[#This Row],[Actual_Qty]]</f>
        <v>0.99333333333333329</v>
      </c>
      <c r="V964" t="str">
        <f>IF(OR(Table13[[#This Row],[Performance_%]]&gt;=1,Table13[[#This Row],[Performance_%]]&lt;=0),"Error","OK")</f>
        <v>OK</v>
      </c>
      <c r="W964" t="str">
        <f>IF(OR(Table13[[#This Row],[Quality_%]]&gt;=1,Table13[[#This Row],[Quality_%]]&lt;=0),"Error","OK")</f>
        <v>OK</v>
      </c>
      <c r="X964">
        <f>Table13[[#This Row],[Performance_%]]*Table13[[#This Row],[Quality_%]]*[2]Availability_KPI!K964</f>
        <v>0.48562962962962958</v>
      </c>
      <c r="Y964" t="str">
        <f>IF(OR(Table13[[#This Row],[OEE_%]]&gt;1,Table13[[#This Row],[OEE_%]]&lt;0),"Error","OK")</f>
        <v>OK</v>
      </c>
    </row>
    <row r="965" spans="1:25" x14ac:dyDescent="0.2">
      <c r="A965" t="s">
        <v>1135</v>
      </c>
      <c r="B965" t="s">
        <v>1132</v>
      </c>
      <c r="C965" s="2">
        <v>46293</v>
      </c>
      <c r="D965" t="s">
        <v>27</v>
      </c>
      <c r="E965" t="s">
        <v>38</v>
      </c>
      <c r="F965" t="s">
        <v>54</v>
      </c>
      <c r="G965" t="s">
        <v>55</v>
      </c>
      <c r="H965">
        <v>584</v>
      </c>
      <c r="I965">
        <v>580</v>
      </c>
      <c r="J965">
        <v>4</v>
      </c>
      <c r="K965">
        <v>20</v>
      </c>
      <c r="L965">
        <v>21.59</v>
      </c>
      <c r="M965">
        <v>210.11</v>
      </c>
      <c r="N965">
        <f>_xlfn.XLOOKUP(Table13[[#This Row],[Production_Order_ID]],[1]Sheet1!$A$2:$A$391,[1]Sheet1!$F$2:$F$391,"No Match")</f>
        <v>610</v>
      </c>
      <c r="O965" s="3">
        <f>Table13[[#This Row],[Good_Qty]]/Table13[[#This Row],[Planned_Production]]</f>
        <v>0.95081967213114749</v>
      </c>
      <c r="P965" t="str">
        <f>IF(Table13[[#This Row],[Good_Qty]]&gt;=Table13[[#This Row],[Planned_Production]],"Met","Not Met")</f>
        <v>Not Met</v>
      </c>
      <c r="Q965">
        <f>Table13[[#This Row],[Good_Qty]]-Table13[[#This Row],[Planned_Production]]</f>
        <v>-30</v>
      </c>
      <c r="R965" s="3">
        <f>IF(Table13[[#This Row],[Actual_Qty]]=0,0,Table13[[#This Row],[Reject_Qty]]/Table13[[#This Row],[Actual_Qty]])</f>
        <v>6.8493150684931503E-3</v>
      </c>
      <c r="S965">
        <v>439.18</v>
      </c>
      <c r="T965">
        <f>(Table13[[#This Row],[Ideal_Cycle_Time_sec]]*Table13[[#This Row],[Actual_Qty]])/(Table13[[#This Row],[Operational_Time_min]]*60)</f>
        <v>0.44325029980114455</v>
      </c>
      <c r="U965">
        <f>Table13[[#This Row],[Good_Qty]]/Table13[[#This Row],[Actual_Qty]]</f>
        <v>0.99315068493150682</v>
      </c>
      <c r="V965" t="str">
        <f>IF(OR(Table13[[#This Row],[Performance_%]]&gt;=1,Table13[[#This Row],[Performance_%]]&lt;=0),"Error","OK")</f>
        <v>OK</v>
      </c>
      <c r="W965" t="str">
        <f>IF(OR(Table13[[#This Row],[Quality_%]]&gt;=1,Table13[[#This Row],[Quality_%]]&lt;=0),"Error","OK")</f>
        <v>OK</v>
      </c>
      <c r="X965">
        <f>Table13[[#This Row],[Performance_%]]*Table13[[#This Row],[Quality_%]]*[2]Availability_KPI!K965</f>
        <v>0.42962962962962964</v>
      </c>
      <c r="Y965" t="str">
        <f>IF(OR(Table13[[#This Row],[OEE_%]]&gt;1,Table13[[#This Row],[OEE_%]]&lt;0),"Error","OK")</f>
        <v>OK</v>
      </c>
    </row>
    <row r="966" spans="1:25" x14ac:dyDescent="0.2">
      <c r="A966" t="s">
        <v>1136</v>
      </c>
      <c r="B966" t="s">
        <v>1132</v>
      </c>
      <c r="C966" s="2">
        <v>46293</v>
      </c>
      <c r="D966" t="s">
        <v>27</v>
      </c>
      <c r="E966" t="s">
        <v>41</v>
      </c>
      <c r="F966" t="s">
        <v>54</v>
      </c>
      <c r="G966" t="s">
        <v>55</v>
      </c>
      <c r="H966">
        <v>596</v>
      </c>
      <c r="I966">
        <v>592</v>
      </c>
      <c r="J966">
        <v>4</v>
      </c>
      <c r="K966">
        <v>18</v>
      </c>
      <c r="L966">
        <v>19.100000000000001</v>
      </c>
      <c r="M966">
        <v>189.74</v>
      </c>
      <c r="N966">
        <f>_xlfn.XLOOKUP(Table13[[#This Row],[Production_Order_ID]],[1]Sheet1!$A$2:$A$391,[1]Sheet1!$F$2:$F$391,"No Match")</f>
        <v>610</v>
      </c>
      <c r="O966" s="3">
        <f>Table13[[#This Row],[Good_Qty]]/Table13[[#This Row],[Planned_Production]]</f>
        <v>0.97049180327868856</v>
      </c>
      <c r="P966" t="str">
        <f>IF(Table13[[#This Row],[Good_Qty]]&gt;=Table13[[#This Row],[Planned_Production]],"Met","Not Met")</f>
        <v>Not Met</v>
      </c>
      <c r="Q966">
        <f>Table13[[#This Row],[Good_Qty]]-Table13[[#This Row],[Planned_Production]]</f>
        <v>-18</v>
      </c>
      <c r="R966" s="3">
        <f>IF(Table13[[#This Row],[Actual_Qty]]=0,0,Table13[[#This Row],[Reject_Qty]]/Table13[[#This Row],[Actual_Qty]])</f>
        <v>6.7114093959731542E-3</v>
      </c>
      <c r="S966">
        <v>438.49</v>
      </c>
      <c r="T966">
        <f>(Table13[[#This Row],[Ideal_Cycle_Time_sec]]*Table13[[#This Row],[Actual_Qty]])/(Table13[[#This Row],[Operational_Time_min]]*60)</f>
        <v>0.40776300485757938</v>
      </c>
      <c r="U966">
        <f>Table13[[#This Row],[Good_Qty]]/Table13[[#This Row],[Actual_Qty]]</f>
        <v>0.99328859060402686</v>
      </c>
      <c r="V966" t="str">
        <f>IF(OR(Table13[[#This Row],[Performance_%]]&gt;=1,Table13[[#This Row],[Performance_%]]&lt;=0),"Error","OK")</f>
        <v>OK</v>
      </c>
      <c r="W966" t="str">
        <f>IF(OR(Table13[[#This Row],[Quality_%]]&gt;=1,Table13[[#This Row],[Quality_%]]&lt;=0),"Error","OK")</f>
        <v>OK</v>
      </c>
      <c r="X966">
        <f>Table13[[#This Row],[Performance_%]]*Table13[[#This Row],[Quality_%]]*[2]Availability_KPI!K966</f>
        <v>0.39466666666666661</v>
      </c>
      <c r="Y966" t="str">
        <f>IF(OR(Table13[[#This Row],[OEE_%]]&gt;1,Table13[[#This Row],[OEE_%]]&lt;0),"Error","OK")</f>
        <v>OK</v>
      </c>
    </row>
    <row r="967" spans="1:25" x14ac:dyDescent="0.2">
      <c r="A967" t="s">
        <v>1137</v>
      </c>
      <c r="B967" t="s">
        <v>1132</v>
      </c>
      <c r="C967" s="2">
        <v>46293</v>
      </c>
      <c r="D967" t="s">
        <v>27</v>
      </c>
      <c r="E967" t="s">
        <v>43</v>
      </c>
      <c r="F967" t="s">
        <v>54</v>
      </c>
      <c r="G967" t="s">
        <v>71</v>
      </c>
      <c r="H967">
        <v>587</v>
      </c>
      <c r="I967">
        <v>577</v>
      </c>
      <c r="J967">
        <v>10</v>
      </c>
      <c r="K967">
        <v>32</v>
      </c>
      <c r="L967">
        <v>33.4</v>
      </c>
      <c r="M967">
        <v>326.8</v>
      </c>
      <c r="N967">
        <f>_xlfn.XLOOKUP(Table13[[#This Row],[Production_Order_ID]],[1]Sheet1!$A$2:$A$391,[1]Sheet1!$F$2:$F$391,"No Match")</f>
        <v>610</v>
      </c>
      <c r="O967" s="3">
        <f>Table13[[#This Row],[Good_Qty]]/Table13[[#This Row],[Planned_Production]]</f>
        <v>0.9459016393442623</v>
      </c>
      <c r="P967" t="str">
        <f>IF(Table13[[#This Row],[Good_Qty]]&gt;=Table13[[#This Row],[Planned_Production]],"Met","Not Met")</f>
        <v>Not Met</v>
      </c>
      <c r="Q967">
        <f>Table13[[#This Row],[Good_Qty]]-Table13[[#This Row],[Planned_Production]]</f>
        <v>-33</v>
      </c>
      <c r="R967" s="3">
        <f>IF(Table13[[#This Row],[Actual_Qty]]=0,0,Table13[[#This Row],[Reject_Qty]]/Table13[[#This Row],[Actual_Qty]])</f>
        <v>1.7035775127768313E-2</v>
      </c>
      <c r="S967">
        <v>416.01</v>
      </c>
      <c r="T967">
        <f>(Table13[[#This Row],[Ideal_Cycle_Time_sec]]*Table13[[#This Row],[Actual_Qty]])/(Table13[[#This Row],[Operational_Time_min]]*60)</f>
        <v>0.75254601251572484</v>
      </c>
      <c r="U967">
        <f>Table13[[#This Row],[Good_Qty]]/Table13[[#This Row],[Actual_Qty]]</f>
        <v>0.98296422487223167</v>
      </c>
      <c r="V967" t="str">
        <f>IF(OR(Table13[[#This Row],[Performance_%]]&gt;=1,Table13[[#This Row],[Performance_%]]&lt;=0),"Error","OK")</f>
        <v>OK</v>
      </c>
      <c r="W967" t="str">
        <f>IF(OR(Table13[[#This Row],[Quality_%]]&gt;=1,Table13[[#This Row],[Quality_%]]&lt;=0),"Error","OK")</f>
        <v>OK</v>
      </c>
      <c r="X967">
        <f>Table13[[#This Row],[Performance_%]]*Table13[[#This Row],[Quality_%]]*[2]Availability_KPI!K967</f>
        <v>0.68385185185185182</v>
      </c>
      <c r="Y967" t="str">
        <f>IF(OR(Table13[[#This Row],[OEE_%]]&gt;1,Table13[[#This Row],[OEE_%]]&lt;0),"Error","OK")</f>
        <v>OK</v>
      </c>
    </row>
    <row r="968" spans="1:25" x14ac:dyDescent="0.2">
      <c r="A968" t="s">
        <v>1138</v>
      </c>
      <c r="B968" t="s">
        <v>1132</v>
      </c>
      <c r="C968" s="2">
        <v>46293</v>
      </c>
      <c r="D968" t="s">
        <v>27</v>
      </c>
      <c r="E968" t="s">
        <v>46</v>
      </c>
      <c r="F968" t="s">
        <v>54</v>
      </c>
      <c r="G968" t="s">
        <v>44</v>
      </c>
      <c r="H968">
        <v>589</v>
      </c>
      <c r="I968">
        <v>584</v>
      </c>
      <c r="J968">
        <v>5</v>
      </c>
      <c r="K968">
        <v>25</v>
      </c>
      <c r="L968">
        <v>27.34</v>
      </c>
      <c r="M968">
        <v>268.36</v>
      </c>
      <c r="N968">
        <f>_xlfn.XLOOKUP(Table13[[#This Row],[Production_Order_ID]],[1]Sheet1!$A$2:$A$391,[1]Sheet1!$F$2:$F$391,"No Match")</f>
        <v>610</v>
      </c>
      <c r="O968" s="3">
        <f>Table13[[#This Row],[Good_Qty]]/Table13[[#This Row],[Planned_Production]]</f>
        <v>0.95737704918032784</v>
      </c>
      <c r="P968" t="str">
        <f>IF(Table13[[#This Row],[Good_Qty]]&gt;=Table13[[#This Row],[Planned_Production]],"Met","Not Met")</f>
        <v>Not Met</v>
      </c>
      <c r="Q968">
        <f>Table13[[#This Row],[Good_Qty]]-Table13[[#This Row],[Planned_Production]]</f>
        <v>-26</v>
      </c>
      <c r="R968" s="3">
        <f>IF(Table13[[#This Row],[Actual_Qty]]=0,0,Table13[[#This Row],[Reject_Qty]]/Table13[[#This Row],[Actual_Qty]])</f>
        <v>8.4889643463497456E-3</v>
      </c>
      <c r="S968">
        <v>429.81</v>
      </c>
      <c r="T968">
        <f>(Table13[[#This Row],[Ideal_Cycle_Time_sec]]*Table13[[#This Row],[Actual_Qty]])/(Table13[[#This Row],[Operational_Time_min]]*60)</f>
        <v>0.57098873145498397</v>
      </c>
      <c r="U968">
        <f>Table13[[#This Row],[Good_Qty]]/Table13[[#This Row],[Actual_Qty]]</f>
        <v>0.99151103565365029</v>
      </c>
      <c r="V968" t="str">
        <f>IF(OR(Table13[[#This Row],[Performance_%]]&gt;=1,Table13[[#This Row],[Performance_%]]&lt;=0),"Error","OK")</f>
        <v>OK</v>
      </c>
      <c r="W968" t="str">
        <f>IF(OR(Table13[[#This Row],[Quality_%]]&gt;=1,Table13[[#This Row],[Quality_%]]&lt;=0),"Error","OK")</f>
        <v>OK</v>
      </c>
      <c r="X968">
        <f>Table13[[#This Row],[Performance_%]]*Table13[[#This Row],[Quality_%]]*[2]Availability_KPI!K968</f>
        <v>0.54074074074074074</v>
      </c>
      <c r="Y968" t="str">
        <f>IF(OR(Table13[[#This Row],[OEE_%]]&gt;1,Table13[[#This Row],[OEE_%]]&lt;0),"Error","OK")</f>
        <v>OK</v>
      </c>
    </row>
    <row r="969" spans="1:25" x14ac:dyDescent="0.2">
      <c r="A969" t="s">
        <v>1139</v>
      </c>
      <c r="B969" t="s">
        <v>1132</v>
      </c>
      <c r="C969" s="2">
        <v>46293</v>
      </c>
      <c r="D969" t="s">
        <v>27</v>
      </c>
      <c r="E969" t="s">
        <v>49</v>
      </c>
      <c r="F969" t="s">
        <v>54</v>
      </c>
      <c r="G969" t="s">
        <v>55</v>
      </c>
      <c r="H969">
        <v>584</v>
      </c>
      <c r="I969">
        <v>580</v>
      </c>
      <c r="J969">
        <v>4</v>
      </c>
      <c r="K969">
        <v>20</v>
      </c>
      <c r="L969">
        <v>21.2</v>
      </c>
      <c r="M969">
        <v>206.3</v>
      </c>
      <c r="N969">
        <f>_xlfn.XLOOKUP(Table13[[#This Row],[Production_Order_ID]],[1]Sheet1!$A$2:$A$391,[1]Sheet1!$F$2:$F$391,"No Match")</f>
        <v>610</v>
      </c>
      <c r="O969" s="3">
        <f>Table13[[#This Row],[Good_Qty]]/Table13[[#This Row],[Planned_Production]]</f>
        <v>0.95081967213114749</v>
      </c>
      <c r="P969" t="str">
        <f>IF(Table13[[#This Row],[Good_Qty]]&gt;=Table13[[#This Row],[Planned_Production]],"Met","Not Met")</f>
        <v>Not Met</v>
      </c>
      <c r="Q969">
        <f>Table13[[#This Row],[Good_Qty]]-Table13[[#This Row],[Planned_Production]]</f>
        <v>-30</v>
      </c>
      <c r="R969" s="3">
        <f>IF(Table13[[#This Row],[Actual_Qty]]=0,0,Table13[[#This Row],[Reject_Qty]]/Table13[[#This Row],[Actual_Qty]])</f>
        <v>6.8493150684931503E-3</v>
      </c>
      <c r="S969">
        <v>440.18</v>
      </c>
      <c r="T969">
        <f>(Table13[[#This Row],[Ideal_Cycle_Time_sec]]*Table13[[#This Row],[Actual_Qty]])/(Table13[[#This Row],[Operational_Time_min]]*60)</f>
        <v>0.44224332470050132</v>
      </c>
      <c r="U969">
        <f>Table13[[#This Row],[Good_Qty]]/Table13[[#This Row],[Actual_Qty]]</f>
        <v>0.99315068493150682</v>
      </c>
      <c r="V969" t="str">
        <f>IF(OR(Table13[[#This Row],[Performance_%]]&gt;=1,Table13[[#This Row],[Performance_%]]&lt;=0),"Error","OK")</f>
        <v>OK</v>
      </c>
      <c r="W969" t="str">
        <f>IF(OR(Table13[[#This Row],[Quality_%]]&gt;=1,Table13[[#This Row],[Quality_%]]&lt;=0),"Error","OK")</f>
        <v>OK</v>
      </c>
      <c r="X969">
        <f>Table13[[#This Row],[Performance_%]]*Table13[[#This Row],[Quality_%]]*[2]Availability_KPI!K969</f>
        <v>0.42962962962962964</v>
      </c>
      <c r="Y969" t="str">
        <f>IF(OR(Table13[[#This Row],[OEE_%]]&gt;1,Table13[[#This Row],[OEE_%]]&lt;0),"Error","OK")</f>
        <v>OK</v>
      </c>
    </row>
    <row r="970" spans="1:25" x14ac:dyDescent="0.2">
      <c r="A970" t="s">
        <v>1140</v>
      </c>
      <c r="B970" t="s">
        <v>1141</v>
      </c>
      <c r="C970" s="2">
        <v>46293</v>
      </c>
      <c r="D970" t="s">
        <v>53</v>
      </c>
      <c r="E970" t="s">
        <v>28</v>
      </c>
      <c r="F970" t="s">
        <v>97</v>
      </c>
      <c r="G970" t="s">
        <v>61</v>
      </c>
      <c r="H970">
        <v>651</v>
      </c>
      <c r="I970">
        <v>647</v>
      </c>
      <c r="J970">
        <v>4</v>
      </c>
      <c r="K970">
        <v>19.260000000000002</v>
      </c>
      <c r="L970">
        <v>20.440000000000001</v>
      </c>
      <c r="M970">
        <v>221.78</v>
      </c>
      <c r="N970">
        <f>_xlfn.XLOOKUP(Table13[[#This Row],[Production_Order_ID]],[1]Sheet1!$A$2:$A$391,[1]Sheet1!$F$2:$F$391,"No Match")</f>
        <v>580</v>
      </c>
      <c r="O970" s="3">
        <f>Table13[[#This Row],[Good_Qty]]/Table13[[#This Row],[Planned_Production]]</f>
        <v>1.1155172413793104</v>
      </c>
      <c r="P970" t="str">
        <f>IF(Table13[[#This Row],[Good_Qty]]&gt;=Table13[[#This Row],[Planned_Production]],"Met","Not Met")</f>
        <v>Met</v>
      </c>
      <c r="Q970">
        <f>Table13[[#This Row],[Good_Qty]]-Table13[[#This Row],[Planned_Production]]</f>
        <v>67</v>
      </c>
      <c r="R970" s="3">
        <f>IF(Table13[[#This Row],[Actual_Qty]]=0,0,Table13[[#This Row],[Reject_Qty]]/Table13[[#This Row],[Actual_Qty]])</f>
        <v>6.1443932411674347E-3</v>
      </c>
      <c r="S970">
        <v>442.04</v>
      </c>
      <c r="T970">
        <f>(Table13[[#This Row],[Ideal_Cycle_Time_sec]]*Table13[[#This Row],[Actual_Qty]])/(Table13[[#This Row],[Operational_Time_min]]*60)</f>
        <v>0.47274228576599403</v>
      </c>
      <c r="U970">
        <f>Table13[[#This Row],[Good_Qty]]/Table13[[#This Row],[Actual_Qty]]</f>
        <v>0.99385560675883255</v>
      </c>
      <c r="V970" t="str">
        <f>IF(OR(Table13[[#This Row],[Performance_%]]&gt;=1,Table13[[#This Row],[Performance_%]]&lt;=0),"Error","OK")</f>
        <v>OK</v>
      </c>
      <c r="W970" t="str">
        <f>IF(OR(Table13[[#This Row],[Quality_%]]&gt;=1,Table13[[#This Row],[Quality_%]]&lt;=0),"Error","OK")</f>
        <v>OK</v>
      </c>
      <c r="X970">
        <f>Table13[[#This Row],[Performance_%]]*Table13[[#This Row],[Quality_%]]*[2]Availability_KPI!K970</f>
        <v>0.46152666666666664</v>
      </c>
      <c r="Y970" t="str">
        <f>IF(OR(Table13[[#This Row],[OEE_%]]&gt;1,Table13[[#This Row],[OEE_%]]&lt;0),"Error","OK")</f>
        <v>OK</v>
      </c>
    </row>
    <row r="971" spans="1:25" x14ac:dyDescent="0.2">
      <c r="A971" t="s">
        <v>1142</v>
      </c>
      <c r="B971" t="s">
        <v>1141</v>
      </c>
      <c r="C971" s="2">
        <v>46293</v>
      </c>
      <c r="D971" t="s">
        <v>53</v>
      </c>
      <c r="E971" t="s">
        <v>32</v>
      </c>
      <c r="F971" t="s">
        <v>97</v>
      </c>
      <c r="G971" t="s">
        <v>61</v>
      </c>
      <c r="H971">
        <v>629</v>
      </c>
      <c r="I971">
        <v>625</v>
      </c>
      <c r="J971">
        <v>4</v>
      </c>
      <c r="K971">
        <v>21.4</v>
      </c>
      <c r="L971">
        <v>22.93</v>
      </c>
      <c r="M971">
        <v>240.37</v>
      </c>
      <c r="N971">
        <f>_xlfn.XLOOKUP(Table13[[#This Row],[Production_Order_ID]],[1]Sheet1!$A$2:$A$391,[1]Sheet1!$F$2:$F$391,"No Match")</f>
        <v>580</v>
      </c>
      <c r="O971" s="3">
        <f>Table13[[#This Row],[Good_Qty]]/Table13[[#This Row],[Planned_Production]]</f>
        <v>1.0775862068965518</v>
      </c>
      <c r="P971" t="str">
        <f>IF(Table13[[#This Row],[Good_Qty]]&gt;=Table13[[#This Row],[Planned_Production]],"Met","Not Met")</f>
        <v>Met</v>
      </c>
      <c r="Q971">
        <f>Table13[[#This Row],[Good_Qty]]-Table13[[#This Row],[Planned_Production]]</f>
        <v>45</v>
      </c>
      <c r="R971" s="3">
        <f>IF(Table13[[#This Row],[Actual_Qty]]=0,0,Table13[[#This Row],[Reject_Qty]]/Table13[[#This Row],[Actual_Qty]])</f>
        <v>6.3593004769475362E-3</v>
      </c>
      <c r="S971">
        <v>439.26</v>
      </c>
      <c r="T971">
        <f>(Table13[[#This Row],[Ideal_Cycle_Time_sec]]*Table13[[#This Row],[Actual_Qty]])/(Table13[[#This Row],[Operational_Time_min]]*60)</f>
        <v>0.51073016740275312</v>
      </c>
      <c r="U971">
        <f>Table13[[#This Row],[Good_Qty]]/Table13[[#This Row],[Actual_Qty]]</f>
        <v>0.99364069952305245</v>
      </c>
      <c r="V971" t="str">
        <f>IF(OR(Table13[[#This Row],[Performance_%]]&gt;=1,Table13[[#This Row],[Performance_%]]&lt;=0),"Error","OK")</f>
        <v>OK</v>
      </c>
      <c r="W971" t="str">
        <f>IF(OR(Table13[[#This Row],[Quality_%]]&gt;=1,Table13[[#This Row],[Quality_%]]&lt;=0),"Error","OK")</f>
        <v>OK</v>
      </c>
      <c r="X971">
        <f>Table13[[#This Row],[Performance_%]]*Table13[[#This Row],[Quality_%]]*[2]Availability_KPI!K971</f>
        <v>0.49537037037037041</v>
      </c>
      <c r="Y971" t="str">
        <f>IF(OR(Table13[[#This Row],[OEE_%]]&gt;1,Table13[[#This Row],[OEE_%]]&lt;0),"Error","OK")</f>
        <v>OK</v>
      </c>
    </row>
    <row r="972" spans="1:25" x14ac:dyDescent="0.2">
      <c r="A972" t="s">
        <v>1143</v>
      </c>
      <c r="B972" t="s">
        <v>1141</v>
      </c>
      <c r="C972" s="2">
        <v>46293</v>
      </c>
      <c r="D972" t="s">
        <v>53</v>
      </c>
      <c r="E972" t="s">
        <v>35</v>
      </c>
      <c r="F972" t="s">
        <v>97</v>
      </c>
      <c r="G972" t="s">
        <v>30</v>
      </c>
      <c r="H972">
        <v>624</v>
      </c>
      <c r="I972">
        <v>619</v>
      </c>
      <c r="J972">
        <v>5</v>
      </c>
      <c r="K972">
        <v>23.54</v>
      </c>
      <c r="L972">
        <v>25.38</v>
      </c>
      <c r="M972">
        <v>263.92</v>
      </c>
      <c r="N972">
        <f>_xlfn.XLOOKUP(Table13[[#This Row],[Production_Order_ID]],[1]Sheet1!$A$2:$A$391,[1]Sheet1!$F$2:$F$391,"No Match")</f>
        <v>580</v>
      </c>
      <c r="O972" s="3">
        <f>Table13[[#This Row],[Good_Qty]]/Table13[[#This Row],[Planned_Production]]</f>
        <v>1.0672413793103448</v>
      </c>
      <c r="P972" t="str">
        <f>IF(Table13[[#This Row],[Good_Qty]]&gt;=Table13[[#This Row],[Planned_Production]],"Met","Not Met")</f>
        <v>Met</v>
      </c>
      <c r="Q972">
        <f>Table13[[#This Row],[Good_Qty]]-Table13[[#This Row],[Planned_Production]]</f>
        <v>39</v>
      </c>
      <c r="R972" s="3">
        <f>IF(Table13[[#This Row],[Actual_Qty]]=0,0,Table13[[#This Row],[Reject_Qty]]/Table13[[#This Row],[Actual_Qty]])</f>
        <v>8.0128205128205121E-3</v>
      </c>
      <c r="S972">
        <v>431</v>
      </c>
      <c r="T972">
        <f>(Table13[[#This Row],[Ideal_Cycle_Time_sec]]*Table13[[#This Row],[Actual_Qty]])/(Table13[[#This Row],[Operational_Time_min]]*60)</f>
        <v>0.5680185614849188</v>
      </c>
      <c r="U972">
        <f>Table13[[#This Row],[Good_Qty]]/Table13[[#This Row],[Actual_Qty]]</f>
        <v>0.99198717948717952</v>
      </c>
      <c r="V972" t="str">
        <f>IF(OR(Table13[[#This Row],[Performance_%]]&gt;=1,Table13[[#This Row],[Performance_%]]&lt;=0),"Error","OK")</f>
        <v>OK</v>
      </c>
      <c r="W972" t="str">
        <f>IF(OR(Table13[[#This Row],[Quality_%]]&gt;=1,Table13[[#This Row],[Quality_%]]&lt;=0),"Error","OK")</f>
        <v>OK</v>
      </c>
      <c r="X972">
        <f>Table13[[#This Row],[Performance_%]]*Table13[[#This Row],[Quality_%]]*[2]Availability_KPI!K972</f>
        <v>0.53967629629629621</v>
      </c>
      <c r="Y972" t="str">
        <f>IF(OR(Table13[[#This Row],[OEE_%]]&gt;1,Table13[[#This Row],[OEE_%]]&lt;0),"Error","OK")</f>
        <v>OK</v>
      </c>
    </row>
    <row r="973" spans="1:25" x14ac:dyDescent="0.2">
      <c r="A973" t="s">
        <v>1144</v>
      </c>
      <c r="B973" t="s">
        <v>1141</v>
      </c>
      <c r="C973" s="2">
        <v>46293</v>
      </c>
      <c r="D973" t="s">
        <v>53</v>
      </c>
      <c r="E973" t="s">
        <v>38</v>
      </c>
      <c r="F973" t="s">
        <v>97</v>
      </c>
      <c r="G973" t="s">
        <v>71</v>
      </c>
      <c r="H973">
        <v>635</v>
      </c>
      <c r="I973">
        <v>632</v>
      </c>
      <c r="J973">
        <v>3</v>
      </c>
      <c r="K973">
        <v>21.4</v>
      </c>
      <c r="L973">
        <v>21.47</v>
      </c>
      <c r="M973">
        <v>227.22</v>
      </c>
      <c r="N973">
        <f>_xlfn.XLOOKUP(Table13[[#This Row],[Production_Order_ID]],[1]Sheet1!$A$2:$A$391,[1]Sheet1!$F$2:$F$391,"No Match")</f>
        <v>580</v>
      </c>
      <c r="O973" s="3">
        <f>Table13[[#This Row],[Good_Qty]]/Table13[[#This Row],[Planned_Production]]</f>
        <v>1.0896551724137931</v>
      </c>
      <c r="P973" t="str">
        <f>IF(Table13[[#This Row],[Good_Qty]]&gt;=Table13[[#This Row],[Planned_Production]],"Met","Not Met")</f>
        <v>Met</v>
      </c>
      <c r="Q973">
        <f>Table13[[#This Row],[Good_Qty]]-Table13[[#This Row],[Planned_Production]]</f>
        <v>52</v>
      </c>
      <c r="R973" s="3">
        <f>IF(Table13[[#This Row],[Actual_Qty]]=0,0,Table13[[#This Row],[Reject_Qty]]/Table13[[#This Row],[Actual_Qty]])</f>
        <v>4.7244094488188976E-3</v>
      </c>
      <c r="S973">
        <v>440.6</v>
      </c>
      <c r="T973">
        <f>(Table13[[#This Row],[Ideal_Cycle_Time_sec]]*Table13[[#This Row],[Actual_Qty]])/(Table13[[#This Row],[Operational_Time_min]]*60)</f>
        <v>0.51403389317597215</v>
      </c>
      <c r="U973">
        <f>Table13[[#This Row],[Good_Qty]]/Table13[[#This Row],[Actual_Qty]]</f>
        <v>0.99527559055118109</v>
      </c>
      <c r="V973" t="str">
        <f>IF(OR(Table13[[#This Row],[Performance_%]]&gt;=1,Table13[[#This Row],[Performance_%]]&lt;=0),"Error","OK")</f>
        <v>OK</v>
      </c>
      <c r="W973" t="str">
        <f>IF(OR(Table13[[#This Row],[Quality_%]]&gt;=1,Table13[[#This Row],[Quality_%]]&lt;=0),"Error","OK")</f>
        <v>OK</v>
      </c>
      <c r="X973">
        <f>Table13[[#This Row],[Performance_%]]*Table13[[#This Row],[Quality_%]]*[2]Availability_KPI!K973</f>
        <v>0.50091851851851854</v>
      </c>
      <c r="Y973" t="str">
        <f>IF(OR(Table13[[#This Row],[OEE_%]]&gt;1,Table13[[#This Row],[OEE_%]]&lt;0),"Error","OK")</f>
        <v>OK</v>
      </c>
    </row>
    <row r="974" spans="1:25" x14ac:dyDescent="0.2">
      <c r="A974" t="s">
        <v>1145</v>
      </c>
      <c r="B974" t="s">
        <v>1141</v>
      </c>
      <c r="C974" s="2">
        <v>46293</v>
      </c>
      <c r="D974" t="s">
        <v>53</v>
      </c>
      <c r="E974" t="s">
        <v>41</v>
      </c>
      <c r="F974" t="s">
        <v>97</v>
      </c>
      <c r="G974" t="s">
        <v>33</v>
      </c>
      <c r="H974">
        <v>642</v>
      </c>
      <c r="I974">
        <v>637</v>
      </c>
      <c r="J974">
        <v>5</v>
      </c>
      <c r="K974">
        <v>19.260000000000002</v>
      </c>
      <c r="L974">
        <v>20.079999999999998</v>
      </c>
      <c r="M974">
        <v>214.86</v>
      </c>
      <c r="N974">
        <f>_xlfn.XLOOKUP(Table13[[#This Row],[Production_Order_ID]],[1]Sheet1!$A$2:$A$391,[1]Sheet1!$F$2:$F$391,"No Match")</f>
        <v>580</v>
      </c>
      <c r="O974" s="3">
        <f>Table13[[#This Row],[Good_Qty]]/Table13[[#This Row],[Planned_Production]]</f>
        <v>1.0982758620689654</v>
      </c>
      <c r="P974" t="str">
        <f>IF(Table13[[#This Row],[Good_Qty]]&gt;=Table13[[#This Row],[Planned_Production]],"Met","Not Met")</f>
        <v>Met</v>
      </c>
      <c r="Q974">
        <f>Table13[[#This Row],[Good_Qty]]-Table13[[#This Row],[Planned_Production]]</f>
        <v>57</v>
      </c>
      <c r="R974" s="3">
        <f>IF(Table13[[#This Row],[Actual_Qty]]=0,0,Table13[[#This Row],[Reject_Qty]]/Table13[[#This Row],[Actual_Qty]])</f>
        <v>7.7881619937694704E-3</v>
      </c>
      <c r="S974">
        <v>435.59</v>
      </c>
      <c r="T974">
        <f>(Table13[[#This Row],[Ideal_Cycle_Time_sec]]*Table13[[#This Row],[Actual_Qty]])/(Table13[[#This Row],[Operational_Time_min]]*60)</f>
        <v>0.47311003466562607</v>
      </c>
      <c r="U974">
        <f>Table13[[#This Row],[Good_Qty]]/Table13[[#This Row],[Actual_Qty]]</f>
        <v>0.99221183800623058</v>
      </c>
      <c r="V974" t="str">
        <f>IF(OR(Table13[[#This Row],[Performance_%]]&gt;=1,Table13[[#This Row],[Performance_%]]&lt;=0),"Error","OK")</f>
        <v>OK</v>
      </c>
      <c r="W974" t="str">
        <f>IF(OR(Table13[[#This Row],[Quality_%]]&gt;=1,Table13[[#This Row],[Quality_%]]&lt;=0),"Error","OK")</f>
        <v>OK</v>
      </c>
      <c r="X974">
        <f>Table13[[#This Row],[Performance_%]]*Table13[[#This Row],[Quality_%]]*[2]Availability_KPI!K974</f>
        <v>0.45439333333333348</v>
      </c>
      <c r="Y974" t="str">
        <f>IF(OR(Table13[[#This Row],[OEE_%]]&gt;1,Table13[[#This Row],[OEE_%]]&lt;0),"Error","OK")</f>
        <v>OK</v>
      </c>
    </row>
    <row r="975" spans="1:25" x14ac:dyDescent="0.2">
      <c r="A975" t="s">
        <v>1146</v>
      </c>
      <c r="B975" t="s">
        <v>1141</v>
      </c>
      <c r="C975" s="2">
        <v>46293</v>
      </c>
      <c r="D975" t="s">
        <v>53</v>
      </c>
      <c r="E975" t="s">
        <v>43</v>
      </c>
      <c r="F975" t="s">
        <v>97</v>
      </c>
      <c r="G975" t="s">
        <v>44</v>
      </c>
      <c r="H975">
        <v>632</v>
      </c>
      <c r="I975">
        <v>623</v>
      </c>
      <c r="J975">
        <v>9</v>
      </c>
      <c r="K975">
        <v>34.24</v>
      </c>
      <c r="L975">
        <v>35.159999999999997</v>
      </c>
      <c r="M975">
        <v>370.34</v>
      </c>
      <c r="N975">
        <f>_xlfn.XLOOKUP(Table13[[#This Row],[Production_Order_ID]],[1]Sheet1!$A$2:$A$391,[1]Sheet1!$F$2:$F$391,"No Match")</f>
        <v>580</v>
      </c>
      <c r="O975" s="3">
        <f>Table13[[#This Row],[Good_Qty]]/Table13[[#This Row],[Planned_Production]]</f>
        <v>1.0741379310344827</v>
      </c>
      <c r="P975" t="str">
        <f>IF(Table13[[#This Row],[Good_Qty]]&gt;=Table13[[#This Row],[Planned_Production]],"Met","Not Met")</f>
        <v>Met</v>
      </c>
      <c r="Q975">
        <f>Table13[[#This Row],[Good_Qty]]-Table13[[#This Row],[Planned_Production]]</f>
        <v>43</v>
      </c>
      <c r="R975" s="3">
        <f>IF(Table13[[#This Row],[Actual_Qty]]=0,0,Table13[[#This Row],[Reject_Qty]]/Table13[[#This Row],[Actual_Qty]])</f>
        <v>1.4240506329113924E-2</v>
      </c>
      <c r="S975">
        <v>406.03</v>
      </c>
      <c r="T975">
        <f>(Table13[[#This Row],[Ideal_Cycle_Time_sec]]*Table13[[#This Row],[Actual_Qty]])/(Table13[[#This Row],[Operational_Time_min]]*60)</f>
        <v>0.88826277204475867</v>
      </c>
      <c r="U975">
        <f>Table13[[#This Row],[Good_Qty]]/Table13[[#This Row],[Actual_Qty]]</f>
        <v>0.98575949367088611</v>
      </c>
      <c r="V975" t="str">
        <f>IF(OR(Table13[[#This Row],[Performance_%]]&gt;=1,Table13[[#This Row],[Performance_%]]&lt;=0),"Error","OK")</f>
        <v>OK</v>
      </c>
      <c r="W975" t="str">
        <f>IF(OR(Table13[[#This Row],[Quality_%]]&gt;=1,Table13[[#This Row],[Quality_%]]&lt;=0),"Error","OK")</f>
        <v>OK</v>
      </c>
      <c r="X975">
        <f>Table13[[#This Row],[Performance_%]]*Table13[[#This Row],[Quality_%]]*[2]Availability_KPI!K975</f>
        <v>0.79005629629629637</v>
      </c>
      <c r="Y975" t="str">
        <f>IF(OR(Table13[[#This Row],[OEE_%]]&gt;1,Table13[[#This Row],[OEE_%]]&lt;0),"Error","OK")</f>
        <v>OK</v>
      </c>
    </row>
    <row r="976" spans="1:25" x14ac:dyDescent="0.2">
      <c r="A976" t="s">
        <v>1147</v>
      </c>
      <c r="B976" t="s">
        <v>1141</v>
      </c>
      <c r="C976" s="2">
        <v>46293</v>
      </c>
      <c r="D976" t="s">
        <v>53</v>
      </c>
      <c r="E976" t="s">
        <v>46</v>
      </c>
      <c r="F976" t="s">
        <v>97</v>
      </c>
      <c r="G976" t="s">
        <v>50</v>
      </c>
      <c r="H976">
        <v>639</v>
      </c>
      <c r="I976">
        <v>633</v>
      </c>
      <c r="J976">
        <v>6</v>
      </c>
      <c r="K976">
        <v>26.75</v>
      </c>
      <c r="L976">
        <v>29.12</v>
      </c>
      <c r="M976">
        <v>310.08999999999997</v>
      </c>
      <c r="N976">
        <f>_xlfn.XLOOKUP(Table13[[#This Row],[Production_Order_ID]],[1]Sheet1!$A$2:$A$391,[1]Sheet1!$F$2:$F$391,"No Match")</f>
        <v>580</v>
      </c>
      <c r="O976" s="3">
        <f>Table13[[#This Row],[Good_Qty]]/Table13[[#This Row],[Planned_Production]]</f>
        <v>1.0913793103448275</v>
      </c>
      <c r="P976" t="str">
        <f>IF(Table13[[#This Row],[Good_Qty]]&gt;=Table13[[#This Row],[Planned_Production]],"Met","Not Met")</f>
        <v>Met</v>
      </c>
      <c r="Q976">
        <f>Table13[[#This Row],[Good_Qty]]-Table13[[#This Row],[Planned_Production]]</f>
        <v>53</v>
      </c>
      <c r="R976" s="3">
        <f>IF(Table13[[#This Row],[Actual_Qty]]=0,0,Table13[[#This Row],[Reject_Qty]]/Table13[[#This Row],[Actual_Qty]])</f>
        <v>9.3896713615023476E-3</v>
      </c>
      <c r="S976">
        <v>423.88</v>
      </c>
      <c r="T976">
        <f>(Table13[[#This Row],[Ideal_Cycle_Time_sec]]*Table13[[#This Row],[Actual_Qty]])/(Table13[[#This Row],[Operational_Time_min]]*60)</f>
        <v>0.67209469661224874</v>
      </c>
      <c r="U976">
        <f>Table13[[#This Row],[Good_Qty]]/Table13[[#This Row],[Actual_Qty]]</f>
        <v>0.99061032863849763</v>
      </c>
      <c r="V976" t="str">
        <f>IF(OR(Table13[[#This Row],[Performance_%]]&gt;=1,Table13[[#This Row],[Performance_%]]&lt;=0),"Error","OK")</f>
        <v>OK</v>
      </c>
      <c r="W976" t="str">
        <f>IF(OR(Table13[[#This Row],[Quality_%]]&gt;=1,Table13[[#This Row],[Quality_%]]&lt;=0),"Error","OK")</f>
        <v>OK</v>
      </c>
      <c r="X976">
        <f>Table13[[#This Row],[Performance_%]]*Table13[[#This Row],[Quality_%]]*[2]Availability_KPI!K976</f>
        <v>0.6271388888888888</v>
      </c>
      <c r="Y976" t="str">
        <f>IF(OR(Table13[[#This Row],[OEE_%]]&gt;1,Table13[[#This Row],[OEE_%]]&lt;0),"Error","OK")</f>
        <v>OK</v>
      </c>
    </row>
    <row r="977" spans="1:25" x14ac:dyDescent="0.2">
      <c r="A977" t="s">
        <v>1148</v>
      </c>
      <c r="B977" t="s">
        <v>1141</v>
      </c>
      <c r="C977" s="2">
        <v>46293</v>
      </c>
      <c r="D977" t="s">
        <v>53</v>
      </c>
      <c r="E977" t="s">
        <v>49</v>
      </c>
      <c r="F977" t="s">
        <v>97</v>
      </c>
      <c r="G977" t="s">
        <v>30</v>
      </c>
      <c r="H977">
        <v>628</v>
      </c>
      <c r="I977">
        <v>626</v>
      </c>
      <c r="J977">
        <v>2</v>
      </c>
      <c r="K977">
        <v>21.4</v>
      </c>
      <c r="L977">
        <v>21.45</v>
      </c>
      <c r="M977">
        <v>224.47</v>
      </c>
      <c r="N977">
        <f>_xlfn.XLOOKUP(Table13[[#This Row],[Production_Order_ID]],[1]Sheet1!$A$2:$A$391,[1]Sheet1!$F$2:$F$391,"No Match")</f>
        <v>580</v>
      </c>
      <c r="O977" s="3">
        <f>Table13[[#This Row],[Good_Qty]]/Table13[[#This Row],[Planned_Production]]</f>
        <v>1.0793103448275863</v>
      </c>
      <c r="P977" t="str">
        <f>IF(Table13[[#This Row],[Good_Qty]]&gt;=Table13[[#This Row],[Planned_Production]],"Met","Not Met")</f>
        <v>Met</v>
      </c>
      <c r="Q977">
        <f>Table13[[#This Row],[Good_Qty]]-Table13[[#This Row],[Planned_Production]]</f>
        <v>46</v>
      </c>
      <c r="R977" s="3">
        <f>IF(Table13[[#This Row],[Actual_Qty]]=0,0,Table13[[#This Row],[Reject_Qty]]/Table13[[#This Row],[Actual_Qty]])</f>
        <v>3.1847133757961785E-3</v>
      </c>
      <c r="S977">
        <v>439.26</v>
      </c>
      <c r="T977">
        <f>(Table13[[#This Row],[Ideal_Cycle_Time_sec]]*Table13[[#This Row],[Actual_Qty]])/(Table13[[#This Row],[Operational_Time_min]]*60)</f>
        <v>0.5099181957534642</v>
      </c>
      <c r="U977">
        <f>Table13[[#This Row],[Good_Qty]]/Table13[[#This Row],[Actual_Qty]]</f>
        <v>0.99681528662420382</v>
      </c>
      <c r="V977" t="str">
        <f>IF(OR(Table13[[#This Row],[Performance_%]]&gt;=1,Table13[[#This Row],[Performance_%]]&lt;=0),"Error","OK")</f>
        <v>OK</v>
      </c>
      <c r="W977" t="str">
        <f>IF(OR(Table13[[#This Row],[Quality_%]]&gt;=1,Table13[[#This Row],[Quality_%]]&lt;=0),"Error","OK")</f>
        <v>OK</v>
      </c>
      <c r="X977">
        <f>Table13[[#This Row],[Performance_%]]*Table13[[#This Row],[Quality_%]]*[2]Availability_KPI!K977</f>
        <v>0.49616296296296292</v>
      </c>
      <c r="Y977" t="str">
        <f>IF(OR(Table13[[#This Row],[OEE_%]]&gt;1,Table13[[#This Row],[OEE_%]]&lt;0),"Error","OK")</f>
        <v>OK</v>
      </c>
    </row>
    <row r="978" spans="1:25" x14ac:dyDescent="0.2">
      <c r="A978" t="s">
        <v>1149</v>
      </c>
      <c r="B978" t="s">
        <v>1150</v>
      </c>
      <c r="C978" s="2">
        <v>46293</v>
      </c>
      <c r="D978" t="s">
        <v>67</v>
      </c>
      <c r="E978" t="s">
        <v>28</v>
      </c>
      <c r="F978" t="s">
        <v>54</v>
      </c>
      <c r="G978" t="s">
        <v>33</v>
      </c>
      <c r="H978">
        <v>598</v>
      </c>
      <c r="I978">
        <v>597</v>
      </c>
      <c r="J978">
        <v>1</v>
      </c>
      <c r="K978">
        <v>18</v>
      </c>
      <c r="L978">
        <v>18.59</v>
      </c>
      <c r="M978">
        <v>185.26</v>
      </c>
      <c r="N978">
        <f>_xlfn.XLOOKUP(Table13[[#This Row],[Production_Order_ID]],[1]Sheet1!$A$2:$A$391,[1]Sheet1!$F$2:$F$391,"No Match")</f>
        <v>440</v>
      </c>
      <c r="O978" s="3">
        <f>Table13[[#This Row],[Good_Qty]]/Table13[[#This Row],[Planned_Production]]</f>
        <v>1.3568181818181819</v>
      </c>
      <c r="P978" t="str">
        <f>IF(Table13[[#This Row],[Good_Qty]]&gt;=Table13[[#This Row],[Planned_Production]],"Met","Not Met")</f>
        <v>Met</v>
      </c>
      <c r="Q978">
        <f>Table13[[#This Row],[Good_Qty]]-Table13[[#This Row],[Planned_Production]]</f>
        <v>157</v>
      </c>
      <c r="R978" s="3">
        <f>IF(Table13[[#This Row],[Actual_Qty]]=0,0,Table13[[#This Row],[Reject_Qty]]/Table13[[#This Row],[Actual_Qty]])</f>
        <v>1.6722408026755853E-3</v>
      </c>
      <c r="S978">
        <v>441.01</v>
      </c>
      <c r="T978">
        <f>(Table13[[#This Row],[Ideal_Cycle_Time_sec]]*Table13[[#This Row],[Actual_Qty]])/(Table13[[#This Row],[Operational_Time_min]]*60)</f>
        <v>0.40679349674610554</v>
      </c>
      <c r="U978">
        <f>Table13[[#This Row],[Good_Qty]]/Table13[[#This Row],[Actual_Qty]]</f>
        <v>0.99832775919732442</v>
      </c>
      <c r="V978" t="str">
        <f>IF(OR(Table13[[#This Row],[Performance_%]]&gt;=1,Table13[[#This Row],[Performance_%]]&lt;=0),"Error","OK")</f>
        <v>OK</v>
      </c>
      <c r="W978" t="str">
        <f>IF(OR(Table13[[#This Row],[Quality_%]]&gt;=1,Table13[[#This Row],[Quality_%]]&lt;=0),"Error","OK")</f>
        <v>OK</v>
      </c>
      <c r="X978">
        <f>Table13[[#This Row],[Performance_%]]*Table13[[#This Row],[Quality_%]]*[2]Availability_KPI!K978</f>
        <v>0.39800000000000002</v>
      </c>
      <c r="Y978" t="str">
        <f>IF(OR(Table13[[#This Row],[OEE_%]]&gt;1,Table13[[#This Row],[OEE_%]]&lt;0),"Error","OK")</f>
        <v>OK</v>
      </c>
    </row>
    <row r="979" spans="1:25" x14ac:dyDescent="0.2">
      <c r="A979" t="s">
        <v>1151</v>
      </c>
      <c r="B979" t="s">
        <v>1150</v>
      </c>
      <c r="C979" s="2">
        <v>46293</v>
      </c>
      <c r="D979" t="s">
        <v>67</v>
      </c>
      <c r="E979" t="s">
        <v>32</v>
      </c>
      <c r="F979" t="s">
        <v>54</v>
      </c>
      <c r="G979" t="s">
        <v>39</v>
      </c>
      <c r="H979">
        <v>604</v>
      </c>
      <c r="I979">
        <v>599</v>
      </c>
      <c r="J979">
        <v>5</v>
      </c>
      <c r="K979">
        <v>20</v>
      </c>
      <c r="L979">
        <v>20.45</v>
      </c>
      <c r="M979">
        <v>205.89</v>
      </c>
      <c r="N979">
        <f>_xlfn.XLOOKUP(Table13[[#This Row],[Production_Order_ID]],[1]Sheet1!$A$2:$A$391,[1]Sheet1!$F$2:$F$391,"No Match")</f>
        <v>440</v>
      </c>
      <c r="O979" s="3">
        <f>Table13[[#This Row],[Good_Qty]]/Table13[[#This Row],[Planned_Production]]</f>
        <v>1.3613636363636363</v>
      </c>
      <c r="P979" t="str">
        <f>IF(Table13[[#This Row],[Good_Qty]]&gt;=Table13[[#This Row],[Planned_Production]],"Met","Not Met")</f>
        <v>Met</v>
      </c>
      <c r="Q979">
        <f>Table13[[#This Row],[Good_Qty]]-Table13[[#This Row],[Planned_Production]]</f>
        <v>159</v>
      </c>
      <c r="R979" s="3">
        <f>IF(Table13[[#This Row],[Actual_Qty]]=0,0,Table13[[#This Row],[Reject_Qty]]/Table13[[#This Row],[Actual_Qty]])</f>
        <v>8.2781456953642391E-3</v>
      </c>
      <c r="S979">
        <v>440.47</v>
      </c>
      <c r="T979">
        <f>(Table13[[#This Row],[Ideal_Cycle_Time_sec]]*Table13[[#This Row],[Actual_Qty]])/(Table13[[#This Row],[Operational_Time_min]]*60)</f>
        <v>0.45708750501358397</v>
      </c>
      <c r="U979">
        <f>Table13[[#This Row],[Good_Qty]]/Table13[[#This Row],[Actual_Qty]]</f>
        <v>0.99172185430463577</v>
      </c>
      <c r="V979" t="str">
        <f>IF(OR(Table13[[#This Row],[Performance_%]]&gt;=1,Table13[[#This Row],[Performance_%]]&lt;=0),"Error","OK")</f>
        <v>OK</v>
      </c>
      <c r="W979" t="str">
        <f>IF(OR(Table13[[#This Row],[Quality_%]]&gt;=1,Table13[[#This Row],[Quality_%]]&lt;=0),"Error","OK")</f>
        <v>OK</v>
      </c>
      <c r="X979">
        <f>Table13[[#This Row],[Performance_%]]*Table13[[#This Row],[Quality_%]]*[2]Availability_KPI!K979</f>
        <v>0.44370370370370371</v>
      </c>
      <c r="Y979" t="str">
        <f>IF(OR(Table13[[#This Row],[OEE_%]]&gt;1,Table13[[#This Row],[OEE_%]]&lt;0),"Error","OK")</f>
        <v>OK</v>
      </c>
    </row>
    <row r="980" spans="1:25" x14ac:dyDescent="0.2">
      <c r="A980" t="s">
        <v>1152</v>
      </c>
      <c r="B980" t="s">
        <v>1150</v>
      </c>
      <c r="C980" s="2">
        <v>46293</v>
      </c>
      <c r="D980" t="s">
        <v>67</v>
      </c>
      <c r="E980" t="s">
        <v>35</v>
      </c>
      <c r="F980" t="s">
        <v>54</v>
      </c>
      <c r="G980" t="s">
        <v>30</v>
      </c>
      <c r="H980">
        <v>596</v>
      </c>
      <c r="I980">
        <v>592</v>
      </c>
      <c r="J980">
        <v>4</v>
      </c>
      <c r="K980">
        <v>22</v>
      </c>
      <c r="L980">
        <v>23.83</v>
      </c>
      <c r="M980">
        <v>236.72</v>
      </c>
      <c r="N980">
        <f>_xlfn.XLOOKUP(Table13[[#This Row],[Production_Order_ID]],[1]Sheet1!$A$2:$A$391,[1]Sheet1!$F$2:$F$391,"No Match")</f>
        <v>440</v>
      </c>
      <c r="O980" s="3">
        <f>Table13[[#This Row],[Good_Qty]]/Table13[[#This Row],[Planned_Production]]</f>
        <v>1.3454545454545455</v>
      </c>
      <c r="P980" t="str">
        <f>IF(Table13[[#This Row],[Good_Qty]]&gt;=Table13[[#This Row],[Planned_Production]],"Met","Not Met")</f>
        <v>Met</v>
      </c>
      <c r="Q980">
        <f>Table13[[#This Row],[Good_Qty]]-Table13[[#This Row],[Planned_Production]]</f>
        <v>152</v>
      </c>
      <c r="R980" s="3">
        <f>IF(Table13[[#This Row],[Actual_Qty]]=0,0,Table13[[#This Row],[Reject_Qty]]/Table13[[#This Row],[Actual_Qty]])</f>
        <v>6.7114093959731542E-3</v>
      </c>
      <c r="S980">
        <v>433.74</v>
      </c>
      <c r="T980">
        <f>(Table13[[#This Row],[Ideal_Cycle_Time_sec]]*Table13[[#This Row],[Actual_Qty]])/(Table13[[#This Row],[Operational_Time_min]]*60)</f>
        <v>0.5038348626673429</v>
      </c>
      <c r="U980">
        <f>Table13[[#This Row],[Good_Qty]]/Table13[[#This Row],[Actual_Qty]]</f>
        <v>0.99328859060402686</v>
      </c>
      <c r="V980" t="str">
        <f>IF(OR(Table13[[#This Row],[Performance_%]]&gt;=1,Table13[[#This Row],[Performance_%]]&lt;=0),"Error","OK")</f>
        <v>OK</v>
      </c>
      <c r="W980" t="str">
        <f>IF(OR(Table13[[#This Row],[Quality_%]]&gt;=1,Table13[[#This Row],[Quality_%]]&lt;=0),"Error","OK")</f>
        <v>OK</v>
      </c>
      <c r="X980">
        <f>Table13[[#This Row],[Performance_%]]*Table13[[#This Row],[Quality_%]]*[2]Availability_KPI!K980</f>
        <v>0.48237037037037034</v>
      </c>
      <c r="Y980" t="str">
        <f>IF(OR(Table13[[#This Row],[OEE_%]]&gt;1,Table13[[#This Row],[OEE_%]]&lt;0),"Error","OK")</f>
        <v>OK</v>
      </c>
    </row>
    <row r="981" spans="1:25" x14ac:dyDescent="0.2">
      <c r="A981" t="s">
        <v>1153</v>
      </c>
      <c r="B981" t="s">
        <v>1150</v>
      </c>
      <c r="C981" s="2">
        <v>46293</v>
      </c>
      <c r="D981" t="s">
        <v>67</v>
      </c>
      <c r="E981" t="s">
        <v>38</v>
      </c>
      <c r="F981" t="s">
        <v>54</v>
      </c>
      <c r="G981" t="s">
        <v>57</v>
      </c>
      <c r="H981">
        <v>604</v>
      </c>
      <c r="I981">
        <v>601</v>
      </c>
      <c r="J981">
        <v>3</v>
      </c>
      <c r="K981">
        <v>20</v>
      </c>
      <c r="L981">
        <v>20</v>
      </c>
      <c r="M981">
        <v>201.33</v>
      </c>
      <c r="N981">
        <f>_xlfn.XLOOKUP(Table13[[#This Row],[Production_Order_ID]],[1]Sheet1!$A$2:$A$391,[1]Sheet1!$F$2:$F$391,"No Match")</f>
        <v>440</v>
      </c>
      <c r="O981" s="3">
        <f>Table13[[#This Row],[Good_Qty]]/Table13[[#This Row],[Planned_Production]]</f>
        <v>1.365909090909091</v>
      </c>
      <c r="P981" t="str">
        <f>IF(Table13[[#This Row],[Good_Qty]]&gt;=Table13[[#This Row],[Planned_Production]],"Met","Not Met")</f>
        <v>Met</v>
      </c>
      <c r="Q981">
        <f>Table13[[#This Row],[Good_Qty]]-Table13[[#This Row],[Planned_Production]]</f>
        <v>161</v>
      </c>
      <c r="R981" s="3">
        <f>IF(Table13[[#This Row],[Actual_Qty]]=0,0,Table13[[#This Row],[Reject_Qty]]/Table13[[#This Row],[Actual_Qty]])</f>
        <v>4.9668874172185433E-3</v>
      </c>
      <c r="S981">
        <v>439.1</v>
      </c>
      <c r="T981">
        <f>(Table13[[#This Row],[Ideal_Cycle_Time_sec]]*Table13[[#This Row],[Actual_Qty]])/(Table13[[#This Row],[Operational_Time_min]]*60)</f>
        <v>0.45851362635694221</v>
      </c>
      <c r="U981">
        <f>Table13[[#This Row],[Good_Qty]]/Table13[[#This Row],[Actual_Qty]]</f>
        <v>0.99503311258278149</v>
      </c>
      <c r="V981" t="str">
        <f>IF(OR(Table13[[#This Row],[Performance_%]]&gt;=1,Table13[[#This Row],[Performance_%]]&lt;=0),"Error","OK")</f>
        <v>OK</v>
      </c>
      <c r="W981" t="str">
        <f>IF(OR(Table13[[#This Row],[Quality_%]]&gt;=1,Table13[[#This Row],[Quality_%]]&lt;=0),"Error","OK")</f>
        <v>OK</v>
      </c>
      <c r="X981">
        <f>Table13[[#This Row],[Performance_%]]*Table13[[#This Row],[Quality_%]]*[2]Availability_KPI!K981</f>
        <v>0.44518518518518524</v>
      </c>
      <c r="Y981" t="str">
        <f>IF(OR(Table13[[#This Row],[OEE_%]]&gt;1,Table13[[#This Row],[OEE_%]]&lt;0),"Error","OK")</f>
        <v>OK</v>
      </c>
    </row>
    <row r="982" spans="1:25" x14ac:dyDescent="0.2">
      <c r="A982" t="s">
        <v>1154</v>
      </c>
      <c r="B982" t="s">
        <v>1150</v>
      </c>
      <c r="C982" s="2">
        <v>46293</v>
      </c>
      <c r="D982" t="s">
        <v>67</v>
      </c>
      <c r="E982" t="s">
        <v>41</v>
      </c>
      <c r="F982" t="s">
        <v>54</v>
      </c>
      <c r="G982" t="s">
        <v>44</v>
      </c>
      <c r="H982">
        <v>598</v>
      </c>
      <c r="I982">
        <v>594</v>
      </c>
      <c r="J982">
        <v>4</v>
      </c>
      <c r="K982">
        <v>18</v>
      </c>
      <c r="L982">
        <v>18.690000000000001</v>
      </c>
      <c r="M982">
        <v>186.31</v>
      </c>
      <c r="N982">
        <f>_xlfn.XLOOKUP(Table13[[#This Row],[Production_Order_ID]],[1]Sheet1!$A$2:$A$391,[1]Sheet1!$F$2:$F$391,"No Match")</f>
        <v>440</v>
      </c>
      <c r="O982" s="3">
        <f>Table13[[#This Row],[Good_Qty]]/Table13[[#This Row],[Planned_Production]]</f>
        <v>1.35</v>
      </c>
      <c r="P982" t="str">
        <f>IF(Table13[[#This Row],[Good_Qty]]&gt;=Table13[[#This Row],[Planned_Production]],"Met","Not Met")</f>
        <v>Met</v>
      </c>
      <c r="Q982">
        <f>Table13[[#This Row],[Good_Qty]]-Table13[[#This Row],[Planned_Production]]</f>
        <v>154</v>
      </c>
      <c r="R982" s="3">
        <f>IF(Table13[[#This Row],[Actual_Qty]]=0,0,Table13[[#This Row],[Reject_Qty]]/Table13[[#This Row],[Actual_Qty]])</f>
        <v>6.688963210702341E-3</v>
      </c>
      <c r="S982">
        <v>439.04</v>
      </c>
      <c r="T982">
        <f>(Table13[[#This Row],[Ideal_Cycle_Time_sec]]*Table13[[#This Row],[Actual_Qty]])/(Table13[[#This Row],[Operational_Time_min]]*60)</f>
        <v>0.408618804664723</v>
      </c>
      <c r="U982">
        <f>Table13[[#This Row],[Good_Qty]]/Table13[[#This Row],[Actual_Qty]]</f>
        <v>0.99331103678929766</v>
      </c>
      <c r="V982" t="str">
        <f>IF(OR(Table13[[#This Row],[Performance_%]]&gt;=1,Table13[[#This Row],[Performance_%]]&lt;=0),"Error","OK")</f>
        <v>OK</v>
      </c>
      <c r="W982" t="str">
        <f>IF(OR(Table13[[#This Row],[Quality_%]]&gt;=1,Table13[[#This Row],[Quality_%]]&lt;=0),"Error","OK")</f>
        <v>OK</v>
      </c>
      <c r="X982">
        <f>Table13[[#This Row],[Performance_%]]*Table13[[#This Row],[Quality_%]]*[2]Availability_KPI!K982</f>
        <v>0.39600000000000002</v>
      </c>
      <c r="Y982" t="str">
        <f>IF(OR(Table13[[#This Row],[OEE_%]]&gt;1,Table13[[#This Row],[OEE_%]]&lt;0),"Error","OK")</f>
        <v>OK</v>
      </c>
    </row>
    <row r="983" spans="1:25" x14ac:dyDescent="0.2">
      <c r="A983" t="s">
        <v>1155</v>
      </c>
      <c r="B983" t="s">
        <v>1150</v>
      </c>
      <c r="C983" s="2">
        <v>46293</v>
      </c>
      <c r="D983" t="s">
        <v>67</v>
      </c>
      <c r="E983" t="s">
        <v>43</v>
      </c>
      <c r="F983" t="s">
        <v>54</v>
      </c>
      <c r="G983" t="s">
        <v>39</v>
      </c>
      <c r="H983">
        <v>601</v>
      </c>
      <c r="I983">
        <v>591</v>
      </c>
      <c r="J983">
        <v>10</v>
      </c>
      <c r="K983">
        <v>32</v>
      </c>
      <c r="L983">
        <v>34.4</v>
      </c>
      <c r="M983">
        <v>344.62</v>
      </c>
      <c r="N983">
        <f>_xlfn.XLOOKUP(Table13[[#This Row],[Production_Order_ID]],[1]Sheet1!$A$2:$A$391,[1]Sheet1!$F$2:$F$391,"No Match")</f>
        <v>440</v>
      </c>
      <c r="O983" s="3">
        <f>Table13[[#This Row],[Good_Qty]]/Table13[[#This Row],[Planned_Production]]</f>
        <v>1.3431818181818183</v>
      </c>
      <c r="P983" t="str">
        <f>IF(Table13[[#This Row],[Good_Qty]]&gt;=Table13[[#This Row],[Planned_Production]],"Met","Not Met")</f>
        <v>Met</v>
      </c>
      <c r="Q983">
        <f>Table13[[#This Row],[Good_Qty]]-Table13[[#This Row],[Planned_Production]]</f>
        <v>151</v>
      </c>
      <c r="R983" s="3">
        <f>IF(Table13[[#This Row],[Actual_Qty]]=0,0,Table13[[#This Row],[Reject_Qty]]/Table13[[#This Row],[Actual_Qty]])</f>
        <v>1.6638935108153077E-2</v>
      </c>
      <c r="S983">
        <v>415.3</v>
      </c>
      <c r="T983">
        <f>(Table13[[#This Row],[Ideal_Cycle_Time_sec]]*Table13[[#This Row],[Actual_Qty]])/(Table13[[#This Row],[Operational_Time_min]]*60)</f>
        <v>0.77181154185729195</v>
      </c>
      <c r="U983">
        <f>Table13[[#This Row],[Good_Qty]]/Table13[[#This Row],[Actual_Qty]]</f>
        <v>0.98336106489184694</v>
      </c>
      <c r="V983" t="str">
        <f>IF(OR(Table13[[#This Row],[Performance_%]]&gt;=1,Table13[[#This Row],[Performance_%]]&lt;=0),"Error","OK")</f>
        <v>OK</v>
      </c>
      <c r="W983" t="str">
        <f>IF(OR(Table13[[#This Row],[Quality_%]]&gt;=1,Table13[[#This Row],[Quality_%]]&lt;=0),"Error","OK")</f>
        <v>OK</v>
      </c>
      <c r="X983">
        <f>Table13[[#This Row],[Performance_%]]*Table13[[#This Row],[Quality_%]]*[2]Availability_KPI!K983</f>
        <v>0.70044444444444454</v>
      </c>
      <c r="Y983" t="str">
        <f>IF(OR(Table13[[#This Row],[OEE_%]]&gt;1,Table13[[#This Row],[OEE_%]]&lt;0),"Error","OK")</f>
        <v>OK</v>
      </c>
    </row>
    <row r="984" spans="1:25" x14ac:dyDescent="0.2">
      <c r="A984" t="s">
        <v>1156</v>
      </c>
      <c r="B984" t="s">
        <v>1150</v>
      </c>
      <c r="C984" s="2">
        <v>46293</v>
      </c>
      <c r="D984" t="s">
        <v>67</v>
      </c>
      <c r="E984" t="s">
        <v>46</v>
      </c>
      <c r="F984" t="s">
        <v>54</v>
      </c>
      <c r="G984" t="s">
        <v>44</v>
      </c>
      <c r="H984">
        <v>620</v>
      </c>
      <c r="I984">
        <v>615</v>
      </c>
      <c r="J984">
        <v>5</v>
      </c>
      <c r="K984">
        <v>25</v>
      </c>
      <c r="L984">
        <v>26.34</v>
      </c>
      <c r="M984">
        <v>272.22000000000003</v>
      </c>
      <c r="N984">
        <f>_xlfn.XLOOKUP(Table13[[#This Row],[Production_Order_ID]],[1]Sheet1!$A$2:$A$391,[1]Sheet1!$F$2:$F$391,"No Match")</f>
        <v>440</v>
      </c>
      <c r="O984" s="3">
        <f>Table13[[#This Row],[Good_Qty]]/Table13[[#This Row],[Planned_Production]]</f>
        <v>1.3977272727272727</v>
      </c>
      <c r="P984" t="str">
        <f>IF(Table13[[#This Row],[Good_Qty]]&gt;=Table13[[#This Row],[Planned_Production]],"Met","Not Met")</f>
        <v>Met</v>
      </c>
      <c r="Q984">
        <f>Table13[[#This Row],[Good_Qty]]-Table13[[#This Row],[Planned_Production]]</f>
        <v>175</v>
      </c>
      <c r="R984" s="3">
        <f>IF(Table13[[#This Row],[Actual_Qty]]=0,0,Table13[[#This Row],[Reject_Qty]]/Table13[[#This Row],[Actual_Qty]])</f>
        <v>8.0645161290322578E-3</v>
      </c>
      <c r="S984">
        <v>433.36</v>
      </c>
      <c r="T984">
        <f>(Table13[[#This Row],[Ideal_Cycle_Time_sec]]*Table13[[#This Row],[Actual_Qty]])/(Table13[[#This Row],[Operational_Time_min]]*60)</f>
        <v>0.59611716202079867</v>
      </c>
      <c r="U984">
        <f>Table13[[#This Row],[Good_Qty]]/Table13[[#This Row],[Actual_Qty]]</f>
        <v>0.99193548387096775</v>
      </c>
      <c r="V984" t="str">
        <f>IF(OR(Table13[[#This Row],[Performance_%]]&gt;=1,Table13[[#This Row],[Performance_%]]&lt;=0),"Error","OK")</f>
        <v>OK</v>
      </c>
      <c r="W984" t="str">
        <f>IF(OR(Table13[[#This Row],[Quality_%]]&gt;=1,Table13[[#This Row],[Quality_%]]&lt;=0),"Error","OK")</f>
        <v>OK</v>
      </c>
      <c r="X984">
        <f>Table13[[#This Row],[Performance_%]]*Table13[[#This Row],[Quality_%]]*[2]Availability_KPI!K984</f>
        <v>0.56944444444444442</v>
      </c>
      <c r="Y984" t="str">
        <f>IF(OR(Table13[[#This Row],[OEE_%]]&gt;1,Table13[[#This Row],[OEE_%]]&lt;0),"Error","OK")</f>
        <v>OK</v>
      </c>
    </row>
    <row r="985" spans="1:25" x14ac:dyDescent="0.2">
      <c r="A985" t="s">
        <v>1157</v>
      </c>
      <c r="B985" t="s">
        <v>1150</v>
      </c>
      <c r="C985" s="2">
        <v>46293</v>
      </c>
      <c r="D985" t="s">
        <v>67</v>
      </c>
      <c r="E985" t="s">
        <v>49</v>
      </c>
      <c r="F985" t="s">
        <v>54</v>
      </c>
      <c r="G985" t="s">
        <v>50</v>
      </c>
      <c r="H985">
        <v>596</v>
      </c>
      <c r="I985">
        <v>591</v>
      </c>
      <c r="J985">
        <v>5</v>
      </c>
      <c r="K985">
        <v>20</v>
      </c>
      <c r="L985">
        <v>20.53</v>
      </c>
      <c r="M985">
        <v>203.98</v>
      </c>
      <c r="N985">
        <f>_xlfn.XLOOKUP(Table13[[#This Row],[Production_Order_ID]],[1]Sheet1!$A$2:$A$391,[1]Sheet1!$F$2:$F$391,"No Match")</f>
        <v>440</v>
      </c>
      <c r="O985" s="3">
        <f>Table13[[#This Row],[Good_Qty]]/Table13[[#This Row],[Planned_Production]]</f>
        <v>1.3431818181818183</v>
      </c>
      <c r="P985" t="str">
        <f>IF(Table13[[#This Row],[Good_Qty]]&gt;=Table13[[#This Row],[Planned_Production]],"Met","Not Met")</f>
        <v>Met</v>
      </c>
      <c r="Q985">
        <f>Table13[[#This Row],[Good_Qty]]-Table13[[#This Row],[Planned_Production]]</f>
        <v>151</v>
      </c>
      <c r="R985" s="3">
        <f>IF(Table13[[#This Row],[Actual_Qty]]=0,0,Table13[[#This Row],[Reject_Qty]]/Table13[[#This Row],[Actual_Qty]])</f>
        <v>8.389261744966443E-3</v>
      </c>
      <c r="S985">
        <v>442.41</v>
      </c>
      <c r="T985">
        <f>(Table13[[#This Row],[Ideal_Cycle_Time_sec]]*Table13[[#This Row],[Actual_Qty]])/(Table13[[#This Row],[Operational_Time_min]]*60)</f>
        <v>0.44905555178831097</v>
      </c>
      <c r="U985">
        <f>Table13[[#This Row],[Good_Qty]]/Table13[[#This Row],[Actual_Qty]]</f>
        <v>0.99161073825503354</v>
      </c>
      <c r="V985" t="str">
        <f>IF(OR(Table13[[#This Row],[Performance_%]]&gt;=1,Table13[[#This Row],[Performance_%]]&lt;=0),"Error","OK")</f>
        <v>OK</v>
      </c>
      <c r="W985" t="str">
        <f>IF(OR(Table13[[#This Row],[Quality_%]]&gt;=1,Table13[[#This Row],[Quality_%]]&lt;=0),"Error","OK")</f>
        <v>OK</v>
      </c>
      <c r="X985">
        <f>Table13[[#This Row],[Performance_%]]*Table13[[#This Row],[Quality_%]]*[2]Availability_KPI!K985</f>
        <v>0.43777777777777782</v>
      </c>
      <c r="Y985" t="str">
        <f>IF(OR(Table13[[#This Row],[OEE_%]]&gt;1,Table13[[#This Row],[OEE_%]]&lt;0),"Error","OK")</f>
        <v>OK</v>
      </c>
    </row>
    <row r="986" spans="1:25" x14ac:dyDescent="0.2">
      <c r="A986" t="s">
        <v>1158</v>
      </c>
      <c r="B986" t="s">
        <v>1159</v>
      </c>
      <c r="C986" s="2">
        <v>46294</v>
      </c>
      <c r="D986" t="s">
        <v>27</v>
      </c>
      <c r="E986" t="s">
        <v>28</v>
      </c>
      <c r="F986" t="s">
        <v>54</v>
      </c>
      <c r="G986" t="s">
        <v>71</v>
      </c>
      <c r="H986">
        <v>716</v>
      </c>
      <c r="I986">
        <v>712</v>
      </c>
      <c r="J986">
        <v>4</v>
      </c>
      <c r="K986">
        <v>18</v>
      </c>
      <c r="L986">
        <v>18.25</v>
      </c>
      <c r="M986">
        <v>217.83</v>
      </c>
      <c r="N986">
        <f>_xlfn.XLOOKUP(Table13[[#This Row],[Production_Order_ID]],[1]Sheet1!$A$2:$A$391,[1]Sheet1!$F$2:$F$391,"No Match")</f>
        <v>580</v>
      </c>
      <c r="O986" s="3">
        <f>Table13[[#This Row],[Good_Qty]]/Table13[[#This Row],[Planned_Production]]</f>
        <v>1.2275862068965517</v>
      </c>
      <c r="P986" t="str">
        <f>IF(Table13[[#This Row],[Good_Qty]]&gt;=Table13[[#This Row],[Planned_Production]],"Met","Not Met")</f>
        <v>Met</v>
      </c>
      <c r="Q986">
        <f>Table13[[#This Row],[Good_Qty]]-Table13[[#This Row],[Planned_Production]]</f>
        <v>132</v>
      </c>
      <c r="R986" s="3">
        <f>IF(Table13[[#This Row],[Actual_Qty]]=0,0,Table13[[#This Row],[Reject_Qty]]/Table13[[#This Row],[Actual_Qty]])</f>
        <v>5.5865921787709499E-3</v>
      </c>
      <c r="S986">
        <v>439.58</v>
      </c>
      <c r="T986">
        <f>(Table13[[#This Row],[Ideal_Cycle_Time_sec]]*Table13[[#This Row],[Actual_Qty]])/(Table13[[#This Row],[Operational_Time_min]]*60)</f>
        <v>0.48864825515264571</v>
      </c>
      <c r="U986">
        <f>Table13[[#This Row],[Good_Qty]]/Table13[[#This Row],[Actual_Qty]]</f>
        <v>0.994413407821229</v>
      </c>
      <c r="V986" t="str">
        <f>IF(OR(Table13[[#This Row],[Performance_%]]&gt;=1,Table13[[#This Row],[Performance_%]]&lt;=0),"Error","OK")</f>
        <v>OK</v>
      </c>
      <c r="W986" t="str">
        <f>IF(OR(Table13[[#This Row],[Quality_%]]&gt;=1,Table13[[#This Row],[Quality_%]]&lt;=0),"Error","OK")</f>
        <v>OK</v>
      </c>
      <c r="X986">
        <f>Table13[[#This Row],[Performance_%]]*Table13[[#This Row],[Quality_%]]*[2]Availability_KPI!K986</f>
        <v>0.47466666666666663</v>
      </c>
      <c r="Y986" t="str">
        <f>IF(OR(Table13[[#This Row],[OEE_%]]&gt;1,Table13[[#This Row],[OEE_%]]&lt;0),"Error","OK")</f>
        <v>OK</v>
      </c>
    </row>
    <row r="987" spans="1:25" x14ac:dyDescent="0.2">
      <c r="A987" t="s">
        <v>1160</v>
      </c>
      <c r="B987" t="s">
        <v>1159</v>
      </c>
      <c r="C987" s="2">
        <v>46294</v>
      </c>
      <c r="D987" t="s">
        <v>27</v>
      </c>
      <c r="E987" t="s">
        <v>32</v>
      </c>
      <c r="F987" t="s">
        <v>54</v>
      </c>
      <c r="G987" t="s">
        <v>39</v>
      </c>
      <c r="H987">
        <v>707</v>
      </c>
      <c r="I987">
        <v>703</v>
      </c>
      <c r="J987">
        <v>4</v>
      </c>
      <c r="K987">
        <v>20</v>
      </c>
      <c r="L987">
        <v>22.45</v>
      </c>
      <c r="M987">
        <v>264.57</v>
      </c>
      <c r="N987">
        <f>_xlfn.XLOOKUP(Table13[[#This Row],[Production_Order_ID]],[1]Sheet1!$A$2:$A$391,[1]Sheet1!$F$2:$F$391,"No Match")</f>
        <v>580</v>
      </c>
      <c r="O987" s="3">
        <f>Table13[[#This Row],[Good_Qty]]/Table13[[#This Row],[Planned_Production]]</f>
        <v>1.2120689655172414</v>
      </c>
      <c r="P987" t="str">
        <f>IF(Table13[[#This Row],[Good_Qty]]&gt;=Table13[[#This Row],[Planned_Production]],"Met","Not Met")</f>
        <v>Met</v>
      </c>
      <c r="Q987">
        <f>Table13[[#This Row],[Good_Qty]]-Table13[[#This Row],[Planned_Production]]</f>
        <v>123</v>
      </c>
      <c r="R987" s="3">
        <f>IF(Table13[[#This Row],[Actual_Qty]]=0,0,Table13[[#This Row],[Reject_Qty]]/Table13[[#This Row],[Actual_Qty]])</f>
        <v>5.6577086280056579E-3</v>
      </c>
      <c r="S987">
        <v>434.97</v>
      </c>
      <c r="T987">
        <f>(Table13[[#This Row],[Ideal_Cycle_Time_sec]]*Table13[[#This Row],[Actual_Qty]])/(Table13[[#This Row],[Operational_Time_min]]*60)</f>
        <v>0.54179981761194262</v>
      </c>
      <c r="U987">
        <f>Table13[[#This Row],[Good_Qty]]/Table13[[#This Row],[Actual_Qty]]</f>
        <v>0.99434229137199437</v>
      </c>
      <c r="V987" t="str">
        <f>IF(OR(Table13[[#This Row],[Performance_%]]&gt;=1,Table13[[#This Row],[Performance_%]]&lt;=0),"Error","OK")</f>
        <v>OK</v>
      </c>
      <c r="W987" t="str">
        <f>IF(OR(Table13[[#This Row],[Quality_%]]&gt;=1,Table13[[#This Row],[Quality_%]]&lt;=0),"Error","OK")</f>
        <v>OK</v>
      </c>
      <c r="X987">
        <f>Table13[[#This Row],[Performance_%]]*Table13[[#This Row],[Quality_%]]*[2]Availability_KPI!K987</f>
        <v>0.52074074074074084</v>
      </c>
      <c r="Y987" t="str">
        <f>IF(OR(Table13[[#This Row],[OEE_%]]&gt;1,Table13[[#This Row],[OEE_%]]&lt;0),"Error","OK")</f>
        <v>OK</v>
      </c>
    </row>
    <row r="988" spans="1:25" x14ac:dyDescent="0.2">
      <c r="A988" t="s">
        <v>1161</v>
      </c>
      <c r="B988" t="s">
        <v>1159</v>
      </c>
      <c r="C988" s="2">
        <v>46294</v>
      </c>
      <c r="D988" t="s">
        <v>27</v>
      </c>
      <c r="E988" t="s">
        <v>35</v>
      </c>
      <c r="F988" t="s">
        <v>54</v>
      </c>
      <c r="G988" t="s">
        <v>39</v>
      </c>
      <c r="H988">
        <v>715</v>
      </c>
      <c r="I988">
        <v>707</v>
      </c>
      <c r="J988">
        <v>8</v>
      </c>
      <c r="K988">
        <v>22</v>
      </c>
      <c r="L988">
        <v>22.82</v>
      </c>
      <c r="M988">
        <v>271.98</v>
      </c>
      <c r="N988">
        <f>_xlfn.XLOOKUP(Table13[[#This Row],[Production_Order_ID]],[1]Sheet1!$A$2:$A$391,[1]Sheet1!$F$2:$F$391,"No Match")</f>
        <v>580</v>
      </c>
      <c r="O988" s="3">
        <f>Table13[[#This Row],[Good_Qty]]/Table13[[#This Row],[Planned_Production]]</f>
        <v>1.2189655172413794</v>
      </c>
      <c r="P988" t="str">
        <f>IF(Table13[[#This Row],[Good_Qty]]&gt;=Table13[[#This Row],[Planned_Production]],"Met","Not Met")</f>
        <v>Met</v>
      </c>
      <c r="Q988">
        <f>Table13[[#This Row],[Good_Qty]]-Table13[[#This Row],[Planned_Production]]</f>
        <v>127</v>
      </c>
      <c r="R988" s="3">
        <f>IF(Table13[[#This Row],[Actual_Qty]]=0,0,Table13[[#This Row],[Reject_Qty]]/Table13[[#This Row],[Actual_Qty]])</f>
        <v>1.1188811188811189E-2</v>
      </c>
      <c r="S988">
        <v>431.17</v>
      </c>
      <c r="T988">
        <f>(Table13[[#This Row],[Ideal_Cycle_Time_sec]]*Table13[[#This Row],[Actual_Qty]])/(Table13[[#This Row],[Operational_Time_min]]*60)</f>
        <v>0.60803550030537068</v>
      </c>
      <c r="U988">
        <f>Table13[[#This Row],[Good_Qty]]/Table13[[#This Row],[Actual_Qty]]</f>
        <v>0.98881118881118879</v>
      </c>
      <c r="V988" t="str">
        <f>IF(OR(Table13[[#This Row],[Performance_%]]&gt;=1,Table13[[#This Row],[Performance_%]]&lt;=0),"Error","OK")</f>
        <v>OK</v>
      </c>
      <c r="W988" t="str">
        <f>IF(OR(Table13[[#This Row],[Quality_%]]&gt;=1,Table13[[#This Row],[Quality_%]]&lt;=0),"Error","OK")</f>
        <v>OK</v>
      </c>
      <c r="X988">
        <f>Table13[[#This Row],[Performance_%]]*Table13[[#This Row],[Quality_%]]*[2]Availability_KPI!K988</f>
        <v>0.57607407407407407</v>
      </c>
      <c r="Y988" t="str">
        <f>IF(OR(Table13[[#This Row],[OEE_%]]&gt;1,Table13[[#This Row],[OEE_%]]&lt;0),"Error","OK")</f>
        <v>OK</v>
      </c>
    </row>
    <row r="989" spans="1:25" x14ac:dyDescent="0.2">
      <c r="A989" t="s">
        <v>1162</v>
      </c>
      <c r="B989" t="s">
        <v>1159</v>
      </c>
      <c r="C989" s="2">
        <v>46294</v>
      </c>
      <c r="D989" t="s">
        <v>27</v>
      </c>
      <c r="E989" t="s">
        <v>38</v>
      </c>
      <c r="F989" t="s">
        <v>54</v>
      </c>
      <c r="G989" t="s">
        <v>61</v>
      </c>
      <c r="H989">
        <v>707</v>
      </c>
      <c r="I989">
        <v>703</v>
      </c>
      <c r="J989">
        <v>4</v>
      </c>
      <c r="K989">
        <v>20</v>
      </c>
      <c r="L989">
        <v>20.94</v>
      </c>
      <c r="M989">
        <v>246.72</v>
      </c>
      <c r="N989">
        <f>_xlfn.XLOOKUP(Table13[[#This Row],[Production_Order_ID]],[1]Sheet1!$A$2:$A$391,[1]Sheet1!$F$2:$F$391,"No Match")</f>
        <v>580</v>
      </c>
      <c r="O989" s="3">
        <f>Table13[[#This Row],[Good_Qty]]/Table13[[#This Row],[Planned_Production]]</f>
        <v>1.2120689655172414</v>
      </c>
      <c r="P989" t="str">
        <f>IF(Table13[[#This Row],[Good_Qty]]&gt;=Table13[[#This Row],[Planned_Production]],"Met","Not Met")</f>
        <v>Met</v>
      </c>
      <c r="Q989">
        <f>Table13[[#This Row],[Good_Qty]]-Table13[[#This Row],[Planned_Production]]</f>
        <v>123</v>
      </c>
      <c r="R989" s="3">
        <f>IF(Table13[[#This Row],[Actual_Qty]]=0,0,Table13[[#This Row],[Reject_Qty]]/Table13[[#This Row],[Actual_Qty]])</f>
        <v>5.6577086280056579E-3</v>
      </c>
      <c r="S989">
        <v>438.5</v>
      </c>
      <c r="T989">
        <f>(Table13[[#This Row],[Ideal_Cycle_Time_sec]]*Table13[[#This Row],[Actual_Qty]])/(Table13[[#This Row],[Operational_Time_min]]*60)</f>
        <v>0.53743823641201061</v>
      </c>
      <c r="U989">
        <f>Table13[[#This Row],[Good_Qty]]/Table13[[#This Row],[Actual_Qty]]</f>
        <v>0.99434229137199437</v>
      </c>
      <c r="V989" t="str">
        <f>IF(OR(Table13[[#This Row],[Performance_%]]&gt;=1,Table13[[#This Row],[Performance_%]]&lt;=0),"Error","OK")</f>
        <v>OK</v>
      </c>
      <c r="W989" t="str">
        <f>IF(OR(Table13[[#This Row],[Quality_%]]&gt;=1,Table13[[#This Row],[Quality_%]]&lt;=0),"Error","OK")</f>
        <v>OK</v>
      </c>
      <c r="X989">
        <f>Table13[[#This Row],[Performance_%]]*Table13[[#This Row],[Quality_%]]*[2]Availability_KPI!K989</f>
        <v>0.52074074074074073</v>
      </c>
      <c r="Y989" t="str">
        <f>IF(OR(Table13[[#This Row],[OEE_%]]&gt;1,Table13[[#This Row],[OEE_%]]&lt;0),"Error","OK")</f>
        <v>OK</v>
      </c>
    </row>
    <row r="990" spans="1:25" x14ac:dyDescent="0.2">
      <c r="A990" t="s">
        <v>1163</v>
      </c>
      <c r="B990" t="s">
        <v>1159</v>
      </c>
      <c r="C990" s="2">
        <v>46294</v>
      </c>
      <c r="D990" t="s">
        <v>27</v>
      </c>
      <c r="E990" t="s">
        <v>41</v>
      </c>
      <c r="F990" t="s">
        <v>54</v>
      </c>
      <c r="G990" t="s">
        <v>47</v>
      </c>
      <c r="H990">
        <v>725</v>
      </c>
      <c r="I990">
        <v>715</v>
      </c>
      <c r="J990">
        <v>10</v>
      </c>
      <c r="K990">
        <v>18</v>
      </c>
      <c r="L990">
        <v>18.61</v>
      </c>
      <c r="M990">
        <v>224.89</v>
      </c>
      <c r="N990">
        <f>_xlfn.XLOOKUP(Table13[[#This Row],[Production_Order_ID]],[1]Sheet1!$A$2:$A$391,[1]Sheet1!$F$2:$F$391,"No Match")</f>
        <v>580</v>
      </c>
      <c r="O990" s="3">
        <f>Table13[[#This Row],[Good_Qty]]/Table13[[#This Row],[Planned_Production]]</f>
        <v>1.2327586206896552</v>
      </c>
      <c r="P990" t="str">
        <f>IF(Table13[[#This Row],[Good_Qty]]&gt;=Table13[[#This Row],[Planned_Production]],"Met","Not Met")</f>
        <v>Met</v>
      </c>
      <c r="Q990">
        <f>Table13[[#This Row],[Good_Qty]]-Table13[[#This Row],[Planned_Production]]</f>
        <v>135</v>
      </c>
      <c r="R990" s="3">
        <f>IF(Table13[[#This Row],[Actual_Qty]]=0,0,Table13[[#This Row],[Reject_Qty]]/Table13[[#This Row],[Actual_Qty]])</f>
        <v>1.3793103448275862E-2</v>
      </c>
      <c r="S990">
        <v>438.79</v>
      </c>
      <c r="T990">
        <f>(Table13[[#This Row],[Ideal_Cycle_Time_sec]]*Table13[[#This Row],[Actual_Qty]])/(Table13[[#This Row],[Operational_Time_min]]*60)</f>
        <v>0.49568130540805394</v>
      </c>
      <c r="U990">
        <f>Table13[[#This Row],[Good_Qty]]/Table13[[#This Row],[Actual_Qty]]</f>
        <v>0.98620689655172411</v>
      </c>
      <c r="V990" t="str">
        <f>IF(OR(Table13[[#This Row],[Performance_%]]&gt;=1,Table13[[#This Row],[Performance_%]]&lt;=0),"Error","OK")</f>
        <v>OK</v>
      </c>
      <c r="W990" t="str">
        <f>IF(OR(Table13[[#This Row],[Quality_%]]&gt;=1,Table13[[#This Row],[Quality_%]]&lt;=0),"Error","OK")</f>
        <v>OK</v>
      </c>
      <c r="X990">
        <f>Table13[[#This Row],[Performance_%]]*Table13[[#This Row],[Quality_%]]*[2]Availability_KPI!K990</f>
        <v>0.47666666666666663</v>
      </c>
      <c r="Y990" t="str">
        <f>IF(OR(Table13[[#This Row],[OEE_%]]&gt;1,Table13[[#This Row],[OEE_%]]&lt;0),"Error","OK")</f>
        <v>OK</v>
      </c>
    </row>
    <row r="991" spans="1:25" x14ac:dyDescent="0.2">
      <c r="A991" t="s">
        <v>1164</v>
      </c>
      <c r="B991" t="s">
        <v>1159</v>
      </c>
      <c r="C991" s="2">
        <v>46294</v>
      </c>
      <c r="D991" t="s">
        <v>27</v>
      </c>
      <c r="E991" t="s">
        <v>43</v>
      </c>
      <c r="F991" t="s">
        <v>54</v>
      </c>
      <c r="G991" t="s">
        <v>55</v>
      </c>
      <c r="H991">
        <v>701</v>
      </c>
      <c r="I991">
        <v>689</v>
      </c>
      <c r="J991">
        <v>12</v>
      </c>
      <c r="K991">
        <v>32</v>
      </c>
      <c r="L991">
        <v>33.89</v>
      </c>
      <c r="M991">
        <v>395.91</v>
      </c>
      <c r="N991">
        <f>_xlfn.XLOOKUP(Table13[[#This Row],[Production_Order_ID]],[1]Sheet1!$A$2:$A$391,[1]Sheet1!$F$2:$F$391,"No Match")</f>
        <v>580</v>
      </c>
      <c r="O991" s="3">
        <f>Table13[[#This Row],[Good_Qty]]/Table13[[#This Row],[Planned_Production]]</f>
        <v>1.1879310344827587</v>
      </c>
      <c r="P991" t="str">
        <f>IF(Table13[[#This Row],[Good_Qty]]&gt;=Table13[[#This Row],[Planned_Production]],"Met","Not Met")</f>
        <v>Met</v>
      </c>
      <c r="Q991">
        <f>Table13[[#This Row],[Good_Qty]]-Table13[[#This Row],[Planned_Production]]</f>
        <v>109</v>
      </c>
      <c r="R991" s="3">
        <f>IF(Table13[[#This Row],[Actual_Qty]]=0,0,Table13[[#This Row],[Reject_Qty]]/Table13[[#This Row],[Actual_Qty]])</f>
        <v>1.7118402282453638E-2</v>
      </c>
      <c r="S991">
        <v>413.85</v>
      </c>
      <c r="T991">
        <f>(Table13[[#This Row],[Ideal_Cycle_Time_sec]]*Table13[[#This Row],[Actual_Qty]])/(Table13[[#This Row],[Operational_Time_min]]*60)</f>
        <v>0.90338689541299177</v>
      </c>
      <c r="U991">
        <f>Table13[[#This Row],[Good_Qty]]/Table13[[#This Row],[Actual_Qty]]</f>
        <v>0.98288159771754635</v>
      </c>
      <c r="V991" t="str">
        <f>IF(OR(Table13[[#This Row],[Performance_%]]&gt;=1,Table13[[#This Row],[Performance_%]]&lt;=0),"Error","OK")</f>
        <v>OK</v>
      </c>
      <c r="W991" t="str">
        <f>IF(OR(Table13[[#This Row],[Quality_%]]&gt;=1,Table13[[#This Row],[Quality_%]]&lt;=0),"Error","OK")</f>
        <v>OK</v>
      </c>
      <c r="X991">
        <f>Table13[[#This Row],[Performance_%]]*Table13[[#This Row],[Quality_%]]*[2]Availability_KPI!K991</f>
        <v>0.81659259259259265</v>
      </c>
      <c r="Y991" t="str">
        <f>IF(OR(Table13[[#This Row],[OEE_%]]&gt;1,Table13[[#This Row],[OEE_%]]&lt;0),"Error","OK")</f>
        <v>OK</v>
      </c>
    </row>
    <row r="992" spans="1:25" x14ac:dyDescent="0.2">
      <c r="A992" t="s">
        <v>1165</v>
      </c>
      <c r="B992" t="s">
        <v>1159</v>
      </c>
      <c r="C992" s="2">
        <v>46294</v>
      </c>
      <c r="D992" t="s">
        <v>27</v>
      </c>
      <c r="E992" t="s">
        <v>46</v>
      </c>
      <c r="F992" t="s">
        <v>54</v>
      </c>
      <c r="G992" t="s">
        <v>30</v>
      </c>
      <c r="H992">
        <v>727</v>
      </c>
      <c r="I992">
        <v>719</v>
      </c>
      <c r="J992">
        <v>8</v>
      </c>
      <c r="K992">
        <v>25</v>
      </c>
      <c r="L992">
        <v>26</v>
      </c>
      <c r="M992">
        <v>314.99</v>
      </c>
      <c r="N992">
        <f>_xlfn.XLOOKUP(Table13[[#This Row],[Production_Order_ID]],[1]Sheet1!$A$2:$A$391,[1]Sheet1!$F$2:$F$391,"No Match")</f>
        <v>580</v>
      </c>
      <c r="O992" s="3">
        <f>Table13[[#This Row],[Good_Qty]]/Table13[[#This Row],[Planned_Production]]</f>
        <v>1.2396551724137932</v>
      </c>
      <c r="P992" t="str">
        <f>IF(Table13[[#This Row],[Good_Qty]]&gt;=Table13[[#This Row],[Planned_Production]],"Met","Not Met")</f>
        <v>Met</v>
      </c>
      <c r="Q992">
        <f>Table13[[#This Row],[Good_Qty]]-Table13[[#This Row],[Planned_Production]]</f>
        <v>139</v>
      </c>
      <c r="R992" s="3">
        <f>IF(Table13[[#This Row],[Actual_Qty]]=0,0,Table13[[#This Row],[Reject_Qty]]/Table13[[#This Row],[Actual_Qty]])</f>
        <v>1.1004126547455296E-2</v>
      </c>
      <c r="S992">
        <v>422.57</v>
      </c>
      <c r="T992">
        <f>(Table13[[#This Row],[Ideal_Cycle_Time_sec]]*Table13[[#This Row],[Actual_Qty]])/(Table13[[#This Row],[Operational_Time_min]]*60)</f>
        <v>0.71684375764173192</v>
      </c>
      <c r="U992">
        <f>Table13[[#This Row],[Good_Qty]]/Table13[[#This Row],[Actual_Qty]]</f>
        <v>0.98899587345254469</v>
      </c>
      <c r="V992" t="str">
        <f>IF(OR(Table13[[#This Row],[Performance_%]]&gt;=1,Table13[[#This Row],[Performance_%]]&lt;=0),"Error","OK")</f>
        <v>OK</v>
      </c>
      <c r="W992" t="str">
        <f>IF(OR(Table13[[#This Row],[Quality_%]]&gt;=1,Table13[[#This Row],[Quality_%]]&lt;=0),"Error","OK")</f>
        <v>OK</v>
      </c>
      <c r="X992">
        <f>Table13[[#This Row],[Performance_%]]*Table13[[#This Row],[Quality_%]]*[2]Availability_KPI!K992</f>
        <v>0.66574074074074074</v>
      </c>
      <c r="Y992" t="str">
        <f>IF(OR(Table13[[#This Row],[OEE_%]]&gt;1,Table13[[#This Row],[OEE_%]]&lt;0),"Error","OK")</f>
        <v>OK</v>
      </c>
    </row>
    <row r="993" spans="1:25" x14ac:dyDescent="0.2">
      <c r="A993" t="s">
        <v>1166</v>
      </c>
      <c r="B993" t="s">
        <v>1159</v>
      </c>
      <c r="C993" s="2">
        <v>46294</v>
      </c>
      <c r="D993" t="s">
        <v>27</v>
      </c>
      <c r="E993" t="s">
        <v>49</v>
      </c>
      <c r="F993" t="s">
        <v>54</v>
      </c>
      <c r="G993" t="s">
        <v>55</v>
      </c>
      <c r="H993">
        <v>712</v>
      </c>
      <c r="I993">
        <v>709</v>
      </c>
      <c r="J993">
        <v>3</v>
      </c>
      <c r="K993">
        <v>20</v>
      </c>
      <c r="L993">
        <v>21.55</v>
      </c>
      <c r="M993">
        <v>255.75</v>
      </c>
      <c r="N993">
        <f>_xlfn.XLOOKUP(Table13[[#This Row],[Production_Order_ID]],[1]Sheet1!$A$2:$A$391,[1]Sheet1!$F$2:$F$391,"No Match")</f>
        <v>580</v>
      </c>
      <c r="O993" s="3">
        <f>Table13[[#This Row],[Good_Qty]]/Table13[[#This Row],[Planned_Production]]</f>
        <v>1.2224137931034482</v>
      </c>
      <c r="P993" t="str">
        <f>IF(Table13[[#This Row],[Good_Qty]]&gt;=Table13[[#This Row],[Planned_Production]],"Met","Not Met")</f>
        <v>Met</v>
      </c>
      <c r="Q993">
        <f>Table13[[#This Row],[Good_Qty]]-Table13[[#This Row],[Planned_Production]]</f>
        <v>129</v>
      </c>
      <c r="R993" s="3">
        <f>IF(Table13[[#This Row],[Actual_Qty]]=0,0,Table13[[#This Row],[Reject_Qty]]/Table13[[#This Row],[Actual_Qty]])</f>
        <v>4.2134831460674156E-3</v>
      </c>
      <c r="S993">
        <v>440.32</v>
      </c>
      <c r="T993">
        <f>(Table13[[#This Row],[Ideal_Cycle_Time_sec]]*Table13[[#This Row],[Actual_Qty]])/(Table13[[#This Row],[Operational_Time_min]]*60)</f>
        <v>0.53900193798449614</v>
      </c>
      <c r="U993">
        <f>Table13[[#This Row],[Good_Qty]]/Table13[[#This Row],[Actual_Qty]]</f>
        <v>0.9957865168539326</v>
      </c>
      <c r="V993" t="str">
        <f>IF(OR(Table13[[#This Row],[Performance_%]]&gt;=1,Table13[[#This Row],[Performance_%]]&lt;=0),"Error","OK")</f>
        <v>OK</v>
      </c>
      <c r="W993" t="str">
        <f>IF(OR(Table13[[#This Row],[Quality_%]]&gt;=1,Table13[[#This Row],[Quality_%]]&lt;=0),"Error","OK")</f>
        <v>OK</v>
      </c>
      <c r="X993">
        <f>Table13[[#This Row],[Performance_%]]*Table13[[#This Row],[Quality_%]]*[2]Availability_KPI!K993</f>
        <v>0.52518518518518509</v>
      </c>
      <c r="Y993" t="str">
        <f>IF(OR(Table13[[#This Row],[OEE_%]]&gt;1,Table13[[#This Row],[OEE_%]]&lt;0),"Error","OK")</f>
        <v>OK</v>
      </c>
    </row>
    <row r="994" spans="1:25" x14ac:dyDescent="0.2">
      <c r="A994" t="s">
        <v>1167</v>
      </c>
      <c r="B994" t="s">
        <v>1168</v>
      </c>
      <c r="C994" s="2">
        <v>46294</v>
      </c>
      <c r="D994" t="s">
        <v>53</v>
      </c>
      <c r="E994" t="s">
        <v>28</v>
      </c>
      <c r="F994" t="s">
        <v>54</v>
      </c>
      <c r="G994" t="s">
        <v>75</v>
      </c>
      <c r="H994">
        <v>574</v>
      </c>
      <c r="I994">
        <v>572</v>
      </c>
      <c r="J994">
        <v>2</v>
      </c>
      <c r="K994">
        <v>18</v>
      </c>
      <c r="L994">
        <v>18.38</v>
      </c>
      <c r="M994">
        <v>175.86</v>
      </c>
      <c r="N994">
        <f>_xlfn.XLOOKUP(Table13[[#This Row],[Production_Order_ID]],[1]Sheet1!$A$2:$A$391,[1]Sheet1!$F$2:$F$391,"No Match")</f>
        <v>420</v>
      </c>
      <c r="O994" s="3">
        <f>Table13[[#This Row],[Good_Qty]]/Table13[[#This Row],[Planned_Production]]</f>
        <v>1.361904761904762</v>
      </c>
      <c r="P994" t="str">
        <f>IF(Table13[[#This Row],[Good_Qty]]&gt;=Table13[[#This Row],[Planned_Production]],"Met","Not Met")</f>
        <v>Met</v>
      </c>
      <c r="Q994">
        <f>Table13[[#This Row],[Good_Qty]]-Table13[[#This Row],[Planned_Production]]</f>
        <v>152</v>
      </c>
      <c r="R994" s="3">
        <f>IF(Table13[[#This Row],[Actual_Qty]]=0,0,Table13[[#This Row],[Reject_Qty]]/Table13[[#This Row],[Actual_Qty]])</f>
        <v>3.4843205574912892E-3</v>
      </c>
      <c r="S994">
        <v>441.24</v>
      </c>
      <c r="T994">
        <f>(Table13[[#This Row],[Ideal_Cycle_Time_sec]]*Table13[[#This Row],[Actual_Qty]])/(Table13[[#This Row],[Operational_Time_min]]*60)</f>
        <v>0.39026380201251015</v>
      </c>
      <c r="U994">
        <f>Table13[[#This Row],[Good_Qty]]/Table13[[#This Row],[Actual_Qty]]</f>
        <v>0.99651567944250874</v>
      </c>
      <c r="V994" t="str">
        <f>IF(OR(Table13[[#This Row],[Performance_%]]&gt;=1,Table13[[#This Row],[Performance_%]]&lt;=0),"Error","OK")</f>
        <v>OK</v>
      </c>
      <c r="W994" t="str">
        <f>IF(OR(Table13[[#This Row],[Quality_%]]&gt;=1,Table13[[#This Row],[Quality_%]]&lt;=0),"Error","OK")</f>
        <v>OK</v>
      </c>
      <c r="X994">
        <f>Table13[[#This Row],[Performance_%]]*Table13[[#This Row],[Quality_%]]*[2]Availability_KPI!K994</f>
        <v>0.38133333333333336</v>
      </c>
      <c r="Y994" t="str">
        <f>IF(OR(Table13[[#This Row],[OEE_%]]&gt;1,Table13[[#This Row],[OEE_%]]&lt;0),"Error","OK")</f>
        <v>OK</v>
      </c>
    </row>
    <row r="995" spans="1:25" x14ac:dyDescent="0.2">
      <c r="A995" t="s">
        <v>1169</v>
      </c>
      <c r="B995" t="s">
        <v>1168</v>
      </c>
      <c r="C995" s="2">
        <v>46294</v>
      </c>
      <c r="D995" t="s">
        <v>53</v>
      </c>
      <c r="E995" t="s">
        <v>32</v>
      </c>
      <c r="F995" t="s">
        <v>54</v>
      </c>
      <c r="G995" t="s">
        <v>57</v>
      </c>
      <c r="H995">
        <v>577</v>
      </c>
      <c r="I995">
        <v>573</v>
      </c>
      <c r="J995">
        <v>4</v>
      </c>
      <c r="K995">
        <v>20</v>
      </c>
      <c r="L995">
        <v>21.61</v>
      </c>
      <c r="M995">
        <v>207.81</v>
      </c>
      <c r="N995">
        <f>_xlfn.XLOOKUP(Table13[[#This Row],[Production_Order_ID]],[1]Sheet1!$A$2:$A$391,[1]Sheet1!$F$2:$F$391,"No Match")</f>
        <v>420</v>
      </c>
      <c r="O995" s="3">
        <f>Table13[[#This Row],[Good_Qty]]/Table13[[#This Row],[Planned_Production]]</f>
        <v>1.3642857142857143</v>
      </c>
      <c r="P995" t="str">
        <f>IF(Table13[[#This Row],[Good_Qty]]&gt;=Table13[[#This Row],[Planned_Production]],"Met","Not Met")</f>
        <v>Met</v>
      </c>
      <c r="Q995">
        <f>Table13[[#This Row],[Good_Qty]]-Table13[[#This Row],[Planned_Production]]</f>
        <v>153</v>
      </c>
      <c r="R995" s="3">
        <f>IF(Table13[[#This Row],[Actual_Qty]]=0,0,Table13[[#This Row],[Reject_Qty]]/Table13[[#This Row],[Actual_Qty]])</f>
        <v>6.9324090121317154E-3</v>
      </c>
      <c r="S995">
        <v>437.49</v>
      </c>
      <c r="T995">
        <f>(Table13[[#This Row],[Ideal_Cycle_Time_sec]]*Table13[[#This Row],[Actual_Qty]])/(Table13[[#This Row],[Operational_Time_min]]*60)</f>
        <v>0.43962909628410551</v>
      </c>
      <c r="U995">
        <f>Table13[[#This Row],[Good_Qty]]/Table13[[#This Row],[Actual_Qty]]</f>
        <v>0.99306759098786823</v>
      </c>
      <c r="V995" t="str">
        <f>IF(OR(Table13[[#This Row],[Performance_%]]&gt;=1,Table13[[#This Row],[Performance_%]]&lt;=0),"Error","OK")</f>
        <v>OK</v>
      </c>
      <c r="W995" t="str">
        <f>IF(OR(Table13[[#This Row],[Quality_%]]&gt;=1,Table13[[#This Row],[Quality_%]]&lt;=0),"Error","OK")</f>
        <v>OK</v>
      </c>
      <c r="X995">
        <f>Table13[[#This Row],[Performance_%]]*Table13[[#This Row],[Quality_%]]*[2]Availability_KPI!K995</f>
        <v>0.4244444444444444</v>
      </c>
      <c r="Y995" t="str">
        <f>IF(OR(Table13[[#This Row],[OEE_%]]&gt;1,Table13[[#This Row],[OEE_%]]&lt;0),"Error","OK")</f>
        <v>OK</v>
      </c>
    </row>
    <row r="996" spans="1:25" x14ac:dyDescent="0.2">
      <c r="A996" t="s">
        <v>1170</v>
      </c>
      <c r="B996" t="s">
        <v>1168</v>
      </c>
      <c r="C996" s="2">
        <v>46294</v>
      </c>
      <c r="D996" t="s">
        <v>53</v>
      </c>
      <c r="E996" t="s">
        <v>35</v>
      </c>
      <c r="F996" t="s">
        <v>54</v>
      </c>
      <c r="G996" t="s">
        <v>55</v>
      </c>
      <c r="H996">
        <v>571</v>
      </c>
      <c r="I996">
        <v>567</v>
      </c>
      <c r="J996">
        <v>4</v>
      </c>
      <c r="K996">
        <v>22</v>
      </c>
      <c r="L996">
        <v>24.16</v>
      </c>
      <c r="M996">
        <v>229.96</v>
      </c>
      <c r="N996">
        <f>_xlfn.XLOOKUP(Table13[[#This Row],[Production_Order_ID]],[1]Sheet1!$A$2:$A$391,[1]Sheet1!$F$2:$F$391,"No Match")</f>
        <v>420</v>
      </c>
      <c r="O996" s="3">
        <f>Table13[[#This Row],[Good_Qty]]/Table13[[#This Row],[Planned_Production]]</f>
        <v>1.35</v>
      </c>
      <c r="P996" t="str">
        <f>IF(Table13[[#This Row],[Good_Qty]]&gt;=Table13[[#This Row],[Planned_Production]],"Met","Not Met")</f>
        <v>Met</v>
      </c>
      <c r="Q996">
        <f>Table13[[#This Row],[Good_Qty]]-Table13[[#This Row],[Planned_Production]]</f>
        <v>147</v>
      </c>
      <c r="R996" s="3">
        <f>IF(Table13[[#This Row],[Actual_Qty]]=0,0,Table13[[#This Row],[Reject_Qty]]/Table13[[#This Row],[Actual_Qty]])</f>
        <v>7.0052539404553416E-3</v>
      </c>
      <c r="S996">
        <v>435.97</v>
      </c>
      <c r="T996">
        <f>(Table13[[#This Row],[Ideal_Cycle_Time_sec]]*Table13[[#This Row],[Actual_Qty]])/(Table13[[#This Row],[Operational_Time_min]]*60)</f>
        <v>0.48023182023227895</v>
      </c>
      <c r="U996">
        <f>Table13[[#This Row],[Good_Qty]]/Table13[[#This Row],[Actual_Qty]]</f>
        <v>0.99299474605954463</v>
      </c>
      <c r="V996" t="str">
        <f>IF(OR(Table13[[#This Row],[Performance_%]]&gt;=1,Table13[[#This Row],[Performance_%]]&lt;=0),"Error","OK")</f>
        <v>OK</v>
      </c>
      <c r="W996" t="str">
        <f>IF(OR(Table13[[#This Row],[Quality_%]]&gt;=1,Table13[[#This Row],[Quality_%]]&lt;=0),"Error","OK")</f>
        <v>OK</v>
      </c>
      <c r="X996">
        <f>Table13[[#This Row],[Performance_%]]*Table13[[#This Row],[Quality_%]]*[2]Availability_KPI!K996</f>
        <v>0.46199999999999997</v>
      </c>
      <c r="Y996" t="str">
        <f>IF(OR(Table13[[#This Row],[OEE_%]]&gt;1,Table13[[#This Row],[OEE_%]]&lt;0),"Error","OK")</f>
        <v>OK</v>
      </c>
    </row>
    <row r="997" spans="1:25" x14ac:dyDescent="0.2">
      <c r="A997" t="s">
        <v>1171</v>
      </c>
      <c r="B997" t="s">
        <v>1168</v>
      </c>
      <c r="C997" s="2">
        <v>46294</v>
      </c>
      <c r="D997" t="s">
        <v>53</v>
      </c>
      <c r="E997" t="s">
        <v>38</v>
      </c>
      <c r="F997" t="s">
        <v>54</v>
      </c>
      <c r="G997" t="s">
        <v>30</v>
      </c>
      <c r="H997">
        <v>585</v>
      </c>
      <c r="I997">
        <v>584</v>
      </c>
      <c r="J997">
        <v>1</v>
      </c>
      <c r="K997">
        <v>20</v>
      </c>
      <c r="L997">
        <v>20.78</v>
      </c>
      <c r="M997">
        <v>202.57</v>
      </c>
      <c r="N997">
        <f>_xlfn.XLOOKUP(Table13[[#This Row],[Production_Order_ID]],[1]Sheet1!$A$2:$A$391,[1]Sheet1!$F$2:$F$391,"No Match")</f>
        <v>420</v>
      </c>
      <c r="O997" s="3">
        <f>Table13[[#This Row],[Good_Qty]]/Table13[[#This Row],[Planned_Production]]</f>
        <v>1.3904761904761904</v>
      </c>
      <c r="P997" t="str">
        <f>IF(Table13[[#This Row],[Good_Qty]]&gt;=Table13[[#This Row],[Planned_Production]],"Met","Not Met")</f>
        <v>Met</v>
      </c>
      <c r="Q997">
        <f>Table13[[#This Row],[Good_Qty]]-Table13[[#This Row],[Planned_Production]]</f>
        <v>164</v>
      </c>
      <c r="R997" s="3">
        <f>IF(Table13[[#This Row],[Actual_Qty]]=0,0,Table13[[#This Row],[Reject_Qty]]/Table13[[#This Row],[Actual_Qty]])</f>
        <v>1.7094017094017094E-3</v>
      </c>
      <c r="S997">
        <v>438.47</v>
      </c>
      <c r="T997">
        <f>(Table13[[#This Row],[Ideal_Cycle_Time_sec]]*Table13[[#This Row],[Actual_Qty]])/(Table13[[#This Row],[Operational_Time_min]]*60)</f>
        <v>0.44472825963007728</v>
      </c>
      <c r="U997">
        <f>Table13[[#This Row],[Good_Qty]]/Table13[[#This Row],[Actual_Qty]]</f>
        <v>0.9982905982905983</v>
      </c>
      <c r="V997" t="str">
        <f>IF(OR(Table13[[#This Row],[Performance_%]]&gt;=1,Table13[[#This Row],[Performance_%]]&lt;=0),"Error","OK")</f>
        <v>OK</v>
      </c>
      <c r="W997" t="str">
        <f>IF(OR(Table13[[#This Row],[Quality_%]]&gt;=1,Table13[[#This Row],[Quality_%]]&lt;=0),"Error","OK")</f>
        <v>OK</v>
      </c>
      <c r="X997">
        <f>Table13[[#This Row],[Performance_%]]*Table13[[#This Row],[Quality_%]]*[2]Availability_KPI!K997</f>
        <v>0.43259259259259258</v>
      </c>
      <c r="Y997" t="str">
        <f>IF(OR(Table13[[#This Row],[OEE_%]]&gt;1,Table13[[#This Row],[OEE_%]]&lt;0),"Error","OK")</f>
        <v>OK</v>
      </c>
    </row>
    <row r="998" spans="1:25" x14ac:dyDescent="0.2">
      <c r="A998" t="s">
        <v>1172</v>
      </c>
      <c r="B998" t="s">
        <v>1168</v>
      </c>
      <c r="C998" s="2">
        <v>46294</v>
      </c>
      <c r="D998" t="s">
        <v>53</v>
      </c>
      <c r="E998" t="s">
        <v>41</v>
      </c>
      <c r="F998" t="s">
        <v>54</v>
      </c>
      <c r="G998" t="s">
        <v>57</v>
      </c>
      <c r="H998">
        <v>576</v>
      </c>
      <c r="I998">
        <v>573</v>
      </c>
      <c r="J998">
        <v>3</v>
      </c>
      <c r="K998">
        <v>18</v>
      </c>
      <c r="L998">
        <v>19.7</v>
      </c>
      <c r="M998">
        <v>189.08</v>
      </c>
      <c r="N998">
        <f>_xlfn.XLOOKUP(Table13[[#This Row],[Production_Order_ID]],[1]Sheet1!$A$2:$A$391,[1]Sheet1!$F$2:$F$391,"No Match")</f>
        <v>420</v>
      </c>
      <c r="O998" s="3">
        <f>Table13[[#This Row],[Good_Qty]]/Table13[[#This Row],[Planned_Production]]</f>
        <v>1.3642857142857143</v>
      </c>
      <c r="P998" t="str">
        <f>IF(Table13[[#This Row],[Good_Qty]]&gt;=Table13[[#This Row],[Planned_Production]],"Met","Not Met")</f>
        <v>Met</v>
      </c>
      <c r="Q998">
        <f>Table13[[#This Row],[Good_Qty]]-Table13[[#This Row],[Planned_Production]]</f>
        <v>153</v>
      </c>
      <c r="R998" s="3">
        <f>IF(Table13[[#This Row],[Actual_Qty]]=0,0,Table13[[#This Row],[Reject_Qty]]/Table13[[#This Row],[Actual_Qty]])</f>
        <v>5.208333333333333E-3</v>
      </c>
      <c r="S998">
        <v>439.69</v>
      </c>
      <c r="T998">
        <f>(Table13[[#This Row],[Ideal_Cycle_Time_sec]]*Table13[[#This Row],[Actual_Qty]])/(Table13[[#This Row],[Operational_Time_min]]*60)</f>
        <v>0.39300416202324362</v>
      </c>
      <c r="U998">
        <f>Table13[[#This Row],[Good_Qty]]/Table13[[#This Row],[Actual_Qty]]</f>
        <v>0.99479166666666663</v>
      </c>
      <c r="V998" t="str">
        <f>IF(OR(Table13[[#This Row],[Performance_%]]&gt;=1,Table13[[#This Row],[Performance_%]]&lt;=0),"Error","OK")</f>
        <v>OK</v>
      </c>
      <c r="W998" t="str">
        <f>IF(OR(Table13[[#This Row],[Quality_%]]&gt;=1,Table13[[#This Row],[Quality_%]]&lt;=0),"Error","OK")</f>
        <v>OK</v>
      </c>
      <c r="X998">
        <f>Table13[[#This Row],[Performance_%]]*Table13[[#This Row],[Quality_%]]*[2]Availability_KPI!K998</f>
        <v>0.38199999999999995</v>
      </c>
      <c r="Y998" t="str">
        <f>IF(OR(Table13[[#This Row],[OEE_%]]&gt;1,Table13[[#This Row],[OEE_%]]&lt;0),"Error","OK")</f>
        <v>OK</v>
      </c>
    </row>
    <row r="999" spans="1:25" x14ac:dyDescent="0.2">
      <c r="A999" t="s">
        <v>1173</v>
      </c>
      <c r="B999" t="s">
        <v>1168</v>
      </c>
      <c r="C999" s="2">
        <v>46294</v>
      </c>
      <c r="D999" t="s">
        <v>53</v>
      </c>
      <c r="E999" t="s">
        <v>43</v>
      </c>
      <c r="F999" t="s">
        <v>54</v>
      </c>
      <c r="G999" t="s">
        <v>57</v>
      </c>
      <c r="H999">
        <v>582</v>
      </c>
      <c r="I999">
        <v>572</v>
      </c>
      <c r="J999">
        <v>10</v>
      </c>
      <c r="K999">
        <v>32</v>
      </c>
      <c r="L999">
        <v>33.74</v>
      </c>
      <c r="M999">
        <v>327.27999999999997</v>
      </c>
      <c r="N999">
        <f>_xlfn.XLOOKUP(Table13[[#This Row],[Production_Order_ID]],[1]Sheet1!$A$2:$A$391,[1]Sheet1!$F$2:$F$391,"No Match")</f>
        <v>420</v>
      </c>
      <c r="O999" s="3">
        <f>Table13[[#This Row],[Good_Qty]]/Table13[[#This Row],[Planned_Production]]</f>
        <v>1.361904761904762</v>
      </c>
      <c r="P999" t="str">
        <f>IF(Table13[[#This Row],[Good_Qty]]&gt;=Table13[[#This Row],[Planned_Production]],"Met","Not Met")</f>
        <v>Met</v>
      </c>
      <c r="Q999">
        <f>Table13[[#This Row],[Good_Qty]]-Table13[[#This Row],[Planned_Production]]</f>
        <v>152</v>
      </c>
      <c r="R999" s="3">
        <f>IF(Table13[[#This Row],[Actual_Qty]]=0,0,Table13[[#This Row],[Reject_Qty]]/Table13[[#This Row],[Actual_Qty]])</f>
        <v>1.7182130584192441E-2</v>
      </c>
      <c r="S999">
        <v>421.72</v>
      </c>
      <c r="T999">
        <f>(Table13[[#This Row],[Ideal_Cycle_Time_sec]]*Table13[[#This Row],[Actual_Qty]])/(Table13[[#This Row],[Operational_Time_min]]*60)</f>
        <v>0.73603338708147581</v>
      </c>
      <c r="U999">
        <f>Table13[[#This Row],[Good_Qty]]/Table13[[#This Row],[Actual_Qty]]</f>
        <v>0.98281786941580751</v>
      </c>
      <c r="V999" t="str">
        <f>IF(OR(Table13[[#This Row],[Performance_%]]&gt;=1,Table13[[#This Row],[Performance_%]]&lt;=0),"Error","OK")</f>
        <v>OK</v>
      </c>
      <c r="W999" t="str">
        <f>IF(OR(Table13[[#This Row],[Quality_%]]&gt;=1,Table13[[#This Row],[Quality_%]]&lt;=0),"Error","OK")</f>
        <v>OK</v>
      </c>
      <c r="X999">
        <f>Table13[[#This Row],[Performance_%]]*Table13[[#This Row],[Quality_%]]*[2]Availability_KPI!K999</f>
        <v>0.67792592592592593</v>
      </c>
      <c r="Y999" t="str">
        <f>IF(OR(Table13[[#This Row],[OEE_%]]&gt;1,Table13[[#This Row],[OEE_%]]&lt;0),"Error","OK")</f>
        <v>OK</v>
      </c>
    </row>
    <row r="1000" spans="1:25" x14ac:dyDescent="0.2">
      <c r="A1000" t="s">
        <v>1174</v>
      </c>
      <c r="B1000" t="s">
        <v>1168</v>
      </c>
      <c r="C1000" s="2">
        <v>46294</v>
      </c>
      <c r="D1000" t="s">
        <v>53</v>
      </c>
      <c r="E1000" t="s">
        <v>46</v>
      </c>
      <c r="F1000" t="s">
        <v>54</v>
      </c>
      <c r="G1000" t="s">
        <v>61</v>
      </c>
      <c r="H1000">
        <v>572</v>
      </c>
      <c r="I1000">
        <v>566</v>
      </c>
      <c r="J1000">
        <v>6</v>
      </c>
      <c r="K1000">
        <v>25</v>
      </c>
      <c r="L1000">
        <v>26.32</v>
      </c>
      <c r="M1000">
        <v>250.94</v>
      </c>
      <c r="N1000">
        <f>_xlfn.XLOOKUP(Table13[[#This Row],[Production_Order_ID]],[1]Sheet1!$A$2:$A$391,[1]Sheet1!$F$2:$F$391,"No Match")</f>
        <v>420</v>
      </c>
      <c r="O1000" s="3">
        <f>Table13[[#This Row],[Good_Qty]]/Table13[[#This Row],[Planned_Production]]</f>
        <v>1.3476190476190477</v>
      </c>
      <c r="P1000" t="str">
        <f>IF(Table13[[#This Row],[Good_Qty]]&gt;=Table13[[#This Row],[Planned_Production]],"Met","Not Met")</f>
        <v>Met</v>
      </c>
      <c r="Q1000">
        <f>Table13[[#This Row],[Good_Qty]]-Table13[[#This Row],[Planned_Production]]</f>
        <v>146</v>
      </c>
      <c r="R1000" s="3">
        <f>IF(Table13[[#This Row],[Actual_Qty]]=0,0,Table13[[#This Row],[Reject_Qty]]/Table13[[#This Row],[Actual_Qty]])</f>
        <v>1.048951048951049E-2</v>
      </c>
      <c r="S1000">
        <v>434</v>
      </c>
      <c r="T1000">
        <f>(Table13[[#This Row],[Ideal_Cycle_Time_sec]]*Table13[[#This Row],[Actual_Qty]])/(Table13[[#This Row],[Operational_Time_min]]*60)</f>
        <v>0.54915514592933945</v>
      </c>
      <c r="U1000">
        <f>Table13[[#This Row],[Good_Qty]]/Table13[[#This Row],[Actual_Qty]]</f>
        <v>0.98951048951048948</v>
      </c>
      <c r="V1000" t="str">
        <f>IF(OR(Table13[[#This Row],[Performance_%]]&gt;=1,Table13[[#This Row],[Performance_%]]&lt;=0),"Error","OK")</f>
        <v>OK</v>
      </c>
      <c r="W1000" t="str">
        <f>IF(OR(Table13[[#This Row],[Quality_%]]&gt;=1,Table13[[#This Row],[Quality_%]]&lt;=0),"Error","OK")</f>
        <v>OK</v>
      </c>
      <c r="X1000">
        <f>Table13[[#This Row],[Performance_%]]*Table13[[#This Row],[Quality_%]]*[2]Availability_KPI!K1000</f>
        <v>0.52407407407407403</v>
      </c>
      <c r="Y1000" t="str">
        <f>IF(OR(Table13[[#This Row],[OEE_%]]&gt;1,Table13[[#This Row],[OEE_%]]&lt;0),"Error","OK")</f>
        <v>OK</v>
      </c>
    </row>
    <row r="1001" spans="1:25" x14ac:dyDescent="0.2">
      <c r="A1001" t="s">
        <v>1175</v>
      </c>
      <c r="B1001" t="s">
        <v>1168</v>
      </c>
      <c r="C1001" s="2">
        <v>46294</v>
      </c>
      <c r="D1001" t="s">
        <v>53</v>
      </c>
      <c r="E1001" t="s">
        <v>49</v>
      </c>
      <c r="F1001" t="s">
        <v>54</v>
      </c>
      <c r="G1001" t="s">
        <v>47</v>
      </c>
      <c r="H1001">
        <v>574</v>
      </c>
      <c r="I1001">
        <v>570</v>
      </c>
      <c r="J1001">
        <v>4</v>
      </c>
      <c r="K1001">
        <v>20</v>
      </c>
      <c r="L1001">
        <v>22.33</v>
      </c>
      <c r="M1001">
        <v>213.62</v>
      </c>
      <c r="N1001">
        <f>_xlfn.XLOOKUP(Table13[[#This Row],[Production_Order_ID]],[1]Sheet1!$A$2:$A$391,[1]Sheet1!$F$2:$F$391,"No Match")</f>
        <v>420</v>
      </c>
      <c r="O1001" s="3">
        <f>Table13[[#This Row],[Good_Qty]]/Table13[[#This Row],[Planned_Production]]</f>
        <v>1.3571428571428572</v>
      </c>
      <c r="P1001" t="str">
        <f>IF(Table13[[#This Row],[Good_Qty]]&gt;=Table13[[#This Row],[Planned_Production]],"Met","Not Met")</f>
        <v>Met</v>
      </c>
      <c r="Q1001">
        <f>Table13[[#This Row],[Good_Qty]]-Table13[[#This Row],[Planned_Production]]</f>
        <v>150</v>
      </c>
      <c r="R1001" s="3">
        <f>IF(Table13[[#This Row],[Actual_Qty]]=0,0,Table13[[#This Row],[Reject_Qty]]/Table13[[#This Row],[Actual_Qty]])</f>
        <v>6.9686411149825784E-3</v>
      </c>
      <c r="S1001">
        <v>443.01</v>
      </c>
      <c r="T1001">
        <f>(Table13[[#This Row],[Ideal_Cycle_Time_sec]]*Table13[[#This Row],[Actual_Qty]])/(Table13[[#This Row],[Operational_Time_min]]*60)</f>
        <v>0.43189393768387474</v>
      </c>
      <c r="U1001">
        <f>Table13[[#This Row],[Good_Qty]]/Table13[[#This Row],[Actual_Qty]]</f>
        <v>0.99303135888501737</v>
      </c>
      <c r="V1001" t="str">
        <f>IF(OR(Table13[[#This Row],[Performance_%]]&gt;=1,Table13[[#This Row],[Performance_%]]&lt;=0),"Error","OK")</f>
        <v>OK</v>
      </c>
      <c r="W1001" t="str">
        <f>IF(OR(Table13[[#This Row],[Quality_%]]&gt;=1,Table13[[#This Row],[Quality_%]]&lt;=0),"Error","OK")</f>
        <v>OK</v>
      </c>
      <c r="X1001">
        <f>Table13[[#This Row],[Performance_%]]*Table13[[#This Row],[Quality_%]]*[2]Availability_KPI!K1001</f>
        <v>0.42222222222222222</v>
      </c>
      <c r="Y1001" t="str">
        <f>IF(OR(Table13[[#This Row],[OEE_%]]&gt;1,Table13[[#This Row],[OEE_%]]&lt;0),"Error","OK")</f>
        <v>OK</v>
      </c>
    </row>
    <row r="1002" spans="1:25" x14ac:dyDescent="0.2">
      <c r="A1002" t="s">
        <v>1176</v>
      </c>
      <c r="B1002" t="s">
        <v>1177</v>
      </c>
      <c r="C1002" s="2">
        <v>46294</v>
      </c>
      <c r="D1002" t="s">
        <v>67</v>
      </c>
      <c r="E1002" t="s">
        <v>28</v>
      </c>
      <c r="F1002" t="s">
        <v>54</v>
      </c>
      <c r="G1002" t="s">
        <v>33</v>
      </c>
      <c r="H1002">
        <v>611</v>
      </c>
      <c r="I1002">
        <v>610</v>
      </c>
      <c r="J1002">
        <v>1</v>
      </c>
      <c r="K1002">
        <v>18</v>
      </c>
      <c r="L1002">
        <v>18.260000000000002</v>
      </c>
      <c r="M1002">
        <v>185.92</v>
      </c>
      <c r="N1002">
        <f>_xlfn.XLOOKUP(Table13[[#This Row],[Production_Order_ID]],[1]Sheet1!$A$2:$A$391,[1]Sheet1!$F$2:$F$391,"No Match")</f>
        <v>680</v>
      </c>
      <c r="O1002" s="3">
        <f>Table13[[#This Row],[Good_Qty]]/Table13[[#This Row],[Planned_Production]]</f>
        <v>0.8970588235294118</v>
      </c>
      <c r="P1002" t="str">
        <f>IF(Table13[[#This Row],[Good_Qty]]&gt;=Table13[[#This Row],[Planned_Production]],"Met","Not Met")</f>
        <v>Not Met</v>
      </c>
      <c r="Q1002">
        <f>Table13[[#This Row],[Good_Qty]]-Table13[[#This Row],[Planned_Production]]</f>
        <v>-70</v>
      </c>
      <c r="R1002" s="3">
        <f>IF(Table13[[#This Row],[Actual_Qty]]=0,0,Table13[[#This Row],[Reject_Qty]]/Table13[[#This Row],[Actual_Qty]])</f>
        <v>1.6366612111292963E-3</v>
      </c>
      <c r="S1002">
        <v>442.66</v>
      </c>
      <c r="T1002">
        <f>(Table13[[#This Row],[Ideal_Cycle_Time_sec]]*Table13[[#This Row],[Actual_Qty]])/(Table13[[#This Row],[Operational_Time_min]]*60)</f>
        <v>0.41408756155966203</v>
      </c>
      <c r="U1002">
        <f>Table13[[#This Row],[Good_Qty]]/Table13[[#This Row],[Actual_Qty]]</f>
        <v>0.99836333878887074</v>
      </c>
      <c r="V1002" t="str">
        <f>IF(OR(Table13[[#This Row],[Performance_%]]&gt;=1,Table13[[#This Row],[Performance_%]]&lt;=0),"Error","OK")</f>
        <v>OK</v>
      </c>
      <c r="W1002" t="str">
        <f>IF(OR(Table13[[#This Row],[Quality_%]]&gt;=1,Table13[[#This Row],[Quality_%]]&lt;=0),"Error","OK")</f>
        <v>OK</v>
      </c>
      <c r="X1002">
        <f>Table13[[#This Row],[Performance_%]]*Table13[[#This Row],[Quality_%]]*[2]Availability_KPI!K1002</f>
        <v>0.40666666666666668</v>
      </c>
      <c r="Y1002" t="str">
        <f>IF(OR(Table13[[#This Row],[OEE_%]]&gt;1,Table13[[#This Row],[OEE_%]]&lt;0),"Error","OK")</f>
        <v>OK</v>
      </c>
    </row>
    <row r="1003" spans="1:25" x14ac:dyDescent="0.2">
      <c r="A1003" t="s">
        <v>1178</v>
      </c>
      <c r="B1003" t="s">
        <v>1177</v>
      </c>
      <c r="C1003" s="2">
        <v>46294</v>
      </c>
      <c r="D1003" t="s">
        <v>67</v>
      </c>
      <c r="E1003" t="s">
        <v>32</v>
      </c>
      <c r="F1003" t="s">
        <v>54</v>
      </c>
      <c r="G1003" t="s">
        <v>71</v>
      </c>
      <c r="H1003">
        <v>619</v>
      </c>
      <c r="I1003">
        <v>613</v>
      </c>
      <c r="J1003">
        <v>6</v>
      </c>
      <c r="K1003">
        <v>20</v>
      </c>
      <c r="L1003">
        <v>20.5</v>
      </c>
      <c r="M1003">
        <v>211.45</v>
      </c>
      <c r="N1003">
        <f>_xlfn.XLOOKUP(Table13[[#This Row],[Production_Order_ID]],[1]Sheet1!$A$2:$A$391,[1]Sheet1!$F$2:$F$391,"No Match")</f>
        <v>680</v>
      </c>
      <c r="O1003" s="3">
        <f>Table13[[#This Row],[Good_Qty]]/Table13[[#This Row],[Planned_Production]]</f>
        <v>0.90147058823529413</v>
      </c>
      <c r="P1003" t="str">
        <f>IF(Table13[[#This Row],[Good_Qty]]&gt;=Table13[[#This Row],[Planned_Production]],"Met","Not Met")</f>
        <v>Not Met</v>
      </c>
      <c r="Q1003">
        <f>Table13[[#This Row],[Good_Qty]]-Table13[[#This Row],[Planned_Production]]</f>
        <v>-67</v>
      </c>
      <c r="R1003" s="3">
        <f>IF(Table13[[#This Row],[Actual_Qty]]=0,0,Table13[[#This Row],[Reject_Qty]]/Table13[[#This Row],[Actual_Qty]])</f>
        <v>9.6930533117932146E-3</v>
      </c>
      <c r="S1003">
        <v>441.24</v>
      </c>
      <c r="T1003">
        <f>(Table13[[#This Row],[Ideal_Cycle_Time_sec]]*Table13[[#This Row],[Actual_Qty]])/(Table13[[#This Row],[Operational_Time_min]]*60)</f>
        <v>0.46762155138548933</v>
      </c>
      <c r="U1003">
        <f>Table13[[#This Row],[Good_Qty]]/Table13[[#This Row],[Actual_Qty]]</f>
        <v>0.99030694668820674</v>
      </c>
      <c r="V1003" t="str">
        <f>IF(OR(Table13[[#This Row],[Performance_%]]&gt;=1,Table13[[#This Row],[Performance_%]]&lt;=0),"Error","OK")</f>
        <v>OK</v>
      </c>
      <c r="W1003" t="str">
        <f>IF(OR(Table13[[#This Row],[Quality_%]]&gt;=1,Table13[[#This Row],[Quality_%]]&lt;=0),"Error","OK")</f>
        <v>OK</v>
      </c>
      <c r="X1003">
        <f>Table13[[#This Row],[Performance_%]]*Table13[[#This Row],[Quality_%]]*[2]Availability_KPI!K1003</f>
        <v>0.45407407407407402</v>
      </c>
      <c r="Y1003" t="str">
        <f>IF(OR(Table13[[#This Row],[OEE_%]]&gt;1,Table13[[#This Row],[OEE_%]]&lt;0),"Error","OK")</f>
        <v>OK</v>
      </c>
    </row>
    <row r="1004" spans="1:25" x14ac:dyDescent="0.2">
      <c r="A1004" t="s">
        <v>1179</v>
      </c>
      <c r="B1004" t="s">
        <v>1177</v>
      </c>
      <c r="C1004" s="2">
        <v>46294</v>
      </c>
      <c r="D1004" t="s">
        <v>67</v>
      </c>
      <c r="E1004" t="s">
        <v>35</v>
      </c>
      <c r="F1004" t="s">
        <v>54</v>
      </c>
      <c r="G1004" t="s">
        <v>55</v>
      </c>
      <c r="H1004">
        <v>626</v>
      </c>
      <c r="I1004">
        <v>622</v>
      </c>
      <c r="J1004">
        <v>4</v>
      </c>
      <c r="K1004">
        <v>22</v>
      </c>
      <c r="L1004">
        <v>23.41</v>
      </c>
      <c r="M1004">
        <v>244.23</v>
      </c>
      <c r="N1004">
        <f>_xlfn.XLOOKUP(Table13[[#This Row],[Production_Order_ID]],[1]Sheet1!$A$2:$A$391,[1]Sheet1!$F$2:$F$391,"No Match")</f>
        <v>680</v>
      </c>
      <c r="O1004" s="3">
        <f>Table13[[#This Row],[Good_Qty]]/Table13[[#This Row],[Planned_Production]]</f>
        <v>0.91470588235294115</v>
      </c>
      <c r="P1004" t="str">
        <f>IF(Table13[[#This Row],[Good_Qty]]&gt;=Table13[[#This Row],[Planned_Production]],"Met","Not Met")</f>
        <v>Not Met</v>
      </c>
      <c r="Q1004">
        <f>Table13[[#This Row],[Good_Qty]]-Table13[[#This Row],[Planned_Production]]</f>
        <v>-58</v>
      </c>
      <c r="R1004" s="3">
        <f>IF(Table13[[#This Row],[Actual_Qty]]=0,0,Table13[[#This Row],[Reject_Qty]]/Table13[[#This Row],[Actual_Qty]])</f>
        <v>6.3897763578274758E-3</v>
      </c>
      <c r="S1004">
        <v>436.67</v>
      </c>
      <c r="T1004">
        <f>(Table13[[#This Row],[Ideal_Cycle_Time_sec]]*Table13[[#This Row],[Actual_Qty]])/(Table13[[#This Row],[Operational_Time_min]]*60)</f>
        <v>0.52564484240578313</v>
      </c>
      <c r="U1004">
        <f>Table13[[#This Row],[Good_Qty]]/Table13[[#This Row],[Actual_Qty]]</f>
        <v>0.99361022364217255</v>
      </c>
      <c r="V1004" t="str">
        <f>IF(OR(Table13[[#This Row],[Performance_%]]&gt;=1,Table13[[#This Row],[Performance_%]]&lt;=0),"Error","OK")</f>
        <v>OK</v>
      </c>
      <c r="W1004" t="str">
        <f>IF(OR(Table13[[#This Row],[Quality_%]]&gt;=1,Table13[[#This Row],[Quality_%]]&lt;=0),"Error","OK")</f>
        <v>OK</v>
      </c>
      <c r="X1004">
        <f>Table13[[#This Row],[Performance_%]]*Table13[[#This Row],[Quality_%]]*[2]Availability_KPI!K1004</f>
        <v>0.50681481481481483</v>
      </c>
      <c r="Y1004" t="str">
        <f>IF(OR(Table13[[#This Row],[OEE_%]]&gt;1,Table13[[#This Row],[OEE_%]]&lt;0),"Error","OK")</f>
        <v>OK</v>
      </c>
    </row>
    <row r="1005" spans="1:25" x14ac:dyDescent="0.2">
      <c r="A1005" t="s">
        <v>1180</v>
      </c>
      <c r="B1005" t="s">
        <v>1177</v>
      </c>
      <c r="C1005" s="2">
        <v>46294</v>
      </c>
      <c r="D1005" t="s">
        <v>67</v>
      </c>
      <c r="E1005" t="s">
        <v>38</v>
      </c>
      <c r="F1005" t="s">
        <v>54</v>
      </c>
      <c r="G1005" t="s">
        <v>71</v>
      </c>
      <c r="H1005">
        <v>622</v>
      </c>
      <c r="I1005">
        <v>619</v>
      </c>
      <c r="J1005">
        <v>3</v>
      </c>
      <c r="K1005">
        <v>20</v>
      </c>
      <c r="L1005">
        <v>20.75</v>
      </c>
      <c r="M1005">
        <v>215.1</v>
      </c>
      <c r="N1005">
        <f>_xlfn.XLOOKUP(Table13[[#This Row],[Production_Order_ID]],[1]Sheet1!$A$2:$A$391,[1]Sheet1!$F$2:$F$391,"No Match")</f>
        <v>680</v>
      </c>
      <c r="O1005" s="3">
        <f>Table13[[#This Row],[Good_Qty]]/Table13[[#This Row],[Planned_Production]]</f>
        <v>0.91029411764705881</v>
      </c>
      <c r="P1005" t="str">
        <f>IF(Table13[[#This Row],[Good_Qty]]&gt;=Table13[[#This Row],[Planned_Production]],"Met","Not Met")</f>
        <v>Not Met</v>
      </c>
      <c r="Q1005">
        <f>Table13[[#This Row],[Good_Qty]]-Table13[[#This Row],[Planned_Production]]</f>
        <v>-61</v>
      </c>
      <c r="R1005" s="3">
        <f>IF(Table13[[#This Row],[Actual_Qty]]=0,0,Table13[[#This Row],[Reject_Qty]]/Table13[[#This Row],[Actual_Qty]])</f>
        <v>4.8231511254019296E-3</v>
      </c>
      <c r="S1005">
        <v>437.14</v>
      </c>
      <c r="T1005">
        <f>(Table13[[#This Row],[Ideal_Cycle_Time_sec]]*Table13[[#This Row],[Actual_Qty]])/(Table13[[#This Row],[Operational_Time_min]]*60)</f>
        <v>0.47429503896539632</v>
      </c>
      <c r="U1005">
        <f>Table13[[#This Row],[Good_Qty]]/Table13[[#This Row],[Actual_Qty]]</f>
        <v>0.99517684887459812</v>
      </c>
      <c r="V1005" t="str">
        <f>IF(OR(Table13[[#This Row],[Performance_%]]&gt;=1,Table13[[#This Row],[Performance_%]]&lt;=0),"Error","OK")</f>
        <v>OK</v>
      </c>
      <c r="W1005" t="str">
        <f>IF(OR(Table13[[#This Row],[Quality_%]]&gt;=1,Table13[[#This Row],[Quality_%]]&lt;=0),"Error","OK")</f>
        <v>OK</v>
      </c>
      <c r="X1005">
        <f>Table13[[#This Row],[Performance_%]]*Table13[[#This Row],[Quality_%]]*[2]Availability_KPI!K1005</f>
        <v>0.4585185185185186</v>
      </c>
      <c r="Y1005" t="str">
        <f>IF(OR(Table13[[#This Row],[OEE_%]]&gt;1,Table13[[#This Row],[OEE_%]]&lt;0),"Error","OK")</f>
        <v>OK</v>
      </c>
    </row>
    <row r="1006" spans="1:25" x14ac:dyDescent="0.2">
      <c r="A1006" t="s">
        <v>1181</v>
      </c>
      <c r="B1006" t="s">
        <v>1177</v>
      </c>
      <c r="C1006" s="2">
        <v>46294</v>
      </c>
      <c r="D1006" t="s">
        <v>67</v>
      </c>
      <c r="E1006" t="s">
        <v>41</v>
      </c>
      <c r="F1006" t="s">
        <v>54</v>
      </c>
      <c r="G1006" t="s">
        <v>55</v>
      </c>
      <c r="H1006">
        <v>637</v>
      </c>
      <c r="I1006">
        <v>633</v>
      </c>
      <c r="J1006">
        <v>4</v>
      </c>
      <c r="K1006">
        <v>18</v>
      </c>
      <c r="L1006">
        <v>18.41</v>
      </c>
      <c r="M1006">
        <v>195.48</v>
      </c>
      <c r="N1006">
        <f>_xlfn.XLOOKUP(Table13[[#This Row],[Production_Order_ID]],[1]Sheet1!$A$2:$A$391,[1]Sheet1!$F$2:$F$391,"No Match")</f>
        <v>680</v>
      </c>
      <c r="O1006" s="3">
        <f>Table13[[#This Row],[Good_Qty]]/Table13[[#This Row],[Planned_Production]]</f>
        <v>0.93088235294117649</v>
      </c>
      <c r="P1006" t="str">
        <f>IF(Table13[[#This Row],[Good_Qty]]&gt;=Table13[[#This Row],[Planned_Production]],"Met","Not Met")</f>
        <v>Not Met</v>
      </c>
      <c r="Q1006">
        <f>Table13[[#This Row],[Good_Qty]]-Table13[[#This Row],[Planned_Production]]</f>
        <v>-47</v>
      </c>
      <c r="R1006" s="3">
        <f>IF(Table13[[#This Row],[Actual_Qty]]=0,0,Table13[[#This Row],[Reject_Qty]]/Table13[[#This Row],[Actual_Qty]])</f>
        <v>6.2794348508634227E-3</v>
      </c>
      <c r="S1006">
        <v>435.88</v>
      </c>
      <c r="T1006">
        <f>(Table13[[#This Row],[Ideal_Cycle_Time_sec]]*Table13[[#This Row],[Actual_Qty]])/(Table13[[#This Row],[Operational_Time_min]]*60)</f>
        <v>0.43842341928971279</v>
      </c>
      <c r="U1006">
        <f>Table13[[#This Row],[Good_Qty]]/Table13[[#This Row],[Actual_Qty]]</f>
        <v>0.99372056514913654</v>
      </c>
      <c r="V1006" t="str">
        <f>IF(OR(Table13[[#This Row],[Performance_%]]&gt;=1,Table13[[#This Row],[Performance_%]]&lt;=0),"Error","OK")</f>
        <v>OK</v>
      </c>
      <c r="W1006" t="str">
        <f>IF(OR(Table13[[#This Row],[Quality_%]]&gt;=1,Table13[[#This Row],[Quality_%]]&lt;=0),"Error","OK")</f>
        <v>OK</v>
      </c>
      <c r="X1006">
        <f>Table13[[#This Row],[Performance_%]]*Table13[[#This Row],[Quality_%]]*[2]Availability_KPI!K1006</f>
        <v>0.42199999999999999</v>
      </c>
      <c r="Y1006" t="str">
        <f>IF(OR(Table13[[#This Row],[OEE_%]]&gt;1,Table13[[#This Row],[OEE_%]]&lt;0),"Error","OK")</f>
        <v>OK</v>
      </c>
    </row>
    <row r="1007" spans="1:25" x14ac:dyDescent="0.2">
      <c r="A1007" t="s">
        <v>1182</v>
      </c>
      <c r="B1007" t="s">
        <v>1177</v>
      </c>
      <c r="C1007" s="2">
        <v>46294</v>
      </c>
      <c r="D1007" t="s">
        <v>67</v>
      </c>
      <c r="E1007" t="s">
        <v>43</v>
      </c>
      <c r="F1007" t="s">
        <v>54</v>
      </c>
      <c r="G1007" t="s">
        <v>50</v>
      </c>
      <c r="H1007">
        <v>623</v>
      </c>
      <c r="I1007">
        <v>613</v>
      </c>
      <c r="J1007">
        <v>10</v>
      </c>
      <c r="K1007">
        <v>32</v>
      </c>
      <c r="L1007">
        <v>34.270000000000003</v>
      </c>
      <c r="M1007">
        <v>355.87</v>
      </c>
      <c r="N1007">
        <f>_xlfn.XLOOKUP(Table13[[#This Row],[Production_Order_ID]],[1]Sheet1!$A$2:$A$391,[1]Sheet1!$F$2:$F$391,"No Match")</f>
        <v>680</v>
      </c>
      <c r="O1007" s="3">
        <f>Table13[[#This Row],[Good_Qty]]/Table13[[#This Row],[Planned_Production]]</f>
        <v>0.90147058823529413</v>
      </c>
      <c r="P1007" t="str">
        <f>IF(Table13[[#This Row],[Good_Qty]]&gt;=Table13[[#This Row],[Planned_Production]],"Met","Not Met")</f>
        <v>Not Met</v>
      </c>
      <c r="Q1007">
        <f>Table13[[#This Row],[Good_Qty]]-Table13[[#This Row],[Planned_Production]]</f>
        <v>-67</v>
      </c>
      <c r="R1007" s="3">
        <f>IF(Table13[[#This Row],[Actual_Qty]]=0,0,Table13[[#This Row],[Reject_Qty]]/Table13[[#This Row],[Actual_Qty]])</f>
        <v>1.6051364365971106E-2</v>
      </c>
      <c r="S1007">
        <v>421.3</v>
      </c>
      <c r="T1007">
        <f>(Table13[[#This Row],[Ideal_Cycle_Time_sec]]*Table13[[#This Row],[Actual_Qty]])/(Table13[[#This Row],[Operational_Time_min]]*60)</f>
        <v>0.78866998971437619</v>
      </c>
      <c r="U1007">
        <f>Table13[[#This Row],[Good_Qty]]/Table13[[#This Row],[Actual_Qty]]</f>
        <v>0.9839486356340289</v>
      </c>
      <c r="V1007" t="str">
        <f>IF(OR(Table13[[#This Row],[Performance_%]]&gt;=1,Table13[[#This Row],[Performance_%]]&lt;=0),"Error","OK")</f>
        <v>OK</v>
      </c>
      <c r="W1007" t="str">
        <f>IF(OR(Table13[[#This Row],[Quality_%]]&gt;=1,Table13[[#This Row],[Quality_%]]&lt;=0),"Error","OK")</f>
        <v>OK</v>
      </c>
      <c r="X1007">
        <f>Table13[[#This Row],[Performance_%]]*Table13[[#This Row],[Quality_%]]*[2]Availability_KPI!K1007</f>
        <v>0.72651851851851867</v>
      </c>
      <c r="Y1007" t="str">
        <f>IF(OR(Table13[[#This Row],[OEE_%]]&gt;1,Table13[[#This Row],[OEE_%]]&lt;0),"Error","OK")</f>
        <v>OK</v>
      </c>
    </row>
    <row r="1008" spans="1:25" x14ac:dyDescent="0.2">
      <c r="A1008" t="s">
        <v>1183</v>
      </c>
      <c r="B1008" t="s">
        <v>1177</v>
      </c>
      <c r="C1008" s="2">
        <v>46294</v>
      </c>
      <c r="D1008" t="s">
        <v>67</v>
      </c>
      <c r="E1008" t="s">
        <v>46</v>
      </c>
      <c r="F1008" t="s">
        <v>54</v>
      </c>
      <c r="G1008" t="s">
        <v>44</v>
      </c>
      <c r="H1008">
        <v>629</v>
      </c>
      <c r="I1008">
        <v>623</v>
      </c>
      <c r="J1008">
        <v>6</v>
      </c>
      <c r="K1008">
        <v>25</v>
      </c>
      <c r="L1008">
        <v>25.26</v>
      </c>
      <c r="M1008">
        <v>264.85000000000002</v>
      </c>
      <c r="N1008">
        <f>_xlfn.XLOOKUP(Table13[[#This Row],[Production_Order_ID]],[1]Sheet1!$A$2:$A$391,[1]Sheet1!$F$2:$F$391,"No Match")</f>
        <v>680</v>
      </c>
      <c r="O1008" s="3">
        <f>Table13[[#This Row],[Good_Qty]]/Table13[[#This Row],[Planned_Production]]</f>
        <v>0.91617647058823526</v>
      </c>
      <c r="P1008" t="str">
        <f>IF(Table13[[#This Row],[Good_Qty]]&gt;=Table13[[#This Row],[Planned_Production]],"Met","Not Met")</f>
        <v>Not Met</v>
      </c>
      <c r="Q1008">
        <f>Table13[[#This Row],[Good_Qty]]-Table13[[#This Row],[Planned_Production]]</f>
        <v>-57</v>
      </c>
      <c r="R1008" s="3">
        <f>IF(Table13[[#This Row],[Actual_Qty]]=0,0,Table13[[#This Row],[Reject_Qty]]/Table13[[#This Row],[Actual_Qty]])</f>
        <v>9.538950715421303E-3</v>
      </c>
      <c r="S1008">
        <v>434.42</v>
      </c>
      <c r="T1008">
        <f>(Table13[[#This Row],[Ideal_Cycle_Time_sec]]*Table13[[#This Row],[Actual_Qty]])/(Table13[[#This Row],[Operational_Time_min]]*60)</f>
        <v>0.60329481454199463</v>
      </c>
      <c r="U1008">
        <f>Table13[[#This Row],[Good_Qty]]/Table13[[#This Row],[Actual_Qty]]</f>
        <v>0.99046104928457868</v>
      </c>
      <c r="V1008" t="str">
        <f>IF(OR(Table13[[#This Row],[Performance_%]]&gt;=1,Table13[[#This Row],[Performance_%]]&lt;=0),"Error","OK")</f>
        <v>OK</v>
      </c>
      <c r="W1008" t="str">
        <f>IF(OR(Table13[[#This Row],[Quality_%]]&gt;=1,Table13[[#This Row],[Quality_%]]&lt;=0),"Error","OK")</f>
        <v>OK</v>
      </c>
      <c r="X1008">
        <f>Table13[[#This Row],[Performance_%]]*Table13[[#This Row],[Quality_%]]*[2]Availability_KPI!K1008</f>
        <v>0.57685185185185173</v>
      </c>
      <c r="Y1008" t="str">
        <f>IF(OR(Table13[[#This Row],[OEE_%]]&gt;1,Table13[[#This Row],[OEE_%]]&lt;0),"Error","OK")</f>
        <v>OK</v>
      </c>
    </row>
    <row r="1009" spans="1:25" x14ac:dyDescent="0.2">
      <c r="A1009" t="s">
        <v>1184</v>
      </c>
      <c r="B1009" t="s">
        <v>1177</v>
      </c>
      <c r="C1009" s="2">
        <v>46294</v>
      </c>
      <c r="D1009" t="s">
        <v>67</v>
      </c>
      <c r="E1009" t="s">
        <v>49</v>
      </c>
      <c r="F1009" t="s">
        <v>54</v>
      </c>
      <c r="G1009" t="s">
        <v>44</v>
      </c>
      <c r="H1009">
        <v>623</v>
      </c>
      <c r="I1009">
        <v>620</v>
      </c>
      <c r="J1009">
        <v>3</v>
      </c>
      <c r="K1009">
        <v>20</v>
      </c>
      <c r="L1009">
        <v>21.43</v>
      </c>
      <c r="M1009">
        <v>222.52</v>
      </c>
      <c r="N1009">
        <f>_xlfn.XLOOKUP(Table13[[#This Row],[Production_Order_ID]],[1]Sheet1!$A$2:$A$391,[1]Sheet1!$F$2:$F$391,"No Match")</f>
        <v>680</v>
      </c>
      <c r="O1009" s="3">
        <f>Table13[[#This Row],[Good_Qty]]/Table13[[#This Row],[Planned_Production]]</f>
        <v>0.91176470588235292</v>
      </c>
      <c r="P1009" t="str">
        <f>IF(Table13[[#This Row],[Good_Qty]]&gt;=Table13[[#This Row],[Planned_Production]],"Met","Not Met")</f>
        <v>Not Met</v>
      </c>
      <c r="Q1009">
        <f>Table13[[#This Row],[Good_Qty]]-Table13[[#This Row],[Planned_Production]]</f>
        <v>-60</v>
      </c>
      <c r="R1009" s="3">
        <f>IF(Table13[[#This Row],[Actual_Qty]]=0,0,Table13[[#This Row],[Reject_Qty]]/Table13[[#This Row],[Actual_Qty]])</f>
        <v>4.815409309791332E-3</v>
      </c>
      <c r="S1009">
        <v>441.15</v>
      </c>
      <c r="T1009">
        <f>(Table13[[#This Row],[Ideal_Cycle_Time_sec]]*Table13[[#This Row],[Actual_Qty]])/(Table13[[#This Row],[Operational_Time_min]]*60)</f>
        <v>0.47073935547243945</v>
      </c>
      <c r="U1009">
        <f>Table13[[#This Row],[Good_Qty]]/Table13[[#This Row],[Actual_Qty]]</f>
        <v>0.9951845906902087</v>
      </c>
      <c r="V1009" t="str">
        <f>IF(OR(Table13[[#This Row],[Performance_%]]&gt;=1,Table13[[#This Row],[Performance_%]]&lt;=0),"Error","OK")</f>
        <v>OK</v>
      </c>
      <c r="W1009" t="str">
        <f>IF(OR(Table13[[#This Row],[Quality_%]]&gt;=1,Table13[[#This Row],[Quality_%]]&lt;=0),"Error","OK")</f>
        <v>OK</v>
      </c>
      <c r="X1009">
        <f>Table13[[#This Row],[Performance_%]]*Table13[[#This Row],[Quality_%]]*[2]Availability_KPI!K1009</f>
        <v>0.45925925925925926</v>
      </c>
      <c r="Y1009" t="str">
        <f>IF(OR(Table13[[#This Row],[OEE_%]]&gt;1,Table13[[#This Row],[OEE_%]]&lt;0),"Error","OK")</f>
        <v>OK</v>
      </c>
    </row>
    <row r="1010" spans="1:25" x14ac:dyDescent="0.2">
      <c r="A1010" t="s">
        <v>1185</v>
      </c>
      <c r="B1010" t="s">
        <v>1186</v>
      </c>
      <c r="C1010" s="2">
        <v>46295</v>
      </c>
      <c r="D1010" t="s">
        <v>27</v>
      </c>
      <c r="E1010" t="s">
        <v>28</v>
      </c>
      <c r="F1010" t="s">
        <v>54</v>
      </c>
      <c r="G1010" t="s">
        <v>75</v>
      </c>
      <c r="H1010">
        <v>677</v>
      </c>
      <c r="I1010">
        <v>673</v>
      </c>
      <c r="J1010">
        <v>4</v>
      </c>
      <c r="K1010">
        <v>18</v>
      </c>
      <c r="L1010">
        <v>19.22</v>
      </c>
      <c r="M1010">
        <v>216.88</v>
      </c>
      <c r="N1010">
        <f>_xlfn.XLOOKUP(Table13[[#This Row],[Production_Order_ID]],[1]Sheet1!$A$2:$A$391,[1]Sheet1!$F$2:$F$391,"No Match")</f>
        <v>420</v>
      </c>
      <c r="O1010" s="3">
        <f>Table13[[#This Row],[Good_Qty]]/Table13[[#This Row],[Planned_Production]]</f>
        <v>1.6023809523809525</v>
      </c>
      <c r="P1010" t="str">
        <f>IF(Table13[[#This Row],[Good_Qty]]&gt;=Table13[[#This Row],[Planned_Production]],"Met","Not Met")</f>
        <v>Met</v>
      </c>
      <c r="Q1010">
        <f>Table13[[#This Row],[Good_Qty]]-Table13[[#This Row],[Planned_Production]]</f>
        <v>253</v>
      </c>
      <c r="R1010" s="3">
        <f>IF(Table13[[#This Row],[Actual_Qty]]=0,0,Table13[[#This Row],[Reject_Qty]]/Table13[[#This Row],[Actual_Qty]])</f>
        <v>5.9084194977843431E-3</v>
      </c>
      <c r="S1010">
        <v>439.57</v>
      </c>
      <c r="T1010">
        <f>(Table13[[#This Row],[Ideal_Cycle_Time_sec]]*Table13[[#This Row],[Actual_Qty]])/(Table13[[#This Row],[Operational_Time_min]]*60)</f>
        <v>0.46204245057669996</v>
      </c>
      <c r="U1010">
        <f>Table13[[#This Row],[Good_Qty]]/Table13[[#This Row],[Actual_Qty]]</f>
        <v>0.99409158050221569</v>
      </c>
      <c r="V1010" t="str">
        <f>IF(OR(Table13[[#This Row],[Performance_%]]&gt;=1,Table13[[#This Row],[Performance_%]]&lt;=0),"Error","OK")</f>
        <v>OK</v>
      </c>
      <c r="W1010" t="str">
        <f>IF(OR(Table13[[#This Row],[Quality_%]]&gt;=1,Table13[[#This Row],[Quality_%]]&lt;=0),"Error","OK")</f>
        <v>OK</v>
      </c>
      <c r="X1010">
        <f>Table13[[#This Row],[Performance_%]]*Table13[[#This Row],[Quality_%]]*[2]Availability_KPI!K1010</f>
        <v>0.44866666666666671</v>
      </c>
      <c r="Y1010" t="str">
        <f>IF(OR(Table13[[#This Row],[OEE_%]]&gt;1,Table13[[#This Row],[OEE_%]]&lt;0),"Error","OK")</f>
        <v>OK</v>
      </c>
    </row>
    <row r="1011" spans="1:25" x14ac:dyDescent="0.2">
      <c r="A1011" t="s">
        <v>1187</v>
      </c>
      <c r="B1011" t="s">
        <v>1186</v>
      </c>
      <c r="C1011" s="2">
        <v>46295</v>
      </c>
      <c r="D1011" t="s">
        <v>27</v>
      </c>
      <c r="E1011" t="s">
        <v>32</v>
      </c>
      <c r="F1011" t="s">
        <v>54</v>
      </c>
      <c r="G1011" t="s">
        <v>39</v>
      </c>
      <c r="H1011">
        <v>678</v>
      </c>
      <c r="I1011">
        <v>670</v>
      </c>
      <c r="J1011">
        <v>8</v>
      </c>
      <c r="K1011">
        <v>20</v>
      </c>
      <c r="L1011">
        <v>21.11</v>
      </c>
      <c r="M1011">
        <v>238.51</v>
      </c>
      <c r="N1011">
        <f>_xlfn.XLOOKUP(Table13[[#This Row],[Production_Order_ID]],[1]Sheet1!$A$2:$A$391,[1]Sheet1!$F$2:$F$391,"No Match")</f>
        <v>420</v>
      </c>
      <c r="O1011" s="3">
        <f>Table13[[#This Row],[Good_Qty]]/Table13[[#This Row],[Planned_Production]]</f>
        <v>1.5952380952380953</v>
      </c>
      <c r="P1011" t="str">
        <f>IF(Table13[[#This Row],[Good_Qty]]&gt;=Table13[[#This Row],[Planned_Production]],"Met","Not Met")</f>
        <v>Met</v>
      </c>
      <c r="Q1011">
        <f>Table13[[#This Row],[Good_Qty]]-Table13[[#This Row],[Planned_Production]]</f>
        <v>250</v>
      </c>
      <c r="R1011" s="3">
        <f>IF(Table13[[#This Row],[Actual_Qty]]=0,0,Table13[[#This Row],[Reject_Qty]]/Table13[[#This Row],[Actual_Qty]])</f>
        <v>1.1799410029498525E-2</v>
      </c>
      <c r="S1011">
        <v>435.91</v>
      </c>
      <c r="T1011">
        <f>(Table13[[#This Row],[Ideal_Cycle_Time_sec]]*Table13[[#This Row],[Actual_Qty]])/(Table13[[#This Row],[Operational_Time_min]]*60)</f>
        <v>0.51845564451377568</v>
      </c>
      <c r="U1011">
        <f>Table13[[#This Row],[Good_Qty]]/Table13[[#This Row],[Actual_Qty]]</f>
        <v>0.98820058997050142</v>
      </c>
      <c r="V1011" t="str">
        <f>IF(OR(Table13[[#This Row],[Performance_%]]&gt;=1,Table13[[#This Row],[Performance_%]]&lt;=0),"Error","OK")</f>
        <v>OK</v>
      </c>
      <c r="W1011" t="str">
        <f>IF(OR(Table13[[#This Row],[Quality_%]]&gt;=1,Table13[[#This Row],[Quality_%]]&lt;=0),"Error","OK")</f>
        <v>OK</v>
      </c>
      <c r="X1011">
        <f>Table13[[#This Row],[Performance_%]]*Table13[[#This Row],[Quality_%]]*[2]Availability_KPI!K1011</f>
        <v>0.49629629629629624</v>
      </c>
      <c r="Y1011" t="str">
        <f>IF(OR(Table13[[#This Row],[OEE_%]]&gt;1,Table13[[#This Row],[OEE_%]]&lt;0),"Error","OK")</f>
        <v>OK</v>
      </c>
    </row>
    <row r="1012" spans="1:25" x14ac:dyDescent="0.2">
      <c r="A1012" t="s">
        <v>1188</v>
      </c>
      <c r="B1012" t="s">
        <v>1186</v>
      </c>
      <c r="C1012" s="2">
        <v>46295</v>
      </c>
      <c r="D1012" t="s">
        <v>27</v>
      </c>
      <c r="E1012" t="s">
        <v>35</v>
      </c>
      <c r="F1012" t="s">
        <v>54</v>
      </c>
      <c r="G1012" t="s">
        <v>61</v>
      </c>
      <c r="H1012">
        <v>680</v>
      </c>
      <c r="I1012">
        <v>674</v>
      </c>
      <c r="J1012">
        <v>6</v>
      </c>
      <c r="K1012">
        <v>22</v>
      </c>
      <c r="L1012">
        <v>23.37</v>
      </c>
      <c r="M1012">
        <v>264.91000000000003</v>
      </c>
      <c r="N1012">
        <f>_xlfn.XLOOKUP(Table13[[#This Row],[Production_Order_ID]],[1]Sheet1!$A$2:$A$391,[1]Sheet1!$F$2:$F$391,"No Match")</f>
        <v>420</v>
      </c>
      <c r="O1012" s="3">
        <f>Table13[[#This Row],[Good_Qty]]/Table13[[#This Row],[Planned_Production]]</f>
        <v>1.6047619047619048</v>
      </c>
      <c r="P1012" t="str">
        <f>IF(Table13[[#This Row],[Good_Qty]]&gt;=Table13[[#This Row],[Planned_Production]],"Met","Not Met")</f>
        <v>Met</v>
      </c>
      <c r="Q1012">
        <f>Table13[[#This Row],[Good_Qty]]-Table13[[#This Row],[Planned_Production]]</f>
        <v>254</v>
      </c>
      <c r="R1012" s="3">
        <f>IF(Table13[[#This Row],[Actual_Qty]]=0,0,Table13[[#This Row],[Reject_Qty]]/Table13[[#This Row],[Actual_Qty]])</f>
        <v>8.8235294117647058E-3</v>
      </c>
      <c r="S1012">
        <v>434.92</v>
      </c>
      <c r="T1012">
        <f>(Table13[[#This Row],[Ideal_Cycle_Time_sec]]*Table13[[#This Row],[Actual_Qty]])/(Table13[[#This Row],[Operational_Time_min]]*60)</f>
        <v>0.57328550844599768</v>
      </c>
      <c r="U1012">
        <f>Table13[[#This Row],[Good_Qty]]/Table13[[#This Row],[Actual_Qty]]</f>
        <v>0.99117647058823533</v>
      </c>
      <c r="V1012" t="str">
        <f>IF(OR(Table13[[#This Row],[Performance_%]]&gt;=1,Table13[[#This Row],[Performance_%]]&lt;=0),"Error","OK")</f>
        <v>OK</v>
      </c>
      <c r="W1012" t="str">
        <f>IF(OR(Table13[[#This Row],[Quality_%]]&gt;=1,Table13[[#This Row],[Quality_%]]&lt;=0),"Error","OK")</f>
        <v>OK</v>
      </c>
      <c r="X1012">
        <f>Table13[[#This Row],[Performance_%]]*Table13[[#This Row],[Quality_%]]*[2]Availability_KPI!K1012</f>
        <v>0.54918518518518522</v>
      </c>
      <c r="Y1012" t="str">
        <f>IF(OR(Table13[[#This Row],[OEE_%]]&gt;1,Table13[[#This Row],[OEE_%]]&lt;0),"Error","OK")</f>
        <v>OK</v>
      </c>
    </row>
    <row r="1013" spans="1:25" x14ac:dyDescent="0.2">
      <c r="A1013" t="s">
        <v>1189</v>
      </c>
      <c r="B1013" t="s">
        <v>1186</v>
      </c>
      <c r="C1013" s="2">
        <v>46295</v>
      </c>
      <c r="D1013" t="s">
        <v>27</v>
      </c>
      <c r="E1013" t="s">
        <v>38</v>
      </c>
      <c r="F1013" t="s">
        <v>54</v>
      </c>
      <c r="G1013" t="s">
        <v>61</v>
      </c>
      <c r="H1013">
        <v>691</v>
      </c>
      <c r="I1013">
        <v>685</v>
      </c>
      <c r="J1013">
        <v>6</v>
      </c>
      <c r="K1013">
        <v>20</v>
      </c>
      <c r="L1013">
        <v>21.42</v>
      </c>
      <c r="M1013">
        <v>246.72</v>
      </c>
      <c r="N1013">
        <f>_xlfn.XLOOKUP(Table13[[#This Row],[Production_Order_ID]],[1]Sheet1!$A$2:$A$391,[1]Sheet1!$F$2:$F$391,"No Match")</f>
        <v>420</v>
      </c>
      <c r="O1013" s="3">
        <f>Table13[[#This Row],[Good_Qty]]/Table13[[#This Row],[Planned_Production]]</f>
        <v>1.6309523809523809</v>
      </c>
      <c r="P1013" t="str">
        <f>IF(Table13[[#This Row],[Good_Qty]]&gt;=Table13[[#This Row],[Planned_Production]],"Met","Not Met")</f>
        <v>Met</v>
      </c>
      <c r="Q1013">
        <f>Table13[[#This Row],[Good_Qty]]-Table13[[#This Row],[Planned_Production]]</f>
        <v>265</v>
      </c>
      <c r="R1013" s="3">
        <f>IF(Table13[[#This Row],[Actual_Qty]]=0,0,Table13[[#This Row],[Reject_Qty]]/Table13[[#This Row],[Actual_Qty]])</f>
        <v>8.6830680173661367E-3</v>
      </c>
      <c r="S1013">
        <v>438</v>
      </c>
      <c r="T1013">
        <f>(Table13[[#This Row],[Ideal_Cycle_Time_sec]]*Table13[[#This Row],[Actual_Qty]])/(Table13[[#This Row],[Operational_Time_min]]*60)</f>
        <v>0.52587519025875196</v>
      </c>
      <c r="U1013">
        <f>Table13[[#This Row],[Good_Qty]]/Table13[[#This Row],[Actual_Qty]]</f>
        <v>0.99131693198263382</v>
      </c>
      <c r="V1013" t="str">
        <f>IF(OR(Table13[[#This Row],[Performance_%]]&gt;=1,Table13[[#This Row],[Performance_%]]&lt;=0),"Error","OK")</f>
        <v>OK</v>
      </c>
      <c r="W1013" t="str">
        <f>IF(OR(Table13[[#This Row],[Quality_%]]&gt;=1,Table13[[#This Row],[Quality_%]]&lt;=0),"Error","OK")</f>
        <v>OK</v>
      </c>
      <c r="X1013">
        <f>Table13[[#This Row],[Performance_%]]*Table13[[#This Row],[Quality_%]]*[2]Availability_KPI!K1013</f>
        <v>0.50740740740740742</v>
      </c>
      <c r="Y1013" t="str">
        <f>IF(OR(Table13[[#This Row],[OEE_%]]&gt;1,Table13[[#This Row],[OEE_%]]&lt;0),"Error","OK")</f>
        <v>OK</v>
      </c>
    </row>
    <row r="1014" spans="1:25" x14ac:dyDescent="0.2">
      <c r="A1014" t="s">
        <v>1190</v>
      </c>
      <c r="B1014" t="s">
        <v>1186</v>
      </c>
      <c r="C1014" s="2">
        <v>46295</v>
      </c>
      <c r="D1014" t="s">
        <v>27</v>
      </c>
      <c r="E1014" t="s">
        <v>41</v>
      </c>
      <c r="F1014" t="s">
        <v>54</v>
      </c>
      <c r="G1014" t="s">
        <v>75</v>
      </c>
      <c r="H1014">
        <v>660</v>
      </c>
      <c r="I1014">
        <v>656</v>
      </c>
      <c r="J1014">
        <v>4</v>
      </c>
      <c r="K1014">
        <v>18</v>
      </c>
      <c r="L1014">
        <v>19.14</v>
      </c>
      <c r="M1014">
        <v>210.52</v>
      </c>
      <c r="N1014">
        <f>_xlfn.XLOOKUP(Table13[[#This Row],[Production_Order_ID]],[1]Sheet1!$A$2:$A$391,[1]Sheet1!$F$2:$F$391,"No Match")</f>
        <v>420</v>
      </c>
      <c r="O1014" s="3">
        <f>Table13[[#This Row],[Good_Qty]]/Table13[[#This Row],[Planned_Production]]</f>
        <v>1.5619047619047619</v>
      </c>
      <c r="P1014" t="str">
        <f>IF(Table13[[#This Row],[Good_Qty]]&gt;=Table13[[#This Row],[Planned_Production]],"Met","Not Met")</f>
        <v>Met</v>
      </c>
      <c r="Q1014">
        <f>Table13[[#This Row],[Good_Qty]]-Table13[[#This Row],[Planned_Production]]</f>
        <v>236</v>
      </c>
      <c r="R1014" s="3">
        <f>IF(Table13[[#This Row],[Actual_Qty]]=0,0,Table13[[#This Row],[Reject_Qty]]/Table13[[#This Row],[Actual_Qty]])</f>
        <v>6.0606060606060606E-3</v>
      </c>
      <c r="S1014">
        <v>437.54</v>
      </c>
      <c r="T1014">
        <f>(Table13[[#This Row],[Ideal_Cycle_Time_sec]]*Table13[[#This Row],[Actual_Qty]])/(Table13[[#This Row],[Operational_Time_min]]*60)</f>
        <v>0.45253005439502669</v>
      </c>
      <c r="U1014">
        <f>Table13[[#This Row],[Good_Qty]]/Table13[[#This Row],[Actual_Qty]]</f>
        <v>0.9939393939393939</v>
      </c>
      <c r="V1014" t="str">
        <f>IF(OR(Table13[[#This Row],[Performance_%]]&gt;=1,Table13[[#This Row],[Performance_%]]&lt;=0),"Error","OK")</f>
        <v>OK</v>
      </c>
      <c r="W1014" t="str">
        <f>IF(OR(Table13[[#This Row],[Quality_%]]&gt;=1,Table13[[#This Row],[Quality_%]]&lt;=0),"Error","OK")</f>
        <v>OK</v>
      </c>
      <c r="X1014">
        <f>Table13[[#This Row],[Performance_%]]*Table13[[#This Row],[Quality_%]]*[2]Availability_KPI!K1014</f>
        <v>0.4373333333333333</v>
      </c>
      <c r="Y1014" t="str">
        <f>IF(OR(Table13[[#This Row],[OEE_%]]&gt;1,Table13[[#This Row],[OEE_%]]&lt;0),"Error","OK")</f>
        <v>OK</v>
      </c>
    </row>
    <row r="1015" spans="1:25" x14ac:dyDescent="0.2">
      <c r="A1015" t="s">
        <v>1191</v>
      </c>
      <c r="B1015" t="s">
        <v>1186</v>
      </c>
      <c r="C1015" s="2">
        <v>46295</v>
      </c>
      <c r="D1015" t="s">
        <v>27</v>
      </c>
      <c r="E1015" t="s">
        <v>43</v>
      </c>
      <c r="F1015" t="s">
        <v>54</v>
      </c>
      <c r="G1015" t="s">
        <v>36</v>
      </c>
      <c r="H1015">
        <v>686</v>
      </c>
      <c r="I1015">
        <v>675</v>
      </c>
      <c r="J1015">
        <v>11</v>
      </c>
      <c r="K1015">
        <v>32</v>
      </c>
      <c r="L1015">
        <v>35.44</v>
      </c>
      <c r="M1015">
        <v>405.16</v>
      </c>
      <c r="N1015">
        <f>_xlfn.XLOOKUP(Table13[[#This Row],[Production_Order_ID]],[1]Sheet1!$A$2:$A$391,[1]Sheet1!$F$2:$F$391,"No Match")</f>
        <v>420</v>
      </c>
      <c r="O1015" s="3">
        <f>Table13[[#This Row],[Good_Qty]]/Table13[[#This Row],[Planned_Production]]</f>
        <v>1.6071428571428572</v>
      </c>
      <c r="P1015" t="str">
        <f>IF(Table13[[#This Row],[Good_Qty]]&gt;=Table13[[#This Row],[Planned_Production]],"Met","Not Met")</f>
        <v>Met</v>
      </c>
      <c r="Q1015">
        <f>Table13[[#This Row],[Good_Qty]]-Table13[[#This Row],[Planned_Production]]</f>
        <v>255</v>
      </c>
      <c r="R1015" s="3">
        <f>IF(Table13[[#This Row],[Actual_Qty]]=0,0,Table13[[#This Row],[Reject_Qty]]/Table13[[#This Row],[Actual_Qty]])</f>
        <v>1.6034985422740525E-2</v>
      </c>
      <c r="S1015">
        <v>397.81</v>
      </c>
      <c r="T1015">
        <f>(Table13[[#This Row],[Ideal_Cycle_Time_sec]]*Table13[[#This Row],[Actual_Qty]])/(Table13[[#This Row],[Operational_Time_min]]*60)</f>
        <v>0.91970203530998895</v>
      </c>
      <c r="U1015">
        <f>Table13[[#This Row],[Good_Qty]]/Table13[[#This Row],[Actual_Qty]]</f>
        <v>0.98396501457725949</v>
      </c>
      <c r="V1015" t="str">
        <f>IF(OR(Table13[[#This Row],[Performance_%]]&gt;=1,Table13[[#This Row],[Performance_%]]&lt;=0),"Error","OK")</f>
        <v>OK</v>
      </c>
      <c r="W1015" t="str">
        <f>IF(OR(Table13[[#This Row],[Quality_%]]&gt;=1,Table13[[#This Row],[Quality_%]]&lt;=0),"Error","OK")</f>
        <v>OK</v>
      </c>
      <c r="X1015">
        <f>Table13[[#This Row],[Performance_%]]*Table13[[#This Row],[Quality_%]]*[2]Availability_KPI!K1015</f>
        <v>0.80000000000000016</v>
      </c>
      <c r="Y1015" t="str">
        <f>IF(OR(Table13[[#This Row],[OEE_%]]&gt;1,Table13[[#This Row],[OEE_%]]&lt;0),"Error","OK")</f>
        <v>OK</v>
      </c>
    </row>
    <row r="1016" spans="1:25" x14ac:dyDescent="0.2">
      <c r="A1016" t="s">
        <v>1192</v>
      </c>
      <c r="B1016" t="s">
        <v>1186</v>
      </c>
      <c r="C1016" s="2">
        <v>46295</v>
      </c>
      <c r="D1016" t="s">
        <v>27</v>
      </c>
      <c r="E1016" t="s">
        <v>46</v>
      </c>
      <c r="F1016" t="s">
        <v>54</v>
      </c>
      <c r="G1016" t="s">
        <v>57</v>
      </c>
      <c r="H1016">
        <v>678</v>
      </c>
      <c r="I1016">
        <v>671</v>
      </c>
      <c r="J1016">
        <v>7</v>
      </c>
      <c r="K1016">
        <v>25</v>
      </c>
      <c r="L1016">
        <v>26.48</v>
      </c>
      <c r="M1016">
        <v>299.20999999999998</v>
      </c>
      <c r="N1016">
        <f>_xlfn.XLOOKUP(Table13[[#This Row],[Production_Order_ID]],[1]Sheet1!$A$2:$A$391,[1]Sheet1!$F$2:$F$391,"No Match")</f>
        <v>420</v>
      </c>
      <c r="O1016" s="3">
        <f>Table13[[#This Row],[Good_Qty]]/Table13[[#This Row],[Planned_Production]]</f>
        <v>1.5976190476190477</v>
      </c>
      <c r="P1016" t="str">
        <f>IF(Table13[[#This Row],[Good_Qty]]&gt;=Table13[[#This Row],[Planned_Production]],"Met","Not Met")</f>
        <v>Met</v>
      </c>
      <c r="Q1016">
        <f>Table13[[#This Row],[Good_Qty]]-Table13[[#This Row],[Planned_Production]]</f>
        <v>251</v>
      </c>
      <c r="R1016" s="3">
        <f>IF(Table13[[#This Row],[Actual_Qty]]=0,0,Table13[[#This Row],[Reject_Qty]]/Table13[[#This Row],[Actual_Qty]])</f>
        <v>1.0324483775811209E-2</v>
      </c>
      <c r="S1016">
        <v>430</v>
      </c>
      <c r="T1016">
        <f>(Table13[[#This Row],[Ideal_Cycle_Time_sec]]*Table13[[#This Row],[Actual_Qty]])/(Table13[[#This Row],[Operational_Time_min]]*60)</f>
        <v>0.65697674418604646</v>
      </c>
      <c r="U1016">
        <f>Table13[[#This Row],[Good_Qty]]/Table13[[#This Row],[Actual_Qty]]</f>
        <v>0.98967551622418881</v>
      </c>
      <c r="V1016" t="str">
        <f>IF(OR(Table13[[#This Row],[Performance_%]]&gt;=1,Table13[[#This Row],[Performance_%]]&lt;=0),"Error","OK")</f>
        <v>OK</v>
      </c>
      <c r="W1016" t="str">
        <f>IF(OR(Table13[[#This Row],[Quality_%]]&gt;=1,Table13[[#This Row],[Quality_%]]&lt;=0),"Error","OK")</f>
        <v>OK</v>
      </c>
      <c r="X1016">
        <f>Table13[[#This Row],[Performance_%]]*Table13[[#This Row],[Quality_%]]*[2]Availability_KPI!K1016</f>
        <v>0.62129629629629624</v>
      </c>
      <c r="Y1016" t="str">
        <f>IF(OR(Table13[[#This Row],[OEE_%]]&gt;1,Table13[[#This Row],[OEE_%]]&lt;0),"Error","OK")</f>
        <v>OK</v>
      </c>
    </row>
    <row r="1017" spans="1:25" x14ac:dyDescent="0.2">
      <c r="A1017" t="s">
        <v>1193</v>
      </c>
      <c r="B1017" t="s">
        <v>1186</v>
      </c>
      <c r="C1017" s="2">
        <v>46295</v>
      </c>
      <c r="D1017" t="s">
        <v>27</v>
      </c>
      <c r="E1017" t="s">
        <v>49</v>
      </c>
      <c r="F1017" t="s">
        <v>54</v>
      </c>
      <c r="G1017" t="s">
        <v>47</v>
      </c>
      <c r="H1017">
        <v>686</v>
      </c>
      <c r="I1017">
        <v>681</v>
      </c>
      <c r="J1017">
        <v>5</v>
      </c>
      <c r="K1017">
        <v>20</v>
      </c>
      <c r="L1017">
        <v>20.56</v>
      </c>
      <c r="M1017">
        <v>235.08</v>
      </c>
      <c r="N1017">
        <f>_xlfn.XLOOKUP(Table13[[#This Row],[Production_Order_ID]],[1]Sheet1!$A$2:$A$391,[1]Sheet1!$F$2:$F$391,"No Match")</f>
        <v>420</v>
      </c>
      <c r="O1017" s="3">
        <f>Table13[[#This Row],[Good_Qty]]/Table13[[#This Row],[Planned_Production]]</f>
        <v>1.6214285714285714</v>
      </c>
      <c r="P1017" t="str">
        <f>IF(Table13[[#This Row],[Good_Qty]]&gt;=Table13[[#This Row],[Planned_Production]],"Met","Not Met")</f>
        <v>Met</v>
      </c>
      <c r="Q1017">
        <f>Table13[[#This Row],[Good_Qty]]-Table13[[#This Row],[Planned_Production]]</f>
        <v>261</v>
      </c>
      <c r="R1017" s="3">
        <f>IF(Table13[[#This Row],[Actual_Qty]]=0,0,Table13[[#This Row],[Reject_Qty]]/Table13[[#This Row],[Actual_Qty]])</f>
        <v>7.2886297376093291E-3</v>
      </c>
      <c r="S1017">
        <v>441.08</v>
      </c>
      <c r="T1017">
        <f>(Table13[[#This Row],[Ideal_Cycle_Time_sec]]*Table13[[#This Row],[Actual_Qty]])/(Table13[[#This Row],[Operational_Time_min]]*60)</f>
        <v>0.51842447326259788</v>
      </c>
      <c r="U1017">
        <f>Table13[[#This Row],[Good_Qty]]/Table13[[#This Row],[Actual_Qty]]</f>
        <v>0.99271137026239065</v>
      </c>
      <c r="V1017" t="str">
        <f>IF(OR(Table13[[#This Row],[Performance_%]]&gt;=1,Table13[[#This Row],[Performance_%]]&lt;=0),"Error","OK")</f>
        <v>OK</v>
      </c>
      <c r="W1017" t="str">
        <f>IF(OR(Table13[[#This Row],[Quality_%]]&gt;=1,Table13[[#This Row],[Quality_%]]&lt;=0),"Error","OK")</f>
        <v>OK</v>
      </c>
      <c r="X1017">
        <f>Table13[[#This Row],[Performance_%]]*Table13[[#This Row],[Quality_%]]*[2]Availability_KPI!K1017</f>
        <v>0.50444444444444436</v>
      </c>
      <c r="Y1017" t="str">
        <f>IF(OR(Table13[[#This Row],[OEE_%]]&gt;1,Table13[[#This Row],[OEE_%]]&lt;0),"Error","OK")</f>
        <v>OK</v>
      </c>
    </row>
    <row r="1018" spans="1:25" x14ac:dyDescent="0.2">
      <c r="A1018" t="s">
        <v>1194</v>
      </c>
      <c r="B1018" t="s">
        <v>1195</v>
      </c>
      <c r="C1018" s="2">
        <v>46295</v>
      </c>
      <c r="D1018" t="s">
        <v>53</v>
      </c>
      <c r="E1018" t="s">
        <v>28</v>
      </c>
      <c r="F1018" t="s">
        <v>29</v>
      </c>
      <c r="G1018" t="s">
        <v>30</v>
      </c>
      <c r="H1018">
        <v>655</v>
      </c>
      <c r="I1018">
        <v>653</v>
      </c>
      <c r="J1018">
        <v>2</v>
      </c>
      <c r="K1018">
        <v>19.8</v>
      </c>
      <c r="L1018">
        <v>21.15</v>
      </c>
      <c r="M1018">
        <v>230.9</v>
      </c>
      <c r="N1018">
        <f>_xlfn.XLOOKUP(Table13[[#This Row],[Production_Order_ID]],[1]Sheet1!$A$2:$A$391,[1]Sheet1!$F$2:$F$391,"No Match")</f>
        <v>590</v>
      </c>
      <c r="O1018" s="3">
        <f>Table13[[#This Row],[Good_Qty]]/Table13[[#This Row],[Planned_Production]]</f>
        <v>1.1067796610169491</v>
      </c>
      <c r="P1018" t="str">
        <f>IF(Table13[[#This Row],[Good_Qty]]&gt;=Table13[[#This Row],[Planned_Production]],"Met","Not Met")</f>
        <v>Met</v>
      </c>
      <c r="Q1018">
        <f>Table13[[#This Row],[Good_Qty]]-Table13[[#This Row],[Planned_Production]]</f>
        <v>63</v>
      </c>
      <c r="R1018" s="3">
        <f>IF(Table13[[#This Row],[Actual_Qty]]=0,0,Table13[[#This Row],[Reject_Qty]]/Table13[[#This Row],[Actual_Qty]])</f>
        <v>3.0534351145038168E-3</v>
      </c>
      <c r="S1018">
        <v>438.08</v>
      </c>
      <c r="T1018">
        <f>(Table13[[#This Row],[Ideal_Cycle_Time_sec]]*Table13[[#This Row],[Actual_Qty]])/(Table13[[#This Row],[Operational_Time_min]]*60)</f>
        <v>0.4934030314097882</v>
      </c>
      <c r="U1018">
        <f>Table13[[#This Row],[Good_Qty]]/Table13[[#This Row],[Actual_Qty]]</f>
        <v>0.99694656488549616</v>
      </c>
      <c r="V1018" t="str">
        <f>IF(OR(Table13[[#This Row],[Performance_%]]&gt;=1,Table13[[#This Row],[Performance_%]]&lt;=0),"Error","OK")</f>
        <v>OK</v>
      </c>
      <c r="W1018" t="str">
        <f>IF(OR(Table13[[#This Row],[Quality_%]]&gt;=1,Table13[[#This Row],[Quality_%]]&lt;=0),"Error","OK")</f>
        <v>OK</v>
      </c>
      <c r="X1018">
        <f>Table13[[#This Row],[Performance_%]]*Table13[[#This Row],[Quality_%]]*[2]Availability_KPI!K1018</f>
        <v>0.47886666666666666</v>
      </c>
      <c r="Y1018" t="str">
        <f>IF(OR(Table13[[#This Row],[OEE_%]]&gt;1,Table13[[#This Row],[OEE_%]]&lt;0),"Error","OK")</f>
        <v>OK</v>
      </c>
    </row>
    <row r="1019" spans="1:25" x14ac:dyDescent="0.2">
      <c r="A1019" t="s">
        <v>1196</v>
      </c>
      <c r="B1019" t="s">
        <v>1195</v>
      </c>
      <c r="C1019" s="2">
        <v>46295</v>
      </c>
      <c r="D1019" t="s">
        <v>53</v>
      </c>
      <c r="E1019" t="s">
        <v>32</v>
      </c>
      <c r="F1019" t="s">
        <v>29</v>
      </c>
      <c r="G1019" t="s">
        <v>75</v>
      </c>
      <c r="H1019">
        <v>660</v>
      </c>
      <c r="I1019">
        <v>655</v>
      </c>
      <c r="J1019">
        <v>5</v>
      </c>
      <c r="K1019">
        <v>22</v>
      </c>
      <c r="L1019">
        <v>22.43</v>
      </c>
      <c r="M1019">
        <v>246.72</v>
      </c>
      <c r="N1019">
        <f>_xlfn.XLOOKUP(Table13[[#This Row],[Production_Order_ID]],[1]Sheet1!$A$2:$A$391,[1]Sheet1!$F$2:$F$391,"No Match")</f>
        <v>590</v>
      </c>
      <c r="O1019" s="3">
        <f>Table13[[#This Row],[Good_Qty]]/Table13[[#This Row],[Planned_Production]]</f>
        <v>1.1101694915254237</v>
      </c>
      <c r="P1019" t="str">
        <f>IF(Table13[[#This Row],[Good_Qty]]&gt;=Table13[[#This Row],[Planned_Production]],"Met","Not Met")</f>
        <v>Met</v>
      </c>
      <c r="Q1019">
        <f>Table13[[#This Row],[Good_Qty]]-Table13[[#This Row],[Planned_Production]]</f>
        <v>65</v>
      </c>
      <c r="R1019" s="3">
        <f>IF(Table13[[#This Row],[Actual_Qty]]=0,0,Table13[[#This Row],[Reject_Qty]]/Table13[[#This Row],[Actual_Qty]])</f>
        <v>7.575757575757576E-3</v>
      </c>
      <c r="S1019">
        <v>433.89</v>
      </c>
      <c r="T1019">
        <f>(Table13[[#This Row],[Ideal_Cycle_Time_sec]]*Table13[[#This Row],[Actual_Qty]])/(Table13[[#This Row],[Operational_Time_min]]*60)</f>
        <v>0.55774505058885893</v>
      </c>
      <c r="U1019">
        <f>Table13[[#This Row],[Good_Qty]]/Table13[[#This Row],[Actual_Qty]]</f>
        <v>0.99242424242424243</v>
      </c>
      <c r="V1019" t="str">
        <f>IF(OR(Table13[[#This Row],[Performance_%]]&gt;=1,Table13[[#This Row],[Performance_%]]&lt;=0),"Error","OK")</f>
        <v>OK</v>
      </c>
      <c r="W1019" t="str">
        <f>IF(OR(Table13[[#This Row],[Quality_%]]&gt;=1,Table13[[#This Row],[Quality_%]]&lt;=0),"Error","OK")</f>
        <v>OK</v>
      </c>
      <c r="X1019">
        <f>Table13[[#This Row],[Performance_%]]*Table13[[#This Row],[Quality_%]]*[2]Availability_KPI!K1019</f>
        <v>0.53370370370370368</v>
      </c>
      <c r="Y1019" t="str">
        <f>IF(OR(Table13[[#This Row],[OEE_%]]&gt;1,Table13[[#This Row],[OEE_%]]&lt;0),"Error","OK")</f>
        <v>OK</v>
      </c>
    </row>
    <row r="1020" spans="1:25" x14ac:dyDescent="0.2">
      <c r="A1020" t="s">
        <v>1197</v>
      </c>
      <c r="B1020" t="s">
        <v>1195</v>
      </c>
      <c r="C1020" s="2">
        <v>46295</v>
      </c>
      <c r="D1020" t="s">
        <v>53</v>
      </c>
      <c r="E1020" t="s">
        <v>35</v>
      </c>
      <c r="F1020" t="s">
        <v>29</v>
      </c>
      <c r="G1020" t="s">
        <v>36</v>
      </c>
      <c r="H1020">
        <v>645</v>
      </c>
      <c r="I1020">
        <v>642</v>
      </c>
      <c r="J1020">
        <v>3</v>
      </c>
      <c r="K1020">
        <v>24.2</v>
      </c>
      <c r="L1020">
        <v>25.88</v>
      </c>
      <c r="M1020">
        <v>278.17</v>
      </c>
      <c r="N1020">
        <f>_xlfn.XLOOKUP(Table13[[#This Row],[Production_Order_ID]],[1]Sheet1!$A$2:$A$391,[1]Sheet1!$F$2:$F$391,"No Match")</f>
        <v>590</v>
      </c>
      <c r="O1020" s="3">
        <f>Table13[[#This Row],[Good_Qty]]/Table13[[#This Row],[Planned_Production]]</f>
        <v>1.0881355932203389</v>
      </c>
      <c r="P1020" t="str">
        <f>IF(Table13[[#This Row],[Good_Qty]]&gt;=Table13[[#This Row],[Planned_Production]],"Met","Not Met")</f>
        <v>Met</v>
      </c>
      <c r="Q1020">
        <f>Table13[[#This Row],[Good_Qty]]-Table13[[#This Row],[Planned_Production]]</f>
        <v>52</v>
      </c>
      <c r="R1020" s="3">
        <f>IF(Table13[[#This Row],[Actual_Qty]]=0,0,Table13[[#This Row],[Reject_Qty]]/Table13[[#This Row],[Actual_Qty]])</f>
        <v>4.6511627906976744E-3</v>
      </c>
      <c r="S1020">
        <v>430.19</v>
      </c>
      <c r="T1020">
        <f>(Table13[[#This Row],[Ideal_Cycle_Time_sec]]*Table13[[#This Row],[Actual_Qty]])/(Table13[[#This Row],[Operational_Time_min]]*60)</f>
        <v>0.60473279248704059</v>
      </c>
      <c r="U1020">
        <f>Table13[[#This Row],[Good_Qty]]/Table13[[#This Row],[Actual_Qty]]</f>
        <v>0.99534883720930234</v>
      </c>
      <c r="V1020" t="str">
        <f>IF(OR(Table13[[#This Row],[Performance_%]]&gt;=1,Table13[[#This Row],[Performance_%]]&lt;=0),"Error","OK")</f>
        <v>OK</v>
      </c>
      <c r="W1020" t="str">
        <f>IF(OR(Table13[[#This Row],[Quality_%]]&gt;=1,Table13[[#This Row],[Quality_%]]&lt;=0),"Error","OK")</f>
        <v>OK</v>
      </c>
      <c r="X1020">
        <f>Table13[[#This Row],[Performance_%]]*Table13[[#This Row],[Quality_%]]*[2]Availability_KPI!K1020</f>
        <v>0.57542222222222228</v>
      </c>
      <c r="Y1020" t="str">
        <f>IF(OR(Table13[[#This Row],[OEE_%]]&gt;1,Table13[[#This Row],[OEE_%]]&lt;0),"Error","OK")</f>
        <v>OK</v>
      </c>
    </row>
    <row r="1021" spans="1:25" x14ac:dyDescent="0.2">
      <c r="A1021" t="s">
        <v>1198</v>
      </c>
      <c r="B1021" t="s">
        <v>1195</v>
      </c>
      <c r="C1021" s="2">
        <v>46295</v>
      </c>
      <c r="D1021" t="s">
        <v>53</v>
      </c>
      <c r="E1021" t="s">
        <v>38</v>
      </c>
      <c r="F1021" t="s">
        <v>29</v>
      </c>
      <c r="G1021" t="s">
        <v>47</v>
      </c>
      <c r="H1021">
        <v>652</v>
      </c>
      <c r="I1021">
        <v>646</v>
      </c>
      <c r="J1021">
        <v>6</v>
      </c>
      <c r="K1021">
        <v>22</v>
      </c>
      <c r="L1021">
        <v>22.72</v>
      </c>
      <c r="M1021">
        <v>246.88</v>
      </c>
      <c r="N1021">
        <f>_xlfn.XLOOKUP(Table13[[#This Row],[Production_Order_ID]],[1]Sheet1!$A$2:$A$391,[1]Sheet1!$F$2:$F$391,"No Match")</f>
        <v>590</v>
      </c>
      <c r="O1021" s="3">
        <f>Table13[[#This Row],[Good_Qty]]/Table13[[#This Row],[Planned_Production]]</f>
        <v>1.0949152542372882</v>
      </c>
      <c r="P1021" t="str">
        <f>IF(Table13[[#This Row],[Good_Qty]]&gt;=Table13[[#This Row],[Planned_Production]],"Met","Not Met")</f>
        <v>Met</v>
      </c>
      <c r="Q1021">
        <f>Table13[[#This Row],[Good_Qty]]-Table13[[#This Row],[Planned_Production]]</f>
        <v>56</v>
      </c>
      <c r="R1021" s="3">
        <f>IF(Table13[[#This Row],[Actual_Qty]]=0,0,Table13[[#This Row],[Reject_Qty]]/Table13[[#This Row],[Actual_Qty]])</f>
        <v>9.202453987730062E-3</v>
      </c>
      <c r="S1021">
        <v>440.24</v>
      </c>
      <c r="T1021">
        <f>(Table13[[#This Row],[Ideal_Cycle_Time_sec]]*Table13[[#This Row],[Actual_Qty]])/(Table13[[#This Row],[Operational_Time_min]]*60)</f>
        <v>0.54303713126173603</v>
      </c>
      <c r="U1021">
        <f>Table13[[#This Row],[Good_Qty]]/Table13[[#This Row],[Actual_Qty]]</f>
        <v>0.99079754601226999</v>
      </c>
      <c r="V1021" t="str">
        <f>IF(OR(Table13[[#This Row],[Performance_%]]&gt;=1,Table13[[#This Row],[Performance_%]]&lt;=0),"Error","OK")</f>
        <v>OK</v>
      </c>
      <c r="W1021" t="str">
        <f>IF(OR(Table13[[#This Row],[Quality_%]]&gt;=1,Table13[[#This Row],[Quality_%]]&lt;=0),"Error","OK")</f>
        <v>OK</v>
      </c>
      <c r="X1021">
        <f>Table13[[#This Row],[Performance_%]]*Table13[[#This Row],[Quality_%]]*[2]Availability_KPI!K1021</f>
        <v>0.52637037037037038</v>
      </c>
      <c r="Y1021" t="str">
        <f>IF(OR(Table13[[#This Row],[OEE_%]]&gt;1,Table13[[#This Row],[OEE_%]]&lt;0),"Error","OK")</f>
        <v>OK</v>
      </c>
    </row>
    <row r="1022" spans="1:25" x14ac:dyDescent="0.2">
      <c r="A1022" t="s">
        <v>1199</v>
      </c>
      <c r="B1022" t="s">
        <v>1195</v>
      </c>
      <c r="C1022" s="2">
        <v>46295</v>
      </c>
      <c r="D1022" t="s">
        <v>53</v>
      </c>
      <c r="E1022" t="s">
        <v>41</v>
      </c>
      <c r="F1022" t="s">
        <v>29</v>
      </c>
      <c r="G1022" t="s">
        <v>47</v>
      </c>
      <c r="H1022">
        <v>654</v>
      </c>
      <c r="I1022">
        <v>649</v>
      </c>
      <c r="J1022">
        <v>5</v>
      </c>
      <c r="K1022">
        <v>19.8</v>
      </c>
      <c r="L1022">
        <v>21.57</v>
      </c>
      <c r="M1022">
        <v>235.13</v>
      </c>
      <c r="N1022">
        <f>_xlfn.XLOOKUP(Table13[[#This Row],[Production_Order_ID]],[1]Sheet1!$A$2:$A$391,[1]Sheet1!$F$2:$F$391,"No Match")</f>
        <v>590</v>
      </c>
      <c r="O1022" s="3">
        <f>Table13[[#This Row],[Good_Qty]]/Table13[[#This Row],[Planned_Production]]</f>
        <v>1.1000000000000001</v>
      </c>
      <c r="P1022" t="str">
        <f>IF(Table13[[#This Row],[Good_Qty]]&gt;=Table13[[#This Row],[Planned_Production]],"Met","Not Met")</f>
        <v>Met</v>
      </c>
      <c r="Q1022">
        <f>Table13[[#This Row],[Good_Qty]]-Table13[[#This Row],[Planned_Production]]</f>
        <v>59</v>
      </c>
      <c r="R1022" s="3">
        <f>IF(Table13[[#This Row],[Actual_Qty]]=0,0,Table13[[#This Row],[Reject_Qty]]/Table13[[#This Row],[Actual_Qty]])</f>
        <v>7.6452599388379203E-3</v>
      </c>
      <c r="S1022">
        <v>433.26</v>
      </c>
      <c r="T1022">
        <f>(Table13[[#This Row],[Ideal_Cycle_Time_sec]]*Table13[[#This Row],[Actual_Qty]])/(Table13[[#This Row],[Operational_Time_min]]*60)</f>
        <v>0.49813045284586627</v>
      </c>
      <c r="U1022">
        <f>Table13[[#This Row],[Good_Qty]]/Table13[[#This Row],[Actual_Qty]]</f>
        <v>0.99235474006116209</v>
      </c>
      <c r="V1022" t="str">
        <f>IF(OR(Table13[[#This Row],[Performance_%]]&gt;=1,Table13[[#This Row],[Performance_%]]&lt;=0),"Error","OK")</f>
        <v>OK</v>
      </c>
      <c r="W1022" t="str">
        <f>IF(OR(Table13[[#This Row],[Quality_%]]&gt;=1,Table13[[#This Row],[Quality_%]]&lt;=0),"Error","OK")</f>
        <v>OK</v>
      </c>
      <c r="X1022">
        <f>Table13[[#This Row],[Performance_%]]*Table13[[#This Row],[Quality_%]]*[2]Availability_KPI!K1022</f>
        <v>0.47593333333333337</v>
      </c>
      <c r="Y1022" t="str">
        <f>IF(OR(Table13[[#This Row],[OEE_%]]&gt;1,Table13[[#This Row],[OEE_%]]&lt;0),"Error","OK")</f>
        <v>OK</v>
      </c>
    </row>
    <row r="1023" spans="1:25" x14ac:dyDescent="0.2">
      <c r="A1023" t="s">
        <v>1200</v>
      </c>
      <c r="B1023" t="s">
        <v>1195</v>
      </c>
      <c r="C1023" s="2">
        <v>46295</v>
      </c>
      <c r="D1023" t="s">
        <v>53</v>
      </c>
      <c r="E1023" t="s">
        <v>43</v>
      </c>
      <c r="F1023" t="s">
        <v>29</v>
      </c>
      <c r="G1023" t="s">
        <v>36</v>
      </c>
      <c r="H1023">
        <v>641</v>
      </c>
      <c r="I1023">
        <v>632</v>
      </c>
      <c r="J1023">
        <v>9</v>
      </c>
      <c r="K1023">
        <v>35.200000000000003</v>
      </c>
      <c r="L1023">
        <v>38.72</v>
      </c>
      <c r="M1023">
        <v>413.66</v>
      </c>
      <c r="N1023">
        <f>_xlfn.XLOOKUP(Table13[[#This Row],[Production_Order_ID]],[1]Sheet1!$A$2:$A$391,[1]Sheet1!$F$2:$F$391,"No Match")</f>
        <v>590</v>
      </c>
      <c r="O1023" s="3">
        <f>Table13[[#This Row],[Good_Qty]]/Table13[[#This Row],[Planned_Production]]</f>
        <v>1.0711864406779661</v>
      </c>
      <c r="P1023" t="str">
        <f>IF(Table13[[#This Row],[Good_Qty]]&gt;=Table13[[#This Row],[Planned_Production]],"Met","Not Met")</f>
        <v>Met</v>
      </c>
      <c r="Q1023">
        <f>Table13[[#This Row],[Good_Qty]]-Table13[[#This Row],[Planned_Production]]</f>
        <v>42</v>
      </c>
      <c r="R1023" s="3">
        <f>IF(Table13[[#This Row],[Actual_Qty]]=0,0,Table13[[#This Row],[Reject_Qty]]/Table13[[#This Row],[Actual_Qty]])</f>
        <v>1.4040561622464899E-2</v>
      </c>
      <c r="S1023">
        <v>416.46</v>
      </c>
      <c r="T1023">
        <f>(Table13[[#This Row],[Ideal_Cycle_Time_sec]]*Table13[[#This Row],[Actual_Qty]])/(Table13[[#This Row],[Operational_Time_min]]*60)</f>
        <v>0.90297587603451324</v>
      </c>
      <c r="U1023">
        <f>Table13[[#This Row],[Good_Qty]]/Table13[[#This Row],[Actual_Qty]]</f>
        <v>0.98595943837753508</v>
      </c>
      <c r="V1023" t="str">
        <f>IF(OR(Table13[[#This Row],[Performance_%]]&gt;=1,Table13[[#This Row],[Performance_%]]&lt;=0),"Error","OK")</f>
        <v>OK</v>
      </c>
      <c r="W1023" t="str">
        <f>IF(OR(Table13[[#This Row],[Quality_%]]&gt;=1,Table13[[#This Row],[Quality_%]]&lt;=0),"Error","OK")</f>
        <v>OK</v>
      </c>
      <c r="X1023">
        <f>Table13[[#This Row],[Performance_%]]*Table13[[#This Row],[Quality_%]]*[2]Availability_KPI!K1023</f>
        <v>0.82394074074074086</v>
      </c>
      <c r="Y1023" t="str">
        <f>IF(OR(Table13[[#This Row],[OEE_%]]&gt;1,Table13[[#This Row],[OEE_%]]&lt;0),"Error","OK")</f>
        <v>OK</v>
      </c>
    </row>
    <row r="1024" spans="1:25" x14ac:dyDescent="0.2">
      <c r="A1024" t="s">
        <v>1201</v>
      </c>
      <c r="B1024" t="s">
        <v>1195</v>
      </c>
      <c r="C1024" s="2">
        <v>46295</v>
      </c>
      <c r="D1024" t="s">
        <v>53</v>
      </c>
      <c r="E1024" t="s">
        <v>46</v>
      </c>
      <c r="F1024" t="s">
        <v>29</v>
      </c>
      <c r="G1024" t="s">
        <v>39</v>
      </c>
      <c r="H1024">
        <v>662</v>
      </c>
      <c r="I1024">
        <v>656</v>
      </c>
      <c r="J1024">
        <v>6</v>
      </c>
      <c r="K1024">
        <v>27.5</v>
      </c>
      <c r="L1024">
        <v>27.5</v>
      </c>
      <c r="M1024">
        <v>303.42</v>
      </c>
      <c r="N1024">
        <f>_xlfn.XLOOKUP(Table13[[#This Row],[Production_Order_ID]],[1]Sheet1!$A$2:$A$391,[1]Sheet1!$F$2:$F$391,"No Match")</f>
        <v>590</v>
      </c>
      <c r="O1024" s="3">
        <f>Table13[[#This Row],[Good_Qty]]/Table13[[#This Row],[Planned_Production]]</f>
        <v>1.111864406779661</v>
      </c>
      <c r="P1024" t="str">
        <f>IF(Table13[[#This Row],[Good_Qty]]&gt;=Table13[[#This Row],[Planned_Production]],"Met","Not Met")</f>
        <v>Met</v>
      </c>
      <c r="Q1024">
        <f>Table13[[#This Row],[Good_Qty]]-Table13[[#This Row],[Planned_Production]]</f>
        <v>66</v>
      </c>
      <c r="R1024" s="3">
        <f>IF(Table13[[#This Row],[Actual_Qty]]=0,0,Table13[[#This Row],[Reject_Qty]]/Table13[[#This Row],[Actual_Qty]])</f>
        <v>9.0634441087613302E-3</v>
      </c>
      <c r="S1024">
        <v>423.22</v>
      </c>
      <c r="T1024">
        <f>(Table13[[#This Row],[Ideal_Cycle_Time_sec]]*Table13[[#This Row],[Actual_Qty]])/(Table13[[#This Row],[Operational_Time_min]]*60)</f>
        <v>0.7169242159318242</v>
      </c>
      <c r="U1024">
        <f>Table13[[#This Row],[Good_Qty]]/Table13[[#This Row],[Actual_Qty]]</f>
        <v>0.99093655589123864</v>
      </c>
      <c r="V1024" t="str">
        <f>IF(OR(Table13[[#This Row],[Performance_%]]&gt;=1,Table13[[#This Row],[Performance_%]]&lt;=0),"Error","OK")</f>
        <v>OK</v>
      </c>
      <c r="W1024" t="str">
        <f>IF(OR(Table13[[#This Row],[Quality_%]]&gt;=1,Table13[[#This Row],[Quality_%]]&lt;=0),"Error","OK")</f>
        <v>OK</v>
      </c>
      <c r="X1024">
        <f>Table13[[#This Row],[Performance_%]]*Table13[[#This Row],[Quality_%]]*[2]Availability_KPI!K1024</f>
        <v>0.66814814814814816</v>
      </c>
      <c r="Y1024" t="str">
        <f>IF(OR(Table13[[#This Row],[OEE_%]]&gt;1,Table13[[#This Row],[OEE_%]]&lt;0),"Error","OK")</f>
        <v>OK</v>
      </c>
    </row>
    <row r="1025" spans="1:25" x14ac:dyDescent="0.2">
      <c r="A1025" t="s">
        <v>1202</v>
      </c>
      <c r="B1025" t="s">
        <v>1195</v>
      </c>
      <c r="C1025" s="2">
        <v>46295</v>
      </c>
      <c r="D1025" t="s">
        <v>53</v>
      </c>
      <c r="E1025" t="s">
        <v>49</v>
      </c>
      <c r="F1025" t="s">
        <v>29</v>
      </c>
      <c r="G1025" t="s">
        <v>61</v>
      </c>
      <c r="H1025">
        <v>658</v>
      </c>
      <c r="I1025">
        <v>656</v>
      </c>
      <c r="J1025">
        <v>2</v>
      </c>
      <c r="K1025">
        <v>22</v>
      </c>
      <c r="L1025">
        <v>23.68</v>
      </c>
      <c r="M1025">
        <v>259.69</v>
      </c>
      <c r="N1025">
        <f>_xlfn.XLOOKUP(Table13[[#This Row],[Production_Order_ID]],[1]Sheet1!$A$2:$A$391,[1]Sheet1!$F$2:$F$391,"No Match")</f>
        <v>590</v>
      </c>
      <c r="O1025" s="3">
        <f>Table13[[#This Row],[Good_Qty]]/Table13[[#This Row],[Planned_Production]]</f>
        <v>1.111864406779661</v>
      </c>
      <c r="P1025" t="str">
        <f>IF(Table13[[#This Row],[Good_Qty]]&gt;=Table13[[#This Row],[Planned_Production]],"Met","Not Met")</f>
        <v>Met</v>
      </c>
      <c r="Q1025">
        <f>Table13[[#This Row],[Good_Qty]]-Table13[[#This Row],[Planned_Production]]</f>
        <v>66</v>
      </c>
      <c r="R1025" s="3">
        <f>IF(Table13[[#This Row],[Actual_Qty]]=0,0,Table13[[#This Row],[Reject_Qty]]/Table13[[#This Row],[Actual_Qty]])</f>
        <v>3.0395136778115501E-3</v>
      </c>
      <c r="S1025">
        <v>437.99</v>
      </c>
      <c r="T1025">
        <f>(Table13[[#This Row],[Ideal_Cycle_Time_sec]]*Table13[[#This Row],[Actual_Qty]])/(Table13[[#This Row],[Operational_Time_min]]*60)</f>
        <v>0.55084971498588242</v>
      </c>
      <c r="U1025">
        <f>Table13[[#This Row],[Good_Qty]]/Table13[[#This Row],[Actual_Qty]]</f>
        <v>0.99696048632218848</v>
      </c>
      <c r="V1025" t="str">
        <f>IF(OR(Table13[[#This Row],[Performance_%]]&gt;=1,Table13[[#This Row],[Performance_%]]&lt;=0),"Error","OK")</f>
        <v>OK</v>
      </c>
      <c r="W1025" t="str">
        <f>IF(OR(Table13[[#This Row],[Quality_%]]&gt;=1,Table13[[#This Row],[Quality_%]]&lt;=0),"Error","OK")</f>
        <v>OK</v>
      </c>
      <c r="X1025">
        <f>Table13[[#This Row],[Performance_%]]*Table13[[#This Row],[Quality_%]]*[2]Availability_KPI!K1025</f>
        <v>0.5345185185185185</v>
      </c>
      <c r="Y1025" t="str">
        <f>IF(OR(Table13[[#This Row],[OEE_%]]&gt;1,Table13[[#This Row],[OEE_%]]&lt;0),"Error","OK")</f>
        <v>OK</v>
      </c>
    </row>
    <row r="1026" spans="1:25" x14ac:dyDescent="0.2">
      <c r="A1026" t="s">
        <v>1203</v>
      </c>
      <c r="B1026" t="s">
        <v>1204</v>
      </c>
      <c r="C1026" s="2">
        <v>46295</v>
      </c>
      <c r="D1026" t="s">
        <v>67</v>
      </c>
      <c r="E1026" t="s">
        <v>28</v>
      </c>
      <c r="F1026" t="s">
        <v>97</v>
      </c>
      <c r="G1026" t="s">
        <v>36</v>
      </c>
      <c r="H1026">
        <v>558</v>
      </c>
      <c r="I1026">
        <v>555</v>
      </c>
      <c r="J1026">
        <v>3</v>
      </c>
      <c r="K1026">
        <v>19.260000000000002</v>
      </c>
      <c r="L1026">
        <v>20.420000000000002</v>
      </c>
      <c r="M1026">
        <v>189.91</v>
      </c>
      <c r="N1026">
        <f>_xlfn.XLOOKUP(Table13[[#This Row],[Production_Order_ID]],[1]Sheet1!$A$2:$A$391,[1]Sheet1!$F$2:$F$391,"No Match")</f>
        <v>440</v>
      </c>
      <c r="O1026" s="3">
        <f>Table13[[#This Row],[Good_Qty]]/Table13[[#This Row],[Planned_Production]]</f>
        <v>1.2613636363636365</v>
      </c>
      <c r="P1026" t="str">
        <f>IF(Table13[[#This Row],[Good_Qty]]&gt;=Table13[[#This Row],[Planned_Production]],"Met","Not Met")</f>
        <v>Met</v>
      </c>
      <c r="Q1026">
        <f>Table13[[#This Row],[Good_Qty]]-Table13[[#This Row],[Planned_Production]]</f>
        <v>115</v>
      </c>
      <c r="R1026" s="3">
        <f>IF(Table13[[#This Row],[Actual_Qty]]=0,0,Table13[[#This Row],[Reject_Qty]]/Table13[[#This Row],[Actual_Qty]])</f>
        <v>5.3763440860215058E-3</v>
      </c>
      <c r="S1026">
        <v>442.51</v>
      </c>
      <c r="T1026">
        <f>(Table13[[#This Row],[Ideal_Cycle_Time_sec]]*Table13[[#This Row],[Actual_Qty]])/(Table13[[#This Row],[Operational_Time_min]]*60)</f>
        <v>0.40477729316851607</v>
      </c>
      <c r="U1026">
        <f>Table13[[#This Row],[Good_Qty]]/Table13[[#This Row],[Actual_Qty]]</f>
        <v>0.9946236559139785</v>
      </c>
      <c r="V1026" t="str">
        <f>IF(OR(Table13[[#This Row],[Performance_%]]&gt;=1,Table13[[#This Row],[Performance_%]]&lt;=0),"Error","OK")</f>
        <v>OK</v>
      </c>
      <c r="W1026" t="str">
        <f>IF(OR(Table13[[#This Row],[Quality_%]]&gt;=1,Table13[[#This Row],[Quality_%]]&lt;=0),"Error","OK")</f>
        <v>OK</v>
      </c>
      <c r="X1026">
        <f>Table13[[#This Row],[Performance_%]]*Table13[[#This Row],[Quality_%]]*[2]Availability_KPI!K1026</f>
        <v>0.39590000000000009</v>
      </c>
      <c r="Y1026" t="str">
        <f>IF(OR(Table13[[#This Row],[OEE_%]]&gt;1,Table13[[#This Row],[OEE_%]]&lt;0),"Error","OK")</f>
        <v>OK</v>
      </c>
    </row>
    <row r="1027" spans="1:25" x14ac:dyDescent="0.2">
      <c r="A1027" t="s">
        <v>1205</v>
      </c>
      <c r="B1027" t="s">
        <v>1204</v>
      </c>
      <c r="C1027" s="2">
        <v>46295</v>
      </c>
      <c r="D1027" t="s">
        <v>67</v>
      </c>
      <c r="E1027" t="s">
        <v>32</v>
      </c>
      <c r="F1027" t="s">
        <v>97</v>
      </c>
      <c r="G1027" t="s">
        <v>30</v>
      </c>
      <c r="H1027">
        <v>542</v>
      </c>
      <c r="I1027">
        <v>538</v>
      </c>
      <c r="J1027">
        <v>4</v>
      </c>
      <c r="K1027">
        <v>21.4</v>
      </c>
      <c r="L1027">
        <v>21.4</v>
      </c>
      <c r="M1027">
        <v>193.31</v>
      </c>
      <c r="N1027">
        <f>_xlfn.XLOOKUP(Table13[[#This Row],[Production_Order_ID]],[1]Sheet1!$A$2:$A$391,[1]Sheet1!$F$2:$F$391,"No Match")</f>
        <v>440</v>
      </c>
      <c r="O1027" s="3">
        <f>Table13[[#This Row],[Good_Qty]]/Table13[[#This Row],[Planned_Production]]</f>
        <v>1.2227272727272727</v>
      </c>
      <c r="P1027" t="str">
        <f>IF(Table13[[#This Row],[Good_Qty]]&gt;=Table13[[#This Row],[Planned_Production]],"Met","Not Met")</f>
        <v>Met</v>
      </c>
      <c r="Q1027">
        <f>Table13[[#This Row],[Good_Qty]]-Table13[[#This Row],[Planned_Production]]</f>
        <v>98</v>
      </c>
      <c r="R1027" s="3">
        <f>IF(Table13[[#This Row],[Actual_Qty]]=0,0,Table13[[#This Row],[Reject_Qty]]/Table13[[#This Row],[Actual_Qty]])</f>
        <v>7.3800738007380072E-3</v>
      </c>
      <c r="S1027">
        <v>440.32</v>
      </c>
      <c r="T1027">
        <f>(Table13[[#This Row],[Ideal_Cycle_Time_sec]]*Table13[[#This Row],[Actual_Qty]])/(Table13[[#This Row],[Operational_Time_min]]*60)</f>
        <v>0.43902919089147285</v>
      </c>
      <c r="U1027">
        <f>Table13[[#This Row],[Good_Qty]]/Table13[[#This Row],[Actual_Qty]]</f>
        <v>0.99261992619926198</v>
      </c>
      <c r="V1027" t="str">
        <f>IF(OR(Table13[[#This Row],[Performance_%]]&gt;=1,Table13[[#This Row],[Performance_%]]&lt;=0),"Error","OK")</f>
        <v>OK</v>
      </c>
      <c r="W1027" t="str">
        <f>IF(OR(Table13[[#This Row],[Quality_%]]&gt;=1,Table13[[#This Row],[Quality_%]]&lt;=0),"Error","OK")</f>
        <v>OK</v>
      </c>
      <c r="X1027">
        <f>Table13[[#This Row],[Performance_%]]*Table13[[#This Row],[Quality_%]]*[2]Availability_KPI!K1027</f>
        <v>0.4264148148148148</v>
      </c>
      <c r="Y1027" t="str">
        <f>IF(OR(Table13[[#This Row],[OEE_%]]&gt;1,Table13[[#This Row],[OEE_%]]&lt;0),"Error","OK")</f>
        <v>OK</v>
      </c>
    </row>
    <row r="1028" spans="1:25" x14ac:dyDescent="0.2">
      <c r="A1028" t="s">
        <v>1206</v>
      </c>
      <c r="B1028" t="s">
        <v>1204</v>
      </c>
      <c r="C1028" s="2">
        <v>46295</v>
      </c>
      <c r="D1028" t="s">
        <v>67</v>
      </c>
      <c r="E1028" t="s">
        <v>35</v>
      </c>
      <c r="F1028" t="s">
        <v>97</v>
      </c>
      <c r="G1028" t="s">
        <v>36</v>
      </c>
      <c r="H1028">
        <v>555</v>
      </c>
      <c r="I1028">
        <v>550</v>
      </c>
      <c r="J1028">
        <v>5</v>
      </c>
      <c r="K1028">
        <v>23.54</v>
      </c>
      <c r="L1028">
        <v>25.21</v>
      </c>
      <c r="M1028">
        <v>233.19</v>
      </c>
      <c r="N1028">
        <f>_xlfn.XLOOKUP(Table13[[#This Row],[Production_Order_ID]],[1]Sheet1!$A$2:$A$391,[1]Sheet1!$F$2:$F$391,"No Match")</f>
        <v>440</v>
      </c>
      <c r="O1028" s="3">
        <f>Table13[[#This Row],[Good_Qty]]/Table13[[#This Row],[Planned_Production]]</f>
        <v>1.25</v>
      </c>
      <c r="P1028" t="str">
        <f>IF(Table13[[#This Row],[Good_Qty]]&gt;=Table13[[#This Row],[Planned_Production]],"Met","Not Met")</f>
        <v>Met</v>
      </c>
      <c r="Q1028">
        <f>Table13[[#This Row],[Good_Qty]]-Table13[[#This Row],[Planned_Production]]</f>
        <v>110</v>
      </c>
      <c r="R1028" s="3">
        <f>IF(Table13[[#This Row],[Actual_Qty]]=0,0,Table13[[#This Row],[Reject_Qty]]/Table13[[#This Row],[Actual_Qty]])</f>
        <v>9.0090090090090089E-3</v>
      </c>
      <c r="S1028">
        <v>433.14</v>
      </c>
      <c r="T1028">
        <f>(Table13[[#This Row],[Ideal_Cycle_Time_sec]]*Table13[[#This Row],[Actual_Qty]])/(Table13[[#This Row],[Operational_Time_min]]*60)</f>
        <v>0.50271274876483352</v>
      </c>
      <c r="U1028">
        <f>Table13[[#This Row],[Good_Qty]]/Table13[[#This Row],[Actual_Qty]]</f>
        <v>0.99099099099099097</v>
      </c>
      <c r="V1028" t="str">
        <f>IF(OR(Table13[[#This Row],[Performance_%]]&gt;=1,Table13[[#This Row],[Performance_%]]&lt;=0),"Error","OK")</f>
        <v>OK</v>
      </c>
      <c r="W1028" t="str">
        <f>IF(OR(Table13[[#This Row],[Quality_%]]&gt;=1,Table13[[#This Row],[Quality_%]]&lt;=0),"Error","OK")</f>
        <v>OK</v>
      </c>
      <c r="X1028">
        <f>Table13[[#This Row],[Performance_%]]*Table13[[#This Row],[Quality_%]]*[2]Availability_KPI!K1028</f>
        <v>0.47951851851851851</v>
      </c>
      <c r="Y1028" t="str">
        <f>IF(OR(Table13[[#This Row],[OEE_%]]&gt;1,Table13[[#This Row],[OEE_%]]&lt;0),"Error","OK")</f>
        <v>OK</v>
      </c>
    </row>
    <row r="1029" spans="1:25" x14ac:dyDescent="0.2">
      <c r="A1029" t="s">
        <v>1207</v>
      </c>
      <c r="B1029" t="s">
        <v>1204</v>
      </c>
      <c r="C1029" s="2">
        <v>46295</v>
      </c>
      <c r="D1029" t="s">
        <v>67</v>
      </c>
      <c r="E1029" t="s">
        <v>38</v>
      </c>
      <c r="F1029" t="s">
        <v>97</v>
      </c>
      <c r="G1029" t="s">
        <v>55</v>
      </c>
      <c r="H1029">
        <v>547</v>
      </c>
      <c r="I1029">
        <v>544</v>
      </c>
      <c r="J1029">
        <v>3</v>
      </c>
      <c r="K1029">
        <v>21.4</v>
      </c>
      <c r="L1029">
        <v>23.61</v>
      </c>
      <c r="M1029">
        <v>215.2</v>
      </c>
      <c r="N1029">
        <f>_xlfn.XLOOKUP(Table13[[#This Row],[Production_Order_ID]],[1]Sheet1!$A$2:$A$391,[1]Sheet1!$F$2:$F$391,"No Match")</f>
        <v>440</v>
      </c>
      <c r="O1029" s="3">
        <f>Table13[[#This Row],[Good_Qty]]/Table13[[#This Row],[Planned_Production]]</f>
        <v>1.2363636363636363</v>
      </c>
      <c r="P1029" t="str">
        <f>IF(Table13[[#This Row],[Good_Qty]]&gt;=Table13[[#This Row],[Planned_Production]],"Met","Not Met")</f>
        <v>Met</v>
      </c>
      <c r="Q1029">
        <f>Table13[[#This Row],[Good_Qty]]-Table13[[#This Row],[Planned_Production]]</f>
        <v>104</v>
      </c>
      <c r="R1029" s="3">
        <f>IF(Table13[[#This Row],[Actual_Qty]]=0,0,Table13[[#This Row],[Reject_Qty]]/Table13[[#This Row],[Actual_Qty]])</f>
        <v>5.4844606946983544E-3</v>
      </c>
      <c r="S1029">
        <v>440.88</v>
      </c>
      <c r="T1029">
        <f>(Table13[[#This Row],[Ideal_Cycle_Time_sec]]*Table13[[#This Row],[Actual_Qty]])/(Table13[[#This Row],[Operational_Time_min]]*60)</f>
        <v>0.44251648218714085</v>
      </c>
      <c r="U1029">
        <f>Table13[[#This Row],[Good_Qty]]/Table13[[#This Row],[Actual_Qty]]</f>
        <v>0.99451553930530168</v>
      </c>
      <c r="V1029" t="str">
        <f>IF(OR(Table13[[#This Row],[Performance_%]]&gt;=1,Table13[[#This Row],[Performance_%]]&lt;=0),"Error","OK")</f>
        <v>OK</v>
      </c>
      <c r="W1029" t="str">
        <f>IF(OR(Table13[[#This Row],[Quality_%]]&gt;=1,Table13[[#This Row],[Quality_%]]&lt;=0),"Error","OK")</f>
        <v>OK</v>
      </c>
      <c r="X1029">
        <f>Table13[[#This Row],[Performance_%]]*Table13[[#This Row],[Quality_%]]*[2]Availability_KPI!K1029</f>
        <v>0.43117037037037031</v>
      </c>
      <c r="Y1029" t="str">
        <f>IF(OR(Table13[[#This Row],[OEE_%]]&gt;1,Table13[[#This Row],[OEE_%]]&lt;0),"Error","OK")</f>
        <v>OK</v>
      </c>
    </row>
    <row r="1030" spans="1:25" x14ac:dyDescent="0.2">
      <c r="A1030" t="s">
        <v>1208</v>
      </c>
      <c r="B1030" t="s">
        <v>1204</v>
      </c>
      <c r="C1030" s="2">
        <v>46295</v>
      </c>
      <c r="D1030" t="s">
        <v>67</v>
      </c>
      <c r="E1030" t="s">
        <v>41</v>
      </c>
      <c r="F1030" t="s">
        <v>97</v>
      </c>
      <c r="G1030" t="s">
        <v>33</v>
      </c>
      <c r="H1030">
        <v>548</v>
      </c>
      <c r="I1030">
        <v>544</v>
      </c>
      <c r="J1030">
        <v>4</v>
      </c>
      <c r="K1030">
        <v>19.260000000000002</v>
      </c>
      <c r="L1030">
        <v>20.28</v>
      </c>
      <c r="M1030">
        <v>185.24</v>
      </c>
      <c r="N1030">
        <f>_xlfn.XLOOKUP(Table13[[#This Row],[Production_Order_ID]],[1]Sheet1!$A$2:$A$391,[1]Sheet1!$F$2:$F$391,"No Match")</f>
        <v>440</v>
      </c>
      <c r="O1030" s="3">
        <f>Table13[[#This Row],[Good_Qty]]/Table13[[#This Row],[Planned_Production]]</f>
        <v>1.2363636363636363</v>
      </c>
      <c r="P1030" t="str">
        <f>IF(Table13[[#This Row],[Good_Qty]]&gt;=Table13[[#This Row],[Planned_Production]],"Met","Not Met")</f>
        <v>Met</v>
      </c>
      <c r="Q1030">
        <f>Table13[[#This Row],[Good_Qty]]-Table13[[#This Row],[Planned_Production]]</f>
        <v>104</v>
      </c>
      <c r="R1030" s="3">
        <f>IF(Table13[[#This Row],[Actual_Qty]]=0,0,Table13[[#This Row],[Reject_Qty]]/Table13[[#This Row],[Actual_Qty]])</f>
        <v>7.2992700729927005E-3</v>
      </c>
      <c r="S1030">
        <v>439.11</v>
      </c>
      <c r="T1030">
        <f>(Table13[[#This Row],[Ideal_Cycle_Time_sec]]*Table13[[#This Row],[Actual_Qty]])/(Table13[[#This Row],[Operational_Time_min]]*60)</f>
        <v>0.40060121609619459</v>
      </c>
      <c r="U1030">
        <f>Table13[[#This Row],[Good_Qty]]/Table13[[#This Row],[Actual_Qty]]</f>
        <v>0.99270072992700731</v>
      </c>
      <c r="V1030" t="str">
        <f>IF(OR(Table13[[#This Row],[Performance_%]]&gt;=1,Table13[[#This Row],[Performance_%]]&lt;=0),"Error","OK")</f>
        <v>OK</v>
      </c>
      <c r="W1030" t="str">
        <f>IF(OR(Table13[[#This Row],[Quality_%]]&gt;=1,Table13[[#This Row],[Quality_%]]&lt;=0),"Error","OK")</f>
        <v>OK</v>
      </c>
      <c r="X1030">
        <f>Table13[[#This Row],[Performance_%]]*Table13[[#This Row],[Quality_%]]*[2]Availability_KPI!K1030</f>
        <v>0.38805333333333336</v>
      </c>
      <c r="Y1030" t="str">
        <f>IF(OR(Table13[[#This Row],[OEE_%]]&gt;1,Table13[[#This Row],[OEE_%]]&lt;0),"Error","OK")</f>
        <v>OK</v>
      </c>
    </row>
    <row r="1031" spans="1:25" x14ac:dyDescent="0.2">
      <c r="A1031" t="s">
        <v>1209</v>
      </c>
      <c r="B1031" t="s">
        <v>1204</v>
      </c>
      <c r="C1031" s="2">
        <v>46295</v>
      </c>
      <c r="D1031" t="s">
        <v>67</v>
      </c>
      <c r="E1031" t="s">
        <v>43</v>
      </c>
      <c r="F1031" t="s">
        <v>97</v>
      </c>
      <c r="G1031" t="s">
        <v>47</v>
      </c>
      <c r="H1031">
        <v>535</v>
      </c>
      <c r="I1031">
        <v>530</v>
      </c>
      <c r="J1031">
        <v>5</v>
      </c>
      <c r="K1031">
        <v>34.24</v>
      </c>
      <c r="L1031">
        <v>35.32</v>
      </c>
      <c r="M1031">
        <v>314.94</v>
      </c>
      <c r="N1031">
        <f>_xlfn.XLOOKUP(Table13[[#This Row],[Production_Order_ID]],[1]Sheet1!$A$2:$A$391,[1]Sheet1!$F$2:$F$391,"No Match")</f>
        <v>440</v>
      </c>
      <c r="O1031" s="3">
        <f>Table13[[#This Row],[Good_Qty]]/Table13[[#This Row],[Planned_Production]]</f>
        <v>1.2045454545454546</v>
      </c>
      <c r="P1031" t="str">
        <f>IF(Table13[[#This Row],[Good_Qty]]&gt;=Table13[[#This Row],[Planned_Production]],"Met","Not Met")</f>
        <v>Met</v>
      </c>
      <c r="Q1031">
        <f>Table13[[#This Row],[Good_Qty]]-Table13[[#This Row],[Planned_Production]]</f>
        <v>90</v>
      </c>
      <c r="R1031" s="3">
        <f>IF(Table13[[#This Row],[Actual_Qty]]=0,0,Table13[[#This Row],[Reject_Qty]]/Table13[[#This Row],[Actual_Qty]])</f>
        <v>9.3457943925233638E-3</v>
      </c>
      <c r="S1031">
        <v>411.29</v>
      </c>
      <c r="T1031">
        <f>(Table13[[#This Row],[Ideal_Cycle_Time_sec]]*Table13[[#This Row],[Actual_Qty]])/(Table13[[#This Row],[Operational_Time_min]]*60)</f>
        <v>0.74231483057372338</v>
      </c>
      <c r="U1031">
        <f>Table13[[#This Row],[Good_Qty]]/Table13[[#This Row],[Actual_Qty]]</f>
        <v>0.99065420560747663</v>
      </c>
      <c r="V1031" t="str">
        <f>IF(OR(Table13[[#This Row],[Performance_%]]&gt;=1,Table13[[#This Row],[Performance_%]]&lt;=0),"Error","OK")</f>
        <v>OK</v>
      </c>
      <c r="W1031" t="str">
        <f>IF(OR(Table13[[#This Row],[Quality_%]]&gt;=1,Table13[[#This Row],[Quality_%]]&lt;=0),"Error","OK")</f>
        <v>OK</v>
      </c>
      <c r="X1031">
        <f>Table13[[#This Row],[Performance_%]]*Table13[[#This Row],[Quality_%]]*[2]Availability_KPI!K1031</f>
        <v>0.67211851851851856</v>
      </c>
      <c r="Y1031" t="str">
        <f>IF(OR(Table13[[#This Row],[OEE_%]]&gt;1,Table13[[#This Row],[OEE_%]]&lt;0),"Error","OK")</f>
        <v>OK</v>
      </c>
    </row>
    <row r="1032" spans="1:25" x14ac:dyDescent="0.2">
      <c r="A1032" t="s">
        <v>1210</v>
      </c>
      <c r="B1032" t="s">
        <v>1204</v>
      </c>
      <c r="C1032" s="2">
        <v>46295</v>
      </c>
      <c r="D1032" t="s">
        <v>67</v>
      </c>
      <c r="E1032" t="s">
        <v>46</v>
      </c>
      <c r="F1032" t="s">
        <v>97</v>
      </c>
      <c r="G1032" t="s">
        <v>71</v>
      </c>
      <c r="H1032">
        <v>547</v>
      </c>
      <c r="I1032">
        <v>543</v>
      </c>
      <c r="J1032">
        <v>4</v>
      </c>
      <c r="K1032">
        <v>26.75</v>
      </c>
      <c r="L1032">
        <v>27.9</v>
      </c>
      <c r="M1032">
        <v>254.38</v>
      </c>
      <c r="N1032">
        <f>_xlfn.XLOOKUP(Table13[[#This Row],[Production_Order_ID]],[1]Sheet1!$A$2:$A$391,[1]Sheet1!$F$2:$F$391,"No Match")</f>
        <v>440</v>
      </c>
      <c r="O1032" s="3">
        <f>Table13[[#This Row],[Good_Qty]]/Table13[[#This Row],[Planned_Production]]</f>
        <v>1.2340909090909091</v>
      </c>
      <c r="P1032" t="str">
        <f>IF(Table13[[#This Row],[Good_Qty]]&gt;=Table13[[#This Row],[Planned_Production]],"Met","Not Met")</f>
        <v>Met</v>
      </c>
      <c r="Q1032">
        <f>Table13[[#This Row],[Good_Qty]]-Table13[[#This Row],[Planned_Production]]</f>
        <v>103</v>
      </c>
      <c r="R1032" s="3">
        <f>IF(Table13[[#This Row],[Actual_Qty]]=0,0,Table13[[#This Row],[Reject_Qty]]/Table13[[#This Row],[Actual_Qty]])</f>
        <v>7.3126142595978062E-3</v>
      </c>
      <c r="S1032">
        <v>427.35</v>
      </c>
      <c r="T1032">
        <f>(Table13[[#This Row],[Ideal_Cycle_Time_sec]]*Table13[[#This Row],[Actual_Qty]])/(Table13[[#This Row],[Operational_Time_min]]*60)</f>
        <v>0.57065832065832067</v>
      </c>
      <c r="U1032">
        <f>Table13[[#This Row],[Good_Qty]]/Table13[[#This Row],[Actual_Qty]]</f>
        <v>0.99268738574040216</v>
      </c>
      <c r="V1032" t="str">
        <f>IF(OR(Table13[[#This Row],[Performance_%]]&gt;=1,Table13[[#This Row],[Performance_%]]&lt;=0),"Error","OK")</f>
        <v>OK</v>
      </c>
      <c r="W1032" t="str">
        <f>IF(OR(Table13[[#This Row],[Quality_%]]&gt;=1,Table13[[#This Row],[Quality_%]]&lt;=0),"Error","OK")</f>
        <v>OK</v>
      </c>
      <c r="X1032">
        <f>Table13[[#This Row],[Performance_%]]*Table13[[#This Row],[Quality_%]]*[2]Availability_KPI!K1032</f>
        <v>0.5379722222222223</v>
      </c>
      <c r="Y1032" t="str">
        <f>IF(OR(Table13[[#This Row],[OEE_%]]&gt;1,Table13[[#This Row],[OEE_%]]&lt;0),"Error","OK")</f>
        <v>OK</v>
      </c>
    </row>
    <row r="1033" spans="1:25" x14ac:dyDescent="0.2">
      <c r="A1033" t="s">
        <v>1211</v>
      </c>
      <c r="B1033" t="s">
        <v>1204</v>
      </c>
      <c r="C1033" s="2">
        <v>46295</v>
      </c>
      <c r="D1033" t="s">
        <v>67</v>
      </c>
      <c r="E1033" t="s">
        <v>49</v>
      </c>
      <c r="F1033" t="s">
        <v>97</v>
      </c>
      <c r="G1033" t="s">
        <v>55</v>
      </c>
      <c r="H1033">
        <v>541</v>
      </c>
      <c r="I1033">
        <v>537</v>
      </c>
      <c r="J1033">
        <v>4</v>
      </c>
      <c r="K1033">
        <v>21.4</v>
      </c>
      <c r="L1033">
        <v>21.71</v>
      </c>
      <c r="M1033">
        <v>195.73</v>
      </c>
      <c r="N1033">
        <f>_xlfn.XLOOKUP(Table13[[#This Row],[Production_Order_ID]],[1]Sheet1!$A$2:$A$391,[1]Sheet1!$F$2:$F$391,"No Match")</f>
        <v>440</v>
      </c>
      <c r="O1033" s="3">
        <f>Table13[[#This Row],[Good_Qty]]/Table13[[#This Row],[Planned_Production]]</f>
        <v>1.2204545454545455</v>
      </c>
      <c r="P1033" t="str">
        <f>IF(Table13[[#This Row],[Good_Qty]]&gt;=Table13[[#This Row],[Planned_Production]],"Met","Not Met")</f>
        <v>Met</v>
      </c>
      <c r="Q1033">
        <f>Table13[[#This Row],[Good_Qty]]-Table13[[#This Row],[Planned_Production]]</f>
        <v>97</v>
      </c>
      <c r="R1033" s="3">
        <f>IF(Table13[[#This Row],[Actual_Qty]]=0,0,Table13[[#This Row],[Reject_Qty]]/Table13[[#This Row],[Actual_Qty]])</f>
        <v>7.3937153419593345E-3</v>
      </c>
      <c r="S1033">
        <v>442.88</v>
      </c>
      <c r="T1033">
        <f>(Table13[[#This Row],[Ideal_Cycle_Time_sec]]*Table13[[#This Row],[Actual_Qty]])/(Table13[[#This Row],[Operational_Time_min]]*60)</f>
        <v>0.43568611512524086</v>
      </c>
      <c r="U1033">
        <f>Table13[[#This Row],[Good_Qty]]/Table13[[#This Row],[Actual_Qty]]</f>
        <v>0.99260628465804068</v>
      </c>
      <c r="V1033" t="str">
        <f>IF(OR(Table13[[#This Row],[Performance_%]]&gt;=1,Table13[[#This Row],[Performance_%]]&lt;=0),"Error","OK")</f>
        <v>OK</v>
      </c>
      <c r="W1033" t="str">
        <f>IF(OR(Table13[[#This Row],[Quality_%]]&gt;=1,Table13[[#This Row],[Quality_%]]&lt;=0),"Error","OK")</f>
        <v>OK</v>
      </c>
      <c r="X1033">
        <f>Table13[[#This Row],[Performance_%]]*Table13[[#This Row],[Quality_%]]*[2]Availability_KPI!K1033</f>
        <v>0.42562222222222224</v>
      </c>
      <c r="Y1033" t="str">
        <f>IF(OR(Table13[[#This Row],[OEE_%]]&gt;1,Table13[[#This Row],[OEE_%]]&lt;0),"Error","OK")</f>
        <v>OK</v>
      </c>
    </row>
    <row r="1034" spans="1:25" x14ac:dyDescent="0.2">
      <c r="A1034" t="s">
        <v>1212</v>
      </c>
      <c r="B1034" t="s">
        <v>1213</v>
      </c>
      <c r="C1034" s="2">
        <v>46296</v>
      </c>
      <c r="D1034" t="s">
        <v>27</v>
      </c>
      <c r="E1034" t="s">
        <v>28</v>
      </c>
      <c r="F1034" t="s">
        <v>54</v>
      </c>
      <c r="G1034" t="s">
        <v>75</v>
      </c>
      <c r="H1034">
        <v>602</v>
      </c>
      <c r="I1034">
        <v>598</v>
      </c>
      <c r="J1034">
        <v>4</v>
      </c>
      <c r="K1034">
        <v>18</v>
      </c>
      <c r="L1034">
        <v>18.440000000000001</v>
      </c>
      <c r="M1034">
        <v>185.05</v>
      </c>
      <c r="N1034">
        <f>_xlfn.XLOOKUP(Table13[[#This Row],[Production_Order_ID]],[1]Sheet1!$A$2:$A$391,[1]Sheet1!$F$2:$F$391,"No Match")</f>
        <v>470</v>
      </c>
      <c r="O1034" s="3">
        <f>Table13[[#This Row],[Good_Qty]]/Table13[[#This Row],[Planned_Production]]</f>
        <v>1.2723404255319148</v>
      </c>
      <c r="P1034" t="str">
        <f>IF(Table13[[#This Row],[Good_Qty]]&gt;=Table13[[#This Row],[Planned_Production]],"Met","Not Met")</f>
        <v>Met</v>
      </c>
      <c r="Q1034">
        <f>Table13[[#This Row],[Good_Qty]]-Table13[[#This Row],[Planned_Production]]</f>
        <v>128</v>
      </c>
      <c r="R1034" s="3">
        <f>IF(Table13[[#This Row],[Actual_Qty]]=0,0,Table13[[#This Row],[Reject_Qty]]/Table13[[#This Row],[Actual_Qty]])</f>
        <v>6.6445182724252493E-3</v>
      </c>
      <c r="S1034">
        <v>440.07</v>
      </c>
      <c r="T1034">
        <f>(Table13[[#This Row],[Ideal_Cycle_Time_sec]]*Table13[[#This Row],[Actual_Qty]])/(Table13[[#This Row],[Operational_Time_min]]*60)</f>
        <v>0.41038925625468675</v>
      </c>
      <c r="U1034">
        <f>Table13[[#This Row],[Good_Qty]]/Table13[[#This Row],[Actual_Qty]]</f>
        <v>0.99335548172757471</v>
      </c>
      <c r="V1034" t="str">
        <f>IF(OR(Table13[[#This Row],[Performance_%]]&gt;=1,Table13[[#This Row],[Performance_%]]&lt;=0),"Error","OK")</f>
        <v>OK</v>
      </c>
      <c r="W1034" t="str">
        <f>IF(OR(Table13[[#This Row],[Quality_%]]&gt;=1,Table13[[#This Row],[Quality_%]]&lt;=0),"Error","OK")</f>
        <v>OK</v>
      </c>
      <c r="X1034">
        <f>Table13[[#This Row],[Performance_%]]*Table13[[#This Row],[Quality_%]]*[2]Availability_KPI!K1034</f>
        <v>0.39866666666666667</v>
      </c>
      <c r="Y1034" t="str">
        <f>IF(OR(Table13[[#This Row],[OEE_%]]&gt;1,Table13[[#This Row],[OEE_%]]&lt;0),"Error","OK")</f>
        <v>OK</v>
      </c>
    </row>
    <row r="1035" spans="1:25" x14ac:dyDescent="0.2">
      <c r="A1035" t="s">
        <v>1214</v>
      </c>
      <c r="B1035" t="s">
        <v>1213</v>
      </c>
      <c r="C1035" s="2">
        <v>46296</v>
      </c>
      <c r="D1035" t="s">
        <v>27</v>
      </c>
      <c r="E1035" t="s">
        <v>32</v>
      </c>
      <c r="F1035" t="s">
        <v>54</v>
      </c>
      <c r="G1035" t="s">
        <v>39</v>
      </c>
      <c r="H1035">
        <v>587</v>
      </c>
      <c r="I1035">
        <v>582</v>
      </c>
      <c r="J1035">
        <v>5</v>
      </c>
      <c r="K1035">
        <v>20</v>
      </c>
      <c r="L1035">
        <v>21.39</v>
      </c>
      <c r="M1035">
        <v>209.27</v>
      </c>
      <c r="N1035">
        <f>_xlfn.XLOOKUP(Table13[[#This Row],[Production_Order_ID]],[1]Sheet1!$A$2:$A$391,[1]Sheet1!$F$2:$F$391,"No Match")</f>
        <v>470</v>
      </c>
      <c r="O1035" s="3">
        <f>Table13[[#This Row],[Good_Qty]]/Table13[[#This Row],[Planned_Production]]</f>
        <v>1.2382978723404254</v>
      </c>
      <c r="P1035" t="str">
        <f>IF(Table13[[#This Row],[Good_Qty]]&gt;=Table13[[#This Row],[Planned_Production]],"Met","Not Met")</f>
        <v>Met</v>
      </c>
      <c r="Q1035">
        <f>Table13[[#This Row],[Good_Qty]]-Table13[[#This Row],[Planned_Production]]</f>
        <v>112</v>
      </c>
      <c r="R1035" s="3">
        <f>IF(Table13[[#This Row],[Actual_Qty]]=0,0,Table13[[#This Row],[Reject_Qty]]/Table13[[#This Row],[Actual_Qty]])</f>
        <v>8.5178875638841564E-3</v>
      </c>
      <c r="S1035">
        <v>436.15</v>
      </c>
      <c r="T1035">
        <f>(Table13[[#This Row],[Ideal_Cycle_Time_sec]]*Table13[[#This Row],[Actual_Qty]])/(Table13[[#This Row],[Operational_Time_min]]*60)</f>
        <v>0.44862241583553059</v>
      </c>
      <c r="U1035">
        <f>Table13[[#This Row],[Good_Qty]]/Table13[[#This Row],[Actual_Qty]]</f>
        <v>0.99148211243611584</v>
      </c>
      <c r="V1035" t="str">
        <f>IF(OR(Table13[[#This Row],[Performance_%]]&gt;=1,Table13[[#This Row],[Performance_%]]&lt;=0),"Error","OK")</f>
        <v>OK</v>
      </c>
      <c r="W1035" t="str">
        <f>IF(OR(Table13[[#This Row],[Quality_%]]&gt;=1,Table13[[#This Row],[Quality_%]]&lt;=0),"Error","OK")</f>
        <v>OK</v>
      </c>
      <c r="X1035">
        <f>Table13[[#This Row],[Performance_%]]*Table13[[#This Row],[Quality_%]]*[2]Availability_KPI!K1035</f>
        <v>0.43111111111111111</v>
      </c>
      <c r="Y1035" t="str">
        <f>IF(OR(Table13[[#This Row],[OEE_%]]&gt;1,Table13[[#This Row],[OEE_%]]&lt;0),"Error","OK")</f>
        <v>OK</v>
      </c>
    </row>
    <row r="1036" spans="1:25" x14ac:dyDescent="0.2">
      <c r="A1036" t="s">
        <v>1215</v>
      </c>
      <c r="B1036" t="s">
        <v>1213</v>
      </c>
      <c r="C1036" s="2">
        <v>46296</v>
      </c>
      <c r="D1036" t="s">
        <v>27</v>
      </c>
      <c r="E1036" t="s">
        <v>35</v>
      </c>
      <c r="F1036" t="s">
        <v>54</v>
      </c>
      <c r="G1036" t="s">
        <v>39</v>
      </c>
      <c r="H1036">
        <v>612</v>
      </c>
      <c r="I1036">
        <v>608</v>
      </c>
      <c r="J1036">
        <v>4</v>
      </c>
      <c r="K1036">
        <v>22</v>
      </c>
      <c r="L1036">
        <v>23.15</v>
      </c>
      <c r="M1036">
        <v>236.17</v>
      </c>
      <c r="N1036">
        <f>_xlfn.XLOOKUP(Table13[[#This Row],[Production_Order_ID]],[1]Sheet1!$A$2:$A$391,[1]Sheet1!$F$2:$F$391,"No Match")</f>
        <v>470</v>
      </c>
      <c r="O1036" s="3">
        <f>Table13[[#This Row],[Good_Qty]]/Table13[[#This Row],[Planned_Production]]</f>
        <v>1.2936170212765958</v>
      </c>
      <c r="P1036" t="str">
        <f>IF(Table13[[#This Row],[Good_Qty]]&gt;=Table13[[#This Row],[Planned_Production]],"Met","Not Met")</f>
        <v>Met</v>
      </c>
      <c r="Q1036">
        <f>Table13[[#This Row],[Good_Qty]]-Table13[[#This Row],[Planned_Production]]</f>
        <v>138</v>
      </c>
      <c r="R1036" s="3">
        <f>IF(Table13[[#This Row],[Actual_Qty]]=0,0,Table13[[#This Row],[Reject_Qty]]/Table13[[#This Row],[Actual_Qty]])</f>
        <v>6.5359477124183009E-3</v>
      </c>
      <c r="S1036">
        <v>437.68</v>
      </c>
      <c r="T1036">
        <f>(Table13[[#This Row],[Ideal_Cycle_Time_sec]]*Table13[[#This Row],[Actual_Qty]])/(Table13[[#This Row],[Operational_Time_min]]*60)</f>
        <v>0.51270334490952296</v>
      </c>
      <c r="U1036">
        <f>Table13[[#This Row],[Good_Qty]]/Table13[[#This Row],[Actual_Qty]]</f>
        <v>0.99346405228758172</v>
      </c>
      <c r="V1036" t="str">
        <f>IF(OR(Table13[[#This Row],[Performance_%]]&gt;=1,Table13[[#This Row],[Performance_%]]&lt;=0),"Error","OK")</f>
        <v>OK</v>
      </c>
      <c r="W1036" t="str">
        <f>IF(OR(Table13[[#This Row],[Quality_%]]&gt;=1,Table13[[#This Row],[Quality_%]]&lt;=0),"Error","OK")</f>
        <v>OK</v>
      </c>
      <c r="X1036">
        <f>Table13[[#This Row],[Performance_%]]*Table13[[#This Row],[Quality_%]]*[2]Availability_KPI!K1036</f>
        <v>0.49540740740740746</v>
      </c>
      <c r="Y1036" t="str">
        <f>IF(OR(Table13[[#This Row],[OEE_%]]&gt;1,Table13[[#This Row],[OEE_%]]&lt;0),"Error","OK")</f>
        <v>OK</v>
      </c>
    </row>
    <row r="1037" spans="1:25" x14ac:dyDescent="0.2">
      <c r="A1037" t="s">
        <v>1216</v>
      </c>
      <c r="B1037" t="s">
        <v>1213</v>
      </c>
      <c r="C1037" s="2">
        <v>46296</v>
      </c>
      <c r="D1037" t="s">
        <v>27</v>
      </c>
      <c r="E1037" t="s">
        <v>38</v>
      </c>
      <c r="F1037" t="s">
        <v>54</v>
      </c>
      <c r="G1037" t="s">
        <v>36</v>
      </c>
      <c r="H1037">
        <v>612</v>
      </c>
      <c r="I1037">
        <v>608</v>
      </c>
      <c r="J1037">
        <v>4</v>
      </c>
      <c r="K1037">
        <v>20</v>
      </c>
      <c r="L1037">
        <v>21.29</v>
      </c>
      <c r="M1037">
        <v>217.2</v>
      </c>
      <c r="N1037">
        <f>_xlfn.XLOOKUP(Table13[[#This Row],[Production_Order_ID]],[1]Sheet1!$A$2:$A$391,[1]Sheet1!$F$2:$F$391,"No Match")</f>
        <v>470</v>
      </c>
      <c r="O1037" s="3">
        <f>Table13[[#This Row],[Good_Qty]]/Table13[[#This Row],[Planned_Production]]</f>
        <v>1.2936170212765958</v>
      </c>
      <c r="P1037" t="str">
        <f>IF(Table13[[#This Row],[Good_Qty]]&gt;=Table13[[#This Row],[Planned_Production]],"Met","Not Met")</f>
        <v>Met</v>
      </c>
      <c r="Q1037">
        <f>Table13[[#This Row],[Good_Qty]]-Table13[[#This Row],[Planned_Production]]</f>
        <v>138</v>
      </c>
      <c r="R1037" s="3">
        <f>IF(Table13[[#This Row],[Actual_Qty]]=0,0,Table13[[#This Row],[Reject_Qty]]/Table13[[#This Row],[Actual_Qty]])</f>
        <v>6.5359477124183009E-3</v>
      </c>
      <c r="S1037">
        <v>439.07</v>
      </c>
      <c r="T1037">
        <f>(Table13[[#This Row],[Ideal_Cycle_Time_sec]]*Table13[[#This Row],[Actual_Qty]])/(Table13[[#This Row],[Operational_Time_min]]*60)</f>
        <v>0.46461839797754345</v>
      </c>
      <c r="U1037">
        <f>Table13[[#This Row],[Good_Qty]]/Table13[[#This Row],[Actual_Qty]]</f>
        <v>0.99346405228758172</v>
      </c>
      <c r="V1037" t="str">
        <f>IF(OR(Table13[[#This Row],[Performance_%]]&gt;=1,Table13[[#This Row],[Performance_%]]&lt;=0),"Error","OK")</f>
        <v>OK</v>
      </c>
      <c r="W1037" t="str">
        <f>IF(OR(Table13[[#This Row],[Quality_%]]&gt;=1,Table13[[#This Row],[Quality_%]]&lt;=0),"Error","OK")</f>
        <v>OK</v>
      </c>
      <c r="X1037">
        <f>Table13[[#This Row],[Performance_%]]*Table13[[#This Row],[Quality_%]]*[2]Availability_KPI!K1037</f>
        <v>0.45037037037037037</v>
      </c>
      <c r="Y1037" t="str">
        <f>IF(OR(Table13[[#This Row],[OEE_%]]&gt;1,Table13[[#This Row],[OEE_%]]&lt;0),"Error","OK")</f>
        <v>OK</v>
      </c>
    </row>
    <row r="1038" spans="1:25" x14ac:dyDescent="0.2">
      <c r="A1038" t="s">
        <v>1217</v>
      </c>
      <c r="B1038" t="s">
        <v>1213</v>
      </c>
      <c r="C1038" s="2">
        <v>46296</v>
      </c>
      <c r="D1038" t="s">
        <v>27</v>
      </c>
      <c r="E1038" t="s">
        <v>41</v>
      </c>
      <c r="F1038" t="s">
        <v>54</v>
      </c>
      <c r="G1038" t="s">
        <v>57</v>
      </c>
      <c r="H1038">
        <v>604</v>
      </c>
      <c r="I1038">
        <v>596</v>
      </c>
      <c r="J1038">
        <v>8</v>
      </c>
      <c r="K1038">
        <v>18</v>
      </c>
      <c r="L1038">
        <v>19.45</v>
      </c>
      <c r="M1038">
        <v>195.81</v>
      </c>
      <c r="N1038">
        <f>_xlfn.XLOOKUP(Table13[[#This Row],[Production_Order_ID]],[1]Sheet1!$A$2:$A$391,[1]Sheet1!$F$2:$F$391,"No Match")</f>
        <v>470</v>
      </c>
      <c r="O1038" s="3">
        <f>Table13[[#This Row],[Good_Qty]]/Table13[[#This Row],[Planned_Production]]</f>
        <v>1.2680851063829788</v>
      </c>
      <c r="P1038" t="str">
        <f>IF(Table13[[#This Row],[Good_Qty]]&gt;=Table13[[#This Row],[Planned_Production]],"Met","Not Met")</f>
        <v>Met</v>
      </c>
      <c r="Q1038">
        <f>Table13[[#This Row],[Good_Qty]]-Table13[[#This Row],[Planned_Production]]</f>
        <v>126</v>
      </c>
      <c r="R1038" s="3">
        <f>IF(Table13[[#This Row],[Actual_Qty]]=0,0,Table13[[#This Row],[Reject_Qty]]/Table13[[#This Row],[Actual_Qty]])</f>
        <v>1.3245033112582781E-2</v>
      </c>
      <c r="S1038">
        <v>441.1</v>
      </c>
      <c r="T1038">
        <f>(Table13[[#This Row],[Ideal_Cycle_Time_sec]]*Table13[[#This Row],[Actual_Qty]])/(Table13[[#This Row],[Operational_Time_min]]*60)</f>
        <v>0.41079120380866019</v>
      </c>
      <c r="U1038">
        <f>Table13[[#This Row],[Good_Qty]]/Table13[[#This Row],[Actual_Qty]]</f>
        <v>0.98675496688741726</v>
      </c>
      <c r="V1038" t="str">
        <f>IF(OR(Table13[[#This Row],[Performance_%]]&gt;=1,Table13[[#This Row],[Performance_%]]&lt;=0),"Error","OK")</f>
        <v>OK</v>
      </c>
      <c r="W1038" t="str">
        <f>IF(OR(Table13[[#This Row],[Quality_%]]&gt;=1,Table13[[#This Row],[Quality_%]]&lt;=0),"Error","OK")</f>
        <v>OK</v>
      </c>
      <c r="X1038">
        <f>Table13[[#This Row],[Performance_%]]*Table13[[#This Row],[Quality_%]]*[2]Availability_KPI!K1038</f>
        <v>0.39733333333333343</v>
      </c>
      <c r="Y1038" t="str">
        <f>IF(OR(Table13[[#This Row],[OEE_%]]&gt;1,Table13[[#This Row],[OEE_%]]&lt;0),"Error","OK")</f>
        <v>OK</v>
      </c>
    </row>
    <row r="1039" spans="1:25" x14ac:dyDescent="0.2">
      <c r="A1039" t="s">
        <v>1218</v>
      </c>
      <c r="B1039" t="s">
        <v>1213</v>
      </c>
      <c r="C1039" s="2">
        <v>46296</v>
      </c>
      <c r="D1039" t="s">
        <v>27</v>
      </c>
      <c r="E1039" t="s">
        <v>43</v>
      </c>
      <c r="F1039" t="s">
        <v>54</v>
      </c>
      <c r="G1039" t="s">
        <v>39</v>
      </c>
      <c r="H1039">
        <v>610</v>
      </c>
      <c r="I1039">
        <v>602</v>
      </c>
      <c r="J1039">
        <v>8</v>
      </c>
      <c r="K1039">
        <v>32</v>
      </c>
      <c r="L1039">
        <v>32.86</v>
      </c>
      <c r="M1039">
        <v>334.09</v>
      </c>
      <c r="N1039">
        <f>_xlfn.XLOOKUP(Table13[[#This Row],[Production_Order_ID]],[1]Sheet1!$A$2:$A$391,[1]Sheet1!$F$2:$F$391,"No Match")</f>
        <v>470</v>
      </c>
      <c r="O1039" s="3">
        <f>Table13[[#This Row],[Good_Qty]]/Table13[[#This Row],[Planned_Production]]</f>
        <v>1.2808510638297872</v>
      </c>
      <c r="P1039" t="str">
        <f>IF(Table13[[#This Row],[Good_Qty]]&gt;=Table13[[#This Row],[Planned_Production]],"Met","Not Met")</f>
        <v>Met</v>
      </c>
      <c r="Q1039">
        <f>Table13[[#This Row],[Good_Qty]]-Table13[[#This Row],[Planned_Production]]</f>
        <v>132</v>
      </c>
      <c r="R1039" s="3">
        <f>IF(Table13[[#This Row],[Actual_Qty]]=0,0,Table13[[#This Row],[Reject_Qty]]/Table13[[#This Row],[Actual_Qty]])</f>
        <v>1.3114754098360656E-2</v>
      </c>
      <c r="S1039">
        <v>407.32</v>
      </c>
      <c r="T1039">
        <f>(Table13[[#This Row],[Ideal_Cycle_Time_sec]]*Table13[[#This Row],[Actual_Qty]])/(Table13[[#This Row],[Operational_Time_min]]*60)</f>
        <v>0.79871681560771213</v>
      </c>
      <c r="U1039">
        <f>Table13[[#This Row],[Good_Qty]]/Table13[[#This Row],[Actual_Qty]]</f>
        <v>0.9868852459016394</v>
      </c>
      <c r="V1039" t="str">
        <f>IF(OR(Table13[[#This Row],[Performance_%]]&gt;=1,Table13[[#This Row],[Performance_%]]&lt;=0),"Error","OK")</f>
        <v>OK</v>
      </c>
      <c r="W1039" t="str">
        <f>IF(OR(Table13[[#This Row],[Quality_%]]&gt;=1,Table13[[#This Row],[Quality_%]]&lt;=0),"Error","OK")</f>
        <v>OK</v>
      </c>
      <c r="X1039">
        <f>Table13[[#This Row],[Performance_%]]*Table13[[#This Row],[Quality_%]]*[2]Availability_KPI!K1039</f>
        <v>0.71348148148148149</v>
      </c>
      <c r="Y1039" t="str">
        <f>IF(OR(Table13[[#This Row],[OEE_%]]&gt;1,Table13[[#This Row],[OEE_%]]&lt;0),"Error","OK")</f>
        <v>OK</v>
      </c>
    </row>
    <row r="1040" spans="1:25" x14ac:dyDescent="0.2">
      <c r="A1040" t="s">
        <v>1219</v>
      </c>
      <c r="B1040" t="s">
        <v>1213</v>
      </c>
      <c r="C1040" s="2">
        <v>46296</v>
      </c>
      <c r="D1040" t="s">
        <v>27</v>
      </c>
      <c r="E1040" t="s">
        <v>46</v>
      </c>
      <c r="F1040" t="s">
        <v>54</v>
      </c>
      <c r="G1040" t="s">
        <v>44</v>
      </c>
      <c r="H1040">
        <v>612</v>
      </c>
      <c r="I1040">
        <v>605</v>
      </c>
      <c r="J1040">
        <v>7</v>
      </c>
      <c r="K1040">
        <v>25</v>
      </c>
      <c r="L1040">
        <v>26.39</v>
      </c>
      <c r="M1040">
        <v>269.13</v>
      </c>
      <c r="N1040">
        <f>_xlfn.XLOOKUP(Table13[[#This Row],[Production_Order_ID]],[1]Sheet1!$A$2:$A$391,[1]Sheet1!$F$2:$F$391,"No Match")</f>
        <v>470</v>
      </c>
      <c r="O1040" s="3">
        <f>Table13[[#This Row],[Good_Qty]]/Table13[[#This Row],[Planned_Production]]</f>
        <v>1.2872340425531914</v>
      </c>
      <c r="P1040" t="str">
        <f>IF(Table13[[#This Row],[Good_Qty]]&gt;=Table13[[#This Row],[Planned_Production]],"Met","Not Met")</f>
        <v>Met</v>
      </c>
      <c r="Q1040">
        <f>Table13[[#This Row],[Good_Qty]]-Table13[[#This Row],[Planned_Production]]</f>
        <v>135</v>
      </c>
      <c r="R1040" s="3">
        <f>IF(Table13[[#This Row],[Actual_Qty]]=0,0,Table13[[#This Row],[Reject_Qty]]/Table13[[#This Row],[Actual_Qty]])</f>
        <v>1.1437908496732025E-2</v>
      </c>
      <c r="S1040">
        <v>427.41</v>
      </c>
      <c r="T1040">
        <f>(Table13[[#This Row],[Ideal_Cycle_Time_sec]]*Table13[[#This Row],[Actual_Qty]])/(Table13[[#This Row],[Operational_Time_min]]*60)</f>
        <v>0.59661683161367296</v>
      </c>
      <c r="U1040">
        <f>Table13[[#This Row],[Good_Qty]]/Table13[[#This Row],[Actual_Qty]]</f>
        <v>0.98856209150326801</v>
      </c>
      <c r="V1040" t="str">
        <f>IF(OR(Table13[[#This Row],[Performance_%]]&gt;=1,Table13[[#This Row],[Performance_%]]&lt;=0),"Error","OK")</f>
        <v>OK</v>
      </c>
      <c r="W1040" t="str">
        <f>IF(OR(Table13[[#This Row],[Quality_%]]&gt;=1,Table13[[#This Row],[Quality_%]]&lt;=0),"Error","OK")</f>
        <v>OK</v>
      </c>
      <c r="X1040">
        <f>Table13[[#This Row],[Performance_%]]*Table13[[#This Row],[Quality_%]]*[2]Availability_KPI!K1040</f>
        <v>0.56018518518518523</v>
      </c>
      <c r="Y1040" t="str">
        <f>IF(OR(Table13[[#This Row],[OEE_%]]&gt;1,Table13[[#This Row],[OEE_%]]&lt;0),"Error","OK")</f>
        <v>OK</v>
      </c>
    </row>
    <row r="1041" spans="1:25" x14ac:dyDescent="0.2">
      <c r="A1041" t="s">
        <v>1220</v>
      </c>
      <c r="B1041" t="s">
        <v>1213</v>
      </c>
      <c r="C1041" s="2">
        <v>46296</v>
      </c>
      <c r="D1041" t="s">
        <v>27</v>
      </c>
      <c r="E1041" t="s">
        <v>49</v>
      </c>
      <c r="F1041" t="s">
        <v>54</v>
      </c>
      <c r="G1041" t="s">
        <v>75</v>
      </c>
      <c r="H1041">
        <v>605</v>
      </c>
      <c r="I1041">
        <v>602</v>
      </c>
      <c r="J1041">
        <v>3</v>
      </c>
      <c r="K1041">
        <v>20</v>
      </c>
      <c r="L1041">
        <v>20.68</v>
      </c>
      <c r="M1041">
        <v>208.51</v>
      </c>
      <c r="N1041">
        <f>_xlfn.XLOOKUP(Table13[[#This Row],[Production_Order_ID]],[1]Sheet1!$A$2:$A$391,[1]Sheet1!$F$2:$F$391,"No Match")</f>
        <v>470</v>
      </c>
      <c r="O1041" s="3">
        <f>Table13[[#This Row],[Good_Qty]]/Table13[[#This Row],[Planned_Production]]</f>
        <v>1.2808510638297872</v>
      </c>
      <c r="P1041" t="str">
        <f>IF(Table13[[#This Row],[Good_Qty]]&gt;=Table13[[#This Row],[Planned_Production]],"Met","Not Met")</f>
        <v>Met</v>
      </c>
      <c r="Q1041">
        <f>Table13[[#This Row],[Good_Qty]]-Table13[[#This Row],[Planned_Production]]</f>
        <v>132</v>
      </c>
      <c r="R1041" s="3">
        <f>IF(Table13[[#This Row],[Actual_Qty]]=0,0,Table13[[#This Row],[Reject_Qty]]/Table13[[#This Row],[Actual_Qty]])</f>
        <v>4.9586776859504135E-3</v>
      </c>
      <c r="S1041">
        <v>442.96</v>
      </c>
      <c r="T1041">
        <f>(Table13[[#This Row],[Ideal_Cycle_Time_sec]]*Table13[[#This Row],[Actual_Qty]])/(Table13[[#This Row],[Operational_Time_min]]*60)</f>
        <v>0.45527060381674794</v>
      </c>
      <c r="U1041">
        <f>Table13[[#This Row],[Good_Qty]]/Table13[[#This Row],[Actual_Qty]]</f>
        <v>0.99504132231404963</v>
      </c>
      <c r="V1041" t="str">
        <f>IF(OR(Table13[[#This Row],[Performance_%]]&gt;=1,Table13[[#This Row],[Performance_%]]&lt;=0),"Error","OK")</f>
        <v>OK</v>
      </c>
      <c r="W1041" t="str">
        <f>IF(OR(Table13[[#This Row],[Quality_%]]&gt;=1,Table13[[#This Row],[Quality_%]]&lt;=0),"Error","OK")</f>
        <v>OK</v>
      </c>
      <c r="X1041">
        <f>Table13[[#This Row],[Performance_%]]*Table13[[#This Row],[Quality_%]]*[2]Availability_KPI!K1041</f>
        <v>0.44592592592592595</v>
      </c>
      <c r="Y1041" t="str">
        <f>IF(OR(Table13[[#This Row],[OEE_%]]&gt;1,Table13[[#This Row],[OEE_%]]&lt;0),"Error","OK")</f>
        <v>OK</v>
      </c>
    </row>
    <row r="1042" spans="1:25" x14ac:dyDescent="0.2">
      <c r="A1042" t="s">
        <v>1221</v>
      </c>
      <c r="B1042" t="s">
        <v>1222</v>
      </c>
      <c r="C1042" s="2">
        <v>46296</v>
      </c>
      <c r="D1042" t="s">
        <v>53</v>
      </c>
      <c r="E1042" t="s">
        <v>28</v>
      </c>
      <c r="F1042" t="s">
        <v>54</v>
      </c>
      <c r="G1042" t="s">
        <v>36</v>
      </c>
      <c r="H1042">
        <v>694</v>
      </c>
      <c r="I1042">
        <v>691</v>
      </c>
      <c r="J1042">
        <v>3</v>
      </c>
      <c r="K1042">
        <v>18</v>
      </c>
      <c r="L1042">
        <v>19.3</v>
      </c>
      <c r="M1042">
        <v>223.26</v>
      </c>
      <c r="N1042">
        <f>_xlfn.XLOOKUP(Table13[[#This Row],[Production_Order_ID]],[1]Sheet1!$A$2:$A$391,[1]Sheet1!$F$2:$F$391,"No Match")</f>
        <v>430</v>
      </c>
      <c r="O1042" s="3">
        <f>Table13[[#This Row],[Good_Qty]]/Table13[[#This Row],[Planned_Production]]</f>
        <v>1.6069767441860465</v>
      </c>
      <c r="P1042" t="str">
        <f>IF(Table13[[#This Row],[Good_Qty]]&gt;=Table13[[#This Row],[Planned_Production]],"Met","Not Met")</f>
        <v>Met</v>
      </c>
      <c r="Q1042">
        <f>Table13[[#This Row],[Good_Qty]]-Table13[[#This Row],[Planned_Production]]</f>
        <v>261</v>
      </c>
      <c r="R1042" s="3">
        <f>IF(Table13[[#This Row],[Actual_Qty]]=0,0,Table13[[#This Row],[Reject_Qty]]/Table13[[#This Row],[Actual_Qty]])</f>
        <v>4.3227665706051877E-3</v>
      </c>
      <c r="S1042">
        <v>437.99</v>
      </c>
      <c r="T1042">
        <f>(Table13[[#This Row],[Ideal_Cycle_Time_sec]]*Table13[[#This Row],[Actual_Qty]])/(Table13[[#This Row],[Operational_Time_min]]*60)</f>
        <v>0.47535331856891705</v>
      </c>
      <c r="U1042">
        <f>Table13[[#This Row],[Good_Qty]]/Table13[[#This Row],[Actual_Qty]]</f>
        <v>0.99567723342939485</v>
      </c>
      <c r="V1042" t="str">
        <f>IF(OR(Table13[[#This Row],[Performance_%]]&gt;=1,Table13[[#This Row],[Performance_%]]&lt;=0),"Error","OK")</f>
        <v>OK</v>
      </c>
      <c r="W1042" t="str">
        <f>IF(OR(Table13[[#This Row],[Quality_%]]&gt;=1,Table13[[#This Row],[Quality_%]]&lt;=0),"Error","OK")</f>
        <v>OK</v>
      </c>
      <c r="X1042">
        <f>Table13[[#This Row],[Performance_%]]*Table13[[#This Row],[Quality_%]]*[2]Availability_KPI!K1042</f>
        <v>0.46066666666666661</v>
      </c>
      <c r="Y1042" t="str">
        <f>IF(OR(Table13[[#This Row],[OEE_%]]&gt;1,Table13[[#This Row],[OEE_%]]&lt;0),"Error","OK")</f>
        <v>OK</v>
      </c>
    </row>
    <row r="1043" spans="1:25" x14ac:dyDescent="0.2">
      <c r="A1043" t="s">
        <v>1223</v>
      </c>
      <c r="B1043" t="s">
        <v>1222</v>
      </c>
      <c r="C1043" s="2">
        <v>46296</v>
      </c>
      <c r="D1043" t="s">
        <v>53</v>
      </c>
      <c r="E1043" t="s">
        <v>32</v>
      </c>
      <c r="F1043" t="s">
        <v>54</v>
      </c>
      <c r="G1043" t="s">
        <v>57</v>
      </c>
      <c r="H1043">
        <v>717</v>
      </c>
      <c r="I1043">
        <v>712</v>
      </c>
      <c r="J1043">
        <v>5</v>
      </c>
      <c r="K1043">
        <v>20</v>
      </c>
      <c r="L1043">
        <v>21.47</v>
      </c>
      <c r="M1043">
        <v>256.61</v>
      </c>
      <c r="N1043">
        <f>_xlfn.XLOOKUP(Table13[[#This Row],[Production_Order_ID]],[1]Sheet1!$A$2:$A$391,[1]Sheet1!$F$2:$F$391,"No Match")</f>
        <v>430</v>
      </c>
      <c r="O1043" s="3">
        <f>Table13[[#This Row],[Good_Qty]]/Table13[[#This Row],[Planned_Production]]</f>
        <v>1.655813953488372</v>
      </c>
      <c r="P1043" t="str">
        <f>IF(Table13[[#This Row],[Good_Qty]]&gt;=Table13[[#This Row],[Planned_Production]],"Met","Not Met")</f>
        <v>Met</v>
      </c>
      <c r="Q1043">
        <f>Table13[[#This Row],[Good_Qty]]-Table13[[#This Row],[Planned_Production]]</f>
        <v>282</v>
      </c>
      <c r="R1043" s="3">
        <f>IF(Table13[[#This Row],[Actual_Qty]]=0,0,Table13[[#This Row],[Reject_Qty]]/Table13[[#This Row],[Actual_Qty]])</f>
        <v>6.9735006973500697E-3</v>
      </c>
      <c r="S1043">
        <v>438.78</v>
      </c>
      <c r="T1043">
        <f>(Table13[[#This Row],[Ideal_Cycle_Time_sec]]*Table13[[#This Row],[Actual_Qty]])/(Table13[[#This Row],[Operational_Time_min]]*60)</f>
        <v>0.54469210082501485</v>
      </c>
      <c r="U1043">
        <f>Table13[[#This Row],[Good_Qty]]/Table13[[#This Row],[Actual_Qty]]</f>
        <v>0.99302649930264997</v>
      </c>
      <c r="V1043" t="str">
        <f>IF(OR(Table13[[#This Row],[Performance_%]]&gt;=1,Table13[[#This Row],[Performance_%]]&lt;=0),"Error","OK")</f>
        <v>OK</v>
      </c>
      <c r="W1043" t="str">
        <f>IF(OR(Table13[[#This Row],[Quality_%]]&gt;=1,Table13[[#This Row],[Quality_%]]&lt;=0),"Error","OK")</f>
        <v>OK</v>
      </c>
      <c r="X1043">
        <f>Table13[[#This Row],[Performance_%]]*Table13[[#This Row],[Quality_%]]*[2]Availability_KPI!K1043</f>
        <v>0.52740740740740744</v>
      </c>
      <c r="Y1043" t="str">
        <f>IF(OR(Table13[[#This Row],[OEE_%]]&gt;1,Table13[[#This Row],[OEE_%]]&lt;0),"Error","OK")</f>
        <v>OK</v>
      </c>
    </row>
    <row r="1044" spans="1:25" x14ac:dyDescent="0.2">
      <c r="A1044" t="s">
        <v>1224</v>
      </c>
      <c r="B1044" t="s">
        <v>1222</v>
      </c>
      <c r="C1044" s="2">
        <v>46296</v>
      </c>
      <c r="D1044" t="s">
        <v>53</v>
      </c>
      <c r="E1044" t="s">
        <v>35</v>
      </c>
      <c r="F1044" t="s">
        <v>54</v>
      </c>
      <c r="G1044" t="s">
        <v>39</v>
      </c>
      <c r="H1044">
        <v>703</v>
      </c>
      <c r="I1044">
        <v>697</v>
      </c>
      <c r="J1044">
        <v>6</v>
      </c>
      <c r="K1044">
        <v>22</v>
      </c>
      <c r="L1044">
        <v>22.95</v>
      </c>
      <c r="M1044">
        <v>268.89999999999998</v>
      </c>
      <c r="N1044">
        <f>_xlfn.XLOOKUP(Table13[[#This Row],[Production_Order_ID]],[1]Sheet1!$A$2:$A$391,[1]Sheet1!$F$2:$F$391,"No Match")</f>
        <v>430</v>
      </c>
      <c r="O1044" s="3">
        <f>Table13[[#This Row],[Good_Qty]]/Table13[[#This Row],[Planned_Production]]</f>
        <v>1.6209302325581396</v>
      </c>
      <c r="P1044" t="str">
        <f>IF(Table13[[#This Row],[Good_Qty]]&gt;=Table13[[#This Row],[Planned_Production]],"Met","Not Met")</f>
        <v>Met</v>
      </c>
      <c r="Q1044">
        <f>Table13[[#This Row],[Good_Qty]]-Table13[[#This Row],[Planned_Production]]</f>
        <v>267</v>
      </c>
      <c r="R1044" s="3">
        <f>IF(Table13[[#This Row],[Actual_Qty]]=0,0,Table13[[#This Row],[Reject_Qty]]/Table13[[#This Row],[Actual_Qty]])</f>
        <v>8.5348506401137988E-3</v>
      </c>
      <c r="S1044">
        <v>428.2</v>
      </c>
      <c r="T1044">
        <f>(Table13[[#This Row],[Ideal_Cycle_Time_sec]]*Table13[[#This Row],[Actual_Qty]])/(Table13[[#This Row],[Operational_Time_min]]*60)</f>
        <v>0.60197726918885253</v>
      </c>
      <c r="U1044">
        <f>Table13[[#This Row],[Good_Qty]]/Table13[[#This Row],[Actual_Qty]]</f>
        <v>0.99146514935988617</v>
      </c>
      <c r="V1044" t="str">
        <f>IF(OR(Table13[[#This Row],[Performance_%]]&gt;=1,Table13[[#This Row],[Performance_%]]&lt;=0),"Error","OK")</f>
        <v>OK</v>
      </c>
      <c r="W1044" t="str">
        <f>IF(OR(Table13[[#This Row],[Quality_%]]&gt;=1,Table13[[#This Row],[Quality_%]]&lt;=0),"Error","OK")</f>
        <v>OK</v>
      </c>
      <c r="X1044">
        <f>Table13[[#This Row],[Performance_%]]*Table13[[#This Row],[Quality_%]]*[2]Availability_KPI!K1044</f>
        <v>0.56792592592592583</v>
      </c>
      <c r="Y1044" t="str">
        <f>IF(OR(Table13[[#This Row],[OEE_%]]&gt;1,Table13[[#This Row],[OEE_%]]&lt;0),"Error","OK")</f>
        <v>OK</v>
      </c>
    </row>
    <row r="1045" spans="1:25" x14ac:dyDescent="0.2">
      <c r="A1045" t="s">
        <v>1225</v>
      </c>
      <c r="B1045" t="s">
        <v>1222</v>
      </c>
      <c r="C1045" s="2">
        <v>46296</v>
      </c>
      <c r="D1045" t="s">
        <v>53</v>
      </c>
      <c r="E1045" t="s">
        <v>38</v>
      </c>
      <c r="F1045" t="s">
        <v>54</v>
      </c>
      <c r="G1045" t="s">
        <v>75</v>
      </c>
      <c r="H1045">
        <v>713</v>
      </c>
      <c r="I1045">
        <v>708</v>
      </c>
      <c r="J1045">
        <v>5</v>
      </c>
      <c r="K1045">
        <v>20</v>
      </c>
      <c r="L1045">
        <v>21.04</v>
      </c>
      <c r="M1045">
        <v>250.04</v>
      </c>
      <c r="N1045">
        <f>_xlfn.XLOOKUP(Table13[[#This Row],[Production_Order_ID]],[1]Sheet1!$A$2:$A$391,[1]Sheet1!$F$2:$F$391,"No Match")</f>
        <v>430</v>
      </c>
      <c r="O1045" s="3">
        <f>Table13[[#This Row],[Good_Qty]]/Table13[[#This Row],[Planned_Production]]</f>
        <v>1.6465116279069767</v>
      </c>
      <c r="P1045" t="str">
        <f>IF(Table13[[#This Row],[Good_Qty]]&gt;=Table13[[#This Row],[Planned_Production]],"Met","Not Met")</f>
        <v>Met</v>
      </c>
      <c r="Q1045">
        <f>Table13[[#This Row],[Good_Qty]]-Table13[[#This Row],[Planned_Production]]</f>
        <v>278</v>
      </c>
      <c r="R1045" s="3">
        <f>IF(Table13[[#This Row],[Actual_Qty]]=0,0,Table13[[#This Row],[Reject_Qty]]/Table13[[#This Row],[Actual_Qty]])</f>
        <v>7.0126227208976155E-3</v>
      </c>
      <c r="S1045">
        <v>438.35</v>
      </c>
      <c r="T1045">
        <f>(Table13[[#This Row],[Ideal_Cycle_Time_sec]]*Table13[[#This Row],[Actual_Qty]])/(Table13[[#This Row],[Operational_Time_min]]*60)</f>
        <v>0.54218470780578687</v>
      </c>
      <c r="U1045">
        <f>Table13[[#This Row],[Good_Qty]]/Table13[[#This Row],[Actual_Qty]]</f>
        <v>0.99298737727910236</v>
      </c>
      <c r="V1045" t="str">
        <f>IF(OR(Table13[[#This Row],[Performance_%]]&gt;=1,Table13[[#This Row],[Performance_%]]&lt;=0),"Error","OK")</f>
        <v>OK</v>
      </c>
      <c r="W1045" t="str">
        <f>IF(OR(Table13[[#This Row],[Quality_%]]&gt;=1,Table13[[#This Row],[Quality_%]]&lt;=0),"Error","OK")</f>
        <v>OK</v>
      </c>
      <c r="X1045">
        <f>Table13[[#This Row],[Performance_%]]*Table13[[#This Row],[Quality_%]]*[2]Availability_KPI!K1045</f>
        <v>0.52444444444444438</v>
      </c>
      <c r="Y1045" t="str">
        <f>IF(OR(Table13[[#This Row],[OEE_%]]&gt;1,Table13[[#This Row],[OEE_%]]&lt;0),"Error","OK")</f>
        <v>OK</v>
      </c>
    </row>
    <row r="1046" spans="1:25" x14ac:dyDescent="0.2">
      <c r="A1046" t="s">
        <v>1226</v>
      </c>
      <c r="B1046" t="s">
        <v>1222</v>
      </c>
      <c r="C1046" s="2">
        <v>46296</v>
      </c>
      <c r="D1046" t="s">
        <v>53</v>
      </c>
      <c r="E1046" t="s">
        <v>41</v>
      </c>
      <c r="F1046" t="s">
        <v>54</v>
      </c>
      <c r="G1046" t="s">
        <v>71</v>
      </c>
      <c r="H1046">
        <v>701</v>
      </c>
      <c r="I1046">
        <v>696</v>
      </c>
      <c r="J1046">
        <v>5</v>
      </c>
      <c r="K1046">
        <v>18</v>
      </c>
      <c r="L1046">
        <v>18.57</v>
      </c>
      <c r="M1046">
        <v>217</v>
      </c>
      <c r="N1046">
        <f>_xlfn.XLOOKUP(Table13[[#This Row],[Production_Order_ID]],[1]Sheet1!$A$2:$A$391,[1]Sheet1!$F$2:$F$391,"No Match")</f>
        <v>430</v>
      </c>
      <c r="O1046" s="3">
        <f>Table13[[#This Row],[Good_Qty]]/Table13[[#This Row],[Planned_Production]]</f>
        <v>1.6186046511627907</v>
      </c>
      <c r="P1046" t="str">
        <f>IF(Table13[[#This Row],[Good_Qty]]&gt;=Table13[[#This Row],[Planned_Production]],"Met","Not Met")</f>
        <v>Met</v>
      </c>
      <c r="Q1046">
        <f>Table13[[#This Row],[Good_Qty]]-Table13[[#This Row],[Planned_Production]]</f>
        <v>266</v>
      </c>
      <c r="R1046" s="3">
        <f>IF(Table13[[#This Row],[Actual_Qty]]=0,0,Table13[[#This Row],[Reject_Qty]]/Table13[[#This Row],[Actual_Qty]])</f>
        <v>7.1326676176890159E-3</v>
      </c>
      <c r="S1046">
        <v>439.44</v>
      </c>
      <c r="T1046">
        <f>(Table13[[#This Row],[Ideal_Cycle_Time_sec]]*Table13[[#This Row],[Actual_Qty]])/(Table13[[#This Row],[Operational_Time_min]]*60)</f>
        <v>0.47856362643364281</v>
      </c>
      <c r="U1046">
        <f>Table13[[#This Row],[Good_Qty]]/Table13[[#This Row],[Actual_Qty]]</f>
        <v>0.99286733238231095</v>
      </c>
      <c r="V1046" t="str">
        <f>IF(OR(Table13[[#This Row],[Performance_%]]&gt;=1,Table13[[#This Row],[Performance_%]]&lt;=0),"Error","OK")</f>
        <v>OK</v>
      </c>
      <c r="W1046" t="str">
        <f>IF(OR(Table13[[#This Row],[Quality_%]]&gt;=1,Table13[[#This Row],[Quality_%]]&lt;=0),"Error","OK")</f>
        <v>OK</v>
      </c>
      <c r="X1046">
        <f>Table13[[#This Row],[Performance_%]]*Table13[[#This Row],[Quality_%]]*[2]Availability_KPI!K1046</f>
        <v>0.46399999999999997</v>
      </c>
      <c r="Y1046" t="str">
        <f>IF(OR(Table13[[#This Row],[OEE_%]]&gt;1,Table13[[#This Row],[OEE_%]]&lt;0),"Error","OK")</f>
        <v>OK</v>
      </c>
    </row>
    <row r="1047" spans="1:25" x14ac:dyDescent="0.2">
      <c r="A1047" t="s">
        <v>1227</v>
      </c>
      <c r="B1047" t="s">
        <v>1222</v>
      </c>
      <c r="C1047" s="2">
        <v>46296</v>
      </c>
      <c r="D1047" t="s">
        <v>53</v>
      </c>
      <c r="E1047" t="s">
        <v>43</v>
      </c>
      <c r="F1047" t="s">
        <v>54</v>
      </c>
      <c r="G1047" t="s">
        <v>30</v>
      </c>
      <c r="H1047">
        <v>713</v>
      </c>
      <c r="I1047">
        <v>703</v>
      </c>
      <c r="J1047">
        <v>10</v>
      </c>
      <c r="K1047">
        <v>32</v>
      </c>
      <c r="L1047">
        <v>35.35</v>
      </c>
      <c r="M1047">
        <v>420.07</v>
      </c>
      <c r="N1047">
        <f>_xlfn.XLOOKUP(Table13[[#This Row],[Production_Order_ID]],[1]Sheet1!$A$2:$A$391,[1]Sheet1!$F$2:$F$391,"No Match")</f>
        <v>430</v>
      </c>
      <c r="O1047" s="3">
        <f>Table13[[#This Row],[Good_Qty]]/Table13[[#This Row],[Planned_Production]]</f>
        <v>1.6348837209302325</v>
      </c>
      <c r="P1047" t="str">
        <f>IF(Table13[[#This Row],[Good_Qty]]&gt;=Table13[[#This Row],[Planned_Production]],"Met","Not Met")</f>
        <v>Met</v>
      </c>
      <c r="Q1047">
        <f>Table13[[#This Row],[Good_Qty]]-Table13[[#This Row],[Planned_Production]]</f>
        <v>273</v>
      </c>
      <c r="R1047" s="3">
        <f>IF(Table13[[#This Row],[Actual_Qty]]=0,0,Table13[[#This Row],[Reject_Qty]]/Table13[[#This Row],[Actual_Qty]])</f>
        <v>1.4025245441795231E-2</v>
      </c>
      <c r="S1047">
        <v>412.36</v>
      </c>
      <c r="T1047">
        <f>(Table13[[#This Row],[Ideal_Cycle_Time_sec]]*Table13[[#This Row],[Actual_Qty]])/(Table13[[#This Row],[Operational_Time_min]]*60)</f>
        <v>0.92217156529892963</v>
      </c>
      <c r="U1047">
        <f>Table13[[#This Row],[Good_Qty]]/Table13[[#This Row],[Actual_Qty]]</f>
        <v>0.98597475455820471</v>
      </c>
      <c r="V1047" t="str">
        <f>IF(OR(Table13[[#This Row],[Performance_%]]&gt;=1,Table13[[#This Row],[Performance_%]]&lt;=0),"Error","OK")</f>
        <v>OK</v>
      </c>
      <c r="W1047" t="str">
        <f>IF(OR(Table13[[#This Row],[Quality_%]]&gt;=1,Table13[[#This Row],[Quality_%]]&lt;=0),"Error","OK")</f>
        <v>OK</v>
      </c>
      <c r="X1047">
        <f>Table13[[#This Row],[Performance_%]]*Table13[[#This Row],[Quality_%]]*[2]Availability_KPI!K1047</f>
        <v>0.83318518518518503</v>
      </c>
      <c r="Y1047" t="str">
        <f>IF(OR(Table13[[#This Row],[OEE_%]]&gt;1,Table13[[#This Row],[OEE_%]]&lt;0),"Error","OK")</f>
        <v>OK</v>
      </c>
    </row>
    <row r="1048" spans="1:25" x14ac:dyDescent="0.2">
      <c r="A1048" t="s">
        <v>1228</v>
      </c>
      <c r="B1048" t="s">
        <v>1222</v>
      </c>
      <c r="C1048" s="2">
        <v>46296</v>
      </c>
      <c r="D1048" t="s">
        <v>53</v>
      </c>
      <c r="E1048" t="s">
        <v>46</v>
      </c>
      <c r="F1048" t="s">
        <v>54</v>
      </c>
      <c r="G1048" t="s">
        <v>61</v>
      </c>
      <c r="H1048">
        <v>718</v>
      </c>
      <c r="I1048">
        <v>710</v>
      </c>
      <c r="J1048">
        <v>8</v>
      </c>
      <c r="K1048">
        <v>25</v>
      </c>
      <c r="L1048">
        <v>27.08</v>
      </c>
      <c r="M1048">
        <v>324.02999999999997</v>
      </c>
      <c r="N1048">
        <f>_xlfn.XLOOKUP(Table13[[#This Row],[Production_Order_ID]],[1]Sheet1!$A$2:$A$391,[1]Sheet1!$F$2:$F$391,"No Match")</f>
        <v>430</v>
      </c>
      <c r="O1048" s="3">
        <f>Table13[[#This Row],[Good_Qty]]/Table13[[#This Row],[Planned_Production]]</f>
        <v>1.6511627906976745</v>
      </c>
      <c r="P1048" t="str">
        <f>IF(Table13[[#This Row],[Good_Qty]]&gt;=Table13[[#This Row],[Planned_Production]],"Met","Not Met")</f>
        <v>Met</v>
      </c>
      <c r="Q1048">
        <f>Table13[[#This Row],[Good_Qty]]-Table13[[#This Row],[Planned_Production]]</f>
        <v>280</v>
      </c>
      <c r="R1048" s="3">
        <f>IF(Table13[[#This Row],[Actual_Qty]]=0,0,Table13[[#This Row],[Reject_Qty]]/Table13[[#This Row],[Actual_Qty]])</f>
        <v>1.1142061281337047E-2</v>
      </c>
      <c r="S1048">
        <v>429.54</v>
      </c>
      <c r="T1048">
        <f>(Table13[[#This Row],[Ideal_Cycle_Time_sec]]*Table13[[#This Row],[Actual_Qty]])/(Table13[[#This Row],[Operational_Time_min]]*60)</f>
        <v>0.69648150734894687</v>
      </c>
      <c r="U1048">
        <f>Table13[[#This Row],[Good_Qty]]/Table13[[#This Row],[Actual_Qty]]</f>
        <v>0.9888579387186629</v>
      </c>
      <c r="V1048" t="str">
        <f>IF(OR(Table13[[#This Row],[Performance_%]]&gt;=1,Table13[[#This Row],[Performance_%]]&lt;=0),"Error","OK")</f>
        <v>OK</v>
      </c>
      <c r="W1048" t="str">
        <f>IF(OR(Table13[[#This Row],[Quality_%]]&gt;=1,Table13[[#This Row],[Quality_%]]&lt;=0),"Error","OK")</f>
        <v>OK</v>
      </c>
      <c r="X1048">
        <f>Table13[[#This Row],[Performance_%]]*Table13[[#This Row],[Quality_%]]*[2]Availability_KPI!K1048</f>
        <v>0.65740740740740733</v>
      </c>
      <c r="Y1048" t="str">
        <f>IF(OR(Table13[[#This Row],[OEE_%]]&gt;1,Table13[[#This Row],[OEE_%]]&lt;0),"Error","OK")</f>
        <v>OK</v>
      </c>
    </row>
    <row r="1049" spans="1:25" x14ac:dyDescent="0.2">
      <c r="A1049" t="s">
        <v>1229</v>
      </c>
      <c r="B1049" t="s">
        <v>1222</v>
      </c>
      <c r="C1049" s="2">
        <v>46296</v>
      </c>
      <c r="D1049" t="s">
        <v>53</v>
      </c>
      <c r="E1049" t="s">
        <v>49</v>
      </c>
      <c r="F1049" t="s">
        <v>54</v>
      </c>
      <c r="G1049" t="s">
        <v>30</v>
      </c>
      <c r="H1049">
        <v>699</v>
      </c>
      <c r="I1049">
        <v>696</v>
      </c>
      <c r="J1049">
        <v>3</v>
      </c>
      <c r="K1049">
        <v>20</v>
      </c>
      <c r="L1049">
        <v>20.53</v>
      </c>
      <c r="M1049">
        <v>239.23</v>
      </c>
      <c r="N1049">
        <f>_xlfn.XLOOKUP(Table13[[#This Row],[Production_Order_ID]],[1]Sheet1!$A$2:$A$391,[1]Sheet1!$F$2:$F$391,"No Match")</f>
        <v>430</v>
      </c>
      <c r="O1049" s="3">
        <f>Table13[[#This Row],[Good_Qty]]/Table13[[#This Row],[Planned_Production]]</f>
        <v>1.6186046511627907</v>
      </c>
      <c r="P1049" t="str">
        <f>IF(Table13[[#This Row],[Good_Qty]]&gt;=Table13[[#This Row],[Planned_Production]],"Met","Not Met")</f>
        <v>Met</v>
      </c>
      <c r="Q1049">
        <f>Table13[[#This Row],[Good_Qty]]-Table13[[#This Row],[Planned_Production]]</f>
        <v>266</v>
      </c>
      <c r="R1049" s="3">
        <f>IF(Table13[[#This Row],[Actual_Qty]]=0,0,Table13[[#This Row],[Reject_Qty]]/Table13[[#This Row],[Actual_Qty]])</f>
        <v>4.2918454935622317E-3</v>
      </c>
      <c r="S1049">
        <v>440.13</v>
      </c>
      <c r="T1049">
        <f>(Table13[[#This Row],[Ideal_Cycle_Time_sec]]*Table13[[#This Row],[Actual_Qty]])/(Table13[[#This Row],[Operational_Time_min]]*60)</f>
        <v>0.52938904414604782</v>
      </c>
      <c r="U1049">
        <f>Table13[[#This Row],[Good_Qty]]/Table13[[#This Row],[Actual_Qty]]</f>
        <v>0.99570815450643779</v>
      </c>
      <c r="V1049" t="str">
        <f>IF(OR(Table13[[#This Row],[Performance_%]]&gt;=1,Table13[[#This Row],[Performance_%]]&lt;=0),"Error","OK")</f>
        <v>OK</v>
      </c>
      <c r="W1049" t="str">
        <f>IF(OR(Table13[[#This Row],[Quality_%]]&gt;=1,Table13[[#This Row],[Quality_%]]&lt;=0),"Error","OK")</f>
        <v>OK</v>
      </c>
      <c r="X1049">
        <f>Table13[[#This Row],[Performance_%]]*Table13[[#This Row],[Quality_%]]*[2]Availability_KPI!K1049</f>
        <v>0.51555555555555566</v>
      </c>
      <c r="Y1049" t="str">
        <f>IF(OR(Table13[[#This Row],[OEE_%]]&gt;1,Table13[[#This Row],[OEE_%]]&lt;0),"Error","OK")</f>
        <v>OK</v>
      </c>
    </row>
    <row r="1050" spans="1:25" x14ac:dyDescent="0.2">
      <c r="A1050" t="s">
        <v>1230</v>
      </c>
      <c r="B1050" t="s">
        <v>1231</v>
      </c>
      <c r="C1050" s="2">
        <v>46296</v>
      </c>
      <c r="D1050" t="s">
        <v>67</v>
      </c>
      <c r="E1050" t="s">
        <v>28</v>
      </c>
      <c r="F1050" t="s">
        <v>97</v>
      </c>
      <c r="G1050" t="s">
        <v>33</v>
      </c>
      <c r="H1050">
        <v>657</v>
      </c>
      <c r="I1050">
        <v>653</v>
      </c>
      <c r="J1050">
        <v>4</v>
      </c>
      <c r="K1050">
        <v>19.260000000000002</v>
      </c>
      <c r="L1050">
        <v>19.920000000000002</v>
      </c>
      <c r="M1050">
        <v>218.17</v>
      </c>
      <c r="N1050">
        <f>_xlfn.XLOOKUP(Table13[[#This Row],[Production_Order_ID]],[1]Sheet1!$A$2:$A$391,[1]Sheet1!$F$2:$F$391,"No Match")</f>
        <v>650</v>
      </c>
      <c r="O1050" s="3">
        <f>Table13[[#This Row],[Good_Qty]]/Table13[[#This Row],[Planned_Production]]</f>
        <v>1.0046153846153847</v>
      </c>
      <c r="P1050" t="str">
        <f>IF(Table13[[#This Row],[Good_Qty]]&gt;=Table13[[#This Row],[Planned_Production]],"Met","Not Met")</f>
        <v>Met</v>
      </c>
      <c r="Q1050">
        <f>Table13[[#This Row],[Good_Qty]]-Table13[[#This Row],[Planned_Production]]</f>
        <v>3</v>
      </c>
      <c r="R1050" s="3">
        <f>IF(Table13[[#This Row],[Actual_Qty]]=0,0,Table13[[#This Row],[Reject_Qty]]/Table13[[#This Row],[Actual_Qty]])</f>
        <v>6.0882800608828003E-3</v>
      </c>
      <c r="S1050">
        <v>441.58</v>
      </c>
      <c r="T1050">
        <f>(Table13[[#This Row],[Ideal_Cycle_Time_sec]]*Table13[[#This Row],[Actual_Qty]])/(Table13[[#This Row],[Operational_Time_min]]*60)</f>
        <v>0.47759635853073062</v>
      </c>
      <c r="U1050">
        <f>Table13[[#This Row],[Good_Qty]]/Table13[[#This Row],[Actual_Qty]]</f>
        <v>0.9939117199391172</v>
      </c>
      <c r="V1050" t="str">
        <f>IF(OR(Table13[[#This Row],[Performance_%]]&gt;=1,Table13[[#This Row],[Performance_%]]&lt;=0),"Error","OK")</f>
        <v>OK</v>
      </c>
      <c r="W1050" t="str">
        <f>IF(OR(Table13[[#This Row],[Quality_%]]&gt;=1,Table13[[#This Row],[Quality_%]]&lt;=0),"Error","OK")</f>
        <v>OK</v>
      </c>
      <c r="X1050">
        <f>Table13[[#This Row],[Performance_%]]*Table13[[#This Row],[Quality_%]]*[2]Availability_KPI!K1050</f>
        <v>0.46580666666666676</v>
      </c>
      <c r="Y1050" t="str">
        <f>IF(OR(Table13[[#This Row],[OEE_%]]&gt;1,Table13[[#This Row],[OEE_%]]&lt;0),"Error","OK")</f>
        <v>OK</v>
      </c>
    </row>
    <row r="1051" spans="1:25" x14ac:dyDescent="0.2">
      <c r="A1051" t="s">
        <v>1232</v>
      </c>
      <c r="B1051" t="s">
        <v>1231</v>
      </c>
      <c r="C1051" s="2">
        <v>46296</v>
      </c>
      <c r="D1051" t="s">
        <v>67</v>
      </c>
      <c r="E1051" t="s">
        <v>32</v>
      </c>
      <c r="F1051" t="s">
        <v>97</v>
      </c>
      <c r="G1051" t="s">
        <v>33</v>
      </c>
      <c r="H1051">
        <v>667</v>
      </c>
      <c r="I1051">
        <v>664</v>
      </c>
      <c r="J1051">
        <v>3</v>
      </c>
      <c r="K1051">
        <v>21.4</v>
      </c>
      <c r="L1051">
        <v>22.07</v>
      </c>
      <c r="M1051">
        <v>245.31</v>
      </c>
      <c r="N1051">
        <f>_xlfn.XLOOKUP(Table13[[#This Row],[Production_Order_ID]],[1]Sheet1!$A$2:$A$391,[1]Sheet1!$F$2:$F$391,"No Match")</f>
        <v>650</v>
      </c>
      <c r="O1051" s="3">
        <f>Table13[[#This Row],[Good_Qty]]/Table13[[#This Row],[Planned_Production]]</f>
        <v>1.0215384615384615</v>
      </c>
      <c r="P1051" t="str">
        <f>IF(Table13[[#This Row],[Good_Qty]]&gt;=Table13[[#This Row],[Planned_Production]],"Met","Not Met")</f>
        <v>Met</v>
      </c>
      <c r="Q1051">
        <f>Table13[[#This Row],[Good_Qty]]-Table13[[#This Row],[Planned_Production]]</f>
        <v>14</v>
      </c>
      <c r="R1051" s="3">
        <f>IF(Table13[[#This Row],[Actual_Qty]]=0,0,Table13[[#This Row],[Reject_Qty]]/Table13[[#This Row],[Actual_Qty]])</f>
        <v>4.4977511244377807E-3</v>
      </c>
      <c r="S1051">
        <v>435.32</v>
      </c>
      <c r="T1051">
        <f>(Table13[[#This Row],[Ideal_Cycle_Time_sec]]*Table13[[#This Row],[Actual_Qty]])/(Table13[[#This Row],[Operational_Time_min]]*60)</f>
        <v>0.54648687555514708</v>
      </c>
      <c r="U1051">
        <f>Table13[[#This Row],[Good_Qty]]/Table13[[#This Row],[Actual_Qty]]</f>
        <v>0.99550224887556227</v>
      </c>
      <c r="V1051" t="str">
        <f>IF(OR(Table13[[#This Row],[Performance_%]]&gt;=1,Table13[[#This Row],[Performance_%]]&lt;=0),"Error","OK")</f>
        <v>OK</v>
      </c>
      <c r="W1051" t="str">
        <f>IF(OR(Table13[[#This Row],[Quality_%]]&gt;=1,Table13[[#This Row],[Quality_%]]&lt;=0),"Error","OK")</f>
        <v>OK</v>
      </c>
      <c r="X1051">
        <f>Table13[[#This Row],[Performance_%]]*Table13[[#This Row],[Quality_%]]*[2]Availability_KPI!K1051</f>
        <v>0.52628148148148146</v>
      </c>
      <c r="Y1051" t="str">
        <f>IF(OR(Table13[[#This Row],[OEE_%]]&gt;1,Table13[[#This Row],[OEE_%]]&lt;0),"Error","OK")</f>
        <v>OK</v>
      </c>
    </row>
    <row r="1052" spans="1:25" x14ac:dyDescent="0.2">
      <c r="A1052" t="s">
        <v>1233</v>
      </c>
      <c r="B1052" t="s">
        <v>1231</v>
      </c>
      <c r="C1052" s="2">
        <v>46296</v>
      </c>
      <c r="D1052" t="s">
        <v>67</v>
      </c>
      <c r="E1052" t="s">
        <v>35</v>
      </c>
      <c r="F1052" t="s">
        <v>97</v>
      </c>
      <c r="G1052" t="s">
        <v>50</v>
      </c>
      <c r="H1052">
        <v>648</v>
      </c>
      <c r="I1052">
        <v>642</v>
      </c>
      <c r="J1052">
        <v>6</v>
      </c>
      <c r="K1052">
        <v>23.54</v>
      </c>
      <c r="L1052">
        <v>25.02</v>
      </c>
      <c r="M1052">
        <v>270.25</v>
      </c>
      <c r="N1052">
        <f>_xlfn.XLOOKUP(Table13[[#This Row],[Production_Order_ID]],[1]Sheet1!$A$2:$A$391,[1]Sheet1!$F$2:$F$391,"No Match")</f>
        <v>650</v>
      </c>
      <c r="O1052" s="3">
        <f>Table13[[#This Row],[Good_Qty]]/Table13[[#This Row],[Planned_Production]]</f>
        <v>0.98769230769230765</v>
      </c>
      <c r="P1052" t="str">
        <f>IF(Table13[[#This Row],[Good_Qty]]&gt;=Table13[[#This Row],[Planned_Production]],"Met","Not Met")</f>
        <v>Not Met</v>
      </c>
      <c r="Q1052">
        <f>Table13[[#This Row],[Good_Qty]]-Table13[[#This Row],[Planned_Production]]</f>
        <v>-8</v>
      </c>
      <c r="R1052" s="3">
        <f>IF(Table13[[#This Row],[Actual_Qty]]=0,0,Table13[[#This Row],[Reject_Qty]]/Table13[[#This Row],[Actual_Qty]])</f>
        <v>9.2592592592592587E-3</v>
      </c>
      <c r="S1052">
        <v>429.87</v>
      </c>
      <c r="T1052">
        <f>(Table13[[#This Row],[Ideal_Cycle_Time_sec]]*Table13[[#This Row],[Actual_Qty]])/(Table13[[#This Row],[Operational_Time_min]]*60)</f>
        <v>0.59141600949124151</v>
      </c>
      <c r="U1052">
        <f>Table13[[#This Row],[Good_Qty]]/Table13[[#This Row],[Actual_Qty]]</f>
        <v>0.9907407407407407</v>
      </c>
      <c r="V1052" t="str">
        <f>IF(OR(Table13[[#This Row],[Performance_%]]&gt;=1,Table13[[#This Row],[Performance_%]]&lt;=0),"Error","OK")</f>
        <v>OK</v>
      </c>
      <c r="W1052" t="str">
        <f>IF(OR(Table13[[#This Row],[Quality_%]]&gt;=1,Table13[[#This Row],[Quality_%]]&lt;=0),"Error","OK")</f>
        <v>OK</v>
      </c>
      <c r="X1052">
        <f>Table13[[#This Row],[Performance_%]]*Table13[[#This Row],[Quality_%]]*[2]Availability_KPI!K1052</f>
        <v>0.55972888888888883</v>
      </c>
      <c r="Y1052" t="str">
        <f>IF(OR(Table13[[#This Row],[OEE_%]]&gt;1,Table13[[#This Row],[OEE_%]]&lt;0),"Error","OK")</f>
        <v>OK</v>
      </c>
    </row>
    <row r="1053" spans="1:25" x14ac:dyDescent="0.2">
      <c r="A1053" t="s">
        <v>1234</v>
      </c>
      <c r="B1053" t="s">
        <v>1231</v>
      </c>
      <c r="C1053" s="2">
        <v>46296</v>
      </c>
      <c r="D1053" t="s">
        <v>67</v>
      </c>
      <c r="E1053" t="s">
        <v>38</v>
      </c>
      <c r="F1053" t="s">
        <v>97</v>
      </c>
      <c r="G1053" t="s">
        <v>36</v>
      </c>
      <c r="H1053">
        <v>662</v>
      </c>
      <c r="I1053">
        <v>657</v>
      </c>
      <c r="J1053">
        <v>5</v>
      </c>
      <c r="K1053">
        <v>21.4</v>
      </c>
      <c r="L1053">
        <v>22.07</v>
      </c>
      <c r="M1053">
        <v>243.46</v>
      </c>
      <c r="N1053">
        <f>_xlfn.XLOOKUP(Table13[[#This Row],[Production_Order_ID]],[1]Sheet1!$A$2:$A$391,[1]Sheet1!$F$2:$F$391,"No Match")</f>
        <v>650</v>
      </c>
      <c r="O1053" s="3">
        <f>Table13[[#This Row],[Good_Qty]]/Table13[[#This Row],[Planned_Production]]</f>
        <v>1.0107692307692309</v>
      </c>
      <c r="P1053" t="str">
        <f>IF(Table13[[#This Row],[Good_Qty]]&gt;=Table13[[#This Row],[Planned_Production]],"Met","Not Met")</f>
        <v>Met</v>
      </c>
      <c r="Q1053">
        <f>Table13[[#This Row],[Good_Qty]]-Table13[[#This Row],[Planned_Production]]</f>
        <v>7</v>
      </c>
      <c r="R1053" s="3">
        <f>IF(Table13[[#This Row],[Actual_Qty]]=0,0,Table13[[#This Row],[Reject_Qty]]/Table13[[#This Row],[Actual_Qty]])</f>
        <v>7.5528700906344415E-3</v>
      </c>
      <c r="S1053">
        <v>436.07</v>
      </c>
      <c r="T1053">
        <f>(Table13[[#This Row],[Ideal_Cycle_Time_sec]]*Table13[[#This Row],[Actual_Qty]])/(Table13[[#This Row],[Operational_Time_min]]*60)</f>
        <v>0.54145741127189051</v>
      </c>
      <c r="U1053">
        <f>Table13[[#This Row],[Good_Qty]]/Table13[[#This Row],[Actual_Qty]]</f>
        <v>0.99244712990936557</v>
      </c>
      <c r="V1053" t="str">
        <f>IF(OR(Table13[[#This Row],[Performance_%]]&gt;=1,Table13[[#This Row],[Performance_%]]&lt;=0),"Error","OK")</f>
        <v>OK</v>
      </c>
      <c r="W1053" t="str">
        <f>IF(OR(Table13[[#This Row],[Quality_%]]&gt;=1,Table13[[#This Row],[Quality_%]]&lt;=0),"Error","OK")</f>
        <v>OK</v>
      </c>
      <c r="X1053">
        <f>Table13[[#This Row],[Performance_%]]*Table13[[#This Row],[Quality_%]]*[2]Availability_KPI!K1053</f>
        <v>0.52073333333333316</v>
      </c>
      <c r="Y1053" t="str">
        <f>IF(OR(Table13[[#This Row],[OEE_%]]&gt;1,Table13[[#This Row],[OEE_%]]&lt;0),"Error","OK")</f>
        <v>OK</v>
      </c>
    </row>
    <row r="1054" spans="1:25" x14ac:dyDescent="0.2">
      <c r="A1054" t="s">
        <v>1235</v>
      </c>
      <c r="B1054" t="s">
        <v>1231</v>
      </c>
      <c r="C1054" s="2">
        <v>46296</v>
      </c>
      <c r="D1054" t="s">
        <v>67</v>
      </c>
      <c r="E1054" t="s">
        <v>41</v>
      </c>
      <c r="F1054" t="s">
        <v>97</v>
      </c>
      <c r="G1054" t="s">
        <v>30</v>
      </c>
      <c r="H1054">
        <v>664</v>
      </c>
      <c r="I1054">
        <v>660</v>
      </c>
      <c r="J1054">
        <v>4</v>
      </c>
      <c r="K1054">
        <v>19.260000000000002</v>
      </c>
      <c r="L1054">
        <v>20.059999999999999</v>
      </c>
      <c r="M1054">
        <v>222.03</v>
      </c>
      <c r="N1054">
        <f>_xlfn.XLOOKUP(Table13[[#This Row],[Production_Order_ID]],[1]Sheet1!$A$2:$A$391,[1]Sheet1!$F$2:$F$391,"No Match")</f>
        <v>650</v>
      </c>
      <c r="O1054" s="3">
        <f>Table13[[#This Row],[Good_Qty]]/Table13[[#This Row],[Planned_Production]]</f>
        <v>1.0153846153846153</v>
      </c>
      <c r="P1054" t="str">
        <f>IF(Table13[[#This Row],[Good_Qty]]&gt;=Table13[[#This Row],[Planned_Production]],"Met","Not Met")</f>
        <v>Met</v>
      </c>
      <c r="Q1054">
        <f>Table13[[#This Row],[Good_Qty]]-Table13[[#This Row],[Planned_Production]]</f>
        <v>10</v>
      </c>
      <c r="R1054" s="3">
        <f>IF(Table13[[#This Row],[Actual_Qty]]=0,0,Table13[[#This Row],[Reject_Qty]]/Table13[[#This Row],[Actual_Qty]])</f>
        <v>6.024096385542169E-3</v>
      </c>
      <c r="S1054">
        <v>436.11</v>
      </c>
      <c r="T1054">
        <f>(Table13[[#This Row],[Ideal_Cycle_Time_sec]]*Table13[[#This Row],[Actual_Qty]])/(Table13[[#This Row],[Operational_Time_min]]*60)</f>
        <v>0.48873907959001173</v>
      </c>
      <c r="U1054">
        <f>Table13[[#This Row],[Good_Qty]]/Table13[[#This Row],[Actual_Qty]]</f>
        <v>0.99397590361445787</v>
      </c>
      <c r="V1054" t="str">
        <f>IF(OR(Table13[[#This Row],[Performance_%]]&gt;=1,Table13[[#This Row],[Performance_%]]&lt;=0),"Error","OK")</f>
        <v>OK</v>
      </c>
      <c r="W1054" t="str">
        <f>IF(OR(Table13[[#This Row],[Quality_%]]&gt;=1,Table13[[#This Row],[Quality_%]]&lt;=0),"Error","OK")</f>
        <v>OK</v>
      </c>
      <c r="X1054">
        <f>Table13[[#This Row],[Performance_%]]*Table13[[#This Row],[Quality_%]]*[2]Availability_KPI!K1054</f>
        <v>0.47080000000000005</v>
      </c>
      <c r="Y1054" t="str">
        <f>IF(OR(Table13[[#This Row],[OEE_%]]&gt;1,Table13[[#This Row],[OEE_%]]&lt;0),"Error","OK")</f>
        <v>OK</v>
      </c>
    </row>
    <row r="1055" spans="1:25" x14ac:dyDescent="0.2">
      <c r="A1055" t="s">
        <v>1236</v>
      </c>
      <c r="B1055" t="s">
        <v>1231</v>
      </c>
      <c r="C1055" s="2">
        <v>46296</v>
      </c>
      <c r="D1055" t="s">
        <v>67</v>
      </c>
      <c r="E1055" t="s">
        <v>43</v>
      </c>
      <c r="F1055" t="s">
        <v>97</v>
      </c>
      <c r="G1055" t="s">
        <v>55</v>
      </c>
      <c r="H1055">
        <v>673</v>
      </c>
      <c r="I1055">
        <v>662</v>
      </c>
      <c r="J1055">
        <v>11</v>
      </c>
      <c r="K1055">
        <v>34.24</v>
      </c>
      <c r="L1055">
        <v>36.89</v>
      </c>
      <c r="M1055">
        <v>413.81</v>
      </c>
      <c r="N1055">
        <f>_xlfn.XLOOKUP(Table13[[#This Row],[Production_Order_ID]],[1]Sheet1!$A$2:$A$391,[1]Sheet1!$F$2:$F$391,"No Match")</f>
        <v>650</v>
      </c>
      <c r="O1055" s="3">
        <f>Table13[[#This Row],[Good_Qty]]/Table13[[#This Row],[Planned_Production]]</f>
        <v>1.0184615384615385</v>
      </c>
      <c r="P1055" t="str">
        <f>IF(Table13[[#This Row],[Good_Qty]]&gt;=Table13[[#This Row],[Planned_Production]],"Met","Not Met")</f>
        <v>Met</v>
      </c>
      <c r="Q1055">
        <f>Table13[[#This Row],[Good_Qty]]-Table13[[#This Row],[Planned_Production]]</f>
        <v>12</v>
      </c>
      <c r="R1055" s="3">
        <f>IF(Table13[[#This Row],[Actual_Qty]]=0,0,Table13[[#This Row],[Reject_Qty]]/Table13[[#This Row],[Actual_Qty]])</f>
        <v>1.6344725111441308E-2</v>
      </c>
      <c r="S1055">
        <v>417.01</v>
      </c>
      <c r="T1055">
        <f>(Table13[[#This Row],[Ideal_Cycle_Time_sec]]*Table13[[#This Row],[Actual_Qty]])/(Table13[[#This Row],[Operational_Time_min]]*60)</f>
        <v>0.92098191090541404</v>
      </c>
      <c r="U1055">
        <f>Table13[[#This Row],[Good_Qty]]/Table13[[#This Row],[Actual_Qty]]</f>
        <v>0.98365527488855864</v>
      </c>
      <c r="V1055" t="str">
        <f>IF(OR(Table13[[#This Row],[Performance_%]]&gt;=1,Table13[[#This Row],[Performance_%]]&lt;=0),"Error","OK")</f>
        <v>OK</v>
      </c>
      <c r="W1055" t="str">
        <f>IF(OR(Table13[[#This Row],[Quality_%]]&gt;=1,Table13[[#This Row],[Quality_%]]&lt;=0),"Error","OK")</f>
        <v>OK</v>
      </c>
      <c r="X1055">
        <f>Table13[[#This Row],[Performance_%]]*Table13[[#This Row],[Quality_%]]*[2]Availability_KPI!K1055</f>
        <v>0.83951407407407419</v>
      </c>
      <c r="Y1055" t="str">
        <f>IF(OR(Table13[[#This Row],[OEE_%]]&gt;1,Table13[[#This Row],[OEE_%]]&lt;0),"Error","OK")</f>
        <v>OK</v>
      </c>
    </row>
    <row r="1056" spans="1:25" x14ac:dyDescent="0.2">
      <c r="A1056" t="s">
        <v>1237</v>
      </c>
      <c r="B1056" t="s">
        <v>1231</v>
      </c>
      <c r="C1056" s="2">
        <v>46296</v>
      </c>
      <c r="D1056" t="s">
        <v>67</v>
      </c>
      <c r="E1056" t="s">
        <v>46</v>
      </c>
      <c r="F1056" t="s">
        <v>97</v>
      </c>
      <c r="G1056" t="s">
        <v>75</v>
      </c>
      <c r="H1056">
        <v>648</v>
      </c>
      <c r="I1056">
        <v>641</v>
      </c>
      <c r="J1056">
        <v>7</v>
      </c>
      <c r="K1056">
        <v>26.75</v>
      </c>
      <c r="L1056">
        <v>28.02</v>
      </c>
      <c r="M1056">
        <v>302.62</v>
      </c>
      <c r="N1056">
        <f>_xlfn.XLOOKUP(Table13[[#This Row],[Production_Order_ID]],[1]Sheet1!$A$2:$A$391,[1]Sheet1!$F$2:$F$391,"No Match")</f>
        <v>650</v>
      </c>
      <c r="O1056" s="3">
        <f>Table13[[#This Row],[Good_Qty]]/Table13[[#This Row],[Planned_Production]]</f>
        <v>0.98615384615384616</v>
      </c>
      <c r="P1056" t="str">
        <f>IF(Table13[[#This Row],[Good_Qty]]&gt;=Table13[[#This Row],[Planned_Production]],"Met","Not Met")</f>
        <v>Not Met</v>
      </c>
      <c r="Q1056">
        <f>Table13[[#This Row],[Good_Qty]]-Table13[[#This Row],[Planned_Production]]</f>
        <v>-9</v>
      </c>
      <c r="R1056" s="3">
        <f>IF(Table13[[#This Row],[Actual_Qty]]=0,0,Table13[[#This Row],[Reject_Qty]]/Table13[[#This Row],[Actual_Qty]])</f>
        <v>1.0802469135802469E-2</v>
      </c>
      <c r="S1056">
        <v>430.57</v>
      </c>
      <c r="T1056">
        <f>(Table13[[#This Row],[Ideal_Cycle_Time_sec]]*Table13[[#This Row],[Actual_Qty]])/(Table13[[#This Row],[Operational_Time_min]]*60)</f>
        <v>0.67097103839097005</v>
      </c>
      <c r="U1056">
        <f>Table13[[#This Row],[Good_Qty]]/Table13[[#This Row],[Actual_Qty]]</f>
        <v>0.98919753086419748</v>
      </c>
      <c r="V1056" t="str">
        <f>IF(OR(Table13[[#This Row],[Performance_%]]&gt;=1,Table13[[#This Row],[Performance_%]]&lt;=0),"Error","OK")</f>
        <v>OK</v>
      </c>
      <c r="W1056" t="str">
        <f>IF(OR(Table13[[#This Row],[Quality_%]]&gt;=1,Table13[[#This Row],[Quality_%]]&lt;=0),"Error","OK")</f>
        <v>OK</v>
      </c>
      <c r="X1056">
        <f>Table13[[#This Row],[Performance_%]]*Table13[[#This Row],[Quality_%]]*[2]Availability_KPI!K1056</f>
        <v>0.6350648148148148</v>
      </c>
      <c r="Y1056" t="str">
        <f>IF(OR(Table13[[#This Row],[OEE_%]]&gt;1,Table13[[#This Row],[OEE_%]]&lt;0),"Error","OK")</f>
        <v>OK</v>
      </c>
    </row>
    <row r="1057" spans="1:25" x14ac:dyDescent="0.2">
      <c r="A1057" t="s">
        <v>1238</v>
      </c>
      <c r="B1057" t="s">
        <v>1231</v>
      </c>
      <c r="C1057" s="2">
        <v>46296</v>
      </c>
      <c r="D1057" t="s">
        <v>67</v>
      </c>
      <c r="E1057" t="s">
        <v>49</v>
      </c>
      <c r="F1057" t="s">
        <v>97</v>
      </c>
      <c r="G1057" t="s">
        <v>36</v>
      </c>
      <c r="H1057">
        <v>651</v>
      </c>
      <c r="I1057">
        <v>649</v>
      </c>
      <c r="J1057">
        <v>2</v>
      </c>
      <c r="K1057">
        <v>21.4</v>
      </c>
      <c r="L1057">
        <v>21.42</v>
      </c>
      <c r="M1057">
        <v>232.39</v>
      </c>
      <c r="N1057">
        <f>_xlfn.XLOOKUP(Table13[[#This Row],[Production_Order_ID]],[1]Sheet1!$A$2:$A$391,[1]Sheet1!$F$2:$F$391,"No Match")</f>
        <v>650</v>
      </c>
      <c r="O1057" s="3">
        <f>Table13[[#This Row],[Good_Qty]]/Table13[[#This Row],[Planned_Production]]</f>
        <v>0.99846153846153851</v>
      </c>
      <c r="P1057" t="str">
        <f>IF(Table13[[#This Row],[Good_Qty]]&gt;=Table13[[#This Row],[Planned_Production]],"Met","Not Met")</f>
        <v>Not Met</v>
      </c>
      <c r="Q1057">
        <f>Table13[[#This Row],[Good_Qty]]-Table13[[#This Row],[Planned_Production]]</f>
        <v>-1</v>
      </c>
      <c r="R1057" s="3">
        <f>IF(Table13[[#This Row],[Actual_Qty]]=0,0,Table13[[#This Row],[Reject_Qty]]/Table13[[#This Row],[Actual_Qty]])</f>
        <v>3.0721966205837174E-3</v>
      </c>
      <c r="S1057">
        <v>438.53</v>
      </c>
      <c r="T1057">
        <f>(Table13[[#This Row],[Ideal_Cycle_Time_sec]]*Table13[[#This Row],[Actual_Qty]])/(Table13[[#This Row],[Operational_Time_min]]*60)</f>
        <v>0.52947346817777574</v>
      </c>
      <c r="U1057">
        <f>Table13[[#This Row],[Good_Qty]]/Table13[[#This Row],[Actual_Qty]]</f>
        <v>0.99692780337941633</v>
      </c>
      <c r="V1057" t="str">
        <f>IF(OR(Table13[[#This Row],[Performance_%]]&gt;=1,Table13[[#This Row],[Performance_%]]&lt;=0),"Error","OK")</f>
        <v>OK</v>
      </c>
      <c r="W1057" t="str">
        <f>IF(OR(Table13[[#This Row],[Quality_%]]&gt;=1,Table13[[#This Row],[Quality_%]]&lt;=0),"Error","OK")</f>
        <v>OK</v>
      </c>
      <c r="X1057">
        <f>Table13[[#This Row],[Performance_%]]*Table13[[#This Row],[Quality_%]]*[2]Availability_KPI!K1057</f>
        <v>0.51439259259259251</v>
      </c>
      <c r="Y1057" t="str">
        <f>IF(OR(Table13[[#This Row],[OEE_%]]&gt;1,Table13[[#This Row],[OEE_%]]&lt;0),"Error","OK")</f>
        <v>OK</v>
      </c>
    </row>
    <row r="1058" spans="1:25" x14ac:dyDescent="0.2">
      <c r="A1058" t="s">
        <v>1239</v>
      </c>
      <c r="B1058" t="s">
        <v>1240</v>
      </c>
      <c r="C1058" s="2">
        <v>46297</v>
      </c>
      <c r="D1058" t="s">
        <v>27</v>
      </c>
      <c r="E1058" t="s">
        <v>28</v>
      </c>
      <c r="F1058" t="s">
        <v>54</v>
      </c>
      <c r="G1058" t="s">
        <v>30</v>
      </c>
      <c r="H1058">
        <v>698</v>
      </c>
      <c r="I1058">
        <v>695</v>
      </c>
      <c r="J1058">
        <v>3</v>
      </c>
      <c r="K1058">
        <v>18</v>
      </c>
      <c r="L1058">
        <v>18.079999999999998</v>
      </c>
      <c r="M1058">
        <v>210.33</v>
      </c>
      <c r="N1058">
        <f>_xlfn.XLOOKUP(Table13[[#This Row],[Production_Order_ID]],[1]Sheet1!$A$2:$A$391,[1]Sheet1!$F$2:$F$391,"No Match")</f>
        <v>640</v>
      </c>
      <c r="O1058" s="3">
        <f>Table13[[#This Row],[Good_Qty]]/Table13[[#This Row],[Planned_Production]]</f>
        <v>1.0859375</v>
      </c>
      <c r="P1058" t="str">
        <f>IF(Table13[[#This Row],[Good_Qty]]&gt;=Table13[[#This Row],[Planned_Production]],"Met","Not Met")</f>
        <v>Met</v>
      </c>
      <c r="Q1058">
        <f>Table13[[#This Row],[Good_Qty]]-Table13[[#This Row],[Planned_Production]]</f>
        <v>55</v>
      </c>
      <c r="R1058" s="3">
        <f>IF(Table13[[#This Row],[Actual_Qty]]=0,0,Table13[[#This Row],[Reject_Qty]]/Table13[[#This Row],[Actual_Qty]])</f>
        <v>4.2979942693409743E-3</v>
      </c>
      <c r="S1058">
        <v>441</v>
      </c>
      <c r="T1058">
        <f>(Table13[[#This Row],[Ideal_Cycle_Time_sec]]*Table13[[#This Row],[Actual_Qty]])/(Table13[[#This Row],[Operational_Time_min]]*60)</f>
        <v>0.47482993197278911</v>
      </c>
      <c r="U1058">
        <f>Table13[[#This Row],[Good_Qty]]/Table13[[#This Row],[Actual_Qty]]</f>
        <v>0.99570200573065903</v>
      </c>
      <c r="V1058" t="str">
        <f>IF(OR(Table13[[#This Row],[Performance_%]]&gt;=1,Table13[[#This Row],[Performance_%]]&lt;=0),"Error","OK")</f>
        <v>OK</v>
      </c>
      <c r="W1058" t="str">
        <f>IF(OR(Table13[[#This Row],[Quality_%]]&gt;=1,Table13[[#This Row],[Quality_%]]&lt;=0),"Error","OK")</f>
        <v>OK</v>
      </c>
      <c r="X1058">
        <f>Table13[[#This Row],[Performance_%]]*Table13[[#This Row],[Quality_%]]*[2]Availability_KPI!K1058</f>
        <v>0.46333333333333337</v>
      </c>
      <c r="Y1058" t="str">
        <f>IF(OR(Table13[[#This Row],[OEE_%]]&gt;1,Table13[[#This Row],[OEE_%]]&lt;0),"Error","OK")</f>
        <v>OK</v>
      </c>
    </row>
    <row r="1059" spans="1:25" x14ac:dyDescent="0.2">
      <c r="A1059" t="s">
        <v>1241</v>
      </c>
      <c r="B1059" t="s">
        <v>1240</v>
      </c>
      <c r="C1059" s="2">
        <v>46297</v>
      </c>
      <c r="D1059" t="s">
        <v>27</v>
      </c>
      <c r="E1059" t="s">
        <v>32</v>
      </c>
      <c r="F1059" t="s">
        <v>54</v>
      </c>
      <c r="G1059" t="s">
        <v>33</v>
      </c>
      <c r="H1059">
        <v>683</v>
      </c>
      <c r="I1059">
        <v>675</v>
      </c>
      <c r="J1059">
        <v>8</v>
      </c>
      <c r="K1059">
        <v>20</v>
      </c>
      <c r="L1059">
        <v>20.69</v>
      </c>
      <c r="M1059">
        <v>235.5</v>
      </c>
      <c r="N1059">
        <f>_xlfn.XLOOKUP(Table13[[#This Row],[Production_Order_ID]],[1]Sheet1!$A$2:$A$391,[1]Sheet1!$F$2:$F$391,"No Match")</f>
        <v>640</v>
      </c>
      <c r="O1059" s="3">
        <f>Table13[[#This Row],[Good_Qty]]/Table13[[#This Row],[Planned_Production]]</f>
        <v>1.0546875</v>
      </c>
      <c r="P1059" t="str">
        <f>IF(Table13[[#This Row],[Good_Qty]]&gt;=Table13[[#This Row],[Planned_Production]],"Met","Not Met")</f>
        <v>Met</v>
      </c>
      <c r="Q1059">
        <f>Table13[[#This Row],[Good_Qty]]-Table13[[#This Row],[Planned_Production]]</f>
        <v>35</v>
      </c>
      <c r="R1059" s="3">
        <f>IF(Table13[[#This Row],[Actual_Qty]]=0,0,Table13[[#This Row],[Reject_Qty]]/Table13[[#This Row],[Actual_Qty]])</f>
        <v>1.171303074670571E-2</v>
      </c>
      <c r="S1059">
        <v>437.84</v>
      </c>
      <c r="T1059">
        <f>(Table13[[#This Row],[Ideal_Cycle_Time_sec]]*Table13[[#This Row],[Actual_Qty]])/(Table13[[#This Row],[Operational_Time_min]]*60)</f>
        <v>0.51997685608136923</v>
      </c>
      <c r="U1059">
        <f>Table13[[#This Row],[Good_Qty]]/Table13[[#This Row],[Actual_Qty]]</f>
        <v>0.98828696925329429</v>
      </c>
      <c r="V1059" t="str">
        <f>IF(OR(Table13[[#This Row],[Performance_%]]&gt;=1,Table13[[#This Row],[Performance_%]]&lt;=0),"Error","OK")</f>
        <v>OK</v>
      </c>
      <c r="W1059" t="str">
        <f>IF(OR(Table13[[#This Row],[Quality_%]]&gt;=1,Table13[[#This Row],[Quality_%]]&lt;=0),"Error","OK")</f>
        <v>OK</v>
      </c>
      <c r="X1059">
        <f>Table13[[#This Row],[Performance_%]]*Table13[[#This Row],[Quality_%]]*[2]Availability_KPI!K1059</f>
        <v>0.5</v>
      </c>
      <c r="Y1059" t="str">
        <f>IF(OR(Table13[[#This Row],[OEE_%]]&gt;1,Table13[[#This Row],[OEE_%]]&lt;0),"Error","OK")</f>
        <v>OK</v>
      </c>
    </row>
    <row r="1060" spans="1:25" x14ac:dyDescent="0.2">
      <c r="A1060" t="s">
        <v>1242</v>
      </c>
      <c r="B1060" t="s">
        <v>1240</v>
      </c>
      <c r="C1060" s="2">
        <v>46297</v>
      </c>
      <c r="D1060" t="s">
        <v>27</v>
      </c>
      <c r="E1060" t="s">
        <v>35</v>
      </c>
      <c r="F1060" t="s">
        <v>54</v>
      </c>
      <c r="G1060" t="s">
        <v>39</v>
      </c>
      <c r="H1060">
        <v>686</v>
      </c>
      <c r="I1060">
        <v>681</v>
      </c>
      <c r="J1060">
        <v>5</v>
      </c>
      <c r="K1060">
        <v>22</v>
      </c>
      <c r="L1060">
        <v>23.9</v>
      </c>
      <c r="M1060">
        <v>273.24</v>
      </c>
      <c r="N1060">
        <f>_xlfn.XLOOKUP(Table13[[#This Row],[Production_Order_ID]],[1]Sheet1!$A$2:$A$391,[1]Sheet1!$F$2:$F$391,"No Match")</f>
        <v>640</v>
      </c>
      <c r="O1060" s="3">
        <f>Table13[[#This Row],[Good_Qty]]/Table13[[#This Row],[Planned_Production]]</f>
        <v>1.0640624999999999</v>
      </c>
      <c r="P1060" t="str">
        <f>IF(Table13[[#This Row],[Good_Qty]]&gt;=Table13[[#This Row],[Planned_Production]],"Met","Not Met")</f>
        <v>Met</v>
      </c>
      <c r="Q1060">
        <f>Table13[[#This Row],[Good_Qty]]-Table13[[#This Row],[Planned_Production]]</f>
        <v>41</v>
      </c>
      <c r="R1060" s="3">
        <f>IF(Table13[[#This Row],[Actual_Qty]]=0,0,Table13[[#This Row],[Reject_Qty]]/Table13[[#This Row],[Actual_Qty]])</f>
        <v>7.2886297376093291E-3</v>
      </c>
      <c r="S1060">
        <v>433.16</v>
      </c>
      <c r="T1060">
        <f>(Table13[[#This Row],[Ideal_Cycle_Time_sec]]*Table13[[#This Row],[Actual_Qty]])/(Table13[[#This Row],[Operational_Time_min]]*60)</f>
        <v>0.58069381598793357</v>
      </c>
      <c r="U1060">
        <f>Table13[[#This Row],[Good_Qty]]/Table13[[#This Row],[Actual_Qty]]</f>
        <v>0.99271137026239065</v>
      </c>
      <c r="V1060" t="str">
        <f>IF(OR(Table13[[#This Row],[Performance_%]]&gt;=1,Table13[[#This Row],[Performance_%]]&lt;=0),"Error","OK")</f>
        <v>OK</v>
      </c>
      <c r="W1060" t="str">
        <f>IF(OR(Table13[[#This Row],[Quality_%]]&gt;=1,Table13[[#This Row],[Quality_%]]&lt;=0),"Error","OK")</f>
        <v>OK</v>
      </c>
      <c r="X1060">
        <f>Table13[[#This Row],[Performance_%]]*Table13[[#This Row],[Quality_%]]*[2]Availability_KPI!K1060</f>
        <v>0.55488888888888888</v>
      </c>
      <c r="Y1060" t="str">
        <f>IF(OR(Table13[[#This Row],[OEE_%]]&gt;1,Table13[[#This Row],[OEE_%]]&lt;0),"Error","OK")</f>
        <v>OK</v>
      </c>
    </row>
    <row r="1061" spans="1:25" x14ac:dyDescent="0.2">
      <c r="A1061" t="s">
        <v>1243</v>
      </c>
      <c r="B1061" t="s">
        <v>1240</v>
      </c>
      <c r="C1061" s="2">
        <v>46297</v>
      </c>
      <c r="D1061" t="s">
        <v>27</v>
      </c>
      <c r="E1061" t="s">
        <v>38</v>
      </c>
      <c r="F1061" t="s">
        <v>54</v>
      </c>
      <c r="G1061" t="s">
        <v>75</v>
      </c>
      <c r="H1061">
        <v>674</v>
      </c>
      <c r="I1061">
        <v>670</v>
      </c>
      <c r="J1061">
        <v>4</v>
      </c>
      <c r="K1061">
        <v>20</v>
      </c>
      <c r="L1061">
        <v>20.83</v>
      </c>
      <c r="M1061">
        <v>234</v>
      </c>
      <c r="N1061">
        <f>_xlfn.XLOOKUP(Table13[[#This Row],[Production_Order_ID]],[1]Sheet1!$A$2:$A$391,[1]Sheet1!$F$2:$F$391,"No Match")</f>
        <v>640</v>
      </c>
      <c r="O1061" s="3">
        <f>Table13[[#This Row],[Good_Qty]]/Table13[[#This Row],[Planned_Production]]</f>
        <v>1.046875</v>
      </c>
      <c r="P1061" t="str">
        <f>IF(Table13[[#This Row],[Good_Qty]]&gt;=Table13[[#This Row],[Planned_Production]],"Met","Not Met")</f>
        <v>Met</v>
      </c>
      <c r="Q1061">
        <f>Table13[[#This Row],[Good_Qty]]-Table13[[#This Row],[Planned_Production]]</f>
        <v>30</v>
      </c>
      <c r="R1061" s="3">
        <f>IF(Table13[[#This Row],[Actual_Qty]]=0,0,Table13[[#This Row],[Reject_Qty]]/Table13[[#This Row],[Actual_Qty]])</f>
        <v>5.9347181008902079E-3</v>
      </c>
      <c r="S1061">
        <v>439.97</v>
      </c>
      <c r="T1061">
        <f>(Table13[[#This Row],[Ideal_Cycle_Time_sec]]*Table13[[#This Row],[Actual_Qty]])/(Table13[[#This Row],[Operational_Time_min]]*60)</f>
        <v>0.51064087702949446</v>
      </c>
      <c r="U1061">
        <f>Table13[[#This Row],[Good_Qty]]/Table13[[#This Row],[Actual_Qty]]</f>
        <v>0.99406528189910981</v>
      </c>
      <c r="V1061" t="str">
        <f>IF(OR(Table13[[#This Row],[Performance_%]]&gt;=1,Table13[[#This Row],[Performance_%]]&lt;=0),"Error","OK")</f>
        <v>OK</v>
      </c>
      <c r="W1061" t="str">
        <f>IF(OR(Table13[[#This Row],[Quality_%]]&gt;=1,Table13[[#This Row],[Quality_%]]&lt;=0),"Error","OK")</f>
        <v>OK</v>
      </c>
      <c r="X1061">
        <f>Table13[[#This Row],[Performance_%]]*Table13[[#This Row],[Quality_%]]*[2]Availability_KPI!K1061</f>
        <v>0.49629629629629635</v>
      </c>
      <c r="Y1061" t="str">
        <f>IF(OR(Table13[[#This Row],[OEE_%]]&gt;1,Table13[[#This Row],[OEE_%]]&lt;0),"Error","OK")</f>
        <v>OK</v>
      </c>
    </row>
    <row r="1062" spans="1:25" x14ac:dyDescent="0.2">
      <c r="A1062" t="s">
        <v>1244</v>
      </c>
      <c r="B1062" t="s">
        <v>1240</v>
      </c>
      <c r="C1062" s="2">
        <v>46297</v>
      </c>
      <c r="D1062" t="s">
        <v>27</v>
      </c>
      <c r="E1062" t="s">
        <v>41</v>
      </c>
      <c r="F1062" t="s">
        <v>54</v>
      </c>
      <c r="G1062" t="s">
        <v>55</v>
      </c>
      <c r="H1062">
        <v>714</v>
      </c>
      <c r="I1062">
        <v>710</v>
      </c>
      <c r="J1062">
        <v>4</v>
      </c>
      <c r="K1062">
        <v>18</v>
      </c>
      <c r="L1062">
        <v>18.989999999999998</v>
      </c>
      <c r="M1062">
        <v>226</v>
      </c>
      <c r="N1062">
        <f>_xlfn.XLOOKUP(Table13[[#This Row],[Production_Order_ID]],[1]Sheet1!$A$2:$A$391,[1]Sheet1!$F$2:$F$391,"No Match")</f>
        <v>640</v>
      </c>
      <c r="O1062" s="3">
        <f>Table13[[#This Row],[Good_Qty]]/Table13[[#This Row],[Planned_Production]]</f>
        <v>1.109375</v>
      </c>
      <c r="P1062" t="str">
        <f>IF(Table13[[#This Row],[Good_Qty]]&gt;=Table13[[#This Row],[Planned_Production]],"Met","Not Met")</f>
        <v>Met</v>
      </c>
      <c r="Q1062">
        <f>Table13[[#This Row],[Good_Qty]]-Table13[[#This Row],[Planned_Production]]</f>
        <v>70</v>
      </c>
      <c r="R1062" s="3">
        <f>IF(Table13[[#This Row],[Actual_Qty]]=0,0,Table13[[#This Row],[Reject_Qty]]/Table13[[#This Row],[Actual_Qty]])</f>
        <v>5.6022408963585435E-3</v>
      </c>
      <c r="S1062">
        <v>438.61</v>
      </c>
      <c r="T1062">
        <f>(Table13[[#This Row],[Ideal_Cycle_Time_sec]]*Table13[[#This Row],[Actual_Qty]])/(Table13[[#This Row],[Operational_Time_min]]*60)</f>
        <v>0.48836095848247868</v>
      </c>
      <c r="U1062">
        <f>Table13[[#This Row],[Good_Qty]]/Table13[[#This Row],[Actual_Qty]]</f>
        <v>0.99439775910364148</v>
      </c>
      <c r="V1062" t="str">
        <f>IF(OR(Table13[[#This Row],[Performance_%]]&gt;=1,Table13[[#This Row],[Performance_%]]&lt;=0),"Error","OK")</f>
        <v>OK</v>
      </c>
      <c r="W1062" t="str">
        <f>IF(OR(Table13[[#This Row],[Quality_%]]&gt;=1,Table13[[#This Row],[Quality_%]]&lt;=0),"Error","OK")</f>
        <v>OK</v>
      </c>
      <c r="X1062">
        <f>Table13[[#This Row],[Performance_%]]*Table13[[#This Row],[Quality_%]]*[2]Availability_KPI!K1062</f>
        <v>0.47333333333333333</v>
      </c>
      <c r="Y1062" t="str">
        <f>IF(OR(Table13[[#This Row],[OEE_%]]&gt;1,Table13[[#This Row],[OEE_%]]&lt;0),"Error","OK")</f>
        <v>OK</v>
      </c>
    </row>
    <row r="1063" spans="1:25" x14ac:dyDescent="0.2">
      <c r="A1063" t="s">
        <v>1245</v>
      </c>
      <c r="B1063" t="s">
        <v>1240</v>
      </c>
      <c r="C1063" s="2">
        <v>46297</v>
      </c>
      <c r="D1063" t="s">
        <v>27</v>
      </c>
      <c r="E1063" t="s">
        <v>43</v>
      </c>
      <c r="F1063" t="s">
        <v>54</v>
      </c>
      <c r="G1063" t="s">
        <v>61</v>
      </c>
      <c r="H1063">
        <v>684</v>
      </c>
      <c r="I1063">
        <v>673</v>
      </c>
      <c r="J1063">
        <v>11</v>
      </c>
      <c r="K1063">
        <v>32</v>
      </c>
      <c r="L1063">
        <v>34.17</v>
      </c>
      <c r="M1063">
        <v>389.5</v>
      </c>
      <c r="N1063">
        <f>_xlfn.XLOOKUP(Table13[[#This Row],[Production_Order_ID]],[1]Sheet1!$A$2:$A$391,[1]Sheet1!$F$2:$F$391,"No Match")</f>
        <v>640</v>
      </c>
      <c r="O1063" s="3">
        <f>Table13[[#This Row],[Good_Qty]]/Table13[[#This Row],[Planned_Production]]</f>
        <v>1.0515625</v>
      </c>
      <c r="P1063" t="str">
        <f>IF(Table13[[#This Row],[Good_Qty]]&gt;=Table13[[#This Row],[Planned_Production]],"Met","Not Met")</f>
        <v>Met</v>
      </c>
      <c r="Q1063">
        <f>Table13[[#This Row],[Good_Qty]]-Table13[[#This Row],[Planned_Production]]</f>
        <v>33</v>
      </c>
      <c r="R1063" s="3">
        <f>IF(Table13[[#This Row],[Actual_Qty]]=0,0,Table13[[#This Row],[Reject_Qty]]/Table13[[#This Row],[Actual_Qty]])</f>
        <v>1.6081871345029239E-2</v>
      </c>
      <c r="S1063">
        <v>411.32</v>
      </c>
      <c r="T1063">
        <f>(Table13[[#This Row],[Ideal_Cycle_Time_sec]]*Table13[[#This Row],[Actual_Qty]])/(Table13[[#This Row],[Operational_Time_min]]*60)</f>
        <v>0.88690070990955949</v>
      </c>
      <c r="U1063">
        <f>Table13[[#This Row],[Good_Qty]]/Table13[[#This Row],[Actual_Qty]]</f>
        <v>0.98391812865497075</v>
      </c>
      <c r="V1063" t="str">
        <f>IF(OR(Table13[[#This Row],[Performance_%]]&gt;=1,Table13[[#This Row],[Performance_%]]&lt;=0),"Error","OK")</f>
        <v>OK</v>
      </c>
      <c r="W1063" t="str">
        <f>IF(OR(Table13[[#This Row],[Quality_%]]&gt;=1,Table13[[#This Row],[Quality_%]]&lt;=0),"Error","OK")</f>
        <v>OK</v>
      </c>
      <c r="X1063">
        <f>Table13[[#This Row],[Performance_%]]*Table13[[#This Row],[Quality_%]]*[2]Availability_KPI!K1063</f>
        <v>0.79762962962962958</v>
      </c>
      <c r="Y1063" t="str">
        <f>IF(OR(Table13[[#This Row],[OEE_%]]&gt;1,Table13[[#This Row],[OEE_%]]&lt;0),"Error","OK")</f>
        <v>OK</v>
      </c>
    </row>
    <row r="1064" spans="1:25" x14ac:dyDescent="0.2">
      <c r="A1064" t="s">
        <v>1246</v>
      </c>
      <c r="B1064" t="s">
        <v>1240</v>
      </c>
      <c r="C1064" s="2">
        <v>46297</v>
      </c>
      <c r="D1064" t="s">
        <v>27</v>
      </c>
      <c r="E1064" t="s">
        <v>46</v>
      </c>
      <c r="F1064" t="s">
        <v>54</v>
      </c>
      <c r="G1064" t="s">
        <v>57</v>
      </c>
      <c r="H1064">
        <v>690</v>
      </c>
      <c r="I1064">
        <v>683</v>
      </c>
      <c r="J1064">
        <v>7</v>
      </c>
      <c r="K1064">
        <v>25</v>
      </c>
      <c r="L1064">
        <v>25.97</v>
      </c>
      <c r="M1064">
        <v>298.7</v>
      </c>
      <c r="N1064">
        <f>_xlfn.XLOOKUP(Table13[[#This Row],[Production_Order_ID]],[1]Sheet1!$A$2:$A$391,[1]Sheet1!$F$2:$F$391,"No Match")</f>
        <v>640</v>
      </c>
      <c r="O1064" s="3">
        <f>Table13[[#This Row],[Good_Qty]]/Table13[[#This Row],[Planned_Production]]</f>
        <v>1.0671875</v>
      </c>
      <c r="P1064" t="str">
        <f>IF(Table13[[#This Row],[Good_Qty]]&gt;=Table13[[#This Row],[Planned_Production]],"Met","Not Met")</f>
        <v>Met</v>
      </c>
      <c r="Q1064">
        <f>Table13[[#This Row],[Good_Qty]]-Table13[[#This Row],[Planned_Production]]</f>
        <v>43</v>
      </c>
      <c r="R1064" s="3">
        <f>IF(Table13[[#This Row],[Actual_Qty]]=0,0,Table13[[#This Row],[Reject_Qty]]/Table13[[#This Row],[Actual_Qty]])</f>
        <v>1.0144927536231883E-2</v>
      </c>
      <c r="S1064">
        <v>429.18</v>
      </c>
      <c r="T1064">
        <f>(Table13[[#This Row],[Ideal_Cycle_Time_sec]]*Table13[[#This Row],[Actual_Qty]])/(Table13[[#This Row],[Operational_Time_min]]*60)</f>
        <v>0.66988210075026799</v>
      </c>
      <c r="U1064">
        <f>Table13[[#This Row],[Good_Qty]]/Table13[[#This Row],[Actual_Qty]]</f>
        <v>0.98985507246376814</v>
      </c>
      <c r="V1064" t="str">
        <f>IF(OR(Table13[[#This Row],[Performance_%]]&gt;=1,Table13[[#This Row],[Performance_%]]&lt;=0),"Error","OK")</f>
        <v>OK</v>
      </c>
      <c r="W1064" t="str">
        <f>IF(OR(Table13[[#This Row],[Quality_%]]&gt;=1,Table13[[#This Row],[Quality_%]]&lt;=0),"Error","OK")</f>
        <v>OK</v>
      </c>
      <c r="X1064">
        <f>Table13[[#This Row],[Performance_%]]*Table13[[#This Row],[Quality_%]]*[2]Availability_KPI!K1064</f>
        <v>0.63240740740740742</v>
      </c>
      <c r="Y1064" t="str">
        <f>IF(OR(Table13[[#This Row],[OEE_%]]&gt;1,Table13[[#This Row],[OEE_%]]&lt;0),"Error","OK")</f>
        <v>OK</v>
      </c>
    </row>
    <row r="1065" spans="1:25" x14ac:dyDescent="0.2">
      <c r="A1065" t="s">
        <v>1247</v>
      </c>
      <c r="B1065" t="s">
        <v>1240</v>
      </c>
      <c r="C1065" s="2">
        <v>46297</v>
      </c>
      <c r="D1065" t="s">
        <v>27</v>
      </c>
      <c r="E1065" t="s">
        <v>49</v>
      </c>
      <c r="F1065" t="s">
        <v>54</v>
      </c>
      <c r="G1065" t="s">
        <v>44</v>
      </c>
      <c r="H1065">
        <v>695</v>
      </c>
      <c r="I1065">
        <v>693</v>
      </c>
      <c r="J1065">
        <v>2</v>
      </c>
      <c r="K1065">
        <v>20</v>
      </c>
      <c r="L1065">
        <v>20</v>
      </c>
      <c r="M1065">
        <v>231.67</v>
      </c>
      <c r="N1065">
        <f>_xlfn.XLOOKUP(Table13[[#This Row],[Production_Order_ID]],[1]Sheet1!$A$2:$A$391,[1]Sheet1!$F$2:$F$391,"No Match")</f>
        <v>640</v>
      </c>
      <c r="O1065" s="3">
        <f>Table13[[#This Row],[Good_Qty]]/Table13[[#This Row],[Planned_Production]]</f>
        <v>1.0828125</v>
      </c>
      <c r="P1065" t="str">
        <f>IF(Table13[[#This Row],[Good_Qty]]&gt;=Table13[[#This Row],[Planned_Production]],"Met","Not Met")</f>
        <v>Met</v>
      </c>
      <c r="Q1065">
        <f>Table13[[#This Row],[Good_Qty]]-Table13[[#This Row],[Planned_Production]]</f>
        <v>53</v>
      </c>
      <c r="R1065" s="3">
        <f>IF(Table13[[#This Row],[Actual_Qty]]=0,0,Table13[[#This Row],[Reject_Qty]]/Table13[[#This Row],[Actual_Qty]])</f>
        <v>2.8776978417266188E-3</v>
      </c>
      <c r="S1065">
        <v>440.16</v>
      </c>
      <c r="T1065">
        <f>(Table13[[#This Row],[Ideal_Cycle_Time_sec]]*Table13[[#This Row],[Actual_Qty]])/(Table13[[#This Row],[Operational_Time_min]]*60)</f>
        <v>0.5263237610565854</v>
      </c>
      <c r="U1065">
        <f>Table13[[#This Row],[Good_Qty]]/Table13[[#This Row],[Actual_Qty]]</f>
        <v>0.99712230215827335</v>
      </c>
      <c r="V1065" t="str">
        <f>IF(OR(Table13[[#This Row],[Performance_%]]&gt;=1,Table13[[#This Row],[Performance_%]]&lt;=0),"Error","OK")</f>
        <v>OK</v>
      </c>
      <c r="W1065" t="str">
        <f>IF(OR(Table13[[#This Row],[Quality_%]]&gt;=1,Table13[[#This Row],[Quality_%]]&lt;=0),"Error","OK")</f>
        <v>OK</v>
      </c>
      <c r="X1065">
        <f>Table13[[#This Row],[Performance_%]]*Table13[[#This Row],[Quality_%]]*[2]Availability_KPI!K1065</f>
        <v>0.51333333333333331</v>
      </c>
      <c r="Y1065" t="str">
        <f>IF(OR(Table13[[#This Row],[OEE_%]]&gt;1,Table13[[#This Row],[OEE_%]]&lt;0),"Error","OK")</f>
        <v>OK</v>
      </c>
    </row>
    <row r="1066" spans="1:25" x14ac:dyDescent="0.2">
      <c r="A1066" t="s">
        <v>1248</v>
      </c>
      <c r="B1066" t="s">
        <v>1249</v>
      </c>
      <c r="C1066" s="2">
        <v>46297</v>
      </c>
      <c r="D1066" t="s">
        <v>53</v>
      </c>
      <c r="E1066" t="s">
        <v>28</v>
      </c>
      <c r="F1066" t="s">
        <v>54</v>
      </c>
      <c r="G1066" t="s">
        <v>50</v>
      </c>
      <c r="H1066">
        <v>627</v>
      </c>
      <c r="I1066">
        <v>624</v>
      </c>
      <c r="J1066">
        <v>3</v>
      </c>
      <c r="K1066">
        <v>18</v>
      </c>
      <c r="L1066">
        <v>18.53</v>
      </c>
      <c r="M1066">
        <v>193.65</v>
      </c>
      <c r="N1066">
        <f>_xlfn.XLOOKUP(Table13[[#This Row],[Production_Order_ID]],[1]Sheet1!$A$2:$A$391,[1]Sheet1!$F$2:$F$391,"No Match")</f>
        <v>600</v>
      </c>
      <c r="O1066" s="3">
        <f>Table13[[#This Row],[Good_Qty]]/Table13[[#This Row],[Planned_Production]]</f>
        <v>1.04</v>
      </c>
      <c r="P1066" t="str">
        <f>IF(Table13[[#This Row],[Good_Qty]]&gt;=Table13[[#This Row],[Planned_Production]],"Met","Not Met")</f>
        <v>Met</v>
      </c>
      <c r="Q1066">
        <f>Table13[[#This Row],[Good_Qty]]-Table13[[#This Row],[Planned_Production]]</f>
        <v>24</v>
      </c>
      <c r="R1066" s="3">
        <f>IF(Table13[[#This Row],[Actual_Qty]]=0,0,Table13[[#This Row],[Reject_Qty]]/Table13[[#This Row],[Actual_Qty]])</f>
        <v>4.7846889952153108E-3</v>
      </c>
      <c r="S1066">
        <v>440.9</v>
      </c>
      <c r="T1066">
        <f>(Table13[[#This Row],[Ideal_Cycle_Time_sec]]*Table13[[#This Row],[Actual_Qty]])/(Table13[[#This Row],[Operational_Time_min]]*60)</f>
        <v>0.4266273531413019</v>
      </c>
      <c r="U1066">
        <f>Table13[[#This Row],[Good_Qty]]/Table13[[#This Row],[Actual_Qty]]</f>
        <v>0.99521531100478466</v>
      </c>
      <c r="V1066" t="str">
        <f>IF(OR(Table13[[#This Row],[Performance_%]]&gt;=1,Table13[[#This Row],[Performance_%]]&lt;=0),"Error","OK")</f>
        <v>OK</v>
      </c>
      <c r="W1066" t="str">
        <f>IF(OR(Table13[[#This Row],[Quality_%]]&gt;=1,Table13[[#This Row],[Quality_%]]&lt;=0),"Error","OK")</f>
        <v>OK</v>
      </c>
      <c r="X1066">
        <f>Table13[[#This Row],[Performance_%]]*Table13[[#This Row],[Quality_%]]*[2]Availability_KPI!K1066</f>
        <v>0.41599999999999998</v>
      </c>
      <c r="Y1066" t="str">
        <f>IF(OR(Table13[[#This Row],[OEE_%]]&gt;1,Table13[[#This Row],[OEE_%]]&lt;0),"Error","OK")</f>
        <v>OK</v>
      </c>
    </row>
    <row r="1067" spans="1:25" x14ac:dyDescent="0.2">
      <c r="A1067" t="s">
        <v>1250</v>
      </c>
      <c r="B1067" t="s">
        <v>1249</v>
      </c>
      <c r="C1067" s="2">
        <v>46297</v>
      </c>
      <c r="D1067" t="s">
        <v>53</v>
      </c>
      <c r="E1067" t="s">
        <v>32</v>
      </c>
      <c r="F1067" t="s">
        <v>54</v>
      </c>
      <c r="G1067" t="s">
        <v>75</v>
      </c>
      <c r="H1067">
        <v>632</v>
      </c>
      <c r="I1067">
        <v>627</v>
      </c>
      <c r="J1067">
        <v>5</v>
      </c>
      <c r="K1067">
        <v>20</v>
      </c>
      <c r="L1067">
        <v>20.58</v>
      </c>
      <c r="M1067">
        <v>216.82</v>
      </c>
      <c r="N1067">
        <f>_xlfn.XLOOKUP(Table13[[#This Row],[Production_Order_ID]],[1]Sheet1!$A$2:$A$391,[1]Sheet1!$F$2:$F$391,"No Match")</f>
        <v>600</v>
      </c>
      <c r="O1067" s="3">
        <f>Table13[[#This Row],[Good_Qty]]/Table13[[#This Row],[Planned_Production]]</f>
        <v>1.0449999999999999</v>
      </c>
      <c r="P1067" t="str">
        <f>IF(Table13[[#This Row],[Good_Qty]]&gt;=Table13[[#This Row],[Planned_Production]],"Met","Not Met")</f>
        <v>Met</v>
      </c>
      <c r="Q1067">
        <f>Table13[[#This Row],[Good_Qty]]-Table13[[#This Row],[Planned_Production]]</f>
        <v>27</v>
      </c>
      <c r="R1067" s="3">
        <f>IF(Table13[[#This Row],[Actual_Qty]]=0,0,Table13[[#This Row],[Reject_Qty]]/Table13[[#This Row],[Actual_Qty]])</f>
        <v>7.9113924050632917E-3</v>
      </c>
      <c r="S1067">
        <v>437.72</v>
      </c>
      <c r="T1067">
        <f>(Table13[[#This Row],[Ideal_Cycle_Time_sec]]*Table13[[#This Row],[Actual_Qty]])/(Table13[[#This Row],[Operational_Time_min]]*60)</f>
        <v>0.48128179353620271</v>
      </c>
      <c r="U1067">
        <f>Table13[[#This Row],[Good_Qty]]/Table13[[#This Row],[Actual_Qty]]</f>
        <v>0.99208860759493667</v>
      </c>
      <c r="V1067" t="str">
        <f>IF(OR(Table13[[#This Row],[Performance_%]]&gt;=1,Table13[[#This Row],[Performance_%]]&lt;=0),"Error","OK")</f>
        <v>OK</v>
      </c>
      <c r="W1067" t="str">
        <f>IF(OR(Table13[[#This Row],[Quality_%]]&gt;=1,Table13[[#This Row],[Quality_%]]&lt;=0),"Error","OK")</f>
        <v>OK</v>
      </c>
      <c r="X1067">
        <f>Table13[[#This Row],[Performance_%]]*Table13[[#This Row],[Quality_%]]*[2]Availability_KPI!K1067</f>
        <v>0.46444444444444444</v>
      </c>
      <c r="Y1067" t="str">
        <f>IF(OR(Table13[[#This Row],[OEE_%]]&gt;1,Table13[[#This Row],[OEE_%]]&lt;0),"Error","OK")</f>
        <v>OK</v>
      </c>
    </row>
    <row r="1068" spans="1:25" x14ac:dyDescent="0.2">
      <c r="A1068" t="s">
        <v>1251</v>
      </c>
      <c r="B1068" t="s">
        <v>1249</v>
      </c>
      <c r="C1068" s="2">
        <v>46297</v>
      </c>
      <c r="D1068" t="s">
        <v>53</v>
      </c>
      <c r="E1068" t="s">
        <v>35</v>
      </c>
      <c r="F1068" t="s">
        <v>54</v>
      </c>
      <c r="G1068" t="s">
        <v>39</v>
      </c>
      <c r="H1068">
        <v>631</v>
      </c>
      <c r="I1068">
        <v>626</v>
      </c>
      <c r="J1068">
        <v>5</v>
      </c>
      <c r="K1068">
        <v>22</v>
      </c>
      <c r="L1068">
        <v>22.84</v>
      </c>
      <c r="M1068">
        <v>240.2</v>
      </c>
      <c r="N1068">
        <f>_xlfn.XLOOKUP(Table13[[#This Row],[Production_Order_ID]],[1]Sheet1!$A$2:$A$391,[1]Sheet1!$F$2:$F$391,"No Match")</f>
        <v>600</v>
      </c>
      <c r="O1068" s="3">
        <f>Table13[[#This Row],[Good_Qty]]/Table13[[#This Row],[Planned_Production]]</f>
        <v>1.0433333333333332</v>
      </c>
      <c r="P1068" t="str">
        <f>IF(Table13[[#This Row],[Good_Qty]]&gt;=Table13[[#This Row],[Planned_Production]],"Met","Not Met")</f>
        <v>Met</v>
      </c>
      <c r="Q1068">
        <f>Table13[[#This Row],[Good_Qty]]-Table13[[#This Row],[Planned_Production]]</f>
        <v>26</v>
      </c>
      <c r="R1068" s="3">
        <f>IF(Table13[[#This Row],[Actual_Qty]]=0,0,Table13[[#This Row],[Reject_Qty]]/Table13[[#This Row],[Actual_Qty]])</f>
        <v>7.9239302694136295E-3</v>
      </c>
      <c r="S1068">
        <v>435.98</v>
      </c>
      <c r="T1068">
        <f>(Table13[[#This Row],[Ideal_Cycle_Time_sec]]*Table13[[#This Row],[Actual_Qty]])/(Table13[[#This Row],[Operational_Time_min]]*60)</f>
        <v>0.53068183555820603</v>
      </c>
      <c r="U1068">
        <f>Table13[[#This Row],[Good_Qty]]/Table13[[#This Row],[Actual_Qty]]</f>
        <v>0.99207606973058637</v>
      </c>
      <c r="V1068" t="str">
        <f>IF(OR(Table13[[#This Row],[Performance_%]]&gt;=1,Table13[[#This Row],[Performance_%]]&lt;=0),"Error","OK")</f>
        <v>OK</v>
      </c>
      <c r="W1068" t="str">
        <f>IF(OR(Table13[[#This Row],[Quality_%]]&gt;=1,Table13[[#This Row],[Quality_%]]&lt;=0),"Error","OK")</f>
        <v>OK</v>
      </c>
      <c r="X1068">
        <f>Table13[[#This Row],[Performance_%]]*Table13[[#This Row],[Quality_%]]*[2]Availability_KPI!K1068</f>
        <v>0.51007407407407412</v>
      </c>
      <c r="Y1068" t="str">
        <f>IF(OR(Table13[[#This Row],[OEE_%]]&gt;1,Table13[[#This Row],[OEE_%]]&lt;0),"Error","OK")</f>
        <v>OK</v>
      </c>
    </row>
    <row r="1069" spans="1:25" x14ac:dyDescent="0.2">
      <c r="A1069" t="s">
        <v>1252</v>
      </c>
      <c r="B1069" t="s">
        <v>1249</v>
      </c>
      <c r="C1069" s="2">
        <v>46297</v>
      </c>
      <c r="D1069" t="s">
        <v>53</v>
      </c>
      <c r="E1069" t="s">
        <v>38</v>
      </c>
      <c r="F1069" t="s">
        <v>54</v>
      </c>
      <c r="G1069" t="s">
        <v>47</v>
      </c>
      <c r="H1069">
        <v>618</v>
      </c>
      <c r="I1069">
        <v>612</v>
      </c>
      <c r="J1069">
        <v>6</v>
      </c>
      <c r="K1069">
        <v>20</v>
      </c>
      <c r="L1069">
        <v>21.23</v>
      </c>
      <c r="M1069">
        <v>218.62</v>
      </c>
      <c r="N1069">
        <f>_xlfn.XLOOKUP(Table13[[#This Row],[Production_Order_ID]],[1]Sheet1!$A$2:$A$391,[1]Sheet1!$F$2:$F$391,"No Match")</f>
        <v>600</v>
      </c>
      <c r="O1069" s="3">
        <f>Table13[[#This Row],[Good_Qty]]/Table13[[#This Row],[Planned_Production]]</f>
        <v>1.02</v>
      </c>
      <c r="P1069" t="str">
        <f>IF(Table13[[#This Row],[Good_Qty]]&gt;=Table13[[#This Row],[Planned_Production]],"Met","Not Met")</f>
        <v>Met</v>
      </c>
      <c r="Q1069">
        <f>Table13[[#This Row],[Good_Qty]]-Table13[[#This Row],[Planned_Production]]</f>
        <v>12</v>
      </c>
      <c r="R1069" s="3">
        <f>IF(Table13[[#This Row],[Actual_Qty]]=0,0,Table13[[#This Row],[Reject_Qty]]/Table13[[#This Row],[Actual_Qty]])</f>
        <v>9.7087378640776691E-3</v>
      </c>
      <c r="S1069">
        <v>437.76</v>
      </c>
      <c r="T1069">
        <f>(Table13[[#This Row],[Ideal_Cycle_Time_sec]]*Table13[[#This Row],[Actual_Qty]])/(Table13[[#This Row],[Operational_Time_min]]*60)</f>
        <v>0.47057748538011701</v>
      </c>
      <c r="U1069">
        <f>Table13[[#This Row],[Good_Qty]]/Table13[[#This Row],[Actual_Qty]]</f>
        <v>0.99029126213592233</v>
      </c>
      <c r="V1069" t="str">
        <f>IF(OR(Table13[[#This Row],[Performance_%]]&gt;=1,Table13[[#This Row],[Performance_%]]&lt;=0),"Error","OK")</f>
        <v>OK</v>
      </c>
      <c r="W1069" t="str">
        <f>IF(OR(Table13[[#This Row],[Quality_%]]&gt;=1,Table13[[#This Row],[Quality_%]]&lt;=0),"Error","OK")</f>
        <v>OK</v>
      </c>
      <c r="X1069">
        <f>Table13[[#This Row],[Performance_%]]*Table13[[#This Row],[Quality_%]]*[2]Availability_KPI!K1069</f>
        <v>0.45333333333333337</v>
      </c>
      <c r="Y1069" t="str">
        <f>IF(OR(Table13[[#This Row],[OEE_%]]&gt;1,Table13[[#This Row],[OEE_%]]&lt;0),"Error","OK")</f>
        <v>OK</v>
      </c>
    </row>
    <row r="1070" spans="1:25" x14ac:dyDescent="0.2">
      <c r="A1070" t="s">
        <v>1253</v>
      </c>
      <c r="B1070" t="s">
        <v>1249</v>
      </c>
      <c r="C1070" s="2">
        <v>46297</v>
      </c>
      <c r="D1070" t="s">
        <v>53</v>
      </c>
      <c r="E1070" t="s">
        <v>41</v>
      </c>
      <c r="F1070" t="s">
        <v>54</v>
      </c>
      <c r="G1070" t="s">
        <v>30</v>
      </c>
      <c r="H1070">
        <v>608</v>
      </c>
      <c r="I1070">
        <v>603</v>
      </c>
      <c r="J1070">
        <v>5</v>
      </c>
      <c r="K1070">
        <v>18</v>
      </c>
      <c r="L1070">
        <v>18.72</v>
      </c>
      <c r="M1070">
        <v>189.67</v>
      </c>
      <c r="N1070">
        <f>_xlfn.XLOOKUP(Table13[[#This Row],[Production_Order_ID]],[1]Sheet1!$A$2:$A$391,[1]Sheet1!$F$2:$F$391,"No Match")</f>
        <v>600</v>
      </c>
      <c r="O1070" s="3">
        <f>Table13[[#This Row],[Good_Qty]]/Table13[[#This Row],[Planned_Production]]</f>
        <v>1.0049999999999999</v>
      </c>
      <c r="P1070" t="str">
        <f>IF(Table13[[#This Row],[Good_Qty]]&gt;=Table13[[#This Row],[Planned_Production]],"Met","Not Met")</f>
        <v>Met</v>
      </c>
      <c r="Q1070">
        <f>Table13[[#This Row],[Good_Qty]]-Table13[[#This Row],[Planned_Production]]</f>
        <v>3</v>
      </c>
      <c r="R1070" s="3">
        <f>IF(Table13[[#This Row],[Actual_Qty]]=0,0,Table13[[#This Row],[Reject_Qty]]/Table13[[#This Row],[Actual_Qty]])</f>
        <v>8.2236842105263153E-3</v>
      </c>
      <c r="S1070">
        <v>437.58</v>
      </c>
      <c r="T1070">
        <f>(Table13[[#This Row],[Ideal_Cycle_Time_sec]]*Table13[[#This Row],[Actual_Qty]])/(Table13[[#This Row],[Operational_Time_min]]*60)</f>
        <v>0.41683806389688743</v>
      </c>
      <c r="U1070">
        <f>Table13[[#This Row],[Good_Qty]]/Table13[[#This Row],[Actual_Qty]]</f>
        <v>0.99177631578947367</v>
      </c>
      <c r="V1070" t="str">
        <f>IF(OR(Table13[[#This Row],[Performance_%]]&gt;=1,Table13[[#This Row],[Performance_%]]&lt;=0),"Error","OK")</f>
        <v>OK</v>
      </c>
      <c r="W1070" t="str">
        <f>IF(OR(Table13[[#This Row],[Quality_%]]&gt;=1,Table13[[#This Row],[Quality_%]]&lt;=0),"Error","OK")</f>
        <v>OK</v>
      </c>
      <c r="X1070">
        <f>Table13[[#This Row],[Performance_%]]*Table13[[#This Row],[Quality_%]]*[2]Availability_KPI!K1070</f>
        <v>0.40199999999999997</v>
      </c>
      <c r="Y1070" t="str">
        <f>IF(OR(Table13[[#This Row],[OEE_%]]&gt;1,Table13[[#This Row],[OEE_%]]&lt;0),"Error","OK")</f>
        <v>OK</v>
      </c>
    </row>
    <row r="1071" spans="1:25" x14ac:dyDescent="0.2">
      <c r="A1071" t="s">
        <v>1254</v>
      </c>
      <c r="B1071" t="s">
        <v>1249</v>
      </c>
      <c r="C1071" s="2">
        <v>46297</v>
      </c>
      <c r="D1071" t="s">
        <v>53</v>
      </c>
      <c r="E1071" t="s">
        <v>43</v>
      </c>
      <c r="F1071" t="s">
        <v>54</v>
      </c>
      <c r="G1071" t="s">
        <v>39</v>
      </c>
      <c r="H1071">
        <v>620</v>
      </c>
      <c r="I1071">
        <v>611</v>
      </c>
      <c r="J1071">
        <v>9</v>
      </c>
      <c r="K1071">
        <v>32</v>
      </c>
      <c r="L1071">
        <v>35.19</v>
      </c>
      <c r="M1071">
        <v>363.63</v>
      </c>
      <c r="N1071">
        <f>_xlfn.XLOOKUP(Table13[[#This Row],[Production_Order_ID]],[1]Sheet1!$A$2:$A$391,[1]Sheet1!$F$2:$F$391,"No Match")</f>
        <v>600</v>
      </c>
      <c r="O1071" s="3">
        <f>Table13[[#This Row],[Good_Qty]]/Table13[[#This Row],[Planned_Production]]</f>
        <v>1.0183333333333333</v>
      </c>
      <c r="P1071" t="str">
        <f>IF(Table13[[#This Row],[Good_Qty]]&gt;=Table13[[#This Row],[Planned_Production]],"Met","Not Met")</f>
        <v>Met</v>
      </c>
      <c r="Q1071">
        <f>Table13[[#This Row],[Good_Qty]]-Table13[[#This Row],[Planned_Production]]</f>
        <v>11</v>
      </c>
      <c r="R1071" s="3">
        <f>IF(Table13[[#This Row],[Actual_Qty]]=0,0,Table13[[#This Row],[Reject_Qty]]/Table13[[#This Row],[Actual_Qty]])</f>
        <v>1.4516129032258065E-2</v>
      </c>
      <c r="S1071">
        <v>425.03</v>
      </c>
      <c r="T1071">
        <f>(Table13[[#This Row],[Ideal_Cycle_Time_sec]]*Table13[[#This Row],[Actual_Qty]])/(Table13[[#This Row],[Operational_Time_min]]*60)</f>
        <v>0.77798429914751122</v>
      </c>
      <c r="U1071">
        <f>Table13[[#This Row],[Good_Qty]]/Table13[[#This Row],[Actual_Qty]]</f>
        <v>0.98548387096774193</v>
      </c>
      <c r="V1071" t="str">
        <f>IF(OR(Table13[[#This Row],[Performance_%]]&gt;=1,Table13[[#This Row],[Performance_%]]&lt;=0),"Error","OK")</f>
        <v>OK</v>
      </c>
      <c r="W1071" t="str">
        <f>IF(OR(Table13[[#This Row],[Quality_%]]&gt;=1,Table13[[#This Row],[Quality_%]]&lt;=0),"Error","OK")</f>
        <v>OK</v>
      </c>
      <c r="X1071">
        <f>Table13[[#This Row],[Performance_%]]*Table13[[#This Row],[Quality_%]]*[2]Availability_KPI!K1071</f>
        <v>0.72414814814814821</v>
      </c>
      <c r="Y1071" t="str">
        <f>IF(OR(Table13[[#This Row],[OEE_%]]&gt;1,Table13[[#This Row],[OEE_%]]&lt;0),"Error","OK")</f>
        <v>OK</v>
      </c>
    </row>
    <row r="1072" spans="1:25" x14ac:dyDescent="0.2">
      <c r="A1072" t="s">
        <v>1255</v>
      </c>
      <c r="B1072" t="s">
        <v>1249</v>
      </c>
      <c r="C1072" s="2">
        <v>46297</v>
      </c>
      <c r="D1072" t="s">
        <v>53</v>
      </c>
      <c r="E1072" t="s">
        <v>46</v>
      </c>
      <c r="F1072" t="s">
        <v>54</v>
      </c>
      <c r="G1072" t="s">
        <v>36</v>
      </c>
      <c r="H1072">
        <v>618</v>
      </c>
      <c r="I1072">
        <v>612</v>
      </c>
      <c r="J1072">
        <v>6</v>
      </c>
      <c r="K1072">
        <v>25</v>
      </c>
      <c r="L1072">
        <v>25.91</v>
      </c>
      <c r="M1072">
        <v>266.83</v>
      </c>
      <c r="N1072">
        <f>_xlfn.XLOOKUP(Table13[[#This Row],[Production_Order_ID]],[1]Sheet1!$A$2:$A$391,[1]Sheet1!$F$2:$F$391,"No Match")</f>
        <v>600</v>
      </c>
      <c r="O1072" s="3">
        <f>Table13[[#This Row],[Good_Qty]]/Table13[[#This Row],[Planned_Production]]</f>
        <v>1.02</v>
      </c>
      <c r="P1072" t="str">
        <f>IF(Table13[[#This Row],[Good_Qty]]&gt;=Table13[[#This Row],[Planned_Production]],"Met","Not Met")</f>
        <v>Met</v>
      </c>
      <c r="Q1072">
        <f>Table13[[#This Row],[Good_Qty]]-Table13[[#This Row],[Planned_Production]]</f>
        <v>12</v>
      </c>
      <c r="R1072" s="3">
        <f>IF(Table13[[#This Row],[Actual_Qty]]=0,0,Table13[[#This Row],[Reject_Qty]]/Table13[[#This Row],[Actual_Qty]])</f>
        <v>9.7087378640776691E-3</v>
      </c>
      <c r="S1072">
        <v>434.19</v>
      </c>
      <c r="T1072">
        <f>(Table13[[#This Row],[Ideal_Cycle_Time_sec]]*Table13[[#This Row],[Actual_Qty]])/(Table13[[#This Row],[Operational_Time_min]]*60)</f>
        <v>0.59305833851539647</v>
      </c>
      <c r="U1072">
        <f>Table13[[#This Row],[Good_Qty]]/Table13[[#This Row],[Actual_Qty]]</f>
        <v>0.99029126213592233</v>
      </c>
      <c r="V1072" t="str">
        <f>IF(OR(Table13[[#This Row],[Performance_%]]&gt;=1,Table13[[#This Row],[Performance_%]]&lt;=0),"Error","OK")</f>
        <v>OK</v>
      </c>
      <c r="W1072" t="str">
        <f>IF(OR(Table13[[#This Row],[Quality_%]]&gt;=1,Table13[[#This Row],[Quality_%]]&lt;=0),"Error","OK")</f>
        <v>OK</v>
      </c>
      <c r="X1072">
        <f>Table13[[#This Row],[Performance_%]]*Table13[[#This Row],[Quality_%]]*[2]Availability_KPI!K1072</f>
        <v>0.56666666666666665</v>
      </c>
      <c r="Y1072" t="str">
        <f>IF(OR(Table13[[#This Row],[OEE_%]]&gt;1,Table13[[#This Row],[OEE_%]]&lt;0),"Error","OK")</f>
        <v>OK</v>
      </c>
    </row>
    <row r="1073" spans="1:25" x14ac:dyDescent="0.2">
      <c r="A1073" t="s">
        <v>1256</v>
      </c>
      <c r="B1073" t="s">
        <v>1249</v>
      </c>
      <c r="C1073" s="2">
        <v>46297</v>
      </c>
      <c r="D1073" t="s">
        <v>53</v>
      </c>
      <c r="E1073" t="s">
        <v>49</v>
      </c>
      <c r="F1073" t="s">
        <v>54</v>
      </c>
      <c r="G1073" t="s">
        <v>50</v>
      </c>
      <c r="H1073">
        <v>620</v>
      </c>
      <c r="I1073">
        <v>616</v>
      </c>
      <c r="J1073">
        <v>4</v>
      </c>
      <c r="K1073">
        <v>20</v>
      </c>
      <c r="L1073">
        <v>20</v>
      </c>
      <c r="M1073">
        <v>206.67</v>
      </c>
      <c r="N1073">
        <f>_xlfn.XLOOKUP(Table13[[#This Row],[Production_Order_ID]],[1]Sheet1!$A$2:$A$391,[1]Sheet1!$F$2:$F$391,"No Match")</f>
        <v>600</v>
      </c>
      <c r="O1073" s="3">
        <f>Table13[[#This Row],[Good_Qty]]/Table13[[#This Row],[Planned_Production]]</f>
        <v>1.0266666666666666</v>
      </c>
      <c r="P1073" t="str">
        <f>IF(Table13[[#This Row],[Good_Qty]]&gt;=Table13[[#This Row],[Planned_Production]],"Met","Not Met")</f>
        <v>Met</v>
      </c>
      <c r="Q1073">
        <f>Table13[[#This Row],[Good_Qty]]-Table13[[#This Row],[Planned_Production]]</f>
        <v>16</v>
      </c>
      <c r="R1073" s="3">
        <f>IF(Table13[[#This Row],[Actual_Qty]]=0,0,Table13[[#This Row],[Reject_Qty]]/Table13[[#This Row],[Actual_Qty]])</f>
        <v>6.4516129032258064E-3</v>
      </c>
      <c r="S1073">
        <v>440.05</v>
      </c>
      <c r="T1073">
        <f>(Table13[[#This Row],[Ideal_Cycle_Time_sec]]*Table13[[#This Row],[Actual_Qty]])/(Table13[[#This Row],[Operational_Time_min]]*60)</f>
        <v>0.46964360110593495</v>
      </c>
      <c r="U1073">
        <f>Table13[[#This Row],[Good_Qty]]/Table13[[#This Row],[Actual_Qty]]</f>
        <v>0.99354838709677418</v>
      </c>
      <c r="V1073" t="str">
        <f>IF(OR(Table13[[#This Row],[Performance_%]]&gt;=1,Table13[[#This Row],[Performance_%]]&lt;=0),"Error","OK")</f>
        <v>OK</v>
      </c>
      <c r="W1073" t="str">
        <f>IF(OR(Table13[[#This Row],[Quality_%]]&gt;=1,Table13[[#This Row],[Quality_%]]&lt;=0),"Error","OK")</f>
        <v>OK</v>
      </c>
      <c r="X1073">
        <f>Table13[[#This Row],[Performance_%]]*Table13[[#This Row],[Quality_%]]*[2]Availability_KPI!K1073</f>
        <v>0.45629629629629631</v>
      </c>
      <c r="Y1073" t="str">
        <f>IF(OR(Table13[[#This Row],[OEE_%]]&gt;1,Table13[[#This Row],[OEE_%]]&lt;0),"Error","OK")</f>
        <v>OK</v>
      </c>
    </row>
    <row r="1074" spans="1:25" x14ac:dyDescent="0.2">
      <c r="A1074" t="s">
        <v>1257</v>
      </c>
      <c r="B1074" t="s">
        <v>1258</v>
      </c>
      <c r="C1074" s="2">
        <v>46297</v>
      </c>
      <c r="D1074" t="s">
        <v>67</v>
      </c>
      <c r="E1074" t="s">
        <v>28</v>
      </c>
      <c r="F1074" t="s">
        <v>54</v>
      </c>
      <c r="G1074" t="s">
        <v>39</v>
      </c>
      <c r="H1074">
        <v>653</v>
      </c>
      <c r="I1074">
        <v>651</v>
      </c>
      <c r="J1074">
        <v>2</v>
      </c>
      <c r="K1074">
        <v>18</v>
      </c>
      <c r="L1074">
        <v>18.7</v>
      </c>
      <c r="M1074">
        <v>203.47</v>
      </c>
      <c r="N1074">
        <f>_xlfn.XLOOKUP(Table13[[#This Row],[Production_Order_ID]],[1]Sheet1!$A$2:$A$391,[1]Sheet1!$F$2:$F$391,"No Match")</f>
        <v>630</v>
      </c>
      <c r="O1074" s="3">
        <f>Table13[[#This Row],[Good_Qty]]/Table13[[#This Row],[Planned_Production]]</f>
        <v>1.0333333333333334</v>
      </c>
      <c r="P1074" t="str">
        <f>IF(Table13[[#This Row],[Good_Qty]]&gt;=Table13[[#This Row],[Planned_Production]],"Met","Not Met")</f>
        <v>Met</v>
      </c>
      <c r="Q1074">
        <f>Table13[[#This Row],[Good_Qty]]-Table13[[#This Row],[Planned_Production]]</f>
        <v>21</v>
      </c>
      <c r="R1074" s="3">
        <f>IF(Table13[[#This Row],[Actual_Qty]]=0,0,Table13[[#This Row],[Reject_Qty]]/Table13[[#This Row],[Actual_Qty]])</f>
        <v>3.0627871362940277E-3</v>
      </c>
      <c r="S1074">
        <v>440.93</v>
      </c>
      <c r="T1074">
        <f>(Table13[[#This Row],[Ideal_Cycle_Time_sec]]*Table13[[#This Row],[Actual_Qty]])/(Table13[[#This Row],[Operational_Time_min]]*60)</f>
        <v>0.4442882090127685</v>
      </c>
      <c r="U1074">
        <f>Table13[[#This Row],[Good_Qty]]/Table13[[#This Row],[Actual_Qty]]</f>
        <v>0.99693721286370596</v>
      </c>
      <c r="V1074" t="str">
        <f>IF(OR(Table13[[#This Row],[Performance_%]]&gt;=1,Table13[[#This Row],[Performance_%]]&lt;=0),"Error","OK")</f>
        <v>OK</v>
      </c>
      <c r="W1074" t="str">
        <f>IF(OR(Table13[[#This Row],[Quality_%]]&gt;=1,Table13[[#This Row],[Quality_%]]&lt;=0),"Error","OK")</f>
        <v>OK</v>
      </c>
      <c r="X1074">
        <f>Table13[[#This Row],[Performance_%]]*Table13[[#This Row],[Quality_%]]*[2]Availability_KPI!K1074</f>
        <v>0.434</v>
      </c>
      <c r="Y1074" t="str">
        <f>IF(OR(Table13[[#This Row],[OEE_%]]&gt;1,Table13[[#This Row],[OEE_%]]&lt;0),"Error","OK")</f>
        <v>OK</v>
      </c>
    </row>
    <row r="1075" spans="1:25" x14ac:dyDescent="0.2">
      <c r="A1075" t="s">
        <v>1259</v>
      </c>
      <c r="B1075" t="s">
        <v>1258</v>
      </c>
      <c r="C1075" s="2">
        <v>46297</v>
      </c>
      <c r="D1075" t="s">
        <v>67</v>
      </c>
      <c r="E1075" t="s">
        <v>32</v>
      </c>
      <c r="F1075" t="s">
        <v>54</v>
      </c>
      <c r="G1075" t="s">
        <v>44</v>
      </c>
      <c r="H1075">
        <v>659</v>
      </c>
      <c r="I1075">
        <v>652</v>
      </c>
      <c r="J1075">
        <v>7</v>
      </c>
      <c r="K1075">
        <v>20</v>
      </c>
      <c r="L1075">
        <v>21.15</v>
      </c>
      <c r="M1075">
        <v>232.32</v>
      </c>
      <c r="N1075">
        <f>_xlfn.XLOOKUP(Table13[[#This Row],[Production_Order_ID]],[1]Sheet1!$A$2:$A$391,[1]Sheet1!$F$2:$F$391,"No Match")</f>
        <v>630</v>
      </c>
      <c r="O1075" s="3">
        <f>Table13[[#This Row],[Good_Qty]]/Table13[[#This Row],[Planned_Production]]</f>
        <v>1.034920634920635</v>
      </c>
      <c r="P1075" t="str">
        <f>IF(Table13[[#This Row],[Good_Qty]]&gt;=Table13[[#This Row],[Planned_Production]],"Met","Not Met")</f>
        <v>Met</v>
      </c>
      <c r="Q1075">
        <f>Table13[[#This Row],[Good_Qty]]-Table13[[#This Row],[Planned_Production]]</f>
        <v>22</v>
      </c>
      <c r="R1075" s="3">
        <f>IF(Table13[[#This Row],[Actual_Qty]]=0,0,Table13[[#This Row],[Reject_Qty]]/Table13[[#This Row],[Actual_Qty]])</f>
        <v>1.0622154779969651E-2</v>
      </c>
      <c r="S1075">
        <v>435.26</v>
      </c>
      <c r="T1075">
        <f>(Table13[[#This Row],[Ideal_Cycle_Time_sec]]*Table13[[#This Row],[Actual_Qty]])/(Table13[[#This Row],[Operational_Time_min]]*60)</f>
        <v>0.50467919557659024</v>
      </c>
      <c r="U1075">
        <f>Table13[[#This Row],[Good_Qty]]/Table13[[#This Row],[Actual_Qty]]</f>
        <v>0.98937784522003036</v>
      </c>
      <c r="V1075" t="str">
        <f>IF(OR(Table13[[#This Row],[Performance_%]]&gt;=1,Table13[[#This Row],[Performance_%]]&lt;=0),"Error","OK")</f>
        <v>OK</v>
      </c>
      <c r="W1075" t="str">
        <f>IF(OR(Table13[[#This Row],[Quality_%]]&gt;=1,Table13[[#This Row],[Quality_%]]&lt;=0),"Error","OK")</f>
        <v>OK</v>
      </c>
      <c r="X1075">
        <f>Table13[[#This Row],[Performance_%]]*Table13[[#This Row],[Quality_%]]*[2]Availability_KPI!K1075</f>
        <v>0.48296296296296298</v>
      </c>
      <c r="Y1075" t="str">
        <f>IF(OR(Table13[[#This Row],[OEE_%]]&gt;1,Table13[[#This Row],[OEE_%]]&lt;0),"Error","OK")</f>
        <v>OK</v>
      </c>
    </row>
    <row r="1076" spans="1:25" x14ac:dyDescent="0.2">
      <c r="A1076" t="s">
        <v>1260</v>
      </c>
      <c r="B1076" t="s">
        <v>1258</v>
      </c>
      <c r="C1076" s="2">
        <v>46297</v>
      </c>
      <c r="D1076" t="s">
        <v>67</v>
      </c>
      <c r="E1076" t="s">
        <v>35</v>
      </c>
      <c r="F1076" t="s">
        <v>54</v>
      </c>
      <c r="G1076" t="s">
        <v>33</v>
      </c>
      <c r="H1076">
        <v>656</v>
      </c>
      <c r="I1076">
        <v>652</v>
      </c>
      <c r="J1076">
        <v>4</v>
      </c>
      <c r="K1076">
        <v>22</v>
      </c>
      <c r="L1076">
        <v>23.86</v>
      </c>
      <c r="M1076">
        <v>260.85000000000002</v>
      </c>
      <c r="N1076">
        <f>_xlfn.XLOOKUP(Table13[[#This Row],[Production_Order_ID]],[1]Sheet1!$A$2:$A$391,[1]Sheet1!$F$2:$F$391,"No Match")</f>
        <v>630</v>
      </c>
      <c r="O1076" s="3">
        <f>Table13[[#This Row],[Good_Qty]]/Table13[[#This Row],[Planned_Production]]</f>
        <v>1.034920634920635</v>
      </c>
      <c r="P1076" t="str">
        <f>IF(Table13[[#This Row],[Good_Qty]]&gt;=Table13[[#This Row],[Planned_Production]],"Met","Not Met")</f>
        <v>Met</v>
      </c>
      <c r="Q1076">
        <f>Table13[[#This Row],[Good_Qty]]-Table13[[#This Row],[Planned_Production]]</f>
        <v>22</v>
      </c>
      <c r="R1076" s="3">
        <f>IF(Table13[[#This Row],[Actual_Qty]]=0,0,Table13[[#This Row],[Reject_Qty]]/Table13[[#This Row],[Actual_Qty]])</f>
        <v>6.0975609756097563E-3</v>
      </c>
      <c r="S1076">
        <v>430.57</v>
      </c>
      <c r="T1076">
        <f>(Table13[[#This Row],[Ideal_Cycle_Time_sec]]*Table13[[#This Row],[Actual_Qty]])/(Table13[[#This Row],[Operational_Time_min]]*60)</f>
        <v>0.55863932306787123</v>
      </c>
      <c r="U1076">
        <f>Table13[[#This Row],[Good_Qty]]/Table13[[#This Row],[Actual_Qty]]</f>
        <v>0.99390243902439024</v>
      </c>
      <c r="V1076" t="str">
        <f>IF(OR(Table13[[#This Row],[Performance_%]]&gt;=1,Table13[[#This Row],[Performance_%]]&lt;=0),"Error","OK")</f>
        <v>OK</v>
      </c>
      <c r="W1076" t="str">
        <f>IF(OR(Table13[[#This Row],[Quality_%]]&gt;=1,Table13[[#This Row],[Quality_%]]&lt;=0),"Error","OK")</f>
        <v>OK</v>
      </c>
      <c r="X1076">
        <f>Table13[[#This Row],[Performance_%]]*Table13[[#This Row],[Quality_%]]*[2]Availability_KPI!K1076</f>
        <v>0.53125925925925932</v>
      </c>
      <c r="Y1076" t="str">
        <f>IF(OR(Table13[[#This Row],[OEE_%]]&gt;1,Table13[[#This Row],[OEE_%]]&lt;0),"Error","OK")</f>
        <v>OK</v>
      </c>
    </row>
    <row r="1077" spans="1:25" x14ac:dyDescent="0.2">
      <c r="A1077" t="s">
        <v>1261</v>
      </c>
      <c r="B1077" t="s">
        <v>1258</v>
      </c>
      <c r="C1077" s="2">
        <v>46297</v>
      </c>
      <c r="D1077" t="s">
        <v>67</v>
      </c>
      <c r="E1077" t="s">
        <v>38</v>
      </c>
      <c r="F1077" t="s">
        <v>54</v>
      </c>
      <c r="G1077" t="s">
        <v>61</v>
      </c>
      <c r="H1077">
        <v>663</v>
      </c>
      <c r="I1077">
        <v>658</v>
      </c>
      <c r="J1077">
        <v>5</v>
      </c>
      <c r="K1077">
        <v>20</v>
      </c>
      <c r="L1077">
        <v>20.05</v>
      </c>
      <c r="M1077">
        <v>221.6</v>
      </c>
      <c r="N1077">
        <f>_xlfn.XLOOKUP(Table13[[#This Row],[Production_Order_ID]],[1]Sheet1!$A$2:$A$391,[1]Sheet1!$F$2:$F$391,"No Match")</f>
        <v>630</v>
      </c>
      <c r="O1077" s="3">
        <f>Table13[[#This Row],[Good_Qty]]/Table13[[#This Row],[Planned_Production]]</f>
        <v>1.0444444444444445</v>
      </c>
      <c r="P1077" t="str">
        <f>IF(Table13[[#This Row],[Good_Qty]]&gt;=Table13[[#This Row],[Planned_Production]],"Met","Not Met")</f>
        <v>Met</v>
      </c>
      <c r="Q1077">
        <f>Table13[[#This Row],[Good_Qty]]-Table13[[#This Row],[Planned_Production]]</f>
        <v>28</v>
      </c>
      <c r="R1077" s="3">
        <f>IF(Table13[[#This Row],[Actual_Qty]]=0,0,Table13[[#This Row],[Reject_Qty]]/Table13[[#This Row],[Actual_Qty]])</f>
        <v>7.5414781297134239E-3</v>
      </c>
      <c r="S1077">
        <v>441.49</v>
      </c>
      <c r="T1077">
        <f>(Table13[[#This Row],[Ideal_Cycle_Time_sec]]*Table13[[#This Row],[Actual_Qty]])/(Table13[[#This Row],[Operational_Time_min]]*60)</f>
        <v>0.50057758952637654</v>
      </c>
      <c r="U1077">
        <f>Table13[[#This Row],[Good_Qty]]/Table13[[#This Row],[Actual_Qty]]</f>
        <v>0.9924585218702866</v>
      </c>
      <c r="V1077" t="str">
        <f>IF(OR(Table13[[#This Row],[Performance_%]]&gt;=1,Table13[[#This Row],[Performance_%]]&lt;=0),"Error","OK")</f>
        <v>OK</v>
      </c>
      <c r="W1077" t="str">
        <f>IF(OR(Table13[[#This Row],[Quality_%]]&gt;=1,Table13[[#This Row],[Quality_%]]&lt;=0),"Error","OK")</f>
        <v>OK</v>
      </c>
      <c r="X1077">
        <f>Table13[[#This Row],[Performance_%]]*Table13[[#This Row],[Quality_%]]*[2]Availability_KPI!K1077</f>
        <v>0.4874074074074074</v>
      </c>
      <c r="Y1077" t="str">
        <f>IF(OR(Table13[[#This Row],[OEE_%]]&gt;1,Table13[[#This Row],[OEE_%]]&lt;0),"Error","OK")</f>
        <v>OK</v>
      </c>
    </row>
    <row r="1078" spans="1:25" x14ac:dyDescent="0.2">
      <c r="A1078" t="s">
        <v>1262</v>
      </c>
      <c r="B1078" t="s">
        <v>1258</v>
      </c>
      <c r="C1078" s="2">
        <v>46297</v>
      </c>
      <c r="D1078" t="s">
        <v>67</v>
      </c>
      <c r="E1078" t="s">
        <v>41</v>
      </c>
      <c r="F1078" t="s">
        <v>54</v>
      </c>
      <c r="G1078" t="s">
        <v>44</v>
      </c>
      <c r="H1078">
        <v>669</v>
      </c>
      <c r="I1078">
        <v>664</v>
      </c>
      <c r="J1078">
        <v>5</v>
      </c>
      <c r="K1078">
        <v>18</v>
      </c>
      <c r="L1078">
        <v>19.329999999999998</v>
      </c>
      <c r="M1078">
        <v>215.54</v>
      </c>
      <c r="N1078">
        <f>_xlfn.XLOOKUP(Table13[[#This Row],[Production_Order_ID]],[1]Sheet1!$A$2:$A$391,[1]Sheet1!$F$2:$F$391,"No Match")</f>
        <v>630</v>
      </c>
      <c r="O1078" s="3">
        <f>Table13[[#This Row],[Good_Qty]]/Table13[[#This Row],[Planned_Production]]</f>
        <v>1.053968253968254</v>
      </c>
      <c r="P1078" t="str">
        <f>IF(Table13[[#This Row],[Good_Qty]]&gt;=Table13[[#This Row],[Planned_Production]],"Met","Not Met")</f>
        <v>Met</v>
      </c>
      <c r="Q1078">
        <f>Table13[[#This Row],[Good_Qty]]-Table13[[#This Row],[Planned_Production]]</f>
        <v>34</v>
      </c>
      <c r="R1078" s="3">
        <f>IF(Table13[[#This Row],[Actual_Qty]]=0,0,Table13[[#This Row],[Reject_Qty]]/Table13[[#This Row],[Actual_Qty]])</f>
        <v>7.4738415545590429E-3</v>
      </c>
      <c r="S1078">
        <v>434.12</v>
      </c>
      <c r="T1078">
        <f>(Table13[[#This Row],[Ideal_Cycle_Time_sec]]*Table13[[#This Row],[Actual_Qty]])/(Table13[[#This Row],[Operational_Time_min]]*60)</f>
        <v>0.46231456740071869</v>
      </c>
      <c r="U1078">
        <f>Table13[[#This Row],[Good_Qty]]/Table13[[#This Row],[Actual_Qty]]</f>
        <v>0.99252615844544101</v>
      </c>
      <c r="V1078" t="str">
        <f>IF(OR(Table13[[#This Row],[Performance_%]]&gt;=1,Table13[[#This Row],[Performance_%]]&lt;=0),"Error","OK")</f>
        <v>OK</v>
      </c>
      <c r="W1078" t="str">
        <f>IF(OR(Table13[[#This Row],[Quality_%]]&gt;=1,Table13[[#This Row],[Quality_%]]&lt;=0),"Error","OK")</f>
        <v>OK</v>
      </c>
      <c r="X1078">
        <f>Table13[[#This Row],[Performance_%]]*Table13[[#This Row],[Quality_%]]*[2]Availability_KPI!K1078</f>
        <v>0.44266666666666665</v>
      </c>
      <c r="Y1078" t="str">
        <f>IF(OR(Table13[[#This Row],[OEE_%]]&gt;1,Table13[[#This Row],[OEE_%]]&lt;0),"Error","OK")</f>
        <v>OK</v>
      </c>
    </row>
    <row r="1079" spans="1:25" x14ac:dyDescent="0.2">
      <c r="A1079" t="s">
        <v>1263</v>
      </c>
      <c r="B1079" t="s">
        <v>1258</v>
      </c>
      <c r="C1079" s="2">
        <v>46297</v>
      </c>
      <c r="D1079" t="s">
        <v>67</v>
      </c>
      <c r="E1079" t="s">
        <v>43</v>
      </c>
      <c r="F1079" t="s">
        <v>54</v>
      </c>
      <c r="G1079" t="s">
        <v>47</v>
      </c>
      <c r="H1079">
        <v>651</v>
      </c>
      <c r="I1079">
        <v>641</v>
      </c>
      <c r="J1079">
        <v>10</v>
      </c>
      <c r="K1079">
        <v>32</v>
      </c>
      <c r="L1079">
        <v>34.29</v>
      </c>
      <c r="M1079">
        <v>372.09</v>
      </c>
      <c r="N1079">
        <f>_xlfn.XLOOKUP(Table13[[#This Row],[Production_Order_ID]],[1]Sheet1!$A$2:$A$391,[1]Sheet1!$F$2:$F$391,"No Match")</f>
        <v>630</v>
      </c>
      <c r="O1079" s="3">
        <f>Table13[[#This Row],[Good_Qty]]/Table13[[#This Row],[Planned_Production]]</f>
        <v>1.0174603174603174</v>
      </c>
      <c r="P1079" t="str">
        <f>IF(Table13[[#This Row],[Good_Qty]]&gt;=Table13[[#This Row],[Planned_Production]],"Met","Not Met")</f>
        <v>Met</v>
      </c>
      <c r="Q1079">
        <f>Table13[[#This Row],[Good_Qty]]-Table13[[#This Row],[Planned_Production]]</f>
        <v>11</v>
      </c>
      <c r="R1079" s="3">
        <f>IF(Table13[[#This Row],[Actual_Qty]]=0,0,Table13[[#This Row],[Reject_Qty]]/Table13[[#This Row],[Actual_Qty]])</f>
        <v>1.5360983102918587E-2</v>
      </c>
      <c r="S1079">
        <v>407.49</v>
      </c>
      <c r="T1079">
        <f>(Table13[[#This Row],[Ideal_Cycle_Time_sec]]*Table13[[#This Row],[Actual_Qty]])/(Table13[[#This Row],[Operational_Time_min]]*60)</f>
        <v>0.85204544896807277</v>
      </c>
      <c r="U1079">
        <f>Table13[[#This Row],[Good_Qty]]/Table13[[#This Row],[Actual_Qty]]</f>
        <v>0.98463901689708144</v>
      </c>
      <c r="V1079" t="str">
        <f>IF(OR(Table13[[#This Row],[Performance_%]]&gt;=1,Table13[[#This Row],[Performance_%]]&lt;=0),"Error","OK")</f>
        <v>OK</v>
      </c>
      <c r="W1079" t="str">
        <f>IF(OR(Table13[[#This Row],[Quality_%]]&gt;=1,Table13[[#This Row],[Quality_%]]&lt;=0),"Error","OK")</f>
        <v>OK</v>
      </c>
      <c r="X1079">
        <f>Table13[[#This Row],[Performance_%]]*Table13[[#This Row],[Quality_%]]*[2]Availability_KPI!K1079</f>
        <v>0.75970370370370366</v>
      </c>
      <c r="Y1079" t="str">
        <f>IF(OR(Table13[[#This Row],[OEE_%]]&gt;1,Table13[[#This Row],[OEE_%]]&lt;0),"Error","OK")</f>
        <v>OK</v>
      </c>
    </row>
    <row r="1080" spans="1:25" x14ac:dyDescent="0.2">
      <c r="A1080" t="s">
        <v>1264</v>
      </c>
      <c r="B1080" t="s">
        <v>1258</v>
      </c>
      <c r="C1080" s="2">
        <v>46297</v>
      </c>
      <c r="D1080" t="s">
        <v>67</v>
      </c>
      <c r="E1080" t="s">
        <v>46</v>
      </c>
      <c r="F1080" t="s">
        <v>54</v>
      </c>
      <c r="G1080" t="s">
        <v>75</v>
      </c>
      <c r="H1080">
        <v>661</v>
      </c>
      <c r="I1080">
        <v>654</v>
      </c>
      <c r="J1080">
        <v>7</v>
      </c>
      <c r="K1080">
        <v>25</v>
      </c>
      <c r="L1080">
        <v>27.19</v>
      </c>
      <c r="M1080">
        <v>299.52</v>
      </c>
      <c r="N1080">
        <f>_xlfn.XLOOKUP(Table13[[#This Row],[Production_Order_ID]],[1]Sheet1!$A$2:$A$391,[1]Sheet1!$F$2:$F$391,"No Match")</f>
        <v>630</v>
      </c>
      <c r="O1080" s="3">
        <f>Table13[[#This Row],[Good_Qty]]/Table13[[#This Row],[Planned_Production]]</f>
        <v>1.0380952380952382</v>
      </c>
      <c r="P1080" t="str">
        <f>IF(Table13[[#This Row],[Good_Qty]]&gt;=Table13[[#This Row],[Planned_Production]],"Met","Not Met")</f>
        <v>Met</v>
      </c>
      <c r="Q1080">
        <f>Table13[[#This Row],[Good_Qty]]-Table13[[#This Row],[Planned_Production]]</f>
        <v>24</v>
      </c>
      <c r="R1080" s="3">
        <f>IF(Table13[[#This Row],[Actual_Qty]]=0,0,Table13[[#This Row],[Reject_Qty]]/Table13[[#This Row],[Actual_Qty]])</f>
        <v>1.059001512859304E-2</v>
      </c>
      <c r="S1080">
        <v>424.13</v>
      </c>
      <c r="T1080">
        <f>(Table13[[#This Row],[Ideal_Cycle_Time_sec]]*Table13[[#This Row],[Actual_Qty]])/(Table13[[#This Row],[Operational_Time_min]]*60)</f>
        <v>0.64936851122690376</v>
      </c>
      <c r="U1080">
        <f>Table13[[#This Row],[Good_Qty]]/Table13[[#This Row],[Actual_Qty]]</f>
        <v>0.98940998487140697</v>
      </c>
      <c r="V1080" t="str">
        <f>IF(OR(Table13[[#This Row],[Performance_%]]&gt;=1,Table13[[#This Row],[Performance_%]]&lt;=0),"Error","OK")</f>
        <v>OK</v>
      </c>
      <c r="W1080" t="str">
        <f>IF(OR(Table13[[#This Row],[Quality_%]]&gt;=1,Table13[[#This Row],[Quality_%]]&lt;=0),"Error","OK")</f>
        <v>OK</v>
      </c>
      <c r="X1080">
        <f>Table13[[#This Row],[Performance_%]]*Table13[[#This Row],[Quality_%]]*[2]Availability_KPI!K1080</f>
        <v>0.60555555555555562</v>
      </c>
      <c r="Y1080" t="str">
        <f>IF(OR(Table13[[#This Row],[OEE_%]]&gt;1,Table13[[#This Row],[OEE_%]]&lt;0),"Error","OK")</f>
        <v>OK</v>
      </c>
    </row>
    <row r="1081" spans="1:25" x14ac:dyDescent="0.2">
      <c r="A1081" t="s">
        <v>1265</v>
      </c>
      <c r="B1081" t="s">
        <v>1258</v>
      </c>
      <c r="C1081" s="2">
        <v>46297</v>
      </c>
      <c r="D1081" t="s">
        <v>67</v>
      </c>
      <c r="E1081" t="s">
        <v>49</v>
      </c>
      <c r="F1081" t="s">
        <v>54</v>
      </c>
      <c r="G1081" t="s">
        <v>44</v>
      </c>
      <c r="H1081">
        <v>664</v>
      </c>
      <c r="I1081">
        <v>661</v>
      </c>
      <c r="J1081">
        <v>3</v>
      </c>
      <c r="K1081">
        <v>20</v>
      </c>
      <c r="L1081">
        <v>20.69</v>
      </c>
      <c r="M1081">
        <v>229</v>
      </c>
      <c r="N1081">
        <f>_xlfn.XLOOKUP(Table13[[#This Row],[Production_Order_ID]],[1]Sheet1!$A$2:$A$391,[1]Sheet1!$F$2:$F$391,"No Match")</f>
        <v>630</v>
      </c>
      <c r="O1081" s="3">
        <f>Table13[[#This Row],[Good_Qty]]/Table13[[#This Row],[Planned_Production]]</f>
        <v>1.0492063492063493</v>
      </c>
      <c r="P1081" t="str">
        <f>IF(Table13[[#This Row],[Good_Qty]]&gt;=Table13[[#This Row],[Planned_Production]],"Met","Not Met")</f>
        <v>Met</v>
      </c>
      <c r="Q1081">
        <f>Table13[[#This Row],[Good_Qty]]-Table13[[#This Row],[Planned_Production]]</f>
        <v>31</v>
      </c>
      <c r="R1081" s="3">
        <f>IF(Table13[[#This Row],[Actual_Qty]]=0,0,Table13[[#This Row],[Reject_Qty]]/Table13[[#This Row],[Actual_Qty]])</f>
        <v>4.5180722891566263E-3</v>
      </c>
      <c r="S1081">
        <v>439.97</v>
      </c>
      <c r="T1081">
        <f>(Table13[[#This Row],[Ideal_Cycle_Time_sec]]*Table13[[#This Row],[Actual_Qty]])/(Table13[[#This Row],[Operational_Time_min]]*60)</f>
        <v>0.50306460288959098</v>
      </c>
      <c r="U1081">
        <f>Table13[[#This Row],[Good_Qty]]/Table13[[#This Row],[Actual_Qty]]</f>
        <v>0.99548192771084343</v>
      </c>
      <c r="V1081" t="str">
        <f>IF(OR(Table13[[#This Row],[Performance_%]]&gt;=1,Table13[[#This Row],[Performance_%]]&lt;=0),"Error","OK")</f>
        <v>OK</v>
      </c>
      <c r="W1081" t="str">
        <f>IF(OR(Table13[[#This Row],[Quality_%]]&gt;=1,Table13[[#This Row],[Quality_%]]&lt;=0),"Error","OK")</f>
        <v>OK</v>
      </c>
      <c r="X1081">
        <f>Table13[[#This Row],[Performance_%]]*Table13[[#This Row],[Quality_%]]*[2]Availability_KPI!K1081</f>
        <v>0.48962962962962975</v>
      </c>
      <c r="Y1081" t="str">
        <f>IF(OR(Table13[[#This Row],[OEE_%]]&gt;1,Table13[[#This Row],[OEE_%]]&lt;0),"Error","OK")</f>
        <v>OK</v>
      </c>
    </row>
    <row r="1082" spans="1:25" x14ac:dyDescent="0.2">
      <c r="A1082" t="s">
        <v>1266</v>
      </c>
      <c r="B1082" t="s">
        <v>1267</v>
      </c>
      <c r="C1082" s="2">
        <v>46300</v>
      </c>
      <c r="D1082" t="s">
        <v>27</v>
      </c>
      <c r="E1082" t="s">
        <v>28</v>
      </c>
      <c r="F1082" t="s">
        <v>54</v>
      </c>
      <c r="G1082" t="s">
        <v>39</v>
      </c>
      <c r="H1082">
        <v>598</v>
      </c>
      <c r="I1082">
        <v>594</v>
      </c>
      <c r="J1082">
        <v>4</v>
      </c>
      <c r="K1082">
        <v>18</v>
      </c>
      <c r="L1082">
        <v>18.5</v>
      </c>
      <c r="M1082">
        <v>184.37</v>
      </c>
      <c r="N1082">
        <f>_xlfn.XLOOKUP(Table13[[#This Row],[Production_Order_ID]],[1]Sheet1!$A$2:$A$391,[1]Sheet1!$F$2:$F$391,"No Match")</f>
        <v>590</v>
      </c>
      <c r="O1082" s="3">
        <f>Table13[[#This Row],[Good_Qty]]/Table13[[#This Row],[Planned_Production]]</f>
        <v>1.006779661016949</v>
      </c>
      <c r="P1082" t="str">
        <f>IF(Table13[[#This Row],[Good_Qty]]&gt;=Table13[[#This Row],[Planned_Production]],"Met","Not Met")</f>
        <v>Met</v>
      </c>
      <c r="Q1082">
        <f>Table13[[#This Row],[Good_Qty]]-Table13[[#This Row],[Planned_Production]]</f>
        <v>4</v>
      </c>
      <c r="R1082" s="3">
        <f>IF(Table13[[#This Row],[Actual_Qty]]=0,0,Table13[[#This Row],[Reject_Qty]]/Table13[[#This Row],[Actual_Qty]])</f>
        <v>6.688963210702341E-3</v>
      </c>
      <c r="S1082">
        <v>443.04</v>
      </c>
      <c r="T1082">
        <f>(Table13[[#This Row],[Ideal_Cycle_Time_sec]]*Table13[[#This Row],[Actual_Qty]])/(Table13[[#This Row],[Operational_Time_min]]*60)</f>
        <v>0.40492957746478869</v>
      </c>
      <c r="U1082">
        <f>Table13[[#This Row],[Good_Qty]]/Table13[[#This Row],[Actual_Qty]]</f>
        <v>0.99331103678929766</v>
      </c>
      <c r="V1082" t="str">
        <f>IF(OR(Table13[[#This Row],[Performance_%]]&gt;=1,Table13[[#This Row],[Performance_%]]&lt;=0),"Error","OK")</f>
        <v>OK</v>
      </c>
      <c r="W1082" t="str">
        <f>IF(OR(Table13[[#This Row],[Quality_%]]&gt;=1,Table13[[#This Row],[Quality_%]]&lt;=0),"Error","OK")</f>
        <v>OK</v>
      </c>
      <c r="X1082">
        <f>Table13[[#This Row],[Performance_%]]*Table13[[#This Row],[Quality_%]]*[2]Availability_KPI!K1082</f>
        <v>0.39599999999999996</v>
      </c>
      <c r="Y1082" t="str">
        <f>IF(OR(Table13[[#This Row],[OEE_%]]&gt;1,Table13[[#This Row],[OEE_%]]&lt;0),"Error","OK")</f>
        <v>OK</v>
      </c>
    </row>
    <row r="1083" spans="1:25" x14ac:dyDescent="0.2">
      <c r="A1083" t="s">
        <v>1268</v>
      </c>
      <c r="B1083" t="s">
        <v>1267</v>
      </c>
      <c r="C1083" s="2">
        <v>46300</v>
      </c>
      <c r="D1083" t="s">
        <v>27</v>
      </c>
      <c r="E1083" t="s">
        <v>32</v>
      </c>
      <c r="F1083" t="s">
        <v>54</v>
      </c>
      <c r="G1083" t="s">
        <v>71</v>
      </c>
      <c r="H1083">
        <v>587</v>
      </c>
      <c r="I1083">
        <v>584</v>
      </c>
      <c r="J1083">
        <v>3</v>
      </c>
      <c r="K1083">
        <v>20</v>
      </c>
      <c r="L1083">
        <v>21.08</v>
      </c>
      <c r="M1083">
        <v>206.27</v>
      </c>
      <c r="N1083">
        <f>_xlfn.XLOOKUP(Table13[[#This Row],[Production_Order_ID]],[1]Sheet1!$A$2:$A$391,[1]Sheet1!$F$2:$F$391,"No Match")</f>
        <v>590</v>
      </c>
      <c r="O1083" s="3">
        <f>Table13[[#This Row],[Good_Qty]]/Table13[[#This Row],[Planned_Production]]</f>
        <v>0.98983050847457632</v>
      </c>
      <c r="P1083" t="str">
        <f>IF(Table13[[#This Row],[Good_Qty]]&gt;=Table13[[#This Row],[Planned_Production]],"Met","Not Met")</f>
        <v>Not Met</v>
      </c>
      <c r="Q1083">
        <f>Table13[[#This Row],[Good_Qty]]-Table13[[#This Row],[Planned_Production]]</f>
        <v>-6</v>
      </c>
      <c r="R1083" s="3">
        <f>IF(Table13[[#This Row],[Actual_Qty]]=0,0,Table13[[#This Row],[Reject_Qty]]/Table13[[#This Row],[Actual_Qty]])</f>
        <v>5.1107325383304937E-3</v>
      </c>
      <c r="S1083">
        <v>440.57</v>
      </c>
      <c r="T1083">
        <f>(Table13[[#This Row],[Ideal_Cycle_Time_sec]]*Table13[[#This Row],[Actual_Qty]])/(Table13[[#This Row],[Operational_Time_min]]*60)</f>
        <v>0.444121630312247</v>
      </c>
      <c r="U1083">
        <f>Table13[[#This Row],[Good_Qty]]/Table13[[#This Row],[Actual_Qty]]</f>
        <v>0.9948892674616695</v>
      </c>
      <c r="V1083" t="str">
        <f>IF(OR(Table13[[#This Row],[Performance_%]]&gt;=1,Table13[[#This Row],[Performance_%]]&lt;=0),"Error","OK")</f>
        <v>OK</v>
      </c>
      <c r="W1083" t="str">
        <f>IF(OR(Table13[[#This Row],[Quality_%]]&gt;=1,Table13[[#This Row],[Quality_%]]&lt;=0),"Error","OK")</f>
        <v>OK</v>
      </c>
      <c r="X1083">
        <f>Table13[[#This Row],[Performance_%]]*Table13[[#This Row],[Quality_%]]*[2]Availability_KPI!K1083</f>
        <v>0.43259259259259253</v>
      </c>
      <c r="Y1083" t="str">
        <f>IF(OR(Table13[[#This Row],[OEE_%]]&gt;1,Table13[[#This Row],[OEE_%]]&lt;0),"Error","OK")</f>
        <v>OK</v>
      </c>
    </row>
    <row r="1084" spans="1:25" x14ac:dyDescent="0.2">
      <c r="A1084" t="s">
        <v>1269</v>
      </c>
      <c r="B1084" t="s">
        <v>1267</v>
      </c>
      <c r="C1084" s="2">
        <v>46300</v>
      </c>
      <c r="D1084" t="s">
        <v>27</v>
      </c>
      <c r="E1084" t="s">
        <v>35</v>
      </c>
      <c r="F1084" t="s">
        <v>54</v>
      </c>
      <c r="G1084" t="s">
        <v>71</v>
      </c>
      <c r="H1084">
        <v>585</v>
      </c>
      <c r="I1084">
        <v>580</v>
      </c>
      <c r="J1084">
        <v>5</v>
      </c>
      <c r="K1084">
        <v>22</v>
      </c>
      <c r="L1084">
        <v>23.2</v>
      </c>
      <c r="M1084">
        <v>226.2</v>
      </c>
      <c r="N1084">
        <f>_xlfn.XLOOKUP(Table13[[#This Row],[Production_Order_ID]],[1]Sheet1!$A$2:$A$391,[1]Sheet1!$F$2:$F$391,"No Match")</f>
        <v>590</v>
      </c>
      <c r="O1084" s="3">
        <f>Table13[[#This Row],[Good_Qty]]/Table13[[#This Row],[Planned_Production]]</f>
        <v>0.98305084745762716</v>
      </c>
      <c r="P1084" t="str">
        <f>IF(Table13[[#This Row],[Good_Qty]]&gt;=Table13[[#This Row],[Planned_Production]],"Met","Not Met")</f>
        <v>Not Met</v>
      </c>
      <c r="Q1084">
        <f>Table13[[#This Row],[Good_Qty]]-Table13[[#This Row],[Planned_Production]]</f>
        <v>-10</v>
      </c>
      <c r="R1084" s="3">
        <f>IF(Table13[[#This Row],[Actual_Qty]]=0,0,Table13[[#This Row],[Reject_Qty]]/Table13[[#This Row],[Actual_Qty]])</f>
        <v>8.5470085470085479E-3</v>
      </c>
      <c r="S1084">
        <v>438.09</v>
      </c>
      <c r="T1084">
        <f>(Table13[[#This Row],[Ideal_Cycle_Time_sec]]*Table13[[#This Row],[Actual_Qty]])/(Table13[[#This Row],[Operational_Time_min]]*60)</f>
        <v>0.48962541943436283</v>
      </c>
      <c r="U1084">
        <f>Table13[[#This Row],[Good_Qty]]/Table13[[#This Row],[Actual_Qty]]</f>
        <v>0.99145299145299148</v>
      </c>
      <c r="V1084" t="str">
        <f>IF(OR(Table13[[#This Row],[Performance_%]]&gt;=1,Table13[[#This Row],[Performance_%]]&lt;=0),"Error","OK")</f>
        <v>OK</v>
      </c>
      <c r="W1084" t="str">
        <f>IF(OR(Table13[[#This Row],[Quality_%]]&gt;=1,Table13[[#This Row],[Quality_%]]&lt;=0),"Error","OK")</f>
        <v>OK</v>
      </c>
      <c r="X1084">
        <f>Table13[[#This Row],[Performance_%]]*Table13[[#This Row],[Quality_%]]*[2]Availability_KPI!K1084</f>
        <v>0.47259259259259262</v>
      </c>
      <c r="Y1084" t="str">
        <f>IF(OR(Table13[[#This Row],[OEE_%]]&gt;1,Table13[[#This Row],[OEE_%]]&lt;0),"Error","OK")</f>
        <v>OK</v>
      </c>
    </row>
    <row r="1085" spans="1:25" x14ac:dyDescent="0.2">
      <c r="A1085" t="s">
        <v>1270</v>
      </c>
      <c r="B1085" t="s">
        <v>1267</v>
      </c>
      <c r="C1085" s="2">
        <v>46300</v>
      </c>
      <c r="D1085" t="s">
        <v>27</v>
      </c>
      <c r="E1085" t="s">
        <v>38</v>
      </c>
      <c r="F1085" t="s">
        <v>54</v>
      </c>
      <c r="G1085" t="s">
        <v>30</v>
      </c>
      <c r="H1085">
        <v>585</v>
      </c>
      <c r="I1085">
        <v>580</v>
      </c>
      <c r="J1085">
        <v>5</v>
      </c>
      <c r="K1085">
        <v>20</v>
      </c>
      <c r="L1085">
        <v>20</v>
      </c>
      <c r="M1085">
        <v>195</v>
      </c>
      <c r="N1085">
        <f>_xlfn.XLOOKUP(Table13[[#This Row],[Production_Order_ID]],[1]Sheet1!$A$2:$A$391,[1]Sheet1!$F$2:$F$391,"No Match")</f>
        <v>590</v>
      </c>
      <c r="O1085" s="3">
        <f>Table13[[#This Row],[Good_Qty]]/Table13[[#This Row],[Planned_Production]]</f>
        <v>0.98305084745762716</v>
      </c>
      <c r="P1085" t="str">
        <f>IF(Table13[[#This Row],[Good_Qty]]&gt;=Table13[[#This Row],[Planned_Production]],"Met","Not Met")</f>
        <v>Not Met</v>
      </c>
      <c r="Q1085">
        <f>Table13[[#This Row],[Good_Qty]]-Table13[[#This Row],[Planned_Production]]</f>
        <v>-10</v>
      </c>
      <c r="R1085" s="3">
        <f>IF(Table13[[#This Row],[Actual_Qty]]=0,0,Table13[[#This Row],[Reject_Qty]]/Table13[[#This Row],[Actual_Qty]])</f>
        <v>8.5470085470085479E-3</v>
      </c>
      <c r="S1085">
        <v>439.42</v>
      </c>
      <c r="T1085">
        <f>(Table13[[#This Row],[Ideal_Cycle_Time_sec]]*Table13[[#This Row],[Actual_Qty]])/(Table13[[#This Row],[Operational_Time_min]]*60)</f>
        <v>0.44376678348732418</v>
      </c>
      <c r="U1085">
        <f>Table13[[#This Row],[Good_Qty]]/Table13[[#This Row],[Actual_Qty]]</f>
        <v>0.99145299145299148</v>
      </c>
      <c r="V1085" t="str">
        <f>IF(OR(Table13[[#This Row],[Performance_%]]&gt;=1,Table13[[#This Row],[Performance_%]]&lt;=0),"Error","OK")</f>
        <v>OK</v>
      </c>
      <c r="W1085" t="str">
        <f>IF(OR(Table13[[#This Row],[Quality_%]]&gt;=1,Table13[[#This Row],[Quality_%]]&lt;=0),"Error","OK")</f>
        <v>OK</v>
      </c>
      <c r="X1085">
        <f>Table13[[#This Row],[Performance_%]]*Table13[[#This Row],[Quality_%]]*[2]Availability_KPI!K1085</f>
        <v>0.42962962962962964</v>
      </c>
      <c r="Y1085" t="str">
        <f>IF(OR(Table13[[#This Row],[OEE_%]]&gt;1,Table13[[#This Row],[OEE_%]]&lt;0),"Error","OK")</f>
        <v>OK</v>
      </c>
    </row>
    <row r="1086" spans="1:25" x14ac:dyDescent="0.2">
      <c r="A1086" t="s">
        <v>1271</v>
      </c>
      <c r="B1086" t="s">
        <v>1267</v>
      </c>
      <c r="C1086" s="2">
        <v>46300</v>
      </c>
      <c r="D1086" t="s">
        <v>27</v>
      </c>
      <c r="E1086" t="s">
        <v>41</v>
      </c>
      <c r="F1086" t="s">
        <v>54</v>
      </c>
      <c r="G1086" t="s">
        <v>36</v>
      </c>
      <c r="H1086">
        <v>590</v>
      </c>
      <c r="I1086">
        <v>587</v>
      </c>
      <c r="J1086">
        <v>3</v>
      </c>
      <c r="K1086">
        <v>18</v>
      </c>
      <c r="L1086">
        <v>18.88</v>
      </c>
      <c r="M1086">
        <v>185.62</v>
      </c>
      <c r="N1086">
        <f>_xlfn.XLOOKUP(Table13[[#This Row],[Production_Order_ID]],[1]Sheet1!$A$2:$A$391,[1]Sheet1!$F$2:$F$391,"No Match")</f>
        <v>590</v>
      </c>
      <c r="O1086" s="3">
        <f>Table13[[#This Row],[Good_Qty]]/Table13[[#This Row],[Planned_Production]]</f>
        <v>0.9949152542372881</v>
      </c>
      <c r="P1086" t="str">
        <f>IF(Table13[[#This Row],[Good_Qty]]&gt;=Table13[[#This Row],[Planned_Production]],"Met","Not Met")</f>
        <v>Not Met</v>
      </c>
      <c r="Q1086">
        <f>Table13[[#This Row],[Good_Qty]]-Table13[[#This Row],[Planned_Production]]</f>
        <v>-3</v>
      </c>
      <c r="R1086" s="3">
        <f>IF(Table13[[#This Row],[Actual_Qty]]=0,0,Table13[[#This Row],[Reject_Qty]]/Table13[[#This Row],[Actual_Qty]])</f>
        <v>5.084745762711864E-3</v>
      </c>
      <c r="S1086">
        <v>439.69</v>
      </c>
      <c r="T1086">
        <f>(Table13[[#This Row],[Ideal_Cycle_Time_sec]]*Table13[[#This Row],[Actual_Qty]])/(Table13[[#This Row],[Operational_Time_min]]*60)</f>
        <v>0.40255634651686412</v>
      </c>
      <c r="U1086">
        <f>Table13[[#This Row],[Good_Qty]]/Table13[[#This Row],[Actual_Qty]]</f>
        <v>0.9949152542372881</v>
      </c>
      <c r="V1086" t="str">
        <f>IF(OR(Table13[[#This Row],[Performance_%]]&gt;=1,Table13[[#This Row],[Performance_%]]&lt;=0),"Error","OK")</f>
        <v>OK</v>
      </c>
      <c r="W1086" t="str">
        <f>IF(OR(Table13[[#This Row],[Quality_%]]&gt;=1,Table13[[#This Row],[Quality_%]]&lt;=0),"Error","OK")</f>
        <v>OK</v>
      </c>
      <c r="X1086">
        <f>Table13[[#This Row],[Performance_%]]*Table13[[#This Row],[Quality_%]]*[2]Availability_KPI!K1086</f>
        <v>0.39133333333333326</v>
      </c>
      <c r="Y1086" t="str">
        <f>IF(OR(Table13[[#This Row],[OEE_%]]&gt;1,Table13[[#This Row],[OEE_%]]&lt;0),"Error","OK")</f>
        <v>OK</v>
      </c>
    </row>
    <row r="1087" spans="1:25" x14ac:dyDescent="0.2">
      <c r="A1087" t="s">
        <v>1272</v>
      </c>
      <c r="B1087" t="s">
        <v>1267</v>
      </c>
      <c r="C1087" s="2">
        <v>46300</v>
      </c>
      <c r="D1087" t="s">
        <v>27</v>
      </c>
      <c r="E1087" t="s">
        <v>43</v>
      </c>
      <c r="F1087" t="s">
        <v>54</v>
      </c>
      <c r="G1087" t="s">
        <v>55</v>
      </c>
      <c r="H1087">
        <v>590</v>
      </c>
      <c r="I1087">
        <v>580</v>
      </c>
      <c r="J1087">
        <v>10</v>
      </c>
      <c r="K1087">
        <v>32</v>
      </c>
      <c r="L1087">
        <v>33.99</v>
      </c>
      <c r="M1087">
        <v>334.28</v>
      </c>
      <c r="N1087">
        <f>_xlfn.XLOOKUP(Table13[[#This Row],[Production_Order_ID]],[1]Sheet1!$A$2:$A$391,[1]Sheet1!$F$2:$F$391,"No Match")</f>
        <v>590</v>
      </c>
      <c r="O1087" s="3">
        <f>Table13[[#This Row],[Good_Qty]]/Table13[[#This Row],[Planned_Production]]</f>
        <v>0.98305084745762716</v>
      </c>
      <c r="P1087" t="str">
        <f>IF(Table13[[#This Row],[Good_Qty]]&gt;=Table13[[#This Row],[Planned_Production]],"Met","Not Met")</f>
        <v>Not Met</v>
      </c>
      <c r="Q1087">
        <f>Table13[[#This Row],[Good_Qty]]-Table13[[#This Row],[Planned_Production]]</f>
        <v>-10</v>
      </c>
      <c r="R1087" s="3">
        <f>IF(Table13[[#This Row],[Actual_Qty]]=0,0,Table13[[#This Row],[Reject_Qty]]/Table13[[#This Row],[Actual_Qty]])</f>
        <v>1.6949152542372881E-2</v>
      </c>
      <c r="S1087">
        <v>423.13</v>
      </c>
      <c r="T1087">
        <f>(Table13[[#This Row],[Ideal_Cycle_Time_sec]]*Table13[[#This Row],[Actual_Qty]])/(Table13[[#This Row],[Operational_Time_min]]*60)</f>
        <v>0.7436642796933961</v>
      </c>
      <c r="U1087">
        <f>Table13[[#This Row],[Good_Qty]]/Table13[[#This Row],[Actual_Qty]]</f>
        <v>0.98305084745762716</v>
      </c>
      <c r="V1087" t="str">
        <f>IF(OR(Table13[[#This Row],[Performance_%]]&gt;=1,Table13[[#This Row],[Performance_%]]&lt;=0),"Error","OK")</f>
        <v>OK</v>
      </c>
      <c r="W1087" t="str">
        <f>IF(OR(Table13[[#This Row],[Quality_%]]&gt;=1,Table13[[#This Row],[Quality_%]]&lt;=0),"Error","OK")</f>
        <v>OK</v>
      </c>
      <c r="X1087">
        <f>Table13[[#This Row],[Performance_%]]*Table13[[#This Row],[Quality_%]]*[2]Availability_KPI!K1087</f>
        <v>0.68740740740740747</v>
      </c>
      <c r="Y1087" t="str">
        <f>IF(OR(Table13[[#This Row],[OEE_%]]&gt;1,Table13[[#This Row],[OEE_%]]&lt;0),"Error","OK")</f>
        <v>OK</v>
      </c>
    </row>
    <row r="1088" spans="1:25" x14ac:dyDescent="0.2">
      <c r="A1088" t="s">
        <v>1273</v>
      </c>
      <c r="B1088" t="s">
        <v>1267</v>
      </c>
      <c r="C1088" s="2">
        <v>46300</v>
      </c>
      <c r="D1088" t="s">
        <v>27</v>
      </c>
      <c r="E1088" t="s">
        <v>46</v>
      </c>
      <c r="F1088" t="s">
        <v>54</v>
      </c>
      <c r="G1088" t="s">
        <v>39</v>
      </c>
      <c r="H1088">
        <v>590</v>
      </c>
      <c r="I1088">
        <v>584</v>
      </c>
      <c r="J1088">
        <v>6</v>
      </c>
      <c r="K1088">
        <v>25</v>
      </c>
      <c r="L1088">
        <v>25.94</v>
      </c>
      <c r="M1088">
        <v>255.09</v>
      </c>
      <c r="N1088">
        <f>_xlfn.XLOOKUP(Table13[[#This Row],[Production_Order_ID]],[1]Sheet1!$A$2:$A$391,[1]Sheet1!$F$2:$F$391,"No Match")</f>
        <v>590</v>
      </c>
      <c r="O1088" s="3">
        <f>Table13[[#This Row],[Good_Qty]]/Table13[[#This Row],[Planned_Production]]</f>
        <v>0.98983050847457632</v>
      </c>
      <c r="P1088" t="str">
        <f>IF(Table13[[#This Row],[Good_Qty]]&gt;=Table13[[#This Row],[Planned_Production]],"Met","Not Met")</f>
        <v>Not Met</v>
      </c>
      <c r="Q1088">
        <f>Table13[[#This Row],[Good_Qty]]-Table13[[#This Row],[Planned_Production]]</f>
        <v>-6</v>
      </c>
      <c r="R1088" s="3">
        <f>IF(Table13[[#This Row],[Actual_Qty]]=0,0,Table13[[#This Row],[Reject_Qty]]/Table13[[#This Row],[Actual_Qty]])</f>
        <v>1.0169491525423728E-2</v>
      </c>
      <c r="S1088">
        <v>428.9</v>
      </c>
      <c r="T1088">
        <f>(Table13[[#This Row],[Ideal_Cycle_Time_sec]]*Table13[[#This Row],[Actual_Qty]])/(Table13[[#This Row],[Operational_Time_min]]*60)</f>
        <v>0.57317167949016867</v>
      </c>
      <c r="U1088">
        <f>Table13[[#This Row],[Good_Qty]]/Table13[[#This Row],[Actual_Qty]]</f>
        <v>0.98983050847457632</v>
      </c>
      <c r="V1088" t="str">
        <f>IF(OR(Table13[[#This Row],[Performance_%]]&gt;=1,Table13[[#This Row],[Performance_%]]&lt;=0),"Error","OK")</f>
        <v>OK</v>
      </c>
      <c r="W1088" t="str">
        <f>IF(OR(Table13[[#This Row],[Quality_%]]&gt;=1,Table13[[#This Row],[Quality_%]]&lt;=0),"Error","OK")</f>
        <v>OK</v>
      </c>
      <c r="X1088">
        <f>Table13[[#This Row],[Performance_%]]*Table13[[#This Row],[Quality_%]]*[2]Availability_KPI!K1088</f>
        <v>0.54074074074074074</v>
      </c>
      <c r="Y1088" t="str">
        <f>IF(OR(Table13[[#This Row],[OEE_%]]&gt;1,Table13[[#This Row],[OEE_%]]&lt;0),"Error","OK")</f>
        <v>OK</v>
      </c>
    </row>
    <row r="1089" spans="1:25" x14ac:dyDescent="0.2">
      <c r="A1089" t="s">
        <v>1274</v>
      </c>
      <c r="B1089" t="s">
        <v>1267</v>
      </c>
      <c r="C1089" s="2">
        <v>46300</v>
      </c>
      <c r="D1089" t="s">
        <v>27</v>
      </c>
      <c r="E1089" t="s">
        <v>49</v>
      </c>
      <c r="F1089" t="s">
        <v>54</v>
      </c>
      <c r="G1089" t="s">
        <v>44</v>
      </c>
      <c r="H1089">
        <v>596</v>
      </c>
      <c r="I1089">
        <v>593</v>
      </c>
      <c r="J1089">
        <v>3</v>
      </c>
      <c r="K1089">
        <v>20</v>
      </c>
      <c r="L1089">
        <v>20.350000000000001</v>
      </c>
      <c r="M1089">
        <v>202.1</v>
      </c>
      <c r="N1089">
        <f>_xlfn.XLOOKUP(Table13[[#This Row],[Production_Order_ID]],[1]Sheet1!$A$2:$A$391,[1]Sheet1!$F$2:$F$391,"No Match")</f>
        <v>590</v>
      </c>
      <c r="O1089" s="3">
        <f>Table13[[#This Row],[Good_Qty]]/Table13[[#This Row],[Planned_Production]]</f>
        <v>1.0050847457627119</v>
      </c>
      <c r="P1089" t="str">
        <f>IF(Table13[[#This Row],[Good_Qty]]&gt;=Table13[[#This Row],[Planned_Production]],"Met","Not Met")</f>
        <v>Met</v>
      </c>
      <c r="Q1089">
        <f>Table13[[#This Row],[Good_Qty]]-Table13[[#This Row],[Planned_Production]]</f>
        <v>3</v>
      </c>
      <c r="R1089" s="3">
        <f>IF(Table13[[#This Row],[Actual_Qty]]=0,0,Table13[[#This Row],[Reject_Qty]]/Table13[[#This Row],[Actual_Qty]])</f>
        <v>5.0335570469798654E-3</v>
      </c>
      <c r="S1089">
        <v>440.3</v>
      </c>
      <c r="T1089">
        <f>(Table13[[#This Row],[Ideal_Cycle_Time_sec]]*Table13[[#This Row],[Actual_Qty]])/(Table13[[#This Row],[Operational_Time_min]]*60)</f>
        <v>0.45120751003103943</v>
      </c>
      <c r="U1089">
        <f>Table13[[#This Row],[Good_Qty]]/Table13[[#This Row],[Actual_Qty]]</f>
        <v>0.99496644295302017</v>
      </c>
      <c r="V1089" t="str">
        <f>IF(OR(Table13[[#This Row],[Performance_%]]&gt;=1,Table13[[#This Row],[Performance_%]]&lt;=0),"Error","OK")</f>
        <v>OK</v>
      </c>
      <c r="W1089" t="str">
        <f>IF(OR(Table13[[#This Row],[Quality_%]]&gt;=1,Table13[[#This Row],[Quality_%]]&lt;=0),"Error","OK")</f>
        <v>OK</v>
      </c>
      <c r="X1089">
        <f>Table13[[#This Row],[Performance_%]]*Table13[[#This Row],[Quality_%]]*[2]Availability_KPI!K1089</f>
        <v>0.43925925925925924</v>
      </c>
      <c r="Y1089" t="str">
        <f>IF(OR(Table13[[#This Row],[OEE_%]]&gt;1,Table13[[#This Row],[OEE_%]]&lt;0),"Error","OK")</f>
        <v>OK</v>
      </c>
    </row>
    <row r="1090" spans="1:25" x14ac:dyDescent="0.2">
      <c r="A1090" t="s">
        <v>1275</v>
      </c>
      <c r="B1090" t="s">
        <v>1276</v>
      </c>
      <c r="C1090" s="2">
        <v>46300</v>
      </c>
      <c r="D1090" t="s">
        <v>53</v>
      </c>
      <c r="E1090" t="s">
        <v>28</v>
      </c>
      <c r="F1090" t="s">
        <v>97</v>
      </c>
      <c r="G1090" t="s">
        <v>47</v>
      </c>
      <c r="H1090">
        <v>656</v>
      </c>
      <c r="I1090">
        <v>652</v>
      </c>
      <c r="J1090">
        <v>4</v>
      </c>
      <c r="K1090">
        <v>19.260000000000002</v>
      </c>
      <c r="L1090">
        <v>19.86</v>
      </c>
      <c r="M1090">
        <v>217.16</v>
      </c>
      <c r="N1090">
        <f>_xlfn.XLOOKUP(Table13[[#This Row],[Production_Order_ID]],[1]Sheet1!$A$2:$A$391,[1]Sheet1!$F$2:$F$391,"No Match")</f>
        <v>470</v>
      </c>
      <c r="O1090" s="3">
        <f>Table13[[#This Row],[Good_Qty]]/Table13[[#This Row],[Planned_Production]]</f>
        <v>1.3872340425531915</v>
      </c>
      <c r="P1090" t="str">
        <f>IF(Table13[[#This Row],[Good_Qty]]&gt;=Table13[[#This Row],[Planned_Production]],"Met","Not Met")</f>
        <v>Met</v>
      </c>
      <c r="Q1090">
        <f>Table13[[#This Row],[Good_Qty]]-Table13[[#This Row],[Planned_Production]]</f>
        <v>182</v>
      </c>
      <c r="R1090" s="3">
        <f>IF(Table13[[#This Row],[Actual_Qty]]=0,0,Table13[[#This Row],[Reject_Qty]]/Table13[[#This Row],[Actual_Qty]])</f>
        <v>6.0975609756097563E-3</v>
      </c>
      <c r="S1090">
        <v>440.81</v>
      </c>
      <c r="T1090">
        <f>(Table13[[#This Row],[Ideal_Cycle_Time_sec]]*Table13[[#This Row],[Actual_Qty]])/(Table13[[#This Row],[Operational_Time_min]]*60)</f>
        <v>0.47770241146979431</v>
      </c>
      <c r="U1090">
        <f>Table13[[#This Row],[Good_Qty]]/Table13[[#This Row],[Actual_Qty]]</f>
        <v>0.99390243902439024</v>
      </c>
      <c r="V1090" t="str">
        <f>IF(OR(Table13[[#This Row],[Performance_%]]&gt;=1,Table13[[#This Row],[Performance_%]]&lt;=0),"Error","OK")</f>
        <v>OK</v>
      </c>
      <c r="W1090" t="str">
        <f>IF(OR(Table13[[#This Row],[Quality_%]]&gt;=1,Table13[[#This Row],[Quality_%]]&lt;=0),"Error","OK")</f>
        <v>OK</v>
      </c>
      <c r="X1090">
        <f>Table13[[#This Row],[Performance_%]]*Table13[[#This Row],[Quality_%]]*[2]Availability_KPI!K1090</f>
        <v>0.46509333333333336</v>
      </c>
      <c r="Y1090" t="str">
        <f>IF(OR(Table13[[#This Row],[OEE_%]]&gt;1,Table13[[#This Row],[OEE_%]]&lt;0),"Error","OK")</f>
        <v>OK</v>
      </c>
    </row>
    <row r="1091" spans="1:25" x14ac:dyDescent="0.2">
      <c r="A1091" t="s">
        <v>1277</v>
      </c>
      <c r="B1091" t="s">
        <v>1276</v>
      </c>
      <c r="C1091" s="2">
        <v>46300</v>
      </c>
      <c r="D1091" t="s">
        <v>53</v>
      </c>
      <c r="E1091" t="s">
        <v>32</v>
      </c>
      <c r="F1091" t="s">
        <v>97</v>
      </c>
      <c r="G1091" t="s">
        <v>30</v>
      </c>
      <c r="H1091">
        <v>679</v>
      </c>
      <c r="I1091">
        <v>672</v>
      </c>
      <c r="J1091">
        <v>7</v>
      </c>
      <c r="K1091">
        <v>21.4</v>
      </c>
      <c r="L1091">
        <v>22.32</v>
      </c>
      <c r="M1091">
        <v>252.54</v>
      </c>
      <c r="N1091">
        <f>_xlfn.XLOOKUP(Table13[[#This Row],[Production_Order_ID]],[1]Sheet1!$A$2:$A$391,[1]Sheet1!$F$2:$F$391,"No Match")</f>
        <v>470</v>
      </c>
      <c r="O1091" s="3">
        <f>Table13[[#This Row],[Good_Qty]]/Table13[[#This Row],[Planned_Production]]</f>
        <v>1.4297872340425533</v>
      </c>
      <c r="P1091" t="str">
        <f>IF(Table13[[#This Row],[Good_Qty]]&gt;=Table13[[#This Row],[Planned_Production]],"Met","Not Met")</f>
        <v>Met</v>
      </c>
      <c r="Q1091">
        <f>Table13[[#This Row],[Good_Qty]]-Table13[[#This Row],[Planned_Production]]</f>
        <v>202</v>
      </c>
      <c r="R1091" s="3">
        <f>IF(Table13[[#This Row],[Actual_Qty]]=0,0,Table13[[#This Row],[Reject_Qty]]/Table13[[#This Row],[Actual_Qty]])</f>
        <v>1.0309278350515464E-2</v>
      </c>
      <c r="S1091">
        <v>433.98</v>
      </c>
      <c r="T1091">
        <f>(Table13[[#This Row],[Ideal_Cycle_Time_sec]]*Table13[[#This Row],[Actual_Qty]])/(Table13[[#This Row],[Operational_Time_min]]*60)</f>
        <v>0.55803646865446932</v>
      </c>
      <c r="U1091">
        <f>Table13[[#This Row],[Good_Qty]]/Table13[[#This Row],[Actual_Qty]]</f>
        <v>0.98969072164948457</v>
      </c>
      <c r="V1091" t="str">
        <f>IF(OR(Table13[[#This Row],[Performance_%]]&gt;=1,Table13[[#This Row],[Performance_%]]&lt;=0),"Error","OK")</f>
        <v>OK</v>
      </c>
      <c r="W1091" t="str">
        <f>IF(OR(Table13[[#This Row],[Quality_%]]&gt;=1,Table13[[#This Row],[Quality_%]]&lt;=0),"Error","OK")</f>
        <v>OK</v>
      </c>
      <c r="X1091">
        <f>Table13[[#This Row],[Performance_%]]*Table13[[#This Row],[Quality_%]]*[2]Availability_KPI!K1091</f>
        <v>0.53262222222222211</v>
      </c>
      <c r="Y1091" t="str">
        <f>IF(OR(Table13[[#This Row],[OEE_%]]&gt;1,Table13[[#This Row],[OEE_%]]&lt;0),"Error","OK")</f>
        <v>OK</v>
      </c>
    </row>
    <row r="1092" spans="1:25" x14ac:dyDescent="0.2">
      <c r="A1092" t="s">
        <v>1278</v>
      </c>
      <c r="B1092" t="s">
        <v>1276</v>
      </c>
      <c r="C1092" s="2">
        <v>46300</v>
      </c>
      <c r="D1092" t="s">
        <v>53</v>
      </c>
      <c r="E1092" t="s">
        <v>35</v>
      </c>
      <c r="F1092" t="s">
        <v>97</v>
      </c>
      <c r="G1092" t="s">
        <v>36</v>
      </c>
      <c r="H1092">
        <v>663</v>
      </c>
      <c r="I1092">
        <v>658</v>
      </c>
      <c r="J1092">
        <v>5</v>
      </c>
      <c r="K1092">
        <v>23.54</v>
      </c>
      <c r="L1092">
        <v>26.38</v>
      </c>
      <c r="M1092">
        <v>291.45999999999998</v>
      </c>
      <c r="N1092">
        <f>_xlfn.XLOOKUP(Table13[[#This Row],[Production_Order_ID]],[1]Sheet1!$A$2:$A$391,[1]Sheet1!$F$2:$F$391,"No Match")</f>
        <v>470</v>
      </c>
      <c r="O1092" s="3">
        <f>Table13[[#This Row],[Good_Qty]]/Table13[[#This Row],[Planned_Production]]</f>
        <v>1.4</v>
      </c>
      <c r="P1092" t="str">
        <f>IF(Table13[[#This Row],[Good_Qty]]&gt;=Table13[[#This Row],[Planned_Production]],"Met","Not Met")</f>
        <v>Met</v>
      </c>
      <c r="Q1092">
        <f>Table13[[#This Row],[Good_Qty]]-Table13[[#This Row],[Planned_Production]]</f>
        <v>188</v>
      </c>
      <c r="R1092" s="3">
        <f>IF(Table13[[#This Row],[Actual_Qty]]=0,0,Table13[[#This Row],[Reject_Qty]]/Table13[[#This Row],[Actual_Qty]])</f>
        <v>7.5414781297134239E-3</v>
      </c>
      <c r="S1092">
        <v>434.8</v>
      </c>
      <c r="T1092">
        <f>(Table13[[#This Row],[Ideal_Cycle_Time_sec]]*Table13[[#This Row],[Actual_Qty]])/(Table13[[#This Row],[Operational_Time_min]]*60)</f>
        <v>0.59824517019319223</v>
      </c>
      <c r="U1092">
        <f>Table13[[#This Row],[Good_Qty]]/Table13[[#This Row],[Actual_Qty]]</f>
        <v>0.9924585218702866</v>
      </c>
      <c r="V1092" t="str">
        <f>IF(OR(Table13[[#This Row],[Performance_%]]&gt;=1,Table13[[#This Row],[Performance_%]]&lt;=0),"Error","OK")</f>
        <v>OK</v>
      </c>
      <c r="W1092" t="str">
        <f>IF(OR(Table13[[#This Row],[Quality_%]]&gt;=1,Table13[[#This Row],[Quality_%]]&lt;=0),"Error","OK")</f>
        <v>OK</v>
      </c>
      <c r="X1092">
        <f>Table13[[#This Row],[Performance_%]]*Table13[[#This Row],[Quality_%]]*[2]Availability_KPI!K1092</f>
        <v>0.57367851851851848</v>
      </c>
      <c r="Y1092" t="str">
        <f>IF(OR(Table13[[#This Row],[OEE_%]]&gt;1,Table13[[#This Row],[OEE_%]]&lt;0),"Error","OK")</f>
        <v>OK</v>
      </c>
    </row>
    <row r="1093" spans="1:25" x14ac:dyDescent="0.2">
      <c r="A1093" t="s">
        <v>1279</v>
      </c>
      <c r="B1093" t="s">
        <v>1276</v>
      </c>
      <c r="C1093" s="2">
        <v>46300</v>
      </c>
      <c r="D1093" t="s">
        <v>53</v>
      </c>
      <c r="E1093" t="s">
        <v>38</v>
      </c>
      <c r="F1093" t="s">
        <v>97</v>
      </c>
      <c r="G1093" t="s">
        <v>55</v>
      </c>
      <c r="H1093">
        <v>662</v>
      </c>
      <c r="I1093">
        <v>658</v>
      </c>
      <c r="J1093">
        <v>4</v>
      </c>
      <c r="K1093">
        <v>21.4</v>
      </c>
      <c r="L1093">
        <v>21.87</v>
      </c>
      <c r="M1093">
        <v>241.25</v>
      </c>
      <c r="N1093">
        <f>_xlfn.XLOOKUP(Table13[[#This Row],[Production_Order_ID]],[1]Sheet1!$A$2:$A$391,[1]Sheet1!$F$2:$F$391,"No Match")</f>
        <v>470</v>
      </c>
      <c r="O1093" s="3">
        <f>Table13[[#This Row],[Good_Qty]]/Table13[[#This Row],[Planned_Production]]</f>
        <v>1.4</v>
      </c>
      <c r="P1093" t="str">
        <f>IF(Table13[[#This Row],[Good_Qty]]&gt;=Table13[[#This Row],[Planned_Production]],"Met","Not Met")</f>
        <v>Met</v>
      </c>
      <c r="Q1093">
        <f>Table13[[#This Row],[Good_Qty]]-Table13[[#This Row],[Planned_Production]]</f>
        <v>188</v>
      </c>
      <c r="R1093" s="3">
        <f>IF(Table13[[#This Row],[Actual_Qty]]=0,0,Table13[[#This Row],[Reject_Qty]]/Table13[[#This Row],[Actual_Qty]])</f>
        <v>6.0422960725075529E-3</v>
      </c>
      <c r="S1093">
        <v>436.02</v>
      </c>
      <c r="T1093">
        <f>(Table13[[#This Row],[Ideal_Cycle_Time_sec]]*Table13[[#This Row],[Actual_Qty]])/(Table13[[#This Row],[Operational_Time_min]]*60)</f>
        <v>0.5415195021635093</v>
      </c>
      <c r="U1093">
        <f>Table13[[#This Row],[Good_Qty]]/Table13[[#This Row],[Actual_Qty]]</f>
        <v>0.9939577039274925</v>
      </c>
      <c r="V1093" t="str">
        <f>IF(OR(Table13[[#This Row],[Performance_%]]&gt;=1,Table13[[#This Row],[Performance_%]]&lt;=0),"Error","OK")</f>
        <v>OK</v>
      </c>
      <c r="W1093" t="str">
        <f>IF(OR(Table13[[#This Row],[Quality_%]]&gt;=1,Table13[[#This Row],[Quality_%]]&lt;=0),"Error","OK")</f>
        <v>OK</v>
      </c>
      <c r="X1093">
        <f>Table13[[#This Row],[Performance_%]]*Table13[[#This Row],[Quality_%]]*[2]Availability_KPI!K1093</f>
        <v>0.52152592592592595</v>
      </c>
      <c r="Y1093" t="str">
        <f>IF(OR(Table13[[#This Row],[OEE_%]]&gt;1,Table13[[#This Row],[OEE_%]]&lt;0),"Error","OK")</f>
        <v>OK</v>
      </c>
    </row>
    <row r="1094" spans="1:25" x14ac:dyDescent="0.2">
      <c r="A1094" t="s">
        <v>1280</v>
      </c>
      <c r="B1094" t="s">
        <v>1276</v>
      </c>
      <c r="C1094" s="2">
        <v>46300</v>
      </c>
      <c r="D1094" t="s">
        <v>53</v>
      </c>
      <c r="E1094" t="s">
        <v>41</v>
      </c>
      <c r="F1094" t="s">
        <v>97</v>
      </c>
      <c r="G1094" t="s">
        <v>71</v>
      </c>
      <c r="H1094">
        <v>669</v>
      </c>
      <c r="I1094">
        <v>664</v>
      </c>
      <c r="J1094">
        <v>5</v>
      </c>
      <c r="K1094">
        <v>19.260000000000002</v>
      </c>
      <c r="L1094">
        <v>19.399999999999999</v>
      </c>
      <c r="M1094">
        <v>216.35</v>
      </c>
      <c r="N1094">
        <f>_xlfn.XLOOKUP(Table13[[#This Row],[Production_Order_ID]],[1]Sheet1!$A$2:$A$391,[1]Sheet1!$F$2:$F$391,"No Match")</f>
        <v>470</v>
      </c>
      <c r="O1094" s="3">
        <f>Table13[[#This Row],[Good_Qty]]/Table13[[#This Row],[Planned_Production]]</f>
        <v>1.4127659574468086</v>
      </c>
      <c r="P1094" t="str">
        <f>IF(Table13[[#This Row],[Good_Qty]]&gt;=Table13[[#This Row],[Planned_Production]],"Met","Not Met")</f>
        <v>Met</v>
      </c>
      <c r="Q1094">
        <f>Table13[[#This Row],[Good_Qty]]-Table13[[#This Row],[Planned_Production]]</f>
        <v>194</v>
      </c>
      <c r="R1094" s="3">
        <f>IF(Table13[[#This Row],[Actual_Qty]]=0,0,Table13[[#This Row],[Reject_Qty]]/Table13[[#This Row],[Actual_Qty]])</f>
        <v>7.4738415545590429E-3</v>
      </c>
      <c r="S1094">
        <v>438.92</v>
      </c>
      <c r="T1094">
        <f>(Table13[[#This Row],[Ideal_Cycle_Time_sec]]*Table13[[#This Row],[Actual_Qty]])/(Table13[[#This Row],[Operational_Time_min]]*60)</f>
        <v>0.48926683678119021</v>
      </c>
      <c r="U1094">
        <f>Table13[[#This Row],[Good_Qty]]/Table13[[#This Row],[Actual_Qty]]</f>
        <v>0.99252615844544101</v>
      </c>
      <c r="V1094" t="str">
        <f>IF(OR(Table13[[#This Row],[Performance_%]]&gt;=1,Table13[[#This Row],[Performance_%]]&lt;=0),"Error","OK")</f>
        <v>OK</v>
      </c>
      <c r="W1094" t="str">
        <f>IF(OR(Table13[[#This Row],[Quality_%]]&gt;=1,Table13[[#This Row],[Quality_%]]&lt;=0),"Error","OK")</f>
        <v>OK</v>
      </c>
      <c r="X1094">
        <f>Table13[[#This Row],[Performance_%]]*Table13[[#This Row],[Quality_%]]*[2]Availability_KPI!K1094</f>
        <v>0.47365333333333337</v>
      </c>
      <c r="Y1094" t="str">
        <f>IF(OR(Table13[[#This Row],[OEE_%]]&gt;1,Table13[[#This Row],[OEE_%]]&lt;0),"Error","OK")</f>
        <v>OK</v>
      </c>
    </row>
    <row r="1095" spans="1:25" x14ac:dyDescent="0.2">
      <c r="A1095" t="s">
        <v>1281</v>
      </c>
      <c r="B1095" t="s">
        <v>1276</v>
      </c>
      <c r="C1095" s="2">
        <v>46300</v>
      </c>
      <c r="D1095" t="s">
        <v>53</v>
      </c>
      <c r="E1095" t="s">
        <v>43</v>
      </c>
      <c r="F1095" t="s">
        <v>97</v>
      </c>
      <c r="G1095" t="s">
        <v>47</v>
      </c>
      <c r="H1095">
        <v>656</v>
      </c>
      <c r="I1095">
        <v>644</v>
      </c>
      <c r="J1095">
        <v>12</v>
      </c>
      <c r="K1095">
        <v>34.24</v>
      </c>
      <c r="L1095">
        <v>38.479999999999997</v>
      </c>
      <c r="M1095">
        <v>420.7</v>
      </c>
      <c r="N1095">
        <f>_xlfn.XLOOKUP(Table13[[#This Row],[Production_Order_ID]],[1]Sheet1!$A$2:$A$391,[1]Sheet1!$F$2:$F$391,"No Match")</f>
        <v>470</v>
      </c>
      <c r="O1095" s="3">
        <f>Table13[[#This Row],[Good_Qty]]/Table13[[#This Row],[Planned_Production]]</f>
        <v>1.3702127659574468</v>
      </c>
      <c r="P1095" t="str">
        <f>IF(Table13[[#This Row],[Good_Qty]]&gt;=Table13[[#This Row],[Planned_Production]],"Met","Not Met")</f>
        <v>Met</v>
      </c>
      <c r="Q1095">
        <f>Table13[[#This Row],[Good_Qty]]-Table13[[#This Row],[Planned_Production]]</f>
        <v>174</v>
      </c>
      <c r="R1095" s="3">
        <f>IF(Table13[[#This Row],[Actual_Qty]]=0,0,Table13[[#This Row],[Reject_Qty]]/Table13[[#This Row],[Actual_Qty]])</f>
        <v>1.8292682926829267E-2</v>
      </c>
      <c r="S1095">
        <v>413.7</v>
      </c>
      <c r="T1095">
        <f>(Table13[[#This Row],[Ideal_Cycle_Time_sec]]*Table13[[#This Row],[Actual_Qty]])/(Table13[[#This Row],[Operational_Time_min]]*60)</f>
        <v>0.90490049149947638</v>
      </c>
      <c r="U1095">
        <f>Table13[[#This Row],[Good_Qty]]/Table13[[#This Row],[Actual_Qty]]</f>
        <v>0.98170731707317072</v>
      </c>
      <c r="V1095" t="str">
        <f>IF(OR(Table13[[#This Row],[Performance_%]]&gt;=1,Table13[[#This Row],[Performance_%]]&lt;=0),"Error","OK")</f>
        <v>OK</v>
      </c>
      <c r="W1095" t="str">
        <f>IF(OR(Table13[[#This Row],[Quality_%]]&gt;=1,Table13[[#This Row],[Quality_%]]&lt;=0),"Error","OK")</f>
        <v>OK</v>
      </c>
      <c r="X1095">
        <f>Table13[[#This Row],[Performance_%]]*Table13[[#This Row],[Quality_%]]*[2]Availability_KPI!K1095</f>
        <v>0.81668740740740753</v>
      </c>
      <c r="Y1095" t="str">
        <f>IF(OR(Table13[[#This Row],[OEE_%]]&gt;1,Table13[[#This Row],[OEE_%]]&lt;0),"Error","OK")</f>
        <v>OK</v>
      </c>
    </row>
    <row r="1096" spans="1:25" x14ac:dyDescent="0.2">
      <c r="A1096" t="s">
        <v>1282</v>
      </c>
      <c r="B1096" t="s">
        <v>1276</v>
      </c>
      <c r="C1096" s="2">
        <v>46300</v>
      </c>
      <c r="D1096" t="s">
        <v>53</v>
      </c>
      <c r="E1096" t="s">
        <v>46</v>
      </c>
      <c r="F1096" t="s">
        <v>97</v>
      </c>
      <c r="G1096" t="s">
        <v>36</v>
      </c>
      <c r="H1096">
        <v>654</v>
      </c>
      <c r="I1096">
        <v>648</v>
      </c>
      <c r="J1096">
        <v>6</v>
      </c>
      <c r="K1096">
        <v>26.75</v>
      </c>
      <c r="L1096">
        <v>27.93</v>
      </c>
      <c r="M1096">
        <v>304.39</v>
      </c>
      <c r="N1096">
        <f>_xlfn.XLOOKUP(Table13[[#This Row],[Production_Order_ID]],[1]Sheet1!$A$2:$A$391,[1]Sheet1!$F$2:$F$391,"No Match")</f>
        <v>470</v>
      </c>
      <c r="O1096" s="3">
        <f>Table13[[#This Row],[Good_Qty]]/Table13[[#This Row],[Planned_Production]]</f>
        <v>1.3787234042553191</v>
      </c>
      <c r="P1096" t="str">
        <f>IF(Table13[[#This Row],[Good_Qty]]&gt;=Table13[[#This Row],[Planned_Production]],"Met","Not Met")</f>
        <v>Met</v>
      </c>
      <c r="Q1096">
        <f>Table13[[#This Row],[Good_Qty]]-Table13[[#This Row],[Planned_Production]]</f>
        <v>178</v>
      </c>
      <c r="R1096" s="3">
        <f>IF(Table13[[#This Row],[Actual_Qty]]=0,0,Table13[[#This Row],[Reject_Qty]]/Table13[[#This Row],[Actual_Qty]])</f>
        <v>9.1743119266055051E-3</v>
      </c>
      <c r="S1096">
        <v>431.42</v>
      </c>
      <c r="T1096">
        <f>(Table13[[#This Row],[Ideal_Cycle_Time_sec]]*Table13[[#This Row],[Actual_Qty]])/(Table13[[#This Row],[Operational_Time_min]]*60)</f>
        <v>0.67584952018914279</v>
      </c>
      <c r="U1096">
        <f>Table13[[#This Row],[Good_Qty]]/Table13[[#This Row],[Actual_Qty]]</f>
        <v>0.99082568807339455</v>
      </c>
      <c r="V1096" t="str">
        <f>IF(OR(Table13[[#This Row],[Performance_%]]&gt;=1,Table13[[#This Row],[Performance_%]]&lt;=0),"Error","OK")</f>
        <v>OK</v>
      </c>
      <c r="W1096" t="str">
        <f>IF(OR(Table13[[#This Row],[Quality_%]]&gt;=1,Table13[[#This Row],[Quality_%]]&lt;=0),"Error","OK")</f>
        <v>OK</v>
      </c>
      <c r="X1096">
        <f>Table13[[#This Row],[Performance_%]]*Table13[[#This Row],[Quality_%]]*[2]Availability_KPI!K1096</f>
        <v>0.64200000000000013</v>
      </c>
      <c r="Y1096" t="str">
        <f>IF(OR(Table13[[#This Row],[OEE_%]]&gt;1,Table13[[#This Row],[OEE_%]]&lt;0),"Error","OK")</f>
        <v>OK</v>
      </c>
    </row>
    <row r="1097" spans="1:25" x14ac:dyDescent="0.2">
      <c r="A1097" t="s">
        <v>1283</v>
      </c>
      <c r="B1097" t="s">
        <v>1276</v>
      </c>
      <c r="C1097" s="2">
        <v>46300</v>
      </c>
      <c r="D1097" t="s">
        <v>53</v>
      </c>
      <c r="E1097" t="s">
        <v>49</v>
      </c>
      <c r="F1097" t="s">
        <v>97</v>
      </c>
      <c r="G1097" t="s">
        <v>44</v>
      </c>
      <c r="H1097">
        <v>663</v>
      </c>
      <c r="I1097">
        <v>660</v>
      </c>
      <c r="J1097">
        <v>3</v>
      </c>
      <c r="K1097">
        <v>21.4</v>
      </c>
      <c r="L1097">
        <v>22</v>
      </c>
      <c r="M1097">
        <v>243.08</v>
      </c>
      <c r="N1097">
        <f>_xlfn.XLOOKUP(Table13[[#This Row],[Production_Order_ID]],[1]Sheet1!$A$2:$A$391,[1]Sheet1!$F$2:$F$391,"No Match")</f>
        <v>470</v>
      </c>
      <c r="O1097" s="3">
        <f>Table13[[#This Row],[Good_Qty]]/Table13[[#This Row],[Planned_Production]]</f>
        <v>1.4042553191489362</v>
      </c>
      <c r="P1097" t="str">
        <f>IF(Table13[[#This Row],[Good_Qty]]&gt;=Table13[[#This Row],[Planned_Production]],"Met","Not Met")</f>
        <v>Met</v>
      </c>
      <c r="Q1097">
        <f>Table13[[#This Row],[Good_Qty]]-Table13[[#This Row],[Planned_Production]]</f>
        <v>190</v>
      </c>
      <c r="R1097" s="3">
        <f>IF(Table13[[#This Row],[Actual_Qty]]=0,0,Table13[[#This Row],[Reject_Qty]]/Table13[[#This Row],[Actual_Qty]])</f>
        <v>4.5248868778280547E-3</v>
      </c>
      <c r="S1097">
        <v>441.58</v>
      </c>
      <c r="T1097">
        <f>(Table13[[#This Row],[Ideal_Cycle_Time_sec]]*Table13[[#This Row],[Actual_Qty]])/(Table13[[#This Row],[Operational_Time_min]]*60)</f>
        <v>0.53550885456768871</v>
      </c>
      <c r="U1097">
        <f>Table13[[#This Row],[Good_Qty]]/Table13[[#This Row],[Actual_Qty]]</f>
        <v>0.99547511312217196</v>
      </c>
      <c r="V1097" t="str">
        <f>IF(OR(Table13[[#This Row],[Performance_%]]&gt;=1,Table13[[#This Row],[Performance_%]]&lt;=0),"Error","OK")</f>
        <v>OK</v>
      </c>
      <c r="W1097" t="str">
        <f>IF(OR(Table13[[#This Row],[Quality_%]]&gt;=1,Table13[[#This Row],[Quality_%]]&lt;=0),"Error","OK")</f>
        <v>OK</v>
      </c>
      <c r="X1097">
        <f>Table13[[#This Row],[Performance_%]]*Table13[[#This Row],[Quality_%]]*[2]Availability_KPI!K1097</f>
        <v>0.52311111111111097</v>
      </c>
      <c r="Y1097" t="str">
        <f>IF(OR(Table13[[#This Row],[OEE_%]]&gt;1,Table13[[#This Row],[OEE_%]]&lt;0),"Error","OK")</f>
        <v>OK</v>
      </c>
    </row>
    <row r="1098" spans="1:25" x14ac:dyDescent="0.2">
      <c r="A1098" t="s">
        <v>1284</v>
      </c>
      <c r="B1098" t="s">
        <v>1285</v>
      </c>
      <c r="C1098" s="2">
        <v>46300</v>
      </c>
      <c r="D1098" t="s">
        <v>67</v>
      </c>
      <c r="E1098" t="s">
        <v>28</v>
      </c>
      <c r="F1098" t="s">
        <v>54</v>
      </c>
      <c r="G1098" t="s">
        <v>71</v>
      </c>
      <c r="H1098">
        <v>577</v>
      </c>
      <c r="I1098">
        <v>574</v>
      </c>
      <c r="J1098">
        <v>3</v>
      </c>
      <c r="K1098">
        <v>18</v>
      </c>
      <c r="L1098">
        <v>18.46</v>
      </c>
      <c r="M1098">
        <v>177.57</v>
      </c>
      <c r="N1098">
        <f>_xlfn.XLOOKUP(Table13[[#This Row],[Production_Order_ID]],[1]Sheet1!$A$2:$A$391,[1]Sheet1!$F$2:$F$391,"No Match")</f>
        <v>620</v>
      </c>
      <c r="O1098" s="3">
        <f>Table13[[#This Row],[Good_Qty]]/Table13[[#This Row],[Planned_Production]]</f>
        <v>0.9258064516129032</v>
      </c>
      <c r="P1098" t="str">
        <f>IF(Table13[[#This Row],[Good_Qty]]&gt;=Table13[[#This Row],[Planned_Production]],"Met","Not Met")</f>
        <v>Not Met</v>
      </c>
      <c r="Q1098">
        <f>Table13[[#This Row],[Good_Qty]]-Table13[[#This Row],[Planned_Production]]</f>
        <v>-46</v>
      </c>
      <c r="R1098" s="3">
        <f>IF(Table13[[#This Row],[Actual_Qty]]=0,0,Table13[[#This Row],[Reject_Qty]]/Table13[[#This Row],[Actual_Qty]])</f>
        <v>5.1993067590987872E-3</v>
      </c>
      <c r="S1098">
        <v>440.59</v>
      </c>
      <c r="T1098">
        <f>(Table13[[#This Row],[Ideal_Cycle_Time_sec]]*Table13[[#This Row],[Actual_Qty]])/(Table13[[#This Row],[Operational_Time_min]]*60)</f>
        <v>0.39288227149958016</v>
      </c>
      <c r="U1098">
        <f>Table13[[#This Row],[Good_Qty]]/Table13[[#This Row],[Actual_Qty]]</f>
        <v>0.99480069324090126</v>
      </c>
      <c r="V1098" t="str">
        <f>IF(OR(Table13[[#This Row],[Performance_%]]&gt;=1,Table13[[#This Row],[Performance_%]]&lt;=0),"Error","OK")</f>
        <v>OK</v>
      </c>
      <c r="W1098" t="str">
        <f>IF(OR(Table13[[#This Row],[Quality_%]]&gt;=1,Table13[[#This Row],[Quality_%]]&lt;=0),"Error","OK")</f>
        <v>OK</v>
      </c>
      <c r="X1098">
        <f>Table13[[#This Row],[Performance_%]]*Table13[[#This Row],[Quality_%]]*[2]Availability_KPI!K1098</f>
        <v>0.38266666666666671</v>
      </c>
      <c r="Y1098" t="str">
        <f>IF(OR(Table13[[#This Row],[OEE_%]]&gt;1,Table13[[#This Row],[OEE_%]]&lt;0),"Error","OK")</f>
        <v>OK</v>
      </c>
    </row>
    <row r="1099" spans="1:25" x14ac:dyDescent="0.2">
      <c r="A1099" t="s">
        <v>1286</v>
      </c>
      <c r="B1099" t="s">
        <v>1285</v>
      </c>
      <c r="C1099" s="2">
        <v>46300</v>
      </c>
      <c r="D1099" t="s">
        <v>67</v>
      </c>
      <c r="E1099" t="s">
        <v>32</v>
      </c>
      <c r="F1099" t="s">
        <v>54</v>
      </c>
      <c r="G1099" t="s">
        <v>44</v>
      </c>
      <c r="H1099">
        <v>584</v>
      </c>
      <c r="I1099">
        <v>582</v>
      </c>
      <c r="J1099">
        <v>2</v>
      </c>
      <c r="K1099">
        <v>20</v>
      </c>
      <c r="L1099">
        <v>20.72</v>
      </c>
      <c r="M1099">
        <v>201.67</v>
      </c>
      <c r="N1099">
        <f>_xlfn.XLOOKUP(Table13[[#This Row],[Production_Order_ID]],[1]Sheet1!$A$2:$A$391,[1]Sheet1!$F$2:$F$391,"No Match")</f>
        <v>620</v>
      </c>
      <c r="O1099" s="3">
        <f>Table13[[#This Row],[Good_Qty]]/Table13[[#This Row],[Planned_Production]]</f>
        <v>0.93870967741935485</v>
      </c>
      <c r="P1099" t="str">
        <f>IF(Table13[[#This Row],[Good_Qty]]&gt;=Table13[[#This Row],[Planned_Production]],"Met","Not Met")</f>
        <v>Not Met</v>
      </c>
      <c r="Q1099">
        <f>Table13[[#This Row],[Good_Qty]]-Table13[[#This Row],[Planned_Production]]</f>
        <v>-38</v>
      </c>
      <c r="R1099" s="3">
        <f>IF(Table13[[#This Row],[Actual_Qty]]=0,0,Table13[[#This Row],[Reject_Qty]]/Table13[[#This Row],[Actual_Qty]])</f>
        <v>3.4246575342465752E-3</v>
      </c>
      <c r="S1099">
        <v>439.54</v>
      </c>
      <c r="T1099">
        <f>(Table13[[#This Row],[Ideal_Cycle_Time_sec]]*Table13[[#This Row],[Actual_Qty]])/(Table13[[#This Row],[Operational_Time_min]]*60)</f>
        <v>0.44288726092429964</v>
      </c>
      <c r="U1099">
        <f>Table13[[#This Row],[Good_Qty]]/Table13[[#This Row],[Actual_Qty]]</f>
        <v>0.99657534246575341</v>
      </c>
      <c r="V1099" t="str">
        <f>IF(OR(Table13[[#This Row],[Performance_%]]&gt;=1,Table13[[#This Row],[Performance_%]]&lt;=0),"Error","OK")</f>
        <v>OK</v>
      </c>
      <c r="W1099" t="str">
        <f>IF(OR(Table13[[#This Row],[Quality_%]]&gt;=1,Table13[[#This Row],[Quality_%]]&lt;=0),"Error","OK")</f>
        <v>OK</v>
      </c>
      <c r="X1099">
        <f>Table13[[#This Row],[Performance_%]]*Table13[[#This Row],[Quality_%]]*[2]Availability_KPI!K1099</f>
        <v>0.43111111111111117</v>
      </c>
      <c r="Y1099" t="str">
        <f>IF(OR(Table13[[#This Row],[OEE_%]]&gt;1,Table13[[#This Row],[OEE_%]]&lt;0),"Error","OK")</f>
        <v>OK</v>
      </c>
    </row>
    <row r="1100" spans="1:25" x14ac:dyDescent="0.2">
      <c r="A1100" t="s">
        <v>1287</v>
      </c>
      <c r="B1100" t="s">
        <v>1285</v>
      </c>
      <c r="C1100" s="2">
        <v>46300</v>
      </c>
      <c r="D1100" t="s">
        <v>67</v>
      </c>
      <c r="E1100" t="s">
        <v>35</v>
      </c>
      <c r="F1100" t="s">
        <v>54</v>
      </c>
      <c r="G1100" t="s">
        <v>30</v>
      </c>
      <c r="H1100">
        <v>595</v>
      </c>
      <c r="I1100">
        <v>590</v>
      </c>
      <c r="J1100">
        <v>5</v>
      </c>
      <c r="K1100">
        <v>22</v>
      </c>
      <c r="L1100">
        <v>23.08</v>
      </c>
      <c r="M1100">
        <v>228.92</v>
      </c>
      <c r="N1100">
        <f>_xlfn.XLOOKUP(Table13[[#This Row],[Production_Order_ID]],[1]Sheet1!$A$2:$A$391,[1]Sheet1!$F$2:$F$391,"No Match")</f>
        <v>620</v>
      </c>
      <c r="O1100" s="3">
        <f>Table13[[#This Row],[Good_Qty]]/Table13[[#This Row],[Planned_Production]]</f>
        <v>0.95161290322580649</v>
      </c>
      <c r="P1100" t="str">
        <f>IF(Table13[[#This Row],[Good_Qty]]&gt;=Table13[[#This Row],[Planned_Production]],"Met","Not Met")</f>
        <v>Not Met</v>
      </c>
      <c r="Q1100">
        <f>Table13[[#This Row],[Good_Qty]]-Table13[[#This Row],[Planned_Production]]</f>
        <v>-30</v>
      </c>
      <c r="R1100" s="3">
        <f>IF(Table13[[#This Row],[Actual_Qty]]=0,0,Table13[[#This Row],[Reject_Qty]]/Table13[[#This Row],[Actual_Qty]])</f>
        <v>8.4033613445378148E-3</v>
      </c>
      <c r="S1100">
        <v>433.4</v>
      </c>
      <c r="T1100">
        <f>(Table13[[#This Row],[Ideal_Cycle_Time_sec]]*Table13[[#This Row],[Actual_Qty]])/(Table13[[#This Row],[Operational_Time_min]]*60)</f>
        <v>0.50338409475465318</v>
      </c>
      <c r="U1100">
        <f>Table13[[#This Row],[Good_Qty]]/Table13[[#This Row],[Actual_Qty]]</f>
        <v>0.99159663865546221</v>
      </c>
      <c r="V1100" t="str">
        <f>IF(OR(Table13[[#This Row],[Performance_%]]&gt;=1,Table13[[#This Row],[Performance_%]]&lt;=0),"Error","OK")</f>
        <v>OK</v>
      </c>
      <c r="W1100" t="str">
        <f>IF(OR(Table13[[#This Row],[Quality_%]]&gt;=1,Table13[[#This Row],[Quality_%]]&lt;=0),"Error","OK")</f>
        <v>OK</v>
      </c>
      <c r="X1100">
        <f>Table13[[#This Row],[Performance_%]]*Table13[[#This Row],[Quality_%]]*[2]Availability_KPI!K1100</f>
        <v>0.48074074074074075</v>
      </c>
      <c r="Y1100" t="str">
        <f>IF(OR(Table13[[#This Row],[OEE_%]]&gt;1,Table13[[#This Row],[OEE_%]]&lt;0),"Error","OK")</f>
        <v>OK</v>
      </c>
    </row>
    <row r="1101" spans="1:25" x14ac:dyDescent="0.2">
      <c r="A1101" t="s">
        <v>1288</v>
      </c>
      <c r="B1101" t="s">
        <v>1285</v>
      </c>
      <c r="C1101" s="2">
        <v>46300</v>
      </c>
      <c r="D1101" t="s">
        <v>67</v>
      </c>
      <c r="E1101" t="s">
        <v>38</v>
      </c>
      <c r="F1101" t="s">
        <v>54</v>
      </c>
      <c r="G1101" t="s">
        <v>39</v>
      </c>
      <c r="H1101">
        <v>585</v>
      </c>
      <c r="I1101">
        <v>582</v>
      </c>
      <c r="J1101">
        <v>3</v>
      </c>
      <c r="K1101">
        <v>20</v>
      </c>
      <c r="L1101">
        <v>20.89</v>
      </c>
      <c r="M1101">
        <v>203.68</v>
      </c>
      <c r="N1101">
        <f>_xlfn.XLOOKUP(Table13[[#This Row],[Production_Order_ID]],[1]Sheet1!$A$2:$A$391,[1]Sheet1!$F$2:$F$391,"No Match")</f>
        <v>620</v>
      </c>
      <c r="O1101" s="3">
        <f>Table13[[#This Row],[Good_Qty]]/Table13[[#This Row],[Planned_Production]]</f>
        <v>0.93870967741935485</v>
      </c>
      <c r="P1101" t="str">
        <f>IF(Table13[[#This Row],[Good_Qty]]&gt;=Table13[[#This Row],[Planned_Production]],"Met","Not Met")</f>
        <v>Not Met</v>
      </c>
      <c r="Q1101">
        <f>Table13[[#This Row],[Good_Qty]]-Table13[[#This Row],[Planned_Production]]</f>
        <v>-38</v>
      </c>
      <c r="R1101" s="3">
        <f>IF(Table13[[#This Row],[Actual_Qty]]=0,0,Table13[[#This Row],[Reject_Qty]]/Table13[[#This Row],[Actual_Qty]])</f>
        <v>5.1282051282051282E-3</v>
      </c>
      <c r="S1101">
        <v>440.14</v>
      </c>
      <c r="T1101">
        <f>(Table13[[#This Row],[Ideal_Cycle_Time_sec]]*Table13[[#This Row],[Actual_Qty]])/(Table13[[#This Row],[Operational_Time_min]]*60)</f>
        <v>0.44304085063843324</v>
      </c>
      <c r="U1101">
        <f>Table13[[#This Row],[Good_Qty]]/Table13[[#This Row],[Actual_Qty]]</f>
        <v>0.99487179487179489</v>
      </c>
      <c r="V1101" t="str">
        <f>IF(OR(Table13[[#This Row],[Performance_%]]&gt;=1,Table13[[#This Row],[Performance_%]]&lt;=0),"Error","OK")</f>
        <v>OK</v>
      </c>
      <c r="W1101" t="str">
        <f>IF(OR(Table13[[#This Row],[Quality_%]]&gt;=1,Table13[[#This Row],[Quality_%]]&lt;=0),"Error","OK")</f>
        <v>OK</v>
      </c>
      <c r="X1101">
        <f>Table13[[#This Row],[Performance_%]]*Table13[[#This Row],[Quality_%]]*[2]Availability_KPI!K1101</f>
        <v>0.43111111111111111</v>
      </c>
      <c r="Y1101" t="str">
        <f>IF(OR(Table13[[#This Row],[OEE_%]]&gt;1,Table13[[#This Row],[OEE_%]]&lt;0),"Error","OK")</f>
        <v>OK</v>
      </c>
    </row>
    <row r="1102" spans="1:25" x14ac:dyDescent="0.2">
      <c r="A1102" t="s">
        <v>1289</v>
      </c>
      <c r="B1102" t="s">
        <v>1285</v>
      </c>
      <c r="C1102" s="2">
        <v>46300</v>
      </c>
      <c r="D1102" t="s">
        <v>67</v>
      </c>
      <c r="E1102" t="s">
        <v>41</v>
      </c>
      <c r="F1102" t="s">
        <v>54</v>
      </c>
      <c r="G1102" t="s">
        <v>55</v>
      </c>
      <c r="H1102">
        <v>579</v>
      </c>
      <c r="I1102">
        <v>577</v>
      </c>
      <c r="J1102">
        <v>2</v>
      </c>
      <c r="K1102">
        <v>18</v>
      </c>
      <c r="L1102">
        <v>18.78</v>
      </c>
      <c r="M1102">
        <v>181.2</v>
      </c>
      <c r="N1102">
        <f>_xlfn.XLOOKUP(Table13[[#This Row],[Production_Order_ID]],[1]Sheet1!$A$2:$A$391,[1]Sheet1!$F$2:$F$391,"No Match")</f>
        <v>620</v>
      </c>
      <c r="O1102" s="3">
        <f>Table13[[#This Row],[Good_Qty]]/Table13[[#This Row],[Planned_Production]]</f>
        <v>0.9306451612903226</v>
      </c>
      <c r="P1102" t="str">
        <f>IF(Table13[[#This Row],[Good_Qty]]&gt;=Table13[[#This Row],[Planned_Production]],"Met","Not Met")</f>
        <v>Not Met</v>
      </c>
      <c r="Q1102">
        <f>Table13[[#This Row],[Good_Qty]]-Table13[[#This Row],[Planned_Production]]</f>
        <v>-43</v>
      </c>
      <c r="R1102" s="3">
        <f>IF(Table13[[#This Row],[Actual_Qty]]=0,0,Table13[[#This Row],[Reject_Qty]]/Table13[[#This Row],[Actual_Qty]])</f>
        <v>3.4542314335060447E-3</v>
      </c>
      <c r="S1102">
        <v>440.31</v>
      </c>
      <c r="T1102">
        <f>(Table13[[#This Row],[Ideal_Cycle_Time_sec]]*Table13[[#This Row],[Actual_Qty]])/(Table13[[#This Row],[Operational_Time_min]]*60)</f>
        <v>0.39449478776316688</v>
      </c>
      <c r="U1102">
        <f>Table13[[#This Row],[Good_Qty]]/Table13[[#This Row],[Actual_Qty]]</f>
        <v>0.99654576856649391</v>
      </c>
      <c r="V1102" t="str">
        <f>IF(OR(Table13[[#This Row],[Performance_%]]&gt;=1,Table13[[#This Row],[Performance_%]]&lt;=0),"Error","OK")</f>
        <v>OK</v>
      </c>
      <c r="W1102" t="str">
        <f>IF(OR(Table13[[#This Row],[Quality_%]]&gt;=1,Table13[[#This Row],[Quality_%]]&lt;=0),"Error","OK")</f>
        <v>OK</v>
      </c>
      <c r="X1102">
        <f>Table13[[#This Row],[Performance_%]]*Table13[[#This Row],[Quality_%]]*[2]Availability_KPI!K1102</f>
        <v>0.38466666666666666</v>
      </c>
      <c r="Y1102" t="str">
        <f>IF(OR(Table13[[#This Row],[OEE_%]]&gt;1,Table13[[#This Row],[OEE_%]]&lt;0),"Error","OK")</f>
        <v>OK</v>
      </c>
    </row>
    <row r="1103" spans="1:25" x14ac:dyDescent="0.2">
      <c r="A1103" t="s">
        <v>1290</v>
      </c>
      <c r="B1103" t="s">
        <v>1285</v>
      </c>
      <c r="C1103" s="2">
        <v>46300</v>
      </c>
      <c r="D1103" t="s">
        <v>67</v>
      </c>
      <c r="E1103" t="s">
        <v>43</v>
      </c>
      <c r="F1103" t="s">
        <v>54</v>
      </c>
      <c r="G1103" t="s">
        <v>47</v>
      </c>
      <c r="H1103">
        <v>585</v>
      </c>
      <c r="I1103">
        <v>575</v>
      </c>
      <c r="J1103">
        <v>10</v>
      </c>
      <c r="K1103">
        <v>32</v>
      </c>
      <c r="L1103">
        <v>34.880000000000003</v>
      </c>
      <c r="M1103">
        <v>340.08</v>
      </c>
      <c r="N1103">
        <f>_xlfn.XLOOKUP(Table13[[#This Row],[Production_Order_ID]],[1]Sheet1!$A$2:$A$391,[1]Sheet1!$F$2:$F$391,"No Match")</f>
        <v>620</v>
      </c>
      <c r="O1103" s="3">
        <f>Table13[[#This Row],[Good_Qty]]/Table13[[#This Row],[Planned_Production]]</f>
        <v>0.92741935483870963</v>
      </c>
      <c r="P1103" t="str">
        <f>IF(Table13[[#This Row],[Good_Qty]]&gt;=Table13[[#This Row],[Planned_Production]],"Met","Not Met")</f>
        <v>Not Met</v>
      </c>
      <c r="Q1103">
        <f>Table13[[#This Row],[Good_Qty]]-Table13[[#This Row],[Planned_Production]]</f>
        <v>-45</v>
      </c>
      <c r="R1103" s="3">
        <f>IF(Table13[[#This Row],[Actual_Qty]]=0,0,Table13[[#This Row],[Reject_Qty]]/Table13[[#This Row],[Actual_Qty]])</f>
        <v>1.7094017094017096E-2</v>
      </c>
      <c r="S1103">
        <v>407.85</v>
      </c>
      <c r="T1103">
        <f>(Table13[[#This Row],[Ideal_Cycle_Time_sec]]*Table13[[#This Row],[Actual_Qty]])/(Table13[[#This Row],[Operational_Time_min]]*60)</f>
        <v>0.76498712762044874</v>
      </c>
      <c r="U1103">
        <f>Table13[[#This Row],[Good_Qty]]/Table13[[#This Row],[Actual_Qty]]</f>
        <v>0.98290598290598286</v>
      </c>
      <c r="V1103" t="str">
        <f>IF(OR(Table13[[#This Row],[Performance_%]]&gt;=1,Table13[[#This Row],[Performance_%]]&lt;=0),"Error","OK")</f>
        <v>OK</v>
      </c>
      <c r="W1103" t="str">
        <f>IF(OR(Table13[[#This Row],[Quality_%]]&gt;=1,Table13[[#This Row],[Quality_%]]&lt;=0),"Error","OK")</f>
        <v>OK</v>
      </c>
      <c r="X1103">
        <f>Table13[[#This Row],[Performance_%]]*Table13[[#This Row],[Quality_%]]*[2]Availability_KPI!K1103</f>
        <v>0.68148148148148158</v>
      </c>
      <c r="Y1103" t="str">
        <f>IF(OR(Table13[[#This Row],[OEE_%]]&gt;1,Table13[[#This Row],[OEE_%]]&lt;0),"Error","OK")</f>
        <v>OK</v>
      </c>
    </row>
    <row r="1104" spans="1:25" x14ac:dyDescent="0.2">
      <c r="A1104" t="s">
        <v>1291</v>
      </c>
      <c r="B1104" t="s">
        <v>1285</v>
      </c>
      <c r="C1104" s="2">
        <v>46300</v>
      </c>
      <c r="D1104" t="s">
        <v>67</v>
      </c>
      <c r="E1104" t="s">
        <v>46</v>
      </c>
      <c r="F1104" t="s">
        <v>54</v>
      </c>
      <c r="G1104" t="s">
        <v>36</v>
      </c>
      <c r="H1104">
        <v>585</v>
      </c>
      <c r="I1104">
        <v>578</v>
      </c>
      <c r="J1104">
        <v>7</v>
      </c>
      <c r="K1104">
        <v>25</v>
      </c>
      <c r="L1104">
        <v>26.7</v>
      </c>
      <c r="M1104">
        <v>260.36</v>
      </c>
      <c r="N1104">
        <f>_xlfn.XLOOKUP(Table13[[#This Row],[Production_Order_ID]],[1]Sheet1!$A$2:$A$391,[1]Sheet1!$F$2:$F$391,"No Match")</f>
        <v>620</v>
      </c>
      <c r="O1104" s="3">
        <f>Table13[[#This Row],[Good_Qty]]/Table13[[#This Row],[Planned_Production]]</f>
        <v>0.93225806451612903</v>
      </c>
      <c r="P1104" t="str">
        <f>IF(Table13[[#This Row],[Good_Qty]]&gt;=Table13[[#This Row],[Planned_Production]],"Met","Not Met")</f>
        <v>Not Met</v>
      </c>
      <c r="Q1104">
        <f>Table13[[#This Row],[Good_Qty]]-Table13[[#This Row],[Planned_Production]]</f>
        <v>-42</v>
      </c>
      <c r="R1104" s="3">
        <f>IF(Table13[[#This Row],[Actual_Qty]]=0,0,Table13[[#This Row],[Reject_Qty]]/Table13[[#This Row],[Actual_Qty]])</f>
        <v>1.1965811965811967E-2</v>
      </c>
      <c r="S1104">
        <v>432.49</v>
      </c>
      <c r="T1104">
        <f>(Table13[[#This Row],[Ideal_Cycle_Time_sec]]*Table13[[#This Row],[Actual_Qty]])/(Table13[[#This Row],[Operational_Time_min]]*60)</f>
        <v>0.56359684616985362</v>
      </c>
      <c r="U1104">
        <f>Table13[[#This Row],[Good_Qty]]/Table13[[#This Row],[Actual_Qty]]</f>
        <v>0.98803418803418808</v>
      </c>
      <c r="V1104" t="str">
        <f>IF(OR(Table13[[#This Row],[Performance_%]]&gt;=1,Table13[[#This Row],[Performance_%]]&lt;=0),"Error","OK")</f>
        <v>OK</v>
      </c>
      <c r="W1104" t="str">
        <f>IF(OR(Table13[[#This Row],[Quality_%]]&gt;=1,Table13[[#This Row],[Quality_%]]&lt;=0),"Error","OK")</f>
        <v>OK</v>
      </c>
      <c r="X1104">
        <f>Table13[[#This Row],[Performance_%]]*Table13[[#This Row],[Quality_%]]*[2]Availability_KPI!K1104</f>
        <v>0.53518518518518521</v>
      </c>
      <c r="Y1104" t="str">
        <f>IF(OR(Table13[[#This Row],[OEE_%]]&gt;1,Table13[[#This Row],[OEE_%]]&lt;0),"Error","OK")</f>
        <v>OK</v>
      </c>
    </row>
    <row r="1105" spans="1:25" x14ac:dyDescent="0.2">
      <c r="A1105" t="s">
        <v>1292</v>
      </c>
      <c r="B1105" t="s">
        <v>1285</v>
      </c>
      <c r="C1105" s="2">
        <v>46300</v>
      </c>
      <c r="D1105" t="s">
        <v>67</v>
      </c>
      <c r="E1105" t="s">
        <v>49</v>
      </c>
      <c r="F1105" t="s">
        <v>54</v>
      </c>
      <c r="G1105" t="s">
        <v>57</v>
      </c>
      <c r="H1105">
        <v>567</v>
      </c>
      <c r="I1105">
        <v>565</v>
      </c>
      <c r="J1105">
        <v>2</v>
      </c>
      <c r="K1105">
        <v>20</v>
      </c>
      <c r="L1105">
        <v>20.49</v>
      </c>
      <c r="M1105">
        <v>193.65</v>
      </c>
      <c r="N1105">
        <f>_xlfn.XLOOKUP(Table13[[#This Row],[Production_Order_ID]],[1]Sheet1!$A$2:$A$391,[1]Sheet1!$F$2:$F$391,"No Match")</f>
        <v>620</v>
      </c>
      <c r="O1105" s="3">
        <f>Table13[[#This Row],[Good_Qty]]/Table13[[#This Row],[Planned_Production]]</f>
        <v>0.91129032258064513</v>
      </c>
      <c r="P1105" t="str">
        <f>IF(Table13[[#This Row],[Good_Qty]]&gt;=Table13[[#This Row],[Planned_Production]],"Met","Not Met")</f>
        <v>Not Met</v>
      </c>
      <c r="Q1105">
        <f>Table13[[#This Row],[Good_Qty]]-Table13[[#This Row],[Planned_Production]]</f>
        <v>-55</v>
      </c>
      <c r="R1105" s="3">
        <f>IF(Table13[[#This Row],[Actual_Qty]]=0,0,Table13[[#This Row],[Reject_Qty]]/Table13[[#This Row],[Actual_Qty]])</f>
        <v>3.5273368606701938E-3</v>
      </c>
      <c r="S1105">
        <v>440.52</v>
      </c>
      <c r="T1105">
        <f>(Table13[[#This Row],[Ideal_Cycle_Time_sec]]*Table13[[#This Row],[Actual_Qty]])/(Table13[[#This Row],[Operational_Time_min]]*60)</f>
        <v>0.42903840915281943</v>
      </c>
      <c r="U1105">
        <f>Table13[[#This Row],[Good_Qty]]/Table13[[#This Row],[Actual_Qty]]</f>
        <v>0.99647266313932981</v>
      </c>
      <c r="V1105" t="str">
        <f>IF(OR(Table13[[#This Row],[Performance_%]]&gt;=1,Table13[[#This Row],[Performance_%]]&lt;=0),"Error","OK")</f>
        <v>OK</v>
      </c>
      <c r="W1105" t="str">
        <f>IF(OR(Table13[[#This Row],[Quality_%]]&gt;=1,Table13[[#This Row],[Quality_%]]&lt;=0),"Error","OK")</f>
        <v>OK</v>
      </c>
      <c r="X1105">
        <f>Table13[[#This Row],[Performance_%]]*Table13[[#This Row],[Quality_%]]*[2]Availability_KPI!K1105</f>
        <v>0.41851851851851857</v>
      </c>
      <c r="Y1105" t="str">
        <f>IF(OR(Table13[[#This Row],[OEE_%]]&gt;1,Table13[[#This Row],[OEE_%]]&lt;0),"Error","OK")</f>
        <v>OK</v>
      </c>
    </row>
    <row r="1106" spans="1:25" x14ac:dyDescent="0.2">
      <c r="A1106" t="s">
        <v>1293</v>
      </c>
      <c r="B1106" t="s">
        <v>1294</v>
      </c>
      <c r="C1106" s="2">
        <v>46301</v>
      </c>
      <c r="D1106" t="s">
        <v>27</v>
      </c>
      <c r="E1106" t="s">
        <v>28</v>
      </c>
      <c r="F1106" t="s">
        <v>29</v>
      </c>
      <c r="G1106" t="s">
        <v>75</v>
      </c>
      <c r="H1106">
        <v>532</v>
      </c>
      <c r="I1106">
        <v>529</v>
      </c>
      <c r="J1106">
        <v>3</v>
      </c>
      <c r="K1106">
        <v>19.8</v>
      </c>
      <c r="L1106">
        <v>20.54</v>
      </c>
      <c r="M1106">
        <v>182.11</v>
      </c>
      <c r="N1106">
        <f>_xlfn.XLOOKUP(Table13[[#This Row],[Production_Order_ID]],[1]Sheet1!$A$2:$A$391,[1]Sheet1!$F$2:$F$391,"No Match")</f>
        <v>440</v>
      </c>
      <c r="O1106" s="3">
        <f>Table13[[#This Row],[Good_Qty]]/Table13[[#This Row],[Planned_Production]]</f>
        <v>1.2022727272727274</v>
      </c>
      <c r="P1106" t="str">
        <f>IF(Table13[[#This Row],[Good_Qty]]&gt;=Table13[[#This Row],[Planned_Production]],"Met","Not Met")</f>
        <v>Met</v>
      </c>
      <c r="Q1106">
        <f>Table13[[#This Row],[Good_Qty]]-Table13[[#This Row],[Planned_Production]]</f>
        <v>89</v>
      </c>
      <c r="R1106" s="3">
        <f>IF(Table13[[#This Row],[Actual_Qty]]=0,0,Table13[[#This Row],[Reject_Qty]]/Table13[[#This Row],[Actual_Qty]])</f>
        <v>5.6390977443609019E-3</v>
      </c>
      <c r="S1106">
        <v>442.28</v>
      </c>
      <c r="T1106">
        <f>(Table13[[#This Row],[Ideal_Cycle_Time_sec]]*Table13[[#This Row],[Actual_Qty]])/(Table13[[#This Row],[Operational_Time_min]]*60)</f>
        <v>0.39694311296011581</v>
      </c>
      <c r="U1106">
        <f>Table13[[#This Row],[Good_Qty]]/Table13[[#This Row],[Actual_Qty]]</f>
        <v>0.99436090225563911</v>
      </c>
      <c r="V1106" t="str">
        <f>IF(OR(Table13[[#This Row],[Performance_%]]&gt;=1,Table13[[#This Row],[Performance_%]]&lt;=0),"Error","OK")</f>
        <v>OK</v>
      </c>
      <c r="W1106" t="str">
        <f>IF(OR(Table13[[#This Row],[Quality_%]]&gt;=1,Table13[[#This Row],[Quality_%]]&lt;=0),"Error","OK")</f>
        <v>OK</v>
      </c>
      <c r="X1106">
        <f>Table13[[#This Row],[Performance_%]]*Table13[[#This Row],[Quality_%]]*[2]Availability_KPI!K1106</f>
        <v>0.38793333333333335</v>
      </c>
      <c r="Y1106" t="str">
        <f>IF(OR(Table13[[#This Row],[OEE_%]]&gt;1,Table13[[#This Row],[OEE_%]]&lt;0),"Error","OK")</f>
        <v>OK</v>
      </c>
    </row>
    <row r="1107" spans="1:25" x14ac:dyDescent="0.2">
      <c r="A1107" t="s">
        <v>1295</v>
      </c>
      <c r="B1107" t="s">
        <v>1294</v>
      </c>
      <c r="C1107" s="2">
        <v>46301</v>
      </c>
      <c r="D1107" t="s">
        <v>27</v>
      </c>
      <c r="E1107" t="s">
        <v>32</v>
      </c>
      <c r="F1107" t="s">
        <v>29</v>
      </c>
      <c r="G1107" t="s">
        <v>57</v>
      </c>
      <c r="H1107">
        <v>542</v>
      </c>
      <c r="I1107">
        <v>535</v>
      </c>
      <c r="J1107">
        <v>7</v>
      </c>
      <c r="K1107">
        <v>22</v>
      </c>
      <c r="L1107">
        <v>22.84</v>
      </c>
      <c r="M1107">
        <v>206.29</v>
      </c>
      <c r="N1107">
        <f>_xlfn.XLOOKUP(Table13[[#This Row],[Production_Order_ID]],[1]Sheet1!$A$2:$A$391,[1]Sheet1!$F$2:$F$391,"No Match")</f>
        <v>440</v>
      </c>
      <c r="O1107" s="3">
        <f>Table13[[#This Row],[Good_Qty]]/Table13[[#This Row],[Planned_Production]]</f>
        <v>1.2159090909090908</v>
      </c>
      <c r="P1107" t="str">
        <f>IF(Table13[[#This Row],[Good_Qty]]&gt;=Table13[[#This Row],[Planned_Production]],"Met","Not Met")</f>
        <v>Met</v>
      </c>
      <c r="Q1107">
        <f>Table13[[#This Row],[Good_Qty]]-Table13[[#This Row],[Planned_Production]]</f>
        <v>95</v>
      </c>
      <c r="R1107" s="3">
        <f>IF(Table13[[#This Row],[Actual_Qty]]=0,0,Table13[[#This Row],[Reject_Qty]]/Table13[[#This Row],[Actual_Qty]])</f>
        <v>1.2915129151291513E-2</v>
      </c>
      <c r="S1107">
        <v>439.54</v>
      </c>
      <c r="T1107">
        <f>(Table13[[#This Row],[Ideal_Cycle_Time_sec]]*Table13[[#This Row],[Actual_Qty]])/(Table13[[#This Row],[Operational_Time_min]]*60)</f>
        <v>0.45213935781347164</v>
      </c>
      <c r="U1107">
        <f>Table13[[#This Row],[Good_Qty]]/Table13[[#This Row],[Actual_Qty]]</f>
        <v>0.98708487084870844</v>
      </c>
      <c r="V1107" t="str">
        <f>IF(OR(Table13[[#This Row],[Performance_%]]&gt;=1,Table13[[#This Row],[Performance_%]]&lt;=0),"Error","OK")</f>
        <v>OK</v>
      </c>
      <c r="W1107" t="str">
        <f>IF(OR(Table13[[#This Row],[Quality_%]]&gt;=1,Table13[[#This Row],[Quality_%]]&lt;=0),"Error","OK")</f>
        <v>OK</v>
      </c>
      <c r="X1107">
        <f>Table13[[#This Row],[Performance_%]]*Table13[[#This Row],[Quality_%]]*[2]Availability_KPI!K1107</f>
        <v>0.43592592592592594</v>
      </c>
      <c r="Y1107" t="str">
        <f>IF(OR(Table13[[#This Row],[OEE_%]]&gt;1,Table13[[#This Row],[OEE_%]]&lt;0),"Error","OK")</f>
        <v>OK</v>
      </c>
    </row>
    <row r="1108" spans="1:25" x14ac:dyDescent="0.2">
      <c r="A1108" t="s">
        <v>1296</v>
      </c>
      <c r="B1108" t="s">
        <v>1294</v>
      </c>
      <c r="C1108" s="2">
        <v>46301</v>
      </c>
      <c r="D1108" t="s">
        <v>27</v>
      </c>
      <c r="E1108" t="s">
        <v>35</v>
      </c>
      <c r="F1108" t="s">
        <v>29</v>
      </c>
      <c r="G1108" t="s">
        <v>57</v>
      </c>
      <c r="H1108">
        <v>520</v>
      </c>
      <c r="I1108">
        <v>517</v>
      </c>
      <c r="J1108">
        <v>3</v>
      </c>
      <c r="K1108">
        <v>24.2</v>
      </c>
      <c r="L1108">
        <v>25.23</v>
      </c>
      <c r="M1108">
        <v>218.69</v>
      </c>
      <c r="N1108">
        <f>_xlfn.XLOOKUP(Table13[[#This Row],[Production_Order_ID]],[1]Sheet1!$A$2:$A$391,[1]Sheet1!$F$2:$F$391,"No Match")</f>
        <v>440</v>
      </c>
      <c r="O1108" s="3">
        <f>Table13[[#This Row],[Good_Qty]]/Table13[[#This Row],[Planned_Production]]</f>
        <v>1.175</v>
      </c>
      <c r="P1108" t="str">
        <f>IF(Table13[[#This Row],[Good_Qty]]&gt;=Table13[[#This Row],[Planned_Production]],"Met","Not Met")</f>
        <v>Met</v>
      </c>
      <c r="Q1108">
        <f>Table13[[#This Row],[Good_Qty]]-Table13[[#This Row],[Planned_Production]]</f>
        <v>77</v>
      </c>
      <c r="R1108" s="3">
        <f>IF(Table13[[#This Row],[Actual_Qty]]=0,0,Table13[[#This Row],[Reject_Qty]]/Table13[[#This Row],[Actual_Qty]])</f>
        <v>5.7692307692307696E-3</v>
      </c>
      <c r="S1108">
        <v>432.3</v>
      </c>
      <c r="T1108">
        <f>(Table13[[#This Row],[Ideal_Cycle_Time_sec]]*Table13[[#This Row],[Actual_Qty]])/(Table13[[#This Row],[Operational_Time_min]]*60)</f>
        <v>0.48515691263782867</v>
      </c>
      <c r="U1108">
        <f>Table13[[#This Row],[Good_Qty]]/Table13[[#This Row],[Actual_Qty]]</f>
        <v>0.99423076923076925</v>
      </c>
      <c r="V1108" t="str">
        <f>IF(OR(Table13[[#This Row],[Performance_%]]&gt;=1,Table13[[#This Row],[Performance_%]]&lt;=0),"Error","OK")</f>
        <v>OK</v>
      </c>
      <c r="W1108" t="str">
        <f>IF(OR(Table13[[#This Row],[Quality_%]]&gt;=1,Table13[[#This Row],[Quality_%]]&lt;=0),"Error","OK")</f>
        <v>OK</v>
      </c>
      <c r="X1108">
        <f>Table13[[#This Row],[Performance_%]]*Table13[[#This Row],[Quality_%]]*[2]Availability_KPI!K1108</f>
        <v>0.46338518518518518</v>
      </c>
      <c r="Y1108" t="str">
        <f>IF(OR(Table13[[#This Row],[OEE_%]]&gt;1,Table13[[#This Row],[OEE_%]]&lt;0),"Error","OK")</f>
        <v>OK</v>
      </c>
    </row>
    <row r="1109" spans="1:25" x14ac:dyDescent="0.2">
      <c r="A1109" t="s">
        <v>1297</v>
      </c>
      <c r="B1109" t="s">
        <v>1294</v>
      </c>
      <c r="C1109" s="2">
        <v>46301</v>
      </c>
      <c r="D1109" t="s">
        <v>27</v>
      </c>
      <c r="E1109" t="s">
        <v>38</v>
      </c>
      <c r="F1109" t="s">
        <v>29</v>
      </c>
      <c r="G1109" t="s">
        <v>33</v>
      </c>
      <c r="H1109">
        <v>527</v>
      </c>
      <c r="I1109">
        <v>523</v>
      </c>
      <c r="J1109">
        <v>4</v>
      </c>
      <c r="K1109">
        <v>22</v>
      </c>
      <c r="L1109">
        <v>22.34</v>
      </c>
      <c r="M1109">
        <v>196.23</v>
      </c>
      <c r="N1109">
        <f>_xlfn.XLOOKUP(Table13[[#This Row],[Production_Order_ID]],[1]Sheet1!$A$2:$A$391,[1]Sheet1!$F$2:$F$391,"No Match")</f>
        <v>440</v>
      </c>
      <c r="O1109" s="3">
        <f>Table13[[#This Row],[Good_Qty]]/Table13[[#This Row],[Planned_Production]]</f>
        <v>1.1886363636363637</v>
      </c>
      <c r="P1109" t="str">
        <f>IF(Table13[[#This Row],[Good_Qty]]&gt;=Table13[[#This Row],[Planned_Production]],"Met","Not Met")</f>
        <v>Met</v>
      </c>
      <c r="Q1109">
        <f>Table13[[#This Row],[Good_Qty]]-Table13[[#This Row],[Planned_Production]]</f>
        <v>83</v>
      </c>
      <c r="R1109" s="3">
        <f>IF(Table13[[#This Row],[Actual_Qty]]=0,0,Table13[[#This Row],[Reject_Qty]]/Table13[[#This Row],[Actual_Qty]])</f>
        <v>7.5901328273244783E-3</v>
      </c>
      <c r="S1109">
        <v>438.87</v>
      </c>
      <c r="T1109">
        <f>(Table13[[#This Row],[Ideal_Cycle_Time_sec]]*Table13[[#This Row],[Actual_Qty]])/(Table13[[#This Row],[Operational_Time_min]]*60)</f>
        <v>0.44029743052232628</v>
      </c>
      <c r="U1109">
        <f>Table13[[#This Row],[Good_Qty]]/Table13[[#This Row],[Actual_Qty]]</f>
        <v>0.99240986717267554</v>
      </c>
      <c r="V1109" t="str">
        <f>IF(OR(Table13[[#This Row],[Performance_%]]&gt;=1,Table13[[#This Row],[Performance_%]]&lt;=0),"Error","OK")</f>
        <v>OK</v>
      </c>
      <c r="W1109" t="str">
        <f>IF(OR(Table13[[#This Row],[Quality_%]]&gt;=1,Table13[[#This Row],[Quality_%]]&lt;=0),"Error","OK")</f>
        <v>OK</v>
      </c>
      <c r="X1109">
        <f>Table13[[#This Row],[Performance_%]]*Table13[[#This Row],[Quality_%]]*[2]Availability_KPI!K1109</f>
        <v>0.42614814814814822</v>
      </c>
      <c r="Y1109" t="str">
        <f>IF(OR(Table13[[#This Row],[OEE_%]]&gt;1,Table13[[#This Row],[OEE_%]]&lt;0),"Error","OK")</f>
        <v>OK</v>
      </c>
    </row>
    <row r="1110" spans="1:25" x14ac:dyDescent="0.2">
      <c r="A1110" t="s">
        <v>1298</v>
      </c>
      <c r="B1110" t="s">
        <v>1294</v>
      </c>
      <c r="C1110" s="2">
        <v>46301</v>
      </c>
      <c r="D1110" t="s">
        <v>27</v>
      </c>
      <c r="E1110" t="s">
        <v>41</v>
      </c>
      <c r="F1110" t="s">
        <v>29</v>
      </c>
      <c r="G1110" t="s">
        <v>47</v>
      </c>
      <c r="H1110">
        <v>529</v>
      </c>
      <c r="I1110">
        <v>526</v>
      </c>
      <c r="J1110">
        <v>3</v>
      </c>
      <c r="K1110">
        <v>19.8</v>
      </c>
      <c r="L1110">
        <v>20.64</v>
      </c>
      <c r="M1110">
        <v>182.02</v>
      </c>
      <c r="N1110">
        <f>_xlfn.XLOOKUP(Table13[[#This Row],[Production_Order_ID]],[1]Sheet1!$A$2:$A$391,[1]Sheet1!$F$2:$F$391,"No Match")</f>
        <v>440</v>
      </c>
      <c r="O1110" s="3">
        <f>Table13[[#This Row],[Good_Qty]]/Table13[[#This Row],[Planned_Production]]</f>
        <v>1.1954545454545455</v>
      </c>
      <c r="P1110" t="str">
        <f>IF(Table13[[#This Row],[Good_Qty]]&gt;=Table13[[#This Row],[Planned_Production]],"Met","Not Met")</f>
        <v>Met</v>
      </c>
      <c r="Q1110">
        <f>Table13[[#This Row],[Good_Qty]]-Table13[[#This Row],[Planned_Production]]</f>
        <v>86</v>
      </c>
      <c r="R1110" s="3">
        <f>IF(Table13[[#This Row],[Actual_Qty]]=0,0,Table13[[#This Row],[Reject_Qty]]/Table13[[#This Row],[Actual_Qty]])</f>
        <v>5.6710775047258983E-3</v>
      </c>
      <c r="S1110">
        <v>437.05</v>
      </c>
      <c r="T1110">
        <f>(Table13[[#This Row],[Ideal_Cycle_Time_sec]]*Table13[[#This Row],[Actual_Qty]])/(Table13[[#This Row],[Operational_Time_min]]*60)</f>
        <v>0.39942798306829885</v>
      </c>
      <c r="U1110">
        <f>Table13[[#This Row],[Good_Qty]]/Table13[[#This Row],[Actual_Qty]]</f>
        <v>0.99432892249527405</v>
      </c>
      <c r="V1110" t="str">
        <f>IF(OR(Table13[[#This Row],[Performance_%]]&gt;=1,Table13[[#This Row],[Performance_%]]&lt;=0),"Error","OK")</f>
        <v>OK</v>
      </c>
      <c r="W1110" t="str">
        <f>IF(OR(Table13[[#This Row],[Quality_%]]&gt;=1,Table13[[#This Row],[Quality_%]]&lt;=0),"Error","OK")</f>
        <v>OK</v>
      </c>
      <c r="X1110">
        <f>Table13[[#This Row],[Performance_%]]*Table13[[#This Row],[Quality_%]]*[2]Availability_KPI!K1110</f>
        <v>0.38573333333333332</v>
      </c>
      <c r="Y1110" t="str">
        <f>IF(OR(Table13[[#This Row],[OEE_%]]&gt;1,Table13[[#This Row],[OEE_%]]&lt;0),"Error","OK")</f>
        <v>OK</v>
      </c>
    </row>
    <row r="1111" spans="1:25" x14ac:dyDescent="0.2">
      <c r="A1111" t="s">
        <v>1299</v>
      </c>
      <c r="B1111" t="s">
        <v>1294</v>
      </c>
      <c r="C1111" s="2">
        <v>46301</v>
      </c>
      <c r="D1111" t="s">
        <v>27</v>
      </c>
      <c r="E1111" t="s">
        <v>43</v>
      </c>
      <c r="F1111" t="s">
        <v>29</v>
      </c>
      <c r="G1111" t="s">
        <v>71</v>
      </c>
      <c r="H1111">
        <v>533</v>
      </c>
      <c r="I1111">
        <v>527</v>
      </c>
      <c r="J1111">
        <v>6</v>
      </c>
      <c r="K1111">
        <v>35.200000000000003</v>
      </c>
      <c r="L1111">
        <v>37.03</v>
      </c>
      <c r="M1111">
        <v>328.99</v>
      </c>
      <c r="N1111">
        <f>_xlfn.XLOOKUP(Table13[[#This Row],[Production_Order_ID]],[1]Sheet1!$A$2:$A$391,[1]Sheet1!$F$2:$F$391,"No Match")</f>
        <v>440</v>
      </c>
      <c r="O1111" s="3">
        <f>Table13[[#This Row],[Good_Qty]]/Table13[[#This Row],[Planned_Production]]</f>
        <v>1.1977272727272728</v>
      </c>
      <c r="P1111" t="str">
        <f>IF(Table13[[#This Row],[Good_Qty]]&gt;=Table13[[#This Row],[Planned_Production]],"Met","Not Met")</f>
        <v>Met</v>
      </c>
      <c r="Q1111">
        <f>Table13[[#This Row],[Good_Qty]]-Table13[[#This Row],[Planned_Production]]</f>
        <v>87</v>
      </c>
      <c r="R1111" s="3">
        <f>IF(Table13[[#This Row],[Actual_Qty]]=0,0,Table13[[#This Row],[Reject_Qty]]/Table13[[#This Row],[Actual_Qty]])</f>
        <v>1.125703564727955E-2</v>
      </c>
      <c r="S1111">
        <v>415.92</v>
      </c>
      <c r="T1111">
        <f>(Table13[[#This Row],[Ideal_Cycle_Time_sec]]*Table13[[#This Row],[Actual_Qty]])/(Table13[[#This Row],[Operational_Time_min]]*60)</f>
        <v>0.75181124575238834</v>
      </c>
      <c r="U1111">
        <f>Table13[[#This Row],[Good_Qty]]/Table13[[#This Row],[Actual_Qty]]</f>
        <v>0.98874296435272047</v>
      </c>
      <c r="V1111" t="str">
        <f>IF(OR(Table13[[#This Row],[Performance_%]]&gt;=1,Table13[[#This Row],[Performance_%]]&lt;=0),"Error","OK")</f>
        <v>OK</v>
      </c>
      <c r="W1111" t="str">
        <f>IF(OR(Table13[[#This Row],[Quality_%]]&gt;=1,Table13[[#This Row],[Quality_%]]&lt;=0),"Error","OK")</f>
        <v>OK</v>
      </c>
      <c r="X1111">
        <f>Table13[[#This Row],[Performance_%]]*Table13[[#This Row],[Quality_%]]*[2]Availability_KPI!K1111</f>
        <v>0.68705185185185191</v>
      </c>
      <c r="Y1111" t="str">
        <f>IF(OR(Table13[[#This Row],[OEE_%]]&gt;1,Table13[[#This Row],[OEE_%]]&lt;0),"Error","OK")</f>
        <v>OK</v>
      </c>
    </row>
    <row r="1112" spans="1:25" x14ac:dyDescent="0.2">
      <c r="A1112" t="s">
        <v>1300</v>
      </c>
      <c r="B1112" t="s">
        <v>1294</v>
      </c>
      <c r="C1112" s="2">
        <v>46301</v>
      </c>
      <c r="D1112" t="s">
        <v>27</v>
      </c>
      <c r="E1112" t="s">
        <v>46</v>
      </c>
      <c r="F1112" t="s">
        <v>29</v>
      </c>
      <c r="G1112" t="s">
        <v>39</v>
      </c>
      <c r="H1112">
        <v>526</v>
      </c>
      <c r="I1112">
        <v>519</v>
      </c>
      <c r="J1112">
        <v>7</v>
      </c>
      <c r="K1112">
        <v>27.5</v>
      </c>
      <c r="L1112">
        <v>29.36</v>
      </c>
      <c r="M1112">
        <v>257.43</v>
      </c>
      <c r="N1112">
        <f>_xlfn.XLOOKUP(Table13[[#This Row],[Production_Order_ID]],[1]Sheet1!$A$2:$A$391,[1]Sheet1!$F$2:$F$391,"No Match")</f>
        <v>440</v>
      </c>
      <c r="O1112" s="3">
        <f>Table13[[#This Row],[Good_Qty]]/Table13[[#This Row],[Planned_Production]]</f>
        <v>1.1795454545454545</v>
      </c>
      <c r="P1112" t="str">
        <f>IF(Table13[[#This Row],[Good_Qty]]&gt;=Table13[[#This Row],[Planned_Production]],"Met","Not Met")</f>
        <v>Met</v>
      </c>
      <c r="Q1112">
        <f>Table13[[#This Row],[Good_Qty]]-Table13[[#This Row],[Planned_Production]]</f>
        <v>79</v>
      </c>
      <c r="R1112" s="3">
        <f>IF(Table13[[#This Row],[Actual_Qty]]=0,0,Table13[[#This Row],[Reject_Qty]]/Table13[[#This Row],[Actual_Qty]])</f>
        <v>1.3307984790874524E-2</v>
      </c>
      <c r="S1112">
        <v>431.45</v>
      </c>
      <c r="T1112">
        <f>(Table13[[#This Row],[Ideal_Cycle_Time_sec]]*Table13[[#This Row],[Actual_Qty]])/(Table13[[#This Row],[Operational_Time_min]]*60)</f>
        <v>0.55877467454706997</v>
      </c>
      <c r="U1112">
        <f>Table13[[#This Row],[Good_Qty]]/Table13[[#This Row],[Actual_Qty]]</f>
        <v>0.98669201520912553</v>
      </c>
      <c r="V1112" t="str">
        <f>IF(OR(Table13[[#This Row],[Performance_%]]&gt;=1,Table13[[#This Row],[Performance_%]]&lt;=0),"Error","OK")</f>
        <v>OK</v>
      </c>
      <c r="W1112" t="str">
        <f>IF(OR(Table13[[#This Row],[Quality_%]]&gt;=1,Table13[[#This Row],[Quality_%]]&lt;=0),"Error","OK")</f>
        <v>OK</v>
      </c>
      <c r="X1112">
        <f>Table13[[#This Row],[Performance_%]]*Table13[[#This Row],[Quality_%]]*[2]Availability_KPI!K1112</f>
        <v>0.52861111111111114</v>
      </c>
      <c r="Y1112" t="str">
        <f>IF(OR(Table13[[#This Row],[OEE_%]]&gt;1,Table13[[#This Row],[OEE_%]]&lt;0),"Error","OK")</f>
        <v>OK</v>
      </c>
    </row>
    <row r="1113" spans="1:25" x14ac:dyDescent="0.2">
      <c r="A1113" t="s">
        <v>1301</v>
      </c>
      <c r="B1113" t="s">
        <v>1294</v>
      </c>
      <c r="C1113" s="2">
        <v>46301</v>
      </c>
      <c r="D1113" t="s">
        <v>27</v>
      </c>
      <c r="E1113" t="s">
        <v>49</v>
      </c>
      <c r="F1113" t="s">
        <v>29</v>
      </c>
      <c r="G1113" t="s">
        <v>61</v>
      </c>
      <c r="H1113">
        <v>546</v>
      </c>
      <c r="I1113">
        <v>542</v>
      </c>
      <c r="J1113">
        <v>4</v>
      </c>
      <c r="K1113">
        <v>22</v>
      </c>
      <c r="L1113">
        <v>23.03</v>
      </c>
      <c r="M1113">
        <v>209.62</v>
      </c>
      <c r="N1113">
        <f>_xlfn.XLOOKUP(Table13[[#This Row],[Production_Order_ID]],[1]Sheet1!$A$2:$A$391,[1]Sheet1!$F$2:$F$391,"No Match")</f>
        <v>440</v>
      </c>
      <c r="O1113" s="3">
        <f>Table13[[#This Row],[Good_Qty]]/Table13[[#This Row],[Planned_Production]]</f>
        <v>1.2318181818181819</v>
      </c>
      <c r="P1113" t="str">
        <f>IF(Table13[[#This Row],[Good_Qty]]&gt;=Table13[[#This Row],[Planned_Production]],"Met","Not Met")</f>
        <v>Met</v>
      </c>
      <c r="Q1113">
        <f>Table13[[#This Row],[Good_Qty]]-Table13[[#This Row],[Planned_Production]]</f>
        <v>102</v>
      </c>
      <c r="R1113" s="3">
        <f>IF(Table13[[#This Row],[Actual_Qty]]=0,0,Table13[[#This Row],[Reject_Qty]]/Table13[[#This Row],[Actual_Qty]])</f>
        <v>7.326007326007326E-3</v>
      </c>
      <c r="S1113">
        <v>441.53</v>
      </c>
      <c r="T1113">
        <f>(Table13[[#This Row],[Ideal_Cycle_Time_sec]]*Table13[[#This Row],[Actual_Qty]])/(Table13[[#This Row],[Operational_Time_min]]*60)</f>
        <v>0.45342332344348063</v>
      </c>
      <c r="U1113">
        <f>Table13[[#This Row],[Good_Qty]]/Table13[[#This Row],[Actual_Qty]]</f>
        <v>0.9926739926739927</v>
      </c>
      <c r="V1113" t="str">
        <f>IF(OR(Table13[[#This Row],[Performance_%]]&gt;=1,Table13[[#This Row],[Performance_%]]&lt;=0),"Error","OK")</f>
        <v>OK</v>
      </c>
      <c r="W1113" t="str">
        <f>IF(OR(Table13[[#This Row],[Quality_%]]&gt;=1,Table13[[#This Row],[Quality_%]]&lt;=0),"Error","OK")</f>
        <v>OK</v>
      </c>
      <c r="X1113">
        <f>Table13[[#This Row],[Performance_%]]*Table13[[#This Row],[Quality_%]]*[2]Availability_KPI!K1113</f>
        <v>0.44162962962962959</v>
      </c>
      <c r="Y1113" t="str">
        <f>IF(OR(Table13[[#This Row],[OEE_%]]&gt;1,Table13[[#This Row],[OEE_%]]&lt;0),"Error","OK")</f>
        <v>OK</v>
      </c>
    </row>
    <row r="1114" spans="1:25" x14ac:dyDescent="0.2">
      <c r="A1114" t="s">
        <v>1302</v>
      </c>
      <c r="B1114" t="s">
        <v>1303</v>
      </c>
      <c r="C1114" s="2">
        <v>46301</v>
      </c>
      <c r="D1114" t="s">
        <v>53</v>
      </c>
      <c r="E1114" t="s">
        <v>28</v>
      </c>
      <c r="F1114" t="s">
        <v>29</v>
      </c>
      <c r="G1114" t="s">
        <v>55</v>
      </c>
      <c r="H1114">
        <v>510</v>
      </c>
      <c r="I1114">
        <v>507</v>
      </c>
      <c r="J1114">
        <v>3</v>
      </c>
      <c r="K1114">
        <v>19.8</v>
      </c>
      <c r="L1114">
        <v>20.57</v>
      </c>
      <c r="M1114">
        <v>174.82</v>
      </c>
      <c r="N1114">
        <f>_xlfn.XLOOKUP(Table13[[#This Row],[Production_Order_ID]],[1]Sheet1!$A$2:$A$391,[1]Sheet1!$F$2:$F$391,"No Match")</f>
        <v>660</v>
      </c>
      <c r="O1114" s="3">
        <f>Table13[[#This Row],[Good_Qty]]/Table13[[#This Row],[Planned_Production]]</f>
        <v>0.76818181818181819</v>
      </c>
      <c r="P1114" t="str">
        <f>IF(Table13[[#This Row],[Good_Qty]]&gt;=Table13[[#This Row],[Planned_Production]],"Met","Not Met")</f>
        <v>Not Met</v>
      </c>
      <c r="Q1114">
        <f>Table13[[#This Row],[Good_Qty]]-Table13[[#This Row],[Planned_Production]]</f>
        <v>-153</v>
      </c>
      <c r="R1114" s="3">
        <f>IF(Table13[[#This Row],[Actual_Qty]]=0,0,Table13[[#This Row],[Reject_Qty]]/Table13[[#This Row],[Actual_Qty]])</f>
        <v>5.8823529411764705E-3</v>
      </c>
      <c r="S1114">
        <v>442.39</v>
      </c>
      <c r="T1114">
        <f>(Table13[[#This Row],[Ideal_Cycle_Time_sec]]*Table13[[#This Row],[Actual_Qty]])/(Table13[[#This Row],[Operational_Time_min]]*60)</f>
        <v>0.38043355410384505</v>
      </c>
      <c r="U1114">
        <f>Table13[[#This Row],[Good_Qty]]/Table13[[#This Row],[Actual_Qty]]</f>
        <v>0.99411764705882355</v>
      </c>
      <c r="V1114" t="str">
        <f>IF(OR(Table13[[#This Row],[Performance_%]]&gt;=1,Table13[[#This Row],[Performance_%]]&lt;=0),"Error","OK")</f>
        <v>OK</v>
      </c>
      <c r="W1114" t="str">
        <f>IF(OR(Table13[[#This Row],[Quality_%]]&gt;=1,Table13[[#This Row],[Quality_%]]&lt;=0),"Error","OK")</f>
        <v>OK</v>
      </c>
      <c r="X1114">
        <f>Table13[[#This Row],[Performance_%]]*Table13[[#This Row],[Quality_%]]*[2]Availability_KPI!K1114</f>
        <v>0.37180000000000002</v>
      </c>
      <c r="Y1114" t="str">
        <f>IF(OR(Table13[[#This Row],[OEE_%]]&gt;1,Table13[[#This Row],[OEE_%]]&lt;0),"Error","OK")</f>
        <v>OK</v>
      </c>
    </row>
    <row r="1115" spans="1:25" x14ac:dyDescent="0.2">
      <c r="A1115" t="s">
        <v>1304</v>
      </c>
      <c r="B1115" t="s">
        <v>1303</v>
      </c>
      <c r="C1115" s="2">
        <v>46301</v>
      </c>
      <c r="D1115" t="s">
        <v>53</v>
      </c>
      <c r="E1115" t="s">
        <v>32</v>
      </c>
      <c r="F1115" t="s">
        <v>29</v>
      </c>
      <c r="G1115" t="s">
        <v>36</v>
      </c>
      <c r="H1115">
        <v>515</v>
      </c>
      <c r="I1115">
        <v>513</v>
      </c>
      <c r="J1115">
        <v>2</v>
      </c>
      <c r="K1115">
        <v>22</v>
      </c>
      <c r="L1115">
        <v>22.12</v>
      </c>
      <c r="M1115">
        <v>189.86</v>
      </c>
      <c r="N1115">
        <f>_xlfn.XLOOKUP(Table13[[#This Row],[Production_Order_ID]],[1]Sheet1!$A$2:$A$391,[1]Sheet1!$F$2:$F$391,"No Match")</f>
        <v>660</v>
      </c>
      <c r="O1115" s="3">
        <f>Table13[[#This Row],[Good_Qty]]/Table13[[#This Row],[Planned_Production]]</f>
        <v>0.77727272727272723</v>
      </c>
      <c r="P1115" t="str">
        <f>IF(Table13[[#This Row],[Good_Qty]]&gt;=Table13[[#This Row],[Planned_Production]],"Met","Not Met")</f>
        <v>Not Met</v>
      </c>
      <c r="Q1115">
        <f>Table13[[#This Row],[Good_Qty]]-Table13[[#This Row],[Planned_Production]]</f>
        <v>-147</v>
      </c>
      <c r="R1115" s="3">
        <f>IF(Table13[[#This Row],[Actual_Qty]]=0,0,Table13[[#This Row],[Reject_Qty]]/Table13[[#This Row],[Actual_Qty]])</f>
        <v>3.8834951456310678E-3</v>
      </c>
      <c r="S1115">
        <v>441.4</v>
      </c>
      <c r="T1115">
        <f>(Table13[[#This Row],[Ideal_Cycle_Time_sec]]*Table13[[#This Row],[Actual_Qty]])/(Table13[[#This Row],[Operational_Time_min]]*60)</f>
        <v>0.42780546745204651</v>
      </c>
      <c r="U1115">
        <f>Table13[[#This Row],[Good_Qty]]/Table13[[#This Row],[Actual_Qty]]</f>
        <v>0.99611650485436898</v>
      </c>
      <c r="V1115" t="str">
        <f>IF(OR(Table13[[#This Row],[Performance_%]]&gt;=1,Table13[[#This Row],[Performance_%]]&lt;=0),"Error","OK")</f>
        <v>OK</v>
      </c>
      <c r="W1115" t="str">
        <f>IF(OR(Table13[[#This Row],[Quality_%]]&gt;=1,Table13[[#This Row],[Quality_%]]&lt;=0),"Error","OK")</f>
        <v>OK</v>
      </c>
      <c r="X1115">
        <f>Table13[[#This Row],[Performance_%]]*Table13[[#This Row],[Quality_%]]*[2]Availability_KPI!K1115</f>
        <v>0.41799999999999998</v>
      </c>
      <c r="Y1115" t="str">
        <f>IF(OR(Table13[[#This Row],[OEE_%]]&gt;1,Table13[[#This Row],[OEE_%]]&lt;0),"Error","OK")</f>
        <v>OK</v>
      </c>
    </row>
    <row r="1116" spans="1:25" x14ac:dyDescent="0.2">
      <c r="A1116" t="s">
        <v>1305</v>
      </c>
      <c r="B1116" t="s">
        <v>1303</v>
      </c>
      <c r="C1116" s="2">
        <v>46301</v>
      </c>
      <c r="D1116" t="s">
        <v>53</v>
      </c>
      <c r="E1116" t="s">
        <v>35</v>
      </c>
      <c r="F1116" t="s">
        <v>29</v>
      </c>
      <c r="G1116" t="s">
        <v>57</v>
      </c>
      <c r="H1116">
        <v>508</v>
      </c>
      <c r="I1116">
        <v>504</v>
      </c>
      <c r="J1116">
        <v>4</v>
      </c>
      <c r="K1116">
        <v>24.2</v>
      </c>
      <c r="L1116">
        <v>26.06</v>
      </c>
      <c r="M1116">
        <v>220.67</v>
      </c>
      <c r="N1116">
        <f>_xlfn.XLOOKUP(Table13[[#This Row],[Production_Order_ID]],[1]Sheet1!$A$2:$A$391,[1]Sheet1!$F$2:$F$391,"No Match")</f>
        <v>660</v>
      </c>
      <c r="O1116" s="3">
        <f>Table13[[#This Row],[Good_Qty]]/Table13[[#This Row],[Planned_Production]]</f>
        <v>0.76363636363636367</v>
      </c>
      <c r="P1116" t="str">
        <f>IF(Table13[[#This Row],[Good_Qty]]&gt;=Table13[[#This Row],[Planned_Production]],"Met","Not Met")</f>
        <v>Not Met</v>
      </c>
      <c r="Q1116">
        <f>Table13[[#This Row],[Good_Qty]]-Table13[[#This Row],[Planned_Production]]</f>
        <v>-156</v>
      </c>
      <c r="R1116" s="3">
        <f>IF(Table13[[#This Row],[Actual_Qty]]=0,0,Table13[[#This Row],[Reject_Qty]]/Table13[[#This Row],[Actual_Qty]])</f>
        <v>7.874015748031496E-3</v>
      </c>
      <c r="S1116">
        <v>435.33</v>
      </c>
      <c r="T1116">
        <f>(Table13[[#This Row],[Ideal_Cycle_Time_sec]]*Table13[[#This Row],[Actual_Qty]])/(Table13[[#This Row],[Operational_Time_min]]*60)</f>
        <v>0.47066210307889039</v>
      </c>
      <c r="U1116">
        <f>Table13[[#This Row],[Good_Qty]]/Table13[[#This Row],[Actual_Qty]]</f>
        <v>0.99212598425196852</v>
      </c>
      <c r="V1116" t="str">
        <f>IF(OR(Table13[[#This Row],[Performance_%]]&gt;=1,Table13[[#This Row],[Performance_%]]&lt;=0),"Error","OK")</f>
        <v>OK</v>
      </c>
      <c r="W1116" t="str">
        <f>IF(OR(Table13[[#This Row],[Quality_%]]&gt;=1,Table13[[#This Row],[Quality_%]]&lt;=0),"Error","OK")</f>
        <v>OK</v>
      </c>
      <c r="X1116">
        <f>Table13[[#This Row],[Performance_%]]*Table13[[#This Row],[Quality_%]]*[2]Availability_KPI!K1116</f>
        <v>0.45173333333333338</v>
      </c>
      <c r="Y1116" t="str">
        <f>IF(OR(Table13[[#This Row],[OEE_%]]&gt;1,Table13[[#This Row],[OEE_%]]&lt;0),"Error","OK")</f>
        <v>OK</v>
      </c>
    </row>
    <row r="1117" spans="1:25" x14ac:dyDescent="0.2">
      <c r="A1117" t="s">
        <v>1306</v>
      </c>
      <c r="B1117" t="s">
        <v>1303</v>
      </c>
      <c r="C1117" s="2">
        <v>46301</v>
      </c>
      <c r="D1117" t="s">
        <v>53</v>
      </c>
      <c r="E1117" t="s">
        <v>38</v>
      </c>
      <c r="F1117" t="s">
        <v>29</v>
      </c>
      <c r="G1117" t="s">
        <v>47</v>
      </c>
      <c r="H1117">
        <v>511</v>
      </c>
      <c r="I1117">
        <v>508</v>
      </c>
      <c r="J1117">
        <v>3</v>
      </c>
      <c r="K1117">
        <v>22</v>
      </c>
      <c r="L1117">
        <v>22.94</v>
      </c>
      <c r="M1117">
        <v>195.39</v>
      </c>
      <c r="N1117">
        <f>_xlfn.XLOOKUP(Table13[[#This Row],[Production_Order_ID]],[1]Sheet1!$A$2:$A$391,[1]Sheet1!$F$2:$F$391,"No Match")</f>
        <v>660</v>
      </c>
      <c r="O1117" s="3">
        <f>Table13[[#This Row],[Good_Qty]]/Table13[[#This Row],[Planned_Production]]</f>
        <v>0.76969696969696966</v>
      </c>
      <c r="P1117" t="str">
        <f>IF(Table13[[#This Row],[Good_Qty]]&gt;=Table13[[#This Row],[Planned_Production]],"Met","Not Met")</f>
        <v>Not Met</v>
      </c>
      <c r="Q1117">
        <f>Table13[[#This Row],[Good_Qty]]-Table13[[#This Row],[Planned_Production]]</f>
        <v>-152</v>
      </c>
      <c r="R1117" s="3">
        <f>IF(Table13[[#This Row],[Actual_Qty]]=0,0,Table13[[#This Row],[Reject_Qty]]/Table13[[#This Row],[Actual_Qty]])</f>
        <v>5.8708414872798431E-3</v>
      </c>
      <c r="S1117">
        <v>438.04</v>
      </c>
      <c r="T1117">
        <f>(Table13[[#This Row],[Ideal_Cycle_Time_sec]]*Table13[[#This Row],[Actual_Qty]])/(Table13[[#This Row],[Operational_Time_min]]*60)</f>
        <v>0.42773871488144155</v>
      </c>
      <c r="U1117">
        <f>Table13[[#This Row],[Good_Qty]]/Table13[[#This Row],[Actual_Qty]]</f>
        <v>0.9941291585127201</v>
      </c>
      <c r="V1117" t="str">
        <f>IF(OR(Table13[[#This Row],[Performance_%]]&gt;=1,Table13[[#This Row],[Performance_%]]&lt;=0),"Error","OK")</f>
        <v>OK</v>
      </c>
      <c r="W1117" t="str">
        <f>IF(OR(Table13[[#This Row],[Quality_%]]&gt;=1,Table13[[#This Row],[Quality_%]]&lt;=0),"Error","OK")</f>
        <v>OK</v>
      </c>
      <c r="X1117">
        <f>Table13[[#This Row],[Performance_%]]*Table13[[#This Row],[Quality_%]]*[2]Availability_KPI!K1117</f>
        <v>0.41392592592592592</v>
      </c>
      <c r="Y1117" t="str">
        <f>IF(OR(Table13[[#This Row],[OEE_%]]&gt;1,Table13[[#This Row],[OEE_%]]&lt;0),"Error","OK")</f>
        <v>OK</v>
      </c>
    </row>
    <row r="1118" spans="1:25" x14ac:dyDescent="0.2">
      <c r="A1118" t="s">
        <v>1307</v>
      </c>
      <c r="B1118" t="s">
        <v>1303</v>
      </c>
      <c r="C1118" s="2">
        <v>46301</v>
      </c>
      <c r="D1118" t="s">
        <v>53</v>
      </c>
      <c r="E1118" t="s">
        <v>41</v>
      </c>
      <c r="F1118" t="s">
        <v>29</v>
      </c>
      <c r="G1118" t="s">
        <v>61</v>
      </c>
      <c r="H1118">
        <v>524</v>
      </c>
      <c r="I1118">
        <v>520</v>
      </c>
      <c r="J1118">
        <v>4</v>
      </c>
      <c r="K1118">
        <v>19.8</v>
      </c>
      <c r="L1118">
        <v>20.9</v>
      </c>
      <c r="M1118">
        <v>182.53</v>
      </c>
      <c r="N1118">
        <f>_xlfn.XLOOKUP(Table13[[#This Row],[Production_Order_ID]],[1]Sheet1!$A$2:$A$391,[1]Sheet1!$F$2:$F$391,"No Match")</f>
        <v>660</v>
      </c>
      <c r="O1118" s="3">
        <f>Table13[[#This Row],[Good_Qty]]/Table13[[#This Row],[Planned_Production]]</f>
        <v>0.78787878787878785</v>
      </c>
      <c r="P1118" t="str">
        <f>IF(Table13[[#This Row],[Good_Qty]]&gt;=Table13[[#This Row],[Planned_Production]],"Met","Not Met")</f>
        <v>Not Met</v>
      </c>
      <c r="Q1118">
        <f>Table13[[#This Row],[Good_Qty]]-Table13[[#This Row],[Planned_Production]]</f>
        <v>-140</v>
      </c>
      <c r="R1118" s="3">
        <f>IF(Table13[[#This Row],[Actual_Qty]]=0,0,Table13[[#This Row],[Reject_Qty]]/Table13[[#This Row],[Actual_Qty]])</f>
        <v>7.6335877862595417E-3</v>
      </c>
      <c r="S1118">
        <v>438.83</v>
      </c>
      <c r="T1118">
        <f>(Table13[[#This Row],[Ideal_Cycle_Time_sec]]*Table13[[#This Row],[Actual_Qty]])/(Table13[[#This Row],[Operational_Time_min]]*60)</f>
        <v>0.39404780894651692</v>
      </c>
      <c r="U1118">
        <f>Table13[[#This Row],[Good_Qty]]/Table13[[#This Row],[Actual_Qty]]</f>
        <v>0.99236641221374045</v>
      </c>
      <c r="V1118" t="str">
        <f>IF(OR(Table13[[#This Row],[Performance_%]]&gt;=1,Table13[[#This Row],[Performance_%]]&lt;=0),"Error","OK")</f>
        <v>OK</v>
      </c>
      <c r="W1118" t="str">
        <f>IF(OR(Table13[[#This Row],[Quality_%]]&gt;=1,Table13[[#This Row],[Quality_%]]&lt;=0),"Error","OK")</f>
        <v>OK</v>
      </c>
      <c r="X1118">
        <f>Table13[[#This Row],[Performance_%]]*Table13[[#This Row],[Quality_%]]*[2]Availability_KPI!K1118</f>
        <v>0.38133333333333336</v>
      </c>
      <c r="Y1118" t="str">
        <f>IF(OR(Table13[[#This Row],[OEE_%]]&gt;1,Table13[[#This Row],[OEE_%]]&lt;0),"Error","OK")</f>
        <v>OK</v>
      </c>
    </row>
    <row r="1119" spans="1:25" x14ac:dyDescent="0.2">
      <c r="A1119" t="s">
        <v>1308</v>
      </c>
      <c r="B1119" t="s">
        <v>1303</v>
      </c>
      <c r="C1119" s="2">
        <v>46301</v>
      </c>
      <c r="D1119" t="s">
        <v>53</v>
      </c>
      <c r="E1119" t="s">
        <v>43</v>
      </c>
      <c r="F1119" t="s">
        <v>29</v>
      </c>
      <c r="G1119" t="s">
        <v>44</v>
      </c>
      <c r="H1119">
        <v>514</v>
      </c>
      <c r="I1119">
        <v>505</v>
      </c>
      <c r="J1119">
        <v>9</v>
      </c>
      <c r="K1119">
        <v>35.200000000000003</v>
      </c>
      <c r="L1119">
        <v>36.57</v>
      </c>
      <c r="M1119">
        <v>313.24</v>
      </c>
      <c r="N1119">
        <f>_xlfn.XLOOKUP(Table13[[#This Row],[Production_Order_ID]],[1]Sheet1!$A$2:$A$391,[1]Sheet1!$F$2:$F$391,"No Match")</f>
        <v>660</v>
      </c>
      <c r="O1119" s="3">
        <f>Table13[[#This Row],[Good_Qty]]/Table13[[#This Row],[Planned_Production]]</f>
        <v>0.76515151515151514</v>
      </c>
      <c r="P1119" t="str">
        <f>IF(Table13[[#This Row],[Good_Qty]]&gt;=Table13[[#This Row],[Planned_Production]],"Met","Not Met")</f>
        <v>Not Met</v>
      </c>
      <c r="Q1119">
        <f>Table13[[#This Row],[Good_Qty]]-Table13[[#This Row],[Planned_Production]]</f>
        <v>-155</v>
      </c>
      <c r="R1119" s="3">
        <f>IF(Table13[[#This Row],[Actual_Qty]]=0,0,Table13[[#This Row],[Reject_Qty]]/Table13[[#This Row],[Actual_Qty]])</f>
        <v>1.7509727626459144E-2</v>
      </c>
      <c r="S1119">
        <v>425.11</v>
      </c>
      <c r="T1119">
        <f>(Table13[[#This Row],[Ideal_Cycle_Time_sec]]*Table13[[#This Row],[Actual_Qty]])/(Table13[[#This Row],[Operational_Time_min]]*60)</f>
        <v>0.7093379752691461</v>
      </c>
      <c r="U1119">
        <f>Table13[[#This Row],[Good_Qty]]/Table13[[#This Row],[Actual_Qty]]</f>
        <v>0.98249027237354081</v>
      </c>
      <c r="V1119" t="str">
        <f>IF(OR(Table13[[#This Row],[Performance_%]]&gt;=1,Table13[[#This Row],[Performance_%]]&lt;=0),"Error","OK")</f>
        <v>OK</v>
      </c>
      <c r="W1119" t="str">
        <f>IF(OR(Table13[[#This Row],[Quality_%]]&gt;=1,Table13[[#This Row],[Quality_%]]&lt;=0),"Error","OK")</f>
        <v>OK</v>
      </c>
      <c r="X1119">
        <f>Table13[[#This Row],[Performance_%]]*Table13[[#This Row],[Quality_%]]*[2]Availability_KPI!K1119</f>
        <v>0.65837037037037038</v>
      </c>
      <c r="Y1119" t="str">
        <f>IF(OR(Table13[[#This Row],[OEE_%]]&gt;1,Table13[[#This Row],[OEE_%]]&lt;0),"Error","OK")</f>
        <v>OK</v>
      </c>
    </row>
    <row r="1120" spans="1:25" x14ac:dyDescent="0.2">
      <c r="A1120" t="s">
        <v>1309</v>
      </c>
      <c r="B1120" t="s">
        <v>1303</v>
      </c>
      <c r="C1120" s="2">
        <v>46301</v>
      </c>
      <c r="D1120" t="s">
        <v>53</v>
      </c>
      <c r="E1120" t="s">
        <v>46</v>
      </c>
      <c r="F1120" t="s">
        <v>29</v>
      </c>
      <c r="G1120" t="s">
        <v>47</v>
      </c>
      <c r="H1120">
        <v>511</v>
      </c>
      <c r="I1120">
        <v>506</v>
      </c>
      <c r="J1120">
        <v>5</v>
      </c>
      <c r="K1120">
        <v>27.5</v>
      </c>
      <c r="L1120">
        <v>30.06</v>
      </c>
      <c r="M1120">
        <v>256.02</v>
      </c>
      <c r="N1120">
        <f>_xlfn.XLOOKUP(Table13[[#This Row],[Production_Order_ID]],[1]Sheet1!$A$2:$A$391,[1]Sheet1!$F$2:$F$391,"No Match")</f>
        <v>660</v>
      </c>
      <c r="O1120" s="3">
        <f>Table13[[#This Row],[Good_Qty]]/Table13[[#This Row],[Planned_Production]]</f>
        <v>0.76666666666666672</v>
      </c>
      <c r="P1120" t="str">
        <f>IF(Table13[[#This Row],[Good_Qty]]&gt;=Table13[[#This Row],[Planned_Production]],"Met","Not Met")</f>
        <v>Not Met</v>
      </c>
      <c r="Q1120">
        <f>Table13[[#This Row],[Good_Qty]]-Table13[[#This Row],[Planned_Production]]</f>
        <v>-154</v>
      </c>
      <c r="R1120" s="3">
        <f>IF(Table13[[#This Row],[Actual_Qty]]=0,0,Table13[[#This Row],[Reject_Qty]]/Table13[[#This Row],[Actual_Qty]])</f>
        <v>9.7847358121330719E-3</v>
      </c>
      <c r="S1120">
        <v>427.29</v>
      </c>
      <c r="T1120">
        <f>(Table13[[#This Row],[Ideal_Cycle_Time_sec]]*Table13[[#This Row],[Actual_Qty]])/(Table13[[#This Row],[Operational_Time_min]]*60)</f>
        <v>0.54812500487568938</v>
      </c>
      <c r="U1120">
        <f>Table13[[#This Row],[Good_Qty]]/Table13[[#This Row],[Actual_Qty]]</f>
        <v>0.99021526418786687</v>
      </c>
      <c r="V1120" t="str">
        <f>IF(OR(Table13[[#This Row],[Performance_%]]&gt;=1,Table13[[#This Row],[Performance_%]]&lt;=0),"Error","OK")</f>
        <v>OK</v>
      </c>
      <c r="W1120" t="str">
        <f>IF(OR(Table13[[#This Row],[Quality_%]]&gt;=1,Table13[[#This Row],[Quality_%]]&lt;=0),"Error","OK")</f>
        <v>OK</v>
      </c>
      <c r="X1120">
        <f>Table13[[#This Row],[Performance_%]]*Table13[[#This Row],[Quality_%]]*[2]Availability_KPI!K1120</f>
        <v>0.51537037037037026</v>
      </c>
      <c r="Y1120" t="str">
        <f>IF(OR(Table13[[#This Row],[OEE_%]]&gt;1,Table13[[#This Row],[OEE_%]]&lt;0),"Error","OK")</f>
        <v>OK</v>
      </c>
    </row>
    <row r="1121" spans="1:25" x14ac:dyDescent="0.2">
      <c r="A1121" t="s">
        <v>1310</v>
      </c>
      <c r="B1121" t="s">
        <v>1303</v>
      </c>
      <c r="C1121" s="2">
        <v>46301</v>
      </c>
      <c r="D1121" t="s">
        <v>53</v>
      </c>
      <c r="E1121" t="s">
        <v>49</v>
      </c>
      <c r="F1121" t="s">
        <v>29</v>
      </c>
      <c r="G1121" t="s">
        <v>57</v>
      </c>
      <c r="H1121">
        <v>501</v>
      </c>
      <c r="I1121">
        <v>499</v>
      </c>
      <c r="J1121">
        <v>2</v>
      </c>
      <c r="K1121">
        <v>22</v>
      </c>
      <c r="L1121">
        <v>22.26</v>
      </c>
      <c r="M1121">
        <v>185.86</v>
      </c>
      <c r="N1121">
        <f>_xlfn.XLOOKUP(Table13[[#This Row],[Production_Order_ID]],[1]Sheet1!$A$2:$A$391,[1]Sheet1!$F$2:$F$391,"No Match")</f>
        <v>660</v>
      </c>
      <c r="O1121" s="3">
        <f>Table13[[#This Row],[Good_Qty]]/Table13[[#This Row],[Planned_Production]]</f>
        <v>0.7560606060606061</v>
      </c>
      <c r="P1121" t="str">
        <f>IF(Table13[[#This Row],[Good_Qty]]&gt;=Table13[[#This Row],[Planned_Production]],"Met","Not Met")</f>
        <v>Not Met</v>
      </c>
      <c r="Q1121">
        <f>Table13[[#This Row],[Good_Qty]]-Table13[[#This Row],[Planned_Production]]</f>
        <v>-161</v>
      </c>
      <c r="R1121" s="3">
        <f>IF(Table13[[#This Row],[Actual_Qty]]=0,0,Table13[[#This Row],[Reject_Qty]]/Table13[[#This Row],[Actual_Qty]])</f>
        <v>3.9920159680638719E-3</v>
      </c>
      <c r="S1121">
        <v>444.24</v>
      </c>
      <c r="T1121">
        <f>(Table13[[#This Row],[Ideal_Cycle_Time_sec]]*Table13[[#This Row],[Actual_Qty]])/(Table13[[#This Row],[Operational_Time_min]]*60)</f>
        <v>0.41351521699981991</v>
      </c>
      <c r="U1121">
        <f>Table13[[#This Row],[Good_Qty]]/Table13[[#This Row],[Actual_Qty]]</f>
        <v>0.99600798403193613</v>
      </c>
      <c r="V1121" t="str">
        <f>IF(OR(Table13[[#This Row],[Performance_%]]&gt;=1,Table13[[#This Row],[Performance_%]]&lt;=0),"Error","OK")</f>
        <v>OK</v>
      </c>
      <c r="W1121" t="str">
        <f>IF(OR(Table13[[#This Row],[Quality_%]]&gt;=1,Table13[[#This Row],[Quality_%]]&lt;=0),"Error","OK")</f>
        <v>OK</v>
      </c>
      <c r="X1121">
        <f>Table13[[#This Row],[Performance_%]]*Table13[[#This Row],[Quality_%]]*[2]Availability_KPI!K1121</f>
        <v>0.40659259259259256</v>
      </c>
      <c r="Y1121" t="str">
        <f>IF(OR(Table13[[#This Row],[OEE_%]]&gt;1,Table13[[#This Row],[OEE_%]]&lt;0),"Error","OK")</f>
        <v>OK</v>
      </c>
    </row>
    <row r="1122" spans="1:25" x14ac:dyDescent="0.2">
      <c r="A1122" t="s">
        <v>1311</v>
      </c>
      <c r="B1122" t="s">
        <v>1312</v>
      </c>
      <c r="C1122" s="2">
        <v>46301</v>
      </c>
      <c r="D1122" t="s">
        <v>67</v>
      </c>
      <c r="E1122" t="s">
        <v>28</v>
      </c>
      <c r="F1122" t="s">
        <v>54</v>
      </c>
      <c r="G1122" t="s">
        <v>61</v>
      </c>
      <c r="H1122">
        <v>691</v>
      </c>
      <c r="I1122">
        <v>688</v>
      </c>
      <c r="J1122">
        <v>3</v>
      </c>
      <c r="K1122">
        <v>18</v>
      </c>
      <c r="L1122">
        <v>19.03</v>
      </c>
      <c r="M1122">
        <v>219.18</v>
      </c>
      <c r="N1122">
        <f>_xlfn.XLOOKUP(Table13[[#This Row],[Production_Order_ID]],[1]Sheet1!$A$2:$A$391,[1]Sheet1!$F$2:$F$391,"No Match")</f>
        <v>550</v>
      </c>
      <c r="O1122" s="3">
        <f>Table13[[#This Row],[Good_Qty]]/Table13[[#This Row],[Planned_Production]]</f>
        <v>1.250909090909091</v>
      </c>
      <c r="P1122" t="str">
        <f>IF(Table13[[#This Row],[Good_Qty]]&gt;=Table13[[#This Row],[Planned_Production]],"Met","Not Met")</f>
        <v>Met</v>
      </c>
      <c r="Q1122">
        <f>Table13[[#This Row],[Good_Qty]]-Table13[[#This Row],[Planned_Production]]</f>
        <v>138</v>
      </c>
      <c r="R1122" s="3">
        <f>IF(Table13[[#This Row],[Actual_Qty]]=0,0,Table13[[#This Row],[Reject_Qty]]/Table13[[#This Row],[Actual_Qty]])</f>
        <v>4.3415340086830683E-3</v>
      </c>
      <c r="S1122">
        <v>441.63</v>
      </c>
      <c r="T1122">
        <f>(Table13[[#This Row],[Ideal_Cycle_Time_sec]]*Table13[[#This Row],[Actual_Qty]])/(Table13[[#This Row],[Operational_Time_min]]*60)</f>
        <v>0.46939745941172478</v>
      </c>
      <c r="U1122">
        <f>Table13[[#This Row],[Good_Qty]]/Table13[[#This Row],[Actual_Qty]]</f>
        <v>0.99565846599131691</v>
      </c>
      <c r="V1122" t="str">
        <f>IF(OR(Table13[[#This Row],[Performance_%]]&gt;=1,Table13[[#This Row],[Performance_%]]&lt;=0),"Error","OK")</f>
        <v>OK</v>
      </c>
      <c r="W1122" t="str">
        <f>IF(OR(Table13[[#This Row],[Quality_%]]&gt;=1,Table13[[#This Row],[Quality_%]]&lt;=0),"Error","OK")</f>
        <v>OK</v>
      </c>
      <c r="X1122">
        <f>Table13[[#This Row],[Performance_%]]*Table13[[#This Row],[Quality_%]]*[2]Availability_KPI!K1122</f>
        <v>0.45866666666666667</v>
      </c>
      <c r="Y1122" t="str">
        <f>IF(OR(Table13[[#This Row],[OEE_%]]&gt;1,Table13[[#This Row],[OEE_%]]&lt;0),"Error","OK")</f>
        <v>OK</v>
      </c>
    </row>
    <row r="1123" spans="1:25" x14ac:dyDescent="0.2">
      <c r="A1123" t="s">
        <v>1313</v>
      </c>
      <c r="B1123" t="s">
        <v>1312</v>
      </c>
      <c r="C1123" s="2">
        <v>46301</v>
      </c>
      <c r="D1123" t="s">
        <v>67</v>
      </c>
      <c r="E1123" t="s">
        <v>32</v>
      </c>
      <c r="F1123" t="s">
        <v>54</v>
      </c>
      <c r="G1123" t="s">
        <v>57</v>
      </c>
      <c r="H1123">
        <v>690</v>
      </c>
      <c r="I1123">
        <v>682</v>
      </c>
      <c r="J1123">
        <v>8</v>
      </c>
      <c r="K1123">
        <v>20</v>
      </c>
      <c r="L1123">
        <v>21.5</v>
      </c>
      <c r="M1123">
        <v>247.29</v>
      </c>
      <c r="N1123">
        <f>_xlfn.XLOOKUP(Table13[[#This Row],[Production_Order_ID]],[1]Sheet1!$A$2:$A$391,[1]Sheet1!$F$2:$F$391,"No Match")</f>
        <v>550</v>
      </c>
      <c r="O1123" s="3">
        <f>Table13[[#This Row],[Good_Qty]]/Table13[[#This Row],[Planned_Production]]</f>
        <v>1.24</v>
      </c>
      <c r="P1123" t="str">
        <f>IF(Table13[[#This Row],[Good_Qty]]&gt;=Table13[[#This Row],[Planned_Production]],"Met","Not Met")</f>
        <v>Met</v>
      </c>
      <c r="Q1123">
        <f>Table13[[#This Row],[Good_Qty]]-Table13[[#This Row],[Planned_Production]]</f>
        <v>132</v>
      </c>
      <c r="R1123" s="3">
        <f>IF(Table13[[#This Row],[Actual_Qty]]=0,0,Table13[[#This Row],[Reject_Qty]]/Table13[[#This Row],[Actual_Qty]])</f>
        <v>1.1594202898550725E-2</v>
      </c>
      <c r="S1123">
        <v>439.01</v>
      </c>
      <c r="T1123">
        <f>(Table13[[#This Row],[Ideal_Cycle_Time_sec]]*Table13[[#This Row],[Actual_Qty]])/(Table13[[#This Row],[Operational_Time_min]]*60)</f>
        <v>0.52390606136534479</v>
      </c>
      <c r="U1123">
        <f>Table13[[#This Row],[Good_Qty]]/Table13[[#This Row],[Actual_Qty]]</f>
        <v>0.98840579710144927</v>
      </c>
      <c r="V1123" t="str">
        <f>IF(OR(Table13[[#This Row],[Performance_%]]&gt;=1,Table13[[#This Row],[Performance_%]]&lt;=0),"Error","OK")</f>
        <v>OK</v>
      </c>
      <c r="W1123" t="str">
        <f>IF(OR(Table13[[#This Row],[Quality_%]]&gt;=1,Table13[[#This Row],[Quality_%]]&lt;=0),"Error","OK")</f>
        <v>OK</v>
      </c>
      <c r="X1123">
        <f>Table13[[#This Row],[Performance_%]]*Table13[[#This Row],[Quality_%]]*[2]Availability_KPI!K1123</f>
        <v>0.50518518518518529</v>
      </c>
      <c r="Y1123" t="str">
        <f>IF(OR(Table13[[#This Row],[OEE_%]]&gt;1,Table13[[#This Row],[OEE_%]]&lt;0),"Error","OK")</f>
        <v>OK</v>
      </c>
    </row>
    <row r="1124" spans="1:25" x14ac:dyDescent="0.2">
      <c r="A1124" t="s">
        <v>1314</v>
      </c>
      <c r="B1124" t="s">
        <v>1312</v>
      </c>
      <c r="C1124" s="2">
        <v>46301</v>
      </c>
      <c r="D1124" t="s">
        <v>67</v>
      </c>
      <c r="E1124" t="s">
        <v>35</v>
      </c>
      <c r="F1124" t="s">
        <v>54</v>
      </c>
      <c r="G1124" t="s">
        <v>55</v>
      </c>
      <c r="H1124">
        <v>672</v>
      </c>
      <c r="I1124">
        <v>670</v>
      </c>
      <c r="J1124">
        <v>2</v>
      </c>
      <c r="K1124">
        <v>22</v>
      </c>
      <c r="L1124">
        <v>23.14</v>
      </c>
      <c r="M1124">
        <v>259.16000000000003</v>
      </c>
      <c r="N1124">
        <f>_xlfn.XLOOKUP(Table13[[#This Row],[Production_Order_ID]],[1]Sheet1!$A$2:$A$391,[1]Sheet1!$F$2:$F$391,"No Match")</f>
        <v>550</v>
      </c>
      <c r="O1124" s="3">
        <f>Table13[[#This Row],[Good_Qty]]/Table13[[#This Row],[Planned_Production]]</f>
        <v>1.2181818181818183</v>
      </c>
      <c r="P1124" t="str">
        <f>IF(Table13[[#This Row],[Good_Qty]]&gt;=Table13[[#This Row],[Planned_Production]],"Met","Not Met")</f>
        <v>Met</v>
      </c>
      <c r="Q1124">
        <f>Table13[[#This Row],[Good_Qty]]-Table13[[#This Row],[Planned_Production]]</f>
        <v>120</v>
      </c>
      <c r="R1124" s="3">
        <f>IF(Table13[[#This Row],[Actual_Qty]]=0,0,Table13[[#This Row],[Reject_Qty]]/Table13[[#This Row],[Actual_Qty]])</f>
        <v>2.976190476190476E-3</v>
      </c>
      <c r="S1124">
        <v>436.68</v>
      </c>
      <c r="T1124">
        <f>(Table13[[#This Row],[Ideal_Cycle_Time_sec]]*Table13[[#This Row],[Actual_Qty]])/(Table13[[#This Row],[Operational_Time_min]]*60)</f>
        <v>0.56425757992122383</v>
      </c>
      <c r="U1124">
        <f>Table13[[#This Row],[Good_Qty]]/Table13[[#This Row],[Actual_Qty]]</f>
        <v>0.99702380952380953</v>
      </c>
      <c r="V1124" t="str">
        <f>IF(OR(Table13[[#This Row],[Performance_%]]&gt;=1,Table13[[#This Row],[Performance_%]]&lt;=0),"Error","OK")</f>
        <v>OK</v>
      </c>
      <c r="W1124" t="str">
        <f>IF(OR(Table13[[#This Row],[Quality_%]]&gt;=1,Table13[[#This Row],[Quality_%]]&lt;=0),"Error","OK")</f>
        <v>OK</v>
      </c>
      <c r="X1124">
        <f>Table13[[#This Row],[Performance_%]]*Table13[[#This Row],[Quality_%]]*[2]Availability_KPI!K1124</f>
        <v>0.54592592592592604</v>
      </c>
      <c r="Y1124" t="str">
        <f>IF(OR(Table13[[#This Row],[OEE_%]]&gt;1,Table13[[#This Row],[OEE_%]]&lt;0),"Error","OK")</f>
        <v>OK</v>
      </c>
    </row>
    <row r="1125" spans="1:25" x14ac:dyDescent="0.2">
      <c r="A1125" t="s">
        <v>1315</v>
      </c>
      <c r="B1125" t="s">
        <v>1312</v>
      </c>
      <c r="C1125" s="2">
        <v>46301</v>
      </c>
      <c r="D1125" t="s">
        <v>67</v>
      </c>
      <c r="E1125" t="s">
        <v>38</v>
      </c>
      <c r="F1125" t="s">
        <v>54</v>
      </c>
      <c r="G1125" t="s">
        <v>44</v>
      </c>
      <c r="H1125">
        <v>686</v>
      </c>
      <c r="I1125">
        <v>682</v>
      </c>
      <c r="J1125">
        <v>4</v>
      </c>
      <c r="K1125">
        <v>20</v>
      </c>
      <c r="L1125">
        <v>20.23</v>
      </c>
      <c r="M1125">
        <v>231.27</v>
      </c>
      <c r="N1125">
        <f>_xlfn.XLOOKUP(Table13[[#This Row],[Production_Order_ID]],[1]Sheet1!$A$2:$A$391,[1]Sheet1!$F$2:$F$391,"No Match")</f>
        <v>550</v>
      </c>
      <c r="O1125" s="3">
        <f>Table13[[#This Row],[Good_Qty]]/Table13[[#This Row],[Planned_Production]]</f>
        <v>1.24</v>
      </c>
      <c r="P1125" t="str">
        <f>IF(Table13[[#This Row],[Good_Qty]]&gt;=Table13[[#This Row],[Planned_Production]],"Met","Not Met")</f>
        <v>Met</v>
      </c>
      <c r="Q1125">
        <f>Table13[[#This Row],[Good_Qty]]-Table13[[#This Row],[Planned_Production]]</f>
        <v>132</v>
      </c>
      <c r="R1125" s="3">
        <f>IF(Table13[[#This Row],[Actual_Qty]]=0,0,Table13[[#This Row],[Reject_Qty]]/Table13[[#This Row],[Actual_Qty]])</f>
        <v>5.8309037900874635E-3</v>
      </c>
      <c r="S1125">
        <v>435.96</v>
      </c>
      <c r="T1125">
        <f>(Table13[[#This Row],[Ideal_Cycle_Time_sec]]*Table13[[#This Row],[Actual_Qty]])/(Table13[[#This Row],[Operational_Time_min]]*60)</f>
        <v>0.52451295225861705</v>
      </c>
      <c r="U1125">
        <f>Table13[[#This Row],[Good_Qty]]/Table13[[#This Row],[Actual_Qty]]</f>
        <v>0.99416909620991256</v>
      </c>
      <c r="V1125" t="str">
        <f>IF(OR(Table13[[#This Row],[Performance_%]]&gt;=1,Table13[[#This Row],[Performance_%]]&lt;=0),"Error","OK")</f>
        <v>OK</v>
      </c>
      <c r="W1125" t="str">
        <f>IF(OR(Table13[[#This Row],[Quality_%]]&gt;=1,Table13[[#This Row],[Quality_%]]&lt;=0),"Error","OK")</f>
        <v>OK</v>
      </c>
      <c r="X1125">
        <f>Table13[[#This Row],[Performance_%]]*Table13[[#This Row],[Quality_%]]*[2]Availability_KPI!K1125</f>
        <v>0.50518518518518529</v>
      </c>
      <c r="Y1125" t="str">
        <f>IF(OR(Table13[[#This Row],[OEE_%]]&gt;1,Table13[[#This Row],[OEE_%]]&lt;0),"Error","OK")</f>
        <v>OK</v>
      </c>
    </row>
    <row r="1126" spans="1:25" x14ac:dyDescent="0.2">
      <c r="A1126" t="s">
        <v>1316</v>
      </c>
      <c r="B1126" t="s">
        <v>1312</v>
      </c>
      <c r="C1126" s="2">
        <v>46301</v>
      </c>
      <c r="D1126" t="s">
        <v>67</v>
      </c>
      <c r="E1126" t="s">
        <v>41</v>
      </c>
      <c r="F1126" t="s">
        <v>54</v>
      </c>
      <c r="G1126" t="s">
        <v>75</v>
      </c>
      <c r="H1126">
        <v>692</v>
      </c>
      <c r="I1126">
        <v>688</v>
      </c>
      <c r="J1126">
        <v>4</v>
      </c>
      <c r="K1126">
        <v>18</v>
      </c>
      <c r="L1126">
        <v>19.309999999999999</v>
      </c>
      <c r="M1126">
        <v>222.71</v>
      </c>
      <c r="N1126">
        <f>_xlfn.XLOOKUP(Table13[[#This Row],[Production_Order_ID]],[1]Sheet1!$A$2:$A$391,[1]Sheet1!$F$2:$F$391,"No Match")</f>
        <v>550</v>
      </c>
      <c r="O1126" s="3">
        <f>Table13[[#This Row],[Good_Qty]]/Table13[[#This Row],[Planned_Production]]</f>
        <v>1.250909090909091</v>
      </c>
      <c r="P1126" t="str">
        <f>IF(Table13[[#This Row],[Good_Qty]]&gt;=Table13[[#This Row],[Planned_Production]],"Met","Not Met")</f>
        <v>Met</v>
      </c>
      <c r="Q1126">
        <f>Table13[[#This Row],[Good_Qty]]-Table13[[#This Row],[Planned_Production]]</f>
        <v>138</v>
      </c>
      <c r="R1126" s="3">
        <f>IF(Table13[[#This Row],[Actual_Qty]]=0,0,Table13[[#This Row],[Reject_Qty]]/Table13[[#This Row],[Actual_Qty]])</f>
        <v>5.7803468208092483E-3</v>
      </c>
      <c r="S1126">
        <v>435.72</v>
      </c>
      <c r="T1126">
        <f>(Table13[[#This Row],[Ideal_Cycle_Time_sec]]*Table13[[#This Row],[Actual_Qty]])/(Table13[[#This Row],[Operational_Time_min]]*60)</f>
        <v>0.47645276783255303</v>
      </c>
      <c r="U1126">
        <f>Table13[[#This Row],[Good_Qty]]/Table13[[#This Row],[Actual_Qty]]</f>
        <v>0.9942196531791907</v>
      </c>
      <c r="V1126" t="str">
        <f>IF(OR(Table13[[#This Row],[Performance_%]]&gt;=1,Table13[[#This Row],[Performance_%]]&lt;=0),"Error","OK")</f>
        <v>OK</v>
      </c>
      <c r="W1126" t="str">
        <f>IF(OR(Table13[[#This Row],[Quality_%]]&gt;=1,Table13[[#This Row],[Quality_%]]&lt;=0),"Error","OK")</f>
        <v>OK</v>
      </c>
      <c r="X1126">
        <f>Table13[[#This Row],[Performance_%]]*Table13[[#This Row],[Quality_%]]*[2]Availability_KPI!K1126</f>
        <v>0.45866666666666667</v>
      </c>
      <c r="Y1126" t="str">
        <f>IF(OR(Table13[[#This Row],[OEE_%]]&gt;1,Table13[[#This Row],[OEE_%]]&lt;0),"Error","OK")</f>
        <v>OK</v>
      </c>
    </row>
    <row r="1127" spans="1:25" x14ac:dyDescent="0.2">
      <c r="A1127" t="s">
        <v>1317</v>
      </c>
      <c r="B1127" t="s">
        <v>1312</v>
      </c>
      <c r="C1127" s="2">
        <v>46301</v>
      </c>
      <c r="D1127" t="s">
        <v>67</v>
      </c>
      <c r="E1127" t="s">
        <v>43</v>
      </c>
      <c r="F1127" t="s">
        <v>54</v>
      </c>
      <c r="G1127" t="s">
        <v>36</v>
      </c>
      <c r="H1127">
        <v>693</v>
      </c>
      <c r="I1127">
        <v>682</v>
      </c>
      <c r="J1127">
        <v>11</v>
      </c>
      <c r="K1127">
        <v>32</v>
      </c>
      <c r="L1127">
        <v>33.86</v>
      </c>
      <c r="M1127">
        <v>391.1</v>
      </c>
      <c r="N1127">
        <f>_xlfn.XLOOKUP(Table13[[#This Row],[Production_Order_ID]],[1]Sheet1!$A$2:$A$391,[1]Sheet1!$F$2:$F$391,"No Match")</f>
        <v>550</v>
      </c>
      <c r="O1127" s="3">
        <f>Table13[[#This Row],[Good_Qty]]/Table13[[#This Row],[Planned_Production]]</f>
        <v>1.24</v>
      </c>
      <c r="P1127" t="str">
        <f>IF(Table13[[#This Row],[Good_Qty]]&gt;=Table13[[#This Row],[Planned_Production]],"Met","Not Met")</f>
        <v>Met</v>
      </c>
      <c r="Q1127">
        <f>Table13[[#This Row],[Good_Qty]]-Table13[[#This Row],[Planned_Production]]</f>
        <v>132</v>
      </c>
      <c r="R1127" s="3">
        <f>IF(Table13[[#This Row],[Actual_Qty]]=0,0,Table13[[#This Row],[Reject_Qty]]/Table13[[#This Row],[Actual_Qty]])</f>
        <v>1.5873015873015872E-2</v>
      </c>
      <c r="S1127">
        <v>402.14</v>
      </c>
      <c r="T1127">
        <f>(Table13[[#This Row],[Ideal_Cycle_Time_sec]]*Table13[[#This Row],[Actual_Qty]])/(Table13[[#This Row],[Operational_Time_min]]*60)</f>
        <v>0.91908290645048996</v>
      </c>
      <c r="U1127">
        <f>Table13[[#This Row],[Good_Qty]]/Table13[[#This Row],[Actual_Qty]]</f>
        <v>0.98412698412698407</v>
      </c>
      <c r="V1127" t="str">
        <f>IF(OR(Table13[[#This Row],[Performance_%]]&gt;=1,Table13[[#This Row],[Performance_%]]&lt;=0),"Error","OK")</f>
        <v>OK</v>
      </c>
      <c r="W1127" t="str">
        <f>IF(OR(Table13[[#This Row],[Quality_%]]&gt;=1,Table13[[#This Row],[Quality_%]]&lt;=0),"Error","OK")</f>
        <v>OK</v>
      </c>
      <c r="X1127">
        <f>Table13[[#This Row],[Performance_%]]*Table13[[#This Row],[Quality_%]]*[2]Availability_KPI!K1127</f>
        <v>0.80829629629629629</v>
      </c>
      <c r="Y1127" t="str">
        <f>IF(OR(Table13[[#This Row],[OEE_%]]&gt;1,Table13[[#This Row],[OEE_%]]&lt;0),"Error","OK")</f>
        <v>OK</v>
      </c>
    </row>
    <row r="1128" spans="1:25" x14ac:dyDescent="0.2">
      <c r="A1128" t="s">
        <v>1318</v>
      </c>
      <c r="B1128" t="s">
        <v>1312</v>
      </c>
      <c r="C1128" s="2">
        <v>46301</v>
      </c>
      <c r="D1128" t="s">
        <v>67</v>
      </c>
      <c r="E1128" t="s">
        <v>46</v>
      </c>
      <c r="F1128" t="s">
        <v>54</v>
      </c>
      <c r="G1128" t="s">
        <v>61</v>
      </c>
      <c r="H1128">
        <v>687</v>
      </c>
      <c r="I1128">
        <v>681</v>
      </c>
      <c r="J1128">
        <v>6</v>
      </c>
      <c r="K1128">
        <v>25</v>
      </c>
      <c r="L1128">
        <v>26.47</v>
      </c>
      <c r="M1128">
        <v>303.02999999999997</v>
      </c>
      <c r="N1128">
        <f>_xlfn.XLOOKUP(Table13[[#This Row],[Production_Order_ID]],[1]Sheet1!$A$2:$A$391,[1]Sheet1!$F$2:$F$391,"No Match")</f>
        <v>550</v>
      </c>
      <c r="O1128" s="3">
        <f>Table13[[#This Row],[Good_Qty]]/Table13[[#This Row],[Planned_Production]]</f>
        <v>1.2381818181818183</v>
      </c>
      <c r="P1128" t="str">
        <f>IF(Table13[[#This Row],[Good_Qty]]&gt;=Table13[[#This Row],[Planned_Production]],"Met","Not Met")</f>
        <v>Met</v>
      </c>
      <c r="Q1128">
        <f>Table13[[#This Row],[Good_Qty]]-Table13[[#This Row],[Planned_Production]]</f>
        <v>131</v>
      </c>
      <c r="R1128" s="3">
        <f>IF(Table13[[#This Row],[Actual_Qty]]=0,0,Table13[[#This Row],[Reject_Qty]]/Table13[[#This Row],[Actual_Qty]])</f>
        <v>8.7336244541484712E-3</v>
      </c>
      <c r="S1128">
        <v>430.39</v>
      </c>
      <c r="T1128">
        <f>(Table13[[#This Row],[Ideal_Cycle_Time_sec]]*Table13[[#This Row],[Actual_Qty]])/(Table13[[#This Row],[Operational_Time_min]]*60)</f>
        <v>0.66509444922047456</v>
      </c>
      <c r="U1128">
        <f>Table13[[#This Row],[Good_Qty]]/Table13[[#This Row],[Actual_Qty]]</f>
        <v>0.99126637554585151</v>
      </c>
      <c r="V1128" t="str">
        <f>IF(OR(Table13[[#This Row],[Performance_%]]&gt;=1,Table13[[#This Row],[Performance_%]]&lt;=0),"Error","OK")</f>
        <v>OK</v>
      </c>
      <c r="W1128" t="str">
        <f>IF(OR(Table13[[#This Row],[Quality_%]]&gt;=1,Table13[[#This Row],[Quality_%]]&lt;=0),"Error","OK")</f>
        <v>OK</v>
      </c>
      <c r="X1128">
        <f>Table13[[#This Row],[Performance_%]]*Table13[[#This Row],[Quality_%]]*[2]Availability_KPI!K1128</f>
        <v>0.63055555555555554</v>
      </c>
      <c r="Y1128" t="str">
        <f>IF(OR(Table13[[#This Row],[OEE_%]]&gt;1,Table13[[#This Row],[OEE_%]]&lt;0),"Error","OK")</f>
        <v>OK</v>
      </c>
    </row>
    <row r="1129" spans="1:25" x14ac:dyDescent="0.2">
      <c r="A1129" t="s">
        <v>1319</v>
      </c>
      <c r="B1129" t="s">
        <v>1312</v>
      </c>
      <c r="C1129" s="2">
        <v>46301</v>
      </c>
      <c r="D1129" t="s">
        <v>67</v>
      </c>
      <c r="E1129" t="s">
        <v>49</v>
      </c>
      <c r="F1129" t="s">
        <v>54</v>
      </c>
      <c r="G1129" t="s">
        <v>47</v>
      </c>
      <c r="H1129">
        <v>682</v>
      </c>
      <c r="I1129">
        <v>678</v>
      </c>
      <c r="J1129">
        <v>4</v>
      </c>
      <c r="K1129">
        <v>20</v>
      </c>
      <c r="L1129">
        <v>20.85</v>
      </c>
      <c r="M1129">
        <v>236.98</v>
      </c>
      <c r="N1129">
        <f>_xlfn.XLOOKUP(Table13[[#This Row],[Production_Order_ID]],[1]Sheet1!$A$2:$A$391,[1]Sheet1!$F$2:$F$391,"No Match")</f>
        <v>550</v>
      </c>
      <c r="O1129" s="3">
        <f>Table13[[#This Row],[Good_Qty]]/Table13[[#This Row],[Planned_Production]]</f>
        <v>1.2327272727272727</v>
      </c>
      <c r="P1129" t="str">
        <f>IF(Table13[[#This Row],[Good_Qty]]&gt;=Table13[[#This Row],[Planned_Production]],"Met","Not Met")</f>
        <v>Met</v>
      </c>
      <c r="Q1129">
        <f>Table13[[#This Row],[Good_Qty]]-Table13[[#This Row],[Planned_Production]]</f>
        <v>128</v>
      </c>
      <c r="R1129" s="3">
        <f>IF(Table13[[#This Row],[Actual_Qty]]=0,0,Table13[[#This Row],[Reject_Qty]]/Table13[[#This Row],[Actual_Qty]])</f>
        <v>5.8651026392961877E-3</v>
      </c>
      <c r="S1129">
        <v>440.48</v>
      </c>
      <c r="T1129">
        <f>(Table13[[#This Row],[Ideal_Cycle_Time_sec]]*Table13[[#This Row],[Actual_Qty]])/(Table13[[#This Row],[Operational_Time_min]]*60)</f>
        <v>0.51610364450902035</v>
      </c>
      <c r="U1129">
        <f>Table13[[#This Row],[Good_Qty]]/Table13[[#This Row],[Actual_Qty]]</f>
        <v>0.99413489736070382</v>
      </c>
      <c r="V1129" t="str">
        <f>IF(OR(Table13[[#This Row],[Performance_%]]&gt;=1,Table13[[#This Row],[Performance_%]]&lt;=0),"Error","OK")</f>
        <v>OK</v>
      </c>
      <c r="W1129" t="str">
        <f>IF(OR(Table13[[#This Row],[Quality_%]]&gt;=1,Table13[[#This Row],[Quality_%]]&lt;=0),"Error","OK")</f>
        <v>OK</v>
      </c>
      <c r="X1129">
        <f>Table13[[#This Row],[Performance_%]]*Table13[[#This Row],[Quality_%]]*[2]Availability_KPI!K1129</f>
        <v>0.50222222222222213</v>
      </c>
      <c r="Y1129" t="str">
        <f>IF(OR(Table13[[#This Row],[OEE_%]]&gt;1,Table13[[#This Row],[OEE_%]]&lt;0),"Error","OK")</f>
        <v>OK</v>
      </c>
    </row>
    <row r="1130" spans="1:25" x14ac:dyDescent="0.2">
      <c r="A1130" t="s">
        <v>1320</v>
      </c>
      <c r="B1130" t="s">
        <v>1321</v>
      </c>
      <c r="C1130" s="2">
        <v>46302</v>
      </c>
      <c r="D1130" t="s">
        <v>27</v>
      </c>
      <c r="E1130" t="s">
        <v>28</v>
      </c>
      <c r="F1130" t="s">
        <v>54</v>
      </c>
      <c r="G1130" t="s">
        <v>75</v>
      </c>
      <c r="H1130">
        <v>712</v>
      </c>
      <c r="I1130">
        <v>708</v>
      </c>
      <c r="J1130">
        <v>4</v>
      </c>
      <c r="K1130">
        <v>18</v>
      </c>
      <c r="L1130">
        <v>19.579999999999998</v>
      </c>
      <c r="M1130">
        <v>232.31</v>
      </c>
      <c r="N1130">
        <f>_xlfn.XLOOKUP(Table13[[#This Row],[Production_Order_ID]],[1]Sheet1!$A$2:$A$391,[1]Sheet1!$F$2:$F$391,"No Match")</f>
        <v>610</v>
      </c>
      <c r="O1130" s="3">
        <f>Table13[[#This Row],[Good_Qty]]/Table13[[#This Row],[Planned_Production]]</f>
        <v>1.160655737704918</v>
      </c>
      <c r="P1130" t="str">
        <f>IF(Table13[[#This Row],[Good_Qty]]&gt;=Table13[[#This Row],[Planned_Production]],"Met","Not Met")</f>
        <v>Met</v>
      </c>
      <c r="Q1130">
        <f>Table13[[#This Row],[Good_Qty]]-Table13[[#This Row],[Planned_Production]]</f>
        <v>98</v>
      </c>
      <c r="R1130" s="3">
        <f>IF(Table13[[#This Row],[Actual_Qty]]=0,0,Table13[[#This Row],[Reject_Qty]]/Table13[[#This Row],[Actual_Qty]])</f>
        <v>5.6179775280898875E-3</v>
      </c>
      <c r="S1130">
        <v>439.96</v>
      </c>
      <c r="T1130">
        <f>(Table13[[#This Row],[Ideal_Cycle_Time_sec]]*Table13[[#This Row],[Actual_Qty]])/(Table13[[#This Row],[Operational_Time_min]]*60)</f>
        <v>0.48549868169833627</v>
      </c>
      <c r="U1130">
        <f>Table13[[#This Row],[Good_Qty]]/Table13[[#This Row],[Actual_Qty]]</f>
        <v>0.9943820224719101</v>
      </c>
      <c r="V1130" t="str">
        <f>IF(OR(Table13[[#This Row],[Performance_%]]&gt;=1,Table13[[#This Row],[Performance_%]]&lt;=0),"Error","OK")</f>
        <v>OK</v>
      </c>
      <c r="W1130" t="str">
        <f>IF(OR(Table13[[#This Row],[Quality_%]]&gt;=1,Table13[[#This Row],[Quality_%]]&lt;=0),"Error","OK")</f>
        <v>OK</v>
      </c>
      <c r="X1130">
        <f>Table13[[#This Row],[Performance_%]]*Table13[[#This Row],[Quality_%]]*[2]Availability_KPI!K1130</f>
        <v>0.47200000000000003</v>
      </c>
      <c r="Y1130" t="str">
        <f>IF(OR(Table13[[#This Row],[OEE_%]]&gt;1,Table13[[#This Row],[OEE_%]]&lt;0),"Error","OK")</f>
        <v>OK</v>
      </c>
    </row>
    <row r="1131" spans="1:25" x14ac:dyDescent="0.2">
      <c r="A1131" t="s">
        <v>1322</v>
      </c>
      <c r="B1131" t="s">
        <v>1321</v>
      </c>
      <c r="C1131" s="2">
        <v>46302</v>
      </c>
      <c r="D1131" t="s">
        <v>27</v>
      </c>
      <c r="E1131" t="s">
        <v>32</v>
      </c>
      <c r="F1131" t="s">
        <v>54</v>
      </c>
      <c r="G1131" t="s">
        <v>47</v>
      </c>
      <c r="H1131">
        <v>709</v>
      </c>
      <c r="I1131">
        <v>705</v>
      </c>
      <c r="J1131">
        <v>4</v>
      </c>
      <c r="K1131">
        <v>20</v>
      </c>
      <c r="L1131">
        <v>21.39</v>
      </c>
      <c r="M1131">
        <v>252.73</v>
      </c>
      <c r="N1131">
        <f>_xlfn.XLOOKUP(Table13[[#This Row],[Production_Order_ID]],[1]Sheet1!$A$2:$A$391,[1]Sheet1!$F$2:$F$391,"No Match")</f>
        <v>610</v>
      </c>
      <c r="O1131" s="3">
        <f>Table13[[#This Row],[Good_Qty]]/Table13[[#This Row],[Planned_Production]]</f>
        <v>1.1557377049180328</v>
      </c>
      <c r="P1131" t="str">
        <f>IF(Table13[[#This Row],[Good_Qty]]&gt;=Table13[[#This Row],[Planned_Production]],"Met","Not Met")</f>
        <v>Met</v>
      </c>
      <c r="Q1131">
        <f>Table13[[#This Row],[Good_Qty]]-Table13[[#This Row],[Planned_Production]]</f>
        <v>95</v>
      </c>
      <c r="R1131" s="3">
        <f>IF(Table13[[#This Row],[Actual_Qty]]=0,0,Table13[[#This Row],[Reject_Qty]]/Table13[[#This Row],[Actual_Qty]])</f>
        <v>5.6417489421720732E-3</v>
      </c>
      <c r="S1131">
        <v>435.36</v>
      </c>
      <c r="T1131">
        <f>(Table13[[#This Row],[Ideal_Cycle_Time_sec]]*Table13[[#This Row],[Actual_Qty]])/(Table13[[#This Row],[Operational_Time_min]]*60)</f>
        <v>0.54284576748744329</v>
      </c>
      <c r="U1131">
        <f>Table13[[#This Row],[Good_Qty]]/Table13[[#This Row],[Actual_Qty]]</f>
        <v>0.99435825105782794</v>
      </c>
      <c r="V1131" t="str">
        <f>IF(OR(Table13[[#This Row],[Performance_%]]&gt;=1,Table13[[#This Row],[Performance_%]]&lt;=0),"Error","OK")</f>
        <v>OK</v>
      </c>
      <c r="W1131" t="str">
        <f>IF(OR(Table13[[#This Row],[Quality_%]]&gt;=1,Table13[[#This Row],[Quality_%]]&lt;=0),"Error","OK")</f>
        <v>OK</v>
      </c>
      <c r="X1131">
        <f>Table13[[#This Row],[Performance_%]]*Table13[[#This Row],[Quality_%]]*[2]Availability_KPI!K1131</f>
        <v>0.52222222222222225</v>
      </c>
      <c r="Y1131" t="str">
        <f>IF(OR(Table13[[#This Row],[OEE_%]]&gt;1,Table13[[#This Row],[OEE_%]]&lt;0),"Error","OK")</f>
        <v>OK</v>
      </c>
    </row>
    <row r="1132" spans="1:25" x14ac:dyDescent="0.2">
      <c r="A1132" t="s">
        <v>1323</v>
      </c>
      <c r="B1132" t="s">
        <v>1321</v>
      </c>
      <c r="C1132" s="2">
        <v>46302</v>
      </c>
      <c r="D1132" t="s">
        <v>27</v>
      </c>
      <c r="E1132" t="s">
        <v>35</v>
      </c>
      <c r="F1132" t="s">
        <v>54</v>
      </c>
      <c r="G1132" t="s">
        <v>30</v>
      </c>
      <c r="H1132">
        <v>717</v>
      </c>
      <c r="I1132">
        <v>710</v>
      </c>
      <c r="J1132">
        <v>7</v>
      </c>
      <c r="K1132">
        <v>22</v>
      </c>
      <c r="L1132">
        <v>22.57</v>
      </c>
      <c r="M1132">
        <v>269.77</v>
      </c>
      <c r="N1132">
        <f>_xlfn.XLOOKUP(Table13[[#This Row],[Production_Order_ID]],[1]Sheet1!$A$2:$A$391,[1]Sheet1!$F$2:$F$391,"No Match")</f>
        <v>610</v>
      </c>
      <c r="O1132" s="3">
        <f>Table13[[#This Row],[Good_Qty]]/Table13[[#This Row],[Planned_Production]]</f>
        <v>1.1639344262295082</v>
      </c>
      <c r="P1132" t="str">
        <f>IF(Table13[[#This Row],[Good_Qty]]&gt;=Table13[[#This Row],[Planned_Production]],"Met","Not Met")</f>
        <v>Met</v>
      </c>
      <c r="Q1132">
        <f>Table13[[#This Row],[Good_Qty]]-Table13[[#This Row],[Planned_Production]]</f>
        <v>100</v>
      </c>
      <c r="R1132" s="3">
        <f>IF(Table13[[#This Row],[Actual_Qty]]=0,0,Table13[[#This Row],[Reject_Qty]]/Table13[[#This Row],[Actual_Qty]])</f>
        <v>9.7629009762900971E-3</v>
      </c>
      <c r="S1132">
        <v>433.41</v>
      </c>
      <c r="T1132">
        <f>(Table13[[#This Row],[Ideal_Cycle_Time_sec]]*Table13[[#This Row],[Actual_Qty]])/(Table13[[#This Row],[Operational_Time_min]]*60)</f>
        <v>0.60658498880967204</v>
      </c>
      <c r="U1132">
        <f>Table13[[#This Row],[Good_Qty]]/Table13[[#This Row],[Actual_Qty]]</f>
        <v>0.99023709902370993</v>
      </c>
      <c r="V1132" t="str">
        <f>IF(OR(Table13[[#This Row],[Performance_%]]&gt;=1,Table13[[#This Row],[Performance_%]]&lt;=0),"Error","OK")</f>
        <v>OK</v>
      </c>
      <c r="W1132" t="str">
        <f>IF(OR(Table13[[#This Row],[Quality_%]]&gt;=1,Table13[[#This Row],[Quality_%]]&lt;=0),"Error","OK")</f>
        <v>OK</v>
      </c>
      <c r="X1132">
        <f>Table13[[#This Row],[Performance_%]]*Table13[[#This Row],[Quality_%]]*[2]Availability_KPI!K1132</f>
        <v>0.57851851851851854</v>
      </c>
      <c r="Y1132" t="str">
        <f>IF(OR(Table13[[#This Row],[OEE_%]]&gt;1,Table13[[#This Row],[OEE_%]]&lt;0),"Error","OK")</f>
        <v>OK</v>
      </c>
    </row>
    <row r="1133" spans="1:25" x14ac:dyDescent="0.2">
      <c r="A1133" t="s">
        <v>1324</v>
      </c>
      <c r="B1133" t="s">
        <v>1321</v>
      </c>
      <c r="C1133" s="2">
        <v>46302</v>
      </c>
      <c r="D1133" t="s">
        <v>27</v>
      </c>
      <c r="E1133" t="s">
        <v>38</v>
      </c>
      <c r="F1133" t="s">
        <v>54</v>
      </c>
      <c r="G1133" t="s">
        <v>50</v>
      </c>
      <c r="H1133">
        <v>713</v>
      </c>
      <c r="I1133">
        <v>707</v>
      </c>
      <c r="J1133">
        <v>6</v>
      </c>
      <c r="K1133">
        <v>20</v>
      </c>
      <c r="L1133">
        <v>20.51</v>
      </c>
      <c r="M1133">
        <v>243.68</v>
      </c>
      <c r="N1133">
        <f>_xlfn.XLOOKUP(Table13[[#This Row],[Production_Order_ID]],[1]Sheet1!$A$2:$A$391,[1]Sheet1!$F$2:$F$391,"No Match")</f>
        <v>610</v>
      </c>
      <c r="O1133" s="3">
        <f>Table13[[#This Row],[Good_Qty]]/Table13[[#This Row],[Planned_Production]]</f>
        <v>1.159016393442623</v>
      </c>
      <c r="P1133" t="str">
        <f>IF(Table13[[#This Row],[Good_Qty]]&gt;=Table13[[#This Row],[Planned_Production]],"Met","Not Met")</f>
        <v>Met</v>
      </c>
      <c r="Q1133">
        <f>Table13[[#This Row],[Good_Qty]]-Table13[[#This Row],[Planned_Production]]</f>
        <v>97</v>
      </c>
      <c r="R1133" s="3">
        <f>IF(Table13[[#This Row],[Actual_Qty]]=0,0,Table13[[#This Row],[Reject_Qty]]/Table13[[#This Row],[Actual_Qty]])</f>
        <v>8.4151472650771386E-3</v>
      </c>
      <c r="S1133">
        <v>439.1</v>
      </c>
      <c r="T1133">
        <f>(Table13[[#This Row],[Ideal_Cycle_Time_sec]]*Table13[[#This Row],[Actual_Qty]])/(Table13[[#This Row],[Operational_Time_min]]*60)</f>
        <v>0.54125863508692018</v>
      </c>
      <c r="U1133">
        <f>Table13[[#This Row],[Good_Qty]]/Table13[[#This Row],[Actual_Qty]]</f>
        <v>0.99158485273492281</v>
      </c>
      <c r="V1133" t="str">
        <f>IF(OR(Table13[[#This Row],[Performance_%]]&gt;=1,Table13[[#This Row],[Performance_%]]&lt;=0),"Error","OK")</f>
        <v>OK</v>
      </c>
      <c r="W1133" t="str">
        <f>IF(OR(Table13[[#This Row],[Quality_%]]&gt;=1,Table13[[#This Row],[Quality_%]]&lt;=0),"Error","OK")</f>
        <v>OK</v>
      </c>
      <c r="X1133">
        <f>Table13[[#This Row],[Performance_%]]*Table13[[#This Row],[Quality_%]]*[2]Availability_KPI!K1133</f>
        <v>0.52370370370370367</v>
      </c>
      <c r="Y1133" t="str">
        <f>IF(OR(Table13[[#This Row],[OEE_%]]&gt;1,Table13[[#This Row],[OEE_%]]&lt;0),"Error","OK")</f>
        <v>OK</v>
      </c>
    </row>
    <row r="1134" spans="1:25" x14ac:dyDescent="0.2">
      <c r="A1134" t="s">
        <v>1325</v>
      </c>
      <c r="B1134" t="s">
        <v>1321</v>
      </c>
      <c r="C1134" s="2">
        <v>46302</v>
      </c>
      <c r="D1134" t="s">
        <v>27</v>
      </c>
      <c r="E1134" t="s">
        <v>41</v>
      </c>
      <c r="F1134" t="s">
        <v>54</v>
      </c>
      <c r="G1134" t="s">
        <v>47</v>
      </c>
      <c r="H1134">
        <v>707</v>
      </c>
      <c r="I1134">
        <v>701</v>
      </c>
      <c r="J1134">
        <v>6</v>
      </c>
      <c r="K1134">
        <v>18</v>
      </c>
      <c r="L1134">
        <v>18.79</v>
      </c>
      <c r="M1134">
        <v>221.44</v>
      </c>
      <c r="N1134">
        <f>_xlfn.XLOOKUP(Table13[[#This Row],[Production_Order_ID]],[1]Sheet1!$A$2:$A$391,[1]Sheet1!$F$2:$F$391,"No Match")</f>
        <v>610</v>
      </c>
      <c r="O1134" s="3">
        <f>Table13[[#This Row],[Good_Qty]]/Table13[[#This Row],[Planned_Production]]</f>
        <v>1.1491803278688524</v>
      </c>
      <c r="P1134" t="str">
        <f>IF(Table13[[#This Row],[Good_Qty]]&gt;=Table13[[#This Row],[Planned_Production]],"Met","Not Met")</f>
        <v>Met</v>
      </c>
      <c r="Q1134">
        <f>Table13[[#This Row],[Good_Qty]]-Table13[[#This Row],[Planned_Production]]</f>
        <v>91</v>
      </c>
      <c r="R1134" s="3">
        <f>IF(Table13[[#This Row],[Actual_Qty]]=0,0,Table13[[#This Row],[Reject_Qty]]/Table13[[#This Row],[Actual_Qty]])</f>
        <v>8.4865629420084864E-3</v>
      </c>
      <c r="S1134">
        <v>433.49</v>
      </c>
      <c r="T1134">
        <f>(Table13[[#This Row],[Ideal_Cycle_Time_sec]]*Table13[[#This Row],[Actual_Qty]])/(Table13[[#This Row],[Operational_Time_min]]*60)</f>
        <v>0.48928464324436549</v>
      </c>
      <c r="U1134">
        <f>Table13[[#This Row],[Good_Qty]]/Table13[[#This Row],[Actual_Qty]]</f>
        <v>0.99151343705799155</v>
      </c>
      <c r="V1134" t="str">
        <f>IF(OR(Table13[[#This Row],[Performance_%]]&gt;=1,Table13[[#This Row],[Performance_%]]&lt;=0),"Error","OK")</f>
        <v>OK</v>
      </c>
      <c r="W1134" t="str">
        <f>IF(OR(Table13[[#This Row],[Quality_%]]&gt;=1,Table13[[#This Row],[Quality_%]]&lt;=0),"Error","OK")</f>
        <v>OK</v>
      </c>
      <c r="X1134">
        <f>Table13[[#This Row],[Performance_%]]*Table13[[#This Row],[Quality_%]]*[2]Availability_KPI!K1134</f>
        <v>0.46733333333333338</v>
      </c>
      <c r="Y1134" t="str">
        <f>IF(OR(Table13[[#This Row],[OEE_%]]&gt;1,Table13[[#This Row],[OEE_%]]&lt;0),"Error","OK")</f>
        <v>OK</v>
      </c>
    </row>
    <row r="1135" spans="1:25" x14ac:dyDescent="0.2">
      <c r="A1135" t="s">
        <v>1326</v>
      </c>
      <c r="B1135" t="s">
        <v>1321</v>
      </c>
      <c r="C1135" s="2">
        <v>46302</v>
      </c>
      <c r="D1135" t="s">
        <v>27</v>
      </c>
      <c r="E1135" t="s">
        <v>43</v>
      </c>
      <c r="F1135" t="s">
        <v>54</v>
      </c>
      <c r="G1135" t="s">
        <v>71</v>
      </c>
      <c r="H1135">
        <v>719</v>
      </c>
      <c r="I1135">
        <v>707</v>
      </c>
      <c r="J1135">
        <v>12</v>
      </c>
      <c r="K1135">
        <v>32</v>
      </c>
      <c r="L1135">
        <v>36.35</v>
      </c>
      <c r="M1135">
        <v>435.59</v>
      </c>
      <c r="N1135">
        <f>_xlfn.XLOOKUP(Table13[[#This Row],[Production_Order_ID]],[1]Sheet1!$A$2:$A$391,[1]Sheet1!$F$2:$F$391,"No Match")</f>
        <v>610</v>
      </c>
      <c r="O1135" s="3">
        <f>Table13[[#This Row],[Good_Qty]]/Table13[[#This Row],[Planned_Production]]</f>
        <v>1.159016393442623</v>
      </c>
      <c r="P1135" t="str">
        <f>IF(Table13[[#This Row],[Good_Qty]]&gt;=Table13[[#This Row],[Planned_Production]],"Met","Not Met")</f>
        <v>Met</v>
      </c>
      <c r="Q1135">
        <f>Table13[[#This Row],[Good_Qty]]-Table13[[#This Row],[Planned_Production]]</f>
        <v>97</v>
      </c>
      <c r="R1135" s="3">
        <f>IF(Table13[[#This Row],[Actual_Qty]]=0,0,Table13[[#This Row],[Reject_Qty]]/Table13[[#This Row],[Actual_Qty]])</f>
        <v>1.6689847009735744E-2</v>
      </c>
      <c r="S1135">
        <v>415.59000000000003</v>
      </c>
      <c r="T1135">
        <f>(Table13[[#This Row],[Ideal_Cycle_Time_sec]]*Table13[[#This Row],[Actual_Qty]])/(Table13[[#This Row],[Operational_Time_min]]*60)</f>
        <v>0.92270426782806769</v>
      </c>
      <c r="U1135">
        <f>Table13[[#This Row],[Good_Qty]]/Table13[[#This Row],[Actual_Qty]]</f>
        <v>0.98331015299026425</v>
      </c>
      <c r="V1135" t="str">
        <f>IF(OR(Table13[[#This Row],[Performance_%]]&gt;=1,Table13[[#This Row],[Performance_%]]&lt;=0),"Error","OK")</f>
        <v>OK</v>
      </c>
      <c r="W1135" t="str">
        <f>IF(OR(Table13[[#This Row],[Quality_%]]&gt;=1,Table13[[#This Row],[Quality_%]]&lt;=0),"Error","OK")</f>
        <v>OK</v>
      </c>
      <c r="X1135">
        <f>Table13[[#This Row],[Performance_%]]*Table13[[#This Row],[Quality_%]]*[2]Availability_KPI!K1135</f>
        <v>0.83792592592592596</v>
      </c>
      <c r="Y1135" t="str">
        <f>IF(OR(Table13[[#This Row],[OEE_%]]&gt;1,Table13[[#This Row],[OEE_%]]&lt;0),"Error","OK")</f>
        <v>OK</v>
      </c>
    </row>
    <row r="1136" spans="1:25" x14ac:dyDescent="0.2">
      <c r="A1136" t="s">
        <v>1327</v>
      </c>
      <c r="B1136" t="s">
        <v>1321</v>
      </c>
      <c r="C1136" s="2">
        <v>46302</v>
      </c>
      <c r="D1136" t="s">
        <v>27</v>
      </c>
      <c r="E1136" t="s">
        <v>46</v>
      </c>
      <c r="F1136" t="s">
        <v>54</v>
      </c>
      <c r="G1136" t="s">
        <v>33</v>
      </c>
      <c r="H1136">
        <v>726</v>
      </c>
      <c r="I1136">
        <v>720</v>
      </c>
      <c r="J1136">
        <v>6</v>
      </c>
      <c r="K1136">
        <v>25</v>
      </c>
      <c r="L1136">
        <v>26.23</v>
      </c>
      <c r="M1136">
        <v>317.42</v>
      </c>
      <c r="N1136">
        <f>_xlfn.XLOOKUP(Table13[[#This Row],[Production_Order_ID]],[1]Sheet1!$A$2:$A$391,[1]Sheet1!$F$2:$F$391,"No Match")</f>
        <v>610</v>
      </c>
      <c r="O1136" s="3">
        <f>Table13[[#This Row],[Good_Qty]]/Table13[[#This Row],[Planned_Production]]</f>
        <v>1.180327868852459</v>
      </c>
      <c r="P1136" t="str">
        <f>IF(Table13[[#This Row],[Good_Qty]]&gt;=Table13[[#This Row],[Planned_Production]],"Met","Not Met")</f>
        <v>Met</v>
      </c>
      <c r="Q1136">
        <f>Table13[[#This Row],[Good_Qty]]-Table13[[#This Row],[Planned_Production]]</f>
        <v>110</v>
      </c>
      <c r="R1136" s="3">
        <f>IF(Table13[[#This Row],[Actual_Qty]]=0,0,Table13[[#This Row],[Reject_Qty]]/Table13[[#This Row],[Actual_Qty]])</f>
        <v>8.2644628099173556E-3</v>
      </c>
      <c r="S1136">
        <v>422.32</v>
      </c>
      <c r="T1136">
        <f>(Table13[[#This Row],[Ideal_Cycle_Time_sec]]*Table13[[#This Row],[Actual_Qty]])/(Table13[[#This Row],[Operational_Time_min]]*60)</f>
        <v>0.71628149270695207</v>
      </c>
      <c r="U1136">
        <f>Table13[[#This Row],[Good_Qty]]/Table13[[#This Row],[Actual_Qty]]</f>
        <v>0.99173553719008267</v>
      </c>
      <c r="V1136" t="str">
        <f>IF(OR(Table13[[#This Row],[Performance_%]]&gt;=1,Table13[[#This Row],[Performance_%]]&lt;=0),"Error","OK")</f>
        <v>OK</v>
      </c>
      <c r="W1136" t="str">
        <f>IF(OR(Table13[[#This Row],[Quality_%]]&gt;=1,Table13[[#This Row],[Quality_%]]&lt;=0),"Error","OK")</f>
        <v>OK</v>
      </c>
      <c r="X1136">
        <f>Table13[[#This Row],[Performance_%]]*Table13[[#This Row],[Quality_%]]*[2]Availability_KPI!K1136</f>
        <v>0.66666666666666674</v>
      </c>
      <c r="Y1136" t="str">
        <f>IF(OR(Table13[[#This Row],[OEE_%]]&gt;1,Table13[[#This Row],[OEE_%]]&lt;0),"Error","OK")</f>
        <v>OK</v>
      </c>
    </row>
    <row r="1137" spans="1:25" x14ac:dyDescent="0.2">
      <c r="A1137" t="s">
        <v>1328</v>
      </c>
      <c r="B1137" t="s">
        <v>1321</v>
      </c>
      <c r="C1137" s="2">
        <v>46302</v>
      </c>
      <c r="D1137" t="s">
        <v>27</v>
      </c>
      <c r="E1137" t="s">
        <v>49</v>
      </c>
      <c r="F1137" t="s">
        <v>54</v>
      </c>
      <c r="G1137" t="s">
        <v>55</v>
      </c>
      <c r="H1137">
        <v>729</v>
      </c>
      <c r="I1137">
        <v>724</v>
      </c>
      <c r="J1137">
        <v>5</v>
      </c>
      <c r="K1137">
        <v>20</v>
      </c>
      <c r="L1137">
        <v>20.25</v>
      </c>
      <c r="M1137">
        <v>246.07</v>
      </c>
      <c r="N1137">
        <f>_xlfn.XLOOKUP(Table13[[#This Row],[Production_Order_ID]],[1]Sheet1!$A$2:$A$391,[1]Sheet1!$F$2:$F$391,"No Match")</f>
        <v>610</v>
      </c>
      <c r="O1137" s="3">
        <f>Table13[[#This Row],[Good_Qty]]/Table13[[#This Row],[Planned_Production]]</f>
        <v>1.1868852459016392</v>
      </c>
      <c r="P1137" t="str">
        <f>IF(Table13[[#This Row],[Good_Qty]]&gt;=Table13[[#This Row],[Planned_Production]],"Met","Not Met")</f>
        <v>Met</v>
      </c>
      <c r="Q1137">
        <f>Table13[[#This Row],[Good_Qty]]-Table13[[#This Row],[Planned_Production]]</f>
        <v>114</v>
      </c>
      <c r="R1137" s="3">
        <f>IF(Table13[[#This Row],[Actual_Qty]]=0,0,Table13[[#This Row],[Reject_Qty]]/Table13[[#This Row],[Actual_Qty]])</f>
        <v>6.8587105624142658E-3</v>
      </c>
      <c r="S1137">
        <v>439.27</v>
      </c>
      <c r="T1137">
        <f>(Table13[[#This Row],[Ideal_Cycle_Time_sec]]*Table13[[#This Row],[Actual_Qty]])/(Table13[[#This Row],[Operational_Time_min]]*60)</f>
        <v>0.55319052063651064</v>
      </c>
      <c r="U1137">
        <f>Table13[[#This Row],[Good_Qty]]/Table13[[#This Row],[Actual_Qty]]</f>
        <v>0.99314128943758573</v>
      </c>
      <c r="V1137" t="str">
        <f>IF(OR(Table13[[#This Row],[Performance_%]]&gt;=1,Table13[[#This Row],[Performance_%]]&lt;=0),"Error","OK")</f>
        <v>OK</v>
      </c>
      <c r="W1137" t="str">
        <f>IF(OR(Table13[[#This Row],[Quality_%]]&gt;=1,Table13[[#This Row],[Quality_%]]&lt;=0),"Error","OK")</f>
        <v>OK</v>
      </c>
      <c r="X1137">
        <f>Table13[[#This Row],[Performance_%]]*Table13[[#This Row],[Quality_%]]*[2]Availability_KPI!K1137</f>
        <v>0.53629629629629638</v>
      </c>
      <c r="Y1137" t="str">
        <f>IF(OR(Table13[[#This Row],[OEE_%]]&gt;1,Table13[[#This Row],[OEE_%]]&lt;0),"Error","OK")</f>
        <v>OK</v>
      </c>
    </row>
    <row r="1138" spans="1:25" x14ac:dyDescent="0.2">
      <c r="A1138" t="s">
        <v>1329</v>
      </c>
      <c r="B1138" t="s">
        <v>1330</v>
      </c>
      <c r="C1138" s="2">
        <v>46302</v>
      </c>
      <c r="D1138" t="s">
        <v>53</v>
      </c>
      <c r="E1138" t="s">
        <v>28</v>
      </c>
      <c r="F1138" t="s">
        <v>54</v>
      </c>
      <c r="G1138" t="s">
        <v>57</v>
      </c>
      <c r="H1138">
        <v>645</v>
      </c>
      <c r="I1138">
        <v>641</v>
      </c>
      <c r="J1138">
        <v>4</v>
      </c>
      <c r="K1138">
        <v>18</v>
      </c>
      <c r="L1138">
        <v>18.36</v>
      </c>
      <c r="M1138">
        <v>197.36</v>
      </c>
      <c r="N1138">
        <f>_xlfn.XLOOKUP(Table13[[#This Row],[Production_Order_ID]],[1]Sheet1!$A$2:$A$391,[1]Sheet1!$F$2:$F$391,"No Match")</f>
        <v>580</v>
      </c>
      <c r="O1138" s="3">
        <f>Table13[[#This Row],[Good_Qty]]/Table13[[#This Row],[Planned_Production]]</f>
        <v>1.1051724137931034</v>
      </c>
      <c r="P1138" t="str">
        <f>IF(Table13[[#This Row],[Good_Qty]]&gt;=Table13[[#This Row],[Planned_Production]],"Met","Not Met")</f>
        <v>Met</v>
      </c>
      <c r="Q1138">
        <f>Table13[[#This Row],[Good_Qty]]-Table13[[#This Row],[Planned_Production]]</f>
        <v>61</v>
      </c>
      <c r="R1138" s="3">
        <f>IF(Table13[[#This Row],[Actual_Qty]]=0,0,Table13[[#This Row],[Reject_Qty]]/Table13[[#This Row],[Actual_Qty]])</f>
        <v>6.2015503875968991E-3</v>
      </c>
      <c r="S1138">
        <v>440.58</v>
      </c>
      <c r="T1138">
        <f>(Table13[[#This Row],[Ideal_Cycle_Time_sec]]*Table13[[#This Row],[Actual_Qty]])/(Table13[[#This Row],[Operational_Time_min]]*60)</f>
        <v>0.43919379000408554</v>
      </c>
      <c r="U1138">
        <f>Table13[[#This Row],[Good_Qty]]/Table13[[#This Row],[Actual_Qty]]</f>
        <v>0.99379844961240305</v>
      </c>
      <c r="V1138" t="str">
        <f>IF(OR(Table13[[#This Row],[Performance_%]]&gt;=1,Table13[[#This Row],[Performance_%]]&lt;=0),"Error","OK")</f>
        <v>OK</v>
      </c>
      <c r="W1138" t="str">
        <f>IF(OR(Table13[[#This Row],[Quality_%]]&gt;=1,Table13[[#This Row],[Quality_%]]&lt;=0),"Error","OK")</f>
        <v>OK</v>
      </c>
      <c r="X1138">
        <f>Table13[[#This Row],[Performance_%]]*Table13[[#This Row],[Quality_%]]*[2]Availability_KPI!K1138</f>
        <v>0.42733333333333329</v>
      </c>
      <c r="Y1138" t="str">
        <f>IF(OR(Table13[[#This Row],[OEE_%]]&gt;1,Table13[[#This Row],[OEE_%]]&lt;0),"Error","OK")</f>
        <v>OK</v>
      </c>
    </row>
    <row r="1139" spans="1:25" x14ac:dyDescent="0.2">
      <c r="A1139" t="s">
        <v>1331</v>
      </c>
      <c r="B1139" t="s">
        <v>1330</v>
      </c>
      <c r="C1139" s="2">
        <v>46302</v>
      </c>
      <c r="D1139" t="s">
        <v>53</v>
      </c>
      <c r="E1139" t="s">
        <v>32</v>
      </c>
      <c r="F1139" t="s">
        <v>54</v>
      </c>
      <c r="G1139" t="s">
        <v>36</v>
      </c>
      <c r="H1139">
        <v>627</v>
      </c>
      <c r="I1139">
        <v>623</v>
      </c>
      <c r="J1139">
        <v>4</v>
      </c>
      <c r="K1139">
        <v>20</v>
      </c>
      <c r="L1139">
        <v>21.31</v>
      </c>
      <c r="M1139">
        <v>222.69</v>
      </c>
      <c r="N1139">
        <f>_xlfn.XLOOKUP(Table13[[#This Row],[Production_Order_ID]],[1]Sheet1!$A$2:$A$391,[1]Sheet1!$F$2:$F$391,"No Match")</f>
        <v>580</v>
      </c>
      <c r="O1139" s="3">
        <f>Table13[[#This Row],[Good_Qty]]/Table13[[#This Row],[Planned_Production]]</f>
        <v>1.0741379310344827</v>
      </c>
      <c r="P1139" t="str">
        <f>IF(Table13[[#This Row],[Good_Qty]]&gt;=Table13[[#This Row],[Planned_Production]],"Met","Not Met")</f>
        <v>Met</v>
      </c>
      <c r="Q1139">
        <f>Table13[[#This Row],[Good_Qty]]-Table13[[#This Row],[Planned_Production]]</f>
        <v>43</v>
      </c>
      <c r="R1139" s="3">
        <f>IF(Table13[[#This Row],[Actual_Qty]]=0,0,Table13[[#This Row],[Reject_Qty]]/Table13[[#This Row],[Actual_Qty]])</f>
        <v>6.379585326953748E-3</v>
      </c>
      <c r="S1139">
        <v>434.93</v>
      </c>
      <c r="T1139">
        <f>(Table13[[#This Row],[Ideal_Cycle_Time_sec]]*Table13[[#This Row],[Actual_Qty]])/(Table13[[#This Row],[Operational_Time_min]]*60)</f>
        <v>0.48053709792380384</v>
      </c>
      <c r="U1139">
        <f>Table13[[#This Row],[Good_Qty]]/Table13[[#This Row],[Actual_Qty]]</f>
        <v>0.99362041467304629</v>
      </c>
      <c r="V1139" t="str">
        <f>IF(OR(Table13[[#This Row],[Performance_%]]&gt;=1,Table13[[#This Row],[Performance_%]]&lt;=0),"Error","OK")</f>
        <v>OK</v>
      </c>
      <c r="W1139" t="str">
        <f>IF(OR(Table13[[#This Row],[Quality_%]]&gt;=1,Table13[[#This Row],[Quality_%]]&lt;=0),"Error","OK")</f>
        <v>OK</v>
      </c>
      <c r="X1139">
        <f>Table13[[#This Row],[Performance_%]]*Table13[[#This Row],[Quality_%]]*[2]Availability_KPI!K1139</f>
        <v>0.46148148148148149</v>
      </c>
      <c r="Y1139" t="str">
        <f>IF(OR(Table13[[#This Row],[OEE_%]]&gt;1,Table13[[#This Row],[OEE_%]]&lt;0),"Error","OK")</f>
        <v>OK</v>
      </c>
    </row>
    <row r="1140" spans="1:25" x14ac:dyDescent="0.2">
      <c r="A1140" t="s">
        <v>1332</v>
      </c>
      <c r="B1140" t="s">
        <v>1330</v>
      </c>
      <c r="C1140" s="2">
        <v>46302</v>
      </c>
      <c r="D1140" t="s">
        <v>53</v>
      </c>
      <c r="E1140" t="s">
        <v>35</v>
      </c>
      <c r="F1140" t="s">
        <v>54</v>
      </c>
      <c r="G1140" t="s">
        <v>50</v>
      </c>
      <c r="H1140">
        <v>615</v>
      </c>
      <c r="I1140">
        <v>613</v>
      </c>
      <c r="J1140">
        <v>2</v>
      </c>
      <c r="K1140">
        <v>22</v>
      </c>
      <c r="L1140">
        <v>23.66</v>
      </c>
      <c r="M1140">
        <v>242.55</v>
      </c>
      <c r="N1140">
        <f>_xlfn.XLOOKUP(Table13[[#This Row],[Production_Order_ID]],[1]Sheet1!$A$2:$A$391,[1]Sheet1!$F$2:$F$391,"No Match")</f>
        <v>580</v>
      </c>
      <c r="O1140" s="3">
        <f>Table13[[#This Row],[Good_Qty]]/Table13[[#This Row],[Planned_Production]]</f>
        <v>1.056896551724138</v>
      </c>
      <c r="P1140" t="str">
        <f>IF(Table13[[#This Row],[Good_Qty]]&gt;=Table13[[#This Row],[Planned_Production]],"Met","Not Met")</f>
        <v>Met</v>
      </c>
      <c r="Q1140">
        <f>Table13[[#This Row],[Good_Qty]]-Table13[[#This Row],[Planned_Production]]</f>
        <v>33</v>
      </c>
      <c r="R1140" s="3">
        <f>IF(Table13[[#This Row],[Actual_Qty]]=0,0,Table13[[#This Row],[Reject_Qty]]/Table13[[#This Row],[Actual_Qty]])</f>
        <v>3.2520325203252032E-3</v>
      </c>
      <c r="S1140">
        <v>430.88</v>
      </c>
      <c r="T1140">
        <f>(Table13[[#This Row],[Ideal_Cycle_Time_sec]]*Table13[[#This Row],[Actual_Qty]])/(Table13[[#This Row],[Operational_Time_min]]*60)</f>
        <v>0.52334756776828817</v>
      </c>
      <c r="U1140">
        <f>Table13[[#This Row],[Good_Qty]]/Table13[[#This Row],[Actual_Qty]]</f>
        <v>0.99674796747967476</v>
      </c>
      <c r="V1140" t="str">
        <f>IF(OR(Table13[[#This Row],[Performance_%]]&gt;=1,Table13[[#This Row],[Performance_%]]&lt;=0),"Error","OK")</f>
        <v>OK</v>
      </c>
      <c r="W1140" t="str">
        <f>IF(OR(Table13[[#This Row],[Quality_%]]&gt;=1,Table13[[#This Row],[Quality_%]]&lt;=0),"Error","OK")</f>
        <v>OK</v>
      </c>
      <c r="X1140">
        <f>Table13[[#This Row],[Performance_%]]*Table13[[#This Row],[Quality_%]]*[2]Availability_KPI!K1140</f>
        <v>0.49948148148148153</v>
      </c>
      <c r="Y1140" t="str">
        <f>IF(OR(Table13[[#This Row],[OEE_%]]&gt;1,Table13[[#This Row],[OEE_%]]&lt;0),"Error","OK")</f>
        <v>OK</v>
      </c>
    </row>
    <row r="1141" spans="1:25" x14ac:dyDescent="0.2">
      <c r="A1141" t="s">
        <v>1333</v>
      </c>
      <c r="B1141" t="s">
        <v>1330</v>
      </c>
      <c r="C1141" s="2">
        <v>46302</v>
      </c>
      <c r="D1141" t="s">
        <v>53</v>
      </c>
      <c r="E1141" t="s">
        <v>38</v>
      </c>
      <c r="F1141" t="s">
        <v>54</v>
      </c>
      <c r="G1141" t="s">
        <v>57</v>
      </c>
      <c r="H1141">
        <v>631</v>
      </c>
      <c r="I1141">
        <v>629</v>
      </c>
      <c r="J1141">
        <v>2</v>
      </c>
      <c r="K1141">
        <v>20</v>
      </c>
      <c r="L1141">
        <v>21.05</v>
      </c>
      <c r="M1141">
        <v>221.36</v>
      </c>
      <c r="N1141">
        <f>_xlfn.XLOOKUP(Table13[[#This Row],[Production_Order_ID]],[1]Sheet1!$A$2:$A$391,[1]Sheet1!$F$2:$F$391,"No Match")</f>
        <v>580</v>
      </c>
      <c r="O1141" s="3">
        <f>Table13[[#This Row],[Good_Qty]]/Table13[[#This Row],[Planned_Production]]</f>
        <v>1.0844827586206895</v>
      </c>
      <c r="P1141" t="str">
        <f>IF(Table13[[#This Row],[Good_Qty]]&gt;=Table13[[#This Row],[Planned_Production]],"Met","Not Met")</f>
        <v>Met</v>
      </c>
      <c r="Q1141">
        <f>Table13[[#This Row],[Good_Qty]]-Table13[[#This Row],[Planned_Production]]</f>
        <v>49</v>
      </c>
      <c r="R1141" s="3">
        <f>IF(Table13[[#This Row],[Actual_Qty]]=0,0,Table13[[#This Row],[Reject_Qty]]/Table13[[#This Row],[Actual_Qty]])</f>
        <v>3.1695721077654518E-3</v>
      </c>
      <c r="S1141">
        <v>441.1</v>
      </c>
      <c r="T1141">
        <f>(Table13[[#This Row],[Ideal_Cycle_Time_sec]]*Table13[[#This Row],[Actual_Qty]])/(Table13[[#This Row],[Operational_Time_min]]*60)</f>
        <v>0.47683820751152423</v>
      </c>
      <c r="U1141">
        <f>Table13[[#This Row],[Good_Qty]]/Table13[[#This Row],[Actual_Qty]]</f>
        <v>0.99683042789223453</v>
      </c>
      <c r="V1141" t="str">
        <f>IF(OR(Table13[[#This Row],[Performance_%]]&gt;=1,Table13[[#This Row],[Performance_%]]&lt;=0),"Error","OK")</f>
        <v>OK</v>
      </c>
      <c r="W1141" t="str">
        <f>IF(OR(Table13[[#This Row],[Quality_%]]&gt;=1,Table13[[#This Row],[Quality_%]]&lt;=0),"Error","OK")</f>
        <v>OK</v>
      </c>
      <c r="X1141">
        <f>Table13[[#This Row],[Performance_%]]*Table13[[#This Row],[Quality_%]]*[2]Availability_KPI!K1141</f>
        <v>0.46592592592592597</v>
      </c>
      <c r="Y1141" t="str">
        <f>IF(OR(Table13[[#This Row],[OEE_%]]&gt;1,Table13[[#This Row],[OEE_%]]&lt;0),"Error","OK")</f>
        <v>OK</v>
      </c>
    </row>
    <row r="1142" spans="1:25" x14ac:dyDescent="0.2">
      <c r="A1142" t="s">
        <v>1334</v>
      </c>
      <c r="B1142" t="s">
        <v>1330</v>
      </c>
      <c r="C1142" s="2">
        <v>46302</v>
      </c>
      <c r="D1142" t="s">
        <v>53</v>
      </c>
      <c r="E1142" t="s">
        <v>41</v>
      </c>
      <c r="F1142" t="s">
        <v>54</v>
      </c>
      <c r="G1142" t="s">
        <v>33</v>
      </c>
      <c r="H1142">
        <v>639</v>
      </c>
      <c r="I1142">
        <v>635</v>
      </c>
      <c r="J1142">
        <v>4</v>
      </c>
      <c r="K1142">
        <v>18</v>
      </c>
      <c r="L1142">
        <v>18.88</v>
      </c>
      <c r="M1142">
        <v>201.07</v>
      </c>
      <c r="N1142">
        <f>_xlfn.XLOOKUP(Table13[[#This Row],[Production_Order_ID]],[1]Sheet1!$A$2:$A$391,[1]Sheet1!$F$2:$F$391,"No Match")</f>
        <v>580</v>
      </c>
      <c r="O1142" s="3">
        <f>Table13[[#This Row],[Good_Qty]]/Table13[[#This Row],[Planned_Production]]</f>
        <v>1.0948275862068966</v>
      </c>
      <c r="P1142" t="str">
        <f>IF(Table13[[#This Row],[Good_Qty]]&gt;=Table13[[#This Row],[Planned_Production]],"Met","Not Met")</f>
        <v>Met</v>
      </c>
      <c r="Q1142">
        <f>Table13[[#This Row],[Good_Qty]]-Table13[[#This Row],[Planned_Production]]</f>
        <v>55</v>
      </c>
      <c r="R1142" s="3">
        <f>IF(Table13[[#This Row],[Actual_Qty]]=0,0,Table13[[#This Row],[Reject_Qty]]/Table13[[#This Row],[Actual_Qty]])</f>
        <v>6.2597809076682318E-3</v>
      </c>
      <c r="S1142">
        <v>438.13</v>
      </c>
      <c r="T1142">
        <f>(Table13[[#This Row],[Ideal_Cycle_Time_sec]]*Table13[[#This Row],[Actual_Qty]])/(Table13[[#This Row],[Operational_Time_min]]*60)</f>
        <v>0.43754136900006846</v>
      </c>
      <c r="U1142">
        <f>Table13[[#This Row],[Good_Qty]]/Table13[[#This Row],[Actual_Qty]]</f>
        <v>0.99374021909233179</v>
      </c>
      <c r="V1142" t="str">
        <f>IF(OR(Table13[[#This Row],[Performance_%]]&gt;=1,Table13[[#This Row],[Performance_%]]&lt;=0),"Error","OK")</f>
        <v>OK</v>
      </c>
      <c r="W1142" t="str">
        <f>IF(OR(Table13[[#This Row],[Quality_%]]&gt;=1,Table13[[#This Row],[Quality_%]]&lt;=0),"Error","OK")</f>
        <v>OK</v>
      </c>
      <c r="X1142">
        <f>Table13[[#This Row],[Performance_%]]*Table13[[#This Row],[Quality_%]]*[2]Availability_KPI!K1142</f>
        <v>0.42333333333333328</v>
      </c>
      <c r="Y1142" t="str">
        <f>IF(OR(Table13[[#This Row],[OEE_%]]&gt;1,Table13[[#This Row],[OEE_%]]&lt;0),"Error","OK")</f>
        <v>OK</v>
      </c>
    </row>
    <row r="1143" spans="1:25" x14ac:dyDescent="0.2">
      <c r="A1143" t="s">
        <v>1335</v>
      </c>
      <c r="B1143" t="s">
        <v>1330</v>
      </c>
      <c r="C1143" s="2">
        <v>46302</v>
      </c>
      <c r="D1143" t="s">
        <v>53</v>
      </c>
      <c r="E1143" t="s">
        <v>43</v>
      </c>
      <c r="F1143" t="s">
        <v>54</v>
      </c>
      <c r="G1143" t="s">
        <v>55</v>
      </c>
      <c r="H1143">
        <v>633</v>
      </c>
      <c r="I1143">
        <v>625</v>
      </c>
      <c r="J1143">
        <v>8</v>
      </c>
      <c r="K1143">
        <v>32</v>
      </c>
      <c r="L1143">
        <v>34.450000000000003</v>
      </c>
      <c r="M1143">
        <v>363.44</v>
      </c>
      <c r="N1143">
        <f>_xlfn.XLOOKUP(Table13[[#This Row],[Production_Order_ID]],[1]Sheet1!$A$2:$A$391,[1]Sheet1!$F$2:$F$391,"No Match")</f>
        <v>580</v>
      </c>
      <c r="O1143" s="3">
        <f>Table13[[#This Row],[Good_Qty]]/Table13[[#This Row],[Planned_Production]]</f>
        <v>1.0775862068965518</v>
      </c>
      <c r="P1143" t="str">
        <f>IF(Table13[[#This Row],[Good_Qty]]&gt;=Table13[[#This Row],[Planned_Production]],"Met","Not Met")</f>
        <v>Met</v>
      </c>
      <c r="Q1143">
        <f>Table13[[#This Row],[Good_Qty]]-Table13[[#This Row],[Planned_Production]]</f>
        <v>45</v>
      </c>
      <c r="R1143" s="3">
        <f>IF(Table13[[#This Row],[Actual_Qty]]=0,0,Table13[[#This Row],[Reject_Qty]]/Table13[[#This Row],[Actual_Qty]])</f>
        <v>1.2638230647709321E-2</v>
      </c>
      <c r="S1143">
        <v>408.7</v>
      </c>
      <c r="T1143">
        <f>(Table13[[#This Row],[Ideal_Cycle_Time_sec]]*Table13[[#This Row],[Actual_Qty]])/(Table13[[#This Row],[Operational_Time_min]]*60)</f>
        <v>0.82603376559823827</v>
      </c>
      <c r="U1143">
        <f>Table13[[#This Row],[Good_Qty]]/Table13[[#This Row],[Actual_Qty]]</f>
        <v>0.9873617693522907</v>
      </c>
      <c r="V1143" t="str">
        <f>IF(OR(Table13[[#This Row],[Performance_%]]&gt;=1,Table13[[#This Row],[Performance_%]]&lt;=0),"Error","OK")</f>
        <v>OK</v>
      </c>
      <c r="W1143" t="str">
        <f>IF(OR(Table13[[#This Row],[Quality_%]]&gt;=1,Table13[[#This Row],[Quality_%]]&lt;=0),"Error","OK")</f>
        <v>OK</v>
      </c>
      <c r="X1143">
        <f>Table13[[#This Row],[Performance_%]]*Table13[[#This Row],[Quality_%]]*[2]Availability_KPI!K1143</f>
        <v>0.7407407407407407</v>
      </c>
      <c r="Y1143" t="str">
        <f>IF(OR(Table13[[#This Row],[OEE_%]]&gt;1,Table13[[#This Row],[OEE_%]]&lt;0),"Error","OK")</f>
        <v>OK</v>
      </c>
    </row>
    <row r="1144" spans="1:25" x14ac:dyDescent="0.2">
      <c r="A1144" t="s">
        <v>1336</v>
      </c>
      <c r="B1144" t="s">
        <v>1330</v>
      </c>
      <c r="C1144" s="2">
        <v>46302</v>
      </c>
      <c r="D1144" t="s">
        <v>53</v>
      </c>
      <c r="E1144" t="s">
        <v>46</v>
      </c>
      <c r="F1144" t="s">
        <v>54</v>
      </c>
      <c r="G1144" t="s">
        <v>75</v>
      </c>
      <c r="H1144">
        <v>628</v>
      </c>
      <c r="I1144">
        <v>622</v>
      </c>
      <c r="J1144">
        <v>6</v>
      </c>
      <c r="K1144">
        <v>25</v>
      </c>
      <c r="L1144">
        <v>26.69</v>
      </c>
      <c r="M1144">
        <v>279.37</v>
      </c>
      <c r="N1144">
        <f>_xlfn.XLOOKUP(Table13[[#This Row],[Production_Order_ID]],[1]Sheet1!$A$2:$A$391,[1]Sheet1!$F$2:$F$391,"No Match")</f>
        <v>580</v>
      </c>
      <c r="O1144" s="3">
        <f>Table13[[#This Row],[Good_Qty]]/Table13[[#This Row],[Planned_Production]]</f>
        <v>1.0724137931034483</v>
      </c>
      <c r="P1144" t="str">
        <f>IF(Table13[[#This Row],[Good_Qty]]&gt;=Table13[[#This Row],[Planned_Production]],"Met","Not Met")</f>
        <v>Met</v>
      </c>
      <c r="Q1144">
        <f>Table13[[#This Row],[Good_Qty]]-Table13[[#This Row],[Planned_Production]]</f>
        <v>42</v>
      </c>
      <c r="R1144" s="3">
        <f>IF(Table13[[#This Row],[Actual_Qty]]=0,0,Table13[[#This Row],[Reject_Qty]]/Table13[[#This Row],[Actual_Qty]])</f>
        <v>9.5541401273885346E-3</v>
      </c>
      <c r="S1144">
        <v>431.15</v>
      </c>
      <c r="T1144">
        <f>(Table13[[#This Row],[Ideal_Cycle_Time_sec]]*Table13[[#This Row],[Actual_Qty]])/(Table13[[#This Row],[Operational_Time_min]]*60)</f>
        <v>0.60690401639027403</v>
      </c>
      <c r="U1144">
        <f>Table13[[#This Row],[Good_Qty]]/Table13[[#This Row],[Actual_Qty]]</f>
        <v>0.99044585987261147</v>
      </c>
      <c r="V1144" t="str">
        <f>IF(OR(Table13[[#This Row],[Performance_%]]&gt;=1,Table13[[#This Row],[Performance_%]]&lt;=0),"Error","OK")</f>
        <v>OK</v>
      </c>
      <c r="W1144" t="str">
        <f>IF(OR(Table13[[#This Row],[Quality_%]]&gt;=1,Table13[[#This Row],[Quality_%]]&lt;=0),"Error","OK")</f>
        <v>OK</v>
      </c>
      <c r="X1144">
        <f>Table13[[#This Row],[Performance_%]]*Table13[[#This Row],[Quality_%]]*[2]Availability_KPI!K1144</f>
        <v>0.57592592592592584</v>
      </c>
      <c r="Y1144" t="str">
        <f>IF(OR(Table13[[#This Row],[OEE_%]]&gt;1,Table13[[#This Row],[OEE_%]]&lt;0),"Error","OK")</f>
        <v>OK</v>
      </c>
    </row>
    <row r="1145" spans="1:25" x14ac:dyDescent="0.2">
      <c r="A1145" t="s">
        <v>1337</v>
      </c>
      <c r="B1145" t="s">
        <v>1330</v>
      </c>
      <c r="C1145" s="2">
        <v>46302</v>
      </c>
      <c r="D1145" t="s">
        <v>53</v>
      </c>
      <c r="E1145" t="s">
        <v>49</v>
      </c>
      <c r="F1145" t="s">
        <v>54</v>
      </c>
      <c r="G1145" t="s">
        <v>47</v>
      </c>
      <c r="H1145">
        <v>619</v>
      </c>
      <c r="I1145">
        <v>618</v>
      </c>
      <c r="J1145">
        <v>1</v>
      </c>
      <c r="K1145">
        <v>20</v>
      </c>
      <c r="L1145">
        <v>20.64</v>
      </c>
      <c r="M1145">
        <v>212.96</v>
      </c>
      <c r="N1145">
        <f>_xlfn.XLOOKUP(Table13[[#This Row],[Production_Order_ID]],[1]Sheet1!$A$2:$A$391,[1]Sheet1!$F$2:$F$391,"No Match")</f>
        <v>580</v>
      </c>
      <c r="O1145" s="3">
        <f>Table13[[#This Row],[Good_Qty]]/Table13[[#This Row],[Planned_Production]]</f>
        <v>1.0655172413793104</v>
      </c>
      <c r="P1145" t="str">
        <f>IF(Table13[[#This Row],[Good_Qty]]&gt;=Table13[[#This Row],[Planned_Production]],"Met","Not Met")</f>
        <v>Met</v>
      </c>
      <c r="Q1145">
        <f>Table13[[#This Row],[Good_Qty]]-Table13[[#This Row],[Planned_Production]]</f>
        <v>38</v>
      </c>
      <c r="R1145" s="3">
        <f>IF(Table13[[#This Row],[Actual_Qty]]=0,0,Table13[[#This Row],[Reject_Qty]]/Table13[[#This Row],[Actual_Qty]])</f>
        <v>1.6155088852988692E-3</v>
      </c>
      <c r="S1145">
        <v>443.34</v>
      </c>
      <c r="T1145">
        <f>(Table13[[#This Row],[Ideal_Cycle_Time_sec]]*Table13[[#This Row],[Actual_Qty]])/(Table13[[#This Row],[Operational_Time_min]]*60)</f>
        <v>0.46540653524007164</v>
      </c>
      <c r="U1145">
        <f>Table13[[#This Row],[Good_Qty]]/Table13[[#This Row],[Actual_Qty]]</f>
        <v>0.99838449111470118</v>
      </c>
      <c r="V1145" t="str">
        <f>IF(OR(Table13[[#This Row],[Performance_%]]&gt;=1,Table13[[#This Row],[Performance_%]]&lt;=0),"Error","OK")</f>
        <v>OK</v>
      </c>
      <c r="W1145" t="str">
        <f>IF(OR(Table13[[#This Row],[Quality_%]]&gt;=1,Table13[[#This Row],[Quality_%]]&lt;=0),"Error","OK")</f>
        <v>OK</v>
      </c>
      <c r="X1145">
        <f>Table13[[#This Row],[Performance_%]]*Table13[[#This Row],[Quality_%]]*[2]Availability_KPI!K1145</f>
        <v>0.45777777777777784</v>
      </c>
      <c r="Y1145" t="str">
        <f>IF(OR(Table13[[#This Row],[OEE_%]]&gt;1,Table13[[#This Row],[OEE_%]]&lt;0),"Error","OK")</f>
        <v>OK</v>
      </c>
    </row>
    <row r="1146" spans="1:25" x14ac:dyDescent="0.2">
      <c r="A1146" t="s">
        <v>1338</v>
      </c>
      <c r="B1146" t="s">
        <v>1339</v>
      </c>
      <c r="C1146" s="2">
        <v>46302</v>
      </c>
      <c r="D1146" t="s">
        <v>67</v>
      </c>
      <c r="E1146" t="s">
        <v>28</v>
      </c>
      <c r="F1146" t="s">
        <v>54</v>
      </c>
      <c r="G1146" t="s">
        <v>30</v>
      </c>
      <c r="H1146">
        <v>698</v>
      </c>
      <c r="I1146">
        <v>696</v>
      </c>
      <c r="J1146">
        <v>2</v>
      </c>
      <c r="K1146">
        <v>18</v>
      </c>
      <c r="L1146">
        <v>18.68</v>
      </c>
      <c r="M1146">
        <v>217.36</v>
      </c>
      <c r="N1146">
        <f>_xlfn.XLOOKUP(Table13[[#This Row],[Production_Order_ID]],[1]Sheet1!$A$2:$A$391,[1]Sheet1!$F$2:$F$391,"No Match")</f>
        <v>690</v>
      </c>
      <c r="O1146" s="3">
        <f>Table13[[#This Row],[Good_Qty]]/Table13[[#This Row],[Planned_Production]]</f>
        <v>1.008695652173913</v>
      </c>
      <c r="P1146" t="str">
        <f>IF(Table13[[#This Row],[Good_Qty]]&gt;=Table13[[#This Row],[Planned_Production]],"Met","Not Met")</f>
        <v>Met</v>
      </c>
      <c r="Q1146">
        <f>Table13[[#This Row],[Good_Qty]]-Table13[[#This Row],[Planned_Production]]</f>
        <v>6</v>
      </c>
      <c r="R1146" s="3">
        <f>IF(Table13[[#This Row],[Actual_Qty]]=0,0,Table13[[#This Row],[Reject_Qty]]/Table13[[#This Row],[Actual_Qty]])</f>
        <v>2.8653295128939827E-3</v>
      </c>
      <c r="S1146">
        <v>440.97</v>
      </c>
      <c r="T1146">
        <f>(Table13[[#This Row],[Ideal_Cycle_Time_sec]]*Table13[[#This Row],[Actual_Qty]])/(Table13[[#This Row],[Operational_Time_min]]*60)</f>
        <v>0.47486223552622625</v>
      </c>
      <c r="U1146">
        <f>Table13[[#This Row],[Good_Qty]]/Table13[[#This Row],[Actual_Qty]]</f>
        <v>0.99713467048710602</v>
      </c>
      <c r="V1146" t="str">
        <f>IF(OR(Table13[[#This Row],[Performance_%]]&gt;=1,Table13[[#This Row],[Performance_%]]&lt;=0),"Error","OK")</f>
        <v>OK</v>
      </c>
      <c r="W1146" t="str">
        <f>IF(OR(Table13[[#This Row],[Quality_%]]&gt;=1,Table13[[#This Row],[Quality_%]]&lt;=0),"Error","OK")</f>
        <v>OK</v>
      </c>
      <c r="X1146">
        <f>Table13[[#This Row],[Performance_%]]*Table13[[#This Row],[Quality_%]]*[2]Availability_KPI!K1146</f>
        <v>0.46400000000000002</v>
      </c>
      <c r="Y1146" t="str">
        <f>IF(OR(Table13[[#This Row],[OEE_%]]&gt;1,Table13[[#This Row],[OEE_%]]&lt;0),"Error","OK")</f>
        <v>OK</v>
      </c>
    </row>
    <row r="1147" spans="1:25" x14ac:dyDescent="0.2">
      <c r="A1147" t="s">
        <v>1340</v>
      </c>
      <c r="B1147" t="s">
        <v>1339</v>
      </c>
      <c r="C1147" s="2">
        <v>46302</v>
      </c>
      <c r="D1147" t="s">
        <v>67</v>
      </c>
      <c r="E1147" t="s">
        <v>32</v>
      </c>
      <c r="F1147" t="s">
        <v>54</v>
      </c>
      <c r="G1147" t="s">
        <v>36</v>
      </c>
      <c r="H1147">
        <v>705</v>
      </c>
      <c r="I1147">
        <v>699</v>
      </c>
      <c r="J1147">
        <v>6</v>
      </c>
      <c r="K1147">
        <v>20</v>
      </c>
      <c r="L1147">
        <v>20.58</v>
      </c>
      <c r="M1147">
        <v>241.81</v>
      </c>
      <c r="N1147">
        <f>_xlfn.XLOOKUP(Table13[[#This Row],[Production_Order_ID]],[1]Sheet1!$A$2:$A$391,[1]Sheet1!$F$2:$F$391,"No Match")</f>
        <v>690</v>
      </c>
      <c r="O1147" s="3">
        <f>Table13[[#This Row],[Good_Qty]]/Table13[[#This Row],[Planned_Production]]</f>
        <v>1.0130434782608695</v>
      </c>
      <c r="P1147" t="str">
        <f>IF(Table13[[#This Row],[Good_Qty]]&gt;=Table13[[#This Row],[Planned_Production]],"Met","Not Met")</f>
        <v>Met</v>
      </c>
      <c r="Q1147">
        <f>Table13[[#This Row],[Good_Qty]]-Table13[[#This Row],[Planned_Production]]</f>
        <v>9</v>
      </c>
      <c r="R1147" s="3">
        <f>IF(Table13[[#This Row],[Actual_Qty]]=0,0,Table13[[#This Row],[Reject_Qty]]/Table13[[#This Row],[Actual_Qty]])</f>
        <v>8.5106382978723406E-3</v>
      </c>
      <c r="S1147">
        <v>433.56</v>
      </c>
      <c r="T1147">
        <f>(Table13[[#This Row],[Ideal_Cycle_Time_sec]]*Table13[[#This Row],[Actual_Qty]])/(Table13[[#This Row],[Operational_Time_min]]*60)</f>
        <v>0.54202417197158415</v>
      </c>
      <c r="U1147">
        <f>Table13[[#This Row],[Good_Qty]]/Table13[[#This Row],[Actual_Qty]]</f>
        <v>0.99148936170212765</v>
      </c>
      <c r="V1147" t="str">
        <f>IF(OR(Table13[[#This Row],[Performance_%]]&gt;=1,Table13[[#This Row],[Performance_%]]&lt;=0),"Error","OK")</f>
        <v>OK</v>
      </c>
      <c r="W1147" t="str">
        <f>IF(OR(Table13[[#This Row],[Quality_%]]&gt;=1,Table13[[#This Row],[Quality_%]]&lt;=0),"Error","OK")</f>
        <v>OK</v>
      </c>
      <c r="X1147">
        <f>Table13[[#This Row],[Performance_%]]*Table13[[#This Row],[Quality_%]]*[2]Availability_KPI!K1147</f>
        <v>0.51777777777777789</v>
      </c>
      <c r="Y1147" t="str">
        <f>IF(OR(Table13[[#This Row],[OEE_%]]&gt;1,Table13[[#This Row],[OEE_%]]&lt;0),"Error","OK")</f>
        <v>OK</v>
      </c>
    </row>
    <row r="1148" spans="1:25" x14ac:dyDescent="0.2">
      <c r="A1148" t="s">
        <v>1341</v>
      </c>
      <c r="B1148" t="s">
        <v>1339</v>
      </c>
      <c r="C1148" s="2">
        <v>46302</v>
      </c>
      <c r="D1148" t="s">
        <v>67</v>
      </c>
      <c r="E1148" t="s">
        <v>35</v>
      </c>
      <c r="F1148" t="s">
        <v>54</v>
      </c>
      <c r="G1148" t="s">
        <v>30</v>
      </c>
      <c r="H1148">
        <v>698</v>
      </c>
      <c r="I1148">
        <v>694</v>
      </c>
      <c r="J1148">
        <v>4</v>
      </c>
      <c r="K1148">
        <v>22</v>
      </c>
      <c r="L1148">
        <v>24.17</v>
      </c>
      <c r="M1148">
        <v>281.22000000000003</v>
      </c>
      <c r="N1148">
        <f>_xlfn.XLOOKUP(Table13[[#This Row],[Production_Order_ID]],[1]Sheet1!$A$2:$A$391,[1]Sheet1!$F$2:$F$391,"No Match")</f>
        <v>690</v>
      </c>
      <c r="O1148" s="3">
        <f>Table13[[#This Row],[Good_Qty]]/Table13[[#This Row],[Planned_Production]]</f>
        <v>1.0057971014492753</v>
      </c>
      <c r="P1148" t="str">
        <f>IF(Table13[[#This Row],[Good_Qty]]&gt;=Table13[[#This Row],[Planned_Production]],"Met","Not Met")</f>
        <v>Met</v>
      </c>
      <c r="Q1148">
        <f>Table13[[#This Row],[Good_Qty]]-Table13[[#This Row],[Planned_Production]]</f>
        <v>4</v>
      </c>
      <c r="R1148" s="3">
        <f>IF(Table13[[#This Row],[Actual_Qty]]=0,0,Table13[[#This Row],[Reject_Qty]]/Table13[[#This Row],[Actual_Qty]])</f>
        <v>5.7306590257879654E-3</v>
      </c>
      <c r="S1148">
        <v>429.59</v>
      </c>
      <c r="T1148">
        <f>(Table13[[#This Row],[Ideal_Cycle_Time_sec]]*Table13[[#This Row],[Actual_Qty]])/(Table13[[#This Row],[Operational_Time_min]]*60)</f>
        <v>0.59576185044654983</v>
      </c>
      <c r="U1148">
        <f>Table13[[#This Row],[Good_Qty]]/Table13[[#This Row],[Actual_Qty]]</f>
        <v>0.99426934097421205</v>
      </c>
      <c r="V1148" t="str">
        <f>IF(OR(Table13[[#This Row],[Performance_%]]&gt;=1,Table13[[#This Row],[Performance_%]]&lt;=0),"Error","OK")</f>
        <v>OK</v>
      </c>
      <c r="W1148" t="str">
        <f>IF(OR(Table13[[#This Row],[Quality_%]]&gt;=1,Table13[[#This Row],[Quality_%]]&lt;=0),"Error","OK")</f>
        <v>OK</v>
      </c>
      <c r="X1148">
        <f>Table13[[#This Row],[Performance_%]]*Table13[[#This Row],[Quality_%]]*[2]Availability_KPI!K1148</f>
        <v>0.56548148148148147</v>
      </c>
      <c r="Y1148" t="str">
        <f>IF(OR(Table13[[#This Row],[OEE_%]]&gt;1,Table13[[#This Row],[OEE_%]]&lt;0),"Error","OK")</f>
        <v>OK</v>
      </c>
    </row>
    <row r="1149" spans="1:25" x14ac:dyDescent="0.2">
      <c r="A1149" t="s">
        <v>1342</v>
      </c>
      <c r="B1149" t="s">
        <v>1339</v>
      </c>
      <c r="C1149" s="2">
        <v>46302</v>
      </c>
      <c r="D1149" t="s">
        <v>67</v>
      </c>
      <c r="E1149" t="s">
        <v>38</v>
      </c>
      <c r="F1149" t="s">
        <v>54</v>
      </c>
      <c r="G1149" t="s">
        <v>57</v>
      </c>
      <c r="H1149">
        <v>700</v>
      </c>
      <c r="I1149">
        <v>697</v>
      </c>
      <c r="J1149">
        <v>3</v>
      </c>
      <c r="K1149">
        <v>20</v>
      </c>
      <c r="L1149">
        <v>20.7</v>
      </c>
      <c r="M1149">
        <v>241.47</v>
      </c>
      <c r="N1149">
        <f>_xlfn.XLOOKUP(Table13[[#This Row],[Production_Order_ID]],[1]Sheet1!$A$2:$A$391,[1]Sheet1!$F$2:$F$391,"No Match")</f>
        <v>690</v>
      </c>
      <c r="O1149" s="3">
        <f>Table13[[#This Row],[Good_Qty]]/Table13[[#This Row],[Planned_Production]]</f>
        <v>1.010144927536232</v>
      </c>
      <c r="P1149" t="str">
        <f>IF(Table13[[#This Row],[Good_Qty]]&gt;=Table13[[#This Row],[Planned_Production]],"Met","Not Met")</f>
        <v>Met</v>
      </c>
      <c r="Q1149">
        <f>Table13[[#This Row],[Good_Qty]]-Table13[[#This Row],[Planned_Production]]</f>
        <v>7</v>
      </c>
      <c r="R1149" s="3">
        <f>IF(Table13[[#This Row],[Actual_Qty]]=0,0,Table13[[#This Row],[Reject_Qty]]/Table13[[#This Row],[Actual_Qty]])</f>
        <v>4.2857142857142859E-3</v>
      </c>
      <c r="S1149">
        <v>439.34</v>
      </c>
      <c r="T1149">
        <f>(Table13[[#This Row],[Ideal_Cycle_Time_sec]]*Table13[[#This Row],[Actual_Qty]])/(Table13[[#This Row],[Operational_Time_min]]*60)</f>
        <v>0.53109967982276451</v>
      </c>
      <c r="U1149">
        <f>Table13[[#This Row],[Good_Qty]]/Table13[[#This Row],[Actual_Qty]]</f>
        <v>0.99571428571428566</v>
      </c>
      <c r="V1149" t="str">
        <f>IF(OR(Table13[[#This Row],[Performance_%]]&gt;=1,Table13[[#This Row],[Performance_%]]&lt;=0),"Error","OK")</f>
        <v>OK</v>
      </c>
      <c r="W1149" t="str">
        <f>IF(OR(Table13[[#This Row],[Quality_%]]&gt;=1,Table13[[#This Row],[Quality_%]]&lt;=0),"Error","OK")</f>
        <v>OK</v>
      </c>
      <c r="X1149">
        <f>Table13[[#This Row],[Performance_%]]*Table13[[#This Row],[Quality_%]]*[2]Availability_KPI!K1149</f>
        <v>0.51629629629629636</v>
      </c>
      <c r="Y1149" t="str">
        <f>IF(OR(Table13[[#This Row],[OEE_%]]&gt;1,Table13[[#This Row],[OEE_%]]&lt;0),"Error","OK")</f>
        <v>OK</v>
      </c>
    </row>
    <row r="1150" spans="1:25" x14ac:dyDescent="0.2">
      <c r="A1150" t="s">
        <v>1343</v>
      </c>
      <c r="B1150" t="s">
        <v>1339</v>
      </c>
      <c r="C1150" s="2">
        <v>46302</v>
      </c>
      <c r="D1150" t="s">
        <v>67</v>
      </c>
      <c r="E1150" t="s">
        <v>41</v>
      </c>
      <c r="F1150" t="s">
        <v>54</v>
      </c>
      <c r="G1150" t="s">
        <v>71</v>
      </c>
      <c r="H1150">
        <v>707</v>
      </c>
      <c r="I1150">
        <v>701</v>
      </c>
      <c r="J1150">
        <v>6</v>
      </c>
      <c r="K1150">
        <v>18</v>
      </c>
      <c r="L1150">
        <v>19.53</v>
      </c>
      <c r="M1150">
        <v>230.15</v>
      </c>
      <c r="N1150">
        <f>_xlfn.XLOOKUP(Table13[[#This Row],[Production_Order_ID]],[1]Sheet1!$A$2:$A$391,[1]Sheet1!$F$2:$F$391,"No Match")</f>
        <v>690</v>
      </c>
      <c r="O1150" s="3">
        <f>Table13[[#This Row],[Good_Qty]]/Table13[[#This Row],[Planned_Production]]</f>
        <v>1.0159420289855072</v>
      </c>
      <c r="P1150" t="str">
        <f>IF(Table13[[#This Row],[Good_Qty]]&gt;=Table13[[#This Row],[Planned_Production]],"Met","Not Met")</f>
        <v>Met</v>
      </c>
      <c r="Q1150">
        <f>Table13[[#This Row],[Good_Qty]]-Table13[[#This Row],[Planned_Production]]</f>
        <v>11</v>
      </c>
      <c r="R1150" s="3">
        <f>IF(Table13[[#This Row],[Actual_Qty]]=0,0,Table13[[#This Row],[Reject_Qty]]/Table13[[#This Row],[Actual_Qty]])</f>
        <v>8.4865629420084864E-3</v>
      </c>
      <c r="S1150">
        <v>433.81</v>
      </c>
      <c r="T1150">
        <f>(Table13[[#This Row],[Ideal_Cycle_Time_sec]]*Table13[[#This Row],[Actual_Qty]])/(Table13[[#This Row],[Operational_Time_min]]*60)</f>
        <v>0.48892372236693488</v>
      </c>
      <c r="U1150">
        <f>Table13[[#This Row],[Good_Qty]]/Table13[[#This Row],[Actual_Qty]]</f>
        <v>0.99151343705799155</v>
      </c>
      <c r="V1150" t="str">
        <f>IF(OR(Table13[[#This Row],[Performance_%]]&gt;=1,Table13[[#This Row],[Performance_%]]&lt;=0),"Error","OK")</f>
        <v>OK</v>
      </c>
      <c r="W1150" t="str">
        <f>IF(OR(Table13[[#This Row],[Quality_%]]&gt;=1,Table13[[#This Row],[Quality_%]]&lt;=0),"Error","OK")</f>
        <v>OK</v>
      </c>
      <c r="X1150">
        <f>Table13[[#This Row],[Performance_%]]*Table13[[#This Row],[Quality_%]]*[2]Availability_KPI!K1150</f>
        <v>0.46733333333333338</v>
      </c>
      <c r="Y1150" t="str">
        <f>IF(OR(Table13[[#This Row],[OEE_%]]&gt;1,Table13[[#This Row],[OEE_%]]&lt;0),"Error","OK")</f>
        <v>OK</v>
      </c>
    </row>
    <row r="1151" spans="1:25" x14ac:dyDescent="0.2">
      <c r="A1151" t="s">
        <v>1344</v>
      </c>
      <c r="B1151" t="s">
        <v>1339</v>
      </c>
      <c r="C1151" s="2">
        <v>46302</v>
      </c>
      <c r="D1151" t="s">
        <v>67</v>
      </c>
      <c r="E1151" t="s">
        <v>43</v>
      </c>
      <c r="F1151" t="s">
        <v>54</v>
      </c>
      <c r="G1151" t="s">
        <v>75</v>
      </c>
      <c r="H1151">
        <v>703</v>
      </c>
      <c r="I1151">
        <v>693</v>
      </c>
      <c r="J1151">
        <v>10</v>
      </c>
      <c r="K1151">
        <v>32</v>
      </c>
      <c r="L1151">
        <v>35.119999999999997</v>
      </c>
      <c r="M1151">
        <v>411.54</v>
      </c>
      <c r="N1151">
        <f>_xlfn.XLOOKUP(Table13[[#This Row],[Production_Order_ID]],[1]Sheet1!$A$2:$A$391,[1]Sheet1!$F$2:$F$391,"No Match")</f>
        <v>690</v>
      </c>
      <c r="O1151" s="3">
        <f>Table13[[#This Row],[Good_Qty]]/Table13[[#This Row],[Planned_Production]]</f>
        <v>1.0043478260869565</v>
      </c>
      <c r="P1151" t="str">
        <f>IF(Table13[[#This Row],[Good_Qty]]&gt;=Table13[[#This Row],[Planned_Production]],"Met","Not Met")</f>
        <v>Met</v>
      </c>
      <c r="Q1151">
        <f>Table13[[#This Row],[Good_Qty]]-Table13[[#This Row],[Planned_Production]]</f>
        <v>3</v>
      </c>
      <c r="R1151" s="3">
        <f>IF(Table13[[#This Row],[Actual_Qty]]=0,0,Table13[[#This Row],[Reject_Qty]]/Table13[[#This Row],[Actual_Qty]])</f>
        <v>1.422475106685633E-2</v>
      </c>
      <c r="S1151">
        <v>414.22</v>
      </c>
      <c r="T1151">
        <f>(Table13[[#This Row],[Ideal_Cycle_Time_sec]]*Table13[[#This Row],[Actual_Qty]])/(Table13[[#This Row],[Operational_Time_min]]*60)</f>
        <v>0.90515507057441291</v>
      </c>
      <c r="U1151">
        <f>Table13[[#This Row],[Good_Qty]]/Table13[[#This Row],[Actual_Qty]]</f>
        <v>0.98577524893314372</v>
      </c>
      <c r="V1151" t="str">
        <f>IF(OR(Table13[[#This Row],[Performance_%]]&gt;=1,Table13[[#This Row],[Performance_%]]&lt;=0),"Error","OK")</f>
        <v>OK</v>
      </c>
      <c r="W1151" t="str">
        <f>IF(OR(Table13[[#This Row],[Quality_%]]&gt;=1,Table13[[#This Row],[Quality_%]]&lt;=0),"Error","OK")</f>
        <v>OK</v>
      </c>
      <c r="X1151">
        <f>Table13[[#This Row],[Performance_%]]*Table13[[#This Row],[Quality_%]]*[2]Availability_KPI!K1151</f>
        <v>0.82133333333333336</v>
      </c>
      <c r="Y1151" t="str">
        <f>IF(OR(Table13[[#This Row],[OEE_%]]&gt;1,Table13[[#This Row],[OEE_%]]&lt;0),"Error","OK")</f>
        <v>OK</v>
      </c>
    </row>
    <row r="1152" spans="1:25" x14ac:dyDescent="0.2">
      <c r="A1152" t="s">
        <v>1345</v>
      </c>
      <c r="B1152" t="s">
        <v>1339</v>
      </c>
      <c r="C1152" s="2">
        <v>46302</v>
      </c>
      <c r="D1152" t="s">
        <v>67</v>
      </c>
      <c r="E1152" t="s">
        <v>46</v>
      </c>
      <c r="F1152" t="s">
        <v>54</v>
      </c>
      <c r="G1152" t="s">
        <v>30</v>
      </c>
      <c r="H1152">
        <v>711</v>
      </c>
      <c r="I1152">
        <v>704</v>
      </c>
      <c r="J1152">
        <v>7</v>
      </c>
      <c r="K1152">
        <v>25</v>
      </c>
      <c r="L1152">
        <v>26.05</v>
      </c>
      <c r="M1152">
        <v>308.69</v>
      </c>
      <c r="N1152">
        <f>_xlfn.XLOOKUP(Table13[[#This Row],[Production_Order_ID]],[1]Sheet1!$A$2:$A$391,[1]Sheet1!$F$2:$F$391,"No Match")</f>
        <v>690</v>
      </c>
      <c r="O1152" s="3">
        <f>Table13[[#This Row],[Good_Qty]]/Table13[[#This Row],[Planned_Production]]</f>
        <v>1.0202898550724637</v>
      </c>
      <c r="P1152" t="str">
        <f>IF(Table13[[#This Row],[Good_Qty]]&gt;=Table13[[#This Row],[Planned_Production]],"Met","Not Met")</f>
        <v>Met</v>
      </c>
      <c r="Q1152">
        <f>Table13[[#This Row],[Good_Qty]]-Table13[[#This Row],[Planned_Production]]</f>
        <v>14</v>
      </c>
      <c r="R1152" s="3">
        <f>IF(Table13[[#This Row],[Actual_Qty]]=0,0,Table13[[#This Row],[Reject_Qty]]/Table13[[#This Row],[Actual_Qty]])</f>
        <v>9.8452883263009851E-3</v>
      </c>
      <c r="S1152">
        <v>424.7</v>
      </c>
      <c r="T1152">
        <f>(Table13[[#This Row],[Ideal_Cycle_Time_sec]]*Table13[[#This Row],[Actual_Qty]])/(Table13[[#This Row],[Operational_Time_min]]*60)</f>
        <v>0.69755121262067343</v>
      </c>
      <c r="U1152">
        <f>Table13[[#This Row],[Good_Qty]]/Table13[[#This Row],[Actual_Qty]]</f>
        <v>0.99015471167369906</v>
      </c>
      <c r="V1152" t="str">
        <f>IF(OR(Table13[[#This Row],[Performance_%]]&gt;=1,Table13[[#This Row],[Performance_%]]&lt;=0),"Error","OK")</f>
        <v>OK</v>
      </c>
      <c r="W1152" t="str">
        <f>IF(OR(Table13[[#This Row],[Quality_%]]&gt;=1,Table13[[#This Row],[Quality_%]]&lt;=0),"Error","OK")</f>
        <v>OK</v>
      </c>
      <c r="X1152">
        <f>Table13[[#This Row],[Performance_%]]*Table13[[#This Row],[Quality_%]]*[2]Availability_KPI!K1152</f>
        <v>0.6518518518518519</v>
      </c>
      <c r="Y1152" t="str">
        <f>IF(OR(Table13[[#This Row],[OEE_%]]&gt;1,Table13[[#This Row],[OEE_%]]&lt;0),"Error","OK")</f>
        <v>OK</v>
      </c>
    </row>
    <row r="1153" spans="1:25" x14ac:dyDescent="0.2">
      <c r="A1153" t="s">
        <v>1346</v>
      </c>
      <c r="B1153" t="s">
        <v>1339</v>
      </c>
      <c r="C1153" s="2">
        <v>46302</v>
      </c>
      <c r="D1153" t="s">
        <v>67</v>
      </c>
      <c r="E1153" t="s">
        <v>49</v>
      </c>
      <c r="F1153" t="s">
        <v>54</v>
      </c>
      <c r="G1153" t="s">
        <v>44</v>
      </c>
      <c r="H1153">
        <v>699</v>
      </c>
      <c r="I1153">
        <v>694</v>
      </c>
      <c r="J1153">
        <v>5</v>
      </c>
      <c r="K1153">
        <v>20</v>
      </c>
      <c r="L1153">
        <v>20.5</v>
      </c>
      <c r="M1153">
        <v>238.81</v>
      </c>
      <c r="N1153">
        <f>_xlfn.XLOOKUP(Table13[[#This Row],[Production_Order_ID]],[1]Sheet1!$A$2:$A$391,[1]Sheet1!$F$2:$F$391,"No Match")</f>
        <v>690</v>
      </c>
      <c r="O1153" s="3">
        <f>Table13[[#This Row],[Good_Qty]]/Table13[[#This Row],[Planned_Production]]</f>
        <v>1.0057971014492753</v>
      </c>
      <c r="P1153" t="str">
        <f>IF(Table13[[#This Row],[Good_Qty]]&gt;=Table13[[#This Row],[Planned_Production]],"Met","Not Met")</f>
        <v>Met</v>
      </c>
      <c r="Q1153">
        <f>Table13[[#This Row],[Good_Qty]]-Table13[[#This Row],[Planned_Production]]</f>
        <v>4</v>
      </c>
      <c r="R1153" s="3">
        <f>IF(Table13[[#This Row],[Actual_Qty]]=0,0,Table13[[#This Row],[Reject_Qty]]/Table13[[#This Row],[Actual_Qty]])</f>
        <v>7.1530758226037196E-3</v>
      </c>
      <c r="S1153">
        <v>440.55</v>
      </c>
      <c r="T1153">
        <f>(Table13[[#This Row],[Ideal_Cycle_Time_sec]]*Table13[[#This Row],[Actual_Qty]])/(Table13[[#This Row],[Operational_Time_min]]*60)</f>
        <v>0.52888434910906823</v>
      </c>
      <c r="U1153">
        <f>Table13[[#This Row],[Good_Qty]]/Table13[[#This Row],[Actual_Qty]]</f>
        <v>0.99284692417739628</v>
      </c>
      <c r="V1153" t="str">
        <f>IF(OR(Table13[[#This Row],[Performance_%]]&gt;=1,Table13[[#This Row],[Performance_%]]&lt;=0),"Error","OK")</f>
        <v>OK</v>
      </c>
      <c r="W1153" t="str">
        <f>IF(OR(Table13[[#This Row],[Quality_%]]&gt;=1,Table13[[#This Row],[Quality_%]]&lt;=0),"Error","OK")</f>
        <v>OK</v>
      </c>
      <c r="X1153">
        <f>Table13[[#This Row],[Performance_%]]*Table13[[#This Row],[Quality_%]]*[2]Availability_KPI!K1153</f>
        <v>0.51407407407407402</v>
      </c>
      <c r="Y1153" t="str">
        <f>IF(OR(Table13[[#This Row],[OEE_%]]&gt;1,Table13[[#This Row],[OEE_%]]&lt;0),"Error","OK")</f>
        <v>OK</v>
      </c>
    </row>
    <row r="1154" spans="1:25" x14ac:dyDescent="0.2">
      <c r="A1154" t="s">
        <v>1347</v>
      </c>
      <c r="B1154" t="s">
        <v>1348</v>
      </c>
      <c r="C1154" s="2">
        <v>46303</v>
      </c>
      <c r="D1154" t="s">
        <v>27</v>
      </c>
      <c r="E1154" t="s">
        <v>28</v>
      </c>
      <c r="F1154" t="s">
        <v>29</v>
      </c>
      <c r="G1154" t="s">
        <v>39</v>
      </c>
      <c r="H1154">
        <v>552</v>
      </c>
      <c r="I1154">
        <v>549</v>
      </c>
      <c r="J1154">
        <v>3</v>
      </c>
      <c r="K1154">
        <v>19.8</v>
      </c>
      <c r="L1154">
        <v>21.01</v>
      </c>
      <c r="M1154">
        <v>193.3</v>
      </c>
      <c r="N1154">
        <f>_xlfn.XLOOKUP(Table13[[#This Row],[Production_Order_ID]],[1]Sheet1!$A$2:$A$391,[1]Sheet1!$F$2:$F$391,"No Match")</f>
        <v>460</v>
      </c>
      <c r="O1154" s="3">
        <f>Table13[[#This Row],[Good_Qty]]/Table13[[#This Row],[Planned_Production]]</f>
        <v>1.1934782608695653</v>
      </c>
      <c r="P1154" t="str">
        <f>IF(Table13[[#This Row],[Good_Qty]]&gt;=Table13[[#This Row],[Planned_Production]],"Met","Not Met")</f>
        <v>Met</v>
      </c>
      <c r="Q1154">
        <f>Table13[[#This Row],[Good_Qty]]-Table13[[#This Row],[Planned_Production]]</f>
        <v>89</v>
      </c>
      <c r="R1154" s="3">
        <f>IF(Table13[[#This Row],[Actual_Qty]]=0,0,Table13[[#This Row],[Reject_Qty]]/Table13[[#This Row],[Actual_Qty]])</f>
        <v>5.434782608695652E-3</v>
      </c>
      <c r="S1154">
        <v>443.39</v>
      </c>
      <c r="T1154">
        <f>(Table13[[#This Row],[Ideal_Cycle_Time_sec]]*Table13[[#This Row],[Actual_Qty]])/(Table13[[#This Row],[Operational_Time_min]]*60)</f>
        <v>0.41083470533841543</v>
      </c>
      <c r="U1154">
        <f>Table13[[#This Row],[Good_Qty]]/Table13[[#This Row],[Actual_Qty]]</f>
        <v>0.99456521739130432</v>
      </c>
      <c r="V1154" t="str">
        <f>IF(OR(Table13[[#This Row],[Performance_%]]&gt;=1,Table13[[#This Row],[Performance_%]]&lt;=0),"Error","OK")</f>
        <v>OK</v>
      </c>
      <c r="W1154" t="str">
        <f>IF(OR(Table13[[#This Row],[Quality_%]]&gt;=1,Table13[[#This Row],[Quality_%]]&lt;=0),"Error","OK")</f>
        <v>OK</v>
      </c>
      <c r="X1154">
        <f>Table13[[#This Row],[Performance_%]]*Table13[[#This Row],[Quality_%]]*[2]Availability_KPI!K1154</f>
        <v>0.40259999999999996</v>
      </c>
      <c r="Y1154" t="str">
        <f>IF(OR(Table13[[#This Row],[OEE_%]]&gt;1,Table13[[#This Row],[OEE_%]]&lt;0),"Error","OK")</f>
        <v>OK</v>
      </c>
    </row>
    <row r="1155" spans="1:25" x14ac:dyDescent="0.2">
      <c r="A1155" t="s">
        <v>1349</v>
      </c>
      <c r="B1155" t="s">
        <v>1348</v>
      </c>
      <c r="C1155" s="2">
        <v>46303</v>
      </c>
      <c r="D1155" t="s">
        <v>27</v>
      </c>
      <c r="E1155" t="s">
        <v>32</v>
      </c>
      <c r="F1155" t="s">
        <v>29</v>
      </c>
      <c r="G1155" t="s">
        <v>36</v>
      </c>
      <c r="H1155">
        <v>530</v>
      </c>
      <c r="I1155">
        <v>527</v>
      </c>
      <c r="J1155">
        <v>3</v>
      </c>
      <c r="K1155">
        <v>22</v>
      </c>
      <c r="L1155">
        <v>24.82</v>
      </c>
      <c r="M1155">
        <v>219.2</v>
      </c>
      <c r="N1155">
        <f>_xlfn.XLOOKUP(Table13[[#This Row],[Production_Order_ID]],[1]Sheet1!$A$2:$A$391,[1]Sheet1!$F$2:$F$391,"No Match")</f>
        <v>460</v>
      </c>
      <c r="O1155" s="3">
        <f>Table13[[#This Row],[Good_Qty]]/Table13[[#This Row],[Planned_Production]]</f>
        <v>1.1456521739130434</v>
      </c>
      <c r="P1155" t="str">
        <f>IF(Table13[[#This Row],[Good_Qty]]&gt;=Table13[[#This Row],[Planned_Production]],"Met","Not Met")</f>
        <v>Met</v>
      </c>
      <c r="Q1155">
        <f>Table13[[#This Row],[Good_Qty]]-Table13[[#This Row],[Planned_Production]]</f>
        <v>67</v>
      </c>
      <c r="R1155" s="3">
        <f>IF(Table13[[#This Row],[Actual_Qty]]=0,0,Table13[[#This Row],[Reject_Qty]]/Table13[[#This Row],[Actual_Qty]])</f>
        <v>5.6603773584905656E-3</v>
      </c>
      <c r="S1155">
        <v>439.18</v>
      </c>
      <c r="T1155">
        <f>(Table13[[#This Row],[Ideal_Cycle_Time_sec]]*Table13[[#This Row],[Actual_Qty]])/(Table13[[#This Row],[Operational_Time_min]]*60)</f>
        <v>0.44249130956175903</v>
      </c>
      <c r="U1155">
        <f>Table13[[#This Row],[Good_Qty]]/Table13[[#This Row],[Actual_Qty]]</f>
        <v>0.99433962264150944</v>
      </c>
      <c r="V1155" t="str">
        <f>IF(OR(Table13[[#This Row],[Performance_%]]&gt;=1,Table13[[#This Row],[Performance_%]]&lt;=0),"Error","OK")</f>
        <v>OK</v>
      </c>
      <c r="W1155" t="str">
        <f>IF(OR(Table13[[#This Row],[Quality_%]]&gt;=1,Table13[[#This Row],[Quality_%]]&lt;=0),"Error","OK")</f>
        <v>OK</v>
      </c>
      <c r="X1155">
        <f>Table13[[#This Row],[Performance_%]]*Table13[[#This Row],[Quality_%]]*[2]Availability_KPI!K1155</f>
        <v>0.4294074074074074</v>
      </c>
      <c r="Y1155" t="str">
        <f>IF(OR(Table13[[#This Row],[OEE_%]]&gt;1,Table13[[#This Row],[OEE_%]]&lt;0),"Error","OK")</f>
        <v>OK</v>
      </c>
    </row>
    <row r="1156" spans="1:25" x14ac:dyDescent="0.2">
      <c r="A1156" t="s">
        <v>1350</v>
      </c>
      <c r="B1156" t="s">
        <v>1348</v>
      </c>
      <c r="C1156" s="2">
        <v>46303</v>
      </c>
      <c r="D1156" t="s">
        <v>27</v>
      </c>
      <c r="E1156" t="s">
        <v>35</v>
      </c>
      <c r="F1156" t="s">
        <v>29</v>
      </c>
      <c r="G1156" t="s">
        <v>71</v>
      </c>
      <c r="H1156">
        <v>536</v>
      </c>
      <c r="I1156">
        <v>532</v>
      </c>
      <c r="J1156">
        <v>4</v>
      </c>
      <c r="K1156">
        <v>24.2</v>
      </c>
      <c r="L1156">
        <v>26.51</v>
      </c>
      <c r="M1156">
        <v>236.86</v>
      </c>
      <c r="N1156">
        <f>_xlfn.XLOOKUP(Table13[[#This Row],[Production_Order_ID]],[1]Sheet1!$A$2:$A$391,[1]Sheet1!$F$2:$F$391,"No Match")</f>
        <v>460</v>
      </c>
      <c r="O1156" s="3">
        <f>Table13[[#This Row],[Good_Qty]]/Table13[[#This Row],[Planned_Production]]</f>
        <v>1.1565217391304348</v>
      </c>
      <c r="P1156" t="str">
        <f>IF(Table13[[#This Row],[Good_Qty]]&gt;=Table13[[#This Row],[Planned_Production]],"Met","Not Met")</f>
        <v>Met</v>
      </c>
      <c r="Q1156">
        <f>Table13[[#This Row],[Good_Qty]]-Table13[[#This Row],[Planned_Production]]</f>
        <v>72</v>
      </c>
      <c r="R1156" s="3">
        <f>IF(Table13[[#This Row],[Actual_Qty]]=0,0,Table13[[#This Row],[Reject_Qty]]/Table13[[#This Row],[Actual_Qty]])</f>
        <v>7.462686567164179E-3</v>
      </c>
      <c r="S1156">
        <v>432.58</v>
      </c>
      <c r="T1156">
        <f>(Table13[[#This Row],[Ideal_Cycle_Time_sec]]*Table13[[#This Row],[Actual_Qty]])/(Table13[[#This Row],[Operational_Time_min]]*60)</f>
        <v>0.49976112318338028</v>
      </c>
      <c r="U1156">
        <f>Table13[[#This Row],[Good_Qty]]/Table13[[#This Row],[Actual_Qty]]</f>
        <v>0.9925373134328358</v>
      </c>
      <c r="V1156" t="str">
        <f>IF(OR(Table13[[#This Row],[Performance_%]]&gt;=1,Table13[[#This Row],[Performance_%]]&lt;=0),"Error","OK")</f>
        <v>OK</v>
      </c>
      <c r="W1156" t="str">
        <f>IF(OR(Table13[[#This Row],[Quality_%]]&gt;=1,Table13[[#This Row],[Quality_%]]&lt;=0),"Error","OK")</f>
        <v>OK</v>
      </c>
      <c r="X1156">
        <f>Table13[[#This Row],[Performance_%]]*Table13[[#This Row],[Quality_%]]*[2]Availability_KPI!K1156</f>
        <v>0.47682962962962955</v>
      </c>
      <c r="Y1156" t="str">
        <f>IF(OR(Table13[[#This Row],[OEE_%]]&gt;1,Table13[[#This Row],[OEE_%]]&lt;0),"Error","OK")</f>
        <v>OK</v>
      </c>
    </row>
    <row r="1157" spans="1:25" x14ac:dyDescent="0.2">
      <c r="A1157" t="s">
        <v>1351</v>
      </c>
      <c r="B1157" t="s">
        <v>1348</v>
      </c>
      <c r="C1157" s="2">
        <v>46303</v>
      </c>
      <c r="D1157" t="s">
        <v>27</v>
      </c>
      <c r="E1157" t="s">
        <v>38</v>
      </c>
      <c r="F1157" t="s">
        <v>29</v>
      </c>
      <c r="G1157" t="s">
        <v>55</v>
      </c>
      <c r="H1157">
        <v>543</v>
      </c>
      <c r="I1157">
        <v>540</v>
      </c>
      <c r="J1157">
        <v>3</v>
      </c>
      <c r="K1157">
        <v>22</v>
      </c>
      <c r="L1157">
        <v>22.38</v>
      </c>
      <c r="M1157">
        <v>202.58</v>
      </c>
      <c r="N1157">
        <f>_xlfn.XLOOKUP(Table13[[#This Row],[Production_Order_ID]],[1]Sheet1!$A$2:$A$391,[1]Sheet1!$F$2:$F$391,"No Match")</f>
        <v>460</v>
      </c>
      <c r="O1157" s="3">
        <f>Table13[[#This Row],[Good_Qty]]/Table13[[#This Row],[Planned_Production]]</f>
        <v>1.173913043478261</v>
      </c>
      <c r="P1157" t="str">
        <f>IF(Table13[[#This Row],[Good_Qty]]&gt;=Table13[[#This Row],[Planned_Production]],"Met","Not Met")</f>
        <v>Met</v>
      </c>
      <c r="Q1157">
        <f>Table13[[#This Row],[Good_Qty]]-Table13[[#This Row],[Planned_Production]]</f>
        <v>80</v>
      </c>
      <c r="R1157" s="3">
        <f>IF(Table13[[#This Row],[Actual_Qty]]=0,0,Table13[[#This Row],[Reject_Qty]]/Table13[[#This Row],[Actual_Qty]])</f>
        <v>5.5248618784530384E-3</v>
      </c>
      <c r="S1157">
        <v>441.92</v>
      </c>
      <c r="T1157">
        <f>(Table13[[#This Row],[Ideal_Cycle_Time_sec]]*Table13[[#This Row],[Actual_Qty]])/(Table13[[#This Row],[Operational_Time_min]]*60)</f>
        <v>0.45053403330919622</v>
      </c>
      <c r="U1157">
        <f>Table13[[#This Row],[Good_Qty]]/Table13[[#This Row],[Actual_Qty]]</f>
        <v>0.99447513812154698</v>
      </c>
      <c r="V1157" t="str">
        <f>IF(OR(Table13[[#This Row],[Performance_%]]&gt;=1,Table13[[#This Row],[Performance_%]]&lt;=0),"Error","OK")</f>
        <v>OK</v>
      </c>
      <c r="W1157" t="str">
        <f>IF(OR(Table13[[#This Row],[Quality_%]]&gt;=1,Table13[[#This Row],[Quality_%]]&lt;=0),"Error","OK")</f>
        <v>OK</v>
      </c>
      <c r="X1157">
        <f>Table13[[#This Row],[Performance_%]]*Table13[[#This Row],[Quality_%]]*[2]Availability_KPI!K1157</f>
        <v>0.44</v>
      </c>
      <c r="Y1157" t="str">
        <f>IF(OR(Table13[[#This Row],[OEE_%]]&gt;1,Table13[[#This Row],[OEE_%]]&lt;0),"Error","OK")</f>
        <v>OK</v>
      </c>
    </row>
    <row r="1158" spans="1:25" x14ac:dyDescent="0.2">
      <c r="A1158" t="s">
        <v>1352</v>
      </c>
      <c r="B1158" t="s">
        <v>1348</v>
      </c>
      <c r="C1158" s="2">
        <v>46303</v>
      </c>
      <c r="D1158" t="s">
        <v>27</v>
      </c>
      <c r="E1158" t="s">
        <v>41</v>
      </c>
      <c r="F1158" t="s">
        <v>29</v>
      </c>
      <c r="G1158" t="s">
        <v>55</v>
      </c>
      <c r="H1158">
        <v>550</v>
      </c>
      <c r="I1158">
        <v>546</v>
      </c>
      <c r="J1158">
        <v>4</v>
      </c>
      <c r="K1158">
        <v>19.8</v>
      </c>
      <c r="L1158">
        <v>21.81</v>
      </c>
      <c r="M1158">
        <v>199.96</v>
      </c>
      <c r="N1158">
        <f>_xlfn.XLOOKUP(Table13[[#This Row],[Production_Order_ID]],[1]Sheet1!$A$2:$A$391,[1]Sheet1!$F$2:$F$391,"No Match")</f>
        <v>460</v>
      </c>
      <c r="O1158" s="3">
        <f>Table13[[#This Row],[Good_Qty]]/Table13[[#This Row],[Planned_Production]]</f>
        <v>1.1869565217391305</v>
      </c>
      <c r="P1158" t="str">
        <f>IF(Table13[[#This Row],[Good_Qty]]&gt;=Table13[[#This Row],[Planned_Production]],"Met","Not Met")</f>
        <v>Met</v>
      </c>
      <c r="Q1158">
        <f>Table13[[#This Row],[Good_Qty]]-Table13[[#This Row],[Planned_Production]]</f>
        <v>86</v>
      </c>
      <c r="R1158" s="3">
        <f>IF(Table13[[#This Row],[Actual_Qty]]=0,0,Table13[[#This Row],[Reject_Qty]]/Table13[[#This Row],[Actual_Qty]])</f>
        <v>7.2727272727272727E-3</v>
      </c>
      <c r="S1158">
        <v>438.66</v>
      </c>
      <c r="T1158">
        <f>(Table13[[#This Row],[Ideal_Cycle_Time_sec]]*Table13[[#This Row],[Actual_Qty]])/(Table13[[#This Row],[Operational_Time_min]]*60)</f>
        <v>0.41376008753932425</v>
      </c>
      <c r="U1158">
        <f>Table13[[#This Row],[Good_Qty]]/Table13[[#This Row],[Actual_Qty]]</f>
        <v>0.99272727272727268</v>
      </c>
      <c r="V1158" t="str">
        <f>IF(OR(Table13[[#This Row],[Performance_%]]&gt;=1,Table13[[#This Row],[Performance_%]]&lt;=0),"Error","OK")</f>
        <v>OK</v>
      </c>
      <c r="W1158" t="str">
        <f>IF(OR(Table13[[#This Row],[Quality_%]]&gt;=1,Table13[[#This Row],[Quality_%]]&lt;=0),"Error","OK")</f>
        <v>OK</v>
      </c>
      <c r="X1158">
        <f>Table13[[#This Row],[Performance_%]]*Table13[[#This Row],[Quality_%]]*[2]Availability_KPI!K1158</f>
        <v>0.40039999999999998</v>
      </c>
      <c r="Y1158" t="str">
        <f>IF(OR(Table13[[#This Row],[OEE_%]]&gt;1,Table13[[#This Row],[OEE_%]]&lt;0),"Error","OK")</f>
        <v>OK</v>
      </c>
    </row>
    <row r="1159" spans="1:25" x14ac:dyDescent="0.2">
      <c r="A1159" t="s">
        <v>1353</v>
      </c>
      <c r="B1159" t="s">
        <v>1348</v>
      </c>
      <c r="C1159" s="2">
        <v>46303</v>
      </c>
      <c r="D1159" t="s">
        <v>27</v>
      </c>
      <c r="E1159" t="s">
        <v>43</v>
      </c>
      <c r="F1159" t="s">
        <v>29</v>
      </c>
      <c r="G1159" t="s">
        <v>30</v>
      </c>
      <c r="H1159">
        <v>546</v>
      </c>
      <c r="I1159">
        <v>540</v>
      </c>
      <c r="J1159">
        <v>6</v>
      </c>
      <c r="K1159">
        <v>35.200000000000003</v>
      </c>
      <c r="L1159">
        <v>36.33</v>
      </c>
      <c r="M1159">
        <v>330.63</v>
      </c>
      <c r="N1159">
        <f>_xlfn.XLOOKUP(Table13[[#This Row],[Production_Order_ID]],[1]Sheet1!$A$2:$A$391,[1]Sheet1!$F$2:$F$391,"No Match")</f>
        <v>460</v>
      </c>
      <c r="O1159" s="3">
        <f>Table13[[#This Row],[Good_Qty]]/Table13[[#This Row],[Planned_Production]]</f>
        <v>1.173913043478261</v>
      </c>
      <c r="P1159" t="str">
        <f>IF(Table13[[#This Row],[Good_Qty]]&gt;=Table13[[#This Row],[Planned_Production]],"Met","Not Met")</f>
        <v>Met</v>
      </c>
      <c r="Q1159">
        <f>Table13[[#This Row],[Good_Qty]]-Table13[[#This Row],[Planned_Production]]</f>
        <v>80</v>
      </c>
      <c r="R1159" s="3">
        <f>IF(Table13[[#This Row],[Actual_Qty]]=0,0,Table13[[#This Row],[Reject_Qty]]/Table13[[#This Row],[Actual_Qty]])</f>
        <v>1.098901098901099E-2</v>
      </c>
      <c r="S1159">
        <v>414.99</v>
      </c>
      <c r="T1159">
        <f>(Table13[[#This Row],[Ideal_Cycle_Time_sec]]*Table13[[#This Row],[Actual_Qty]])/(Table13[[#This Row],[Operational_Time_min]]*60)</f>
        <v>0.77187402106074843</v>
      </c>
      <c r="U1159">
        <f>Table13[[#This Row],[Good_Qty]]/Table13[[#This Row],[Actual_Qty]]</f>
        <v>0.98901098901098905</v>
      </c>
      <c r="V1159" t="str">
        <f>IF(OR(Table13[[#This Row],[Performance_%]]&gt;=1,Table13[[#This Row],[Performance_%]]&lt;=0),"Error","OK")</f>
        <v>OK</v>
      </c>
      <c r="W1159" t="str">
        <f>IF(OR(Table13[[#This Row],[Quality_%]]&gt;=1,Table13[[#This Row],[Quality_%]]&lt;=0),"Error","OK")</f>
        <v>OK</v>
      </c>
      <c r="X1159">
        <f>Table13[[#This Row],[Performance_%]]*Table13[[#This Row],[Quality_%]]*[2]Availability_KPI!K1159</f>
        <v>0.70400000000000007</v>
      </c>
      <c r="Y1159" t="str">
        <f>IF(OR(Table13[[#This Row],[OEE_%]]&gt;1,Table13[[#This Row],[OEE_%]]&lt;0),"Error","OK")</f>
        <v>OK</v>
      </c>
    </row>
    <row r="1160" spans="1:25" x14ac:dyDescent="0.2">
      <c r="A1160" t="s">
        <v>1354</v>
      </c>
      <c r="B1160" t="s">
        <v>1348</v>
      </c>
      <c r="C1160" s="2">
        <v>46303</v>
      </c>
      <c r="D1160" t="s">
        <v>27</v>
      </c>
      <c r="E1160" t="s">
        <v>46</v>
      </c>
      <c r="F1160" t="s">
        <v>29</v>
      </c>
      <c r="G1160" t="s">
        <v>36</v>
      </c>
      <c r="H1160">
        <v>545</v>
      </c>
      <c r="I1160">
        <v>538</v>
      </c>
      <c r="J1160">
        <v>7</v>
      </c>
      <c r="K1160">
        <v>27.5</v>
      </c>
      <c r="L1160">
        <v>29.68</v>
      </c>
      <c r="M1160">
        <v>269.60000000000002</v>
      </c>
      <c r="N1160">
        <f>_xlfn.XLOOKUP(Table13[[#This Row],[Production_Order_ID]],[1]Sheet1!$A$2:$A$391,[1]Sheet1!$F$2:$F$391,"No Match")</f>
        <v>460</v>
      </c>
      <c r="O1160" s="3">
        <f>Table13[[#This Row],[Good_Qty]]/Table13[[#This Row],[Planned_Production]]</f>
        <v>1.1695652173913043</v>
      </c>
      <c r="P1160" t="str">
        <f>IF(Table13[[#This Row],[Good_Qty]]&gt;=Table13[[#This Row],[Planned_Production]],"Met","Not Met")</f>
        <v>Met</v>
      </c>
      <c r="Q1160">
        <f>Table13[[#This Row],[Good_Qty]]-Table13[[#This Row],[Planned_Production]]</f>
        <v>78</v>
      </c>
      <c r="R1160" s="3">
        <f>IF(Table13[[#This Row],[Actual_Qty]]=0,0,Table13[[#This Row],[Reject_Qty]]/Table13[[#This Row],[Actual_Qty]])</f>
        <v>1.2844036697247707E-2</v>
      </c>
      <c r="S1160">
        <v>426.17</v>
      </c>
      <c r="T1160">
        <f>(Table13[[#This Row],[Ideal_Cycle_Time_sec]]*Table13[[#This Row],[Actual_Qty]])/(Table13[[#This Row],[Operational_Time_min]]*60)</f>
        <v>0.5861315124637273</v>
      </c>
      <c r="U1160">
        <f>Table13[[#This Row],[Good_Qty]]/Table13[[#This Row],[Actual_Qty]]</f>
        <v>0.98715596330275235</v>
      </c>
      <c r="V1160" t="str">
        <f>IF(OR(Table13[[#This Row],[Performance_%]]&gt;=1,Table13[[#This Row],[Performance_%]]&lt;=0),"Error","OK")</f>
        <v>OK</v>
      </c>
      <c r="W1160" t="str">
        <f>IF(OR(Table13[[#This Row],[Quality_%]]&gt;=1,Table13[[#This Row],[Quality_%]]&lt;=0),"Error","OK")</f>
        <v>OK</v>
      </c>
      <c r="X1160">
        <f>Table13[[#This Row],[Performance_%]]*Table13[[#This Row],[Quality_%]]*[2]Availability_KPI!K1160</f>
        <v>0.54796296296296299</v>
      </c>
      <c r="Y1160" t="str">
        <f>IF(OR(Table13[[#This Row],[OEE_%]]&gt;1,Table13[[#This Row],[OEE_%]]&lt;0),"Error","OK")</f>
        <v>OK</v>
      </c>
    </row>
    <row r="1161" spans="1:25" x14ac:dyDescent="0.2">
      <c r="A1161" t="s">
        <v>1355</v>
      </c>
      <c r="B1161" t="s">
        <v>1348</v>
      </c>
      <c r="C1161" s="2">
        <v>46303</v>
      </c>
      <c r="D1161" t="s">
        <v>27</v>
      </c>
      <c r="E1161" t="s">
        <v>49</v>
      </c>
      <c r="F1161" t="s">
        <v>29</v>
      </c>
      <c r="G1161" t="s">
        <v>71</v>
      </c>
      <c r="H1161">
        <v>533</v>
      </c>
      <c r="I1161">
        <v>530</v>
      </c>
      <c r="J1161">
        <v>3</v>
      </c>
      <c r="K1161">
        <v>22</v>
      </c>
      <c r="L1161">
        <v>24.04</v>
      </c>
      <c r="M1161">
        <v>213.59</v>
      </c>
      <c r="N1161">
        <f>_xlfn.XLOOKUP(Table13[[#This Row],[Production_Order_ID]],[1]Sheet1!$A$2:$A$391,[1]Sheet1!$F$2:$F$391,"No Match")</f>
        <v>460</v>
      </c>
      <c r="O1161" s="3">
        <f>Table13[[#This Row],[Good_Qty]]/Table13[[#This Row],[Planned_Production]]</f>
        <v>1.1521739130434783</v>
      </c>
      <c r="P1161" t="str">
        <f>IF(Table13[[#This Row],[Good_Qty]]&gt;=Table13[[#This Row],[Planned_Production]],"Met","Not Met")</f>
        <v>Met</v>
      </c>
      <c r="Q1161">
        <f>Table13[[#This Row],[Good_Qty]]-Table13[[#This Row],[Planned_Production]]</f>
        <v>70</v>
      </c>
      <c r="R1161" s="3">
        <f>IF(Table13[[#This Row],[Actual_Qty]]=0,0,Table13[[#This Row],[Reject_Qty]]/Table13[[#This Row],[Actual_Qty]])</f>
        <v>5.6285178236397749E-3</v>
      </c>
      <c r="S1161">
        <v>440.04</v>
      </c>
      <c r="T1161">
        <f>(Table13[[#This Row],[Ideal_Cycle_Time_sec]]*Table13[[#This Row],[Actual_Qty]])/(Table13[[#This Row],[Operational_Time_min]]*60)</f>
        <v>0.44412629154925309</v>
      </c>
      <c r="U1161">
        <f>Table13[[#This Row],[Good_Qty]]/Table13[[#This Row],[Actual_Qty]]</f>
        <v>0.99437148217636018</v>
      </c>
      <c r="V1161" t="str">
        <f>IF(OR(Table13[[#This Row],[Performance_%]]&gt;=1,Table13[[#This Row],[Performance_%]]&lt;=0),"Error","OK")</f>
        <v>OK</v>
      </c>
      <c r="W1161" t="str">
        <f>IF(OR(Table13[[#This Row],[Quality_%]]&gt;=1,Table13[[#This Row],[Quality_%]]&lt;=0),"Error","OK")</f>
        <v>OK</v>
      </c>
      <c r="X1161">
        <f>Table13[[#This Row],[Performance_%]]*Table13[[#This Row],[Quality_%]]*[2]Availability_KPI!K1161</f>
        <v>0.43185185185185182</v>
      </c>
      <c r="Y1161" t="str">
        <f>IF(OR(Table13[[#This Row],[OEE_%]]&gt;1,Table13[[#This Row],[OEE_%]]&lt;0),"Error","OK")</f>
        <v>OK</v>
      </c>
    </row>
    <row r="1162" spans="1:25" x14ac:dyDescent="0.2">
      <c r="A1162" t="s">
        <v>1356</v>
      </c>
      <c r="B1162" t="s">
        <v>1357</v>
      </c>
      <c r="C1162" s="2">
        <v>46303</v>
      </c>
      <c r="D1162" t="s">
        <v>53</v>
      </c>
      <c r="E1162" t="s">
        <v>28</v>
      </c>
      <c r="F1162" t="s">
        <v>54</v>
      </c>
      <c r="G1162" t="s">
        <v>30</v>
      </c>
      <c r="H1162">
        <v>566</v>
      </c>
      <c r="I1162">
        <v>564</v>
      </c>
      <c r="J1162">
        <v>2</v>
      </c>
      <c r="K1162">
        <v>18</v>
      </c>
      <c r="L1162">
        <v>19.14</v>
      </c>
      <c r="M1162">
        <v>180.52</v>
      </c>
      <c r="N1162">
        <f>_xlfn.XLOOKUP(Table13[[#This Row],[Production_Order_ID]],[1]Sheet1!$A$2:$A$391,[1]Sheet1!$F$2:$F$391,"No Match")</f>
        <v>560</v>
      </c>
      <c r="O1162" s="3">
        <f>Table13[[#This Row],[Good_Qty]]/Table13[[#This Row],[Planned_Production]]</f>
        <v>1.0071428571428571</v>
      </c>
      <c r="P1162" t="str">
        <f>IF(Table13[[#This Row],[Good_Qty]]&gt;=Table13[[#This Row],[Planned_Production]],"Met","Not Met")</f>
        <v>Met</v>
      </c>
      <c r="Q1162">
        <f>Table13[[#This Row],[Good_Qty]]-Table13[[#This Row],[Planned_Production]]</f>
        <v>4</v>
      </c>
      <c r="R1162" s="3">
        <f>IF(Table13[[#This Row],[Actual_Qty]]=0,0,Table13[[#This Row],[Reject_Qty]]/Table13[[#This Row],[Actual_Qty]])</f>
        <v>3.5335689045936395E-3</v>
      </c>
      <c r="S1162">
        <v>441.06</v>
      </c>
      <c r="T1162">
        <f>(Table13[[#This Row],[Ideal_Cycle_Time_sec]]*Table13[[#This Row],[Actual_Qty]])/(Table13[[#This Row],[Operational_Time_min]]*60)</f>
        <v>0.38498163515168005</v>
      </c>
      <c r="U1162">
        <f>Table13[[#This Row],[Good_Qty]]/Table13[[#This Row],[Actual_Qty]]</f>
        <v>0.99646643109540634</v>
      </c>
      <c r="V1162" t="str">
        <f>IF(OR(Table13[[#This Row],[Performance_%]]&gt;=1,Table13[[#This Row],[Performance_%]]&lt;=0),"Error","OK")</f>
        <v>OK</v>
      </c>
      <c r="W1162" t="str">
        <f>IF(OR(Table13[[#This Row],[Quality_%]]&gt;=1,Table13[[#This Row],[Quality_%]]&lt;=0),"Error","OK")</f>
        <v>OK</v>
      </c>
      <c r="X1162">
        <f>Table13[[#This Row],[Performance_%]]*Table13[[#This Row],[Quality_%]]*[2]Availability_KPI!K1162</f>
        <v>0.376</v>
      </c>
      <c r="Y1162" t="str">
        <f>IF(OR(Table13[[#This Row],[OEE_%]]&gt;1,Table13[[#This Row],[OEE_%]]&lt;0),"Error","OK")</f>
        <v>OK</v>
      </c>
    </row>
    <row r="1163" spans="1:25" x14ac:dyDescent="0.2">
      <c r="A1163" t="s">
        <v>1358</v>
      </c>
      <c r="B1163" t="s">
        <v>1357</v>
      </c>
      <c r="C1163" s="2">
        <v>46303</v>
      </c>
      <c r="D1163" t="s">
        <v>53</v>
      </c>
      <c r="E1163" t="s">
        <v>32</v>
      </c>
      <c r="F1163" t="s">
        <v>54</v>
      </c>
      <c r="G1163" t="s">
        <v>30</v>
      </c>
      <c r="H1163">
        <v>564</v>
      </c>
      <c r="I1163">
        <v>560</v>
      </c>
      <c r="J1163">
        <v>4</v>
      </c>
      <c r="K1163">
        <v>20</v>
      </c>
      <c r="L1163">
        <v>21.55</v>
      </c>
      <c r="M1163">
        <v>202.53</v>
      </c>
      <c r="N1163">
        <f>_xlfn.XLOOKUP(Table13[[#This Row],[Production_Order_ID]],[1]Sheet1!$A$2:$A$391,[1]Sheet1!$F$2:$F$391,"No Match")</f>
        <v>560</v>
      </c>
      <c r="O1163" s="3">
        <f>Table13[[#This Row],[Good_Qty]]/Table13[[#This Row],[Planned_Production]]</f>
        <v>1</v>
      </c>
      <c r="P1163" t="str">
        <f>IF(Table13[[#This Row],[Good_Qty]]&gt;=Table13[[#This Row],[Planned_Production]],"Met","Not Met")</f>
        <v>Met</v>
      </c>
      <c r="Q1163">
        <f>Table13[[#This Row],[Good_Qty]]-Table13[[#This Row],[Planned_Production]]</f>
        <v>0</v>
      </c>
      <c r="R1163" s="3">
        <f>IF(Table13[[#This Row],[Actual_Qty]]=0,0,Table13[[#This Row],[Reject_Qty]]/Table13[[#This Row],[Actual_Qty]])</f>
        <v>7.0921985815602835E-3</v>
      </c>
      <c r="S1163">
        <v>437.76</v>
      </c>
      <c r="T1163">
        <f>(Table13[[#This Row],[Ideal_Cycle_Time_sec]]*Table13[[#This Row],[Actual_Qty]])/(Table13[[#This Row],[Operational_Time_min]]*60)</f>
        <v>0.42945906432748543</v>
      </c>
      <c r="U1163">
        <f>Table13[[#This Row],[Good_Qty]]/Table13[[#This Row],[Actual_Qty]]</f>
        <v>0.99290780141843971</v>
      </c>
      <c r="V1163" t="str">
        <f>IF(OR(Table13[[#This Row],[Performance_%]]&gt;=1,Table13[[#This Row],[Performance_%]]&lt;=0),"Error","OK")</f>
        <v>OK</v>
      </c>
      <c r="W1163" t="str">
        <f>IF(OR(Table13[[#This Row],[Quality_%]]&gt;=1,Table13[[#This Row],[Quality_%]]&lt;=0),"Error","OK")</f>
        <v>OK</v>
      </c>
      <c r="X1163">
        <f>Table13[[#This Row],[Performance_%]]*Table13[[#This Row],[Quality_%]]*[2]Availability_KPI!K1163</f>
        <v>0.41481481481481486</v>
      </c>
      <c r="Y1163" t="str">
        <f>IF(OR(Table13[[#This Row],[OEE_%]]&gt;1,Table13[[#This Row],[OEE_%]]&lt;0),"Error","OK")</f>
        <v>OK</v>
      </c>
    </row>
    <row r="1164" spans="1:25" x14ac:dyDescent="0.2">
      <c r="A1164" t="s">
        <v>1359</v>
      </c>
      <c r="B1164" t="s">
        <v>1357</v>
      </c>
      <c r="C1164" s="2">
        <v>46303</v>
      </c>
      <c r="D1164" t="s">
        <v>53</v>
      </c>
      <c r="E1164" t="s">
        <v>35</v>
      </c>
      <c r="F1164" t="s">
        <v>54</v>
      </c>
      <c r="G1164" t="s">
        <v>36</v>
      </c>
      <c r="H1164">
        <v>570</v>
      </c>
      <c r="I1164">
        <v>568</v>
      </c>
      <c r="J1164">
        <v>2</v>
      </c>
      <c r="K1164">
        <v>22</v>
      </c>
      <c r="L1164">
        <v>23.42</v>
      </c>
      <c r="M1164">
        <v>222.48</v>
      </c>
      <c r="N1164">
        <f>_xlfn.XLOOKUP(Table13[[#This Row],[Production_Order_ID]],[1]Sheet1!$A$2:$A$391,[1]Sheet1!$F$2:$F$391,"No Match")</f>
        <v>560</v>
      </c>
      <c r="O1164" s="3">
        <f>Table13[[#This Row],[Good_Qty]]/Table13[[#This Row],[Planned_Production]]</f>
        <v>1.0142857142857142</v>
      </c>
      <c r="P1164" t="str">
        <f>IF(Table13[[#This Row],[Good_Qty]]&gt;=Table13[[#This Row],[Planned_Production]],"Met","Not Met")</f>
        <v>Met</v>
      </c>
      <c r="Q1164">
        <f>Table13[[#This Row],[Good_Qty]]-Table13[[#This Row],[Planned_Production]]</f>
        <v>8</v>
      </c>
      <c r="R1164" s="3">
        <f>IF(Table13[[#This Row],[Actual_Qty]]=0,0,Table13[[#This Row],[Reject_Qty]]/Table13[[#This Row],[Actual_Qty]])</f>
        <v>3.5087719298245615E-3</v>
      </c>
      <c r="S1164">
        <v>434.15</v>
      </c>
      <c r="T1164">
        <f>(Table13[[#This Row],[Ideal_Cycle_Time_sec]]*Table13[[#This Row],[Actual_Qty]])/(Table13[[#This Row],[Operational_Time_min]]*60)</f>
        <v>0.48140043763676149</v>
      </c>
      <c r="U1164">
        <f>Table13[[#This Row],[Good_Qty]]/Table13[[#This Row],[Actual_Qty]]</f>
        <v>0.99649122807017543</v>
      </c>
      <c r="V1164" t="str">
        <f>IF(OR(Table13[[#This Row],[Performance_%]]&gt;=1,Table13[[#This Row],[Performance_%]]&lt;=0),"Error","OK")</f>
        <v>OK</v>
      </c>
      <c r="W1164" t="str">
        <f>IF(OR(Table13[[#This Row],[Quality_%]]&gt;=1,Table13[[#This Row],[Quality_%]]&lt;=0),"Error","OK")</f>
        <v>OK</v>
      </c>
      <c r="X1164">
        <f>Table13[[#This Row],[Performance_%]]*Table13[[#This Row],[Quality_%]]*[2]Availability_KPI!K1164</f>
        <v>0.46281481481481479</v>
      </c>
      <c r="Y1164" t="str">
        <f>IF(OR(Table13[[#This Row],[OEE_%]]&gt;1,Table13[[#This Row],[OEE_%]]&lt;0),"Error","OK")</f>
        <v>OK</v>
      </c>
    </row>
    <row r="1165" spans="1:25" x14ac:dyDescent="0.2">
      <c r="A1165" t="s">
        <v>1360</v>
      </c>
      <c r="B1165" t="s">
        <v>1357</v>
      </c>
      <c r="C1165" s="2">
        <v>46303</v>
      </c>
      <c r="D1165" t="s">
        <v>53</v>
      </c>
      <c r="E1165" t="s">
        <v>38</v>
      </c>
      <c r="F1165" t="s">
        <v>54</v>
      </c>
      <c r="G1165" t="s">
        <v>75</v>
      </c>
      <c r="H1165">
        <v>560</v>
      </c>
      <c r="I1165">
        <v>557</v>
      </c>
      <c r="J1165">
        <v>3</v>
      </c>
      <c r="K1165">
        <v>20</v>
      </c>
      <c r="L1165">
        <v>20.74</v>
      </c>
      <c r="M1165">
        <v>193.53</v>
      </c>
      <c r="N1165">
        <f>_xlfn.XLOOKUP(Table13[[#This Row],[Production_Order_ID]],[1]Sheet1!$A$2:$A$391,[1]Sheet1!$F$2:$F$391,"No Match")</f>
        <v>560</v>
      </c>
      <c r="O1165" s="3">
        <f>Table13[[#This Row],[Good_Qty]]/Table13[[#This Row],[Planned_Production]]</f>
        <v>0.99464285714285716</v>
      </c>
      <c r="P1165" t="str">
        <f>IF(Table13[[#This Row],[Good_Qty]]&gt;=Table13[[#This Row],[Planned_Production]],"Met","Not Met")</f>
        <v>Not Met</v>
      </c>
      <c r="Q1165">
        <f>Table13[[#This Row],[Good_Qty]]-Table13[[#This Row],[Planned_Production]]</f>
        <v>-3</v>
      </c>
      <c r="R1165" s="3">
        <f>IF(Table13[[#This Row],[Actual_Qty]]=0,0,Table13[[#This Row],[Reject_Qty]]/Table13[[#This Row],[Actual_Qty]])</f>
        <v>5.3571428571428572E-3</v>
      </c>
      <c r="S1165">
        <v>438.31</v>
      </c>
      <c r="T1165">
        <f>(Table13[[#This Row],[Ideal_Cycle_Time_sec]]*Table13[[#This Row],[Actual_Qty]])/(Table13[[#This Row],[Operational_Time_min]]*60)</f>
        <v>0.42587818362954682</v>
      </c>
      <c r="U1165">
        <f>Table13[[#This Row],[Good_Qty]]/Table13[[#This Row],[Actual_Qty]]</f>
        <v>0.99464285714285716</v>
      </c>
      <c r="V1165" t="str">
        <f>IF(OR(Table13[[#This Row],[Performance_%]]&gt;=1,Table13[[#This Row],[Performance_%]]&lt;=0),"Error","OK")</f>
        <v>OK</v>
      </c>
      <c r="W1165" t="str">
        <f>IF(OR(Table13[[#This Row],[Quality_%]]&gt;=1,Table13[[#This Row],[Quality_%]]&lt;=0),"Error","OK")</f>
        <v>OK</v>
      </c>
      <c r="X1165">
        <f>Table13[[#This Row],[Performance_%]]*Table13[[#This Row],[Quality_%]]*[2]Availability_KPI!K1165</f>
        <v>0.41259259259259257</v>
      </c>
      <c r="Y1165" t="str">
        <f>IF(OR(Table13[[#This Row],[OEE_%]]&gt;1,Table13[[#This Row],[OEE_%]]&lt;0),"Error","OK")</f>
        <v>OK</v>
      </c>
    </row>
    <row r="1166" spans="1:25" x14ac:dyDescent="0.2">
      <c r="A1166" t="s">
        <v>1361</v>
      </c>
      <c r="B1166" t="s">
        <v>1357</v>
      </c>
      <c r="C1166" s="2">
        <v>46303</v>
      </c>
      <c r="D1166" t="s">
        <v>53</v>
      </c>
      <c r="E1166" t="s">
        <v>41</v>
      </c>
      <c r="F1166" t="s">
        <v>54</v>
      </c>
      <c r="G1166" t="s">
        <v>75</v>
      </c>
      <c r="H1166">
        <v>550</v>
      </c>
      <c r="I1166">
        <v>543</v>
      </c>
      <c r="J1166">
        <v>7</v>
      </c>
      <c r="K1166">
        <v>18</v>
      </c>
      <c r="L1166">
        <v>19.84</v>
      </c>
      <c r="M1166">
        <v>181.91</v>
      </c>
      <c r="N1166">
        <f>_xlfn.XLOOKUP(Table13[[#This Row],[Production_Order_ID]],[1]Sheet1!$A$2:$A$391,[1]Sheet1!$F$2:$F$391,"No Match")</f>
        <v>560</v>
      </c>
      <c r="O1166" s="3">
        <f>Table13[[#This Row],[Good_Qty]]/Table13[[#This Row],[Planned_Production]]</f>
        <v>0.96964285714285714</v>
      </c>
      <c r="P1166" t="str">
        <f>IF(Table13[[#This Row],[Good_Qty]]&gt;=Table13[[#This Row],[Planned_Production]],"Met","Not Met")</f>
        <v>Not Met</v>
      </c>
      <c r="Q1166">
        <f>Table13[[#This Row],[Good_Qty]]-Table13[[#This Row],[Planned_Production]]</f>
        <v>-17</v>
      </c>
      <c r="R1166" s="3">
        <f>IF(Table13[[#This Row],[Actual_Qty]]=0,0,Table13[[#This Row],[Reject_Qty]]/Table13[[#This Row],[Actual_Qty]])</f>
        <v>1.2727272727272728E-2</v>
      </c>
      <c r="S1166">
        <v>439.88</v>
      </c>
      <c r="T1166">
        <f>(Table13[[#This Row],[Ideal_Cycle_Time_sec]]*Table13[[#This Row],[Actual_Qty]])/(Table13[[#This Row],[Operational_Time_min]]*60)</f>
        <v>0.37510230062744387</v>
      </c>
      <c r="U1166">
        <f>Table13[[#This Row],[Good_Qty]]/Table13[[#This Row],[Actual_Qty]]</f>
        <v>0.9872727272727273</v>
      </c>
      <c r="V1166" t="str">
        <f>IF(OR(Table13[[#This Row],[Performance_%]]&gt;=1,Table13[[#This Row],[Performance_%]]&lt;=0),"Error","OK")</f>
        <v>OK</v>
      </c>
      <c r="W1166" t="str">
        <f>IF(OR(Table13[[#This Row],[Quality_%]]&gt;=1,Table13[[#This Row],[Quality_%]]&lt;=0),"Error","OK")</f>
        <v>OK</v>
      </c>
      <c r="X1166">
        <f>Table13[[#This Row],[Performance_%]]*Table13[[#This Row],[Quality_%]]*[2]Availability_KPI!K1166</f>
        <v>0.36200000000000004</v>
      </c>
      <c r="Y1166" t="str">
        <f>IF(OR(Table13[[#This Row],[OEE_%]]&gt;1,Table13[[#This Row],[OEE_%]]&lt;0),"Error","OK")</f>
        <v>OK</v>
      </c>
    </row>
    <row r="1167" spans="1:25" x14ac:dyDescent="0.2">
      <c r="A1167" t="s">
        <v>1362</v>
      </c>
      <c r="B1167" t="s">
        <v>1357</v>
      </c>
      <c r="C1167" s="2">
        <v>46303</v>
      </c>
      <c r="D1167" t="s">
        <v>53</v>
      </c>
      <c r="E1167" t="s">
        <v>43</v>
      </c>
      <c r="F1167" t="s">
        <v>54</v>
      </c>
      <c r="G1167" t="s">
        <v>71</v>
      </c>
      <c r="H1167">
        <v>555</v>
      </c>
      <c r="I1167">
        <v>547</v>
      </c>
      <c r="J1167">
        <v>8</v>
      </c>
      <c r="K1167">
        <v>32</v>
      </c>
      <c r="L1167">
        <v>32.15</v>
      </c>
      <c r="M1167">
        <v>297.37</v>
      </c>
      <c r="N1167">
        <f>_xlfn.XLOOKUP(Table13[[#This Row],[Production_Order_ID]],[1]Sheet1!$A$2:$A$391,[1]Sheet1!$F$2:$F$391,"No Match")</f>
        <v>560</v>
      </c>
      <c r="O1167" s="3">
        <f>Table13[[#This Row],[Good_Qty]]/Table13[[#This Row],[Planned_Production]]</f>
        <v>0.97678571428571426</v>
      </c>
      <c r="P1167" t="str">
        <f>IF(Table13[[#This Row],[Good_Qty]]&gt;=Table13[[#This Row],[Planned_Production]],"Met","Not Met")</f>
        <v>Not Met</v>
      </c>
      <c r="Q1167">
        <f>Table13[[#This Row],[Good_Qty]]-Table13[[#This Row],[Planned_Production]]</f>
        <v>-13</v>
      </c>
      <c r="R1167" s="3">
        <f>IF(Table13[[#This Row],[Actual_Qty]]=0,0,Table13[[#This Row],[Reject_Qty]]/Table13[[#This Row],[Actual_Qty]])</f>
        <v>1.4414414414414415E-2</v>
      </c>
      <c r="S1167">
        <v>424.39</v>
      </c>
      <c r="T1167">
        <f>(Table13[[#This Row],[Ideal_Cycle_Time_sec]]*Table13[[#This Row],[Actual_Qty]])/(Table13[[#This Row],[Operational_Time_min]]*60)</f>
        <v>0.69747166521360071</v>
      </c>
      <c r="U1167">
        <f>Table13[[#This Row],[Good_Qty]]/Table13[[#This Row],[Actual_Qty]]</f>
        <v>0.98558558558558562</v>
      </c>
      <c r="V1167" t="str">
        <f>IF(OR(Table13[[#This Row],[Performance_%]]&gt;=1,Table13[[#This Row],[Performance_%]]&lt;=0),"Error","OK")</f>
        <v>OK</v>
      </c>
      <c r="W1167" t="str">
        <f>IF(OR(Table13[[#This Row],[Quality_%]]&gt;=1,Table13[[#This Row],[Quality_%]]&lt;=0),"Error","OK")</f>
        <v>OK</v>
      </c>
      <c r="X1167">
        <f>Table13[[#This Row],[Performance_%]]*Table13[[#This Row],[Quality_%]]*[2]Availability_KPI!K1167</f>
        <v>0.64829629629629626</v>
      </c>
      <c r="Y1167" t="str">
        <f>IF(OR(Table13[[#This Row],[OEE_%]]&gt;1,Table13[[#This Row],[OEE_%]]&lt;0),"Error","OK")</f>
        <v>OK</v>
      </c>
    </row>
    <row r="1168" spans="1:25" x14ac:dyDescent="0.2">
      <c r="A1168" t="s">
        <v>1363</v>
      </c>
      <c r="B1168" t="s">
        <v>1357</v>
      </c>
      <c r="C1168" s="2">
        <v>46303</v>
      </c>
      <c r="D1168" t="s">
        <v>53</v>
      </c>
      <c r="E1168" t="s">
        <v>46</v>
      </c>
      <c r="F1168" t="s">
        <v>54</v>
      </c>
      <c r="G1168" t="s">
        <v>44</v>
      </c>
      <c r="H1168">
        <v>555</v>
      </c>
      <c r="I1168">
        <v>550</v>
      </c>
      <c r="J1168">
        <v>5</v>
      </c>
      <c r="K1168">
        <v>25</v>
      </c>
      <c r="L1168">
        <v>26.59</v>
      </c>
      <c r="M1168">
        <v>245.94</v>
      </c>
      <c r="N1168">
        <f>_xlfn.XLOOKUP(Table13[[#This Row],[Production_Order_ID]],[1]Sheet1!$A$2:$A$391,[1]Sheet1!$F$2:$F$391,"No Match")</f>
        <v>560</v>
      </c>
      <c r="O1168" s="3">
        <f>Table13[[#This Row],[Good_Qty]]/Table13[[#This Row],[Planned_Production]]</f>
        <v>0.9821428571428571</v>
      </c>
      <c r="P1168" t="str">
        <f>IF(Table13[[#This Row],[Good_Qty]]&gt;=Table13[[#This Row],[Planned_Production]],"Met","Not Met")</f>
        <v>Not Met</v>
      </c>
      <c r="Q1168">
        <f>Table13[[#This Row],[Good_Qty]]-Table13[[#This Row],[Planned_Production]]</f>
        <v>-10</v>
      </c>
      <c r="R1168" s="3">
        <f>IF(Table13[[#This Row],[Actual_Qty]]=0,0,Table13[[#This Row],[Reject_Qty]]/Table13[[#This Row],[Actual_Qty]])</f>
        <v>9.0090090090090089E-3</v>
      </c>
      <c r="S1168">
        <v>435.65</v>
      </c>
      <c r="T1168">
        <f>(Table13[[#This Row],[Ideal_Cycle_Time_sec]]*Table13[[#This Row],[Actual_Qty]])/(Table13[[#This Row],[Operational_Time_min]]*60)</f>
        <v>0.53081602203603806</v>
      </c>
      <c r="U1168">
        <f>Table13[[#This Row],[Good_Qty]]/Table13[[#This Row],[Actual_Qty]]</f>
        <v>0.99099099099099097</v>
      </c>
      <c r="V1168" t="str">
        <f>IF(OR(Table13[[#This Row],[Performance_%]]&gt;=1,Table13[[#This Row],[Performance_%]]&lt;=0),"Error","OK")</f>
        <v>OK</v>
      </c>
      <c r="W1168" t="str">
        <f>IF(OR(Table13[[#This Row],[Quality_%]]&gt;=1,Table13[[#This Row],[Quality_%]]&lt;=0),"Error","OK")</f>
        <v>OK</v>
      </c>
      <c r="X1168">
        <f>Table13[[#This Row],[Performance_%]]*Table13[[#This Row],[Quality_%]]*[2]Availability_KPI!K1168</f>
        <v>0.50925925925925919</v>
      </c>
      <c r="Y1168" t="str">
        <f>IF(OR(Table13[[#This Row],[OEE_%]]&gt;1,Table13[[#This Row],[OEE_%]]&lt;0),"Error","OK")</f>
        <v>OK</v>
      </c>
    </row>
    <row r="1169" spans="1:25" x14ac:dyDescent="0.2">
      <c r="A1169" t="s">
        <v>1364</v>
      </c>
      <c r="B1169" t="s">
        <v>1357</v>
      </c>
      <c r="C1169" s="2">
        <v>46303</v>
      </c>
      <c r="D1169" t="s">
        <v>53</v>
      </c>
      <c r="E1169" t="s">
        <v>49</v>
      </c>
      <c r="F1169" t="s">
        <v>54</v>
      </c>
      <c r="G1169" t="s">
        <v>33</v>
      </c>
      <c r="H1169">
        <v>561</v>
      </c>
      <c r="I1169">
        <v>558</v>
      </c>
      <c r="J1169">
        <v>3</v>
      </c>
      <c r="K1169">
        <v>20</v>
      </c>
      <c r="L1169">
        <v>20.82</v>
      </c>
      <c r="M1169">
        <v>194.71</v>
      </c>
      <c r="N1169">
        <f>_xlfn.XLOOKUP(Table13[[#This Row],[Production_Order_ID]],[1]Sheet1!$A$2:$A$391,[1]Sheet1!$F$2:$F$391,"No Match")</f>
        <v>560</v>
      </c>
      <c r="O1169" s="3">
        <f>Table13[[#This Row],[Good_Qty]]/Table13[[#This Row],[Planned_Production]]</f>
        <v>0.99642857142857144</v>
      </c>
      <c r="P1169" t="str">
        <f>IF(Table13[[#This Row],[Good_Qty]]&gt;=Table13[[#This Row],[Planned_Production]],"Met","Not Met")</f>
        <v>Not Met</v>
      </c>
      <c r="Q1169">
        <f>Table13[[#This Row],[Good_Qty]]-Table13[[#This Row],[Planned_Production]]</f>
        <v>-2</v>
      </c>
      <c r="R1169" s="3">
        <f>IF(Table13[[#This Row],[Actual_Qty]]=0,0,Table13[[#This Row],[Reject_Qty]]/Table13[[#This Row],[Actual_Qty]])</f>
        <v>5.3475935828877002E-3</v>
      </c>
      <c r="S1169">
        <v>442.46</v>
      </c>
      <c r="T1169">
        <f>(Table13[[#This Row],[Ideal_Cycle_Time_sec]]*Table13[[#This Row],[Actual_Qty]])/(Table13[[#This Row],[Operational_Time_min]]*60)</f>
        <v>0.42263707453781135</v>
      </c>
      <c r="U1169">
        <f>Table13[[#This Row],[Good_Qty]]/Table13[[#This Row],[Actual_Qty]]</f>
        <v>0.99465240641711228</v>
      </c>
      <c r="V1169" t="str">
        <f>IF(OR(Table13[[#This Row],[Performance_%]]&gt;=1,Table13[[#This Row],[Performance_%]]&lt;=0),"Error","OK")</f>
        <v>OK</v>
      </c>
      <c r="W1169" t="str">
        <f>IF(OR(Table13[[#This Row],[Quality_%]]&gt;=1,Table13[[#This Row],[Quality_%]]&lt;=0),"Error","OK")</f>
        <v>OK</v>
      </c>
      <c r="X1169">
        <f>Table13[[#This Row],[Performance_%]]*Table13[[#This Row],[Quality_%]]*[2]Availability_KPI!K1169</f>
        <v>0.41333333333333333</v>
      </c>
      <c r="Y1169" t="str">
        <f>IF(OR(Table13[[#This Row],[OEE_%]]&gt;1,Table13[[#This Row],[OEE_%]]&lt;0),"Error","OK")</f>
        <v>OK</v>
      </c>
    </row>
    <row r="1170" spans="1:25" x14ac:dyDescent="0.2">
      <c r="A1170" t="s">
        <v>1365</v>
      </c>
      <c r="B1170" t="s">
        <v>1366</v>
      </c>
      <c r="C1170" s="2">
        <v>46303</v>
      </c>
      <c r="D1170" t="s">
        <v>67</v>
      </c>
      <c r="E1170" t="s">
        <v>28</v>
      </c>
      <c r="F1170" t="s">
        <v>29</v>
      </c>
      <c r="G1170" t="s">
        <v>36</v>
      </c>
      <c r="H1170">
        <v>651</v>
      </c>
      <c r="I1170">
        <v>647</v>
      </c>
      <c r="J1170">
        <v>4</v>
      </c>
      <c r="K1170">
        <v>19.8</v>
      </c>
      <c r="L1170">
        <v>20.14</v>
      </c>
      <c r="M1170">
        <v>218.53</v>
      </c>
      <c r="N1170">
        <f>_xlfn.XLOOKUP(Table13[[#This Row],[Production_Order_ID]],[1]Sheet1!$A$2:$A$391,[1]Sheet1!$F$2:$F$391,"No Match")</f>
        <v>590</v>
      </c>
      <c r="O1170" s="3">
        <f>Table13[[#This Row],[Good_Qty]]/Table13[[#This Row],[Planned_Production]]</f>
        <v>1.0966101694915253</v>
      </c>
      <c r="P1170" t="str">
        <f>IF(Table13[[#This Row],[Good_Qty]]&gt;=Table13[[#This Row],[Planned_Production]],"Met","Not Met")</f>
        <v>Met</v>
      </c>
      <c r="Q1170">
        <f>Table13[[#This Row],[Good_Qty]]-Table13[[#This Row],[Planned_Production]]</f>
        <v>57</v>
      </c>
      <c r="R1170" s="3">
        <f>IF(Table13[[#This Row],[Actual_Qty]]=0,0,Table13[[#This Row],[Reject_Qty]]/Table13[[#This Row],[Actual_Qty]])</f>
        <v>6.1443932411674347E-3</v>
      </c>
      <c r="S1170">
        <v>438.83</v>
      </c>
      <c r="T1170">
        <f>(Table13[[#This Row],[Ideal_Cycle_Time_sec]]*Table13[[#This Row],[Actual_Qty]])/(Table13[[#This Row],[Operational_Time_min]]*60)</f>
        <v>0.48955176264156969</v>
      </c>
      <c r="U1170">
        <f>Table13[[#This Row],[Good_Qty]]/Table13[[#This Row],[Actual_Qty]]</f>
        <v>0.99385560675883255</v>
      </c>
      <c r="V1170" t="str">
        <f>IF(OR(Table13[[#This Row],[Performance_%]]&gt;=1,Table13[[#This Row],[Performance_%]]&lt;=0),"Error","OK")</f>
        <v>OK</v>
      </c>
      <c r="W1170" t="str">
        <f>IF(OR(Table13[[#This Row],[Quality_%]]&gt;=1,Table13[[#This Row],[Quality_%]]&lt;=0),"Error","OK")</f>
        <v>OK</v>
      </c>
      <c r="X1170">
        <f>Table13[[#This Row],[Performance_%]]*Table13[[#This Row],[Quality_%]]*[2]Availability_KPI!K1170</f>
        <v>0.4744666666666667</v>
      </c>
      <c r="Y1170" t="str">
        <f>IF(OR(Table13[[#This Row],[OEE_%]]&gt;1,Table13[[#This Row],[OEE_%]]&lt;0),"Error","OK")</f>
        <v>OK</v>
      </c>
    </row>
    <row r="1171" spans="1:25" x14ac:dyDescent="0.2">
      <c r="A1171" t="s">
        <v>1367</v>
      </c>
      <c r="B1171" t="s">
        <v>1366</v>
      </c>
      <c r="C1171" s="2">
        <v>46303</v>
      </c>
      <c r="D1171" t="s">
        <v>67</v>
      </c>
      <c r="E1171" t="s">
        <v>32</v>
      </c>
      <c r="F1171" t="s">
        <v>29</v>
      </c>
      <c r="G1171" t="s">
        <v>61</v>
      </c>
      <c r="H1171">
        <v>655</v>
      </c>
      <c r="I1171">
        <v>649</v>
      </c>
      <c r="J1171">
        <v>6</v>
      </c>
      <c r="K1171">
        <v>22</v>
      </c>
      <c r="L1171">
        <v>23.13</v>
      </c>
      <c r="M1171">
        <v>252.5</v>
      </c>
      <c r="N1171">
        <f>_xlfn.XLOOKUP(Table13[[#This Row],[Production_Order_ID]],[1]Sheet1!$A$2:$A$391,[1]Sheet1!$F$2:$F$391,"No Match")</f>
        <v>590</v>
      </c>
      <c r="O1171" s="3">
        <f>Table13[[#This Row],[Good_Qty]]/Table13[[#This Row],[Planned_Production]]</f>
        <v>1.1000000000000001</v>
      </c>
      <c r="P1171" t="str">
        <f>IF(Table13[[#This Row],[Good_Qty]]&gt;=Table13[[#This Row],[Planned_Production]],"Met","Not Met")</f>
        <v>Met</v>
      </c>
      <c r="Q1171">
        <f>Table13[[#This Row],[Good_Qty]]-Table13[[#This Row],[Planned_Production]]</f>
        <v>59</v>
      </c>
      <c r="R1171" s="3">
        <f>IF(Table13[[#This Row],[Actual_Qty]]=0,0,Table13[[#This Row],[Reject_Qty]]/Table13[[#This Row],[Actual_Qty]])</f>
        <v>9.1603053435114507E-3</v>
      </c>
      <c r="S1171">
        <v>436.1</v>
      </c>
      <c r="T1171">
        <f>(Table13[[#This Row],[Ideal_Cycle_Time_sec]]*Table13[[#This Row],[Actual_Qty]])/(Table13[[#This Row],[Operational_Time_min]]*60)</f>
        <v>0.55071466788962775</v>
      </c>
      <c r="U1171">
        <f>Table13[[#This Row],[Good_Qty]]/Table13[[#This Row],[Actual_Qty]]</f>
        <v>0.99083969465648858</v>
      </c>
      <c r="V1171" t="str">
        <f>IF(OR(Table13[[#This Row],[Performance_%]]&gt;=1,Table13[[#This Row],[Performance_%]]&lt;=0),"Error","OK")</f>
        <v>OK</v>
      </c>
      <c r="W1171" t="str">
        <f>IF(OR(Table13[[#This Row],[Quality_%]]&gt;=1,Table13[[#This Row],[Quality_%]]&lt;=0),"Error","OK")</f>
        <v>OK</v>
      </c>
      <c r="X1171">
        <f>Table13[[#This Row],[Performance_%]]*Table13[[#This Row],[Quality_%]]*[2]Availability_KPI!K1171</f>
        <v>0.52881481481481485</v>
      </c>
      <c r="Y1171" t="str">
        <f>IF(OR(Table13[[#This Row],[OEE_%]]&gt;1,Table13[[#This Row],[OEE_%]]&lt;0),"Error","OK")</f>
        <v>OK</v>
      </c>
    </row>
    <row r="1172" spans="1:25" x14ac:dyDescent="0.2">
      <c r="A1172" t="s">
        <v>1368</v>
      </c>
      <c r="B1172" t="s">
        <v>1366</v>
      </c>
      <c r="C1172" s="2">
        <v>46303</v>
      </c>
      <c r="D1172" t="s">
        <v>67</v>
      </c>
      <c r="E1172" t="s">
        <v>35</v>
      </c>
      <c r="F1172" t="s">
        <v>29</v>
      </c>
      <c r="G1172" t="s">
        <v>55</v>
      </c>
      <c r="H1172">
        <v>640</v>
      </c>
      <c r="I1172">
        <v>634</v>
      </c>
      <c r="J1172">
        <v>6</v>
      </c>
      <c r="K1172">
        <v>24.2</v>
      </c>
      <c r="L1172">
        <v>25.44</v>
      </c>
      <c r="M1172">
        <v>271.32</v>
      </c>
      <c r="N1172">
        <f>_xlfn.XLOOKUP(Table13[[#This Row],[Production_Order_ID]],[1]Sheet1!$A$2:$A$391,[1]Sheet1!$F$2:$F$391,"No Match")</f>
        <v>590</v>
      </c>
      <c r="O1172" s="3">
        <f>Table13[[#This Row],[Good_Qty]]/Table13[[#This Row],[Planned_Production]]</f>
        <v>1.0745762711864406</v>
      </c>
      <c r="P1172" t="str">
        <f>IF(Table13[[#This Row],[Good_Qty]]&gt;=Table13[[#This Row],[Planned_Production]],"Met","Not Met")</f>
        <v>Met</v>
      </c>
      <c r="Q1172">
        <f>Table13[[#This Row],[Good_Qty]]-Table13[[#This Row],[Planned_Production]]</f>
        <v>44</v>
      </c>
      <c r="R1172" s="3">
        <f>IF(Table13[[#This Row],[Actual_Qty]]=0,0,Table13[[#This Row],[Reject_Qty]]/Table13[[#This Row],[Actual_Qty]])</f>
        <v>9.3749999999999997E-3</v>
      </c>
      <c r="S1172">
        <v>428.8</v>
      </c>
      <c r="T1172">
        <f>(Table13[[#This Row],[Ideal_Cycle_Time_sec]]*Table13[[#This Row],[Actual_Qty]])/(Table13[[#This Row],[Operational_Time_min]]*60)</f>
        <v>0.60199004975124382</v>
      </c>
      <c r="U1172">
        <f>Table13[[#This Row],[Good_Qty]]/Table13[[#This Row],[Actual_Qty]]</f>
        <v>0.99062499999999998</v>
      </c>
      <c r="V1172" t="str">
        <f>IF(OR(Table13[[#This Row],[Performance_%]]&gt;=1,Table13[[#This Row],[Performance_%]]&lt;=0),"Error","OK")</f>
        <v>OK</v>
      </c>
      <c r="W1172" t="str">
        <f>IF(OR(Table13[[#This Row],[Quality_%]]&gt;=1,Table13[[#This Row],[Quality_%]]&lt;=0),"Error","OK")</f>
        <v>OK</v>
      </c>
      <c r="X1172">
        <f>Table13[[#This Row],[Performance_%]]*Table13[[#This Row],[Quality_%]]*[2]Availability_KPI!K1172</f>
        <v>0.56825185185185179</v>
      </c>
      <c r="Y1172" t="str">
        <f>IF(OR(Table13[[#This Row],[OEE_%]]&gt;1,Table13[[#This Row],[OEE_%]]&lt;0),"Error","OK")</f>
        <v>OK</v>
      </c>
    </row>
    <row r="1173" spans="1:25" x14ac:dyDescent="0.2">
      <c r="A1173" t="s">
        <v>1369</v>
      </c>
      <c r="B1173" t="s">
        <v>1366</v>
      </c>
      <c r="C1173" s="2">
        <v>46303</v>
      </c>
      <c r="D1173" t="s">
        <v>67</v>
      </c>
      <c r="E1173" t="s">
        <v>38</v>
      </c>
      <c r="F1173" t="s">
        <v>29</v>
      </c>
      <c r="G1173" t="s">
        <v>44</v>
      </c>
      <c r="H1173">
        <v>653</v>
      </c>
      <c r="I1173">
        <v>649</v>
      </c>
      <c r="J1173">
        <v>4</v>
      </c>
      <c r="K1173">
        <v>22</v>
      </c>
      <c r="L1173">
        <v>22.86</v>
      </c>
      <c r="M1173">
        <v>248.74</v>
      </c>
      <c r="N1173">
        <f>_xlfn.XLOOKUP(Table13[[#This Row],[Production_Order_ID]],[1]Sheet1!$A$2:$A$391,[1]Sheet1!$F$2:$F$391,"No Match")</f>
        <v>590</v>
      </c>
      <c r="O1173" s="3">
        <f>Table13[[#This Row],[Good_Qty]]/Table13[[#This Row],[Planned_Production]]</f>
        <v>1.1000000000000001</v>
      </c>
      <c r="P1173" t="str">
        <f>IF(Table13[[#This Row],[Good_Qty]]&gt;=Table13[[#This Row],[Planned_Production]],"Met","Not Met")</f>
        <v>Met</v>
      </c>
      <c r="Q1173">
        <f>Table13[[#This Row],[Good_Qty]]-Table13[[#This Row],[Planned_Production]]</f>
        <v>59</v>
      </c>
      <c r="R1173" s="3">
        <f>IF(Table13[[#This Row],[Actual_Qty]]=0,0,Table13[[#This Row],[Reject_Qty]]/Table13[[#This Row],[Actual_Qty]])</f>
        <v>6.1255742725880554E-3</v>
      </c>
      <c r="S1173">
        <v>440.37</v>
      </c>
      <c r="T1173">
        <f>(Table13[[#This Row],[Ideal_Cycle_Time_sec]]*Table13[[#This Row],[Actual_Qty]])/(Table13[[#This Row],[Operational_Time_min]]*60)</f>
        <v>0.54370945644193136</v>
      </c>
      <c r="U1173">
        <f>Table13[[#This Row],[Good_Qty]]/Table13[[#This Row],[Actual_Qty]]</f>
        <v>0.99387442572741191</v>
      </c>
      <c r="V1173" t="str">
        <f>IF(OR(Table13[[#This Row],[Performance_%]]&gt;=1,Table13[[#This Row],[Performance_%]]&lt;=0),"Error","OK")</f>
        <v>OK</v>
      </c>
      <c r="W1173" t="str">
        <f>IF(OR(Table13[[#This Row],[Quality_%]]&gt;=1,Table13[[#This Row],[Quality_%]]&lt;=0),"Error","OK")</f>
        <v>OK</v>
      </c>
      <c r="X1173">
        <f>Table13[[#This Row],[Performance_%]]*Table13[[#This Row],[Quality_%]]*[2]Availability_KPI!K1173</f>
        <v>0.52881481481481474</v>
      </c>
      <c r="Y1173" t="str">
        <f>IF(OR(Table13[[#This Row],[OEE_%]]&gt;1,Table13[[#This Row],[OEE_%]]&lt;0),"Error","OK")</f>
        <v>OK</v>
      </c>
    </row>
    <row r="1174" spans="1:25" x14ac:dyDescent="0.2">
      <c r="A1174" t="s">
        <v>1370</v>
      </c>
      <c r="B1174" t="s">
        <v>1366</v>
      </c>
      <c r="C1174" s="2">
        <v>46303</v>
      </c>
      <c r="D1174" t="s">
        <v>67</v>
      </c>
      <c r="E1174" t="s">
        <v>41</v>
      </c>
      <c r="F1174" t="s">
        <v>29</v>
      </c>
      <c r="G1174" t="s">
        <v>75</v>
      </c>
      <c r="H1174">
        <v>656</v>
      </c>
      <c r="I1174">
        <v>650</v>
      </c>
      <c r="J1174">
        <v>6</v>
      </c>
      <c r="K1174">
        <v>19.8</v>
      </c>
      <c r="L1174">
        <v>20.309999999999999</v>
      </c>
      <c r="M1174">
        <v>222.01</v>
      </c>
      <c r="N1174">
        <f>_xlfn.XLOOKUP(Table13[[#This Row],[Production_Order_ID]],[1]Sheet1!$A$2:$A$391,[1]Sheet1!$F$2:$F$391,"No Match")</f>
        <v>590</v>
      </c>
      <c r="O1174" s="3">
        <f>Table13[[#This Row],[Good_Qty]]/Table13[[#This Row],[Planned_Production]]</f>
        <v>1.1016949152542372</v>
      </c>
      <c r="P1174" t="str">
        <f>IF(Table13[[#This Row],[Good_Qty]]&gt;=Table13[[#This Row],[Planned_Production]],"Met","Not Met")</f>
        <v>Met</v>
      </c>
      <c r="Q1174">
        <f>Table13[[#This Row],[Good_Qty]]-Table13[[#This Row],[Planned_Production]]</f>
        <v>60</v>
      </c>
      <c r="R1174" s="3">
        <f>IF(Table13[[#This Row],[Actual_Qty]]=0,0,Table13[[#This Row],[Reject_Qty]]/Table13[[#This Row],[Actual_Qty]])</f>
        <v>9.1463414634146336E-3</v>
      </c>
      <c r="S1174">
        <v>438.94</v>
      </c>
      <c r="T1174">
        <f>(Table13[[#This Row],[Ideal_Cycle_Time_sec]]*Table13[[#This Row],[Actual_Qty]])/(Table13[[#This Row],[Operational_Time_min]]*60)</f>
        <v>0.49318813505262682</v>
      </c>
      <c r="U1174">
        <f>Table13[[#This Row],[Good_Qty]]/Table13[[#This Row],[Actual_Qty]]</f>
        <v>0.99085365853658536</v>
      </c>
      <c r="V1174" t="str">
        <f>IF(OR(Table13[[#This Row],[Performance_%]]&gt;=1,Table13[[#This Row],[Performance_%]]&lt;=0),"Error","OK")</f>
        <v>OK</v>
      </c>
      <c r="W1174" t="str">
        <f>IF(OR(Table13[[#This Row],[Quality_%]]&gt;=1,Table13[[#This Row],[Quality_%]]&lt;=0),"Error","OK")</f>
        <v>OK</v>
      </c>
      <c r="X1174">
        <f>Table13[[#This Row],[Performance_%]]*Table13[[#This Row],[Quality_%]]*[2]Availability_KPI!K1174</f>
        <v>0.47666666666666668</v>
      </c>
      <c r="Y1174" t="str">
        <f>IF(OR(Table13[[#This Row],[OEE_%]]&gt;1,Table13[[#This Row],[OEE_%]]&lt;0),"Error","OK")</f>
        <v>OK</v>
      </c>
    </row>
    <row r="1175" spans="1:25" x14ac:dyDescent="0.2">
      <c r="A1175" t="s">
        <v>1371</v>
      </c>
      <c r="B1175" t="s">
        <v>1366</v>
      </c>
      <c r="C1175" s="2">
        <v>46303</v>
      </c>
      <c r="D1175" t="s">
        <v>67</v>
      </c>
      <c r="E1175" t="s">
        <v>43</v>
      </c>
      <c r="F1175" t="s">
        <v>29</v>
      </c>
      <c r="G1175" t="s">
        <v>57</v>
      </c>
      <c r="H1175">
        <v>650</v>
      </c>
      <c r="I1175">
        <v>642</v>
      </c>
      <c r="J1175">
        <v>8</v>
      </c>
      <c r="K1175">
        <v>35.200000000000003</v>
      </c>
      <c r="L1175">
        <v>37.700000000000003</v>
      </c>
      <c r="M1175">
        <v>408.45</v>
      </c>
      <c r="N1175">
        <f>_xlfn.XLOOKUP(Table13[[#This Row],[Production_Order_ID]],[1]Sheet1!$A$2:$A$391,[1]Sheet1!$F$2:$F$391,"No Match")</f>
        <v>590</v>
      </c>
      <c r="O1175" s="3">
        <f>Table13[[#This Row],[Good_Qty]]/Table13[[#This Row],[Planned_Production]]</f>
        <v>1.0881355932203389</v>
      </c>
      <c r="P1175" t="str">
        <f>IF(Table13[[#This Row],[Good_Qty]]&gt;=Table13[[#This Row],[Planned_Production]],"Met","Not Met")</f>
        <v>Met</v>
      </c>
      <c r="Q1175">
        <f>Table13[[#This Row],[Good_Qty]]-Table13[[#This Row],[Planned_Production]]</f>
        <v>52</v>
      </c>
      <c r="R1175" s="3">
        <f>IF(Table13[[#This Row],[Actual_Qty]]=0,0,Table13[[#This Row],[Reject_Qty]]/Table13[[#This Row],[Actual_Qty]])</f>
        <v>1.2307692307692308E-2</v>
      </c>
      <c r="S1175">
        <v>409.44</v>
      </c>
      <c r="T1175">
        <f>(Table13[[#This Row],[Ideal_Cycle_Time_sec]]*Table13[[#This Row],[Actual_Qty]])/(Table13[[#This Row],[Operational_Time_min]]*60)</f>
        <v>0.93135339325257271</v>
      </c>
      <c r="U1175">
        <f>Table13[[#This Row],[Good_Qty]]/Table13[[#This Row],[Actual_Qty]]</f>
        <v>0.98769230769230765</v>
      </c>
      <c r="V1175" t="str">
        <f>IF(OR(Table13[[#This Row],[Performance_%]]&gt;=1,Table13[[#This Row],[Performance_%]]&lt;=0),"Error","OK")</f>
        <v>OK</v>
      </c>
      <c r="W1175" t="str">
        <f>IF(OR(Table13[[#This Row],[Quality_%]]&gt;=1,Table13[[#This Row],[Quality_%]]&lt;=0),"Error","OK")</f>
        <v>OK</v>
      </c>
      <c r="X1175">
        <f>Table13[[#This Row],[Performance_%]]*Table13[[#This Row],[Quality_%]]*[2]Availability_KPI!K1175</f>
        <v>0.83697777777777782</v>
      </c>
      <c r="Y1175" t="str">
        <f>IF(OR(Table13[[#This Row],[OEE_%]]&gt;1,Table13[[#This Row],[OEE_%]]&lt;0),"Error","OK")</f>
        <v>OK</v>
      </c>
    </row>
    <row r="1176" spans="1:25" x14ac:dyDescent="0.2">
      <c r="A1176" t="s">
        <v>1372</v>
      </c>
      <c r="B1176" t="s">
        <v>1366</v>
      </c>
      <c r="C1176" s="2">
        <v>46303</v>
      </c>
      <c r="D1176" t="s">
        <v>67</v>
      </c>
      <c r="E1176" t="s">
        <v>46</v>
      </c>
      <c r="F1176" t="s">
        <v>29</v>
      </c>
      <c r="G1176" t="s">
        <v>50</v>
      </c>
      <c r="H1176">
        <v>664</v>
      </c>
      <c r="I1176">
        <v>659</v>
      </c>
      <c r="J1176">
        <v>5</v>
      </c>
      <c r="K1176">
        <v>27.5</v>
      </c>
      <c r="L1176">
        <v>27.51</v>
      </c>
      <c r="M1176">
        <v>304.44</v>
      </c>
      <c r="N1176">
        <f>_xlfn.XLOOKUP(Table13[[#This Row],[Production_Order_ID]],[1]Sheet1!$A$2:$A$391,[1]Sheet1!$F$2:$F$391,"No Match")</f>
        <v>590</v>
      </c>
      <c r="O1176" s="3">
        <f>Table13[[#This Row],[Good_Qty]]/Table13[[#This Row],[Planned_Production]]</f>
        <v>1.1169491525423729</v>
      </c>
      <c r="P1176" t="str">
        <f>IF(Table13[[#This Row],[Good_Qty]]&gt;=Table13[[#This Row],[Planned_Production]],"Met","Not Met")</f>
        <v>Met</v>
      </c>
      <c r="Q1176">
        <f>Table13[[#This Row],[Good_Qty]]-Table13[[#This Row],[Planned_Production]]</f>
        <v>69</v>
      </c>
      <c r="R1176" s="3">
        <f>IF(Table13[[#This Row],[Actual_Qty]]=0,0,Table13[[#This Row],[Reject_Qty]]/Table13[[#This Row],[Actual_Qty]])</f>
        <v>7.5301204819277108E-3</v>
      </c>
      <c r="S1176">
        <v>432.64</v>
      </c>
      <c r="T1176">
        <f>(Table13[[#This Row],[Ideal_Cycle_Time_sec]]*Table13[[#This Row],[Actual_Qty]])/(Table13[[#This Row],[Operational_Time_min]]*60)</f>
        <v>0.7034331854043393</v>
      </c>
      <c r="U1176">
        <f>Table13[[#This Row],[Good_Qty]]/Table13[[#This Row],[Actual_Qty]]</f>
        <v>0.99246987951807231</v>
      </c>
      <c r="V1176" t="str">
        <f>IF(OR(Table13[[#This Row],[Performance_%]]&gt;=1,Table13[[#This Row],[Performance_%]]&lt;=0),"Error","OK")</f>
        <v>OK</v>
      </c>
      <c r="W1176" t="str">
        <f>IF(OR(Table13[[#This Row],[Quality_%]]&gt;=1,Table13[[#This Row],[Quality_%]]&lt;=0),"Error","OK")</f>
        <v>OK</v>
      </c>
      <c r="X1176">
        <f>Table13[[#This Row],[Performance_%]]*Table13[[#This Row],[Quality_%]]*[2]Availability_KPI!K1176</f>
        <v>0.67120370370370375</v>
      </c>
      <c r="Y1176" t="str">
        <f>IF(OR(Table13[[#This Row],[OEE_%]]&gt;1,Table13[[#This Row],[OEE_%]]&lt;0),"Error","OK")</f>
        <v>OK</v>
      </c>
    </row>
    <row r="1177" spans="1:25" x14ac:dyDescent="0.2">
      <c r="A1177" t="s">
        <v>1373</v>
      </c>
      <c r="B1177" t="s">
        <v>1366</v>
      </c>
      <c r="C1177" s="2">
        <v>46303</v>
      </c>
      <c r="D1177" t="s">
        <v>67</v>
      </c>
      <c r="E1177" t="s">
        <v>49</v>
      </c>
      <c r="F1177" t="s">
        <v>29</v>
      </c>
      <c r="G1177" t="s">
        <v>33</v>
      </c>
      <c r="H1177">
        <v>636</v>
      </c>
      <c r="I1177">
        <v>634</v>
      </c>
      <c r="J1177">
        <v>2</v>
      </c>
      <c r="K1177">
        <v>22</v>
      </c>
      <c r="L1177">
        <v>24.01</v>
      </c>
      <c r="M1177">
        <v>254.46</v>
      </c>
      <c r="N1177">
        <f>_xlfn.XLOOKUP(Table13[[#This Row],[Production_Order_ID]],[1]Sheet1!$A$2:$A$391,[1]Sheet1!$F$2:$F$391,"No Match")</f>
        <v>590</v>
      </c>
      <c r="O1177" s="3">
        <f>Table13[[#This Row],[Good_Qty]]/Table13[[#This Row],[Planned_Production]]</f>
        <v>1.0745762711864406</v>
      </c>
      <c r="P1177" t="str">
        <f>IF(Table13[[#This Row],[Good_Qty]]&gt;=Table13[[#This Row],[Planned_Production]],"Met","Not Met")</f>
        <v>Met</v>
      </c>
      <c r="Q1177">
        <f>Table13[[#This Row],[Good_Qty]]-Table13[[#This Row],[Planned_Production]]</f>
        <v>44</v>
      </c>
      <c r="R1177" s="3">
        <f>IF(Table13[[#This Row],[Actual_Qty]]=0,0,Table13[[#This Row],[Reject_Qty]]/Table13[[#This Row],[Actual_Qty]])</f>
        <v>3.1446540880503146E-3</v>
      </c>
      <c r="S1177">
        <v>439.86</v>
      </c>
      <c r="T1177">
        <f>(Table13[[#This Row],[Ideal_Cycle_Time_sec]]*Table13[[#This Row],[Actual_Qty]])/(Table13[[#This Row],[Operational_Time_min]]*60)</f>
        <v>0.53016869003773925</v>
      </c>
      <c r="U1177">
        <f>Table13[[#This Row],[Good_Qty]]/Table13[[#This Row],[Actual_Qty]]</f>
        <v>0.99685534591194969</v>
      </c>
      <c r="V1177" t="str">
        <f>IF(OR(Table13[[#This Row],[Performance_%]]&gt;=1,Table13[[#This Row],[Performance_%]]&lt;=0),"Error","OK")</f>
        <v>OK</v>
      </c>
      <c r="W1177" t="str">
        <f>IF(OR(Table13[[#This Row],[Quality_%]]&gt;=1,Table13[[#This Row],[Quality_%]]&lt;=0),"Error","OK")</f>
        <v>OK</v>
      </c>
      <c r="X1177">
        <f>Table13[[#This Row],[Performance_%]]*Table13[[#This Row],[Quality_%]]*[2]Availability_KPI!K1177</f>
        <v>0.51659259259259249</v>
      </c>
      <c r="Y1177" t="str">
        <f>IF(OR(Table13[[#This Row],[OEE_%]]&gt;1,Table13[[#This Row],[OEE_%]]&lt;0),"Error","OK")</f>
        <v>OK</v>
      </c>
    </row>
    <row r="1178" spans="1:25" x14ac:dyDescent="0.2">
      <c r="A1178" t="s">
        <v>1374</v>
      </c>
      <c r="B1178" t="s">
        <v>1375</v>
      </c>
      <c r="C1178" s="2">
        <v>46304</v>
      </c>
      <c r="D1178" t="s">
        <v>27</v>
      </c>
      <c r="E1178" t="s">
        <v>28</v>
      </c>
      <c r="F1178" t="s">
        <v>54</v>
      </c>
      <c r="G1178" t="s">
        <v>61</v>
      </c>
      <c r="H1178">
        <v>683</v>
      </c>
      <c r="I1178">
        <v>679</v>
      </c>
      <c r="J1178">
        <v>4</v>
      </c>
      <c r="K1178">
        <v>18</v>
      </c>
      <c r="L1178">
        <v>18.14</v>
      </c>
      <c r="M1178">
        <v>206.55</v>
      </c>
      <c r="N1178">
        <f>_xlfn.XLOOKUP(Table13[[#This Row],[Production_Order_ID]],[1]Sheet1!$A$2:$A$391,[1]Sheet1!$F$2:$F$391,"No Match")</f>
        <v>540</v>
      </c>
      <c r="O1178" s="3">
        <f>Table13[[#This Row],[Good_Qty]]/Table13[[#This Row],[Planned_Production]]</f>
        <v>1.2574074074074073</v>
      </c>
      <c r="P1178" t="str">
        <f>IF(Table13[[#This Row],[Good_Qty]]&gt;=Table13[[#This Row],[Planned_Production]],"Met","Not Met")</f>
        <v>Met</v>
      </c>
      <c r="Q1178">
        <f>Table13[[#This Row],[Good_Qty]]-Table13[[#This Row],[Planned_Production]]</f>
        <v>139</v>
      </c>
      <c r="R1178" s="3">
        <f>IF(Table13[[#This Row],[Actual_Qty]]=0,0,Table13[[#This Row],[Reject_Qty]]/Table13[[#This Row],[Actual_Qty]])</f>
        <v>5.8565153733528552E-3</v>
      </c>
      <c r="S1178">
        <v>438.56</v>
      </c>
      <c r="T1178">
        <f>(Table13[[#This Row],[Ideal_Cycle_Time_sec]]*Table13[[#This Row],[Actual_Qty]])/(Table13[[#This Row],[Operational_Time_min]]*60)</f>
        <v>0.4672108719445458</v>
      </c>
      <c r="U1178">
        <f>Table13[[#This Row],[Good_Qty]]/Table13[[#This Row],[Actual_Qty]]</f>
        <v>0.99414348462664714</v>
      </c>
      <c r="V1178" t="str">
        <f>IF(OR(Table13[[#This Row],[Performance_%]]&gt;=1,Table13[[#This Row],[Performance_%]]&lt;=0),"Error","OK")</f>
        <v>OK</v>
      </c>
      <c r="W1178" t="str">
        <f>IF(OR(Table13[[#This Row],[Quality_%]]&gt;=1,Table13[[#This Row],[Quality_%]]&lt;=0),"Error","OK")</f>
        <v>OK</v>
      </c>
      <c r="X1178">
        <f>Table13[[#This Row],[Performance_%]]*Table13[[#This Row],[Quality_%]]*[2]Availability_KPI!K1178</f>
        <v>0.45266666666666666</v>
      </c>
      <c r="Y1178" t="str">
        <f>IF(OR(Table13[[#This Row],[OEE_%]]&gt;1,Table13[[#This Row],[OEE_%]]&lt;0),"Error","OK")</f>
        <v>OK</v>
      </c>
    </row>
    <row r="1179" spans="1:25" x14ac:dyDescent="0.2">
      <c r="A1179" t="s">
        <v>1376</v>
      </c>
      <c r="B1179" t="s">
        <v>1375</v>
      </c>
      <c r="C1179" s="2">
        <v>46304</v>
      </c>
      <c r="D1179" t="s">
        <v>27</v>
      </c>
      <c r="E1179" t="s">
        <v>32</v>
      </c>
      <c r="F1179" t="s">
        <v>54</v>
      </c>
      <c r="G1179" t="s">
        <v>75</v>
      </c>
      <c r="H1179">
        <v>684</v>
      </c>
      <c r="I1179">
        <v>679</v>
      </c>
      <c r="J1179">
        <v>5</v>
      </c>
      <c r="K1179">
        <v>20</v>
      </c>
      <c r="L1179">
        <v>21.05</v>
      </c>
      <c r="M1179">
        <v>239.95</v>
      </c>
      <c r="N1179">
        <f>_xlfn.XLOOKUP(Table13[[#This Row],[Production_Order_ID]],[1]Sheet1!$A$2:$A$391,[1]Sheet1!$F$2:$F$391,"No Match")</f>
        <v>540</v>
      </c>
      <c r="O1179" s="3">
        <f>Table13[[#This Row],[Good_Qty]]/Table13[[#This Row],[Planned_Production]]</f>
        <v>1.2574074074074073</v>
      </c>
      <c r="P1179" t="str">
        <f>IF(Table13[[#This Row],[Good_Qty]]&gt;=Table13[[#This Row],[Planned_Production]],"Met","Not Met")</f>
        <v>Met</v>
      </c>
      <c r="Q1179">
        <f>Table13[[#This Row],[Good_Qty]]-Table13[[#This Row],[Planned_Production]]</f>
        <v>139</v>
      </c>
      <c r="R1179" s="3">
        <f>IF(Table13[[#This Row],[Actual_Qty]]=0,0,Table13[[#This Row],[Reject_Qty]]/Table13[[#This Row],[Actual_Qty]])</f>
        <v>7.3099415204678359E-3</v>
      </c>
      <c r="S1179">
        <v>440.07</v>
      </c>
      <c r="T1179">
        <f>(Table13[[#This Row],[Ideal_Cycle_Time_sec]]*Table13[[#This Row],[Actual_Qty]])/(Table13[[#This Row],[Operational_Time_min]]*60)</f>
        <v>0.51809939327834209</v>
      </c>
      <c r="U1179">
        <f>Table13[[#This Row],[Good_Qty]]/Table13[[#This Row],[Actual_Qty]]</f>
        <v>0.99269005847953218</v>
      </c>
      <c r="V1179" t="str">
        <f>IF(OR(Table13[[#This Row],[Performance_%]]&gt;=1,Table13[[#This Row],[Performance_%]]&lt;=0),"Error","OK")</f>
        <v>OK</v>
      </c>
      <c r="W1179" t="str">
        <f>IF(OR(Table13[[#This Row],[Quality_%]]&gt;=1,Table13[[#This Row],[Quality_%]]&lt;=0),"Error","OK")</f>
        <v>OK</v>
      </c>
      <c r="X1179">
        <f>Table13[[#This Row],[Performance_%]]*Table13[[#This Row],[Quality_%]]*[2]Availability_KPI!K1179</f>
        <v>0.50296296296296295</v>
      </c>
      <c r="Y1179" t="str">
        <f>IF(OR(Table13[[#This Row],[OEE_%]]&gt;1,Table13[[#This Row],[OEE_%]]&lt;0),"Error","OK")</f>
        <v>OK</v>
      </c>
    </row>
    <row r="1180" spans="1:25" x14ac:dyDescent="0.2">
      <c r="A1180" t="s">
        <v>1377</v>
      </c>
      <c r="B1180" t="s">
        <v>1375</v>
      </c>
      <c r="C1180" s="2">
        <v>46304</v>
      </c>
      <c r="D1180" t="s">
        <v>27</v>
      </c>
      <c r="E1180" t="s">
        <v>35</v>
      </c>
      <c r="F1180" t="s">
        <v>54</v>
      </c>
      <c r="G1180" t="s">
        <v>50</v>
      </c>
      <c r="H1180">
        <v>687</v>
      </c>
      <c r="I1180">
        <v>681</v>
      </c>
      <c r="J1180">
        <v>6</v>
      </c>
      <c r="K1180">
        <v>22</v>
      </c>
      <c r="L1180">
        <v>23.57</v>
      </c>
      <c r="M1180">
        <v>269.91000000000003</v>
      </c>
      <c r="N1180">
        <f>_xlfn.XLOOKUP(Table13[[#This Row],[Production_Order_ID]],[1]Sheet1!$A$2:$A$391,[1]Sheet1!$F$2:$F$391,"No Match")</f>
        <v>540</v>
      </c>
      <c r="O1180" s="3">
        <f>Table13[[#This Row],[Good_Qty]]/Table13[[#This Row],[Planned_Production]]</f>
        <v>1.2611111111111111</v>
      </c>
      <c r="P1180" t="str">
        <f>IF(Table13[[#This Row],[Good_Qty]]&gt;=Table13[[#This Row],[Planned_Production]],"Met","Not Met")</f>
        <v>Met</v>
      </c>
      <c r="Q1180">
        <f>Table13[[#This Row],[Good_Qty]]-Table13[[#This Row],[Planned_Production]]</f>
        <v>141</v>
      </c>
      <c r="R1180" s="3">
        <f>IF(Table13[[#This Row],[Actual_Qty]]=0,0,Table13[[#This Row],[Reject_Qty]]/Table13[[#This Row],[Actual_Qty]])</f>
        <v>8.7336244541484712E-3</v>
      </c>
      <c r="S1180">
        <v>429.97</v>
      </c>
      <c r="T1180">
        <f>(Table13[[#This Row],[Ideal_Cycle_Time_sec]]*Table13[[#This Row],[Actual_Qty]])/(Table13[[#This Row],[Operational_Time_min]]*60)</f>
        <v>0.58585482708095915</v>
      </c>
      <c r="U1180">
        <f>Table13[[#This Row],[Good_Qty]]/Table13[[#This Row],[Actual_Qty]]</f>
        <v>0.99126637554585151</v>
      </c>
      <c r="V1180" t="str">
        <f>IF(OR(Table13[[#This Row],[Performance_%]]&gt;=1,Table13[[#This Row],[Performance_%]]&lt;=0),"Error","OK")</f>
        <v>OK</v>
      </c>
      <c r="W1180" t="str">
        <f>IF(OR(Table13[[#This Row],[Quality_%]]&gt;=1,Table13[[#This Row],[Quality_%]]&lt;=0),"Error","OK")</f>
        <v>OK</v>
      </c>
      <c r="X1180">
        <f>Table13[[#This Row],[Performance_%]]*Table13[[#This Row],[Quality_%]]*[2]Availability_KPI!K1180</f>
        <v>0.55488888888888899</v>
      </c>
      <c r="Y1180" t="str">
        <f>IF(OR(Table13[[#This Row],[OEE_%]]&gt;1,Table13[[#This Row],[OEE_%]]&lt;0),"Error","OK")</f>
        <v>OK</v>
      </c>
    </row>
    <row r="1181" spans="1:25" x14ac:dyDescent="0.2">
      <c r="A1181" t="s">
        <v>1378</v>
      </c>
      <c r="B1181" t="s">
        <v>1375</v>
      </c>
      <c r="C1181" s="2">
        <v>46304</v>
      </c>
      <c r="D1181" t="s">
        <v>27</v>
      </c>
      <c r="E1181" t="s">
        <v>38</v>
      </c>
      <c r="F1181" t="s">
        <v>54</v>
      </c>
      <c r="G1181" t="s">
        <v>61</v>
      </c>
      <c r="H1181">
        <v>697</v>
      </c>
      <c r="I1181">
        <v>692</v>
      </c>
      <c r="J1181">
        <v>5</v>
      </c>
      <c r="K1181">
        <v>20</v>
      </c>
      <c r="L1181">
        <v>20.420000000000002</v>
      </c>
      <c r="M1181">
        <v>237.16</v>
      </c>
      <c r="N1181">
        <f>_xlfn.XLOOKUP(Table13[[#This Row],[Production_Order_ID]],[1]Sheet1!$A$2:$A$391,[1]Sheet1!$F$2:$F$391,"No Match")</f>
        <v>540</v>
      </c>
      <c r="O1181" s="3">
        <f>Table13[[#This Row],[Good_Qty]]/Table13[[#This Row],[Planned_Production]]</f>
        <v>1.2814814814814814</v>
      </c>
      <c r="P1181" t="str">
        <f>IF(Table13[[#This Row],[Good_Qty]]&gt;=Table13[[#This Row],[Planned_Production]],"Met","Not Met")</f>
        <v>Met</v>
      </c>
      <c r="Q1181">
        <f>Table13[[#This Row],[Good_Qty]]-Table13[[#This Row],[Planned_Production]]</f>
        <v>152</v>
      </c>
      <c r="R1181" s="3">
        <f>IF(Table13[[#This Row],[Actual_Qty]]=0,0,Table13[[#This Row],[Reject_Qty]]/Table13[[#This Row],[Actual_Qty]])</f>
        <v>7.1736011477761836E-3</v>
      </c>
      <c r="S1181">
        <v>437.98</v>
      </c>
      <c r="T1181">
        <f>(Table13[[#This Row],[Ideal_Cycle_Time_sec]]*Table13[[#This Row],[Actual_Qty]])/(Table13[[#This Row],[Operational_Time_min]]*60)</f>
        <v>0.53046562247895634</v>
      </c>
      <c r="U1181">
        <f>Table13[[#This Row],[Good_Qty]]/Table13[[#This Row],[Actual_Qty]]</f>
        <v>0.99282639885222379</v>
      </c>
      <c r="V1181" t="str">
        <f>IF(OR(Table13[[#This Row],[Performance_%]]&gt;=1,Table13[[#This Row],[Performance_%]]&lt;=0),"Error","OK")</f>
        <v>OK</v>
      </c>
      <c r="W1181" t="str">
        <f>IF(OR(Table13[[#This Row],[Quality_%]]&gt;=1,Table13[[#This Row],[Quality_%]]&lt;=0),"Error","OK")</f>
        <v>OK</v>
      </c>
      <c r="X1181">
        <f>Table13[[#This Row],[Performance_%]]*Table13[[#This Row],[Quality_%]]*[2]Availability_KPI!K1181</f>
        <v>0.51259259259259249</v>
      </c>
      <c r="Y1181" t="str">
        <f>IF(OR(Table13[[#This Row],[OEE_%]]&gt;1,Table13[[#This Row],[OEE_%]]&lt;0),"Error","OK")</f>
        <v>OK</v>
      </c>
    </row>
    <row r="1182" spans="1:25" x14ac:dyDescent="0.2">
      <c r="A1182" t="s">
        <v>1379</v>
      </c>
      <c r="B1182" t="s">
        <v>1375</v>
      </c>
      <c r="C1182" s="2">
        <v>46304</v>
      </c>
      <c r="D1182" t="s">
        <v>27</v>
      </c>
      <c r="E1182" t="s">
        <v>41</v>
      </c>
      <c r="F1182" t="s">
        <v>54</v>
      </c>
      <c r="G1182" t="s">
        <v>44</v>
      </c>
      <c r="H1182">
        <v>698</v>
      </c>
      <c r="I1182">
        <v>693</v>
      </c>
      <c r="J1182">
        <v>5</v>
      </c>
      <c r="K1182">
        <v>18</v>
      </c>
      <c r="L1182">
        <v>18.809999999999999</v>
      </c>
      <c r="M1182">
        <v>218.78</v>
      </c>
      <c r="N1182">
        <f>_xlfn.XLOOKUP(Table13[[#This Row],[Production_Order_ID]],[1]Sheet1!$A$2:$A$391,[1]Sheet1!$F$2:$F$391,"No Match")</f>
        <v>540</v>
      </c>
      <c r="O1182" s="3">
        <f>Table13[[#This Row],[Good_Qty]]/Table13[[#This Row],[Planned_Production]]</f>
        <v>1.2833333333333334</v>
      </c>
      <c r="P1182" t="str">
        <f>IF(Table13[[#This Row],[Good_Qty]]&gt;=Table13[[#This Row],[Planned_Production]],"Met","Not Met")</f>
        <v>Met</v>
      </c>
      <c r="Q1182">
        <f>Table13[[#This Row],[Good_Qty]]-Table13[[#This Row],[Planned_Production]]</f>
        <v>153</v>
      </c>
      <c r="R1182" s="3">
        <f>IF(Table13[[#This Row],[Actual_Qty]]=0,0,Table13[[#This Row],[Reject_Qty]]/Table13[[#This Row],[Actual_Qty]])</f>
        <v>7.1633237822349575E-3</v>
      </c>
      <c r="S1182">
        <v>436.25</v>
      </c>
      <c r="T1182">
        <f>(Table13[[#This Row],[Ideal_Cycle_Time_sec]]*Table13[[#This Row],[Actual_Qty]])/(Table13[[#This Row],[Operational_Time_min]]*60)</f>
        <v>0.48</v>
      </c>
      <c r="U1182">
        <f>Table13[[#This Row],[Good_Qty]]/Table13[[#This Row],[Actual_Qty]]</f>
        <v>0.99283667621776506</v>
      </c>
      <c r="V1182" t="str">
        <f>IF(OR(Table13[[#This Row],[Performance_%]]&gt;=1,Table13[[#This Row],[Performance_%]]&lt;=0),"Error","OK")</f>
        <v>OK</v>
      </c>
      <c r="W1182" t="str">
        <f>IF(OR(Table13[[#This Row],[Quality_%]]&gt;=1,Table13[[#This Row],[Quality_%]]&lt;=0),"Error","OK")</f>
        <v>OK</v>
      </c>
      <c r="X1182">
        <f>Table13[[#This Row],[Performance_%]]*Table13[[#This Row],[Quality_%]]*[2]Availability_KPI!K1182</f>
        <v>0.46200000000000002</v>
      </c>
      <c r="Y1182" t="str">
        <f>IF(OR(Table13[[#This Row],[OEE_%]]&gt;1,Table13[[#This Row],[OEE_%]]&lt;0),"Error","OK")</f>
        <v>OK</v>
      </c>
    </row>
    <row r="1183" spans="1:25" x14ac:dyDescent="0.2">
      <c r="A1183" t="s">
        <v>1380</v>
      </c>
      <c r="B1183" t="s">
        <v>1375</v>
      </c>
      <c r="C1183" s="2">
        <v>46304</v>
      </c>
      <c r="D1183" t="s">
        <v>27</v>
      </c>
      <c r="E1183" t="s">
        <v>43</v>
      </c>
      <c r="F1183" t="s">
        <v>54</v>
      </c>
      <c r="G1183" t="s">
        <v>47</v>
      </c>
      <c r="H1183">
        <v>682</v>
      </c>
      <c r="I1183">
        <v>673</v>
      </c>
      <c r="J1183">
        <v>9</v>
      </c>
      <c r="K1183">
        <v>32</v>
      </c>
      <c r="L1183">
        <v>34.409999999999997</v>
      </c>
      <c r="M1183">
        <v>391.13</v>
      </c>
      <c r="N1183">
        <f>_xlfn.XLOOKUP(Table13[[#This Row],[Production_Order_ID]],[1]Sheet1!$A$2:$A$391,[1]Sheet1!$F$2:$F$391,"No Match")</f>
        <v>540</v>
      </c>
      <c r="O1183" s="3">
        <f>Table13[[#This Row],[Good_Qty]]/Table13[[#This Row],[Planned_Production]]</f>
        <v>1.2462962962962962</v>
      </c>
      <c r="P1183" t="str">
        <f>IF(Table13[[#This Row],[Good_Qty]]&gt;=Table13[[#This Row],[Planned_Production]],"Met","Not Met")</f>
        <v>Met</v>
      </c>
      <c r="Q1183">
        <f>Table13[[#This Row],[Good_Qty]]-Table13[[#This Row],[Planned_Production]]</f>
        <v>133</v>
      </c>
      <c r="R1183" s="3">
        <f>IF(Table13[[#This Row],[Actual_Qty]]=0,0,Table13[[#This Row],[Reject_Qty]]/Table13[[#This Row],[Actual_Qty]])</f>
        <v>1.3196480938416423E-2</v>
      </c>
      <c r="S1183">
        <v>405.36</v>
      </c>
      <c r="T1183">
        <f>(Table13[[#This Row],[Ideal_Cycle_Time_sec]]*Table13[[#This Row],[Actual_Qty]])/(Table13[[#This Row],[Operational_Time_min]]*60)</f>
        <v>0.89730938754029332</v>
      </c>
      <c r="U1183">
        <f>Table13[[#This Row],[Good_Qty]]/Table13[[#This Row],[Actual_Qty]]</f>
        <v>0.98680351906158359</v>
      </c>
      <c r="V1183" t="str">
        <f>IF(OR(Table13[[#This Row],[Performance_%]]&gt;=1,Table13[[#This Row],[Performance_%]]&lt;=0),"Error","OK")</f>
        <v>OK</v>
      </c>
      <c r="W1183" t="str">
        <f>IF(OR(Table13[[#This Row],[Quality_%]]&gt;=1,Table13[[#This Row],[Quality_%]]&lt;=0),"Error","OK")</f>
        <v>OK</v>
      </c>
      <c r="X1183">
        <f>Table13[[#This Row],[Performance_%]]*Table13[[#This Row],[Quality_%]]*[2]Availability_KPI!K1183</f>
        <v>0.79762962962962958</v>
      </c>
      <c r="Y1183" t="str">
        <f>IF(OR(Table13[[#This Row],[OEE_%]]&gt;1,Table13[[#This Row],[OEE_%]]&lt;0),"Error","OK")</f>
        <v>OK</v>
      </c>
    </row>
    <row r="1184" spans="1:25" x14ac:dyDescent="0.2">
      <c r="A1184" t="s">
        <v>1381</v>
      </c>
      <c r="B1184" t="s">
        <v>1375</v>
      </c>
      <c r="C1184" s="2">
        <v>46304</v>
      </c>
      <c r="D1184" t="s">
        <v>27</v>
      </c>
      <c r="E1184" t="s">
        <v>46</v>
      </c>
      <c r="F1184" t="s">
        <v>54</v>
      </c>
      <c r="G1184" t="s">
        <v>30</v>
      </c>
      <c r="H1184">
        <v>701</v>
      </c>
      <c r="I1184">
        <v>692</v>
      </c>
      <c r="J1184">
        <v>9</v>
      </c>
      <c r="K1184">
        <v>25</v>
      </c>
      <c r="L1184">
        <v>26.19</v>
      </c>
      <c r="M1184">
        <v>305.93</v>
      </c>
      <c r="N1184">
        <f>_xlfn.XLOOKUP(Table13[[#This Row],[Production_Order_ID]],[1]Sheet1!$A$2:$A$391,[1]Sheet1!$F$2:$F$391,"No Match")</f>
        <v>540</v>
      </c>
      <c r="O1184" s="3">
        <f>Table13[[#This Row],[Good_Qty]]/Table13[[#This Row],[Planned_Production]]</f>
        <v>1.2814814814814814</v>
      </c>
      <c r="P1184" t="str">
        <f>IF(Table13[[#This Row],[Good_Qty]]&gt;=Table13[[#This Row],[Planned_Production]],"Met","Not Met")</f>
        <v>Met</v>
      </c>
      <c r="Q1184">
        <f>Table13[[#This Row],[Good_Qty]]-Table13[[#This Row],[Planned_Production]]</f>
        <v>152</v>
      </c>
      <c r="R1184" s="3">
        <f>IF(Table13[[#This Row],[Actual_Qty]]=0,0,Table13[[#This Row],[Reject_Qty]]/Table13[[#This Row],[Actual_Qty]])</f>
        <v>1.2838801711840228E-2</v>
      </c>
      <c r="S1184">
        <v>424.97</v>
      </c>
      <c r="T1184">
        <f>(Table13[[#This Row],[Ideal_Cycle_Time_sec]]*Table13[[#This Row],[Actual_Qty]])/(Table13[[#This Row],[Operational_Time_min]]*60)</f>
        <v>0.68730341749613699</v>
      </c>
      <c r="U1184">
        <f>Table13[[#This Row],[Good_Qty]]/Table13[[#This Row],[Actual_Qty]]</f>
        <v>0.98716119828815974</v>
      </c>
      <c r="V1184" t="str">
        <f>IF(OR(Table13[[#This Row],[Performance_%]]&gt;=1,Table13[[#This Row],[Performance_%]]&lt;=0),"Error","OK")</f>
        <v>OK</v>
      </c>
      <c r="W1184" t="str">
        <f>IF(OR(Table13[[#This Row],[Quality_%]]&gt;=1,Table13[[#This Row],[Quality_%]]&lt;=0),"Error","OK")</f>
        <v>OK</v>
      </c>
      <c r="X1184">
        <f>Table13[[#This Row],[Performance_%]]*Table13[[#This Row],[Quality_%]]*[2]Availability_KPI!K1184</f>
        <v>0.64074074074074083</v>
      </c>
      <c r="Y1184" t="str">
        <f>IF(OR(Table13[[#This Row],[OEE_%]]&gt;1,Table13[[#This Row],[OEE_%]]&lt;0),"Error","OK")</f>
        <v>OK</v>
      </c>
    </row>
    <row r="1185" spans="1:25" x14ac:dyDescent="0.2">
      <c r="A1185" t="s">
        <v>1382</v>
      </c>
      <c r="B1185" t="s">
        <v>1375</v>
      </c>
      <c r="C1185" s="2">
        <v>46304</v>
      </c>
      <c r="D1185" t="s">
        <v>27</v>
      </c>
      <c r="E1185" t="s">
        <v>49</v>
      </c>
      <c r="F1185" t="s">
        <v>54</v>
      </c>
      <c r="G1185" t="s">
        <v>61</v>
      </c>
      <c r="H1185">
        <v>676</v>
      </c>
      <c r="I1185">
        <v>673</v>
      </c>
      <c r="J1185">
        <v>3</v>
      </c>
      <c r="K1185">
        <v>20</v>
      </c>
      <c r="L1185">
        <v>20.6</v>
      </c>
      <c r="M1185">
        <v>232.07</v>
      </c>
      <c r="N1185">
        <f>_xlfn.XLOOKUP(Table13[[#This Row],[Production_Order_ID]],[1]Sheet1!$A$2:$A$391,[1]Sheet1!$F$2:$F$391,"No Match")</f>
        <v>540</v>
      </c>
      <c r="O1185" s="3">
        <f>Table13[[#This Row],[Good_Qty]]/Table13[[#This Row],[Planned_Production]]</f>
        <v>1.2462962962962962</v>
      </c>
      <c r="P1185" t="str">
        <f>IF(Table13[[#This Row],[Good_Qty]]&gt;=Table13[[#This Row],[Planned_Production]],"Met","Not Met")</f>
        <v>Met</v>
      </c>
      <c r="Q1185">
        <f>Table13[[#This Row],[Good_Qty]]-Table13[[#This Row],[Planned_Production]]</f>
        <v>133</v>
      </c>
      <c r="R1185" s="3">
        <f>IF(Table13[[#This Row],[Actual_Qty]]=0,0,Table13[[#This Row],[Reject_Qty]]/Table13[[#This Row],[Actual_Qty]])</f>
        <v>4.4378698224852072E-3</v>
      </c>
      <c r="S1185">
        <v>438.69</v>
      </c>
      <c r="T1185">
        <f>(Table13[[#This Row],[Ideal_Cycle_Time_sec]]*Table13[[#This Row],[Actual_Qty]])/(Table13[[#This Row],[Operational_Time_min]]*60)</f>
        <v>0.51365048971559257</v>
      </c>
      <c r="U1185">
        <f>Table13[[#This Row],[Good_Qty]]/Table13[[#This Row],[Actual_Qty]]</f>
        <v>0.99556213017751483</v>
      </c>
      <c r="V1185" t="str">
        <f>IF(OR(Table13[[#This Row],[Performance_%]]&gt;=1,Table13[[#This Row],[Performance_%]]&lt;=0),"Error","OK")</f>
        <v>OK</v>
      </c>
      <c r="W1185" t="str">
        <f>IF(OR(Table13[[#This Row],[Quality_%]]&gt;=1,Table13[[#This Row],[Quality_%]]&lt;=0),"Error","OK")</f>
        <v>OK</v>
      </c>
      <c r="X1185">
        <f>Table13[[#This Row],[Performance_%]]*Table13[[#This Row],[Quality_%]]*[2]Availability_KPI!K1185</f>
        <v>0.49851851851851842</v>
      </c>
      <c r="Y1185" t="str">
        <f>IF(OR(Table13[[#This Row],[OEE_%]]&gt;1,Table13[[#This Row],[OEE_%]]&lt;0),"Error","OK")</f>
        <v>OK</v>
      </c>
    </row>
    <row r="1186" spans="1:25" x14ac:dyDescent="0.2">
      <c r="A1186" t="s">
        <v>1383</v>
      </c>
      <c r="B1186" t="s">
        <v>1384</v>
      </c>
      <c r="C1186" s="2">
        <v>46304</v>
      </c>
      <c r="D1186" t="s">
        <v>53</v>
      </c>
      <c r="E1186" t="s">
        <v>28</v>
      </c>
      <c r="F1186" t="s">
        <v>97</v>
      </c>
      <c r="G1186" t="s">
        <v>39</v>
      </c>
      <c r="H1186">
        <v>638</v>
      </c>
      <c r="I1186">
        <v>633</v>
      </c>
      <c r="J1186">
        <v>5</v>
      </c>
      <c r="K1186">
        <v>19.260000000000002</v>
      </c>
      <c r="L1186">
        <v>19.260000000000002</v>
      </c>
      <c r="M1186">
        <v>204.8</v>
      </c>
      <c r="N1186">
        <f>_xlfn.XLOOKUP(Table13[[#This Row],[Production_Order_ID]],[1]Sheet1!$A$2:$A$391,[1]Sheet1!$F$2:$F$391,"No Match")</f>
        <v>580</v>
      </c>
      <c r="O1186" s="3">
        <f>Table13[[#This Row],[Good_Qty]]/Table13[[#This Row],[Planned_Production]]</f>
        <v>1.0913793103448275</v>
      </c>
      <c r="P1186" t="str">
        <f>IF(Table13[[#This Row],[Good_Qty]]&gt;=Table13[[#This Row],[Planned_Production]],"Met","Not Met")</f>
        <v>Met</v>
      </c>
      <c r="Q1186">
        <f>Table13[[#This Row],[Good_Qty]]-Table13[[#This Row],[Planned_Production]]</f>
        <v>53</v>
      </c>
      <c r="R1186" s="3">
        <f>IF(Table13[[#This Row],[Actual_Qty]]=0,0,Table13[[#This Row],[Reject_Qty]]/Table13[[#This Row],[Actual_Qty]])</f>
        <v>7.8369905956112845E-3</v>
      </c>
      <c r="S1186">
        <v>438.66</v>
      </c>
      <c r="T1186">
        <f>(Table13[[#This Row],[Ideal_Cycle_Time_sec]]*Table13[[#This Row],[Actual_Qty]])/(Table13[[#This Row],[Operational_Time_min]]*60)</f>
        <v>0.46687183695800849</v>
      </c>
      <c r="U1186">
        <f>Table13[[#This Row],[Good_Qty]]/Table13[[#This Row],[Actual_Qty]]</f>
        <v>0.99216300940438873</v>
      </c>
      <c r="V1186" t="str">
        <f>IF(OR(Table13[[#This Row],[Performance_%]]&gt;=1,Table13[[#This Row],[Performance_%]]&lt;=0),"Error","OK")</f>
        <v>OK</v>
      </c>
      <c r="W1186" t="str">
        <f>IF(OR(Table13[[#This Row],[Quality_%]]&gt;=1,Table13[[#This Row],[Quality_%]]&lt;=0),"Error","OK")</f>
        <v>OK</v>
      </c>
      <c r="X1186">
        <f>Table13[[#This Row],[Performance_%]]*Table13[[#This Row],[Quality_%]]*[2]Availability_KPI!K1186</f>
        <v>0.45154000000000005</v>
      </c>
      <c r="Y1186" t="str">
        <f>IF(OR(Table13[[#This Row],[OEE_%]]&gt;1,Table13[[#This Row],[OEE_%]]&lt;0),"Error","OK")</f>
        <v>OK</v>
      </c>
    </row>
    <row r="1187" spans="1:25" x14ac:dyDescent="0.2">
      <c r="A1187" t="s">
        <v>1385</v>
      </c>
      <c r="B1187" t="s">
        <v>1384</v>
      </c>
      <c r="C1187" s="2">
        <v>46304</v>
      </c>
      <c r="D1187" t="s">
        <v>53</v>
      </c>
      <c r="E1187" t="s">
        <v>32</v>
      </c>
      <c r="F1187" t="s">
        <v>97</v>
      </c>
      <c r="G1187" t="s">
        <v>39</v>
      </c>
      <c r="H1187">
        <v>632</v>
      </c>
      <c r="I1187">
        <v>628</v>
      </c>
      <c r="J1187">
        <v>4</v>
      </c>
      <c r="K1187">
        <v>21.4</v>
      </c>
      <c r="L1187">
        <v>21.48</v>
      </c>
      <c r="M1187">
        <v>226.3</v>
      </c>
      <c r="N1187">
        <f>_xlfn.XLOOKUP(Table13[[#This Row],[Production_Order_ID]],[1]Sheet1!$A$2:$A$391,[1]Sheet1!$F$2:$F$391,"No Match")</f>
        <v>580</v>
      </c>
      <c r="O1187" s="3">
        <f>Table13[[#This Row],[Good_Qty]]/Table13[[#This Row],[Planned_Production]]</f>
        <v>1.0827586206896551</v>
      </c>
      <c r="P1187" t="str">
        <f>IF(Table13[[#This Row],[Good_Qty]]&gt;=Table13[[#This Row],[Planned_Production]],"Met","Not Met")</f>
        <v>Met</v>
      </c>
      <c r="Q1187">
        <f>Table13[[#This Row],[Good_Qty]]-Table13[[#This Row],[Planned_Production]]</f>
        <v>48</v>
      </c>
      <c r="R1187" s="3">
        <f>IF(Table13[[#This Row],[Actual_Qty]]=0,0,Table13[[#This Row],[Reject_Qty]]/Table13[[#This Row],[Actual_Qty]])</f>
        <v>6.3291139240506328E-3</v>
      </c>
      <c r="S1187">
        <v>434.95</v>
      </c>
      <c r="T1187">
        <f>(Table13[[#This Row],[Ideal_Cycle_Time_sec]]*Table13[[#This Row],[Actual_Qty]])/(Table13[[#This Row],[Operational_Time_min]]*60)</f>
        <v>0.51825113997777517</v>
      </c>
      <c r="U1187">
        <f>Table13[[#This Row],[Good_Qty]]/Table13[[#This Row],[Actual_Qty]]</f>
        <v>0.99367088607594933</v>
      </c>
      <c r="V1187" t="str">
        <f>IF(OR(Table13[[#This Row],[Performance_%]]&gt;=1,Table13[[#This Row],[Performance_%]]&lt;=0),"Error","OK")</f>
        <v>OK</v>
      </c>
      <c r="W1187" t="str">
        <f>IF(OR(Table13[[#This Row],[Quality_%]]&gt;=1,Table13[[#This Row],[Quality_%]]&lt;=0),"Error","OK")</f>
        <v>OK</v>
      </c>
      <c r="X1187">
        <f>Table13[[#This Row],[Performance_%]]*Table13[[#This Row],[Quality_%]]*[2]Availability_KPI!K1187</f>
        <v>0.497748148148148</v>
      </c>
      <c r="Y1187" t="str">
        <f>IF(OR(Table13[[#This Row],[OEE_%]]&gt;1,Table13[[#This Row],[OEE_%]]&lt;0),"Error","OK")</f>
        <v>OK</v>
      </c>
    </row>
    <row r="1188" spans="1:25" x14ac:dyDescent="0.2">
      <c r="A1188" t="s">
        <v>1386</v>
      </c>
      <c r="B1188" t="s">
        <v>1384</v>
      </c>
      <c r="C1188" s="2">
        <v>46304</v>
      </c>
      <c r="D1188" t="s">
        <v>53</v>
      </c>
      <c r="E1188" t="s">
        <v>35</v>
      </c>
      <c r="F1188" t="s">
        <v>97</v>
      </c>
      <c r="G1188" t="s">
        <v>55</v>
      </c>
      <c r="H1188">
        <v>643</v>
      </c>
      <c r="I1188">
        <v>642</v>
      </c>
      <c r="J1188">
        <v>1</v>
      </c>
      <c r="K1188">
        <v>23.54</v>
      </c>
      <c r="L1188">
        <v>24.37</v>
      </c>
      <c r="M1188">
        <v>261.14</v>
      </c>
      <c r="N1188">
        <f>_xlfn.XLOOKUP(Table13[[#This Row],[Production_Order_ID]],[1]Sheet1!$A$2:$A$391,[1]Sheet1!$F$2:$F$391,"No Match")</f>
        <v>580</v>
      </c>
      <c r="O1188" s="3">
        <f>Table13[[#This Row],[Good_Qty]]/Table13[[#This Row],[Planned_Production]]</f>
        <v>1.106896551724138</v>
      </c>
      <c r="P1188" t="str">
        <f>IF(Table13[[#This Row],[Good_Qty]]&gt;=Table13[[#This Row],[Planned_Production]],"Met","Not Met")</f>
        <v>Met</v>
      </c>
      <c r="Q1188">
        <f>Table13[[#This Row],[Good_Qty]]-Table13[[#This Row],[Planned_Production]]</f>
        <v>62</v>
      </c>
      <c r="R1188" s="3">
        <f>IF(Table13[[#This Row],[Actual_Qty]]=0,0,Table13[[#This Row],[Reject_Qty]]/Table13[[#This Row],[Actual_Qty]])</f>
        <v>1.5552099533437014E-3</v>
      </c>
      <c r="S1188">
        <v>436.11</v>
      </c>
      <c r="T1188">
        <f>(Table13[[#This Row],[Ideal_Cycle_Time_sec]]*Table13[[#This Row],[Actual_Qty]])/(Table13[[#This Row],[Operational_Time_min]]*60)</f>
        <v>0.57845574128851274</v>
      </c>
      <c r="U1188">
        <f>Table13[[#This Row],[Good_Qty]]/Table13[[#This Row],[Actual_Qty]]</f>
        <v>0.99844479004665632</v>
      </c>
      <c r="V1188" t="str">
        <f>IF(OR(Table13[[#This Row],[Performance_%]]&gt;=1,Table13[[#This Row],[Performance_%]]&lt;=0),"Error","OK")</f>
        <v>OK</v>
      </c>
      <c r="W1188" t="str">
        <f>IF(OR(Table13[[#This Row],[Quality_%]]&gt;=1,Table13[[#This Row],[Quality_%]]&lt;=0),"Error","OK")</f>
        <v>OK</v>
      </c>
      <c r="X1188">
        <f>Table13[[#This Row],[Performance_%]]*Table13[[#This Row],[Quality_%]]*[2]Availability_KPI!K1188</f>
        <v>0.55972888888888894</v>
      </c>
      <c r="Y1188" t="str">
        <f>IF(OR(Table13[[#This Row],[OEE_%]]&gt;1,Table13[[#This Row],[OEE_%]]&lt;0),"Error","OK")</f>
        <v>OK</v>
      </c>
    </row>
    <row r="1189" spans="1:25" x14ac:dyDescent="0.2">
      <c r="A1189" t="s">
        <v>1387</v>
      </c>
      <c r="B1189" t="s">
        <v>1384</v>
      </c>
      <c r="C1189" s="2">
        <v>46304</v>
      </c>
      <c r="D1189" t="s">
        <v>53</v>
      </c>
      <c r="E1189" t="s">
        <v>38</v>
      </c>
      <c r="F1189" t="s">
        <v>97</v>
      </c>
      <c r="G1189" t="s">
        <v>61</v>
      </c>
      <c r="H1189">
        <v>626</v>
      </c>
      <c r="I1189">
        <v>623</v>
      </c>
      <c r="J1189">
        <v>3</v>
      </c>
      <c r="K1189">
        <v>21.4</v>
      </c>
      <c r="L1189">
        <v>22.8</v>
      </c>
      <c r="M1189">
        <v>237.93</v>
      </c>
      <c r="N1189">
        <f>_xlfn.XLOOKUP(Table13[[#This Row],[Production_Order_ID]],[1]Sheet1!$A$2:$A$391,[1]Sheet1!$F$2:$F$391,"No Match")</f>
        <v>580</v>
      </c>
      <c r="O1189" s="3">
        <f>Table13[[#This Row],[Good_Qty]]/Table13[[#This Row],[Planned_Production]]</f>
        <v>1.0741379310344827</v>
      </c>
      <c r="P1189" t="str">
        <f>IF(Table13[[#This Row],[Good_Qty]]&gt;=Table13[[#This Row],[Planned_Production]],"Met","Not Met")</f>
        <v>Met</v>
      </c>
      <c r="Q1189">
        <f>Table13[[#This Row],[Good_Qty]]-Table13[[#This Row],[Planned_Production]]</f>
        <v>43</v>
      </c>
      <c r="R1189" s="3">
        <f>IF(Table13[[#This Row],[Actual_Qty]]=0,0,Table13[[#This Row],[Reject_Qty]]/Table13[[#This Row],[Actual_Qty]])</f>
        <v>4.7923322683706068E-3</v>
      </c>
      <c r="S1189">
        <v>435.68</v>
      </c>
      <c r="T1189">
        <f>(Table13[[#This Row],[Ideal_Cycle_Time_sec]]*Table13[[#This Row],[Actual_Qty]])/(Table13[[#This Row],[Operational_Time_min]]*60)</f>
        <v>0.51247092667401151</v>
      </c>
      <c r="U1189">
        <f>Table13[[#This Row],[Good_Qty]]/Table13[[#This Row],[Actual_Qty]]</f>
        <v>0.99520766773162939</v>
      </c>
      <c r="V1189" t="str">
        <f>IF(OR(Table13[[#This Row],[Performance_%]]&gt;=1,Table13[[#This Row],[Performance_%]]&lt;=0),"Error","OK")</f>
        <v>OK</v>
      </c>
      <c r="W1189" t="str">
        <f>IF(OR(Table13[[#This Row],[Quality_%]]&gt;=1,Table13[[#This Row],[Quality_%]]&lt;=0),"Error","OK")</f>
        <v>OK</v>
      </c>
      <c r="X1189">
        <f>Table13[[#This Row],[Performance_%]]*Table13[[#This Row],[Quality_%]]*[2]Availability_KPI!K1189</f>
        <v>0.49378518518518522</v>
      </c>
      <c r="Y1189" t="str">
        <f>IF(OR(Table13[[#This Row],[OEE_%]]&gt;1,Table13[[#This Row],[OEE_%]]&lt;0),"Error","OK")</f>
        <v>OK</v>
      </c>
    </row>
    <row r="1190" spans="1:25" x14ac:dyDescent="0.2">
      <c r="A1190" t="s">
        <v>1388</v>
      </c>
      <c r="B1190" t="s">
        <v>1384</v>
      </c>
      <c r="C1190" s="2">
        <v>46304</v>
      </c>
      <c r="D1190" t="s">
        <v>53</v>
      </c>
      <c r="E1190" t="s">
        <v>41</v>
      </c>
      <c r="F1190" t="s">
        <v>97</v>
      </c>
      <c r="G1190" t="s">
        <v>36</v>
      </c>
      <c r="H1190">
        <v>647</v>
      </c>
      <c r="I1190">
        <v>642</v>
      </c>
      <c r="J1190">
        <v>5</v>
      </c>
      <c r="K1190">
        <v>19.260000000000002</v>
      </c>
      <c r="L1190">
        <v>19.97</v>
      </c>
      <c r="M1190">
        <v>215.37</v>
      </c>
      <c r="N1190">
        <f>_xlfn.XLOOKUP(Table13[[#This Row],[Production_Order_ID]],[1]Sheet1!$A$2:$A$391,[1]Sheet1!$F$2:$F$391,"No Match")</f>
        <v>580</v>
      </c>
      <c r="O1190" s="3">
        <f>Table13[[#This Row],[Good_Qty]]/Table13[[#This Row],[Planned_Production]]</f>
        <v>1.106896551724138</v>
      </c>
      <c r="P1190" t="str">
        <f>IF(Table13[[#This Row],[Good_Qty]]&gt;=Table13[[#This Row],[Planned_Production]],"Met","Not Met")</f>
        <v>Met</v>
      </c>
      <c r="Q1190">
        <f>Table13[[#This Row],[Good_Qty]]-Table13[[#This Row],[Planned_Production]]</f>
        <v>62</v>
      </c>
      <c r="R1190" s="3">
        <f>IF(Table13[[#This Row],[Actual_Qty]]=0,0,Table13[[#This Row],[Reject_Qty]]/Table13[[#This Row],[Actual_Qty]])</f>
        <v>7.7279752704791345E-3</v>
      </c>
      <c r="S1190">
        <v>436.21</v>
      </c>
      <c r="T1190">
        <f>(Table13[[#This Row],[Ideal_Cycle_Time_sec]]*Table13[[#This Row],[Actual_Qty]])/(Table13[[#This Row],[Operational_Time_min]]*60)</f>
        <v>0.47611700786318523</v>
      </c>
      <c r="U1190">
        <f>Table13[[#This Row],[Good_Qty]]/Table13[[#This Row],[Actual_Qty]]</f>
        <v>0.99227202472952092</v>
      </c>
      <c r="V1190" t="str">
        <f>IF(OR(Table13[[#This Row],[Performance_%]]&gt;=1,Table13[[#This Row],[Performance_%]]&lt;=0),"Error","OK")</f>
        <v>OK</v>
      </c>
      <c r="W1190" t="str">
        <f>IF(OR(Table13[[#This Row],[Quality_%]]&gt;=1,Table13[[#This Row],[Quality_%]]&lt;=0),"Error","OK")</f>
        <v>OK</v>
      </c>
      <c r="X1190">
        <f>Table13[[#This Row],[Performance_%]]*Table13[[#This Row],[Quality_%]]*[2]Availability_KPI!K1190</f>
        <v>0.45796000000000003</v>
      </c>
      <c r="Y1190" t="str">
        <f>IF(OR(Table13[[#This Row],[OEE_%]]&gt;1,Table13[[#This Row],[OEE_%]]&lt;0),"Error","OK")</f>
        <v>OK</v>
      </c>
    </row>
    <row r="1191" spans="1:25" x14ac:dyDescent="0.2">
      <c r="A1191" t="s">
        <v>1389</v>
      </c>
      <c r="B1191" t="s">
        <v>1384</v>
      </c>
      <c r="C1191" s="2">
        <v>46304</v>
      </c>
      <c r="D1191" t="s">
        <v>53</v>
      </c>
      <c r="E1191" t="s">
        <v>43</v>
      </c>
      <c r="F1191" t="s">
        <v>97</v>
      </c>
      <c r="G1191" t="s">
        <v>39</v>
      </c>
      <c r="H1191">
        <v>629</v>
      </c>
      <c r="I1191">
        <v>619</v>
      </c>
      <c r="J1191">
        <v>10</v>
      </c>
      <c r="K1191">
        <v>34.24</v>
      </c>
      <c r="L1191">
        <v>36.58</v>
      </c>
      <c r="M1191">
        <v>383.5</v>
      </c>
      <c r="N1191">
        <f>_xlfn.XLOOKUP(Table13[[#This Row],[Production_Order_ID]],[1]Sheet1!$A$2:$A$391,[1]Sheet1!$F$2:$F$391,"No Match")</f>
        <v>580</v>
      </c>
      <c r="O1191" s="3">
        <f>Table13[[#This Row],[Good_Qty]]/Table13[[#This Row],[Planned_Production]]</f>
        <v>1.0672413793103448</v>
      </c>
      <c r="P1191" t="str">
        <f>IF(Table13[[#This Row],[Good_Qty]]&gt;=Table13[[#This Row],[Planned_Production]],"Met","Not Met")</f>
        <v>Met</v>
      </c>
      <c r="Q1191">
        <f>Table13[[#This Row],[Good_Qty]]-Table13[[#This Row],[Planned_Production]]</f>
        <v>39</v>
      </c>
      <c r="R1191" s="3">
        <f>IF(Table13[[#This Row],[Actual_Qty]]=0,0,Table13[[#This Row],[Reject_Qty]]/Table13[[#This Row],[Actual_Qty]])</f>
        <v>1.5898251192368838E-2</v>
      </c>
      <c r="S1191">
        <v>415.36</v>
      </c>
      <c r="T1191">
        <f>(Table13[[#This Row],[Ideal_Cycle_Time_sec]]*Table13[[#This Row],[Actual_Qty]])/(Table13[[#This Row],[Operational_Time_min]]*60)</f>
        <v>0.86418849512069851</v>
      </c>
      <c r="U1191">
        <f>Table13[[#This Row],[Good_Qty]]/Table13[[#This Row],[Actual_Qty]]</f>
        <v>0.98410174880763113</v>
      </c>
      <c r="V1191" t="str">
        <f>IF(OR(Table13[[#This Row],[Performance_%]]&gt;=1,Table13[[#This Row],[Performance_%]]&lt;=0),"Error","OK")</f>
        <v>OK</v>
      </c>
      <c r="W1191" t="str">
        <f>IF(OR(Table13[[#This Row],[Quality_%]]&gt;=1,Table13[[#This Row],[Quality_%]]&lt;=0),"Error","OK")</f>
        <v>OK</v>
      </c>
      <c r="X1191">
        <f>Table13[[#This Row],[Performance_%]]*Table13[[#This Row],[Quality_%]]*[2]Availability_KPI!K1191</f>
        <v>0.78498370370370374</v>
      </c>
      <c r="Y1191" t="str">
        <f>IF(OR(Table13[[#This Row],[OEE_%]]&gt;1,Table13[[#This Row],[OEE_%]]&lt;0),"Error","OK")</f>
        <v>OK</v>
      </c>
    </row>
    <row r="1192" spans="1:25" x14ac:dyDescent="0.2">
      <c r="A1192" t="s">
        <v>1390</v>
      </c>
      <c r="B1192" t="s">
        <v>1384</v>
      </c>
      <c r="C1192" s="2">
        <v>46304</v>
      </c>
      <c r="D1192" t="s">
        <v>53</v>
      </c>
      <c r="E1192" t="s">
        <v>46</v>
      </c>
      <c r="F1192" t="s">
        <v>97</v>
      </c>
      <c r="G1192" t="s">
        <v>47</v>
      </c>
      <c r="H1192">
        <v>626</v>
      </c>
      <c r="I1192">
        <v>618</v>
      </c>
      <c r="J1192">
        <v>8</v>
      </c>
      <c r="K1192">
        <v>26.75</v>
      </c>
      <c r="L1192">
        <v>27.67</v>
      </c>
      <c r="M1192">
        <v>288.66000000000003</v>
      </c>
      <c r="N1192">
        <f>_xlfn.XLOOKUP(Table13[[#This Row],[Production_Order_ID]],[1]Sheet1!$A$2:$A$391,[1]Sheet1!$F$2:$F$391,"No Match")</f>
        <v>580</v>
      </c>
      <c r="O1192" s="3">
        <f>Table13[[#This Row],[Good_Qty]]/Table13[[#This Row],[Planned_Production]]</f>
        <v>1.0655172413793104</v>
      </c>
      <c r="P1192" t="str">
        <f>IF(Table13[[#This Row],[Good_Qty]]&gt;=Table13[[#This Row],[Planned_Production]],"Met","Not Met")</f>
        <v>Met</v>
      </c>
      <c r="Q1192">
        <f>Table13[[#This Row],[Good_Qty]]-Table13[[#This Row],[Planned_Production]]</f>
        <v>38</v>
      </c>
      <c r="R1192" s="3">
        <f>IF(Table13[[#This Row],[Actual_Qty]]=0,0,Table13[[#This Row],[Reject_Qty]]/Table13[[#This Row],[Actual_Qty]])</f>
        <v>1.2779552715654952E-2</v>
      </c>
      <c r="S1192">
        <v>430.65</v>
      </c>
      <c r="T1192">
        <f>(Table13[[#This Row],[Ideal_Cycle_Time_sec]]*Table13[[#This Row],[Actual_Qty]])/(Table13[[#This Row],[Operational_Time_min]]*60)</f>
        <v>0.64807074577189516</v>
      </c>
      <c r="U1192">
        <f>Table13[[#This Row],[Good_Qty]]/Table13[[#This Row],[Actual_Qty]]</f>
        <v>0.98722044728434499</v>
      </c>
      <c r="V1192" t="str">
        <f>IF(OR(Table13[[#This Row],[Performance_%]]&gt;=1,Table13[[#This Row],[Performance_%]]&lt;=0),"Error","OK")</f>
        <v>OK</v>
      </c>
      <c r="W1192" t="str">
        <f>IF(OR(Table13[[#This Row],[Quality_%]]&gt;=1,Table13[[#This Row],[Quality_%]]&lt;=0),"Error","OK")</f>
        <v>OK</v>
      </c>
      <c r="X1192">
        <f>Table13[[#This Row],[Performance_%]]*Table13[[#This Row],[Quality_%]]*[2]Availability_KPI!K1192</f>
        <v>0.6122777777777777</v>
      </c>
      <c r="Y1192" t="str">
        <f>IF(OR(Table13[[#This Row],[OEE_%]]&gt;1,Table13[[#This Row],[OEE_%]]&lt;0),"Error","OK")</f>
        <v>OK</v>
      </c>
    </row>
    <row r="1193" spans="1:25" x14ac:dyDescent="0.2">
      <c r="A1193" t="s">
        <v>1391</v>
      </c>
      <c r="B1193" t="s">
        <v>1384</v>
      </c>
      <c r="C1193" s="2">
        <v>46304</v>
      </c>
      <c r="D1193" t="s">
        <v>53</v>
      </c>
      <c r="E1193" t="s">
        <v>49</v>
      </c>
      <c r="F1193" t="s">
        <v>97</v>
      </c>
      <c r="G1193" t="s">
        <v>71</v>
      </c>
      <c r="H1193">
        <v>651</v>
      </c>
      <c r="I1193">
        <v>650</v>
      </c>
      <c r="J1193">
        <v>1</v>
      </c>
      <c r="K1193">
        <v>21.4</v>
      </c>
      <c r="L1193">
        <v>22.09</v>
      </c>
      <c r="M1193">
        <v>239.7</v>
      </c>
      <c r="N1193">
        <f>_xlfn.XLOOKUP(Table13[[#This Row],[Production_Order_ID]],[1]Sheet1!$A$2:$A$391,[1]Sheet1!$F$2:$F$391,"No Match")</f>
        <v>580</v>
      </c>
      <c r="O1193" s="3">
        <f>Table13[[#This Row],[Good_Qty]]/Table13[[#This Row],[Planned_Production]]</f>
        <v>1.1206896551724137</v>
      </c>
      <c r="P1193" t="str">
        <f>IF(Table13[[#This Row],[Good_Qty]]&gt;=Table13[[#This Row],[Planned_Production]],"Met","Not Met")</f>
        <v>Met</v>
      </c>
      <c r="Q1193">
        <f>Table13[[#This Row],[Good_Qty]]-Table13[[#This Row],[Planned_Production]]</f>
        <v>70</v>
      </c>
      <c r="R1193" s="3">
        <f>IF(Table13[[#This Row],[Actual_Qty]]=0,0,Table13[[#This Row],[Reject_Qty]]/Table13[[#This Row],[Actual_Qty]])</f>
        <v>1.5360983102918587E-3</v>
      </c>
      <c r="S1193">
        <v>442.45</v>
      </c>
      <c r="T1193">
        <f>(Table13[[#This Row],[Ideal_Cycle_Time_sec]]*Table13[[#This Row],[Actual_Qty]])/(Table13[[#This Row],[Operational_Time_min]]*60)</f>
        <v>0.52478246129506156</v>
      </c>
      <c r="U1193">
        <f>Table13[[#This Row],[Good_Qty]]/Table13[[#This Row],[Actual_Qty]]</f>
        <v>0.99846390168970811</v>
      </c>
      <c r="V1193" t="str">
        <f>IF(OR(Table13[[#This Row],[Performance_%]]&gt;=1,Table13[[#This Row],[Performance_%]]&lt;=0),"Error","OK")</f>
        <v>OK</v>
      </c>
      <c r="W1193" t="str">
        <f>IF(OR(Table13[[#This Row],[Quality_%]]&gt;=1,Table13[[#This Row],[Quality_%]]&lt;=0),"Error","OK")</f>
        <v>OK</v>
      </c>
      <c r="X1193">
        <f>Table13[[#This Row],[Performance_%]]*Table13[[#This Row],[Quality_%]]*[2]Availability_KPI!K1193</f>
        <v>0.51518518518518519</v>
      </c>
      <c r="Y1193" t="str">
        <f>IF(OR(Table13[[#This Row],[OEE_%]]&gt;1,Table13[[#This Row],[OEE_%]]&lt;0),"Error","OK")</f>
        <v>OK</v>
      </c>
    </row>
    <row r="1194" spans="1:25" x14ac:dyDescent="0.2">
      <c r="A1194" t="s">
        <v>1392</v>
      </c>
      <c r="B1194" t="s">
        <v>1393</v>
      </c>
      <c r="C1194" s="2">
        <v>46304</v>
      </c>
      <c r="D1194" t="s">
        <v>67</v>
      </c>
      <c r="E1194" t="s">
        <v>28</v>
      </c>
      <c r="F1194" t="s">
        <v>29</v>
      </c>
      <c r="G1194" t="s">
        <v>36</v>
      </c>
      <c r="H1194">
        <v>567</v>
      </c>
      <c r="I1194">
        <v>565</v>
      </c>
      <c r="J1194">
        <v>2</v>
      </c>
      <c r="K1194">
        <v>19.8</v>
      </c>
      <c r="L1194">
        <v>20.73</v>
      </c>
      <c r="M1194">
        <v>195.85</v>
      </c>
      <c r="N1194">
        <f>_xlfn.XLOOKUP(Table13[[#This Row],[Production_Order_ID]],[1]Sheet1!$A$2:$A$391,[1]Sheet1!$F$2:$F$391,"No Match")</f>
        <v>520</v>
      </c>
      <c r="O1194" s="3">
        <f>Table13[[#This Row],[Good_Qty]]/Table13[[#This Row],[Planned_Production]]</f>
        <v>1.0865384615384615</v>
      </c>
      <c r="P1194" t="str">
        <f>IF(Table13[[#This Row],[Good_Qty]]&gt;=Table13[[#This Row],[Planned_Production]],"Met","Not Met")</f>
        <v>Met</v>
      </c>
      <c r="Q1194">
        <f>Table13[[#This Row],[Good_Qty]]-Table13[[#This Row],[Planned_Production]]</f>
        <v>45</v>
      </c>
      <c r="R1194" s="3">
        <f>IF(Table13[[#This Row],[Actual_Qty]]=0,0,Table13[[#This Row],[Reject_Qty]]/Table13[[#This Row],[Actual_Qty]])</f>
        <v>3.5273368606701938E-3</v>
      </c>
      <c r="S1194">
        <v>440.36</v>
      </c>
      <c r="T1194">
        <f>(Table13[[#This Row],[Ideal_Cycle_Time_sec]]*Table13[[#This Row],[Actual_Qty]])/(Table13[[#This Row],[Operational_Time_min]]*60)</f>
        <v>0.42490235262058312</v>
      </c>
      <c r="U1194">
        <f>Table13[[#This Row],[Good_Qty]]/Table13[[#This Row],[Actual_Qty]]</f>
        <v>0.99647266313932981</v>
      </c>
      <c r="V1194" t="str">
        <f>IF(OR(Table13[[#This Row],[Performance_%]]&gt;=1,Table13[[#This Row],[Performance_%]]&lt;=0),"Error","OK")</f>
        <v>OK</v>
      </c>
      <c r="W1194" t="str">
        <f>IF(OR(Table13[[#This Row],[Quality_%]]&gt;=1,Table13[[#This Row],[Quality_%]]&lt;=0),"Error","OK")</f>
        <v>OK</v>
      </c>
      <c r="X1194">
        <f>Table13[[#This Row],[Performance_%]]*Table13[[#This Row],[Quality_%]]*[2]Availability_KPI!K1194</f>
        <v>0.41433333333333333</v>
      </c>
      <c r="Y1194" t="str">
        <f>IF(OR(Table13[[#This Row],[OEE_%]]&gt;1,Table13[[#This Row],[OEE_%]]&lt;0),"Error","OK")</f>
        <v>OK</v>
      </c>
    </row>
    <row r="1195" spans="1:25" x14ac:dyDescent="0.2">
      <c r="A1195" t="s">
        <v>1394</v>
      </c>
      <c r="B1195" t="s">
        <v>1393</v>
      </c>
      <c r="C1195" s="2">
        <v>46304</v>
      </c>
      <c r="D1195" t="s">
        <v>67</v>
      </c>
      <c r="E1195" t="s">
        <v>32</v>
      </c>
      <c r="F1195" t="s">
        <v>29</v>
      </c>
      <c r="G1195" t="s">
        <v>44</v>
      </c>
      <c r="H1195">
        <v>570</v>
      </c>
      <c r="I1195">
        <v>567</v>
      </c>
      <c r="J1195">
        <v>3</v>
      </c>
      <c r="K1195">
        <v>22</v>
      </c>
      <c r="L1195">
        <v>22.85</v>
      </c>
      <c r="M1195">
        <v>217.05</v>
      </c>
      <c r="N1195">
        <f>_xlfn.XLOOKUP(Table13[[#This Row],[Production_Order_ID]],[1]Sheet1!$A$2:$A$391,[1]Sheet1!$F$2:$F$391,"No Match")</f>
        <v>520</v>
      </c>
      <c r="O1195" s="3">
        <f>Table13[[#This Row],[Good_Qty]]/Table13[[#This Row],[Planned_Production]]</f>
        <v>1.0903846153846153</v>
      </c>
      <c r="P1195" t="str">
        <f>IF(Table13[[#This Row],[Good_Qty]]&gt;=Table13[[#This Row],[Planned_Production]],"Met","Not Met")</f>
        <v>Met</v>
      </c>
      <c r="Q1195">
        <f>Table13[[#This Row],[Good_Qty]]-Table13[[#This Row],[Planned_Production]]</f>
        <v>47</v>
      </c>
      <c r="R1195" s="3">
        <f>IF(Table13[[#This Row],[Actual_Qty]]=0,0,Table13[[#This Row],[Reject_Qty]]/Table13[[#This Row],[Actual_Qty]])</f>
        <v>5.263157894736842E-3</v>
      </c>
      <c r="S1195">
        <v>440.35</v>
      </c>
      <c r="T1195">
        <f>(Table13[[#This Row],[Ideal_Cycle_Time_sec]]*Table13[[#This Row],[Actual_Qty]])/(Table13[[#This Row],[Operational_Time_min]]*60)</f>
        <v>0.47462245940728964</v>
      </c>
      <c r="U1195">
        <f>Table13[[#This Row],[Good_Qty]]/Table13[[#This Row],[Actual_Qty]]</f>
        <v>0.99473684210526314</v>
      </c>
      <c r="V1195" t="str">
        <f>IF(OR(Table13[[#This Row],[Performance_%]]&gt;=1,Table13[[#This Row],[Performance_%]]&lt;=0),"Error","OK")</f>
        <v>OK</v>
      </c>
      <c r="W1195" t="str">
        <f>IF(OR(Table13[[#This Row],[Quality_%]]&gt;=1,Table13[[#This Row],[Quality_%]]&lt;=0),"Error","OK")</f>
        <v>OK</v>
      </c>
      <c r="X1195">
        <f>Table13[[#This Row],[Performance_%]]*Table13[[#This Row],[Quality_%]]*[2]Availability_KPI!K1195</f>
        <v>0.46200000000000002</v>
      </c>
      <c r="Y1195" t="str">
        <f>IF(OR(Table13[[#This Row],[OEE_%]]&gt;1,Table13[[#This Row],[OEE_%]]&lt;0),"Error","OK")</f>
        <v>OK</v>
      </c>
    </row>
    <row r="1196" spans="1:25" x14ac:dyDescent="0.2">
      <c r="A1196" t="s">
        <v>1395</v>
      </c>
      <c r="B1196" t="s">
        <v>1393</v>
      </c>
      <c r="C1196" s="2">
        <v>46304</v>
      </c>
      <c r="D1196" t="s">
        <v>67</v>
      </c>
      <c r="E1196" t="s">
        <v>35</v>
      </c>
      <c r="F1196" t="s">
        <v>29</v>
      </c>
      <c r="G1196" t="s">
        <v>71</v>
      </c>
      <c r="H1196">
        <v>582</v>
      </c>
      <c r="I1196">
        <v>578</v>
      </c>
      <c r="J1196">
        <v>4</v>
      </c>
      <c r="K1196">
        <v>24.2</v>
      </c>
      <c r="L1196">
        <v>25.91</v>
      </c>
      <c r="M1196">
        <v>251.28</v>
      </c>
      <c r="N1196">
        <f>_xlfn.XLOOKUP(Table13[[#This Row],[Production_Order_ID]],[1]Sheet1!$A$2:$A$391,[1]Sheet1!$F$2:$F$391,"No Match")</f>
        <v>520</v>
      </c>
      <c r="O1196" s="3">
        <f>Table13[[#This Row],[Good_Qty]]/Table13[[#This Row],[Planned_Production]]</f>
        <v>1.1115384615384616</v>
      </c>
      <c r="P1196" t="str">
        <f>IF(Table13[[#This Row],[Good_Qty]]&gt;=Table13[[#This Row],[Planned_Production]],"Met","Not Met")</f>
        <v>Met</v>
      </c>
      <c r="Q1196">
        <f>Table13[[#This Row],[Good_Qty]]-Table13[[#This Row],[Planned_Production]]</f>
        <v>58</v>
      </c>
      <c r="R1196" s="3">
        <f>IF(Table13[[#This Row],[Actual_Qty]]=0,0,Table13[[#This Row],[Reject_Qty]]/Table13[[#This Row],[Actual_Qty]])</f>
        <v>6.8728522336769758E-3</v>
      </c>
      <c r="S1196">
        <v>431.53</v>
      </c>
      <c r="T1196">
        <f>(Table13[[#This Row],[Ideal_Cycle_Time_sec]]*Table13[[#This Row],[Actual_Qty]])/(Table13[[#This Row],[Operational_Time_min]]*60)</f>
        <v>0.54397145042059647</v>
      </c>
      <c r="U1196">
        <f>Table13[[#This Row],[Good_Qty]]/Table13[[#This Row],[Actual_Qty]]</f>
        <v>0.99312714776632305</v>
      </c>
      <c r="V1196" t="str">
        <f>IF(OR(Table13[[#This Row],[Performance_%]]&gt;=1,Table13[[#This Row],[Performance_%]]&lt;=0),"Error","OK")</f>
        <v>OK</v>
      </c>
      <c r="W1196" t="str">
        <f>IF(OR(Table13[[#This Row],[Quality_%]]&gt;=1,Table13[[#This Row],[Quality_%]]&lt;=0),"Error","OK")</f>
        <v>OK</v>
      </c>
      <c r="X1196">
        <f>Table13[[#This Row],[Performance_%]]*Table13[[#This Row],[Quality_%]]*[2]Availability_KPI!K1196</f>
        <v>0.51805925925925922</v>
      </c>
      <c r="Y1196" t="str">
        <f>IF(OR(Table13[[#This Row],[OEE_%]]&gt;1,Table13[[#This Row],[OEE_%]]&lt;0),"Error","OK")</f>
        <v>OK</v>
      </c>
    </row>
    <row r="1197" spans="1:25" x14ac:dyDescent="0.2">
      <c r="A1197" t="s">
        <v>1396</v>
      </c>
      <c r="B1197" t="s">
        <v>1393</v>
      </c>
      <c r="C1197" s="2">
        <v>46304</v>
      </c>
      <c r="D1197" t="s">
        <v>67</v>
      </c>
      <c r="E1197" t="s">
        <v>38</v>
      </c>
      <c r="F1197" t="s">
        <v>29</v>
      </c>
      <c r="G1197" t="s">
        <v>71</v>
      </c>
      <c r="H1197">
        <v>574</v>
      </c>
      <c r="I1197">
        <v>569</v>
      </c>
      <c r="J1197">
        <v>5</v>
      </c>
      <c r="K1197">
        <v>22</v>
      </c>
      <c r="L1197">
        <v>22.48</v>
      </c>
      <c r="M1197">
        <v>215.03</v>
      </c>
      <c r="N1197">
        <f>_xlfn.XLOOKUP(Table13[[#This Row],[Production_Order_ID]],[1]Sheet1!$A$2:$A$391,[1]Sheet1!$F$2:$F$391,"No Match")</f>
        <v>520</v>
      </c>
      <c r="O1197" s="3">
        <f>Table13[[#This Row],[Good_Qty]]/Table13[[#This Row],[Planned_Production]]</f>
        <v>1.0942307692307693</v>
      </c>
      <c r="P1197" t="str">
        <f>IF(Table13[[#This Row],[Good_Qty]]&gt;=Table13[[#This Row],[Planned_Production]],"Met","Not Met")</f>
        <v>Met</v>
      </c>
      <c r="Q1197">
        <f>Table13[[#This Row],[Good_Qty]]-Table13[[#This Row],[Planned_Production]]</f>
        <v>49</v>
      </c>
      <c r="R1197" s="3">
        <f>IF(Table13[[#This Row],[Actual_Qty]]=0,0,Table13[[#This Row],[Reject_Qty]]/Table13[[#This Row],[Actual_Qty]])</f>
        <v>8.7108013937282226E-3</v>
      </c>
      <c r="S1197">
        <v>437.95</v>
      </c>
      <c r="T1197">
        <f>(Table13[[#This Row],[Ideal_Cycle_Time_sec]]*Table13[[#This Row],[Actual_Qty]])/(Table13[[#This Row],[Operational_Time_min]]*60)</f>
        <v>0.48057236366404077</v>
      </c>
      <c r="U1197">
        <f>Table13[[#This Row],[Good_Qty]]/Table13[[#This Row],[Actual_Qty]]</f>
        <v>0.99128919860627174</v>
      </c>
      <c r="V1197" t="str">
        <f>IF(OR(Table13[[#This Row],[Performance_%]]&gt;=1,Table13[[#This Row],[Performance_%]]&lt;=0),"Error","OK")</f>
        <v>OK</v>
      </c>
      <c r="W1197" t="str">
        <f>IF(OR(Table13[[#This Row],[Quality_%]]&gt;=1,Table13[[#This Row],[Quality_%]]&lt;=0),"Error","OK")</f>
        <v>OK</v>
      </c>
      <c r="X1197">
        <f>Table13[[#This Row],[Performance_%]]*Table13[[#This Row],[Quality_%]]*[2]Availability_KPI!K1197</f>
        <v>0.46362962962962956</v>
      </c>
      <c r="Y1197" t="str">
        <f>IF(OR(Table13[[#This Row],[OEE_%]]&gt;1,Table13[[#This Row],[OEE_%]]&lt;0),"Error","OK")</f>
        <v>OK</v>
      </c>
    </row>
    <row r="1198" spans="1:25" x14ac:dyDescent="0.2">
      <c r="A1198" t="s">
        <v>1397</v>
      </c>
      <c r="B1198" t="s">
        <v>1393</v>
      </c>
      <c r="C1198" s="2">
        <v>46304</v>
      </c>
      <c r="D1198" t="s">
        <v>67</v>
      </c>
      <c r="E1198" t="s">
        <v>41</v>
      </c>
      <c r="F1198" t="s">
        <v>29</v>
      </c>
      <c r="G1198" t="s">
        <v>33</v>
      </c>
      <c r="H1198">
        <v>577</v>
      </c>
      <c r="I1198">
        <v>571</v>
      </c>
      <c r="J1198">
        <v>6</v>
      </c>
      <c r="K1198">
        <v>19.8</v>
      </c>
      <c r="L1198">
        <v>21.11</v>
      </c>
      <c r="M1198">
        <v>203.03</v>
      </c>
      <c r="N1198">
        <f>_xlfn.XLOOKUP(Table13[[#This Row],[Production_Order_ID]],[1]Sheet1!$A$2:$A$391,[1]Sheet1!$F$2:$F$391,"No Match")</f>
        <v>520</v>
      </c>
      <c r="O1198" s="3">
        <f>Table13[[#This Row],[Good_Qty]]/Table13[[#This Row],[Planned_Production]]</f>
        <v>1.0980769230769232</v>
      </c>
      <c r="P1198" t="str">
        <f>IF(Table13[[#This Row],[Good_Qty]]&gt;=Table13[[#This Row],[Planned_Production]],"Met","Not Met")</f>
        <v>Met</v>
      </c>
      <c r="Q1198">
        <f>Table13[[#This Row],[Good_Qty]]-Table13[[#This Row],[Planned_Production]]</f>
        <v>51</v>
      </c>
      <c r="R1198" s="3">
        <f>IF(Table13[[#This Row],[Actual_Qty]]=0,0,Table13[[#This Row],[Reject_Qty]]/Table13[[#This Row],[Actual_Qty]])</f>
        <v>1.0398613518197574E-2</v>
      </c>
      <c r="S1198">
        <v>434.87</v>
      </c>
      <c r="T1198">
        <f>(Table13[[#This Row],[Ideal_Cycle_Time_sec]]*Table13[[#This Row],[Actual_Qty]])/(Table13[[#This Row],[Operational_Time_min]]*60)</f>
        <v>0.4378549911467795</v>
      </c>
      <c r="U1198">
        <f>Table13[[#This Row],[Good_Qty]]/Table13[[#This Row],[Actual_Qty]]</f>
        <v>0.9896013864818024</v>
      </c>
      <c r="V1198" t="str">
        <f>IF(OR(Table13[[#This Row],[Performance_%]]&gt;=1,Table13[[#This Row],[Performance_%]]&lt;=0),"Error","OK")</f>
        <v>OK</v>
      </c>
      <c r="W1198" t="str">
        <f>IF(OR(Table13[[#This Row],[Quality_%]]&gt;=1,Table13[[#This Row],[Quality_%]]&lt;=0),"Error","OK")</f>
        <v>OK</v>
      </c>
      <c r="X1198">
        <f>Table13[[#This Row],[Performance_%]]*Table13[[#This Row],[Quality_%]]*[2]Availability_KPI!K1198</f>
        <v>0.41873333333333329</v>
      </c>
      <c r="Y1198" t="str">
        <f>IF(OR(Table13[[#This Row],[OEE_%]]&gt;1,Table13[[#This Row],[OEE_%]]&lt;0),"Error","OK")</f>
        <v>OK</v>
      </c>
    </row>
    <row r="1199" spans="1:25" x14ac:dyDescent="0.2">
      <c r="A1199" t="s">
        <v>1398</v>
      </c>
      <c r="B1199" t="s">
        <v>1393</v>
      </c>
      <c r="C1199" s="2">
        <v>46304</v>
      </c>
      <c r="D1199" t="s">
        <v>67</v>
      </c>
      <c r="E1199" t="s">
        <v>43</v>
      </c>
      <c r="F1199" t="s">
        <v>29</v>
      </c>
      <c r="G1199" t="s">
        <v>55</v>
      </c>
      <c r="H1199">
        <v>578</v>
      </c>
      <c r="I1199">
        <v>570</v>
      </c>
      <c r="J1199">
        <v>8</v>
      </c>
      <c r="K1199">
        <v>35.200000000000003</v>
      </c>
      <c r="L1199">
        <v>36.840000000000003</v>
      </c>
      <c r="M1199">
        <v>354.94</v>
      </c>
      <c r="N1199">
        <f>_xlfn.XLOOKUP(Table13[[#This Row],[Production_Order_ID]],[1]Sheet1!$A$2:$A$391,[1]Sheet1!$F$2:$F$391,"No Match")</f>
        <v>520</v>
      </c>
      <c r="O1199" s="3">
        <f>Table13[[#This Row],[Good_Qty]]/Table13[[#This Row],[Planned_Production]]</f>
        <v>1.0961538461538463</v>
      </c>
      <c r="P1199" t="str">
        <f>IF(Table13[[#This Row],[Good_Qty]]&gt;=Table13[[#This Row],[Planned_Production]],"Met","Not Met")</f>
        <v>Met</v>
      </c>
      <c r="Q1199">
        <f>Table13[[#This Row],[Good_Qty]]-Table13[[#This Row],[Planned_Production]]</f>
        <v>50</v>
      </c>
      <c r="R1199" s="3">
        <f>IF(Table13[[#This Row],[Actual_Qty]]=0,0,Table13[[#This Row],[Reject_Qty]]/Table13[[#This Row],[Actual_Qty]])</f>
        <v>1.384083044982699E-2</v>
      </c>
      <c r="S1199">
        <v>421.86</v>
      </c>
      <c r="T1199">
        <f>(Table13[[#This Row],[Ideal_Cycle_Time_sec]]*Table13[[#This Row],[Actual_Qty]])/(Table13[[#This Row],[Operational_Time_min]]*60)</f>
        <v>0.80380536986994111</v>
      </c>
      <c r="U1199">
        <f>Table13[[#This Row],[Good_Qty]]/Table13[[#This Row],[Actual_Qty]]</f>
        <v>0.98615916955017302</v>
      </c>
      <c r="V1199" t="str">
        <f>IF(OR(Table13[[#This Row],[Performance_%]]&gt;=1,Table13[[#This Row],[Performance_%]]&lt;=0),"Error","OK")</f>
        <v>OK</v>
      </c>
      <c r="W1199" t="str">
        <f>IF(OR(Table13[[#This Row],[Quality_%]]&gt;=1,Table13[[#This Row],[Quality_%]]&lt;=0),"Error","OK")</f>
        <v>OK</v>
      </c>
      <c r="X1199">
        <f>Table13[[#This Row],[Performance_%]]*Table13[[#This Row],[Quality_%]]*[2]Availability_KPI!K1199</f>
        <v>0.74311111111111117</v>
      </c>
      <c r="Y1199" t="str">
        <f>IF(OR(Table13[[#This Row],[OEE_%]]&gt;1,Table13[[#This Row],[OEE_%]]&lt;0),"Error","OK")</f>
        <v>OK</v>
      </c>
    </row>
    <row r="1200" spans="1:25" x14ac:dyDescent="0.2">
      <c r="A1200" t="s">
        <v>1399</v>
      </c>
      <c r="B1200" t="s">
        <v>1393</v>
      </c>
      <c r="C1200" s="2">
        <v>46304</v>
      </c>
      <c r="D1200" t="s">
        <v>67</v>
      </c>
      <c r="E1200" t="s">
        <v>46</v>
      </c>
      <c r="F1200" t="s">
        <v>29</v>
      </c>
      <c r="G1200" t="s">
        <v>75</v>
      </c>
      <c r="H1200">
        <v>569</v>
      </c>
      <c r="I1200">
        <v>563</v>
      </c>
      <c r="J1200">
        <v>6</v>
      </c>
      <c r="K1200">
        <v>27.5</v>
      </c>
      <c r="L1200">
        <v>29.34</v>
      </c>
      <c r="M1200">
        <v>278.27</v>
      </c>
      <c r="N1200">
        <f>_xlfn.XLOOKUP(Table13[[#This Row],[Production_Order_ID]],[1]Sheet1!$A$2:$A$391,[1]Sheet1!$F$2:$F$391,"No Match")</f>
        <v>520</v>
      </c>
      <c r="O1200" s="3">
        <f>Table13[[#This Row],[Good_Qty]]/Table13[[#This Row],[Planned_Production]]</f>
        <v>1.0826923076923076</v>
      </c>
      <c r="P1200" t="str">
        <f>IF(Table13[[#This Row],[Good_Qty]]&gt;=Table13[[#This Row],[Planned_Production]],"Met","Not Met")</f>
        <v>Met</v>
      </c>
      <c r="Q1200">
        <f>Table13[[#This Row],[Good_Qty]]-Table13[[#This Row],[Planned_Production]]</f>
        <v>43</v>
      </c>
      <c r="R1200" s="3">
        <f>IF(Table13[[#This Row],[Actual_Qty]]=0,0,Table13[[#This Row],[Reject_Qty]]/Table13[[#This Row],[Actual_Qty]])</f>
        <v>1.054481546572935E-2</v>
      </c>
      <c r="S1200">
        <v>431.68</v>
      </c>
      <c r="T1200">
        <f>(Table13[[#This Row],[Ideal_Cycle_Time_sec]]*Table13[[#This Row],[Actual_Qty]])/(Table13[[#This Row],[Operational_Time_min]]*60)</f>
        <v>0.60413191870521377</v>
      </c>
      <c r="U1200">
        <f>Table13[[#This Row],[Good_Qty]]/Table13[[#This Row],[Actual_Qty]]</f>
        <v>0.98945518453427062</v>
      </c>
      <c r="V1200" t="str">
        <f>IF(OR(Table13[[#This Row],[Performance_%]]&gt;=1,Table13[[#This Row],[Performance_%]]&lt;=0),"Error","OK")</f>
        <v>OK</v>
      </c>
      <c r="W1200" t="str">
        <f>IF(OR(Table13[[#This Row],[Quality_%]]&gt;=1,Table13[[#This Row],[Quality_%]]&lt;=0),"Error","OK")</f>
        <v>OK</v>
      </c>
      <c r="X1200">
        <f>Table13[[#This Row],[Performance_%]]*Table13[[#This Row],[Quality_%]]*[2]Availability_KPI!K1200</f>
        <v>0.57342592592592589</v>
      </c>
      <c r="Y1200" t="str">
        <f>IF(OR(Table13[[#This Row],[OEE_%]]&gt;1,Table13[[#This Row],[OEE_%]]&lt;0),"Error","OK")</f>
        <v>OK</v>
      </c>
    </row>
    <row r="1201" spans="1:25" x14ac:dyDescent="0.2">
      <c r="A1201" t="s">
        <v>1400</v>
      </c>
      <c r="B1201" t="s">
        <v>1393</v>
      </c>
      <c r="C1201" s="2">
        <v>46304</v>
      </c>
      <c r="D1201" t="s">
        <v>67</v>
      </c>
      <c r="E1201" t="s">
        <v>49</v>
      </c>
      <c r="F1201" t="s">
        <v>29</v>
      </c>
      <c r="G1201" t="s">
        <v>50</v>
      </c>
      <c r="H1201">
        <v>562</v>
      </c>
      <c r="I1201">
        <v>558</v>
      </c>
      <c r="J1201">
        <v>4</v>
      </c>
      <c r="K1201">
        <v>22</v>
      </c>
      <c r="L1201">
        <v>22.19</v>
      </c>
      <c r="M1201">
        <v>207.86</v>
      </c>
      <c r="N1201">
        <f>_xlfn.XLOOKUP(Table13[[#This Row],[Production_Order_ID]],[1]Sheet1!$A$2:$A$391,[1]Sheet1!$F$2:$F$391,"No Match")</f>
        <v>520</v>
      </c>
      <c r="O1201" s="3">
        <f>Table13[[#This Row],[Good_Qty]]/Table13[[#This Row],[Planned_Production]]</f>
        <v>1.073076923076923</v>
      </c>
      <c r="P1201" t="str">
        <f>IF(Table13[[#This Row],[Good_Qty]]&gt;=Table13[[#This Row],[Planned_Production]],"Met","Not Met")</f>
        <v>Met</v>
      </c>
      <c r="Q1201">
        <f>Table13[[#This Row],[Good_Qty]]-Table13[[#This Row],[Planned_Production]]</f>
        <v>38</v>
      </c>
      <c r="R1201" s="3">
        <f>IF(Table13[[#This Row],[Actual_Qty]]=0,0,Table13[[#This Row],[Reject_Qty]]/Table13[[#This Row],[Actual_Qty]])</f>
        <v>7.1174377224199285E-3</v>
      </c>
      <c r="S1201">
        <v>440.41</v>
      </c>
      <c r="T1201">
        <f>(Table13[[#This Row],[Ideal_Cycle_Time_sec]]*Table13[[#This Row],[Actual_Qty]])/(Table13[[#This Row],[Operational_Time_min]]*60)</f>
        <v>0.46789733808647999</v>
      </c>
      <c r="U1201">
        <f>Table13[[#This Row],[Good_Qty]]/Table13[[#This Row],[Actual_Qty]]</f>
        <v>0.99288256227758009</v>
      </c>
      <c r="V1201" t="str">
        <f>IF(OR(Table13[[#This Row],[Performance_%]]&gt;=1,Table13[[#This Row],[Performance_%]]&lt;=0),"Error","OK")</f>
        <v>OK</v>
      </c>
      <c r="W1201" t="str">
        <f>IF(OR(Table13[[#This Row],[Quality_%]]&gt;=1,Table13[[#This Row],[Quality_%]]&lt;=0),"Error","OK")</f>
        <v>OK</v>
      </c>
      <c r="X1201">
        <f>Table13[[#This Row],[Performance_%]]*Table13[[#This Row],[Quality_%]]*[2]Availability_KPI!K1201</f>
        <v>0.45466666666666666</v>
      </c>
      <c r="Y1201" t="str">
        <f>IF(OR(Table13[[#This Row],[OEE_%]]&gt;1,Table13[[#This Row],[OEE_%]]&lt;0),"Error","OK")</f>
        <v>OK</v>
      </c>
    </row>
    <row r="1202" spans="1:25" x14ac:dyDescent="0.2">
      <c r="A1202" t="s">
        <v>1401</v>
      </c>
      <c r="B1202" t="s">
        <v>1402</v>
      </c>
      <c r="C1202" s="2">
        <v>46307</v>
      </c>
      <c r="D1202" t="s">
        <v>27</v>
      </c>
      <c r="E1202" t="s">
        <v>28</v>
      </c>
      <c r="F1202" t="s">
        <v>29</v>
      </c>
      <c r="G1202" t="s">
        <v>75</v>
      </c>
      <c r="H1202">
        <v>587</v>
      </c>
      <c r="I1202">
        <v>584</v>
      </c>
      <c r="J1202">
        <v>3</v>
      </c>
      <c r="K1202">
        <v>19.8</v>
      </c>
      <c r="L1202">
        <v>19.8</v>
      </c>
      <c r="M1202">
        <v>193.71</v>
      </c>
      <c r="N1202">
        <f>_xlfn.XLOOKUP(Table13[[#This Row],[Production_Order_ID]],[1]Sheet1!$A$2:$A$391,[1]Sheet1!$F$2:$F$391,"No Match")</f>
        <v>490</v>
      </c>
      <c r="O1202" s="3">
        <f>Table13[[#This Row],[Good_Qty]]/Table13[[#This Row],[Planned_Production]]</f>
        <v>1.1918367346938776</v>
      </c>
      <c r="P1202" t="str">
        <f>IF(Table13[[#This Row],[Good_Qty]]&gt;=Table13[[#This Row],[Planned_Production]],"Met","Not Met")</f>
        <v>Met</v>
      </c>
      <c r="Q1202">
        <f>Table13[[#This Row],[Good_Qty]]-Table13[[#This Row],[Planned_Production]]</f>
        <v>94</v>
      </c>
      <c r="R1202" s="3">
        <f>IF(Table13[[#This Row],[Actual_Qty]]=0,0,Table13[[#This Row],[Reject_Qty]]/Table13[[#This Row],[Actual_Qty]])</f>
        <v>5.1107325383304937E-3</v>
      </c>
      <c r="S1202">
        <v>440.96</v>
      </c>
      <c r="T1202">
        <f>(Table13[[#This Row],[Ideal_Cycle_Time_sec]]*Table13[[#This Row],[Actual_Qty]])/(Table13[[#This Row],[Operational_Time_min]]*60)</f>
        <v>0.43929154571843254</v>
      </c>
      <c r="U1202">
        <f>Table13[[#This Row],[Good_Qty]]/Table13[[#This Row],[Actual_Qty]]</f>
        <v>0.9948892674616695</v>
      </c>
      <c r="V1202" t="str">
        <f>IF(OR(Table13[[#This Row],[Performance_%]]&gt;=1,Table13[[#This Row],[Performance_%]]&lt;=0),"Error","OK")</f>
        <v>OK</v>
      </c>
      <c r="W1202" t="str">
        <f>IF(OR(Table13[[#This Row],[Quality_%]]&gt;=1,Table13[[#This Row],[Quality_%]]&lt;=0),"Error","OK")</f>
        <v>OK</v>
      </c>
      <c r="X1202">
        <f>Table13[[#This Row],[Performance_%]]*Table13[[#This Row],[Quality_%]]*[2]Availability_KPI!K1202</f>
        <v>0.42826666666666668</v>
      </c>
      <c r="Y1202" t="str">
        <f>IF(OR(Table13[[#This Row],[OEE_%]]&gt;1,Table13[[#This Row],[OEE_%]]&lt;0),"Error","OK")</f>
        <v>OK</v>
      </c>
    </row>
    <row r="1203" spans="1:25" x14ac:dyDescent="0.2">
      <c r="A1203" t="s">
        <v>1403</v>
      </c>
      <c r="B1203" t="s">
        <v>1402</v>
      </c>
      <c r="C1203" s="2">
        <v>46307</v>
      </c>
      <c r="D1203" t="s">
        <v>27</v>
      </c>
      <c r="E1203" t="s">
        <v>32</v>
      </c>
      <c r="F1203" t="s">
        <v>29</v>
      </c>
      <c r="G1203" t="s">
        <v>30</v>
      </c>
      <c r="H1203">
        <v>593</v>
      </c>
      <c r="I1203">
        <v>588</v>
      </c>
      <c r="J1203">
        <v>5</v>
      </c>
      <c r="K1203">
        <v>22</v>
      </c>
      <c r="L1203">
        <v>22.03</v>
      </c>
      <c r="M1203">
        <v>217.69</v>
      </c>
      <c r="N1203">
        <f>_xlfn.XLOOKUP(Table13[[#This Row],[Production_Order_ID]],[1]Sheet1!$A$2:$A$391,[1]Sheet1!$F$2:$F$391,"No Match")</f>
        <v>490</v>
      </c>
      <c r="O1203" s="3">
        <f>Table13[[#This Row],[Good_Qty]]/Table13[[#This Row],[Planned_Production]]</f>
        <v>1.2</v>
      </c>
      <c r="P1203" t="str">
        <f>IF(Table13[[#This Row],[Good_Qty]]&gt;=Table13[[#This Row],[Planned_Production]],"Met","Not Met")</f>
        <v>Met</v>
      </c>
      <c r="Q1203">
        <f>Table13[[#This Row],[Good_Qty]]-Table13[[#This Row],[Planned_Production]]</f>
        <v>98</v>
      </c>
      <c r="R1203" s="3">
        <f>IF(Table13[[#This Row],[Actual_Qty]]=0,0,Table13[[#This Row],[Reject_Qty]]/Table13[[#This Row],[Actual_Qty]])</f>
        <v>8.4317032040472171E-3</v>
      </c>
      <c r="S1203">
        <v>435.91</v>
      </c>
      <c r="T1203">
        <f>(Table13[[#This Row],[Ideal_Cycle_Time_sec]]*Table13[[#This Row],[Actual_Qty]])/(Table13[[#This Row],[Operational_Time_min]]*60)</f>
        <v>0.49880326978810607</v>
      </c>
      <c r="U1203">
        <f>Table13[[#This Row],[Good_Qty]]/Table13[[#This Row],[Actual_Qty]]</f>
        <v>0.99156829679595282</v>
      </c>
      <c r="V1203" t="str">
        <f>IF(OR(Table13[[#This Row],[Performance_%]]&gt;=1,Table13[[#This Row],[Performance_%]]&lt;=0),"Error","OK")</f>
        <v>OK</v>
      </c>
      <c r="W1203" t="str">
        <f>IF(OR(Table13[[#This Row],[Quality_%]]&gt;=1,Table13[[#This Row],[Quality_%]]&lt;=0),"Error","OK")</f>
        <v>OK</v>
      </c>
      <c r="X1203">
        <f>Table13[[#This Row],[Performance_%]]*Table13[[#This Row],[Quality_%]]*[2]Availability_KPI!K1203</f>
        <v>0.4791111111111111</v>
      </c>
      <c r="Y1203" t="str">
        <f>IF(OR(Table13[[#This Row],[OEE_%]]&gt;1,Table13[[#This Row],[OEE_%]]&lt;0),"Error","OK")</f>
        <v>OK</v>
      </c>
    </row>
    <row r="1204" spans="1:25" x14ac:dyDescent="0.2">
      <c r="A1204" t="s">
        <v>1404</v>
      </c>
      <c r="B1204" t="s">
        <v>1402</v>
      </c>
      <c r="C1204" s="2">
        <v>46307</v>
      </c>
      <c r="D1204" t="s">
        <v>27</v>
      </c>
      <c r="E1204" t="s">
        <v>35</v>
      </c>
      <c r="F1204" t="s">
        <v>29</v>
      </c>
      <c r="G1204" t="s">
        <v>61</v>
      </c>
      <c r="H1204">
        <v>603</v>
      </c>
      <c r="I1204">
        <v>597</v>
      </c>
      <c r="J1204">
        <v>6</v>
      </c>
      <c r="K1204">
        <v>24.2</v>
      </c>
      <c r="L1204">
        <v>25.73</v>
      </c>
      <c r="M1204">
        <v>258.56</v>
      </c>
      <c r="N1204">
        <f>_xlfn.XLOOKUP(Table13[[#This Row],[Production_Order_ID]],[1]Sheet1!$A$2:$A$391,[1]Sheet1!$F$2:$F$391,"No Match")</f>
        <v>490</v>
      </c>
      <c r="O1204" s="3">
        <f>Table13[[#This Row],[Good_Qty]]/Table13[[#This Row],[Planned_Production]]</f>
        <v>1.2183673469387755</v>
      </c>
      <c r="P1204" t="str">
        <f>IF(Table13[[#This Row],[Good_Qty]]&gt;=Table13[[#This Row],[Planned_Production]],"Met","Not Met")</f>
        <v>Met</v>
      </c>
      <c r="Q1204">
        <f>Table13[[#This Row],[Good_Qty]]-Table13[[#This Row],[Planned_Production]]</f>
        <v>107</v>
      </c>
      <c r="R1204" s="3">
        <f>IF(Table13[[#This Row],[Actual_Qty]]=0,0,Table13[[#This Row],[Reject_Qty]]/Table13[[#This Row],[Actual_Qty]])</f>
        <v>9.9502487562189053E-3</v>
      </c>
      <c r="S1204">
        <v>434.67</v>
      </c>
      <c r="T1204">
        <f>(Table13[[#This Row],[Ideal_Cycle_Time_sec]]*Table13[[#This Row],[Actual_Qty]])/(Table13[[#This Row],[Operational_Time_min]]*60)</f>
        <v>0.55952791773069221</v>
      </c>
      <c r="U1204">
        <f>Table13[[#This Row],[Good_Qty]]/Table13[[#This Row],[Actual_Qty]]</f>
        <v>0.99004975124378114</v>
      </c>
      <c r="V1204" t="str">
        <f>IF(OR(Table13[[#This Row],[Performance_%]]&gt;=1,Table13[[#This Row],[Performance_%]]&lt;=0),"Error","OK")</f>
        <v>OK</v>
      </c>
      <c r="W1204" t="str">
        <f>IF(OR(Table13[[#This Row],[Quality_%]]&gt;=1,Table13[[#This Row],[Quality_%]]&lt;=0),"Error","OK")</f>
        <v>OK</v>
      </c>
      <c r="X1204">
        <f>Table13[[#This Row],[Performance_%]]*Table13[[#This Row],[Quality_%]]*[2]Availability_KPI!K1204</f>
        <v>0.53508888888888895</v>
      </c>
      <c r="Y1204" t="str">
        <f>IF(OR(Table13[[#This Row],[OEE_%]]&gt;1,Table13[[#This Row],[OEE_%]]&lt;0),"Error","OK")</f>
        <v>OK</v>
      </c>
    </row>
    <row r="1205" spans="1:25" x14ac:dyDescent="0.2">
      <c r="A1205" t="s">
        <v>1405</v>
      </c>
      <c r="B1205" t="s">
        <v>1402</v>
      </c>
      <c r="C1205" s="2">
        <v>46307</v>
      </c>
      <c r="D1205" t="s">
        <v>27</v>
      </c>
      <c r="E1205" t="s">
        <v>38</v>
      </c>
      <c r="F1205" t="s">
        <v>29</v>
      </c>
      <c r="G1205" t="s">
        <v>55</v>
      </c>
      <c r="H1205">
        <v>582</v>
      </c>
      <c r="I1205">
        <v>576</v>
      </c>
      <c r="J1205">
        <v>6</v>
      </c>
      <c r="K1205">
        <v>22</v>
      </c>
      <c r="L1205">
        <v>23.16</v>
      </c>
      <c r="M1205">
        <v>224.65</v>
      </c>
      <c r="N1205">
        <f>_xlfn.XLOOKUP(Table13[[#This Row],[Production_Order_ID]],[1]Sheet1!$A$2:$A$391,[1]Sheet1!$F$2:$F$391,"No Match")</f>
        <v>490</v>
      </c>
      <c r="O1205" s="3">
        <f>Table13[[#This Row],[Good_Qty]]/Table13[[#This Row],[Planned_Production]]</f>
        <v>1.1755102040816328</v>
      </c>
      <c r="P1205" t="str">
        <f>IF(Table13[[#This Row],[Good_Qty]]&gt;=Table13[[#This Row],[Planned_Production]],"Met","Not Met")</f>
        <v>Met</v>
      </c>
      <c r="Q1205">
        <f>Table13[[#This Row],[Good_Qty]]-Table13[[#This Row],[Planned_Production]]</f>
        <v>86</v>
      </c>
      <c r="R1205" s="3">
        <f>IF(Table13[[#This Row],[Actual_Qty]]=0,0,Table13[[#This Row],[Reject_Qty]]/Table13[[#This Row],[Actual_Qty]])</f>
        <v>1.0309278350515464E-2</v>
      </c>
      <c r="S1205">
        <v>439.26</v>
      </c>
      <c r="T1205">
        <f>(Table13[[#This Row],[Ideal_Cycle_Time_sec]]*Table13[[#This Row],[Actual_Qty]])/(Table13[[#This Row],[Operational_Time_min]]*60)</f>
        <v>0.48581705595774716</v>
      </c>
      <c r="U1205">
        <f>Table13[[#This Row],[Good_Qty]]/Table13[[#This Row],[Actual_Qty]]</f>
        <v>0.98969072164948457</v>
      </c>
      <c r="V1205" t="str">
        <f>IF(OR(Table13[[#This Row],[Performance_%]]&gt;=1,Table13[[#This Row],[Performance_%]]&lt;=0),"Error","OK")</f>
        <v>OK</v>
      </c>
      <c r="W1205" t="str">
        <f>IF(OR(Table13[[#This Row],[Quality_%]]&gt;=1,Table13[[#This Row],[Quality_%]]&lt;=0),"Error","OK")</f>
        <v>OK</v>
      </c>
      <c r="X1205">
        <f>Table13[[#This Row],[Performance_%]]*Table13[[#This Row],[Quality_%]]*[2]Availability_KPI!K1205</f>
        <v>0.46933333333333338</v>
      </c>
      <c r="Y1205" t="str">
        <f>IF(OR(Table13[[#This Row],[OEE_%]]&gt;1,Table13[[#This Row],[OEE_%]]&lt;0),"Error","OK")</f>
        <v>OK</v>
      </c>
    </row>
    <row r="1206" spans="1:25" x14ac:dyDescent="0.2">
      <c r="A1206" t="s">
        <v>1406</v>
      </c>
      <c r="B1206" t="s">
        <v>1402</v>
      </c>
      <c r="C1206" s="2">
        <v>46307</v>
      </c>
      <c r="D1206" t="s">
        <v>27</v>
      </c>
      <c r="E1206" t="s">
        <v>41</v>
      </c>
      <c r="F1206" t="s">
        <v>29</v>
      </c>
      <c r="G1206" t="s">
        <v>61</v>
      </c>
      <c r="H1206">
        <v>595</v>
      </c>
      <c r="I1206">
        <v>589</v>
      </c>
      <c r="J1206">
        <v>6</v>
      </c>
      <c r="K1206">
        <v>19.8</v>
      </c>
      <c r="L1206">
        <v>20.41</v>
      </c>
      <c r="M1206">
        <v>202.41</v>
      </c>
      <c r="N1206">
        <f>_xlfn.XLOOKUP(Table13[[#This Row],[Production_Order_ID]],[1]Sheet1!$A$2:$A$391,[1]Sheet1!$F$2:$F$391,"No Match")</f>
        <v>490</v>
      </c>
      <c r="O1206" s="3">
        <f>Table13[[#This Row],[Good_Qty]]/Table13[[#This Row],[Planned_Production]]</f>
        <v>1.2020408163265306</v>
      </c>
      <c r="P1206" t="str">
        <f>IF(Table13[[#This Row],[Good_Qty]]&gt;=Table13[[#This Row],[Planned_Production]],"Met","Not Met")</f>
        <v>Met</v>
      </c>
      <c r="Q1206">
        <f>Table13[[#This Row],[Good_Qty]]-Table13[[#This Row],[Planned_Production]]</f>
        <v>99</v>
      </c>
      <c r="R1206" s="3">
        <f>IF(Table13[[#This Row],[Actual_Qty]]=0,0,Table13[[#This Row],[Reject_Qty]]/Table13[[#This Row],[Actual_Qty]])</f>
        <v>1.0084033613445379E-2</v>
      </c>
      <c r="S1206">
        <v>438.16</v>
      </c>
      <c r="T1206">
        <f>(Table13[[#This Row],[Ideal_Cycle_Time_sec]]*Table13[[#This Row],[Actual_Qty]])/(Table13[[#This Row],[Operational_Time_min]]*60)</f>
        <v>0.44812397297790757</v>
      </c>
      <c r="U1206">
        <f>Table13[[#This Row],[Good_Qty]]/Table13[[#This Row],[Actual_Qty]]</f>
        <v>0.98991596638655466</v>
      </c>
      <c r="V1206" t="str">
        <f>IF(OR(Table13[[#This Row],[Performance_%]]&gt;=1,Table13[[#This Row],[Performance_%]]&lt;=0),"Error","OK")</f>
        <v>OK</v>
      </c>
      <c r="W1206" t="str">
        <f>IF(OR(Table13[[#This Row],[Quality_%]]&gt;=1,Table13[[#This Row],[Quality_%]]&lt;=0),"Error","OK")</f>
        <v>OK</v>
      </c>
      <c r="X1206">
        <f>Table13[[#This Row],[Performance_%]]*Table13[[#This Row],[Quality_%]]*[2]Availability_KPI!K1206</f>
        <v>0.43193333333333334</v>
      </c>
      <c r="Y1206" t="str">
        <f>IF(OR(Table13[[#This Row],[OEE_%]]&gt;1,Table13[[#This Row],[OEE_%]]&lt;0),"Error","OK")</f>
        <v>OK</v>
      </c>
    </row>
    <row r="1207" spans="1:25" x14ac:dyDescent="0.2">
      <c r="A1207" t="s">
        <v>1407</v>
      </c>
      <c r="B1207" t="s">
        <v>1402</v>
      </c>
      <c r="C1207" s="2">
        <v>46307</v>
      </c>
      <c r="D1207" t="s">
        <v>27</v>
      </c>
      <c r="E1207" t="s">
        <v>43</v>
      </c>
      <c r="F1207" t="s">
        <v>29</v>
      </c>
      <c r="G1207" t="s">
        <v>30</v>
      </c>
      <c r="H1207">
        <v>596</v>
      </c>
      <c r="I1207">
        <v>588</v>
      </c>
      <c r="J1207">
        <v>8</v>
      </c>
      <c r="K1207">
        <v>35.200000000000003</v>
      </c>
      <c r="L1207">
        <v>36.46</v>
      </c>
      <c r="M1207">
        <v>362.17</v>
      </c>
      <c r="N1207">
        <f>_xlfn.XLOOKUP(Table13[[#This Row],[Production_Order_ID]],[1]Sheet1!$A$2:$A$391,[1]Sheet1!$F$2:$F$391,"No Match")</f>
        <v>490</v>
      </c>
      <c r="O1207" s="3">
        <f>Table13[[#This Row],[Good_Qty]]/Table13[[#This Row],[Planned_Production]]</f>
        <v>1.2</v>
      </c>
      <c r="P1207" t="str">
        <f>IF(Table13[[#This Row],[Good_Qty]]&gt;=Table13[[#This Row],[Planned_Production]],"Met","Not Met")</f>
        <v>Met</v>
      </c>
      <c r="Q1207">
        <f>Table13[[#This Row],[Good_Qty]]-Table13[[#This Row],[Planned_Production]]</f>
        <v>98</v>
      </c>
      <c r="R1207" s="3">
        <f>IF(Table13[[#This Row],[Actual_Qty]]=0,0,Table13[[#This Row],[Reject_Qty]]/Table13[[#This Row],[Actual_Qty]])</f>
        <v>1.3422818791946308E-2</v>
      </c>
      <c r="S1207">
        <v>419.3</v>
      </c>
      <c r="T1207">
        <f>(Table13[[#This Row],[Ideal_Cycle_Time_sec]]*Table13[[#This Row],[Actual_Qty]])/(Table13[[#This Row],[Operational_Time_min]]*60)</f>
        <v>0.83389776611813338</v>
      </c>
      <c r="U1207">
        <f>Table13[[#This Row],[Good_Qty]]/Table13[[#This Row],[Actual_Qty]]</f>
        <v>0.98657718120805371</v>
      </c>
      <c r="V1207" t="str">
        <f>IF(OR(Table13[[#This Row],[Performance_%]]&gt;=1,Table13[[#This Row],[Performance_%]]&lt;=0),"Error","OK")</f>
        <v>OK</v>
      </c>
      <c r="W1207" t="str">
        <f>IF(OR(Table13[[#This Row],[Quality_%]]&gt;=1,Table13[[#This Row],[Quality_%]]&lt;=0),"Error","OK")</f>
        <v>OK</v>
      </c>
      <c r="X1207">
        <f>Table13[[#This Row],[Performance_%]]*Table13[[#This Row],[Quality_%]]*[2]Availability_KPI!K1207</f>
        <v>0.7665777777777778</v>
      </c>
      <c r="Y1207" t="str">
        <f>IF(OR(Table13[[#This Row],[OEE_%]]&gt;1,Table13[[#This Row],[OEE_%]]&lt;0),"Error","OK")</f>
        <v>OK</v>
      </c>
    </row>
    <row r="1208" spans="1:25" x14ac:dyDescent="0.2">
      <c r="A1208" t="s">
        <v>1408</v>
      </c>
      <c r="B1208" t="s">
        <v>1402</v>
      </c>
      <c r="C1208" s="2">
        <v>46307</v>
      </c>
      <c r="D1208" t="s">
        <v>27</v>
      </c>
      <c r="E1208" t="s">
        <v>46</v>
      </c>
      <c r="F1208" t="s">
        <v>29</v>
      </c>
      <c r="G1208" t="s">
        <v>36</v>
      </c>
      <c r="H1208">
        <v>599</v>
      </c>
      <c r="I1208">
        <v>592</v>
      </c>
      <c r="J1208">
        <v>7</v>
      </c>
      <c r="K1208">
        <v>27.5</v>
      </c>
      <c r="L1208">
        <v>28.01</v>
      </c>
      <c r="M1208">
        <v>279.64</v>
      </c>
      <c r="N1208">
        <f>_xlfn.XLOOKUP(Table13[[#This Row],[Production_Order_ID]],[1]Sheet1!$A$2:$A$391,[1]Sheet1!$F$2:$F$391,"No Match")</f>
        <v>490</v>
      </c>
      <c r="O1208" s="3">
        <f>Table13[[#This Row],[Good_Qty]]/Table13[[#This Row],[Planned_Production]]</f>
        <v>1.2081632653061225</v>
      </c>
      <c r="P1208" t="str">
        <f>IF(Table13[[#This Row],[Good_Qty]]&gt;=Table13[[#This Row],[Planned_Production]],"Met","Not Met")</f>
        <v>Met</v>
      </c>
      <c r="Q1208">
        <f>Table13[[#This Row],[Good_Qty]]-Table13[[#This Row],[Planned_Production]]</f>
        <v>102</v>
      </c>
      <c r="R1208" s="3">
        <f>IF(Table13[[#This Row],[Actual_Qty]]=0,0,Table13[[#This Row],[Reject_Qty]]/Table13[[#This Row],[Actual_Qty]])</f>
        <v>1.1686143572621035E-2</v>
      </c>
      <c r="S1208">
        <v>427.83</v>
      </c>
      <c r="T1208">
        <f>(Table13[[#This Row],[Ideal_Cycle_Time_sec]]*Table13[[#This Row],[Actual_Qty]])/(Table13[[#This Row],[Operational_Time_min]]*60)</f>
        <v>0.64170737598267225</v>
      </c>
      <c r="U1208">
        <f>Table13[[#This Row],[Good_Qty]]/Table13[[#This Row],[Actual_Qty]]</f>
        <v>0.98831385642737901</v>
      </c>
      <c r="V1208" t="str">
        <f>IF(OR(Table13[[#This Row],[Performance_%]]&gt;=1,Table13[[#This Row],[Performance_%]]&lt;=0),"Error","OK")</f>
        <v>OK</v>
      </c>
      <c r="W1208" t="str">
        <f>IF(OR(Table13[[#This Row],[Quality_%]]&gt;=1,Table13[[#This Row],[Quality_%]]&lt;=0),"Error","OK")</f>
        <v>OK</v>
      </c>
      <c r="X1208">
        <f>Table13[[#This Row],[Performance_%]]*Table13[[#This Row],[Quality_%]]*[2]Availability_KPI!K1208</f>
        <v>0.60296296296296303</v>
      </c>
      <c r="Y1208" t="str">
        <f>IF(OR(Table13[[#This Row],[OEE_%]]&gt;1,Table13[[#This Row],[OEE_%]]&lt;0),"Error","OK")</f>
        <v>OK</v>
      </c>
    </row>
    <row r="1209" spans="1:25" x14ac:dyDescent="0.2">
      <c r="A1209" t="s">
        <v>1409</v>
      </c>
      <c r="B1209" t="s">
        <v>1402</v>
      </c>
      <c r="C1209" s="2">
        <v>46307</v>
      </c>
      <c r="D1209" t="s">
        <v>27</v>
      </c>
      <c r="E1209" t="s">
        <v>49</v>
      </c>
      <c r="F1209" t="s">
        <v>29</v>
      </c>
      <c r="G1209" t="s">
        <v>55</v>
      </c>
      <c r="H1209">
        <v>598</v>
      </c>
      <c r="I1209">
        <v>594</v>
      </c>
      <c r="J1209">
        <v>4</v>
      </c>
      <c r="K1209">
        <v>22</v>
      </c>
      <c r="L1209">
        <v>22.48</v>
      </c>
      <c r="M1209">
        <v>224.09</v>
      </c>
      <c r="N1209">
        <f>_xlfn.XLOOKUP(Table13[[#This Row],[Production_Order_ID]],[1]Sheet1!$A$2:$A$391,[1]Sheet1!$F$2:$F$391,"No Match")</f>
        <v>490</v>
      </c>
      <c r="O1209" s="3">
        <f>Table13[[#This Row],[Good_Qty]]/Table13[[#This Row],[Planned_Production]]</f>
        <v>1.2122448979591838</v>
      </c>
      <c r="P1209" t="str">
        <f>IF(Table13[[#This Row],[Good_Qty]]&gt;=Table13[[#This Row],[Planned_Production]],"Met","Not Met")</f>
        <v>Met</v>
      </c>
      <c r="Q1209">
        <f>Table13[[#This Row],[Good_Qty]]-Table13[[#This Row],[Planned_Production]]</f>
        <v>104</v>
      </c>
      <c r="R1209" s="3">
        <f>IF(Table13[[#This Row],[Actual_Qty]]=0,0,Table13[[#This Row],[Reject_Qty]]/Table13[[#This Row],[Actual_Qty]])</f>
        <v>6.688963210702341E-3</v>
      </c>
      <c r="S1209">
        <v>439.49</v>
      </c>
      <c r="T1209">
        <f>(Table13[[#This Row],[Ideal_Cycle_Time_sec]]*Table13[[#This Row],[Actual_Qty]])/(Table13[[#This Row],[Operational_Time_min]]*60)</f>
        <v>0.4989116172533315</v>
      </c>
      <c r="U1209">
        <f>Table13[[#This Row],[Good_Qty]]/Table13[[#This Row],[Actual_Qty]]</f>
        <v>0.99331103678929766</v>
      </c>
      <c r="V1209" t="str">
        <f>IF(OR(Table13[[#This Row],[Performance_%]]&gt;=1,Table13[[#This Row],[Performance_%]]&lt;=0),"Error","OK")</f>
        <v>OK</v>
      </c>
      <c r="W1209" t="str">
        <f>IF(OR(Table13[[#This Row],[Quality_%]]&gt;=1,Table13[[#This Row],[Quality_%]]&lt;=0),"Error","OK")</f>
        <v>OK</v>
      </c>
      <c r="X1209">
        <f>Table13[[#This Row],[Performance_%]]*Table13[[#This Row],[Quality_%]]*[2]Availability_KPI!K1209</f>
        <v>0.48399999999999999</v>
      </c>
      <c r="Y1209" t="str">
        <f>IF(OR(Table13[[#This Row],[OEE_%]]&gt;1,Table13[[#This Row],[OEE_%]]&lt;0),"Error","OK")</f>
        <v>OK</v>
      </c>
    </row>
    <row r="1210" spans="1:25" x14ac:dyDescent="0.2">
      <c r="A1210" t="s">
        <v>1410</v>
      </c>
      <c r="B1210" t="s">
        <v>1411</v>
      </c>
      <c r="C1210" s="2">
        <v>46307</v>
      </c>
      <c r="D1210" t="s">
        <v>53</v>
      </c>
      <c r="E1210" t="s">
        <v>28</v>
      </c>
      <c r="F1210" t="s">
        <v>54</v>
      </c>
      <c r="G1210" t="s">
        <v>55</v>
      </c>
      <c r="H1210">
        <v>681</v>
      </c>
      <c r="I1210">
        <v>678</v>
      </c>
      <c r="J1210">
        <v>3</v>
      </c>
      <c r="K1210">
        <v>18</v>
      </c>
      <c r="L1210">
        <v>18.84</v>
      </c>
      <c r="M1210">
        <v>213.8</v>
      </c>
      <c r="N1210">
        <f>_xlfn.XLOOKUP(Table13[[#This Row],[Production_Order_ID]],[1]Sheet1!$A$2:$A$391,[1]Sheet1!$F$2:$F$391,"No Match")</f>
        <v>540</v>
      </c>
      <c r="O1210" s="3">
        <f>Table13[[#This Row],[Good_Qty]]/Table13[[#This Row],[Planned_Production]]</f>
        <v>1.2555555555555555</v>
      </c>
      <c r="P1210" t="str">
        <f>IF(Table13[[#This Row],[Good_Qty]]&gt;=Table13[[#This Row],[Planned_Production]],"Met","Not Met")</f>
        <v>Met</v>
      </c>
      <c r="Q1210">
        <f>Table13[[#This Row],[Good_Qty]]-Table13[[#This Row],[Planned_Production]]</f>
        <v>138</v>
      </c>
      <c r="R1210" s="3">
        <f>IF(Table13[[#This Row],[Actual_Qty]]=0,0,Table13[[#This Row],[Reject_Qty]]/Table13[[#This Row],[Actual_Qty]])</f>
        <v>4.4052863436123352E-3</v>
      </c>
      <c r="S1210">
        <v>440.3</v>
      </c>
      <c r="T1210">
        <f>(Table13[[#This Row],[Ideal_Cycle_Time_sec]]*Table13[[#This Row],[Actual_Qty]])/(Table13[[#This Row],[Operational_Time_min]]*60)</f>
        <v>0.46400181694299342</v>
      </c>
      <c r="U1210">
        <f>Table13[[#This Row],[Good_Qty]]/Table13[[#This Row],[Actual_Qty]]</f>
        <v>0.99559471365638763</v>
      </c>
      <c r="V1210" t="str">
        <f>IF(OR(Table13[[#This Row],[Performance_%]]&gt;=1,Table13[[#This Row],[Performance_%]]&lt;=0),"Error","OK")</f>
        <v>OK</v>
      </c>
      <c r="W1210" t="str">
        <f>IF(OR(Table13[[#This Row],[Quality_%]]&gt;=1,Table13[[#This Row],[Quality_%]]&lt;=0),"Error","OK")</f>
        <v>OK</v>
      </c>
      <c r="X1210">
        <f>Table13[[#This Row],[Performance_%]]*Table13[[#This Row],[Quality_%]]*[2]Availability_KPI!K1210</f>
        <v>0.45200000000000001</v>
      </c>
      <c r="Y1210" t="str">
        <f>IF(OR(Table13[[#This Row],[OEE_%]]&gt;1,Table13[[#This Row],[OEE_%]]&lt;0),"Error","OK")</f>
        <v>OK</v>
      </c>
    </row>
    <row r="1211" spans="1:25" x14ac:dyDescent="0.2">
      <c r="A1211" t="s">
        <v>1412</v>
      </c>
      <c r="B1211" t="s">
        <v>1411</v>
      </c>
      <c r="C1211" s="2">
        <v>46307</v>
      </c>
      <c r="D1211" t="s">
        <v>53</v>
      </c>
      <c r="E1211" t="s">
        <v>32</v>
      </c>
      <c r="F1211" t="s">
        <v>54</v>
      </c>
      <c r="G1211" t="s">
        <v>33</v>
      </c>
      <c r="H1211">
        <v>674</v>
      </c>
      <c r="I1211">
        <v>669</v>
      </c>
      <c r="J1211">
        <v>5</v>
      </c>
      <c r="K1211">
        <v>20</v>
      </c>
      <c r="L1211">
        <v>20.3</v>
      </c>
      <c r="M1211">
        <v>228.05</v>
      </c>
      <c r="N1211">
        <f>_xlfn.XLOOKUP(Table13[[#This Row],[Production_Order_ID]],[1]Sheet1!$A$2:$A$391,[1]Sheet1!$F$2:$F$391,"No Match")</f>
        <v>540</v>
      </c>
      <c r="O1211" s="3">
        <f>Table13[[#This Row],[Good_Qty]]/Table13[[#This Row],[Planned_Production]]</f>
        <v>1.2388888888888889</v>
      </c>
      <c r="P1211" t="str">
        <f>IF(Table13[[#This Row],[Good_Qty]]&gt;=Table13[[#This Row],[Planned_Production]],"Met","Not Met")</f>
        <v>Met</v>
      </c>
      <c r="Q1211">
        <f>Table13[[#This Row],[Good_Qty]]-Table13[[#This Row],[Planned_Production]]</f>
        <v>129</v>
      </c>
      <c r="R1211" s="3">
        <f>IF(Table13[[#This Row],[Actual_Qty]]=0,0,Table13[[#This Row],[Reject_Qty]]/Table13[[#This Row],[Actual_Qty]])</f>
        <v>7.4183976261127599E-3</v>
      </c>
      <c r="S1211">
        <v>435.53</v>
      </c>
      <c r="T1211">
        <f>(Table13[[#This Row],[Ideal_Cycle_Time_sec]]*Table13[[#This Row],[Actual_Qty]])/(Table13[[#This Row],[Operational_Time_min]]*60)</f>
        <v>0.51584659303989777</v>
      </c>
      <c r="U1211">
        <f>Table13[[#This Row],[Good_Qty]]/Table13[[#This Row],[Actual_Qty]]</f>
        <v>0.99258160237388726</v>
      </c>
      <c r="V1211" t="str">
        <f>IF(OR(Table13[[#This Row],[Performance_%]]&gt;=1,Table13[[#This Row],[Performance_%]]&lt;=0),"Error","OK")</f>
        <v>OK</v>
      </c>
      <c r="W1211" t="str">
        <f>IF(OR(Table13[[#This Row],[Quality_%]]&gt;=1,Table13[[#This Row],[Quality_%]]&lt;=0),"Error","OK")</f>
        <v>OK</v>
      </c>
      <c r="X1211">
        <f>Table13[[#This Row],[Performance_%]]*Table13[[#This Row],[Quality_%]]*[2]Availability_KPI!K1211</f>
        <v>0.49555555555555553</v>
      </c>
      <c r="Y1211" t="str">
        <f>IF(OR(Table13[[#This Row],[OEE_%]]&gt;1,Table13[[#This Row],[OEE_%]]&lt;0),"Error","OK")</f>
        <v>OK</v>
      </c>
    </row>
    <row r="1212" spans="1:25" x14ac:dyDescent="0.2">
      <c r="A1212" t="s">
        <v>1413</v>
      </c>
      <c r="B1212" t="s">
        <v>1411</v>
      </c>
      <c r="C1212" s="2">
        <v>46307</v>
      </c>
      <c r="D1212" t="s">
        <v>53</v>
      </c>
      <c r="E1212" t="s">
        <v>35</v>
      </c>
      <c r="F1212" t="s">
        <v>54</v>
      </c>
      <c r="G1212" t="s">
        <v>44</v>
      </c>
      <c r="H1212">
        <v>682</v>
      </c>
      <c r="I1212">
        <v>678</v>
      </c>
      <c r="J1212">
        <v>4</v>
      </c>
      <c r="K1212">
        <v>22</v>
      </c>
      <c r="L1212">
        <v>23.61</v>
      </c>
      <c r="M1212">
        <v>268.36</v>
      </c>
      <c r="N1212">
        <f>_xlfn.XLOOKUP(Table13[[#This Row],[Production_Order_ID]],[1]Sheet1!$A$2:$A$391,[1]Sheet1!$F$2:$F$391,"No Match")</f>
        <v>540</v>
      </c>
      <c r="O1212" s="3">
        <f>Table13[[#This Row],[Good_Qty]]/Table13[[#This Row],[Planned_Production]]</f>
        <v>1.2555555555555555</v>
      </c>
      <c r="P1212" t="str">
        <f>IF(Table13[[#This Row],[Good_Qty]]&gt;=Table13[[#This Row],[Planned_Production]],"Met","Not Met")</f>
        <v>Met</v>
      </c>
      <c r="Q1212">
        <f>Table13[[#This Row],[Good_Qty]]-Table13[[#This Row],[Planned_Production]]</f>
        <v>138</v>
      </c>
      <c r="R1212" s="3">
        <f>IF(Table13[[#This Row],[Actual_Qty]]=0,0,Table13[[#This Row],[Reject_Qty]]/Table13[[#This Row],[Actual_Qty]])</f>
        <v>5.8651026392961877E-3</v>
      </c>
      <c r="S1212">
        <v>431.01</v>
      </c>
      <c r="T1212">
        <f>(Table13[[#This Row],[Ideal_Cycle_Time_sec]]*Table13[[#This Row],[Actual_Qty]])/(Table13[[#This Row],[Operational_Time_min]]*60)</f>
        <v>0.58018762132355783</v>
      </c>
      <c r="U1212">
        <f>Table13[[#This Row],[Good_Qty]]/Table13[[#This Row],[Actual_Qty]]</f>
        <v>0.99413489736070382</v>
      </c>
      <c r="V1212" t="str">
        <f>IF(OR(Table13[[#This Row],[Performance_%]]&gt;=1,Table13[[#This Row],[Performance_%]]&lt;=0),"Error","OK")</f>
        <v>OK</v>
      </c>
      <c r="W1212" t="str">
        <f>IF(OR(Table13[[#This Row],[Quality_%]]&gt;=1,Table13[[#This Row],[Quality_%]]&lt;=0),"Error","OK")</f>
        <v>OK</v>
      </c>
      <c r="X1212">
        <f>Table13[[#This Row],[Performance_%]]*Table13[[#This Row],[Quality_%]]*[2]Availability_KPI!K1212</f>
        <v>0.5524444444444444</v>
      </c>
      <c r="Y1212" t="str">
        <f>IF(OR(Table13[[#This Row],[OEE_%]]&gt;1,Table13[[#This Row],[OEE_%]]&lt;0),"Error","OK")</f>
        <v>OK</v>
      </c>
    </row>
    <row r="1213" spans="1:25" x14ac:dyDescent="0.2">
      <c r="A1213" t="s">
        <v>1414</v>
      </c>
      <c r="B1213" t="s">
        <v>1411</v>
      </c>
      <c r="C1213" s="2">
        <v>46307</v>
      </c>
      <c r="D1213" t="s">
        <v>53</v>
      </c>
      <c r="E1213" t="s">
        <v>38</v>
      </c>
      <c r="F1213" t="s">
        <v>54</v>
      </c>
      <c r="G1213" t="s">
        <v>33</v>
      </c>
      <c r="H1213">
        <v>684</v>
      </c>
      <c r="I1213">
        <v>681</v>
      </c>
      <c r="J1213">
        <v>3</v>
      </c>
      <c r="K1213">
        <v>20</v>
      </c>
      <c r="L1213">
        <v>20.69</v>
      </c>
      <c r="M1213">
        <v>235.91</v>
      </c>
      <c r="N1213">
        <f>_xlfn.XLOOKUP(Table13[[#This Row],[Production_Order_ID]],[1]Sheet1!$A$2:$A$391,[1]Sheet1!$F$2:$F$391,"No Match")</f>
        <v>540</v>
      </c>
      <c r="O1213" s="3">
        <f>Table13[[#This Row],[Good_Qty]]/Table13[[#This Row],[Planned_Production]]</f>
        <v>1.2611111111111111</v>
      </c>
      <c r="P1213" t="str">
        <f>IF(Table13[[#This Row],[Good_Qty]]&gt;=Table13[[#This Row],[Planned_Production]],"Met","Not Met")</f>
        <v>Met</v>
      </c>
      <c r="Q1213">
        <f>Table13[[#This Row],[Good_Qty]]-Table13[[#This Row],[Planned_Production]]</f>
        <v>141</v>
      </c>
      <c r="R1213" s="3">
        <f>IF(Table13[[#This Row],[Actual_Qty]]=0,0,Table13[[#This Row],[Reject_Qty]]/Table13[[#This Row],[Actual_Qty]])</f>
        <v>4.3859649122807015E-3</v>
      </c>
      <c r="S1213">
        <v>435.59</v>
      </c>
      <c r="T1213">
        <f>(Table13[[#This Row],[Ideal_Cycle_Time_sec]]*Table13[[#This Row],[Actual_Qty]])/(Table13[[#This Row],[Operational_Time_min]]*60)</f>
        <v>0.52342799421474329</v>
      </c>
      <c r="U1213">
        <f>Table13[[#This Row],[Good_Qty]]/Table13[[#This Row],[Actual_Qty]]</f>
        <v>0.99561403508771928</v>
      </c>
      <c r="V1213" t="str">
        <f>IF(OR(Table13[[#This Row],[Performance_%]]&gt;=1,Table13[[#This Row],[Performance_%]]&lt;=0),"Error","OK")</f>
        <v>OK</v>
      </c>
      <c r="W1213" t="str">
        <f>IF(OR(Table13[[#This Row],[Quality_%]]&gt;=1,Table13[[#This Row],[Quality_%]]&lt;=0),"Error","OK")</f>
        <v>OK</v>
      </c>
      <c r="X1213">
        <f>Table13[[#This Row],[Performance_%]]*Table13[[#This Row],[Quality_%]]*[2]Availability_KPI!K1213</f>
        <v>0.50444444444444447</v>
      </c>
      <c r="Y1213" t="str">
        <f>IF(OR(Table13[[#This Row],[OEE_%]]&gt;1,Table13[[#This Row],[OEE_%]]&lt;0),"Error","OK")</f>
        <v>OK</v>
      </c>
    </row>
    <row r="1214" spans="1:25" x14ac:dyDescent="0.2">
      <c r="A1214" t="s">
        <v>1415</v>
      </c>
      <c r="B1214" t="s">
        <v>1411</v>
      </c>
      <c r="C1214" s="2">
        <v>46307</v>
      </c>
      <c r="D1214" t="s">
        <v>53</v>
      </c>
      <c r="E1214" t="s">
        <v>41</v>
      </c>
      <c r="F1214" t="s">
        <v>54</v>
      </c>
      <c r="G1214" t="s">
        <v>30</v>
      </c>
      <c r="H1214">
        <v>679</v>
      </c>
      <c r="I1214">
        <v>674</v>
      </c>
      <c r="J1214">
        <v>5</v>
      </c>
      <c r="K1214">
        <v>18</v>
      </c>
      <c r="L1214">
        <v>18.29</v>
      </c>
      <c r="M1214">
        <v>207.02</v>
      </c>
      <c r="N1214">
        <f>_xlfn.XLOOKUP(Table13[[#This Row],[Production_Order_ID]],[1]Sheet1!$A$2:$A$391,[1]Sheet1!$F$2:$F$391,"No Match")</f>
        <v>540</v>
      </c>
      <c r="O1214" s="3">
        <f>Table13[[#This Row],[Good_Qty]]/Table13[[#This Row],[Planned_Production]]</f>
        <v>1.2481481481481482</v>
      </c>
      <c r="P1214" t="str">
        <f>IF(Table13[[#This Row],[Good_Qty]]&gt;=Table13[[#This Row],[Planned_Production]],"Met","Not Met")</f>
        <v>Met</v>
      </c>
      <c r="Q1214">
        <f>Table13[[#This Row],[Good_Qty]]-Table13[[#This Row],[Planned_Production]]</f>
        <v>134</v>
      </c>
      <c r="R1214" s="3">
        <f>IF(Table13[[#This Row],[Actual_Qty]]=0,0,Table13[[#This Row],[Reject_Qty]]/Table13[[#This Row],[Actual_Qty]])</f>
        <v>7.3637702503681884E-3</v>
      </c>
      <c r="S1214">
        <v>437.92</v>
      </c>
      <c r="T1214">
        <f>(Table13[[#This Row],[Ideal_Cycle_Time_sec]]*Table13[[#This Row],[Actual_Qty]])/(Table13[[#This Row],[Operational_Time_min]]*60)</f>
        <v>0.46515345268542196</v>
      </c>
      <c r="U1214">
        <f>Table13[[#This Row],[Good_Qty]]/Table13[[#This Row],[Actual_Qty]]</f>
        <v>0.99263622974963184</v>
      </c>
      <c r="V1214" t="str">
        <f>IF(OR(Table13[[#This Row],[Performance_%]]&gt;=1,Table13[[#This Row],[Performance_%]]&lt;=0),"Error","OK")</f>
        <v>OK</v>
      </c>
      <c r="W1214" t="str">
        <f>IF(OR(Table13[[#This Row],[Quality_%]]&gt;=1,Table13[[#This Row],[Quality_%]]&lt;=0),"Error","OK")</f>
        <v>OK</v>
      </c>
      <c r="X1214">
        <f>Table13[[#This Row],[Performance_%]]*Table13[[#This Row],[Quality_%]]*[2]Availability_KPI!K1214</f>
        <v>0.44933333333333331</v>
      </c>
      <c r="Y1214" t="str">
        <f>IF(OR(Table13[[#This Row],[OEE_%]]&gt;1,Table13[[#This Row],[OEE_%]]&lt;0),"Error","OK")</f>
        <v>OK</v>
      </c>
    </row>
    <row r="1215" spans="1:25" x14ac:dyDescent="0.2">
      <c r="A1215" t="s">
        <v>1416</v>
      </c>
      <c r="B1215" t="s">
        <v>1411</v>
      </c>
      <c r="C1215" s="2">
        <v>46307</v>
      </c>
      <c r="D1215" t="s">
        <v>53</v>
      </c>
      <c r="E1215" t="s">
        <v>43</v>
      </c>
      <c r="F1215" t="s">
        <v>54</v>
      </c>
      <c r="G1215" t="s">
        <v>36</v>
      </c>
      <c r="H1215">
        <v>671</v>
      </c>
      <c r="I1215">
        <v>662</v>
      </c>
      <c r="J1215">
        <v>9</v>
      </c>
      <c r="K1215">
        <v>32</v>
      </c>
      <c r="L1215">
        <v>34.32</v>
      </c>
      <c r="M1215">
        <v>383.8</v>
      </c>
      <c r="N1215">
        <f>_xlfn.XLOOKUP(Table13[[#This Row],[Production_Order_ID]],[1]Sheet1!$A$2:$A$391,[1]Sheet1!$F$2:$F$391,"No Match")</f>
        <v>540</v>
      </c>
      <c r="O1215" s="3">
        <f>Table13[[#This Row],[Good_Qty]]/Table13[[#This Row],[Planned_Production]]</f>
        <v>1.2259259259259259</v>
      </c>
      <c r="P1215" t="str">
        <f>IF(Table13[[#This Row],[Good_Qty]]&gt;=Table13[[#This Row],[Planned_Production]],"Met","Not Met")</f>
        <v>Met</v>
      </c>
      <c r="Q1215">
        <f>Table13[[#This Row],[Good_Qty]]-Table13[[#This Row],[Planned_Production]]</f>
        <v>122</v>
      </c>
      <c r="R1215" s="3">
        <f>IF(Table13[[#This Row],[Actual_Qty]]=0,0,Table13[[#This Row],[Reject_Qty]]/Table13[[#This Row],[Actual_Qty]])</f>
        <v>1.3412816691505217E-2</v>
      </c>
      <c r="S1215">
        <v>404.33</v>
      </c>
      <c r="T1215">
        <f>(Table13[[#This Row],[Ideal_Cycle_Time_sec]]*Table13[[#This Row],[Actual_Qty]])/(Table13[[#This Row],[Operational_Time_min]]*60)</f>
        <v>0.88508561488553084</v>
      </c>
      <c r="U1215">
        <f>Table13[[#This Row],[Good_Qty]]/Table13[[#This Row],[Actual_Qty]]</f>
        <v>0.98658718330849482</v>
      </c>
      <c r="V1215" t="str">
        <f>IF(OR(Table13[[#This Row],[Performance_%]]&gt;=1,Table13[[#This Row],[Performance_%]]&lt;=0),"Error","OK")</f>
        <v>OK</v>
      </c>
      <c r="W1215" t="str">
        <f>IF(OR(Table13[[#This Row],[Quality_%]]&gt;=1,Table13[[#This Row],[Quality_%]]&lt;=0),"Error","OK")</f>
        <v>OK</v>
      </c>
      <c r="X1215">
        <f>Table13[[#This Row],[Performance_%]]*Table13[[#This Row],[Quality_%]]*[2]Availability_KPI!K1215</f>
        <v>0.78459259259259262</v>
      </c>
      <c r="Y1215" t="str">
        <f>IF(OR(Table13[[#This Row],[OEE_%]]&gt;1,Table13[[#This Row],[OEE_%]]&lt;0),"Error","OK")</f>
        <v>OK</v>
      </c>
    </row>
    <row r="1216" spans="1:25" x14ac:dyDescent="0.2">
      <c r="A1216" t="s">
        <v>1417</v>
      </c>
      <c r="B1216" t="s">
        <v>1411</v>
      </c>
      <c r="C1216" s="2">
        <v>46307</v>
      </c>
      <c r="D1216" t="s">
        <v>53</v>
      </c>
      <c r="E1216" t="s">
        <v>46</v>
      </c>
      <c r="F1216" t="s">
        <v>54</v>
      </c>
      <c r="G1216" t="s">
        <v>30</v>
      </c>
      <c r="H1216">
        <v>673</v>
      </c>
      <c r="I1216">
        <v>665</v>
      </c>
      <c r="J1216">
        <v>8</v>
      </c>
      <c r="K1216">
        <v>25</v>
      </c>
      <c r="L1216">
        <v>26.79</v>
      </c>
      <c r="M1216">
        <v>300.52999999999997</v>
      </c>
      <c r="N1216">
        <f>_xlfn.XLOOKUP(Table13[[#This Row],[Production_Order_ID]],[1]Sheet1!$A$2:$A$391,[1]Sheet1!$F$2:$F$391,"No Match")</f>
        <v>540</v>
      </c>
      <c r="O1216" s="3">
        <f>Table13[[#This Row],[Good_Qty]]/Table13[[#This Row],[Planned_Production]]</f>
        <v>1.2314814814814814</v>
      </c>
      <c r="P1216" t="str">
        <f>IF(Table13[[#This Row],[Good_Qty]]&gt;=Table13[[#This Row],[Planned_Production]],"Met","Not Met")</f>
        <v>Met</v>
      </c>
      <c r="Q1216">
        <f>Table13[[#This Row],[Good_Qty]]-Table13[[#This Row],[Planned_Production]]</f>
        <v>125</v>
      </c>
      <c r="R1216" s="3">
        <f>IF(Table13[[#This Row],[Actual_Qty]]=0,0,Table13[[#This Row],[Reject_Qty]]/Table13[[#This Row],[Actual_Qty]])</f>
        <v>1.188707280832095E-2</v>
      </c>
      <c r="S1216">
        <v>422.7</v>
      </c>
      <c r="T1216">
        <f>(Table13[[#This Row],[Ideal_Cycle_Time_sec]]*Table13[[#This Row],[Actual_Qty]])/(Table13[[#This Row],[Operational_Time_min]]*60)</f>
        <v>0.66339405409668006</v>
      </c>
      <c r="U1216">
        <f>Table13[[#This Row],[Good_Qty]]/Table13[[#This Row],[Actual_Qty]]</f>
        <v>0.98811292719167909</v>
      </c>
      <c r="V1216" t="str">
        <f>IF(OR(Table13[[#This Row],[Performance_%]]&gt;=1,Table13[[#This Row],[Performance_%]]&lt;=0),"Error","OK")</f>
        <v>OK</v>
      </c>
      <c r="W1216" t="str">
        <f>IF(OR(Table13[[#This Row],[Quality_%]]&gt;=1,Table13[[#This Row],[Quality_%]]&lt;=0),"Error","OK")</f>
        <v>OK</v>
      </c>
      <c r="X1216">
        <f>Table13[[#This Row],[Performance_%]]*Table13[[#This Row],[Quality_%]]*[2]Availability_KPI!K1216</f>
        <v>0.61574074074074081</v>
      </c>
      <c r="Y1216" t="str">
        <f>IF(OR(Table13[[#This Row],[OEE_%]]&gt;1,Table13[[#This Row],[OEE_%]]&lt;0),"Error","OK")</f>
        <v>OK</v>
      </c>
    </row>
    <row r="1217" spans="1:25" x14ac:dyDescent="0.2">
      <c r="A1217" t="s">
        <v>1418</v>
      </c>
      <c r="B1217" t="s">
        <v>1411</v>
      </c>
      <c r="C1217" s="2">
        <v>46307</v>
      </c>
      <c r="D1217" t="s">
        <v>53</v>
      </c>
      <c r="E1217" t="s">
        <v>49</v>
      </c>
      <c r="F1217" t="s">
        <v>54</v>
      </c>
      <c r="G1217" t="s">
        <v>71</v>
      </c>
      <c r="H1217">
        <v>688</v>
      </c>
      <c r="I1217">
        <v>685</v>
      </c>
      <c r="J1217">
        <v>3</v>
      </c>
      <c r="K1217">
        <v>20</v>
      </c>
      <c r="L1217">
        <v>20.28</v>
      </c>
      <c r="M1217">
        <v>232.49</v>
      </c>
      <c r="N1217">
        <f>_xlfn.XLOOKUP(Table13[[#This Row],[Production_Order_ID]],[1]Sheet1!$A$2:$A$391,[1]Sheet1!$F$2:$F$391,"No Match")</f>
        <v>540</v>
      </c>
      <c r="O1217" s="3">
        <f>Table13[[#This Row],[Good_Qty]]/Table13[[#This Row],[Planned_Production]]</f>
        <v>1.2685185185185186</v>
      </c>
      <c r="P1217" t="str">
        <f>IF(Table13[[#This Row],[Good_Qty]]&gt;=Table13[[#This Row],[Planned_Production]],"Met","Not Met")</f>
        <v>Met</v>
      </c>
      <c r="Q1217">
        <f>Table13[[#This Row],[Good_Qty]]-Table13[[#This Row],[Planned_Production]]</f>
        <v>145</v>
      </c>
      <c r="R1217" s="3">
        <f>IF(Table13[[#This Row],[Actual_Qty]]=0,0,Table13[[#This Row],[Reject_Qty]]/Table13[[#This Row],[Actual_Qty]])</f>
        <v>4.3604651162790697E-3</v>
      </c>
      <c r="S1217">
        <v>441.13</v>
      </c>
      <c r="T1217">
        <f>(Table13[[#This Row],[Ideal_Cycle_Time_sec]]*Table13[[#This Row],[Actual_Qty]])/(Table13[[#This Row],[Operational_Time_min]]*60)</f>
        <v>0.51987698259772253</v>
      </c>
      <c r="U1217">
        <f>Table13[[#This Row],[Good_Qty]]/Table13[[#This Row],[Actual_Qty]]</f>
        <v>0.99563953488372092</v>
      </c>
      <c r="V1217" t="str">
        <f>IF(OR(Table13[[#This Row],[Performance_%]]&gt;=1,Table13[[#This Row],[Performance_%]]&lt;=0),"Error","OK")</f>
        <v>OK</v>
      </c>
      <c r="W1217" t="str">
        <f>IF(OR(Table13[[#This Row],[Quality_%]]&gt;=1,Table13[[#This Row],[Quality_%]]&lt;=0),"Error","OK")</f>
        <v>OK</v>
      </c>
      <c r="X1217">
        <f>Table13[[#This Row],[Performance_%]]*Table13[[#This Row],[Quality_%]]*[2]Availability_KPI!K1217</f>
        <v>0.50740740740740731</v>
      </c>
      <c r="Y1217" t="str">
        <f>IF(OR(Table13[[#This Row],[OEE_%]]&gt;1,Table13[[#This Row],[OEE_%]]&lt;0),"Error","OK")</f>
        <v>OK</v>
      </c>
    </row>
    <row r="1218" spans="1:25" x14ac:dyDescent="0.2">
      <c r="A1218" t="s">
        <v>1419</v>
      </c>
      <c r="B1218" t="s">
        <v>1420</v>
      </c>
      <c r="C1218" s="2">
        <v>46307</v>
      </c>
      <c r="D1218" t="s">
        <v>67</v>
      </c>
      <c r="E1218" t="s">
        <v>28</v>
      </c>
      <c r="F1218" t="s">
        <v>29</v>
      </c>
      <c r="G1218" t="s">
        <v>50</v>
      </c>
      <c r="H1218">
        <v>604</v>
      </c>
      <c r="I1218">
        <v>602</v>
      </c>
      <c r="J1218">
        <v>2</v>
      </c>
      <c r="K1218">
        <v>19.8</v>
      </c>
      <c r="L1218">
        <v>20.12</v>
      </c>
      <c r="M1218">
        <v>202.51</v>
      </c>
      <c r="N1218">
        <f>_xlfn.XLOOKUP(Table13[[#This Row],[Production_Order_ID]],[1]Sheet1!$A$2:$A$391,[1]Sheet1!$F$2:$F$391,"No Match")</f>
        <v>610</v>
      </c>
      <c r="O1218" s="3">
        <f>Table13[[#This Row],[Good_Qty]]/Table13[[#This Row],[Planned_Production]]</f>
        <v>0.9868852459016394</v>
      </c>
      <c r="P1218" t="str">
        <f>IF(Table13[[#This Row],[Good_Qty]]&gt;=Table13[[#This Row],[Planned_Production]],"Met","Not Met")</f>
        <v>Not Met</v>
      </c>
      <c r="Q1218">
        <f>Table13[[#This Row],[Good_Qty]]-Table13[[#This Row],[Planned_Production]]</f>
        <v>-8</v>
      </c>
      <c r="R1218" s="3">
        <f>IF(Table13[[#This Row],[Actual_Qty]]=0,0,Table13[[#This Row],[Reject_Qty]]/Table13[[#This Row],[Actual_Qty]])</f>
        <v>3.3112582781456954E-3</v>
      </c>
      <c r="S1218">
        <v>439.25</v>
      </c>
      <c r="T1218">
        <f>(Table13[[#This Row],[Ideal_Cycle_Time_sec]]*Table13[[#This Row],[Actual_Qty]])/(Table13[[#This Row],[Operational_Time_min]]*60)</f>
        <v>0.45377347751849745</v>
      </c>
      <c r="U1218">
        <f>Table13[[#This Row],[Good_Qty]]/Table13[[#This Row],[Actual_Qty]]</f>
        <v>0.99668874172185429</v>
      </c>
      <c r="V1218" t="str">
        <f>IF(OR(Table13[[#This Row],[Performance_%]]&gt;=1,Table13[[#This Row],[Performance_%]]&lt;=0),"Error","OK")</f>
        <v>OK</v>
      </c>
      <c r="W1218" t="str">
        <f>IF(OR(Table13[[#This Row],[Quality_%]]&gt;=1,Table13[[#This Row],[Quality_%]]&lt;=0),"Error","OK")</f>
        <v>OK</v>
      </c>
      <c r="X1218">
        <f>Table13[[#This Row],[Performance_%]]*Table13[[#This Row],[Quality_%]]*[2]Availability_KPI!K1218</f>
        <v>0.44146666666666673</v>
      </c>
      <c r="Y1218" t="str">
        <f>IF(OR(Table13[[#This Row],[OEE_%]]&gt;1,Table13[[#This Row],[OEE_%]]&lt;0),"Error","OK")</f>
        <v>OK</v>
      </c>
    </row>
    <row r="1219" spans="1:25" x14ac:dyDescent="0.2">
      <c r="A1219" t="s">
        <v>1421</v>
      </c>
      <c r="B1219" t="s">
        <v>1420</v>
      </c>
      <c r="C1219" s="2">
        <v>46307</v>
      </c>
      <c r="D1219" t="s">
        <v>67</v>
      </c>
      <c r="E1219" t="s">
        <v>32</v>
      </c>
      <c r="F1219" t="s">
        <v>29</v>
      </c>
      <c r="G1219" t="s">
        <v>57</v>
      </c>
      <c r="H1219">
        <v>614</v>
      </c>
      <c r="I1219">
        <v>611</v>
      </c>
      <c r="J1219">
        <v>3</v>
      </c>
      <c r="K1219">
        <v>22</v>
      </c>
      <c r="L1219">
        <v>22.62</v>
      </c>
      <c r="M1219">
        <v>231.47</v>
      </c>
      <c r="N1219">
        <f>_xlfn.XLOOKUP(Table13[[#This Row],[Production_Order_ID]],[1]Sheet1!$A$2:$A$391,[1]Sheet1!$F$2:$F$391,"No Match")</f>
        <v>610</v>
      </c>
      <c r="O1219" s="3">
        <f>Table13[[#This Row],[Good_Qty]]/Table13[[#This Row],[Planned_Production]]</f>
        <v>1.0016393442622951</v>
      </c>
      <c r="P1219" t="str">
        <f>IF(Table13[[#This Row],[Good_Qty]]&gt;=Table13[[#This Row],[Planned_Production]],"Met","Not Met")</f>
        <v>Met</v>
      </c>
      <c r="Q1219">
        <f>Table13[[#This Row],[Good_Qty]]-Table13[[#This Row],[Planned_Production]]</f>
        <v>1</v>
      </c>
      <c r="R1219" s="3">
        <f>IF(Table13[[#This Row],[Actual_Qty]]=0,0,Table13[[#This Row],[Reject_Qty]]/Table13[[#This Row],[Actual_Qty]])</f>
        <v>4.8859934853420191E-3</v>
      </c>
      <c r="S1219">
        <v>436.38</v>
      </c>
      <c r="T1219">
        <f>(Table13[[#This Row],[Ideal_Cycle_Time_sec]]*Table13[[#This Row],[Actual_Qty]])/(Table13[[#This Row],[Operational_Time_min]]*60)</f>
        <v>0.51591120888522235</v>
      </c>
      <c r="U1219">
        <f>Table13[[#This Row],[Good_Qty]]/Table13[[#This Row],[Actual_Qty]]</f>
        <v>0.99511400651465798</v>
      </c>
      <c r="V1219" t="str">
        <f>IF(OR(Table13[[#This Row],[Performance_%]]&gt;=1,Table13[[#This Row],[Performance_%]]&lt;=0),"Error","OK")</f>
        <v>OK</v>
      </c>
      <c r="W1219" t="str">
        <f>IF(OR(Table13[[#This Row],[Quality_%]]&gt;=1,Table13[[#This Row],[Quality_%]]&lt;=0),"Error","OK")</f>
        <v>OK</v>
      </c>
      <c r="X1219">
        <f>Table13[[#This Row],[Performance_%]]*Table13[[#This Row],[Quality_%]]*[2]Availability_KPI!K1219</f>
        <v>0.49785185185185188</v>
      </c>
      <c r="Y1219" t="str">
        <f>IF(OR(Table13[[#This Row],[OEE_%]]&gt;1,Table13[[#This Row],[OEE_%]]&lt;0),"Error","OK")</f>
        <v>OK</v>
      </c>
    </row>
    <row r="1220" spans="1:25" x14ac:dyDescent="0.2">
      <c r="A1220" t="s">
        <v>1422</v>
      </c>
      <c r="B1220" t="s">
        <v>1420</v>
      </c>
      <c r="C1220" s="2">
        <v>46307</v>
      </c>
      <c r="D1220" t="s">
        <v>67</v>
      </c>
      <c r="E1220" t="s">
        <v>35</v>
      </c>
      <c r="F1220" t="s">
        <v>29</v>
      </c>
      <c r="G1220" t="s">
        <v>61</v>
      </c>
      <c r="H1220">
        <v>603</v>
      </c>
      <c r="I1220">
        <v>594</v>
      </c>
      <c r="J1220">
        <v>9</v>
      </c>
      <c r="K1220">
        <v>24.2</v>
      </c>
      <c r="L1220">
        <v>26.14</v>
      </c>
      <c r="M1220">
        <v>262.70999999999998</v>
      </c>
      <c r="N1220">
        <f>_xlfn.XLOOKUP(Table13[[#This Row],[Production_Order_ID]],[1]Sheet1!$A$2:$A$391,[1]Sheet1!$F$2:$F$391,"No Match")</f>
        <v>610</v>
      </c>
      <c r="O1220" s="3">
        <f>Table13[[#This Row],[Good_Qty]]/Table13[[#This Row],[Planned_Production]]</f>
        <v>0.97377049180327868</v>
      </c>
      <c r="P1220" t="str">
        <f>IF(Table13[[#This Row],[Good_Qty]]&gt;=Table13[[#This Row],[Planned_Production]],"Met","Not Met")</f>
        <v>Not Met</v>
      </c>
      <c r="Q1220">
        <f>Table13[[#This Row],[Good_Qty]]-Table13[[#This Row],[Planned_Production]]</f>
        <v>-16</v>
      </c>
      <c r="R1220" s="3">
        <f>IF(Table13[[#This Row],[Actual_Qty]]=0,0,Table13[[#This Row],[Reject_Qty]]/Table13[[#This Row],[Actual_Qty]])</f>
        <v>1.4925373134328358E-2</v>
      </c>
      <c r="S1220">
        <v>437.05</v>
      </c>
      <c r="T1220">
        <f>(Table13[[#This Row],[Ideal_Cycle_Time_sec]]*Table13[[#This Row],[Actual_Qty]])/(Table13[[#This Row],[Operational_Time_min]]*60)</f>
        <v>0.55648095183617441</v>
      </c>
      <c r="U1220">
        <f>Table13[[#This Row],[Good_Qty]]/Table13[[#This Row],[Actual_Qty]]</f>
        <v>0.9850746268656716</v>
      </c>
      <c r="V1220" t="str">
        <f>IF(OR(Table13[[#This Row],[Performance_%]]&gt;=1,Table13[[#This Row],[Performance_%]]&lt;=0),"Error","OK")</f>
        <v>OK</v>
      </c>
      <c r="W1220" t="str">
        <f>IF(OR(Table13[[#This Row],[Quality_%]]&gt;=1,Table13[[#This Row],[Quality_%]]&lt;=0),"Error","OK")</f>
        <v>OK</v>
      </c>
      <c r="X1220">
        <f>Table13[[#This Row],[Performance_%]]*Table13[[#This Row],[Quality_%]]*[2]Availability_KPI!K1220</f>
        <v>0.53239999999999998</v>
      </c>
      <c r="Y1220" t="str">
        <f>IF(OR(Table13[[#This Row],[OEE_%]]&gt;1,Table13[[#This Row],[OEE_%]]&lt;0),"Error","OK")</f>
        <v>OK</v>
      </c>
    </row>
    <row r="1221" spans="1:25" x14ac:dyDescent="0.2">
      <c r="A1221" t="s">
        <v>1423</v>
      </c>
      <c r="B1221" t="s">
        <v>1420</v>
      </c>
      <c r="C1221" s="2">
        <v>46307</v>
      </c>
      <c r="D1221" t="s">
        <v>67</v>
      </c>
      <c r="E1221" t="s">
        <v>38</v>
      </c>
      <c r="F1221" t="s">
        <v>29</v>
      </c>
      <c r="G1221" t="s">
        <v>39</v>
      </c>
      <c r="H1221">
        <v>603</v>
      </c>
      <c r="I1221">
        <v>601</v>
      </c>
      <c r="J1221">
        <v>2</v>
      </c>
      <c r="K1221">
        <v>22</v>
      </c>
      <c r="L1221">
        <v>23.35</v>
      </c>
      <c r="M1221">
        <v>234.63</v>
      </c>
      <c r="N1221">
        <f>_xlfn.XLOOKUP(Table13[[#This Row],[Production_Order_ID]],[1]Sheet1!$A$2:$A$391,[1]Sheet1!$F$2:$F$391,"No Match")</f>
        <v>610</v>
      </c>
      <c r="O1221" s="3">
        <f>Table13[[#This Row],[Good_Qty]]/Table13[[#This Row],[Planned_Production]]</f>
        <v>0.98524590163934422</v>
      </c>
      <c r="P1221" t="str">
        <f>IF(Table13[[#This Row],[Good_Qty]]&gt;=Table13[[#This Row],[Planned_Production]],"Met","Not Met")</f>
        <v>Not Met</v>
      </c>
      <c r="Q1221">
        <f>Table13[[#This Row],[Good_Qty]]-Table13[[#This Row],[Planned_Production]]</f>
        <v>-9</v>
      </c>
      <c r="R1221" s="3">
        <f>IF(Table13[[#This Row],[Actual_Qty]]=0,0,Table13[[#This Row],[Reject_Qty]]/Table13[[#This Row],[Actual_Qty]])</f>
        <v>3.3167495854063019E-3</v>
      </c>
      <c r="S1221">
        <v>440.39</v>
      </c>
      <c r="T1221">
        <f>(Table13[[#This Row],[Ideal_Cycle_Time_sec]]*Table13[[#This Row],[Actual_Qty]])/(Table13[[#This Row],[Operational_Time_min]]*60)</f>
        <v>0.5020549967074639</v>
      </c>
      <c r="U1221">
        <f>Table13[[#This Row],[Good_Qty]]/Table13[[#This Row],[Actual_Qty]]</f>
        <v>0.99668325041459371</v>
      </c>
      <c r="V1221" t="str">
        <f>IF(OR(Table13[[#This Row],[Performance_%]]&gt;=1,Table13[[#This Row],[Performance_%]]&lt;=0),"Error","OK")</f>
        <v>OK</v>
      </c>
      <c r="W1221" t="str">
        <f>IF(OR(Table13[[#This Row],[Quality_%]]&gt;=1,Table13[[#This Row],[Quality_%]]&lt;=0),"Error","OK")</f>
        <v>OK</v>
      </c>
      <c r="X1221">
        <f>Table13[[#This Row],[Performance_%]]*Table13[[#This Row],[Quality_%]]*[2]Availability_KPI!K1221</f>
        <v>0.48970370370370375</v>
      </c>
      <c r="Y1221" t="str">
        <f>IF(OR(Table13[[#This Row],[OEE_%]]&gt;1,Table13[[#This Row],[OEE_%]]&lt;0),"Error","OK")</f>
        <v>OK</v>
      </c>
    </row>
    <row r="1222" spans="1:25" x14ac:dyDescent="0.2">
      <c r="A1222" t="s">
        <v>1424</v>
      </c>
      <c r="B1222" t="s">
        <v>1420</v>
      </c>
      <c r="C1222" s="2">
        <v>46307</v>
      </c>
      <c r="D1222" t="s">
        <v>67</v>
      </c>
      <c r="E1222" t="s">
        <v>41</v>
      </c>
      <c r="F1222" t="s">
        <v>29</v>
      </c>
      <c r="G1222" t="s">
        <v>39</v>
      </c>
      <c r="H1222">
        <v>617</v>
      </c>
      <c r="I1222">
        <v>613</v>
      </c>
      <c r="J1222">
        <v>4</v>
      </c>
      <c r="K1222">
        <v>19.8</v>
      </c>
      <c r="L1222">
        <v>21.51</v>
      </c>
      <c r="M1222">
        <v>221.17</v>
      </c>
      <c r="N1222">
        <f>_xlfn.XLOOKUP(Table13[[#This Row],[Production_Order_ID]],[1]Sheet1!$A$2:$A$391,[1]Sheet1!$F$2:$F$391,"No Match")</f>
        <v>610</v>
      </c>
      <c r="O1222" s="3">
        <f>Table13[[#This Row],[Good_Qty]]/Table13[[#This Row],[Planned_Production]]</f>
        <v>1.0049180327868852</v>
      </c>
      <c r="P1222" t="str">
        <f>IF(Table13[[#This Row],[Good_Qty]]&gt;=Table13[[#This Row],[Planned_Production]],"Met","Not Met")</f>
        <v>Met</v>
      </c>
      <c r="Q1222">
        <f>Table13[[#This Row],[Good_Qty]]-Table13[[#This Row],[Planned_Production]]</f>
        <v>3</v>
      </c>
      <c r="R1222" s="3">
        <f>IF(Table13[[#This Row],[Actual_Qty]]=0,0,Table13[[#This Row],[Reject_Qty]]/Table13[[#This Row],[Actual_Qty]])</f>
        <v>6.4829821717990272E-3</v>
      </c>
      <c r="S1222">
        <v>436.4</v>
      </c>
      <c r="T1222">
        <f>(Table13[[#This Row],[Ideal_Cycle_Time_sec]]*Table13[[#This Row],[Actual_Qty]])/(Table13[[#This Row],[Operational_Time_min]]*60)</f>
        <v>0.4665673693858845</v>
      </c>
      <c r="U1222">
        <f>Table13[[#This Row],[Good_Qty]]/Table13[[#This Row],[Actual_Qty]]</f>
        <v>0.99351701782820101</v>
      </c>
      <c r="V1222" t="str">
        <f>IF(OR(Table13[[#This Row],[Performance_%]]&gt;=1,Table13[[#This Row],[Performance_%]]&lt;=0),"Error","OK")</f>
        <v>OK</v>
      </c>
      <c r="W1222" t="str">
        <f>IF(OR(Table13[[#This Row],[Quality_%]]&gt;=1,Table13[[#This Row],[Quality_%]]&lt;=0),"Error","OK")</f>
        <v>OK</v>
      </c>
      <c r="X1222">
        <f>Table13[[#This Row],[Performance_%]]*Table13[[#This Row],[Quality_%]]*[2]Availability_KPI!K1222</f>
        <v>0.44953333333333334</v>
      </c>
      <c r="Y1222" t="str">
        <f>IF(OR(Table13[[#This Row],[OEE_%]]&gt;1,Table13[[#This Row],[OEE_%]]&lt;0),"Error","OK")</f>
        <v>OK</v>
      </c>
    </row>
    <row r="1223" spans="1:25" x14ac:dyDescent="0.2">
      <c r="A1223" t="s">
        <v>1425</v>
      </c>
      <c r="B1223" t="s">
        <v>1420</v>
      </c>
      <c r="C1223" s="2">
        <v>46307</v>
      </c>
      <c r="D1223" t="s">
        <v>67</v>
      </c>
      <c r="E1223" t="s">
        <v>43</v>
      </c>
      <c r="F1223" t="s">
        <v>29</v>
      </c>
      <c r="G1223" t="s">
        <v>61</v>
      </c>
      <c r="H1223">
        <v>614</v>
      </c>
      <c r="I1223">
        <v>605</v>
      </c>
      <c r="J1223">
        <v>9</v>
      </c>
      <c r="K1223">
        <v>35.200000000000003</v>
      </c>
      <c r="L1223">
        <v>35.96</v>
      </c>
      <c r="M1223">
        <v>368</v>
      </c>
      <c r="N1223">
        <f>_xlfn.XLOOKUP(Table13[[#This Row],[Production_Order_ID]],[1]Sheet1!$A$2:$A$391,[1]Sheet1!$F$2:$F$391,"No Match")</f>
        <v>610</v>
      </c>
      <c r="O1223" s="3">
        <f>Table13[[#This Row],[Good_Qty]]/Table13[[#This Row],[Planned_Production]]</f>
        <v>0.99180327868852458</v>
      </c>
      <c r="P1223" t="str">
        <f>IF(Table13[[#This Row],[Good_Qty]]&gt;=Table13[[#This Row],[Planned_Production]],"Met","Not Met")</f>
        <v>Not Met</v>
      </c>
      <c r="Q1223">
        <f>Table13[[#This Row],[Good_Qty]]-Table13[[#This Row],[Planned_Production]]</f>
        <v>-5</v>
      </c>
      <c r="R1223" s="3">
        <f>IF(Table13[[#This Row],[Actual_Qty]]=0,0,Table13[[#This Row],[Reject_Qty]]/Table13[[#This Row],[Actual_Qty]])</f>
        <v>1.4657980456026058E-2</v>
      </c>
      <c r="S1223">
        <v>411.31</v>
      </c>
      <c r="T1223">
        <f>(Table13[[#This Row],[Ideal_Cycle_Time_sec]]*Table13[[#This Row],[Actual_Qty]])/(Table13[[#This Row],[Operational_Time_min]]*60)</f>
        <v>0.87577091082962588</v>
      </c>
      <c r="U1223">
        <f>Table13[[#This Row],[Good_Qty]]/Table13[[#This Row],[Actual_Qty]]</f>
        <v>0.98534201954397393</v>
      </c>
      <c r="V1223" t="str">
        <f>IF(OR(Table13[[#This Row],[Performance_%]]&gt;=1,Table13[[#This Row],[Performance_%]]&lt;=0),"Error","OK")</f>
        <v>OK</v>
      </c>
      <c r="W1223" t="str">
        <f>IF(OR(Table13[[#This Row],[Quality_%]]&gt;=1,Table13[[#This Row],[Quality_%]]&lt;=0),"Error","OK")</f>
        <v>OK</v>
      </c>
      <c r="X1223">
        <f>Table13[[#This Row],[Performance_%]]*Table13[[#This Row],[Quality_%]]*[2]Availability_KPI!K1223</f>
        <v>0.78874074074074085</v>
      </c>
      <c r="Y1223" t="str">
        <f>IF(OR(Table13[[#This Row],[OEE_%]]&gt;1,Table13[[#This Row],[OEE_%]]&lt;0),"Error","OK")</f>
        <v>OK</v>
      </c>
    </row>
    <row r="1224" spans="1:25" x14ac:dyDescent="0.2">
      <c r="A1224" t="s">
        <v>1426</v>
      </c>
      <c r="B1224" t="s">
        <v>1420</v>
      </c>
      <c r="C1224" s="2">
        <v>46307</v>
      </c>
      <c r="D1224" t="s">
        <v>67</v>
      </c>
      <c r="E1224" t="s">
        <v>46</v>
      </c>
      <c r="F1224" t="s">
        <v>29</v>
      </c>
      <c r="G1224" t="s">
        <v>36</v>
      </c>
      <c r="H1224">
        <v>601</v>
      </c>
      <c r="I1224">
        <v>594</v>
      </c>
      <c r="J1224">
        <v>7</v>
      </c>
      <c r="K1224">
        <v>27.5</v>
      </c>
      <c r="L1224">
        <v>29.11</v>
      </c>
      <c r="M1224">
        <v>291.60000000000002</v>
      </c>
      <c r="N1224">
        <f>_xlfn.XLOOKUP(Table13[[#This Row],[Production_Order_ID]],[1]Sheet1!$A$2:$A$391,[1]Sheet1!$F$2:$F$391,"No Match")</f>
        <v>610</v>
      </c>
      <c r="O1224" s="3">
        <f>Table13[[#This Row],[Good_Qty]]/Table13[[#This Row],[Planned_Production]]</f>
        <v>0.97377049180327868</v>
      </c>
      <c r="P1224" t="str">
        <f>IF(Table13[[#This Row],[Good_Qty]]&gt;=Table13[[#This Row],[Planned_Production]],"Met","Not Met")</f>
        <v>Not Met</v>
      </c>
      <c r="Q1224">
        <f>Table13[[#This Row],[Good_Qty]]-Table13[[#This Row],[Planned_Production]]</f>
        <v>-16</v>
      </c>
      <c r="R1224" s="3">
        <f>IF(Table13[[#This Row],[Actual_Qty]]=0,0,Table13[[#This Row],[Reject_Qty]]/Table13[[#This Row],[Actual_Qty]])</f>
        <v>1.1647254575707155E-2</v>
      </c>
      <c r="S1224">
        <v>423.15999999999997</v>
      </c>
      <c r="T1224">
        <f>(Table13[[#This Row],[Ideal_Cycle_Time_sec]]*Table13[[#This Row],[Actual_Qty]])/(Table13[[#This Row],[Operational_Time_min]]*60)</f>
        <v>0.65095550934240798</v>
      </c>
      <c r="U1224">
        <f>Table13[[#This Row],[Good_Qty]]/Table13[[#This Row],[Actual_Qty]]</f>
        <v>0.98835274542429286</v>
      </c>
      <c r="V1224" t="str">
        <f>IF(OR(Table13[[#This Row],[Performance_%]]&gt;=1,Table13[[#This Row],[Performance_%]]&lt;=0),"Error","OK")</f>
        <v>OK</v>
      </c>
      <c r="W1224" t="str">
        <f>IF(OR(Table13[[#This Row],[Quality_%]]&gt;=1,Table13[[#This Row],[Quality_%]]&lt;=0),"Error","OK")</f>
        <v>OK</v>
      </c>
      <c r="X1224">
        <f>Table13[[#This Row],[Performance_%]]*Table13[[#This Row],[Quality_%]]*[2]Availability_KPI!K1224</f>
        <v>0.60499999999999998</v>
      </c>
      <c r="Y1224" t="str">
        <f>IF(OR(Table13[[#This Row],[OEE_%]]&gt;1,Table13[[#This Row],[OEE_%]]&lt;0),"Error","OK")</f>
        <v>OK</v>
      </c>
    </row>
    <row r="1225" spans="1:25" x14ac:dyDescent="0.2">
      <c r="A1225" t="s">
        <v>1427</v>
      </c>
      <c r="B1225" t="s">
        <v>1420</v>
      </c>
      <c r="C1225" s="2">
        <v>46307</v>
      </c>
      <c r="D1225" t="s">
        <v>67</v>
      </c>
      <c r="E1225" t="s">
        <v>49</v>
      </c>
      <c r="F1225" t="s">
        <v>29</v>
      </c>
      <c r="G1225" t="s">
        <v>50</v>
      </c>
      <c r="H1225">
        <v>610</v>
      </c>
      <c r="I1225">
        <v>609</v>
      </c>
      <c r="J1225">
        <v>1</v>
      </c>
      <c r="K1225">
        <v>22</v>
      </c>
      <c r="L1225">
        <v>22.23</v>
      </c>
      <c r="M1225">
        <v>226.04</v>
      </c>
      <c r="N1225">
        <f>_xlfn.XLOOKUP(Table13[[#This Row],[Production_Order_ID]],[1]Sheet1!$A$2:$A$391,[1]Sheet1!$F$2:$F$391,"No Match")</f>
        <v>610</v>
      </c>
      <c r="O1225" s="3">
        <f>Table13[[#This Row],[Good_Qty]]/Table13[[#This Row],[Planned_Production]]</f>
        <v>0.99836065573770494</v>
      </c>
      <c r="P1225" t="str">
        <f>IF(Table13[[#This Row],[Good_Qty]]&gt;=Table13[[#This Row],[Planned_Production]],"Met","Not Met")</f>
        <v>Not Met</v>
      </c>
      <c r="Q1225">
        <f>Table13[[#This Row],[Good_Qty]]-Table13[[#This Row],[Planned_Production]]</f>
        <v>-1</v>
      </c>
      <c r="R1225" s="3">
        <f>IF(Table13[[#This Row],[Actual_Qty]]=0,0,Table13[[#This Row],[Reject_Qty]]/Table13[[#This Row],[Actual_Qty]])</f>
        <v>1.639344262295082E-3</v>
      </c>
      <c r="S1225">
        <v>439.92</v>
      </c>
      <c r="T1225">
        <f>(Table13[[#This Row],[Ideal_Cycle_Time_sec]]*Table13[[#This Row],[Actual_Qty]])/(Table13[[#This Row],[Operational_Time_min]]*60)</f>
        <v>0.50842577438322123</v>
      </c>
      <c r="U1225">
        <f>Table13[[#This Row],[Good_Qty]]/Table13[[#This Row],[Actual_Qty]]</f>
        <v>0.99836065573770494</v>
      </c>
      <c r="V1225" t="str">
        <f>IF(OR(Table13[[#This Row],[Performance_%]]&gt;=1,Table13[[#This Row],[Performance_%]]&lt;=0),"Error","OK")</f>
        <v>OK</v>
      </c>
      <c r="W1225" t="str">
        <f>IF(OR(Table13[[#This Row],[Quality_%]]&gt;=1,Table13[[#This Row],[Quality_%]]&lt;=0),"Error","OK")</f>
        <v>OK</v>
      </c>
      <c r="X1225">
        <f>Table13[[#This Row],[Performance_%]]*Table13[[#This Row],[Quality_%]]*[2]Availability_KPI!K1225</f>
        <v>0.49622222222222229</v>
      </c>
      <c r="Y1225" t="str">
        <f>IF(OR(Table13[[#This Row],[OEE_%]]&gt;1,Table13[[#This Row],[OEE_%]]&lt;0),"Error","OK")</f>
        <v>OK</v>
      </c>
    </row>
    <row r="1226" spans="1:25" x14ac:dyDescent="0.2">
      <c r="A1226" t="s">
        <v>1428</v>
      </c>
      <c r="B1226" t="s">
        <v>1429</v>
      </c>
      <c r="C1226" s="2">
        <v>46308</v>
      </c>
      <c r="D1226" t="s">
        <v>27</v>
      </c>
      <c r="E1226" t="s">
        <v>28</v>
      </c>
      <c r="F1226" t="s">
        <v>54</v>
      </c>
      <c r="G1226" t="s">
        <v>50</v>
      </c>
      <c r="H1226">
        <v>642</v>
      </c>
      <c r="I1226">
        <v>638</v>
      </c>
      <c r="J1226">
        <v>4</v>
      </c>
      <c r="K1226">
        <v>18</v>
      </c>
      <c r="L1226">
        <v>18.59</v>
      </c>
      <c r="M1226">
        <v>198.97</v>
      </c>
      <c r="N1226">
        <f>_xlfn.XLOOKUP(Table13[[#This Row],[Production_Order_ID]],[1]Sheet1!$A$2:$A$391,[1]Sheet1!$F$2:$F$391,"No Match")</f>
        <v>530</v>
      </c>
      <c r="O1226" s="3">
        <f>Table13[[#This Row],[Good_Qty]]/Table13[[#This Row],[Planned_Production]]</f>
        <v>1.2037735849056603</v>
      </c>
      <c r="P1226" t="str">
        <f>IF(Table13[[#This Row],[Good_Qty]]&gt;=Table13[[#This Row],[Planned_Production]],"Met","Not Met")</f>
        <v>Met</v>
      </c>
      <c r="Q1226">
        <f>Table13[[#This Row],[Good_Qty]]-Table13[[#This Row],[Planned_Production]]</f>
        <v>108</v>
      </c>
      <c r="R1226" s="3">
        <f>IF(Table13[[#This Row],[Actual_Qty]]=0,0,Table13[[#This Row],[Reject_Qty]]/Table13[[#This Row],[Actual_Qty]])</f>
        <v>6.2305295950155761E-3</v>
      </c>
      <c r="S1226">
        <v>438.94</v>
      </c>
      <c r="T1226">
        <f>(Table13[[#This Row],[Ideal_Cycle_Time_sec]]*Table13[[#This Row],[Actual_Qty]])/(Table13[[#This Row],[Operational_Time_min]]*60)</f>
        <v>0.43878434410169953</v>
      </c>
      <c r="U1226">
        <f>Table13[[#This Row],[Good_Qty]]/Table13[[#This Row],[Actual_Qty]]</f>
        <v>0.99376947040498442</v>
      </c>
      <c r="V1226" t="str">
        <f>IF(OR(Table13[[#This Row],[Performance_%]]&gt;=1,Table13[[#This Row],[Performance_%]]&lt;=0),"Error","OK")</f>
        <v>OK</v>
      </c>
      <c r="W1226" t="str">
        <f>IF(OR(Table13[[#This Row],[Quality_%]]&gt;=1,Table13[[#This Row],[Quality_%]]&lt;=0),"Error","OK")</f>
        <v>OK</v>
      </c>
      <c r="X1226">
        <f>Table13[[#This Row],[Performance_%]]*Table13[[#This Row],[Quality_%]]*[2]Availability_KPI!K1226</f>
        <v>0.42533333333333329</v>
      </c>
      <c r="Y1226" t="str">
        <f>IF(OR(Table13[[#This Row],[OEE_%]]&gt;1,Table13[[#This Row],[OEE_%]]&lt;0),"Error","OK")</f>
        <v>OK</v>
      </c>
    </row>
    <row r="1227" spans="1:25" x14ac:dyDescent="0.2">
      <c r="A1227" t="s">
        <v>1430</v>
      </c>
      <c r="B1227" t="s">
        <v>1429</v>
      </c>
      <c r="C1227" s="2">
        <v>46308</v>
      </c>
      <c r="D1227" t="s">
        <v>27</v>
      </c>
      <c r="E1227" t="s">
        <v>32</v>
      </c>
      <c r="F1227" t="s">
        <v>54</v>
      </c>
      <c r="G1227" t="s">
        <v>57</v>
      </c>
      <c r="H1227">
        <v>647</v>
      </c>
      <c r="I1227">
        <v>640</v>
      </c>
      <c r="J1227">
        <v>7</v>
      </c>
      <c r="K1227">
        <v>20</v>
      </c>
      <c r="L1227">
        <v>20.85</v>
      </c>
      <c r="M1227">
        <v>224.86</v>
      </c>
      <c r="N1227">
        <f>_xlfn.XLOOKUP(Table13[[#This Row],[Production_Order_ID]],[1]Sheet1!$A$2:$A$391,[1]Sheet1!$F$2:$F$391,"No Match")</f>
        <v>530</v>
      </c>
      <c r="O1227" s="3">
        <f>Table13[[#This Row],[Good_Qty]]/Table13[[#This Row],[Planned_Production]]</f>
        <v>1.2075471698113207</v>
      </c>
      <c r="P1227" t="str">
        <f>IF(Table13[[#This Row],[Good_Qty]]&gt;=Table13[[#This Row],[Planned_Production]],"Met","Not Met")</f>
        <v>Met</v>
      </c>
      <c r="Q1227">
        <f>Table13[[#This Row],[Good_Qty]]-Table13[[#This Row],[Planned_Production]]</f>
        <v>110</v>
      </c>
      <c r="R1227" s="3">
        <f>IF(Table13[[#This Row],[Actual_Qty]]=0,0,Table13[[#This Row],[Reject_Qty]]/Table13[[#This Row],[Actual_Qty]])</f>
        <v>1.0819165378670788E-2</v>
      </c>
      <c r="S1227">
        <v>439.79</v>
      </c>
      <c r="T1227">
        <f>(Table13[[#This Row],[Ideal_Cycle_Time_sec]]*Table13[[#This Row],[Actual_Qty]])/(Table13[[#This Row],[Operational_Time_min]]*60)</f>
        <v>0.49038556280649093</v>
      </c>
      <c r="U1227">
        <f>Table13[[#This Row],[Good_Qty]]/Table13[[#This Row],[Actual_Qty]]</f>
        <v>0.98918083462132922</v>
      </c>
      <c r="V1227" t="str">
        <f>IF(OR(Table13[[#This Row],[Performance_%]]&gt;=1,Table13[[#This Row],[Performance_%]]&lt;=0),"Error","OK")</f>
        <v>OK</v>
      </c>
      <c r="W1227" t="str">
        <f>IF(OR(Table13[[#This Row],[Quality_%]]&gt;=1,Table13[[#This Row],[Quality_%]]&lt;=0),"Error","OK")</f>
        <v>OK</v>
      </c>
      <c r="X1227">
        <f>Table13[[#This Row],[Performance_%]]*Table13[[#This Row],[Quality_%]]*[2]Availability_KPI!K1227</f>
        <v>0.47407407407407404</v>
      </c>
      <c r="Y1227" t="str">
        <f>IF(OR(Table13[[#This Row],[OEE_%]]&gt;1,Table13[[#This Row],[OEE_%]]&lt;0),"Error","OK")</f>
        <v>OK</v>
      </c>
    </row>
    <row r="1228" spans="1:25" x14ac:dyDescent="0.2">
      <c r="A1228" t="s">
        <v>1431</v>
      </c>
      <c r="B1228" t="s">
        <v>1429</v>
      </c>
      <c r="C1228" s="2">
        <v>46308</v>
      </c>
      <c r="D1228" t="s">
        <v>27</v>
      </c>
      <c r="E1228" t="s">
        <v>35</v>
      </c>
      <c r="F1228" t="s">
        <v>54</v>
      </c>
      <c r="G1228" t="s">
        <v>44</v>
      </c>
      <c r="H1228">
        <v>652</v>
      </c>
      <c r="I1228">
        <v>647</v>
      </c>
      <c r="J1228">
        <v>5</v>
      </c>
      <c r="K1228">
        <v>22</v>
      </c>
      <c r="L1228">
        <v>22.77</v>
      </c>
      <c r="M1228">
        <v>247.38</v>
      </c>
      <c r="N1228">
        <f>_xlfn.XLOOKUP(Table13[[#This Row],[Production_Order_ID]],[1]Sheet1!$A$2:$A$391,[1]Sheet1!$F$2:$F$391,"No Match")</f>
        <v>530</v>
      </c>
      <c r="O1228" s="3">
        <f>Table13[[#This Row],[Good_Qty]]/Table13[[#This Row],[Planned_Production]]</f>
        <v>1.2207547169811321</v>
      </c>
      <c r="P1228" t="str">
        <f>IF(Table13[[#This Row],[Good_Qty]]&gt;=Table13[[#This Row],[Planned_Production]],"Met","Not Met")</f>
        <v>Met</v>
      </c>
      <c r="Q1228">
        <f>Table13[[#This Row],[Good_Qty]]-Table13[[#This Row],[Planned_Production]]</f>
        <v>117</v>
      </c>
      <c r="R1228" s="3">
        <f>IF(Table13[[#This Row],[Actual_Qty]]=0,0,Table13[[#This Row],[Reject_Qty]]/Table13[[#This Row],[Actual_Qty]])</f>
        <v>7.6687116564417178E-3</v>
      </c>
      <c r="S1228">
        <v>436.77</v>
      </c>
      <c r="T1228">
        <f>(Table13[[#This Row],[Ideal_Cycle_Time_sec]]*Table13[[#This Row],[Actual_Qty]])/(Table13[[#This Row],[Operational_Time_min]]*60)</f>
        <v>0.54735139012905354</v>
      </c>
      <c r="U1228">
        <f>Table13[[#This Row],[Good_Qty]]/Table13[[#This Row],[Actual_Qty]]</f>
        <v>0.99233128834355833</v>
      </c>
      <c r="V1228" t="str">
        <f>IF(OR(Table13[[#This Row],[Performance_%]]&gt;=1,Table13[[#This Row],[Performance_%]]&lt;=0),"Error","OK")</f>
        <v>OK</v>
      </c>
      <c r="W1228" t="str">
        <f>IF(OR(Table13[[#This Row],[Quality_%]]&gt;=1,Table13[[#This Row],[Quality_%]]&lt;=0),"Error","OK")</f>
        <v>OK</v>
      </c>
      <c r="X1228">
        <f>Table13[[#This Row],[Performance_%]]*Table13[[#This Row],[Quality_%]]*[2]Availability_KPI!K1228</f>
        <v>0.52718518518518531</v>
      </c>
      <c r="Y1228" t="str">
        <f>IF(OR(Table13[[#This Row],[OEE_%]]&gt;1,Table13[[#This Row],[OEE_%]]&lt;0),"Error","OK")</f>
        <v>OK</v>
      </c>
    </row>
    <row r="1229" spans="1:25" x14ac:dyDescent="0.2">
      <c r="A1229" t="s">
        <v>1432</v>
      </c>
      <c r="B1229" t="s">
        <v>1429</v>
      </c>
      <c r="C1229" s="2">
        <v>46308</v>
      </c>
      <c r="D1229" t="s">
        <v>27</v>
      </c>
      <c r="E1229" t="s">
        <v>38</v>
      </c>
      <c r="F1229" t="s">
        <v>54</v>
      </c>
      <c r="G1229" t="s">
        <v>71</v>
      </c>
      <c r="H1229">
        <v>654</v>
      </c>
      <c r="I1229">
        <v>651</v>
      </c>
      <c r="J1229">
        <v>3</v>
      </c>
      <c r="K1229">
        <v>20</v>
      </c>
      <c r="L1229">
        <v>20.36</v>
      </c>
      <c r="M1229">
        <v>221.94</v>
      </c>
      <c r="N1229">
        <f>_xlfn.XLOOKUP(Table13[[#This Row],[Production_Order_ID]],[1]Sheet1!$A$2:$A$391,[1]Sheet1!$F$2:$F$391,"No Match")</f>
        <v>530</v>
      </c>
      <c r="O1229" s="3">
        <f>Table13[[#This Row],[Good_Qty]]/Table13[[#This Row],[Planned_Production]]</f>
        <v>1.2283018867924529</v>
      </c>
      <c r="P1229" t="str">
        <f>IF(Table13[[#This Row],[Good_Qty]]&gt;=Table13[[#This Row],[Planned_Production]],"Met","Not Met")</f>
        <v>Met</v>
      </c>
      <c r="Q1229">
        <f>Table13[[#This Row],[Good_Qty]]-Table13[[#This Row],[Planned_Production]]</f>
        <v>121</v>
      </c>
      <c r="R1229" s="3">
        <f>IF(Table13[[#This Row],[Actual_Qty]]=0,0,Table13[[#This Row],[Reject_Qty]]/Table13[[#This Row],[Actual_Qty]])</f>
        <v>4.5871559633027525E-3</v>
      </c>
      <c r="S1229">
        <v>437.34</v>
      </c>
      <c r="T1229">
        <f>(Table13[[#This Row],[Ideal_Cycle_Time_sec]]*Table13[[#This Row],[Actual_Qty]])/(Table13[[#This Row],[Operational_Time_min]]*60)</f>
        <v>0.49846801115836653</v>
      </c>
      <c r="U1229">
        <f>Table13[[#This Row],[Good_Qty]]/Table13[[#This Row],[Actual_Qty]]</f>
        <v>0.99541284403669728</v>
      </c>
      <c r="V1229" t="str">
        <f>IF(OR(Table13[[#This Row],[Performance_%]]&gt;=1,Table13[[#This Row],[Performance_%]]&lt;=0),"Error","OK")</f>
        <v>OK</v>
      </c>
      <c r="W1229" t="str">
        <f>IF(OR(Table13[[#This Row],[Quality_%]]&gt;=1,Table13[[#This Row],[Quality_%]]&lt;=0),"Error","OK")</f>
        <v>OK</v>
      </c>
      <c r="X1229">
        <f>Table13[[#This Row],[Performance_%]]*Table13[[#This Row],[Quality_%]]*[2]Availability_KPI!K1229</f>
        <v>0.48222222222222227</v>
      </c>
      <c r="Y1229" t="str">
        <f>IF(OR(Table13[[#This Row],[OEE_%]]&gt;1,Table13[[#This Row],[OEE_%]]&lt;0),"Error","OK")</f>
        <v>OK</v>
      </c>
    </row>
    <row r="1230" spans="1:25" x14ac:dyDescent="0.2">
      <c r="A1230" t="s">
        <v>1433</v>
      </c>
      <c r="B1230" t="s">
        <v>1429</v>
      </c>
      <c r="C1230" s="2">
        <v>46308</v>
      </c>
      <c r="D1230" t="s">
        <v>27</v>
      </c>
      <c r="E1230" t="s">
        <v>41</v>
      </c>
      <c r="F1230" t="s">
        <v>54</v>
      </c>
      <c r="G1230" t="s">
        <v>39</v>
      </c>
      <c r="H1230">
        <v>655</v>
      </c>
      <c r="I1230">
        <v>649</v>
      </c>
      <c r="J1230">
        <v>6</v>
      </c>
      <c r="K1230">
        <v>18</v>
      </c>
      <c r="L1230">
        <v>18.579999999999998</v>
      </c>
      <c r="M1230">
        <v>202.88</v>
      </c>
      <c r="N1230">
        <f>_xlfn.XLOOKUP(Table13[[#This Row],[Production_Order_ID]],[1]Sheet1!$A$2:$A$391,[1]Sheet1!$F$2:$F$391,"No Match")</f>
        <v>530</v>
      </c>
      <c r="O1230" s="3">
        <f>Table13[[#This Row],[Good_Qty]]/Table13[[#This Row],[Planned_Production]]</f>
        <v>1.2245283018867925</v>
      </c>
      <c r="P1230" t="str">
        <f>IF(Table13[[#This Row],[Good_Qty]]&gt;=Table13[[#This Row],[Planned_Production]],"Met","Not Met")</f>
        <v>Met</v>
      </c>
      <c r="Q1230">
        <f>Table13[[#This Row],[Good_Qty]]-Table13[[#This Row],[Planned_Production]]</f>
        <v>119</v>
      </c>
      <c r="R1230" s="3">
        <f>IF(Table13[[#This Row],[Actual_Qty]]=0,0,Table13[[#This Row],[Reject_Qty]]/Table13[[#This Row],[Actual_Qty]])</f>
        <v>9.1603053435114507E-3</v>
      </c>
      <c r="S1230">
        <v>436.64</v>
      </c>
      <c r="T1230">
        <f>(Table13[[#This Row],[Ideal_Cycle_Time_sec]]*Table13[[#This Row],[Actual_Qty]])/(Table13[[#This Row],[Operational_Time_min]]*60)</f>
        <v>0.45002748259435693</v>
      </c>
      <c r="U1230">
        <f>Table13[[#This Row],[Good_Qty]]/Table13[[#This Row],[Actual_Qty]]</f>
        <v>0.99083969465648858</v>
      </c>
      <c r="V1230" t="str">
        <f>IF(OR(Table13[[#This Row],[Performance_%]]&gt;=1,Table13[[#This Row],[Performance_%]]&lt;=0),"Error","OK")</f>
        <v>OK</v>
      </c>
      <c r="W1230" t="str">
        <f>IF(OR(Table13[[#This Row],[Quality_%]]&gt;=1,Table13[[#This Row],[Quality_%]]&lt;=0),"Error","OK")</f>
        <v>OK</v>
      </c>
      <c r="X1230">
        <f>Table13[[#This Row],[Performance_%]]*Table13[[#This Row],[Quality_%]]*[2]Availability_KPI!K1230</f>
        <v>0.4326666666666667</v>
      </c>
      <c r="Y1230" t="str">
        <f>IF(OR(Table13[[#This Row],[OEE_%]]&gt;1,Table13[[#This Row],[OEE_%]]&lt;0),"Error","OK")</f>
        <v>OK</v>
      </c>
    </row>
    <row r="1231" spans="1:25" x14ac:dyDescent="0.2">
      <c r="A1231" t="s">
        <v>1434</v>
      </c>
      <c r="B1231" t="s">
        <v>1429</v>
      </c>
      <c r="C1231" s="2">
        <v>46308</v>
      </c>
      <c r="D1231" t="s">
        <v>27</v>
      </c>
      <c r="E1231" t="s">
        <v>43</v>
      </c>
      <c r="F1231" t="s">
        <v>54</v>
      </c>
      <c r="G1231" t="s">
        <v>50</v>
      </c>
      <c r="H1231">
        <v>655</v>
      </c>
      <c r="I1231">
        <v>645</v>
      </c>
      <c r="J1231">
        <v>10</v>
      </c>
      <c r="K1231">
        <v>32</v>
      </c>
      <c r="L1231">
        <v>34.31</v>
      </c>
      <c r="M1231">
        <v>374.53</v>
      </c>
      <c r="N1231">
        <f>_xlfn.XLOOKUP(Table13[[#This Row],[Production_Order_ID]],[1]Sheet1!$A$2:$A$391,[1]Sheet1!$F$2:$F$391,"No Match")</f>
        <v>530</v>
      </c>
      <c r="O1231" s="3">
        <f>Table13[[#This Row],[Good_Qty]]/Table13[[#This Row],[Planned_Production]]</f>
        <v>1.2169811320754718</v>
      </c>
      <c r="P1231" t="str">
        <f>IF(Table13[[#This Row],[Good_Qty]]&gt;=Table13[[#This Row],[Planned_Production]],"Met","Not Met")</f>
        <v>Met</v>
      </c>
      <c r="Q1231">
        <f>Table13[[#This Row],[Good_Qty]]-Table13[[#This Row],[Planned_Production]]</f>
        <v>115</v>
      </c>
      <c r="R1231" s="3">
        <f>IF(Table13[[#This Row],[Actual_Qty]]=0,0,Table13[[#This Row],[Reject_Qty]]/Table13[[#This Row],[Actual_Qty]])</f>
        <v>1.5267175572519083E-2</v>
      </c>
      <c r="S1231">
        <v>418.71</v>
      </c>
      <c r="T1231">
        <f>(Table13[[#This Row],[Ideal_Cycle_Time_sec]]*Table13[[#This Row],[Actual_Qty]])/(Table13[[#This Row],[Operational_Time_min]]*60)</f>
        <v>0.83430855086655054</v>
      </c>
      <c r="U1231">
        <f>Table13[[#This Row],[Good_Qty]]/Table13[[#This Row],[Actual_Qty]]</f>
        <v>0.98473282442748089</v>
      </c>
      <c r="V1231" t="str">
        <f>IF(OR(Table13[[#This Row],[Performance_%]]&gt;=1,Table13[[#This Row],[Performance_%]]&lt;=0),"Error","OK")</f>
        <v>OK</v>
      </c>
      <c r="W1231" t="str">
        <f>IF(OR(Table13[[#This Row],[Quality_%]]&gt;=1,Table13[[#This Row],[Quality_%]]&lt;=0),"Error","OK")</f>
        <v>OK</v>
      </c>
      <c r="X1231">
        <f>Table13[[#This Row],[Performance_%]]*Table13[[#This Row],[Quality_%]]*[2]Availability_KPI!K1231</f>
        <v>0.76444444444444459</v>
      </c>
      <c r="Y1231" t="str">
        <f>IF(OR(Table13[[#This Row],[OEE_%]]&gt;1,Table13[[#This Row],[OEE_%]]&lt;0),"Error","OK")</f>
        <v>OK</v>
      </c>
    </row>
    <row r="1232" spans="1:25" x14ac:dyDescent="0.2">
      <c r="A1232" t="s">
        <v>1435</v>
      </c>
      <c r="B1232" t="s">
        <v>1429</v>
      </c>
      <c r="C1232" s="2">
        <v>46308</v>
      </c>
      <c r="D1232" t="s">
        <v>27</v>
      </c>
      <c r="E1232" t="s">
        <v>46</v>
      </c>
      <c r="F1232" t="s">
        <v>54</v>
      </c>
      <c r="G1232" t="s">
        <v>50</v>
      </c>
      <c r="H1232">
        <v>649</v>
      </c>
      <c r="I1232">
        <v>643</v>
      </c>
      <c r="J1232">
        <v>6</v>
      </c>
      <c r="K1232">
        <v>25</v>
      </c>
      <c r="L1232">
        <v>26.06</v>
      </c>
      <c r="M1232">
        <v>281.87</v>
      </c>
      <c r="N1232">
        <f>_xlfn.XLOOKUP(Table13[[#This Row],[Production_Order_ID]],[1]Sheet1!$A$2:$A$391,[1]Sheet1!$F$2:$F$391,"No Match")</f>
        <v>530</v>
      </c>
      <c r="O1232" s="3">
        <f>Table13[[#This Row],[Good_Qty]]/Table13[[#This Row],[Planned_Production]]</f>
        <v>1.2132075471698114</v>
      </c>
      <c r="P1232" t="str">
        <f>IF(Table13[[#This Row],[Good_Qty]]&gt;=Table13[[#This Row],[Planned_Production]],"Met","Not Met")</f>
        <v>Met</v>
      </c>
      <c r="Q1232">
        <f>Table13[[#This Row],[Good_Qty]]-Table13[[#This Row],[Planned_Production]]</f>
        <v>113</v>
      </c>
      <c r="R1232" s="3">
        <f>IF(Table13[[#This Row],[Actual_Qty]]=0,0,Table13[[#This Row],[Reject_Qty]]/Table13[[#This Row],[Actual_Qty]])</f>
        <v>9.2449922958397542E-3</v>
      </c>
      <c r="S1232">
        <v>432.58</v>
      </c>
      <c r="T1232">
        <f>(Table13[[#This Row],[Ideal_Cycle_Time_sec]]*Table13[[#This Row],[Actual_Qty]])/(Table13[[#This Row],[Operational_Time_min]]*60)</f>
        <v>0.62512521768613127</v>
      </c>
      <c r="U1232">
        <f>Table13[[#This Row],[Good_Qty]]/Table13[[#This Row],[Actual_Qty]]</f>
        <v>0.99075500770416025</v>
      </c>
      <c r="V1232" t="str">
        <f>IF(OR(Table13[[#This Row],[Performance_%]]&gt;=1,Table13[[#This Row],[Performance_%]]&lt;=0),"Error","OK")</f>
        <v>OK</v>
      </c>
      <c r="W1232" t="str">
        <f>IF(OR(Table13[[#This Row],[Quality_%]]&gt;=1,Table13[[#This Row],[Quality_%]]&lt;=0),"Error","OK")</f>
        <v>OK</v>
      </c>
      <c r="X1232">
        <f>Table13[[#This Row],[Performance_%]]*Table13[[#This Row],[Quality_%]]*[2]Availability_KPI!K1232</f>
        <v>0.59537037037037044</v>
      </c>
      <c r="Y1232" t="str">
        <f>IF(OR(Table13[[#This Row],[OEE_%]]&gt;1,Table13[[#This Row],[OEE_%]]&lt;0),"Error","OK")</f>
        <v>OK</v>
      </c>
    </row>
    <row r="1233" spans="1:25" x14ac:dyDescent="0.2">
      <c r="A1233" t="s">
        <v>1436</v>
      </c>
      <c r="B1233" t="s">
        <v>1429</v>
      </c>
      <c r="C1233" s="2">
        <v>46308</v>
      </c>
      <c r="D1233" t="s">
        <v>27</v>
      </c>
      <c r="E1233" t="s">
        <v>49</v>
      </c>
      <c r="F1233" t="s">
        <v>54</v>
      </c>
      <c r="G1233" t="s">
        <v>47</v>
      </c>
      <c r="H1233">
        <v>639</v>
      </c>
      <c r="I1233">
        <v>636</v>
      </c>
      <c r="J1233">
        <v>3</v>
      </c>
      <c r="K1233">
        <v>20</v>
      </c>
      <c r="L1233">
        <v>20.59</v>
      </c>
      <c r="M1233">
        <v>219.32</v>
      </c>
      <c r="N1233">
        <f>_xlfn.XLOOKUP(Table13[[#This Row],[Production_Order_ID]],[1]Sheet1!$A$2:$A$391,[1]Sheet1!$F$2:$F$391,"No Match")</f>
        <v>530</v>
      </c>
      <c r="O1233" s="3">
        <f>Table13[[#This Row],[Good_Qty]]/Table13[[#This Row],[Planned_Production]]</f>
        <v>1.2</v>
      </c>
      <c r="P1233" t="str">
        <f>IF(Table13[[#This Row],[Good_Qty]]&gt;=Table13[[#This Row],[Planned_Production]],"Met","Not Met")</f>
        <v>Met</v>
      </c>
      <c r="Q1233">
        <f>Table13[[#This Row],[Good_Qty]]-Table13[[#This Row],[Planned_Production]]</f>
        <v>106</v>
      </c>
      <c r="R1233" s="3">
        <f>IF(Table13[[#This Row],[Actual_Qty]]=0,0,Table13[[#This Row],[Reject_Qty]]/Table13[[#This Row],[Actual_Qty]])</f>
        <v>4.6948356807511738E-3</v>
      </c>
      <c r="S1233">
        <v>442.02</v>
      </c>
      <c r="T1233">
        <f>(Table13[[#This Row],[Ideal_Cycle_Time_sec]]*Table13[[#This Row],[Actual_Qty]])/(Table13[[#This Row],[Operational_Time_min]]*60)</f>
        <v>0.48187864802497632</v>
      </c>
      <c r="U1233">
        <f>Table13[[#This Row],[Good_Qty]]/Table13[[#This Row],[Actual_Qty]]</f>
        <v>0.99530516431924887</v>
      </c>
      <c r="V1233" t="str">
        <f>IF(OR(Table13[[#This Row],[Performance_%]]&gt;=1,Table13[[#This Row],[Performance_%]]&lt;=0),"Error","OK")</f>
        <v>OK</v>
      </c>
      <c r="W1233" t="str">
        <f>IF(OR(Table13[[#This Row],[Quality_%]]&gt;=1,Table13[[#This Row],[Quality_%]]&lt;=0),"Error","OK")</f>
        <v>OK</v>
      </c>
      <c r="X1233">
        <f>Table13[[#This Row],[Performance_%]]*Table13[[#This Row],[Quality_%]]*[2]Availability_KPI!K1233</f>
        <v>0.47111111111111115</v>
      </c>
      <c r="Y1233" t="str">
        <f>IF(OR(Table13[[#This Row],[OEE_%]]&gt;1,Table13[[#This Row],[OEE_%]]&lt;0),"Error","OK")</f>
        <v>OK</v>
      </c>
    </row>
    <row r="1234" spans="1:25" x14ac:dyDescent="0.2">
      <c r="A1234" t="s">
        <v>1437</v>
      </c>
      <c r="B1234" t="s">
        <v>1438</v>
      </c>
      <c r="C1234" s="2">
        <v>46308</v>
      </c>
      <c r="D1234" t="s">
        <v>53</v>
      </c>
      <c r="E1234" t="s">
        <v>28</v>
      </c>
      <c r="F1234" t="s">
        <v>54</v>
      </c>
      <c r="G1234" t="s">
        <v>39</v>
      </c>
      <c r="H1234">
        <v>677</v>
      </c>
      <c r="I1234">
        <v>676</v>
      </c>
      <c r="J1234">
        <v>1</v>
      </c>
      <c r="K1234">
        <v>18</v>
      </c>
      <c r="L1234">
        <v>19.2</v>
      </c>
      <c r="M1234">
        <v>216.64</v>
      </c>
      <c r="N1234">
        <f>_xlfn.XLOOKUP(Table13[[#This Row],[Production_Order_ID]],[1]Sheet1!$A$2:$A$391,[1]Sheet1!$F$2:$F$391,"No Match")</f>
        <v>620</v>
      </c>
      <c r="O1234" s="3">
        <f>Table13[[#This Row],[Good_Qty]]/Table13[[#This Row],[Planned_Production]]</f>
        <v>1.0903225806451613</v>
      </c>
      <c r="P1234" t="str">
        <f>IF(Table13[[#This Row],[Good_Qty]]&gt;=Table13[[#This Row],[Planned_Production]],"Met","Not Met")</f>
        <v>Met</v>
      </c>
      <c r="Q1234">
        <f>Table13[[#This Row],[Good_Qty]]-Table13[[#This Row],[Planned_Production]]</f>
        <v>56</v>
      </c>
      <c r="R1234" s="3">
        <f>IF(Table13[[#This Row],[Actual_Qty]]=0,0,Table13[[#This Row],[Reject_Qty]]/Table13[[#This Row],[Actual_Qty]])</f>
        <v>1.4771048744460858E-3</v>
      </c>
      <c r="S1234">
        <v>440.76</v>
      </c>
      <c r="T1234">
        <f>(Table13[[#This Row],[Ideal_Cycle_Time_sec]]*Table13[[#This Row],[Actual_Qty]])/(Table13[[#This Row],[Operational_Time_min]]*60)</f>
        <v>0.46079499047100464</v>
      </c>
      <c r="U1234">
        <f>Table13[[#This Row],[Good_Qty]]/Table13[[#This Row],[Actual_Qty]]</f>
        <v>0.99852289512555392</v>
      </c>
      <c r="V1234" t="str">
        <f>IF(OR(Table13[[#This Row],[Performance_%]]&gt;=1,Table13[[#This Row],[Performance_%]]&lt;=0),"Error","OK")</f>
        <v>OK</v>
      </c>
      <c r="W1234" t="str">
        <f>IF(OR(Table13[[#This Row],[Quality_%]]&gt;=1,Table13[[#This Row],[Quality_%]]&lt;=0),"Error","OK")</f>
        <v>OK</v>
      </c>
      <c r="X1234">
        <f>Table13[[#This Row],[Performance_%]]*Table13[[#This Row],[Quality_%]]*[2]Availability_KPI!K1234</f>
        <v>0.45066666666666666</v>
      </c>
      <c r="Y1234" t="str">
        <f>IF(OR(Table13[[#This Row],[OEE_%]]&gt;1,Table13[[#This Row],[OEE_%]]&lt;0),"Error","OK")</f>
        <v>OK</v>
      </c>
    </row>
    <row r="1235" spans="1:25" x14ac:dyDescent="0.2">
      <c r="A1235" t="s">
        <v>1439</v>
      </c>
      <c r="B1235" t="s">
        <v>1438</v>
      </c>
      <c r="C1235" s="2">
        <v>46308</v>
      </c>
      <c r="D1235" t="s">
        <v>53</v>
      </c>
      <c r="E1235" t="s">
        <v>32</v>
      </c>
      <c r="F1235" t="s">
        <v>54</v>
      </c>
      <c r="G1235" t="s">
        <v>36</v>
      </c>
      <c r="H1235">
        <v>666</v>
      </c>
      <c r="I1235">
        <v>660</v>
      </c>
      <c r="J1235">
        <v>6</v>
      </c>
      <c r="K1235">
        <v>20</v>
      </c>
      <c r="L1235">
        <v>20.39</v>
      </c>
      <c r="M1235">
        <v>226.28</v>
      </c>
      <c r="N1235">
        <f>_xlfn.XLOOKUP(Table13[[#This Row],[Production_Order_ID]],[1]Sheet1!$A$2:$A$391,[1]Sheet1!$F$2:$F$391,"No Match")</f>
        <v>620</v>
      </c>
      <c r="O1235" s="3">
        <f>Table13[[#This Row],[Good_Qty]]/Table13[[#This Row],[Planned_Production]]</f>
        <v>1.064516129032258</v>
      </c>
      <c r="P1235" t="str">
        <f>IF(Table13[[#This Row],[Good_Qty]]&gt;=Table13[[#This Row],[Planned_Production]],"Met","Not Met")</f>
        <v>Met</v>
      </c>
      <c r="Q1235">
        <f>Table13[[#This Row],[Good_Qty]]-Table13[[#This Row],[Planned_Production]]</f>
        <v>40</v>
      </c>
      <c r="R1235" s="3">
        <f>IF(Table13[[#This Row],[Actual_Qty]]=0,0,Table13[[#This Row],[Reject_Qty]]/Table13[[#This Row],[Actual_Qty]])</f>
        <v>9.0090090090090089E-3</v>
      </c>
      <c r="S1235">
        <v>435.13</v>
      </c>
      <c r="T1235">
        <f>(Table13[[#This Row],[Ideal_Cycle_Time_sec]]*Table13[[#This Row],[Actual_Qty]])/(Table13[[#This Row],[Operational_Time_min]]*60)</f>
        <v>0.51019235630731052</v>
      </c>
      <c r="U1235">
        <f>Table13[[#This Row],[Good_Qty]]/Table13[[#This Row],[Actual_Qty]]</f>
        <v>0.99099099099099097</v>
      </c>
      <c r="V1235" t="str">
        <f>IF(OR(Table13[[#This Row],[Performance_%]]&gt;=1,Table13[[#This Row],[Performance_%]]&lt;=0),"Error","OK")</f>
        <v>OK</v>
      </c>
      <c r="W1235" t="str">
        <f>IF(OR(Table13[[#This Row],[Quality_%]]&gt;=1,Table13[[#This Row],[Quality_%]]&lt;=0),"Error","OK")</f>
        <v>OK</v>
      </c>
      <c r="X1235">
        <f>Table13[[#This Row],[Performance_%]]*Table13[[#This Row],[Quality_%]]*[2]Availability_KPI!K1235</f>
        <v>0.48888888888888898</v>
      </c>
      <c r="Y1235" t="str">
        <f>IF(OR(Table13[[#This Row],[OEE_%]]&gt;1,Table13[[#This Row],[OEE_%]]&lt;0),"Error","OK")</f>
        <v>OK</v>
      </c>
    </row>
    <row r="1236" spans="1:25" x14ac:dyDescent="0.2">
      <c r="A1236" t="s">
        <v>1440</v>
      </c>
      <c r="B1236" t="s">
        <v>1438</v>
      </c>
      <c r="C1236" s="2">
        <v>46308</v>
      </c>
      <c r="D1236" t="s">
        <v>53</v>
      </c>
      <c r="E1236" t="s">
        <v>35</v>
      </c>
      <c r="F1236" t="s">
        <v>54</v>
      </c>
      <c r="G1236" t="s">
        <v>44</v>
      </c>
      <c r="H1236">
        <v>674</v>
      </c>
      <c r="I1236">
        <v>669</v>
      </c>
      <c r="J1236">
        <v>5</v>
      </c>
      <c r="K1236">
        <v>22</v>
      </c>
      <c r="L1236">
        <v>23.01</v>
      </c>
      <c r="M1236">
        <v>258.47000000000003</v>
      </c>
      <c r="N1236">
        <f>_xlfn.XLOOKUP(Table13[[#This Row],[Production_Order_ID]],[1]Sheet1!$A$2:$A$391,[1]Sheet1!$F$2:$F$391,"No Match")</f>
        <v>620</v>
      </c>
      <c r="O1236" s="3">
        <f>Table13[[#This Row],[Good_Qty]]/Table13[[#This Row],[Planned_Production]]</f>
        <v>1.0790322580645162</v>
      </c>
      <c r="P1236" t="str">
        <f>IF(Table13[[#This Row],[Good_Qty]]&gt;=Table13[[#This Row],[Planned_Production]],"Met","Not Met")</f>
        <v>Met</v>
      </c>
      <c r="Q1236">
        <f>Table13[[#This Row],[Good_Qty]]-Table13[[#This Row],[Planned_Production]]</f>
        <v>49</v>
      </c>
      <c r="R1236" s="3">
        <f>IF(Table13[[#This Row],[Actual_Qty]]=0,0,Table13[[#This Row],[Reject_Qty]]/Table13[[#This Row],[Actual_Qty]])</f>
        <v>7.4183976261127599E-3</v>
      </c>
      <c r="S1236">
        <v>431.44</v>
      </c>
      <c r="T1236">
        <f>(Table13[[#This Row],[Ideal_Cycle_Time_sec]]*Table13[[#This Row],[Actual_Qty]])/(Table13[[#This Row],[Operational_Time_min]]*60)</f>
        <v>0.57281043327770564</v>
      </c>
      <c r="U1236">
        <f>Table13[[#This Row],[Good_Qty]]/Table13[[#This Row],[Actual_Qty]]</f>
        <v>0.99258160237388726</v>
      </c>
      <c r="V1236" t="str">
        <f>IF(OR(Table13[[#This Row],[Performance_%]]&gt;=1,Table13[[#This Row],[Performance_%]]&lt;=0),"Error","OK")</f>
        <v>OK</v>
      </c>
      <c r="W1236" t="str">
        <f>IF(OR(Table13[[#This Row],[Quality_%]]&gt;=1,Table13[[#This Row],[Quality_%]]&lt;=0),"Error","OK")</f>
        <v>OK</v>
      </c>
      <c r="X1236">
        <f>Table13[[#This Row],[Performance_%]]*Table13[[#This Row],[Quality_%]]*[2]Availability_KPI!K1236</f>
        <v>0.5451111111111111</v>
      </c>
      <c r="Y1236" t="str">
        <f>IF(OR(Table13[[#This Row],[OEE_%]]&gt;1,Table13[[#This Row],[OEE_%]]&lt;0),"Error","OK")</f>
        <v>OK</v>
      </c>
    </row>
    <row r="1237" spans="1:25" x14ac:dyDescent="0.2">
      <c r="A1237" t="s">
        <v>1441</v>
      </c>
      <c r="B1237" t="s">
        <v>1438</v>
      </c>
      <c r="C1237" s="2">
        <v>46308</v>
      </c>
      <c r="D1237" t="s">
        <v>53</v>
      </c>
      <c r="E1237" t="s">
        <v>38</v>
      </c>
      <c r="F1237" t="s">
        <v>54</v>
      </c>
      <c r="G1237" t="s">
        <v>55</v>
      </c>
      <c r="H1237">
        <v>673</v>
      </c>
      <c r="I1237">
        <v>668</v>
      </c>
      <c r="J1237">
        <v>5</v>
      </c>
      <c r="K1237">
        <v>20</v>
      </c>
      <c r="L1237">
        <v>21.04</v>
      </c>
      <c r="M1237">
        <v>236.03</v>
      </c>
      <c r="N1237">
        <f>_xlfn.XLOOKUP(Table13[[#This Row],[Production_Order_ID]],[1]Sheet1!$A$2:$A$391,[1]Sheet1!$F$2:$F$391,"No Match")</f>
        <v>620</v>
      </c>
      <c r="O1237" s="3">
        <f>Table13[[#This Row],[Good_Qty]]/Table13[[#This Row],[Planned_Production]]</f>
        <v>1.0774193548387097</v>
      </c>
      <c r="P1237" t="str">
        <f>IF(Table13[[#This Row],[Good_Qty]]&gt;=Table13[[#This Row],[Planned_Production]],"Met","Not Met")</f>
        <v>Met</v>
      </c>
      <c r="Q1237">
        <f>Table13[[#This Row],[Good_Qty]]-Table13[[#This Row],[Planned_Production]]</f>
        <v>48</v>
      </c>
      <c r="R1237" s="3">
        <f>IF(Table13[[#This Row],[Actual_Qty]]=0,0,Table13[[#This Row],[Reject_Qty]]/Table13[[#This Row],[Actual_Qty]])</f>
        <v>7.429420505200594E-3</v>
      </c>
      <c r="S1237">
        <v>435.98</v>
      </c>
      <c r="T1237">
        <f>(Table13[[#This Row],[Ideal_Cycle_Time_sec]]*Table13[[#This Row],[Actual_Qty]])/(Table13[[#This Row],[Operational_Time_min]]*60)</f>
        <v>0.51454959707631842</v>
      </c>
      <c r="U1237">
        <f>Table13[[#This Row],[Good_Qty]]/Table13[[#This Row],[Actual_Qty]]</f>
        <v>0.99257057949479943</v>
      </c>
      <c r="V1237" t="str">
        <f>IF(OR(Table13[[#This Row],[Performance_%]]&gt;=1,Table13[[#This Row],[Performance_%]]&lt;=0),"Error","OK")</f>
        <v>OK</v>
      </c>
      <c r="W1237" t="str">
        <f>IF(OR(Table13[[#This Row],[Quality_%]]&gt;=1,Table13[[#This Row],[Quality_%]]&lt;=0),"Error","OK")</f>
        <v>OK</v>
      </c>
      <c r="X1237">
        <f>Table13[[#This Row],[Performance_%]]*Table13[[#This Row],[Quality_%]]*[2]Availability_KPI!K1237</f>
        <v>0.49481481481481482</v>
      </c>
      <c r="Y1237" t="str">
        <f>IF(OR(Table13[[#This Row],[OEE_%]]&gt;1,Table13[[#This Row],[OEE_%]]&lt;0),"Error","OK")</f>
        <v>OK</v>
      </c>
    </row>
    <row r="1238" spans="1:25" x14ac:dyDescent="0.2">
      <c r="A1238" t="s">
        <v>1442</v>
      </c>
      <c r="B1238" t="s">
        <v>1438</v>
      </c>
      <c r="C1238" s="2">
        <v>46308</v>
      </c>
      <c r="D1238" t="s">
        <v>53</v>
      </c>
      <c r="E1238" t="s">
        <v>41</v>
      </c>
      <c r="F1238" t="s">
        <v>54</v>
      </c>
      <c r="G1238" t="s">
        <v>30</v>
      </c>
      <c r="H1238">
        <v>672</v>
      </c>
      <c r="I1238">
        <v>667</v>
      </c>
      <c r="J1238">
        <v>5</v>
      </c>
      <c r="K1238">
        <v>18</v>
      </c>
      <c r="L1238">
        <v>19.350000000000001</v>
      </c>
      <c r="M1238">
        <v>216.71</v>
      </c>
      <c r="N1238">
        <f>_xlfn.XLOOKUP(Table13[[#This Row],[Production_Order_ID]],[1]Sheet1!$A$2:$A$391,[1]Sheet1!$F$2:$F$391,"No Match")</f>
        <v>620</v>
      </c>
      <c r="O1238" s="3">
        <f>Table13[[#This Row],[Good_Qty]]/Table13[[#This Row],[Planned_Production]]</f>
        <v>1.0758064516129033</v>
      </c>
      <c r="P1238" t="str">
        <f>IF(Table13[[#This Row],[Good_Qty]]&gt;=Table13[[#This Row],[Planned_Production]],"Met","Not Met")</f>
        <v>Met</v>
      </c>
      <c r="Q1238">
        <f>Table13[[#This Row],[Good_Qty]]-Table13[[#This Row],[Planned_Production]]</f>
        <v>47</v>
      </c>
      <c r="R1238" s="3">
        <f>IF(Table13[[#This Row],[Actual_Qty]]=0,0,Table13[[#This Row],[Reject_Qty]]/Table13[[#This Row],[Actual_Qty]])</f>
        <v>7.4404761904761901E-3</v>
      </c>
      <c r="S1238">
        <v>435.71</v>
      </c>
      <c r="T1238">
        <f>(Table13[[#This Row],[Ideal_Cycle_Time_sec]]*Table13[[#This Row],[Actual_Qty]])/(Table13[[#This Row],[Operational_Time_min]]*60)</f>
        <v>0.46269307566959678</v>
      </c>
      <c r="U1238">
        <f>Table13[[#This Row],[Good_Qty]]/Table13[[#This Row],[Actual_Qty]]</f>
        <v>0.99255952380952384</v>
      </c>
      <c r="V1238" t="str">
        <f>IF(OR(Table13[[#This Row],[Performance_%]]&gt;=1,Table13[[#This Row],[Performance_%]]&lt;=0),"Error","OK")</f>
        <v>OK</v>
      </c>
      <c r="W1238" t="str">
        <f>IF(OR(Table13[[#This Row],[Quality_%]]&gt;=1,Table13[[#This Row],[Quality_%]]&lt;=0),"Error","OK")</f>
        <v>OK</v>
      </c>
      <c r="X1238">
        <f>Table13[[#This Row],[Performance_%]]*Table13[[#This Row],[Quality_%]]*[2]Availability_KPI!K1238</f>
        <v>0.44466666666666665</v>
      </c>
      <c r="Y1238" t="str">
        <f>IF(OR(Table13[[#This Row],[OEE_%]]&gt;1,Table13[[#This Row],[OEE_%]]&lt;0),"Error","OK")</f>
        <v>OK</v>
      </c>
    </row>
    <row r="1239" spans="1:25" x14ac:dyDescent="0.2">
      <c r="A1239" t="s">
        <v>1443</v>
      </c>
      <c r="B1239" t="s">
        <v>1438</v>
      </c>
      <c r="C1239" s="2">
        <v>46308</v>
      </c>
      <c r="D1239" t="s">
        <v>53</v>
      </c>
      <c r="E1239" t="s">
        <v>43</v>
      </c>
      <c r="F1239" t="s">
        <v>54</v>
      </c>
      <c r="G1239" t="s">
        <v>30</v>
      </c>
      <c r="H1239">
        <v>681</v>
      </c>
      <c r="I1239">
        <v>672</v>
      </c>
      <c r="J1239">
        <v>9</v>
      </c>
      <c r="K1239">
        <v>32</v>
      </c>
      <c r="L1239">
        <v>34.51</v>
      </c>
      <c r="M1239">
        <v>391.7</v>
      </c>
      <c r="N1239">
        <f>_xlfn.XLOOKUP(Table13[[#This Row],[Production_Order_ID]],[1]Sheet1!$A$2:$A$391,[1]Sheet1!$F$2:$F$391,"No Match")</f>
        <v>620</v>
      </c>
      <c r="O1239" s="3">
        <f>Table13[[#This Row],[Good_Qty]]/Table13[[#This Row],[Planned_Production]]</f>
        <v>1.0838709677419356</v>
      </c>
      <c r="P1239" t="str">
        <f>IF(Table13[[#This Row],[Good_Qty]]&gt;=Table13[[#This Row],[Planned_Production]],"Met","Not Met")</f>
        <v>Met</v>
      </c>
      <c r="Q1239">
        <f>Table13[[#This Row],[Good_Qty]]-Table13[[#This Row],[Planned_Production]]</f>
        <v>52</v>
      </c>
      <c r="R1239" s="3">
        <f>IF(Table13[[#This Row],[Actual_Qty]]=0,0,Table13[[#This Row],[Reject_Qty]]/Table13[[#This Row],[Actual_Qty]])</f>
        <v>1.3215859030837005E-2</v>
      </c>
      <c r="S1239">
        <v>402.05</v>
      </c>
      <c r="T1239">
        <f>(Table13[[#This Row],[Ideal_Cycle_Time_sec]]*Table13[[#This Row],[Actual_Qty]])/(Table13[[#This Row],[Operational_Time_min]]*60)</f>
        <v>0.90337022758363383</v>
      </c>
      <c r="U1239">
        <f>Table13[[#This Row],[Good_Qty]]/Table13[[#This Row],[Actual_Qty]]</f>
        <v>0.986784140969163</v>
      </c>
      <c r="V1239" t="str">
        <f>IF(OR(Table13[[#This Row],[Performance_%]]&gt;=1,Table13[[#This Row],[Performance_%]]&lt;=0),"Error","OK")</f>
        <v>OK</v>
      </c>
      <c r="W1239" t="str">
        <f>IF(OR(Table13[[#This Row],[Quality_%]]&gt;=1,Table13[[#This Row],[Quality_%]]&lt;=0),"Error","OK")</f>
        <v>OK</v>
      </c>
      <c r="X1239">
        <f>Table13[[#This Row],[Performance_%]]*Table13[[#This Row],[Quality_%]]*[2]Availability_KPI!K1239</f>
        <v>0.79644444444444451</v>
      </c>
      <c r="Y1239" t="str">
        <f>IF(OR(Table13[[#This Row],[OEE_%]]&gt;1,Table13[[#This Row],[OEE_%]]&lt;0),"Error","OK")</f>
        <v>OK</v>
      </c>
    </row>
    <row r="1240" spans="1:25" x14ac:dyDescent="0.2">
      <c r="A1240" t="s">
        <v>1444</v>
      </c>
      <c r="B1240" t="s">
        <v>1438</v>
      </c>
      <c r="C1240" s="2">
        <v>46308</v>
      </c>
      <c r="D1240" t="s">
        <v>53</v>
      </c>
      <c r="E1240" t="s">
        <v>46</v>
      </c>
      <c r="F1240" t="s">
        <v>54</v>
      </c>
      <c r="G1240" t="s">
        <v>75</v>
      </c>
      <c r="H1240">
        <v>671</v>
      </c>
      <c r="I1240">
        <v>666</v>
      </c>
      <c r="J1240">
        <v>5</v>
      </c>
      <c r="K1240">
        <v>25</v>
      </c>
      <c r="L1240">
        <v>26.89</v>
      </c>
      <c r="M1240">
        <v>300.77</v>
      </c>
      <c r="N1240">
        <f>_xlfn.XLOOKUP(Table13[[#This Row],[Production_Order_ID]],[1]Sheet1!$A$2:$A$391,[1]Sheet1!$F$2:$F$391,"No Match")</f>
        <v>620</v>
      </c>
      <c r="O1240" s="3">
        <f>Table13[[#This Row],[Good_Qty]]/Table13[[#This Row],[Planned_Production]]</f>
        <v>1.0741935483870968</v>
      </c>
      <c r="P1240" t="str">
        <f>IF(Table13[[#This Row],[Good_Qty]]&gt;=Table13[[#This Row],[Planned_Production]],"Met","Not Met")</f>
        <v>Met</v>
      </c>
      <c r="Q1240">
        <f>Table13[[#This Row],[Good_Qty]]-Table13[[#This Row],[Planned_Production]]</f>
        <v>46</v>
      </c>
      <c r="R1240" s="3">
        <f>IF(Table13[[#This Row],[Actual_Qty]]=0,0,Table13[[#This Row],[Reject_Qty]]/Table13[[#This Row],[Actual_Qty]])</f>
        <v>7.4515648286140089E-3</v>
      </c>
      <c r="S1240">
        <v>429.3</v>
      </c>
      <c r="T1240">
        <f>(Table13[[#This Row],[Ideal_Cycle_Time_sec]]*Table13[[#This Row],[Actual_Qty]])/(Table13[[#This Row],[Operational_Time_min]]*60)</f>
        <v>0.65125397934622253</v>
      </c>
      <c r="U1240">
        <f>Table13[[#This Row],[Good_Qty]]/Table13[[#This Row],[Actual_Qty]]</f>
        <v>0.99254843517138602</v>
      </c>
      <c r="V1240" t="str">
        <f>IF(OR(Table13[[#This Row],[Performance_%]]&gt;=1,Table13[[#This Row],[Performance_%]]&lt;=0),"Error","OK")</f>
        <v>OK</v>
      </c>
      <c r="W1240" t="str">
        <f>IF(OR(Table13[[#This Row],[Quality_%]]&gt;=1,Table13[[#This Row],[Quality_%]]&lt;=0),"Error","OK")</f>
        <v>OK</v>
      </c>
      <c r="X1240">
        <f>Table13[[#This Row],[Performance_%]]*Table13[[#This Row],[Quality_%]]*[2]Availability_KPI!K1240</f>
        <v>0.6166666666666667</v>
      </c>
      <c r="Y1240" t="str">
        <f>IF(OR(Table13[[#This Row],[OEE_%]]&gt;1,Table13[[#This Row],[OEE_%]]&lt;0),"Error","OK")</f>
        <v>OK</v>
      </c>
    </row>
    <row r="1241" spans="1:25" x14ac:dyDescent="0.2">
      <c r="A1241" t="s">
        <v>1445</v>
      </c>
      <c r="B1241" t="s">
        <v>1438</v>
      </c>
      <c r="C1241" s="2">
        <v>46308</v>
      </c>
      <c r="D1241" t="s">
        <v>53</v>
      </c>
      <c r="E1241" t="s">
        <v>49</v>
      </c>
      <c r="F1241" t="s">
        <v>54</v>
      </c>
      <c r="G1241" t="s">
        <v>39</v>
      </c>
      <c r="H1241">
        <v>676</v>
      </c>
      <c r="I1241">
        <v>673</v>
      </c>
      <c r="J1241">
        <v>3</v>
      </c>
      <c r="K1241">
        <v>20</v>
      </c>
      <c r="L1241">
        <v>20.89</v>
      </c>
      <c r="M1241">
        <v>235.31</v>
      </c>
      <c r="N1241">
        <f>_xlfn.XLOOKUP(Table13[[#This Row],[Production_Order_ID]],[1]Sheet1!$A$2:$A$391,[1]Sheet1!$F$2:$F$391,"No Match")</f>
        <v>620</v>
      </c>
      <c r="O1241" s="3">
        <f>Table13[[#This Row],[Good_Qty]]/Table13[[#This Row],[Planned_Production]]</f>
        <v>1.0854838709677419</v>
      </c>
      <c r="P1241" t="str">
        <f>IF(Table13[[#This Row],[Good_Qty]]&gt;=Table13[[#This Row],[Planned_Production]],"Met","Not Met")</f>
        <v>Met</v>
      </c>
      <c r="Q1241">
        <f>Table13[[#This Row],[Good_Qty]]-Table13[[#This Row],[Planned_Production]]</f>
        <v>53</v>
      </c>
      <c r="R1241" s="3">
        <f>IF(Table13[[#This Row],[Actual_Qty]]=0,0,Table13[[#This Row],[Reject_Qty]]/Table13[[#This Row],[Actual_Qty]])</f>
        <v>4.4378698224852072E-3</v>
      </c>
      <c r="S1241">
        <v>438.35</v>
      </c>
      <c r="T1241">
        <f>(Table13[[#This Row],[Ideal_Cycle_Time_sec]]*Table13[[#This Row],[Actual_Qty]])/(Table13[[#This Row],[Operational_Time_min]]*60)</f>
        <v>0.51404889547925936</v>
      </c>
      <c r="U1241">
        <f>Table13[[#This Row],[Good_Qty]]/Table13[[#This Row],[Actual_Qty]]</f>
        <v>0.99556213017751483</v>
      </c>
      <c r="V1241" t="str">
        <f>IF(OR(Table13[[#This Row],[Performance_%]]&gt;=1,Table13[[#This Row],[Performance_%]]&lt;=0),"Error","OK")</f>
        <v>OK</v>
      </c>
      <c r="W1241" t="str">
        <f>IF(OR(Table13[[#This Row],[Quality_%]]&gt;=1,Table13[[#This Row],[Quality_%]]&lt;=0),"Error","OK")</f>
        <v>OK</v>
      </c>
      <c r="X1241">
        <f>Table13[[#This Row],[Performance_%]]*Table13[[#This Row],[Quality_%]]*[2]Availability_KPI!K1241</f>
        <v>0.49851851851851858</v>
      </c>
      <c r="Y1241" t="str">
        <f>IF(OR(Table13[[#This Row],[OEE_%]]&gt;1,Table13[[#This Row],[OEE_%]]&lt;0),"Error","OK")</f>
        <v>OK</v>
      </c>
    </row>
    <row r="1242" spans="1:25" x14ac:dyDescent="0.2">
      <c r="A1242" t="s">
        <v>1446</v>
      </c>
      <c r="B1242" t="s">
        <v>1447</v>
      </c>
      <c r="C1242" s="2">
        <v>46308</v>
      </c>
      <c r="D1242" t="s">
        <v>67</v>
      </c>
      <c r="E1242" t="s">
        <v>28</v>
      </c>
      <c r="F1242" t="s">
        <v>29</v>
      </c>
      <c r="G1242" t="s">
        <v>39</v>
      </c>
      <c r="H1242">
        <v>549</v>
      </c>
      <c r="I1242">
        <v>547</v>
      </c>
      <c r="J1242">
        <v>2</v>
      </c>
      <c r="K1242">
        <v>19.8</v>
      </c>
      <c r="L1242">
        <v>20.67</v>
      </c>
      <c r="M1242">
        <v>189.11</v>
      </c>
      <c r="N1242">
        <f>_xlfn.XLOOKUP(Table13[[#This Row],[Production_Order_ID]],[1]Sheet1!$A$2:$A$391,[1]Sheet1!$F$2:$F$391,"No Match")</f>
        <v>630</v>
      </c>
      <c r="O1242" s="3">
        <f>Table13[[#This Row],[Good_Qty]]/Table13[[#This Row],[Planned_Production]]</f>
        <v>0.86825396825396828</v>
      </c>
      <c r="P1242" t="str">
        <f>IF(Table13[[#This Row],[Good_Qty]]&gt;=Table13[[#This Row],[Planned_Production]],"Met","Not Met")</f>
        <v>Not Met</v>
      </c>
      <c r="Q1242">
        <f>Table13[[#This Row],[Good_Qty]]-Table13[[#This Row],[Planned_Production]]</f>
        <v>-83</v>
      </c>
      <c r="R1242" s="3">
        <f>IF(Table13[[#This Row],[Actual_Qty]]=0,0,Table13[[#This Row],[Reject_Qty]]/Table13[[#This Row],[Actual_Qty]])</f>
        <v>3.6429872495446266E-3</v>
      </c>
      <c r="S1242">
        <v>439.74</v>
      </c>
      <c r="T1242">
        <f>(Table13[[#This Row],[Ideal_Cycle_Time_sec]]*Table13[[#This Row],[Actual_Qty]])/(Table13[[#This Row],[Operational_Time_min]]*60)</f>
        <v>0.41199345067539911</v>
      </c>
      <c r="U1242">
        <f>Table13[[#This Row],[Good_Qty]]/Table13[[#This Row],[Actual_Qty]]</f>
        <v>0.99635701275045541</v>
      </c>
      <c r="V1242" t="str">
        <f>IF(OR(Table13[[#This Row],[Performance_%]]&gt;=1,Table13[[#This Row],[Performance_%]]&lt;=0),"Error","OK")</f>
        <v>OK</v>
      </c>
      <c r="W1242" t="str">
        <f>IF(OR(Table13[[#This Row],[Quality_%]]&gt;=1,Table13[[#This Row],[Quality_%]]&lt;=0),"Error","OK")</f>
        <v>OK</v>
      </c>
      <c r="X1242">
        <f>Table13[[#This Row],[Performance_%]]*Table13[[#This Row],[Quality_%]]*[2]Availability_KPI!K1242</f>
        <v>0.4011333333333334</v>
      </c>
      <c r="Y1242" t="str">
        <f>IF(OR(Table13[[#This Row],[OEE_%]]&gt;1,Table13[[#This Row],[OEE_%]]&lt;0),"Error","OK")</f>
        <v>OK</v>
      </c>
    </row>
    <row r="1243" spans="1:25" x14ac:dyDescent="0.2">
      <c r="A1243" t="s">
        <v>1448</v>
      </c>
      <c r="B1243" t="s">
        <v>1447</v>
      </c>
      <c r="C1243" s="2">
        <v>46308</v>
      </c>
      <c r="D1243" t="s">
        <v>67</v>
      </c>
      <c r="E1243" t="s">
        <v>32</v>
      </c>
      <c r="F1243" t="s">
        <v>29</v>
      </c>
      <c r="G1243" t="s">
        <v>33</v>
      </c>
      <c r="H1243">
        <v>542</v>
      </c>
      <c r="I1243">
        <v>539</v>
      </c>
      <c r="J1243">
        <v>3</v>
      </c>
      <c r="K1243">
        <v>22</v>
      </c>
      <c r="L1243">
        <v>23.62</v>
      </c>
      <c r="M1243">
        <v>213.39</v>
      </c>
      <c r="N1243">
        <f>_xlfn.XLOOKUP(Table13[[#This Row],[Production_Order_ID]],[1]Sheet1!$A$2:$A$391,[1]Sheet1!$F$2:$F$391,"No Match")</f>
        <v>630</v>
      </c>
      <c r="O1243" s="3">
        <f>Table13[[#This Row],[Good_Qty]]/Table13[[#This Row],[Planned_Production]]</f>
        <v>0.85555555555555551</v>
      </c>
      <c r="P1243" t="str">
        <f>IF(Table13[[#This Row],[Good_Qty]]&gt;=Table13[[#This Row],[Planned_Production]],"Met","Not Met")</f>
        <v>Not Met</v>
      </c>
      <c r="Q1243">
        <f>Table13[[#This Row],[Good_Qty]]-Table13[[#This Row],[Planned_Production]]</f>
        <v>-91</v>
      </c>
      <c r="R1243" s="3">
        <f>IF(Table13[[#This Row],[Actual_Qty]]=0,0,Table13[[#This Row],[Reject_Qty]]/Table13[[#This Row],[Actual_Qty]])</f>
        <v>5.5350553505535052E-3</v>
      </c>
      <c r="S1243">
        <v>435.7</v>
      </c>
      <c r="T1243">
        <f>(Table13[[#This Row],[Ideal_Cycle_Time_sec]]*Table13[[#This Row],[Actual_Qty]])/(Table13[[#This Row],[Operational_Time_min]]*60)</f>
        <v>0.45612424451074901</v>
      </c>
      <c r="U1243">
        <f>Table13[[#This Row],[Good_Qty]]/Table13[[#This Row],[Actual_Qty]]</f>
        <v>0.99446494464944646</v>
      </c>
      <c r="V1243" t="str">
        <f>IF(OR(Table13[[#This Row],[Performance_%]]&gt;=1,Table13[[#This Row],[Performance_%]]&lt;=0),"Error","OK")</f>
        <v>OK</v>
      </c>
      <c r="W1243" t="str">
        <f>IF(OR(Table13[[#This Row],[Quality_%]]&gt;=1,Table13[[#This Row],[Quality_%]]&lt;=0),"Error","OK")</f>
        <v>OK</v>
      </c>
      <c r="X1243">
        <f>Table13[[#This Row],[Performance_%]]*Table13[[#This Row],[Quality_%]]*[2]Availability_KPI!K1243</f>
        <v>0.43918518518518518</v>
      </c>
      <c r="Y1243" t="str">
        <f>IF(OR(Table13[[#This Row],[OEE_%]]&gt;1,Table13[[#This Row],[OEE_%]]&lt;0),"Error","OK")</f>
        <v>OK</v>
      </c>
    </row>
    <row r="1244" spans="1:25" x14ac:dyDescent="0.2">
      <c r="A1244" t="s">
        <v>1449</v>
      </c>
      <c r="B1244" t="s">
        <v>1447</v>
      </c>
      <c r="C1244" s="2">
        <v>46308</v>
      </c>
      <c r="D1244" t="s">
        <v>67</v>
      </c>
      <c r="E1244" t="s">
        <v>35</v>
      </c>
      <c r="F1244" t="s">
        <v>29</v>
      </c>
      <c r="G1244" t="s">
        <v>47</v>
      </c>
      <c r="H1244">
        <v>552</v>
      </c>
      <c r="I1244">
        <v>549</v>
      </c>
      <c r="J1244">
        <v>3</v>
      </c>
      <c r="K1244">
        <v>24.2</v>
      </c>
      <c r="L1244">
        <v>24.73</v>
      </c>
      <c r="M1244">
        <v>227.49</v>
      </c>
      <c r="N1244">
        <f>_xlfn.XLOOKUP(Table13[[#This Row],[Production_Order_ID]],[1]Sheet1!$A$2:$A$391,[1]Sheet1!$F$2:$F$391,"No Match")</f>
        <v>630</v>
      </c>
      <c r="O1244" s="3">
        <f>Table13[[#This Row],[Good_Qty]]/Table13[[#This Row],[Planned_Production]]</f>
        <v>0.87142857142857144</v>
      </c>
      <c r="P1244" t="str">
        <f>IF(Table13[[#This Row],[Good_Qty]]&gt;=Table13[[#This Row],[Planned_Production]],"Met","Not Met")</f>
        <v>Not Met</v>
      </c>
      <c r="Q1244">
        <f>Table13[[#This Row],[Good_Qty]]-Table13[[#This Row],[Planned_Production]]</f>
        <v>-81</v>
      </c>
      <c r="R1244" s="3">
        <f>IF(Table13[[#This Row],[Actual_Qty]]=0,0,Table13[[#This Row],[Reject_Qty]]/Table13[[#This Row],[Actual_Qty]])</f>
        <v>5.434782608695652E-3</v>
      </c>
      <c r="S1244">
        <v>436.52</v>
      </c>
      <c r="T1244">
        <f>(Table13[[#This Row],[Ideal_Cycle_Time_sec]]*Table13[[#This Row],[Actual_Qty]])/(Table13[[#This Row],[Operational_Time_min]]*60)</f>
        <v>0.51003390451754793</v>
      </c>
      <c r="U1244">
        <f>Table13[[#This Row],[Good_Qty]]/Table13[[#This Row],[Actual_Qty]]</f>
        <v>0.99456521739130432</v>
      </c>
      <c r="V1244" t="str">
        <f>IF(OR(Table13[[#This Row],[Performance_%]]&gt;=1,Table13[[#This Row],[Performance_%]]&lt;=0),"Error","OK")</f>
        <v>OK</v>
      </c>
      <c r="W1244" t="str">
        <f>IF(OR(Table13[[#This Row],[Quality_%]]&gt;=1,Table13[[#This Row],[Quality_%]]&lt;=0),"Error","OK")</f>
        <v>OK</v>
      </c>
      <c r="X1244">
        <f>Table13[[#This Row],[Performance_%]]*Table13[[#This Row],[Quality_%]]*[2]Availability_KPI!K1244</f>
        <v>0.49206666666666665</v>
      </c>
      <c r="Y1244" t="str">
        <f>IF(OR(Table13[[#This Row],[OEE_%]]&gt;1,Table13[[#This Row],[OEE_%]]&lt;0),"Error","OK")</f>
        <v>OK</v>
      </c>
    </row>
    <row r="1245" spans="1:25" x14ac:dyDescent="0.2">
      <c r="A1245" t="s">
        <v>1450</v>
      </c>
      <c r="B1245" t="s">
        <v>1447</v>
      </c>
      <c r="C1245" s="2">
        <v>46308</v>
      </c>
      <c r="D1245" t="s">
        <v>67</v>
      </c>
      <c r="E1245" t="s">
        <v>38</v>
      </c>
      <c r="F1245" t="s">
        <v>29</v>
      </c>
      <c r="G1245" t="s">
        <v>75</v>
      </c>
      <c r="H1245">
        <v>545</v>
      </c>
      <c r="I1245">
        <v>543</v>
      </c>
      <c r="J1245">
        <v>2</v>
      </c>
      <c r="K1245">
        <v>22</v>
      </c>
      <c r="L1245">
        <v>22</v>
      </c>
      <c r="M1245">
        <v>199.83</v>
      </c>
      <c r="N1245">
        <f>_xlfn.XLOOKUP(Table13[[#This Row],[Production_Order_ID]],[1]Sheet1!$A$2:$A$391,[1]Sheet1!$F$2:$F$391,"No Match")</f>
        <v>630</v>
      </c>
      <c r="O1245" s="3">
        <f>Table13[[#This Row],[Good_Qty]]/Table13[[#This Row],[Planned_Production]]</f>
        <v>0.86190476190476195</v>
      </c>
      <c r="P1245" t="str">
        <f>IF(Table13[[#This Row],[Good_Qty]]&gt;=Table13[[#This Row],[Planned_Production]],"Met","Not Met")</f>
        <v>Not Met</v>
      </c>
      <c r="Q1245">
        <f>Table13[[#This Row],[Good_Qty]]-Table13[[#This Row],[Planned_Production]]</f>
        <v>-87</v>
      </c>
      <c r="R1245" s="3">
        <f>IF(Table13[[#This Row],[Actual_Qty]]=0,0,Table13[[#This Row],[Reject_Qty]]/Table13[[#This Row],[Actual_Qty]])</f>
        <v>3.669724770642202E-3</v>
      </c>
      <c r="S1245">
        <v>440.67</v>
      </c>
      <c r="T1245">
        <f>(Table13[[#This Row],[Ideal_Cycle_Time_sec]]*Table13[[#This Row],[Actual_Qty]])/(Table13[[#This Row],[Operational_Time_min]]*60)</f>
        <v>0.45347614617136028</v>
      </c>
      <c r="U1245">
        <f>Table13[[#This Row],[Good_Qty]]/Table13[[#This Row],[Actual_Qty]]</f>
        <v>0.9963302752293578</v>
      </c>
      <c r="V1245" t="str">
        <f>IF(OR(Table13[[#This Row],[Performance_%]]&gt;=1,Table13[[#This Row],[Performance_%]]&lt;=0),"Error","OK")</f>
        <v>OK</v>
      </c>
      <c r="W1245" t="str">
        <f>IF(OR(Table13[[#This Row],[Quality_%]]&gt;=1,Table13[[#This Row],[Quality_%]]&lt;=0),"Error","OK")</f>
        <v>OK</v>
      </c>
      <c r="X1245">
        <f>Table13[[#This Row],[Performance_%]]*Table13[[#This Row],[Quality_%]]*[2]Availability_KPI!K1245</f>
        <v>0.44244444444444447</v>
      </c>
      <c r="Y1245" t="str">
        <f>IF(OR(Table13[[#This Row],[OEE_%]]&gt;1,Table13[[#This Row],[OEE_%]]&lt;0),"Error","OK")</f>
        <v>OK</v>
      </c>
    </row>
    <row r="1246" spans="1:25" x14ac:dyDescent="0.2">
      <c r="A1246" t="s">
        <v>1451</v>
      </c>
      <c r="B1246" t="s">
        <v>1447</v>
      </c>
      <c r="C1246" s="2">
        <v>46308</v>
      </c>
      <c r="D1246" t="s">
        <v>67</v>
      </c>
      <c r="E1246" t="s">
        <v>41</v>
      </c>
      <c r="F1246" t="s">
        <v>29</v>
      </c>
      <c r="G1246" t="s">
        <v>36</v>
      </c>
      <c r="H1246">
        <v>551</v>
      </c>
      <c r="I1246">
        <v>545</v>
      </c>
      <c r="J1246">
        <v>6</v>
      </c>
      <c r="K1246">
        <v>19.8</v>
      </c>
      <c r="L1246">
        <v>20.170000000000002</v>
      </c>
      <c r="M1246">
        <v>185.19</v>
      </c>
      <c r="N1246">
        <f>_xlfn.XLOOKUP(Table13[[#This Row],[Production_Order_ID]],[1]Sheet1!$A$2:$A$391,[1]Sheet1!$F$2:$F$391,"No Match")</f>
        <v>630</v>
      </c>
      <c r="O1246" s="3">
        <f>Table13[[#This Row],[Good_Qty]]/Table13[[#This Row],[Planned_Production]]</f>
        <v>0.86507936507936511</v>
      </c>
      <c r="P1246" t="str">
        <f>IF(Table13[[#This Row],[Good_Qty]]&gt;=Table13[[#This Row],[Planned_Production]],"Met","Not Met")</f>
        <v>Not Met</v>
      </c>
      <c r="Q1246">
        <f>Table13[[#This Row],[Good_Qty]]-Table13[[#This Row],[Planned_Production]]</f>
        <v>-85</v>
      </c>
      <c r="R1246" s="3">
        <f>IF(Table13[[#This Row],[Actual_Qty]]=0,0,Table13[[#This Row],[Reject_Qty]]/Table13[[#This Row],[Actual_Qty]])</f>
        <v>1.0889292196007259E-2</v>
      </c>
      <c r="S1246">
        <v>439.73</v>
      </c>
      <c r="T1246">
        <f>(Table13[[#This Row],[Ideal_Cycle_Time_sec]]*Table13[[#This Row],[Actual_Qty]])/(Table13[[#This Row],[Operational_Time_min]]*60)</f>
        <v>0.41350374093193548</v>
      </c>
      <c r="U1246">
        <f>Table13[[#This Row],[Good_Qty]]/Table13[[#This Row],[Actual_Qty]]</f>
        <v>0.98911070780399279</v>
      </c>
      <c r="V1246" t="str">
        <f>IF(OR(Table13[[#This Row],[Performance_%]]&gt;=1,Table13[[#This Row],[Performance_%]]&lt;=0),"Error","OK")</f>
        <v>OK</v>
      </c>
      <c r="W1246" t="str">
        <f>IF(OR(Table13[[#This Row],[Quality_%]]&gt;=1,Table13[[#This Row],[Quality_%]]&lt;=0),"Error","OK")</f>
        <v>OK</v>
      </c>
      <c r="X1246">
        <f>Table13[[#This Row],[Performance_%]]*Table13[[#This Row],[Quality_%]]*[2]Availability_KPI!K1246</f>
        <v>0.39966666666666667</v>
      </c>
      <c r="Y1246" t="str">
        <f>IF(OR(Table13[[#This Row],[OEE_%]]&gt;1,Table13[[#This Row],[OEE_%]]&lt;0),"Error","OK")</f>
        <v>OK</v>
      </c>
    </row>
    <row r="1247" spans="1:25" x14ac:dyDescent="0.2">
      <c r="A1247" t="s">
        <v>1452</v>
      </c>
      <c r="B1247" t="s">
        <v>1447</v>
      </c>
      <c r="C1247" s="2">
        <v>46308</v>
      </c>
      <c r="D1247" t="s">
        <v>67</v>
      </c>
      <c r="E1247" t="s">
        <v>43</v>
      </c>
      <c r="F1247" t="s">
        <v>29</v>
      </c>
      <c r="G1247" t="s">
        <v>50</v>
      </c>
      <c r="H1247">
        <v>550</v>
      </c>
      <c r="I1247">
        <v>542</v>
      </c>
      <c r="J1247">
        <v>8</v>
      </c>
      <c r="K1247">
        <v>35.200000000000003</v>
      </c>
      <c r="L1247">
        <v>37.979999999999997</v>
      </c>
      <c r="M1247">
        <v>348.13</v>
      </c>
      <c r="N1247">
        <f>_xlfn.XLOOKUP(Table13[[#This Row],[Production_Order_ID]],[1]Sheet1!$A$2:$A$391,[1]Sheet1!$F$2:$F$391,"No Match")</f>
        <v>630</v>
      </c>
      <c r="O1247" s="3">
        <f>Table13[[#This Row],[Good_Qty]]/Table13[[#This Row],[Planned_Production]]</f>
        <v>0.86031746031746037</v>
      </c>
      <c r="P1247" t="str">
        <f>IF(Table13[[#This Row],[Good_Qty]]&gt;=Table13[[#This Row],[Planned_Production]],"Met","Not Met")</f>
        <v>Not Met</v>
      </c>
      <c r="Q1247">
        <f>Table13[[#This Row],[Good_Qty]]-Table13[[#This Row],[Planned_Production]]</f>
        <v>-88</v>
      </c>
      <c r="R1247" s="3">
        <f>IF(Table13[[#This Row],[Actual_Qty]]=0,0,Table13[[#This Row],[Reject_Qty]]/Table13[[#This Row],[Actual_Qty]])</f>
        <v>1.4545454545454545E-2</v>
      </c>
      <c r="S1247">
        <v>413.62</v>
      </c>
      <c r="T1247">
        <f>(Table13[[#This Row],[Ideal_Cycle_Time_sec]]*Table13[[#This Row],[Actual_Qty]])/(Table13[[#This Row],[Operational_Time_min]]*60)</f>
        <v>0.78010412133520302</v>
      </c>
      <c r="U1247">
        <f>Table13[[#This Row],[Good_Qty]]/Table13[[#This Row],[Actual_Qty]]</f>
        <v>0.98545454545454547</v>
      </c>
      <c r="V1247" t="str">
        <f>IF(OR(Table13[[#This Row],[Performance_%]]&gt;=1,Table13[[#This Row],[Performance_%]]&lt;=0),"Error","OK")</f>
        <v>OK</v>
      </c>
      <c r="W1247" t="str">
        <f>IF(OR(Table13[[#This Row],[Quality_%]]&gt;=1,Table13[[#This Row],[Quality_%]]&lt;=0),"Error","OK")</f>
        <v>OK</v>
      </c>
      <c r="X1247">
        <f>Table13[[#This Row],[Performance_%]]*Table13[[#This Row],[Quality_%]]*[2]Availability_KPI!K1247</f>
        <v>0.70660740740740746</v>
      </c>
      <c r="Y1247" t="str">
        <f>IF(OR(Table13[[#This Row],[OEE_%]]&gt;1,Table13[[#This Row],[OEE_%]]&lt;0),"Error","OK")</f>
        <v>OK</v>
      </c>
    </row>
    <row r="1248" spans="1:25" x14ac:dyDescent="0.2">
      <c r="A1248" t="s">
        <v>1453</v>
      </c>
      <c r="B1248" t="s">
        <v>1447</v>
      </c>
      <c r="C1248" s="2">
        <v>46308</v>
      </c>
      <c r="D1248" t="s">
        <v>67</v>
      </c>
      <c r="E1248" t="s">
        <v>46</v>
      </c>
      <c r="F1248" t="s">
        <v>29</v>
      </c>
      <c r="G1248" t="s">
        <v>50</v>
      </c>
      <c r="H1248">
        <v>554</v>
      </c>
      <c r="I1248">
        <v>548</v>
      </c>
      <c r="J1248">
        <v>6</v>
      </c>
      <c r="K1248">
        <v>27.5</v>
      </c>
      <c r="L1248">
        <v>28.9</v>
      </c>
      <c r="M1248">
        <v>266.83</v>
      </c>
      <c r="N1248">
        <f>_xlfn.XLOOKUP(Table13[[#This Row],[Production_Order_ID]],[1]Sheet1!$A$2:$A$391,[1]Sheet1!$F$2:$F$391,"No Match")</f>
        <v>630</v>
      </c>
      <c r="O1248" s="3">
        <f>Table13[[#This Row],[Good_Qty]]/Table13[[#This Row],[Planned_Production]]</f>
        <v>0.86984126984126986</v>
      </c>
      <c r="P1248" t="str">
        <f>IF(Table13[[#This Row],[Good_Qty]]&gt;=Table13[[#This Row],[Planned_Production]],"Met","Not Met")</f>
        <v>Not Met</v>
      </c>
      <c r="Q1248">
        <f>Table13[[#This Row],[Good_Qty]]-Table13[[#This Row],[Planned_Production]]</f>
        <v>-82</v>
      </c>
      <c r="R1248" s="3">
        <f>IF(Table13[[#This Row],[Actual_Qty]]=0,0,Table13[[#This Row],[Reject_Qty]]/Table13[[#This Row],[Actual_Qty]])</f>
        <v>1.0830324909747292E-2</v>
      </c>
      <c r="S1248">
        <v>430.88</v>
      </c>
      <c r="T1248">
        <f>(Table13[[#This Row],[Ideal_Cycle_Time_sec]]*Table13[[#This Row],[Actual_Qty]])/(Table13[[#This Row],[Operational_Time_min]]*60)</f>
        <v>0.58929787102364151</v>
      </c>
      <c r="U1248">
        <f>Table13[[#This Row],[Good_Qty]]/Table13[[#This Row],[Actual_Qty]]</f>
        <v>0.98916967509025266</v>
      </c>
      <c r="V1248" t="str">
        <f>IF(OR(Table13[[#This Row],[Performance_%]]&gt;=1,Table13[[#This Row],[Performance_%]]&lt;=0),"Error","OK")</f>
        <v>OK</v>
      </c>
      <c r="W1248" t="str">
        <f>IF(OR(Table13[[#This Row],[Quality_%]]&gt;=1,Table13[[#This Row],[Quality_%]]&lt;=0),"Error","OK")</f>
        <v>OK</v>
      </c>
      <c r="X1248">
        <f>Table13[[#This Row],[Performance_%]]*Table13[[#This Row],[Quality_%]]*[2]Availability_KPI!K1248</f>
        <v>0.55814814814814806</v>
      </c>
      <c r="Y1248" t="str">
        <f>IF(OR(Table13[[#This Row],[OEE_%]]&gt;1,Table13[[#This Row],[OEE_%]]&lt;0),"Error","OK")</f>
        <v>OK</v>
      </c>
    </row>
    <row r="1249" spans="1:25" x14ac:dyDescent="0.2">
      <c r="A1249" t="s">
        <v>1454</v>
      </c>
      <c r="B1249" t="s">
        <v>1447</v>
      </c>
      <c r="C1249" s="2">
        <v>46308</v>
      </c>
      <c r="D1249" t="s">
        <v>67</v>
      </c>
      <c r="E1249" t="s">
        <v>49</v>
      </c>
      <c r="F1249" t="s">
        <v>29</v>
      </c>
      <c r="G1249" t="s">
        <v>33</v>
      </c>
      <c r="H1249">
        <v>539</v>
      </c>
      <c r="I1249">
        <v>537</v>
      </c>
      <c r="J1249">
        <v>2</v>
      </c>
      <c r="K1249">
        <v>22</v>
      </c>
      <c r="L1249">
        <v>22.14</v>
      </c>
      <c r="M1249">
        <v>198.92</v>
      </c>
      <c r="N1249">
        <f>_xlfn.XLOOKUP(Table13[[#This Row],[Production_Order_ID]],[1]Sheet1!$A$2:$A$391,[1]Sheet1!$F$2:$F$391,"No Match")</f>
        <v>630</v>
      </c>
      <c r="O1249" s="3">
        <f>Table13[[#This Row],[Good_Qty]]/Table13[[#This Row],[Planned_Production]]</f>
        <v>0.85238095238095235</v>
      </c>
      <c r="P1249" t="str">
        <f>IF(Table13[[#This Row],[Good_Qty]]&gt;=Table13[[#This Row],[Planned_Production]],"Met","Not Met")</f>
        <v>Not Met</v>
      </c>
      <c r="Q1249">
        <f>Table13[[#This Row],[Good_Qty]]-Table13[[#This Row],[Planned_Production]]</f>
        <v>-93</v>
      </c>
      <c r="R1249" s="3">
        <f>IF(Table13[[#This Row],[Actual_Qty]]=0,0,Table13[[#This Row],[Reject_Qty]]/Table13[[#This Row],[Actual_Qty]])</f>
        <v>3.7105751391465678E-3</v>
      </c>
      <c r="S1249">
        <v>443.56</v>
      </c>
      <c r="T1249">
        <f>(Table13[[#This Row],[Ideal_Cycle_Time_sec]]*Table13[[#This Row],[Actual_Qty]])/(Table13[[#This Row],[Operational_Time_min]]*60)</f>
        <v>0.44556166771876038</v>
      </c>
      <c r="U1249">
        <f>Table13[[#This Row],[Good_Qty]]/Table13[[#This Row],[Actual_Qty]]</f>
        <v>0.99628942486085348</v>
      </c>
      <c r="V1249" t="str">
        <f>IF(OR(Table13[[#This Row],[Performance_%]]&gt;=1,Table13[[#This Row],[Performance_%]]&lt;=0),"Error","OK")</f>
        <v>OK</v>
      </c>
      <c r="W1249" t="str">
        <f>IF(OR(Table13[[#This Row],[Quality_%]]&gt;=1,Table13[[#This Row],[Quality_%]]&lt;=0),"Error","OK")</f>
        <v>OK</v>
      </c>
      <c r="X1249">
        <f>Table13[[#This Row],[Performance_%]]*Table13[[#This Row],[Quality_%]]*[2]Availability_KPI!K1249</f>
        <v>0.43755555555555564</v>
      </c>
      <c r="Y1249" t="str">
        <f>IF(OR(Table13[[#This Row],[OEE_%]]&gt;1,Table13[[#This Row],[OEE_%]]&lt;0),"Error","OK")</f>
        <v>OK</v>
      </c>
    </row>
    <row r="1250" spans="1:25" x14ac:dyDescent="0.2">
      <c r="A1250" t="s">
        <v>1455</v>
      </c>
      <c r="B1250" t="s">
        <v>1456</v>
      </c>
      <c r="C1250" s="2">
        <v>46309</v>
      </c>
      <c r="D1250" t="s">
        <v>27</v>
      </c>
      <c r="E1250" t="s">
        <v>28</v>
      </c>
      <c r="F1250" t="s">
        <v>97</v>
      </c>
      <c r="G1250" t="s">
        <v>36</v>
      </c>
      <c r="H1250">
        <v>600</v>
      </c>
      <c r="I1250">
        <v>596</v>
      </c>
      <c r="J1250">
        <v>4</v>
      </c>
      <c r="K1250">
        <v>19.260000000000002</v>
      </c>
      <c r="L1250">
        <v>20.260000000000002</v>
      </c>
      <c r="M1250">
        <v>202.63</v>
      </c>
      <c r="N1250">
        <f>_xlfn.XLOOKUP(Table13[[#This Row],[Production_Order_ID]],[1]Sheet1!$A$2:$A$391,[1]Sheet1!$F$2:$F$391,"No Match")</f>
        <v>650</v>
      </c>
      <c r="O1250" s="3">
        <f>Table13[[#This Row],[Good_Qty]]/Table13[[#This Row],[Planned_Production]]</f>
        <v>0.91692307692307695</v>
      </c>
      <c r="P1250" t="str">
        <f>IF(Table13[[#This Row],[Good_Qty]]&gt;=Table13[[#This Row],[Planned_Production]],"Met","Not Met")</f>
        <v>Not Met</v>
      </c>
      <c r="Q1250">
        <f>Table13[[#This Row],[Good_Qty]]-Table13[[#This Row],[Planned_Production]]</f>
        <v>-54</v>
      </c>
      <c r="R1250" s="3">
        <f>IF(Table13[[#This Row],[Actual_Qty]]=0,0,Table13[[#This Row],[Reject_Qty]]/Table13[[#This Row],[Actual_Qty]])</f>
        <v>6.6666666666666671E-3</v>
      </c>
      <c r="S1250">
        <v>440.44</v>
      </c>
      <c r="T1250">
        <f>(Table13[[#This Row],[Ideal_Cycle_Time_sec]]*Table13[[#This Row],[Actual_Qty]])/(Table13[[#This Row],[Operational_Time_min]]*60)</f>
        <v>0.43728998274452824</v>
      </c>
      <c r="U1250">
        <f>Table13[[#This Row],[Good_Qty]]/Table13[[#This Row],[Actual_Qty]]</f>
        <v>0.99333333333333329</v>
      </c>
      <c r="V1250" t="str">
        <f>IF(OR(Table13[[#This Row],[Performance_%]]&gt;=1,Table13[[#This Row],[Performance_%]]&lt;=0),"Error","OK")</f>
        <v>OK</v>
      </c>
      <c r="W1250" t="str">
        <f>IF(OR(Table13[[#This Row],[Quality_%]]&gt;=1,Table13[[#This Row],[Quality_%]]&lt;=0),"Error","OK")</f>
        <v>OK</v>
      </c>
      <c r="X1250">
        <f>Table13[[#This Row],[Performance_%]]*Table13[[#This Row],[Quality_%]]*[2]Availability_KPI!K1250</f>
        <v>0.42514666666666667</v>
      </c>
      <c r="Y1250" t="str">
        <f>IF(OR(Table13[[#This Row],[OEE_%]]&gt;1,Table13[[#This Row],[OEE_%]]&lt;0),"Error","OK")</f>
        <v>OK</v>
      </c>
    </row>
    <row r="1251" spans="1:25" x14ac:dyDescent="0.2">
      <c r="A1251" t="s">
        <v>1457</v>
      </c>
      <c r="B1251" t="s">
        <v>1456</v>
      </c>
      <c r="C1251" s="2">
        <v>46309</v>
      </c>
      <c r="D1251" t="s">
        <v>27</v>
      </c>
      <c r="E1251" t="s">
        <v>32</v>
      </c>
      <c r="F1251" t="s">
        <v>97</v>
      </c>
      <c r="G1251" t="s">
        <v>36</v>
      </c>
      <c r="H1251">
        <v>579</v>
      </c>
      <c r="I1251">
        <v>576</v>
      </c>
      <c r="J1251">
        <v>3</v>
      </c>
      <c r="K1251">
        <v>21.4</v>
      </c>
      <c r="L1251">
        <v>22.71</v>
      </c>
      <c r="M1251">
        <v>219.16</v>
      </c>
      <c r="N1251">
        <f>_xlfn.XLOOKUP(Table13[[#This Row],[Production_Order_ID]],[1]Sheet1!$A$2:$A$391,[1]Sheet1!$F$2:$F$391,"No Match")</f>
        <v>650</v>
      </c>
      <c r="O1251" s="3">
        <f>Table13[[#This Row],[Good_Qty]]/Table13[[#This Row],[Planned_Production]]</f>
        <v>0.88615384615384618</v>
      </c>
      <c r="P1251" t="str">
        <f>IF(Table13[[#This Row],[Good_Qty]]&gt;=Table13[[#This Row],[Planned_Production]],"Met","Not Met")</f>
        <v>Not Met</v>
      </c>
      <c r="Q1251">
        <f>Table13[[#This Row],[Good_Qty]]-Table13[[#This Row],[Planned_Production]]</f>
        <v>-74</v>
      </c>
      <c r="R1251" s="3">
        <f>IF(Table13[[#This Row],[Actual_Qty]]=0,0,Table13[[#This Row],[Reject_Qty]]/Table13[[#This Row],[Actual_Qty]])</f>
        <v>5.1813471502590676E-3</v>
      </c>
      <c r="S1251">
        <v>436.35</v>
      </c>
      <c r="T1251">
        <f>(Table13[[#This Row],[Ideal_Cycle_Time_sec]]*Table13[[#This Row],[Actual_Qty]])/(Table13[[#This Row],[Operational_Time_min]]*60)</f>
        <v>0.47326687292311215</v>
      </c>
      <c r="U1251">
        <f>Table13[[#This Row],[Good_Qty]]/Table13[[#This Row],[Actual_Qty]]</f>
        <v>0.99481865284974091</v>
      </c>
      <c r="V1251" t="str">
        <f>IF(OR(Table13[[#This Row],[Performance_%]]&gt;=1,Table13[[#This Row],[Performance_%]]&lt;=0),"Error","OK")</f>
        <v>OK</v>
      </c>
      <c r="W1251" t="str">
        <f>IF(OR(Table13[[#This Row],[Quality_%]]&gt;=1,Table13[[#This Row],[Quality_%]]&lt;=0),"Error","OK")</f>
        <v>OK</v>
      </c>
      <c r="X1251">
        <f>Table13[[#This Row],[Performance_%]]*Table13[[#This Row],[Quality_%]]*[2]Availability_KPI!K1251</f>
        <v>0.45653333333333329</v>
      </c>
      <c r="Y1251" t="str">
        <f>IF(OR(Table13[[#This Row],[OEE_%]]&gt;1,Table13[[#This Row],[OEE_%]]&lt;0),"Error","OK")</f>
        <v>OK</v>
      </c>
    </row>
    <row r="1252" spans="1:25" x14ac:dyDescent="0.2">
      <c r="A1252" t="s">
        <v>1458</v>
      </c>
      <c r="B1252" t="s">
        <v>1456</v>
      </c>
      <c r="C1252" s="2">
        <v>46309</v>
      </c>
      <c r="D1252" t="s">
        <v>27</v>
      </c>
      <c r="E1252" t="s">
        <v>35</v>
      </c>
      <c r="F1252" t="s">
        <v>97</v>
      </c>
      <c r="G1252" t="s">
        <v>39</v>
      </c>
      <c r="H1252">
        <v>596</v>
      </c>
      <c r="I1252">
        <v>592</v>
      </c>
      <c r="J1252">
        <v>4</v>
      </c>
      <c r="K1252">
        <v>23.54</v>
      </c>
      <c r="L1252">
        <v>25.2</v>
      </c>
      <c r="M1252">
        <v>250.35</v>
      </c>
      <c r="N1252">
        <f>_xlfn.XLOOKUP(Table13[[#This Row],[Production_Order_ID]],[1]Sheet1!$A$2:$A$391,[1]Sheet1!$F$2:$F$391,"No Match")</f>
        <v>650</v>
      </c>
      <c r="O1252" s="3">
        <f>Table13[[#This Row],[Good_Qty]]/Table13[[#This Row],[Planned_Production]]</f>
        <v>0.91076923076923078</v>
      </c>
      <c r="P1252" t="str">
        <f>IF(Table13[[#This Row],[Good_Qty]]&gt;=Table13[[#This Row],[Planned_Production]],"Met","Not Met")</f>
        <v>Not Met</v>
      </c>
      <c r="Q1252">
        <f>Table13[[#This Row],[Good_Qty]]-Table13[[#This Row],[Planned_Production]]</f>
        <v>-58</v>
      </c>
      <c r="R1252" s="3">
        <f>IF(Table13[[#This Row],[Actual_Qty]]=0,0,Table13[[#This Row],[Reject_Qty]]/Table13[[#This Row],[Actual_Qty]])</f>
        <v>6.7114093959731542E-3</v>
      </c>
      <c r="S1252">
        <v>437.76</v>
      </c>
      <c r="T1252">
        <f>(Table13[[#This Row],[Ideal_Cycle_Time_sec]]*Table13[[#This Row],[Actual_Qty]])/(Table13[[#This Row],[Operational_Time_min]]*60)</f>
        <v>0.53415265594541916</v>
      </c>
      <c r="U1252">
        <f>Table13[[#This Row],[Good_Qty]]/Table13[[#This Row],[Actual_Qty]]</f>
        <v>0.99328859060402686</v>
      </c>
      <c r="V1252" t="str">
        <f>IF(OR(Table13[[#This Row],[Performance_%]]&gt;=1,Table13[[#This Row],[Performance_%]]&lt;=0),"Error","OK")</f>
        <v>OK</v>
      </c>
      <c r="W1252" t="str">
        <f>IF(OR(Table13[[#This Row],[Quality_%]]&gt;=1,Table13[[#This Row],[Quality_%]]&lt;=0),"Error","OK")</f>
        <v>OK</v>
      </c>
      <c r="X1252">
        <f>Table13[[#This Row],[Performance_%]]*Table13[[#This Row],[Quality_%]]*[2]Availability_KPI!K1252</f>
        <v>0.51613629629629632</v>
      </c>
      <c r="Y1252" t="str">
        <f>IF(OR(Table13[[#This Row],[OEE_%]]&gt;1,Table13[[#This Row],[OEE_%]]&lt;0),"Error","OK")</f>
        <v>OK</v>
      </c>
    </row>
    <row r="1253" spans="1:25" x14ac:dyDescent="0.2">
      <c r="A1253" t="s">
        <v>1459</v>
      </c>
      <c r="B1253" t="s">
        <v>1456</v>
      </c>
      <c r="C1253" s="2">
        <v>46309</v>
      </c>
      <c r="D1253" t="s">
        <v>27</v>
      </c>
      <c r="E1253" t="s">
        <v>38</v>
      </c>
      <c r="F1253" t="s">
        <v>97</v>
      </c>
      <c r="G1253" t="s">
        <v>57</v>
      </c>
      <c r="H1253">
        <v>587</v>
      </c>
      <c r="I1253">
        <v>582</v>
      </c>
      <c r="J1253">
        <v>5</v>
      </c>
      <c r="K1253">
        <v>21.4</v>
      </c>
      <c r="L1253">
        <v>22.82</v>
      </c>
      <c r="M1253">
        <v>223.29</v>
      </c>
      <c r="N1253">
        <f>_xlfn.XLOOKUP(Table13[[#This Row],[Production_Order_ID]],[1]Sheet1!$A$2:$A$391,[1]Sheet1!$F$2:$F$391,"No Match")</f>
        <v>650</v>
      </c>
      <c r="O1253" s="3">
        <f>Table13[[#This Row],[Good_Qty]]/Table13[[#This Row],[Planned_Production]]</f>
        <v>0.89538461538461533</v>
      </c>
      <c r="P1253" t="str">
        <f>IF(Table13[[#This Row],[Good_Qty]]&gt;=Table13[[#This Row],[Planned_Production]],"Met","Not Met")</f>
        <v>Not Met</v>
      </c>
      <c r="Q1253">
        <f>Table13[[#This Row],[Good_Qty]]-Table13[[#This Row],[Planned_Production]]</f>
        <v>-68</v>
      </c>
      <c r="R1253" s="3">
        <f>IF(Table13[[#This Row],[Actual_Qty]]=0,0,Table13[[#This Row],[Reject_Qty]]/Table13[[#This Row],[Actual_Qty]])</f>
        <v>8.5178875638841564E-3</v>
      </c>
      <c r="S1253">
        <v>436.68</v>
      </c>
      <c r="T1253">
        <f>(Table13[[#This Row],[Ideal_Cycle_Time_sec]]*Table13[[#This Row],[Actual_Qty]])/(Table13[[#This Row],[Operational_Time_min]]*60)</f>
        <v>0.47944337577478546</v>
      </c>
      <c r="U1253">
        <f>Table13[[#This Row],[Good_Qty]]/Table13[[#This Row],[Actual_Qty]]</f>
        <v>0.99148211243611584</v>
      </c>
      <c r="V1253" t="str">
        <f>IF(OR(Table13[[#This Row],[Performance_%]]&gt;=1,Table13[[#This Row],[Performance_%]]&lt;=0),"Error","OK")</f>
        <v>OK</v>
      </c>
      <c r="W1253" t="str">
        <f>IF(OR(Table13[[#This Row],[Quality_%]]&gt;=1,Table13[[#This Row],[Quality_%]]&lt;=0),"Error","OK")</f>
        <v>OK</v>
      </c>
      <c r="X1253">
        <f>Table13[[#This Row],[Performance_%]]*Table13[[#This Row],[Quality_%]]*[2]Availability_KPI!K1253</f>
        <v>0.46128888888888886</v>
      </c>
      <c r="Y1253" t="str">
        <f>IF(OR(Table13[[#This Row],[OEE_%]]&gt;1,Table13[[#This Row],[OEE_%]]&lt;0),"Error","OK")</f>
        <v>OK</v>
      </c>
    </row>
    <row r="1254" spans="1:25" x14ac:dyDescent="0.2">
      <c r="A1254" t="s">
        <v>1460</v>
      </c>
      <c r="B1254" t="s">
        <v>1456</v>
      </c>
      <c r="C1254" s="2">
        <v>46309</v>
      </c>
      <c r="D1254" t="s">
        <v>27</v>
      </c>
      <c r="E1254" t="s">
        <v>41</v>
      </c>
      <c r="F1254" t="s">
        <v>97</v>
      </c>
      <c r="G1254" t="s">
        <v>57</v>
      </c>
      <c r="H1254">
        <v>583</v>
      </c>
      <c r="I1254">
        <v>577</v>
      </c>
      <c r="J1254">
        <v>6</v>
      </c>
      <c r="K1254">
        <v>19.260000000000002</v>
      </c>
      <c r="L1254">
        <v>21.29</v>
      </c>
      <c r="M1254">
        <v>206.85</v>
      </c>
      <c r="N1254">
        <f>_xlfn.XLOOKUP(Table13[[#This Row],[Production_Order_ID]],[1]Sheet1!$A$2:$A$391,[1]Sheet1!$F$2:$F$391,"No Match")</f>
        <v>650</v>
      </c>
      <c r="O1254" s="3">
        <f>Table13[[#This Row],[Good_Qty]]/Table13[[#This Row],[Planned_Production]]</f>
        <v>0.88769230769230767</v>
      </c>
      <c r="P1254" t="str">
        <f>IF(Table13[[#This Row],[Good_Qty]]&gt;=Table13[[#This Row],[Planned_Production]],"Met","Not Met")</f>
        <v>Not Met</v>
      </c>
      <c r="Q1254">
        <f>Table13[[#This Row],[Good_Qty]]-Table13[[#This Row],[Planned_Production]]</f>
        <v>-73</v>
      </c>
      <c r="R1254" s="3">
        <f>IF(Table13[[#This Row],[Actual_Qty]]=0,0,Table13[[#This Row],[Reject_Qty]]/Table13[[#This Row],[Actual_Qty]])</f>
        <v>1.0291595197255575E-2</v>
      </c>
      <c r="S1254">
        <v>438</v>
      </c>
      <c r="T1254">
        <f>(Table13[[#This Row],[Ideal_Cycle_Time_sec]]*Table13[[#This Row],[Actual_Qty]])/(Table13[[#This Row],[Operational_Time_min]]*60)</f>
        <v>0.4272671232876713</v>
      </c>
      <c r="U1254">
        <f>Table13[[#This Row],[Good_Qty]]/Table13[[#This Row],[Actual_Qty]]</f>
        <v>0.98970840480274447</v>
      </c>
      <c r="V1254" t="str">
        <f>IF(OR(Table13[[#This Row],[Performance_%]]&gt;=1,Table13[[#This Row],[Performance_%]]&lt;=0),"Error","OK")</f>
        <v>OK</v>
      </c>
      <c r="W1254" t="str">
        <f>IF(OR(Table13[[#This Row],[Quality_%]]&gt;=1,Table13[[#This Row],[Quality_%]]&lt;=0),"Error","OK")</f>
        <v>OK</v>
      </c>
      <c r="X1254">
        <f>Table13[[#This Row],[Performance_%]]*Table13[[#This Row],[Quality_%]]*[2]Availability_KPI!K1254</f>
        <v>0.41159333333333342</v>
      </c>
      <c r="Y1254" t="str">
        <f>IF(OR(Table13[[#This Row],[OEE_%]]&gt;1,Table13[[#This Row],[OEE_%]]&lt;0),"Error","OK")</f>
        <v>OK</v>
      </c>
    </row>
    <row r="1255" spans="1:25" x14ac:dyDescent="0.2">
      <c r="A1255" t="s">
        <v>1461</v>
      </c>
      <c r="B1255" t="s">
        <v>1456</v>
      </c>
      <c r="C1255" s="2">
        <v>46309</v>
      </c>
      <c r="D1255" t="s">
        <v>27</v>
      </c>
      <c r="E1255" t="s">
        <v>43</v>
      </c>
      <c r="F1255" t="s">
        <v>97</v>
      </c>
      <c r="G1255" t="s">
        <v>50</v>
      </c>
      <c r="H1255">
        <v>584</v>
      </c>
      <c r="I1255">
        <v>576</v>
      </c>
      <c r="J1255">
        <v>8</v>
      </c>
      <c r="K1255">
        <v>34.24</v>
      </c>
      <c r="L1255">
        <v>35.47</v>
      </c>
      <c r="M1255">
        <v>345.21</v>
      </c>
      <c r="N1255">
        <f>_xlfn.XLOOKUP(Table13[[#This Row],[Production_Order_ID]],[1]Sheet1!$A$2:$A$391,[1]Sheet1!$F$2:$F$391,"No Match")</f>
        <v>650</v>
      </c>
      <c r="O1255" s="3">
        <f>Table13[[#This Row],[Good_Qty]]/Table13[[#This Row],[Planned_Production]]</f>
        <v>0.88615384615384618</v>
      </c>
      <c r="P1255" t="str">
        <f>IF(Table13[[#This Row],[Good_Qty]]&gt;=Table13[[#This Row],[Planned_Production]],"Met","Not Met")</f>
        <v>Not Met</v>
      </c>
      <c r="Q1255">
        <f>Table13[[#This Row],[Good_Qty]]-Table13[[#This Row],[Planned_Production]]</f>
        <v>-74</v>
      </c>
      <c r="R1255" s="3">
        <f>IF(Table13[[#This Row],[Actual_Qty]]=0,0,Table13[[#This Row],[Reject_Qty]]/Table13[[#This Row],[Actual_Qty]])</f>
        <v>1.3698630136986301E-2</v>
      </c>
      <c r="S1255">
        <v>417.44</v>
      </c>
      <c r="T1255">
        <f>(Table13[[#This Row],[Ideal_Cycle_Time_sec]]*Table13[[#This Row],[Actual_Qty]])/(Table13[[#This Row],[Operational_Time_min]]*60)</f>
        <v>0.79836463523700008</v>
      </c>
      <c r="U1255">
        <f>Table13[[#This Row],[Good_Qty]]/Table13[[#This Row],[Actual_Qty]]</f>
        <v>0.98630136986301364</v>
      </c>
      <c r="V1255" t="str">
        <f>IF(OR(Table13[[#This Row],[Performance_%]]&gt;=1,Table13[[#This Row],[Performance_%]]&lt;=0),"Error","OK")</f>
        <v>OK</v>
      </c>
      <c r="W1255" t="str">
        <f>IF(OR(Table13[[#This Row],[Quality_%]]&gt;=1,Table13[[#This Row],[Quality_%]]&lt;=0),"Error","OK")</f>
        <v>OK</v>
      </c>
      <c r="X1255">
        <f>Table13[[#This Row],[Performance_%]]*Table13[[#This Row],[Quality_%]]*[2]Availability_KPI!K1255</f>
        <v>0.73045333333333329</v>
      </c>
      <c r="Y1255" t="str">
        <f>IF(OR(Table13[[#This Row],[OEE_%]]&gt;1,Table13[[#This Row],[OEE_%]]&lt;0),"Error","OK")</f>
        <v>OK</v>
      </c>
    </row>
    <row r="1256" spans="1:25" x14ac:dyDescent="0.2">
      <c r="A1256" t="s">
        <v>1462</v>
      </c>
      <c r="B1256" t="s">
        <v>1456</v>
      </c>
      <c r="C1256" s="2">
        <v>46309</v>
      </c>
      <c r="D1256" t="s">
        <v>27</v>
      </c>
      <c r="E1256" t="s">
        <v>46</v>
      </c>
      <c r="F1256" t="s">
        <v>97</v>
      </c>
      <c r="G1256" t="s">
        <v>44</v>
      </c>
      <c r="H1256">
        <v>580</v>
      </c>
      <c r="I1256">
        <v>573</v>
      </c>
      <c r="J1256">
        <v>7</v>
      </c>
      <c r="K1256">
        <v>26.75</v>
      </c>
      <c r="L1256">
        <v>27.31</v>
      </c>
      <c r="M1256">
        <v>264.02</v>
      </c>
      <c r="N1256">
        <f>_xlfn.XLOOKUP(Table13[[#This Row],[Production_Order_ID]],[1]Sheet1!$A$2:$A$391,[1]Sheet1!$F$2:$F$391,"No Match")</f>
        <v>650</v>
      </c>
      <c r="O1256" s="3">
        <f>Table13[[#This Row],[Good_Qty]]/Table13[[#This Row],[Planned_Production]]</f>
        <v>0.88153846153846149</v>
      </c>
      <c r="P1256" t="str">
        <f>IF(Table13[[#This Row],[Good_Qty]]&gt;=Table13[[#This Row],[Planned_Production]],"Met","Not Met")</f>
        <v>Not Met</v>
      </c>
      <c r="Q1256">
        <f>Table13[[#This Row],[Good_Qty]]-Table13[[#This Row],[Planned_Production]]</f>
        <v>-77</v>
      </c>
      <c r="R1256" s="3">
        <f>IF(Table13[[#This Row],[Actual_Qty]]=0,0,Table13[[#This Row],[Reject_Qty]]/Table13[[#This Row],[Actual_Qty]])</f>
        <v>1.2068965517241379E-2</v>
      </c>
      <c r="S1256">
        <v>425.26</v>
      </c>
      <c r="T1256">
        <f>(Table13[[#This Row],[Ideal_Cycle_Time_sec]]*Table13[[#This Row],[Actual_Qty]])/(Table13[[#This Row],[Operational_Time_min]]*60)</f>
        <v>0.6080593832792488</v>
      </c>
      <c r="U1256">
        <f>Table13[[#This Row],[Good_Qty]]/Table13[[#This Row],[Actual_Qty]]</f>
        <v>0.98793103448275865</v>
      </c>
      <c r="V1256" t="str">
        <f>IF(OR(Table13[[#This Row],[Performance_%]]&gt;=1,Table13[[#This Row],[Performance_%]]&lt;=0),"Error","OK")</f>
        <v>OK</v>
      </c>
      <c r="W1256" t="str">
        <f>IF(OR(Table13[[#This Row],[Quality_%]]&gt;=1,Table13[[#This Row],[Quality_%]]&lt;=0),"Error","OK")</f>
        <v>OK</v>
      </c>
      <c r="X1256">
        <f>Table13[[#This Row],[Performance_%]]*Table13[[#This Row],[Quality_%]]*[2]Availability_KPI!K1256</f>
        <v>0.5676944444444445</v>
      </c>
      <c r="Y1256" t="str">
        <f>IF(OR(Table13[[#This Row],[OEE_%]]&gt;1,Table13[[#This Row],[OEE_%]]&lt;0),"Error","OK")</f>
        <v>OK</v>
      </c>
    </row>
    <row r="1257" spans="1:25" x14ac:dyDescent="0.2">
      <c r="A1257" t="s">
        <v>1463</v>
      </c>
      <c r="B1257" t="s">
        <v>1456</v>
      </c>
      <c r="C1257" s="2">
        <v>46309</v>
      </c>
      <c r="D1257" t="s">
        <v>27</v>
      </c>
      <c r="E1257" t="s">
        <v>49</v>
      </c>
      <c r="F1257" t="s">
        <v>97</v>
      </c>
      <c r="G1257" t="s">
        <v>30</v>
      </c>
      <c r="H1257">
        <v>598</v>
      </c>
      <c r="I1257">
        <v>594</v>
      </c>
      <c r="J1257">
        <v>4</v>
      </c>
      <c r="K1257">
        <v>21.4</v>
      </c>
      <c r="L1257">
        <v>22.45</v>
      </c>
      <c r="M1257">
        <v>223.74</v>
      </c>
      <c r="N1257">
        <f>_xlfn.XLOOKUP(Table13[[#This Row],[Production_Order_ID]],[1]Sheet1!$A$2:$A$391,[1]Sheet1!$F$2:$F$391,"No Match")</f>
        <v>650</v>
      </c>
      <c r="O1257" s="3">
        <f>Table13[[#This Row],[Good_Qty]]/Table13[[#This Row],[Planned_Production]]</f>
        <v>0.91384615384615386</v>
      </c>
      <c r="P1257" t="str">
        <f>IF(Table13[[#This Row],[Good_Qty]]&gt;=Table13[[#This Row],[Planned_Production]],"Met","Not Met")</f>
        <v>Not Met</v>
      </c>
      <c r="Q1257">
        <f>Table13[[#This Row],[Good_Qty]]-Table13[[#This Row],[Planned_Production]]</f>
        <v>-56</v>
      </c>
      <c r="R1257" s="3">
        <f>IF(Table13[[#This Row],[Actual_Qty]]=0,0,Table13[[#This Row],[Reject_Qty]]/Table13[[#This Row],[Actual_Qty]])</f>
        <v>6.688963210702341E-3</v>
      </c>
      <c r="S1257">
        <v>442.8</v>
      </c>
      <c r="T1257">
        <f>(Table13[[#This Row],[Ideal_Cycle_Time_sec]]*Table13[[#This Row],[Actual_Qty]])/(Table13[[#This Row],[Operational_Time_min]]*60)</f>
        <v>0.48167720566094546</v>
      </c>
      <c r="U1257">
        <f>Table13[[#This Row],[Good_Qty]]/Table13[[#This Row],[Actual_Qty]]</f>
        <v>0.99331103678929766</v>
      </c>
      <c r="V1257" t="str">
        <f>IF(OR(Table13[[#This Row],[Performance_%]]&gt;=1,Table13[[#This Row],[Performance_%]]&lt;=0),"Error","OK")</f>
        <v>OK</v>
      </c>
      <c r="W1257" t="str">
        <f>IF(OR(Table13[[#This Row],[Quality_%]]&gt;=1,Table13[[#This Row],[Quality_%]]&lt;=0),"Error","OK")</f>
        <v>OK</v>
      </c>
      <c r="X1257">
        <f>Table13[[#This Row],[Performance_%]]*Table13[[#This Row],[Quality_%]]*[2]Availability_KPI!K1257</f>
        <v>0.47079999999999994</v>
      </c>
      <c r="Y1257" t="str">
        <f>IF(OR(Table13[[#This Row],[OEE_%]]&gt;1,Table13[[#This Row],[OEE_%]]&lt;0),"Error","OK")</f>
        <v>OK</v>
      </c>
    </row>
    <row r="1258" spans="1:25" x14ac:dyDescent="0.2">
      <c r="A1258" t="s">
        <v>1464</v>
      </c>
      <c r="B1258" t="s">
        <v>1465</v>
      </c>
      <c r="C1258" s="2">
        <v>46309</v>
      </c>
      <c r="D1258" t="s">
        <v>53</v>
      </c>
      <c r="E1258" t="s">
        <v>28</v>
      </c>
      <c r="F1258" t="s">
        <v>54</v>
      </c>
      <c r="G1258" t="s">
        <v>44</v>
      </c>
      <c r="H1258">
        <v>685</v>
      </c>
      <c r="I1258">
        <v>681</v>
      </c>
      <c r="J1258">
        <v>4</v>
      </c>
      <c r="K1258">
        <v>18</v>
      </c>
      <c r="L1258">
        <v>18.71</v>
      </c>
      <c r="M1258">
        <v>213.56</v>
      </c>
      <c r="N1258">
        <f>_xlfn.XLOOKUP(Table13[[#This Row],[Production_Order_ID]],[1]Sheet1!$A$2:$A$391,[1]Sheet1!$F$2:$F$391,"No Match")</f>
        <v>490</v>
      </c>
      <c r="O1258" s="3">
        <f>Table13[[#This Row],[Good_Qty]]/Table13[[#This Row],[Planned_Production]]</f>
        <v>1.3897959183673469</v>
      </c>
      <c r="P1258" t="str">
        <f>IF(Table13[[#This Row],[Good_Qty]]&gt;=Table13[[#This Row],[Planned_Production]],"Met","Not Met")</f>
        <v>Met</v>
      </c>
      <c r="Q1258">
        <f>Table13[[#This Row],[Good_Qty]]-Table13[[#This Row],[Planned_Production]]</f>
        <v>191</v>
      </c>
      <c r="R1258" s="3">
        <f>IF(Table13[[#This Row],[Actual_Qty]]=0,0,Table13[[#This Row],[Reject_Qty]]/Table13[[#This Row],[Actual_Qty]])</f>
        <v>5.8394160583941602E-3</v>
      </c>
      <c r="S1258">
        <v>440.4</v>
      </c>
      <c r="T1258">
        <f>(Table13[[#This Row],[Ideal_Cycle_Time_sec]]*Table13[[#This Row],[Actual_Qty]])/(Table13[[#This Row],[Operational_Time_min]]*60)</f>
        <v>0.46662125340599453</v>
      </c>
      <c r="U1258">
        <f>Table13[[#This Row],[Good_Qty]]/Table13[[#This Row],[Actual_Qty]]</f>
        <v>0.99416058394160589</v>
      </c>
      <c r="V1258" t="str">
        <f>IF(OR(Table13[[#This Row],[Performance_%]]&gt;=1,Table13[[#This Row],[Performance_%]]&lt;=0),"Error","OK")</f>
        <v>OK</v>
      </c>
      <c r="W1258" t="str">
        <f>IF(OR(Table13[[#This Row],[Quality_%]]&gt;=1,Table13[[#This Row],[Quality_%]]&lt;=0),"Error","OK")</f>
        <v>OK</v>
      </c>
      <c r="X1258">
        <f>Table13[[#This Row],[Performance_%]]*Table13[[#This Row],[Quality_%]]*[2]Availability_KPI!K1258</f>
        <v>0.45399999999999996</v>
      </c>
      <c r="Y1258" t="str">
        <f>IF(OR(Table13[[#This Row],[OEE_%]]&gt;1,Table13[[#This Row],[OEE_%]]&lt;0),"Error","OK")</f>
        <v>OK</v>
      </c>
    </row>
    <row r="1259" spans="1:25" x14ac:dyDescent="0.2">
      <c r="A1259" t="s">
        <v>1466</v>
      </c>
      <c r="B1259" t="s">
        <v>1465</v>
      </c>
      <c r="C1259" s="2">
        <v>46309</v>
      </c>
      <c r="D1259" t="s">
        <v>53</v>
      </c>
      <c r="E1259" t="s">
        <v>32</v>
      </c>
      <c r="F1259" t="s">
        <v>54</v>
      </c>
      <c r="G1259" t="s">
        <v>55</v>
      </c>
      <c r="H1259">
        <v>685</v>
      </c>
      <c r="I1259">
        <v>683</v>
      </c>
      <c r="J1259">
        <v>2</v>
      </c>
      <c r="K1259">
        <v>20</v>
      </c>
      <c r="L1259">
        <v>20.85</v>
      </c>
      <c r="M1259">
        <v>237.98</v>
      </c>
      <c r="N1259">
        <f>_xlfn.XLOOKUP(Table13[[#This Row],[Production_Order_ID]],[1]Sheet1!$A$2:$A$391,[1]Sheet1!$F$2:$F$391,"No Match")</f>
        <v>490</v>
      </c>
      <c r="O1259" s="3">
        <f>Table13[[#This Row],[Good_Qty]]/Table13[[#This Row],[Planned_Production]]</f>
        <v>1.3938775510204082</v>
      </c>
      <c r="P1259" t="str">
        <f>IF(Table13[[#This Row],[Good_Qty]]&gt;=Table13[[#This Row],[Planned_Production]],"Met","Not Met")</f>
        <v>Met</v>
      </c>
      <c r="Q1259">
        <f>Table13[[#This Row],[Good_Qty]]-Table13[[#This Row],[Planned_Production]]</f>
        <v>193</v>
      </c>
      <c r="R1259" s="3">
        <f>IF(Table13[[#This Row],[Actual_Qty]]=0,0,Table13[[#This Row],[Reject_Qty]]/Table13[[#This Row],[Actual_Qty]])</f>
        <v>2.9197080291970801E-3</v>
      </c>
      <c r="S1259">
        <v>436.64</v>
      </c>
      <c r="T1259">
        <f>(Table13[[#This Row],[Ideal_Cycle_Time_sec]]*Table13[[#This Row],[Actual_Qty]])/(Table13[[#This Row],[Operational_Time_min]]*60)</f>
        <v>0.52293269818004162</v>
      </c>
      <c r="U1259">
        <f>Table13[[#This Row],[Good_Qty]]/Table13[[#This Row],[Actual_Qty]]</f>
        <v>0.99708029197080295</v>
      </c>
      <c r="V1259" t="str">
        <f>IF(OR(Table13[[#This Row],[Performance_%]]&gt;=1,Table13[[#This Row],[Performance_%]]&lt;=0),"Error","OK")</f>
        <v>OK</v>
      </c>
      <c r="W1259" t="str">
        <f>IF(OR(Table13[[#This Row],[Quality_%]]&gt;=1,Table13[[#This Row],[Quality_%]]&lt;=0),"Error","OK")</f>
        <v>OK</v>
      </c>
      <c r="X1259">
        <f>Table13[[#This Row],[Performance_%]]*Table13[[#This Row],[Quality_%]]*[2]Availability_KPI!K1259</f>
        <v>0.505925925925926</v>
      </c>
      <c r="Y1259" t="str">
        <f>IF(OR(Table13[[#This Row],[OEE_%]]&gt;1,Table13[[#This Row],[OEE_%]]&lt;0),"Error","OK")</f>
        <v>OK</v>
      </c>
    </row>
    <row r="1260" spans="1:25" x14ac:dyDescent="0.2">
      <c r="A1260" t="s">
        <v>1467</v>
      </c>
      <c r="B1260" t="s">
        <v>1465</v>
      </c>
      <c r="C1260" s="2">
        <v>46309</v>
      </c>
      <c r="D1260" t="s">
        <v>53</v>
      </c>
      <c r="E1260" t="s">
        <v>35</v>
      </c>
      <c r="F1260" t="s">
        <v>54</v>
      </c>
      <c r="G1260" t="s">
        <v>50</v>
      </c>
      <c r="H1260">
        <v>695</v>
      </c>
      <c r="I1260">
        <v>688</v>
      </c>
      <c r="J1260">
        <v>7</v>
      </c>
      <c r="K1260">
        <v>22</v>
      </c>
      <c r="L1260">
        <v>23.22</v>
      </c>
      <c r="M1260">
        <v>268.95</v>
      </c>
      <c r="N1260">
        <f>_xlfn.XLOOKUP(Table13[[#This Row],[Production_Order_ID]],[1]Sheet1!$A$2:$A$391,[1]Sheet1!$F$2:$F$391,"No Match")</f>
        <v>490</v>
      </c>
      <c r="O1260" s="3">
        <f>Table13[[#This Row],[Good_Qty]]/Table13[[#This Row],[Planned_Production]]</f>
        <v>1.4040816326530612</v>
      </c>
      <c r="P1260" t="str">
        <f>IF(Table13[[#This Row],[Good_Qty]]&gt;=Table13[[#This Row],[Planned_Production]],"Met","Not Met")</f>
        <v>Met</v>
      </c>
      <c r="Q1260">
        <f>Table13[[#This Row],[Good_Qty]]-Table13[[#This Row],[Planned_Production]]</f>
        <v>198</v>
      </c>
      <c r="R1260" s="3">
        <f>IF(Table13[[#This Row],[Actual_Qty]]=0,0,Table13[[#This Row],[Reject_Qty]]/Table13[[#This Row],[Actual_Qty]])</f>
        <v>1.0071942446043165E-2</v>
      </c>
      <c r="S1260">
        <v>429.51</v>
      </c>
      <c r="T1260">
        <f>(Table13[[#This Row],[Ideal_Cycle_Time_sec]]*Table13[[#This Row],[Actual_Qty]])/(Table13[[#This Row],[Operational_Time_min]]*60)</f>
        <v>0.59331175836030203</v>
      </c>
      <c r="U1260">
        <f>Table13[[#This Row],[Good_Qty]]/Table13[[#This Row],[Actual_Qty]]</f>
        <v>0.98992805755395685</v>
      </c>
      <c r="V1260" t="str">
        <f>IF(OR(Table13[[#This Row],[Performance_%]]&gt;=1,Table13[[#This Row],[Performance_%]]&lt;=0),"Error","OK")</f>
        <v>OK</v>
      </c>
      <c r="W1260" t="str">
        <f>IF(OR(Table13[[#This Row],[Quality_%]]&gt;=1,Table13[[#This Row],[Quality_%]]&lt;=0),"Error","OK")</f>
        <v>OK</v>
      </c>
      <c r="X1260">
        <f>Table13[[#This Row],[Performance_%]]*Table13[[#This Row],[Quality_%]]*[2]Availability_KPI!K1260</f>
        <v>0.56059259259259264</v>
      </c>
      <c r="Y1260" t="str">
        <f>IF(OR(Table13[[#This Row],[OEE_%]]&gt;1,Table13[[#This Row],[OEE_%]]&lt;0),"Error","OK")</f>
        <v>OK</v>
      </c>
    </row>
    <row r="1261" spans="1:25" x14ac:dyDescent="0.2">
      <c r="A1261" t="s">
        <v>1468</v>
      </c>
      <c r="B1261" t="s">
        <v>1465</v>
      </c>
      <c r="C1261" s="2">
        <v>46309</v>
      </c>
      <c r="D1261" t="s">
        <v>53</v>
      </c>
      <c r="E1261" t="s">
        <v>38</v>
      </c>
      <c r="F1261" t="s">
        <v>54</v>
      </c>
      <c r="G1261" t="s">
        <v>61</v>
      </c>
      <c r="H1261">
        <v>698</v>
      </c>
      <c r="I1261">
        <v>694</v>
      </c>
      <c r="J1261">
        <v>4</v>
      </c>
      <c r="K1261">
        <v>20</v>
      </c>
      <c r="L1261">
        <v>20.69</v>
      </c>
      <c r="M1261">
        <v>240.72</v>
      </c>
      <c r="N1261">
        <f>_xlfn.XLOOKUP(Table13[[#This Row],[Production_Order_ID]],[1]Sheet1!$A$2:$A$391,[1]Sheet1!$F$2:$F$391,"No Match")</f>
        <v>490</v>
      </c>
      <c r="O1261" s="3">
        <f>Table13[[#This Row],[Good_Qty]]/Table13[[#This Row],[Planned_Production]]</f>
        <v>1.416326530612245</v>
      </c>
      <c r="P1261" t="str">
        <f>IF(Table13[[#This Row],[Good_Qty]]&gt;=Table13[[#This Row],[Planned_Production]],"Met","Not Met")</f>
        <v>Met</v>
      </c>
      <c r="Q1261">
        <f>Table13[[#This Row],[Good_Qty]]-Table13[[#This Row],[Planned_Production]]</f>
        <v>204</v>
      </c>
      <c r="R1261" s="3">
        <f>IF(Table13[[#This Row],[Actual_Qty]]=0,0,Table13[[#This Row],[Reject_Qty]]/Table13[[#This Row],[Actual_Qty]])</f>
        <v>5.7306590257879654E-3</v>
      </c>
      <c r="S1261">
        <v>436.19</v>
      </c>
      <c r="T1261">
        <f>(Table13[[#This Row],[Ideal_Cycle_Time_sec]]*Table13[[#This Row],[Actual_Qty]])/(Table13[[#This Row],[Operational_Time_min]]*60)</f>
        <v>0.53340669585883826</v>
      </c>
      <c r="U1261">
        <f>Table13[[#This Row],[Good_Qty]]/Table13[[#This Row],[Actual_Qty]]</f>
        <v>0.99426934097421205</v>
      </c>
      <c r="V1261" t="str">
        <f>IF(OR(Table13[[#This Row],[Performance_%]]&gt;=1,Table13[[#This Row],[Performance_%]]&lt;=0),"Error","OK")</f>
        <v>OK</v>
      </c>
      <c r="W1261" t="str">
        <f>IF(OR(Table13[[#This Row],[Quality_%]]&gt;=1,Table13[[#This Row],[Quality_%]]&lt;=0),"Error","OK")</f>
        <v>OK</v>
      </c>
      <c r="X1261">
        <f>Table13[[#This Row],[Performance_%]]*Table13[[#This Row],[Quality_%]]*[2]Availability_KPI!K1261</f>
        <v>0.51407407407407413</v>
      </c>
      <c r="Y1261" t="str">
        <f>IF(OR(Table13[[#This Row],[OEE_%]]&gt;1,Table13[[#This Row],[OEE_%]]&lt;0),"Error","OK")</f>
        <v>OK</v>
      </c>
    </row>
    <row r="1262" spans="1:25" x14ac:dyDescent="0.2">
      <c r="A1262" t="s">
        <v>1469</v>
      </c>
      <c r="B1262" t="s">
        <v>1465</v>
      </c>
      <c r="C1262" s="2">
        <v>46309</v>
      </c>
      <c r="D1262" t="s">
        <v>53</v>
      </c>
      <c r="E1262" t="s">
        <v>41</v>
      </c>
      <c r="F1262" t="s">
        <v>54</v>
      </c>
      <c r="G1262" t="s">
        <v>55</v>
      </c>
      <c r="H1262">
        <v>677</v>
      </c>
      <c r="I1262">
        <v>669</v>
      </c>
      <c r="J1262">
        <v>8</v>
      </c>
      <c r="K1262">
        <v>18</v>
      </c>
      <c r="L1262">
        <v>18.57</v>
      </c>
      <c r="M1262">
        <v>209.56</v>
      </c>
      <c r="N1262">
        <f>_xlfn.XLOOKUP(Table13[[#This Row],[Production_Order_ID]],[1]Sheet1!$A$2:$A$391,[1]Sheet1!$F$2:$F$391,"No Match")</f>
        <v>490</v>
      </c>
      <c r="O1262" s="3">
        <f>Table13[[#This Row],[Good_Qty]]/Table13[[#This Row],[Planned_Production]]</f>
        <v>1.3653061224489795</v>
      </c>
      <c r="P1262" t="str">
        <f>IF(Table13[[#This Row],[Good_Qty]]&gt;=Table13[[#This Row],[Planned_Production]],"Met","Not Met")</f>
        <v>Met</v>
      </c>
      <c r="Q1262">
        <f>Table13[[#This Row],[Good_Qty]]-Table13[[#This Row],[Planned_Production]]</f>
        <v>179</v>
      </c>
      <c r="R1262" s="3">
        <f>IF(Table13[[#This Row],[Actual_Qty]]=0,0,Table13[[#This Row],[Reject_Qty]]/Table13[[#This Row],[Actual_Qty]])</f>
        <v>1.1816838995568686E-2</v>
      </c>
      <c r="S1262">
        <v>435.79</v>
      </c>
      <c r="T1262">
        <f>(Table13[[#This Row],[Ideal_Cycle_Time_sec]]*Table13[[#This Row],[Actual_Qty]])/(Table13[[#This Row],[Operational_Time_min]]*60)</f>
        <v>0.46605016177516689</v>
      </c>
      <c r="U1262">
        <f>Table13[[#This Row],[Good_Qty]]/Table13[[#This Row],[Actual_Qty]]</f>
        <v>0.98818316100443127</v>
      </c>
      <c r="V1262" t="str">
        <f>IF(OR(Table13[[#This Row],[Performance_%]]&gt;=1,Table13[[#This Row],[Performance_%]]&lt;=0),"Error","OK")</f>
        <v>OK</v>
      </c>
      <c r="W1262" t="str">
        <f>IF(OR(Table13[[#This Row],[Quality_%]]&gt;=1,Table13[[#This Row],[Quality_%]]&lt;=0),"Error","OK")</f>
        <v>OK</v>
      </c>
      <c r="X1262">
        <f>Table13[[#This Row],[Performance_%]]*Table13[[#This Row],[Quality_%]]*[2]Availability_KPI!K1262</f>
        <v>0.44600000000000001</v>
      </c>
      <c r="Y1262" t="str">
        <f>IF(OR(Table13[[#This Row],[OEE_%]]&gt;1,Table13[[#This Row],[OEE_%]]&lt;0),"Error","OK")</f>
        <v>OK</v>
      </c>
    </row>
    <row r="1263" spans="1:25" x14ac:dyDescent="0.2">
      <c r="A1263" t="s">
        <v>1470</v>
      </c>
      <c r="B1263" t="s">
        <v>1465</v>
      </c>
      <c r="C1263" s="2">
        <v>46309</v>
      </c>
      <c r="D1263" t="s">
        <v>53</v>
      </c>
      <c r="E1263" t="s">
        <v>43</v>
      </c>
      <c r="F1263" t="s">
        <v>54</v>
      </c>
      <c r="G1263" t="s">
        <v>39</v>
      </c>
      <c r="H1263">
        <v>693</v>
      </c>
      <c r="I1263">
        <v>681</v>
      </c>
      <c r="J1263">
        <v>12</v>
      </c>
      <c r="K1263">
        <v>32</v>
      </c>
      <c r="L1263">
        <v>35.14</v>
      </c>
      <c r="M1263">
        <v>405.86</v>
      </c>
      <c r="N1263">
        <f>_xlfn.XLOOKUP(Table13[[#This Row],[Production_Order_ID]],[1]Sheet1!$A$2:$A$391,[1]Sheet1!$F$2:$F$391,"No Match")</f>
        <v>490</v>
      </c>
      <c r="O1263" s="3">
        <f>Table13[[#This Row],[Good_Qty]]/Table13[[#This Row],[Planned_Production]]</f>
        <v>1.3897959183673469</v>
      </c>
      <c r="P1263" t="str">
        <f>IF(Table13[[#This Row],[Good_Qty]]&gt;=Table13[[#This Row],[Planned_Production]],"Met","Not Met")</f>
        <v>Met</v>
      </c>
      <c r="Q1263">
        <f>Table13[[#This Row],[Good_Qty]]-Table13[[#This Row],[Planned_Production]]</f>
        <v>191</v>
      </c>
      <c r="R1263" s="3">
        <f>IF(Table13[[#This Row],[Actual_Qty]]=0,0,Table13[[#This Row],[Reject_Qty]]/Table13[[#This Row],[Actual_Qty]])</f>
        <v>1.7316017316017316E-2</v>
      </c>
      <c r="S1263">
        <v>409.01</v>
      </c>
      <c r="T1263">
        <f>(Table13[[#This Row],[Ideal_Cycle_Time_sec]]*Table13[[#This Row],[Actual_Qty]])/(Table13[[#This Row],[Operational_Time_min]]*60)</f>
        <v>0.90364538764333391</v>
      </c>
      <c r="U1263">
        <f>Table13[[#This Row],[Good_Qty]]/Table13[[#This Row],[Actual_Qty]]</f>
        <v>0.98268398268398272</v>
      </c>
      <c r="V1263" t="str">
        <f>IF(OR(Table13[[#This Row],[Performance_%]]&gt;=1,Table13[[#This Row],[Performance_%]]&lt;=0),"Error","OK")</f>
        <v>OK</v>
      </c>
      <c r="W1263" t="str">
        <f>IF(OR(Table13[[#This Row],[Quality_%]]&gt;=1,Table13[[#This Row],[Quality_%]]&lt;=0),"Error","OK")</f>
        <v>OK</v>
      </c>
      <c r="X1263">
        <f>Table13[[#This Row],[Performance_%]]*Table13[[#This Row],[Quality_%]]*[2]Availability_KPI!K1263</f>
        <v>0.80711111111111122</v>
      </c>
      <c r="Y1263" t="str">
        <f>IF(OR(Table13[[#This Row],[OEE_%]]&gt;1,Table13[[#This Row],[OEE_%]]&lt;0),"Error","OK")</f>
        <v>OK</v>
      </c>
    </row>
    <row r="1264" spans="1:25" x14ac:dyDescent="0.2">
      <c r="A1264" t="s">
        <v>1471</v>
      </c>
      <c r="B1264" t="s">
        <v>1465</v>
      </c>
      <c r="C1264" s="2">
        <v>46309</v>
      </c>
      <c r="D1264" t="s">
        <v>53</v>
      </c>
      <c r="E1264" t="s">
        <v>46</v>
      </c>
      <c r="F1264" t="s">
        <v>54</v>
      </c>
      <c r="G1264" t="s">
        <v>36</v>
      </c>
      <c r="H1264">
        <v>690</v>
      </c>
      <c r="I1264">
        <v>683</v>
      </c>
      <c r="J1264">
        <v>7</v>
      </c>
      <c r="K1264">
        <v>25</v>
      </c>
      <c r="L1264">
        <v>26.14</v>
      </c>
      <c r="M1264">
        <v>300.66000000000003</v>
      </c>
      <c r="N1264">
        <f>_xlfn.XLOOKUP(Table13[[#This Row],[Production_Order_ID]],[1]Sheet1!$A$2:$A$391,[1]Sheet1!$F$2:$F$391,"No Match")</f>
        <v>490</v>
      </c>
      <c r="O1264" s="3">
        <f>Table13[[#This Row],[Good_Qty]]/Table13[[#This Row],[Planned_Production]]</f>
        <v>1.3938775510204082</v>
      </c>
      <c r="P1264" t="str">
        <f>IF(Table13[[#This Row],[Good_Qty]]&gt;=Table13[[#This Row],[Planned_Production]],"Met","Not Met")</f>
        <v>Met</v>
      </c>
      <c r="Q1264">
        <f>Table13[[#This Row],[Good_Qty]]-Table13[[#This Row],[Planned_Production]]</f>
        <v>193</v>
      </c>
      <c r="R1264" s="3">
        <f>IF(Table13[[#This Row],[Actual_Qty]]=0,0,Table13[[#This Row],[Reject_Qty]]/Table13[[#This Row],[Actual_Qty]])</f>
        <v>1.0144927536231883E-2</v>
      </c>
      <c r="S1264">
        <v>424.66</v>
      </c>
      <c r="T1264">
        <f>(Table13[[#This Row],[Ideal_Cycle_Time_sec]]*Table13[[#This Row],[Actual_Qty]])/(Table13[[#This Row],[Operational_Time_min]]*60)</f>
        <v>0.67701219799368906</v>
      </c>
      <c r="U1264">
        <f>Table13[[#This Row],[Good_Qty]]/Table13[[#This Row],[Actual_Qty]]</f>
        <v>0.98985507246376814</v>
      </c>
      <c r="V1264" t="str">
        <f>IF(OR(Table13[[#This Row],[Performance_%]]&gt;=1,Table13[[#This Row],[Performance_%]]&lt;=0),"Error","OK")</f>
        <v>OK</v>
      </c>
      <c r="W1264" t="str">
        <f>IF(OR(Table13[[#This Row],[Quality_%]]&gt;=1,Table13[[#This Row],[Quality_%]]&lt;=0),"Error","OK")</f>
        <v>OK</v>
      </c>
      <c r="X1264">
        <f>Table13[[#This Row],[Performance_%]]*Table13[[#This Row],[Quality_%]]*[2]Availability_KPI!K1264</f>
        <v>0.63240740740740742</v>
      </c>
      <c r="Y1264" t="str">
        <f>IF(OR(Table13[[#This Row],[OEE_%]]&gt;1,Table13[[#This Row],[OEE_%]]&lt;0),"Error","OK")</f>
        <v>OK</v>
      </c>
    </row>
    <row r="1265" spans="1:25" x14ac:dyDescent="0.2">
      <c r="A1265" t="s">
        <v>1472</v>
      </c>
      <c r="B1265" t="s">
        <v>1465</v>
      </c>
      <c r="C1265" s="2">
        <v>46309</v>
      </c>
      <c r="D1265" t="s">
        <v>53</v>
      </c>
      <c r="E1265" t="s">
        <v>49</v>
      </c>
      <c r="F1265" t="s">
        <v>54</v>
      </c>
      <c r="G1265" t="s">
        <v>71</v>
      </c>
      <c r="H1265">
        <v>694</v>
      </c>
      <c r="I1265">
        <v>689</v>
      </c>
      <c r="J1265">
        <v>5</v>
      </c>
      <c r="K1265">
        <v>20</v>
      </c>
      <c r="L1265">
        <v>20</v>
      </c>
      <c r="M1265">
        <v>231.33</v>
      </c>
      <c r="N1265">
        <f>_xlfn.XLOOKUP(Table13[[#This Row],[Production_Order_ID]],[1]Sheet1!$A$2:$A$391,[1]Sheet1!$F$2:$F$391,"No Match")</f>
        <v>490</v>
      </c>
      <c r="O1265" s="3">
        <f>Table13[[#This Row],[Good_Qty]]/Table13[[#This Row],[Planned_Production]]</f>
        <v>1.4061224489795918</v>
      </c>
      <c r="P1265" t="str">
        <f>IF(Table13[[#This Row],[Good_Qty]]&gt;=Table13[[#This Row],[Planned_Production]],"Met","Not Met")</f>
        <v>Met</v>
      </c>
      <c r="Q1265">
        <f>Table13[[#This Row],[Good_Qty]]-Table13[[#This Row],[Planned_Production]]</f>
        <v>199</v>
      </c>
      <c r="R1265" s="3">
        <f>IF(Table13[[#This Row],[Actual_Qty]]=0,0,Table13[[#This Row],[Reject_Qty]]/Table13[[#This Row],[Actual_Qty]])</f>
        <v>7.2046109510086453E-3</v>
      </c>
      <c r="S1265">
        <v>440.39</v>
      </c>
      <c r="T1265">
        <f>(Table13[[#This Row],[Ideal_Cycle_Time_sec]]*Table13[[#This Row],[Actual_Qty]])/(Table13[[#This Row],[Operational_Time_min]]*60)</f>
        <v>0.52529197605153011</v>
      </c>
      <c r="U1265">
        <f>Table13[[#This Row],[Good_Qty]]/Table13[[#This Row],[Actual_Qty]]</f>
        <v>0.99279538904899134</v>
      </c>
      <c r="V1265" t="str">
        <f>IF(OR(Table13[[#This Row],[Performance_%]]&gt;=1,Table13[[#This Row],[Performance_%]]&lt;=0),"Error","OK")</f>
        <v>OK</v>
      </c>
      <c r="W1265" t="str">
        <f>IF(OR(Table13[[#This Row],[Quality_%]]&gt;=1,Table13[[#This Row],[Quality_%]]&lt;=0),"Error","OK")</f>
        <v>OK</v>
      </c>
      <c r="X1265">
        <f>Table13[[#This Row],[Performance_%]]*Table13[[#This Row],[Quality_%]]*[2]Availability_KPI!K1265</f>
        <v>0.51037037037037036</v>
      </c>
      <c r="Y1265" t="str">
        <f>IF(OR(Table13[[#This Row],[OEE_%]]&gt;1,Table13[[#This Row],[OEE_%]]&lt;0),"Error","OK")</f>
        <v>OK</v>
      </c>
    </row>
    <row r="1266" spans="1:25" x14ac:dyDescent="0.2">
      <c r="A1266" t="s">
        <v>1473</v>
      </c>
      <c r="B1266" t="s">
        <v>1474</v>
      </c>
      <c r="C1266" s="2">
        <v>46309</v>
      </c>
      <c r="D1266" t="s">
        <v>67</v>
      </c>
      <c r="E1266" t="s">
        <v>28</v>
      </c>
      <c r="F1266" t="s">
        <v>97</v>
      </c>
      <c r="G1266" t="s">
        <v>33</v>
      </c>
      <c r="H1266">
        <v>581</v>
      </c>
      <c r="I1266">
        <v>576</v>
      </c>
      <c r="J1266">
        <v>5</v>
      </c>
      <c r="K1266">
        <v>19.260000000000002</v>
      </c>
      <c r="L1266">
        <v>20.98</v>
      </c>
      <c r="M1266">
        <v>203.12</v>
      </c>
      <c r="N1266">
        <f>_xlfn.XLOOKUP(Table13[[#This Row],[Production_Order_ID]],[1]Sheet1!$A$2:$A$391,[1]Sheet1!$F$2:$F$391,"No Match")</f>
        <v>540</v>
      </c>
      <c r="O1266" s="3">
        <f>Table13[[#This Row],[Good_Qty]]/Table13[[#This Row],[Planned_Production]]</f>
        <v>1.0666666666666667</v>
      </c>
      <c r="P1266" t="str">
        <f>IF(Table13[[#This Row],[Good_Qty]]&gt;=Table13[[#This Row],[Planned_Production]],"Met","Not Met")</f>
        <v>Met</v>
      </c>
      <c r="Q1266">
        <f>Table13[[#This Row],[Good_Qty]]-Table13[[#This Row],[Planned_Production]]</f>
        <v>36</v>
      </c>
      <c r="R1266" s="3">
        <f>IF(Table13[[#This Row],[Actual_Qty]]=0,0,Table13[[#This Row],[Reject_Qty]]/Table13[[#This Row],[Actual_Qty]])</f>
        <v>8.6058519793459545E-3</v>
      </c>
      <c r="S1266">
        <v>439.54</v>
      </c>
      <c r="T1266">
        <f>(Table13[[#This Row],[Ideal_Cycle_Time_sec]]*Table13[[#This Row],[Actual_Qty]])/(Table13[[#This Row],[Operational_Time_min]]*60)</f>
        <v>0.42430950539200074</v>
      </c>
      <c r="U1266">
        <f>Table13[[#This Row],[Good_Qty]]/Table13[[#This Row],[Actual_Qty]]</f>
        <v>0.99139414802065406</v>
      </c>
      <c r="V1266" t="str">
        <f>IF(OR(Table13[[#This Row],[Performance_%]]&gt;=1,Table13[[#This Row],[Performance_%]]&lt;=0),"Error","OK")</f>
        <v>OK</v>
      </c>
      <c r="W1266" t="str">
        <f>IF(OR(Table13[[#This Row],[Quality_%]]&gt;=1,Table13[[#This Row],[Quality_%]]&lt;=0),"Error","OK")</f>
        <v>OK</v>
      </c>
      <c r="X1266">
        <f>Table13[[#This Row],[Performance_%]]*Table13[[#This Row],[Quality_%]]*[2]Availability_KPI!K1266</f>
        <v>0.41088000000000002</v>
      </c>
      <c r="Y1266" t="str">
        <f>IF(OR(Table13[[#This Row],[OEE_%]]&gt;1,Table13[[#This Row],[OEE_%]]&lt;0),"Error","OK")</f>
        <v>OK</v>
      </c>
    </row>
    <row r="1267" spans="1:25" x14ac:dyDescent="0.2">
      <c r="A1267" t="s">
        <v>1475</v>
      </c>
      <c r="B1267" t="s">
        <v>1474</v>
      </c>
      <c r="C1267" s="2">
        <v>46309</v>
      </c>
      <c r="D1267" t="s">
        <v>67</v>
      </c>
      <c r="E1267" t="s">
        <v>32</v>
      </c>
      <c r="F1267" t="s">
        <v>97</v>
      </c>
      <c r="G1267" t="s">
        <v>71</v>
      </c>
      <c r="H1267">
        <v>566</v>
      </c>
      <c r="I1267">
        <v>560</v>
      </c>
      <c r="J1267">
        <v>6</v>
      </c>
      <c r="K1267">
        <v>21.4</v>
      </c>
      <c r="L1267">
        <v>22.96</v>
      </c>
      <c r="M1267">
        <v>216.6</v>
      </c>
      <c r="N1267">
        <f>_xlfn.XLOOKUP(Table13[[#This Row],[Production_Order_ID]],[1]Sheet1!$A$2:$A$391,[1]Sheet1!$F$2:$F$391,"No Match")</f>
        <v>540</v>
      </c>
      <c r="O1267" s="3">
        <f>Table13[[#This Row],[Good_Qty]]/Table13[[#This Row],[Planned_Production]]</f>
        <v>1.037037037037037</v>
      </c>
      <c r="P1267" t="str">
        <f>IF(Table13[[#This Row],[Good_Qty]]&gt;=Table13[[#This Row],[Planned_Production]],"Met","Not Met")</f>
        <v>Met</v>
      </c>
      <c r="Q1267">
        <f>Table13[[#This Row],[Good_Qty]]-Table13[[#This Row],[Planned_Production]]</f>
        <v>20</v>
      </c>
      <c r="R1267" s="3">
        <f>IF(Table13[[#This Row],[Actual_Qty]]=0,0,Table13[[#This Row],[Reject_Qty]]/Table13[[#This Row],[Actual_Qty]])</f>
        <v>1.0600706713780919E-2</v>
      </c>
      <c r="S1267">
        <v>440</v>
      </c>
      <c r="T1267">
        <f>(Table13[[#This Row],[Ideal_Cycle_Time_sec]]*Table13[[#This Row],[Actual_Qty]])/(Table13[[#This Row],[Operational_Time_min]]*60)</f>
        <v>0.45880303030303027</v>
      </c>
      <c r="U1267">
        <f>Table13[[#This Row],[Good_Qty]]/Table13[[#This Row],[Actual_Qty]]</f>
        <v>0.98939929328621912</v>
      </c>
      <c r="V1267" t="str">
        <f>IF(OR(Table13[[#This Row],[Performance_%]]&gt;=1,Table13[[#This Row],[Performance_%]]&lt;=0),"Error","OK")</f>
        <v>OK</v>
      </c>
      <c r="W1267" t="str">
        <f>IF(OR(Table13[[#This Row],[Quality_%]]&gt;=1,Table13[[#This Row],[Quality_%]]&lt;=0),"Error","OK")</f>
        <v>OK</v>
      </c>
      <c r="X1267">
        <f>Table13[[#This Row],[Performance_%]]*Table13[[#This Row],[Quality_%]]*[2]Availability_KPI!K1267</f>
        <v>0.44385185185185183</v>
      </c>
      <c r="Y1267" t="str">
        <f>IF(OR(Table13[[#This Row],[OEE_%]]&gt;1,Table13[[#This Row],[OEE_%]]&lt;0),"Error","OK")</f>
        <v>OK</v>
      </c>
    </row>
    <row r="1268" spans="1:25" x14ac:dyDescent="0.2">
      <c r="A1268" t="s">
        <v>1476</v>
      </c>
      <c r="B1268" t="s">
        <v>1474</v>
      </c>
      <c r="C1268" s="2">
        <v>46309</v>
      </c>
      <c r="D1268" t="s">
        <v>67</v>
      </c>
      <c r="E1268" t="s">
        <v>35</v>
      </c>
      <c r="F1268" t="s">
        <v>97</v>
      </c>
      <c r="G1268" t="s">
        <v>75</v>
      </c>
      <c r="H1268">
        <v>565</v>
      </c>
      <c r="I1268">
        <v>562</v>
      </c>
      <c r="J1268">
        <v>3</v>
      </c>
      <c r="K1268">
        <v>23.54</v>
      </c>
      <c r="L1268">
        <v>24.86</v>
      </c>
      <c r="M1268">
        <v>234.12</v>
      </c>
      <c r="N1268">
        <f>_xlfn.XLOOKUP(Table13[[#This Row],[Production_Order_ID]],[1]Sheet1!$A$2:$A$391,[1]Sheet1!$F$2:$F$391,"No Match")</f>
        <v>540</v>
      </c>
      <c r="O1268" s="3">
        <f>Table13[[#This Row],[Good_Qty]]/Table13[[#This Row],[Planned_Production]]</f>
        <v>1.0407407407407407</v>
      </c>
      <c r="P1268" t="str">
        <f>IF(Table13[[#This Row],[Good_Qty]]&gt;=Table13[[#This Row],[Planned_Production]],"Met","Not Met")</f>
        <v>Met</v>
      </c>
      <c r="Q1268">
        <f>Table13[[#This Row],[Good_Qty]]-Table13[[#This Row],[Planned_Production]]</f>
        <v>22</v>
      </c>
      <c r="R1268" s="3">
        <f>IF(Table13[[#This Row],[Actual_Qty]]=0,0,Table13[[#This Row],[Reject_Qty]]/Table13[[#This Row],[Actual_Qty]])</f>
        <v>5.3097345132743362E-3</v>
      </c>
      <c r="S1268">
        <v>433.55</v>
      </c>
      <c r="T1268">
        <f>(Table13[[#This Row],[Ideal_Cycle_Time_sec]]*Table13[[#This Row],[Actual_Qty]])/(Table13[[#This Row],[Operational_Time_min]]*60)</f>
        <v>0.5112866643601276</v>
      </c>
      <c r="U1268">
        <f>Table13[[#This Row],[Good_Qty]]/Table13[[#This Row],[Actual_Qty]]</f>
        <v>0.99469026548672568</v>
      </c>
      <c r="V1268" t="str">
        <f>IF(OR(Table13[[#This Row],[Performance_%]]&gt;=1,Table13[[#This Row],[Performance_%]]&lt;=0),"Error","OK")</f>
        <v>OK</v>
      </c>
      <c r="W1268" t="str">
        <f>IF(OR(Table13[[#This Row],[Quality_%]]&gt;=1,Table13[[#This Row],[Quality_%]]&lt;=0),"Error","OK")</f>
        <v>OK</v>
      </c>
      <c r="X1268">
        <f>Table13[[#This Row],[Performance_%]]*Table13[[#This Row],[Quality_%]]*[2]Availability_KPI!K1268</f>
        <v>0.48998074074074077</v>
      </c>
      <c r="Y1268" t="str">
        <f>IF(OR(Table13[[#This Row],[OEE_%]]&gt;1,Table13[[#This Row],[OEE_%]]&lt;0),"Error","OK")</f>
        <v>OK</v>
      </c>
    </row>
    <row r="1269" spans="1:25" x14ac:dyDescent="0.2">
      <c r="A1269" t="s">
        <v>1477</v>
      </c>
      <c r="B1269" t="s">
        <v>1474</v>
      </c>
      <c r="C1269" s="2">
        <v>46309</v>
      </c>
      <c r="D1269" t="s">
        <v>67</v>
      </c>
      <c r="E1269" t="s">
        <v>38</v>
      </c>
      <c r="F1269" t="s">
        <v>97</v>
      </c>
      <c r="G1269" t="s">
        <v>30</v>
      </c>
      <c r="H1269">
        <v>563</v>
      </c>
      <c r="I1269">
        <v>562</v>
      </c>
      <c r="J1269">
        <v>1</v>
      </c>
      <c r="K1269">
        <v>21.4</v>
      </c>
      <c r="L1269">
        <v>22.49</v>
      </c>
      <c r="M1269">
        <v>211.04</v>
      </c>
      <c r="N1269">
        <f>_xlfn.XLOOKUP(Table13[[#This Row],[Production_Order_ID]],[1]Sheet1!$A$2:$A$391,[1]Sheet1!$F$2:$F$391,"No Match")</f>
        <v>540</v>
      </c>
      <c r="O1269" s="3">
        <f>Table13[[#This Row],[Good_Qty]]/Table13[[#This Row],[Planned_Production]]</f>
        <v>1.0407407407407407</v>
      </c>
      <c r="P1269" t="str">
        <f>IF(Table13[[#This Row],[Good_Qty]]&gt;=Table13[[#This Row],[Planned_Production]],"Met","Not Met")</f>
        <v>Met</v>
      </c>
      <c r="Q1269">
        <f>Table13[[#This Row],[Good_Qty]]-Table13[[#This Row],[Planned_Production]]</f>
        <v>22</v>
      </c>
      <c r="R1269" s="3">
        <f>IF(Table13[[#This Row],[Actual_Qty]]=0,0,Table13[[#This Row],[Reject_Qty]]/Table13[[#This Row],[Actual_Qty]])</f>
        <v>1.7761989342806395E-3</v>
      </c>
      <c r="S1269">
        <v>438.9</v>
      </c>
      <c r="T1269">
        <f>(Table13[[#This Row],[Ideal_Cycle_Time_sec]]*Table13[[#This Row],[Actual_Qty]])/(Table13[[#This Row],[Operational_Time_min]]*60)</f>
        <v>0.45751499962026276</v>
      </c>
      <c r="U1269">
        <f>Table13[[#This Row],[Good_Qty]]/Table13[[#This Row],[Actual_Qty]]</f>
        <v>0.9982238010657194</v>
      </c>
      <c r="V1269" t="str">
        <f>IF(OR(Table13[[#This Row],[Performance_%]]&gt;=1,Table13[[#This Row],[Performance_%]]&lt;=0),"Error","OK")</f>
        <v>OK</v>
      </c>
      <c r="W1269" t="str">
        <f>IF(OR(Table13[[#This Row],[Quality_%]]&gt;=1,Table13[[#This Row],[Quality_%]]&lt;=0),"Error","OK")</f>
        <v>OK</v>
      </c>
      <c r="X1269">
        <f>Table13[[#This Row],[Performance_%]]*Table13[[#This Row],[Quality_%]]*[2]Availability_KPI!K1269</f>
        <v>0.44543703703703702</v>
      </c>
      <c r="Y1269" t="str">
        <f>IF(OR(Table13[[#This Row],[OEE_%]]&gt;1,Table13[[#This Row],[OEE_%]]&lt;0),"Error","OK")</f>
        <v>OK</v>
      </c>
    </row>
    <row r="1270" spans="1:25" x14ac:dyDescent="0.2">
      <c r="A1270" t="s">
        <v>1478</v>
      </c>
      <c r="B1270" t="s">
        <v>1474</v>
      </c>
      <c r="C1270" s="2">
        <v>46309</v>
      </c>
      <c r="D1270" t="s">
        <v>67</v>
      </c>
      <c r="E1270" t="s">
        <v>41</v>
      </c>
      <c r="F1270" t="s">
        <v>97</v>
      </c>
      <c r="G1270" t="s">
        <v>61</v>
      </c>
      <c r="H1270">
        <v>586</v>
      </c>
      <c r="I1270">
        <v>580</v>
      </c>
      <c r="J1270">
        <v>6</v>
      </c>
      <c r="K1270">
        <v>19.260000000000002</v>
      </c>
      <c r="L1270">
        <v>20.05</v>
      </c>
      <c r="M1270">
        <v>195.84</v>
      </c>
      <c r="N1270">
        <f>_xlfn.XLOOKUP(Table13[[#This Row],[Production_Order_ID]],[1]Sheet1!$A$2:$A$391,[1]Sheet1!$F$2:$F$391,"No Match")</f>
        <v>540</v>
      </c>
      <c r="O1270" s="3">
        <f>Table13[[#This Row],[Good_Qty]]/Table13[[#This Row],[Planned_Production]]</f>
        <v>1.0740740740740742</v>
      </c>
      <c r="P1270" t="str">
        <f>IF(Table13[[#This Row],[Good_Qty]]&gt;=Table13[[#This Row],[Planned_Production]],"Met","Not Met")</f>
        <v>Met</v>
      </c>
      <c r="Q1270">
        <f>Table13[[#This Row],[Good_Qty]]-Table13[[#This Row],[Planned_Production]]</f>
        <v>40</v>
      </c>
      <c r="R1270" s="3">
        <f>IF(Table13[[#This Row],[Actual_Qty]]=0,0,Table13[[#This Row],[Reject_Qty]]/Table13[[#This Row],[Actual_Qty]])</f>
        <v>1.0238907849829351E-2</v>
      </c>
      <c r="S1270">
        <v>439.31</v>
      </c>
      <c r="T1270">
        <f>(Table13[[#This Row],[Ideal_Cycle_Time_sec]]*Table13[[#This Row],[Actual_Qty]])/(Table13[[#This Row],[Operational_Time_min]]*60)</f>
        <v>0.4281851084655483</v>
      </c>
      <c r="U1270">
        <f>Table13[[#This Row],[Good_Qty]]/Table13[[#This Row],[Actual_Qty]]</f>
        <v>0.98976109215017061</v>
      </c>
      <c r="V1270" t="str">
        <f>IF(OR(Table13[[#This Row],[Performance_%]]&gt;=1,Table13[[#This Row],[Performance_%]]&lt;=0),"Error","OK")</f>
        <v>OK</v>
      </c>
      <c r="W1270" t="str">
        <f>IF(OR(Table13[[#This Row],[Quality_%]]&gt;=1,Table13[[#This Row],[Quality_%]]&lt;=0),"Error","OK")</f>
        <v>OK</v>
      </c>
      <c r="X1270">
        <f>Table13[[#This Row],[Performance_%]]*Table13[[#This Row],[Quality_%]]*[2]Availability_KPI!K1270</f>
        <v>0.41373333333333334</v>
      </c>
      <c r="Y1270" t="str">
        <f>IF(OR(Table13[[#This Row],[OEE_%]]&gt;1,Table13[[#This Row],[OEE_%]]&lt;0),"Error","OK")</f>
        <v>OK</v>
      </c>
    </row>
    <row r="1271" spans="1:25" x14ac:dyDescent="0.2">
      <c r="A1271" t="s">
        <v>1479</v>
      </c>
      <c r="B1271" t="s">
        <v>1474</v>
      </c>
      <c r="C1271" s="2">
        <v>46309</v>
      </c>
      <c r="D1271" t="s">
        <v>67</v>
      </c>
      <c r="E1271" t="s">
        <v>43</v>
      </c>
      <c r="F1271" t="s">
        <v>97</v>
      </c>
      <c r="G1271" t="s">
        <v>71</v>
      </c>
      <c r="H1271">
        <v>568</v>
      </c>
      <c r="I1271">
        <v>560</v>
      </c>
      <c r="J1271">
        <v>8</v>
      </c>
      <c r="K1271">
        <v>34.24</v>
      </c>
      <c r="L1271">
        <v>35.909999999999997</v>
      </c>
      <c r="M1271">
        <v>339.96</v>
      </c>
      <c r="N1271">
        <f>_xlfn.XLOOKUP(Table13[[#This Row],[Production_Order_ID]],[1]Sheet1!$A$2:$A$391,[1]Sheet1!$F$2:$F$391,"No Match")</f>
        <v>540</v>
      </c>
      <c r="O1271" s="3">
        <f>Table13[[#This Row],[Good_Qty]]/Table13[[#This Row],[Planned_Production]]</f>
        <v>1.037037037037037</v>
      </c>
      <c r="P1271" t="str">
        <f>IF(Table13[[#This Row],[Good_Qty]]&gt;=Table13[[#This Row],[Planned_Production]],"Met","Not Met")</f>
        <v>Met</v>
      </c>
      <c r="Q1271">
        <f>Table13[[#This Row],[Good_Qty]]-Table13[[#This Row],[Planned_Production]]</f>
        <v>20</v>
      </c>
      <c r="R1271" s="3">
        <f>IF(Table13[[#This Row],[Actual_Qty]]=0,0,Table13[[#This Row],[Reject_Qty]]/Table13[[#This Row],[Actual_Qty]])</f>
        <v>1.4084507042253521E-2</v>
      </c>
      <c r="S1271">
        <v>417.1</v>
      </c>
      <c r="T1271">
        <f>(Table13[[#This Row],[Ideal_Cycle_Time_sec]]*Table13[[#This Row],[Actual_Qty]])/(Table13[[#This Row],[Operational_Time_min]]*60)</f>
        <v>0.77712459042595694</v>
      </c>
      <c r="U1271">
        <f>Table13[[#This Row],[Good_Qty]]/Table13[[#This Row],[Actual_Qty]]</f>
        <v>0.9859154929577465</v>
      </c>
      <c r="V1271" t="str">
        <f>IF(OR(Table13[[#This Row],[Performance_%]]&gt;=1,Table13[[#This Row],[Performance_%]]&lt;=0),"Error","OK")</f>
        <v>OK</v>
      </c>
      <c r="W1271" t="str">
        <f>IF(OR(Table13[[#This Row],[Quality_%]]&gt;=1,Table13[[#This Row],[Quality_%]]&lt;=0),"Error","OK")</f>
        <v>OK</v>
      </c>
      <c r="X1271">
        <f>Table13[[#This Row],[Performance_%]]*Table13[[#This Row],[Quality_%]]*[2]Availability_KPI!K1271</f>
        <v>0.710162962962963</v>
      </c>
      <c r="Y1271" t="str">
        <f>IF(OR(Table13[[#This Row],[OEE_%]]&gt;1,Table13[[#This Row],[OEE_%]]&lt;0),"Error","OK")</f>
        <v>OK</v>
      </c>
    </row>
    <row r="1272" spans="1:25" x14ac:dyDescent="0.2">
      <c r="A1272" t="s">
        <v>1480</v>
      </c>
      <c r="B1272" t="s">
        <v>1474</v>
      </c>
      <c r="C1272" s="2">
        <v>46309</v>
      </c>
      <c r="D1272" t="s">
        <v>67</v>
      </c>
      <c r="E1272" t="s">
        <v>46</v>
      </c>
      <c r="F1272" t="s">
        <v>97</v>
      </c>
      <c r="G1272" t="s">
        <v>44</v>
      </c>
      <c r="H1272">
        <v>568</v>
      </c>
      <c r="I1272">
        <v>561</v>
      </c>
      <c r="J1272">
        <v>7</v>
      </c>
      <c r="K1272">
        <v>26.75</v>
      </c>
      <c r="L1272">
        <v>27.95</v>
      </c>
      <c r="M1272">
        <v>264.60000000000002</v>
      </c>
      <c r="N1272">
        <f>_xlfn.XLOOKUP(Table13[[#This Row],[Production_Order_ID]],[1]Sheet1!$A$2:$A$391,[1]Sheet1!$F$2:$F$391,"No Match")</f>
        <v>540</v>
      </c>
      <c r="O1272" s="3">
        <f>Table13[[#This Row],[Good_Qty]]/Table13[[#This Row],[Planned_Production]]</f>
        <v>1.038888888888889</v>
      </c>
      <c r="P1272" t="str">
        <f>IF(Table13[[#This Row],[Good_Qty]]&gt;=Table13[[#This Row],[Planned_Production]],"Met","Not Met")</f>
        <v>Met</v>
      </c>
      <c r="Q1272">
        <f>Table13[[#This Row],[Good_Qty]]-Table13[[#This Row],[Planned_Production]]</f>
        <v>21</v>
      </c>
      <c r="R1272" s="3">
        <f>IF(Table13[[#This Row],[Actual_Qty]]=0,0,Table13[[#This Row],[Reject_Qty]]/Table13[[#This Row],[Actual_Qty]])</f>
        <v>1.232394366197183E-2</v>
      </c>
      <c r="S1272">
        <v>429.99</v>
      </c>
      <c r="T1272">
        <f>(Table13[[#This Row],[Ideal_Cycle_Time_sec]]*Table13[[#This Row],[Actual_Qty]])/(Table13[[#This Row],[Operational_Time_min]]*60)</f>
        <v>0.58892842469204709</v>
      </c>
      <c r="U1272">
        <f>Table13[[#This Row],[Good_Qty]]/Table13[[#This Row],[Actual_Qty]]</f>
        <v>0.98767605633802813</v>
      </c>
      <c r="V1272" t="str">
        <f>IF(OR(Table13[[#This Row],[Performance_%]]&gt;=1,Table13[[#This Row],[Performance_%]]&lt;=0),"Error","OK")</f>
        <v>OK</v>
      </c>
      <c r="W1272" t="str">
        <f>IF(OR(Table13[[#This Row],[Quality_%]]&gt;=1,Table13[[#This Row],[Quality_%]]&lt;=0),"Error","OK")</f>
        <v>OK</v>
      </c>
      <c r="X1272">
        <f>Table13[[#This Row],[Performance_%]]*Table13[[#This Row],[Quality_%]]*[2]Availability_KPI!K1272</f>
        <v>0.55580555555555555</v>
      </c>
      <c r="Y1272" t="str">
        <f>IF(OR(Table13[[#This Row],[OEE_%]]&gt;1,Table13[[#This Row],[OEE_%]]&lt;0),"Error","OK")</f>
        <v>OK</v>
      </c>
    </row>
    <row r="1273" spans="1:25" x14ac:dyDescent="0.2">
      <c r="A1273" t="s">
        <v>1481</v>
      </c>
      <c r="B1273" t="s">
        <v>1474</v>
      </c>
      <c r="C1273" s="2">
        <v>46309</v>
      </c>
      <c r="D1273" t="s">
        <v>67</v>
      </c>
      <c r="E1273" t="s">
        <v>49</v>
      </c>
      <c r="F1273" t="s">
        <v>97</v>
      </c>
      <c r="G1273" t="s">
        <v>30</v>
      </c>
      <c r="H1273">
        <v>578</v>
      </c>
      <c r="I1273">
        <v>576</v>
      </c>
      <c r="J1273">
        <v>2</v>
      </c>
      <c r="K1273">
        <v>21.4</v>
      </c>
      <c r="L1273">
        <v>21.86</v>
      </c>
      <c r="M1273">
        <v>210.54</v>
      </c>
      <c r="N1273">
        <f>_xlfn.XLOOKUP(Table13[[#This Row],[Production_Order_ID]],[1]Sheet1!$A$2:$A$391,[1]Sheet1!$F$2:$F$391,"No Match")</f>
        <v>540</v>
      </c>
      <c r="O1273" s="3">
        <f>Table13[[#This Row],[Good_Qty]]/Table13[[#This Row],[Planned_Production]]</f>
        <v>1.0666666666666667</v>
      </c>
      <c r="P1273" t="str">
        <f>IF(Table13[[#This Row],[Good_Qty]]&gt;=Table13[[#This Row],[Planned_Production]],"Met","Not Met")</f>
        <v>Met</v>
      </c>
      <c r="Q1273">
        <f>Table13[[#This Row],[Good_Qty]]-Table13[[#This Row],[Planned_Production]]</f>
        <v>36</v>
      </c>
      <c r="R1273" s="3">
        <f>IF(Table13[[#This Row],[Actual_Qty]]=0,0,Table13[[#This Row],[Reject_Qty]]/Table13[[#This Row],[Actual_Qty]])</f>
        <v>3.4602076124567475E-3</v>
      </c>
      <c r="S1273">
        <v>440.96</v>
      </c>
      <c r="T1273">
        <f>(Table13[[#This Row],[Ideal_Cycle_Time_sec]]*Table13[[#This Row],[Actual_Qty]])/(Table13[[#This Row],[Operational_Time_min]]*60)</f>
        <v>0.46751028059990324</v>
      </c>
      <c r="U1273">
        <f>Table13[[#This Row],[Good_Qty]]/Table13[[#This Row],[Actual_Qty]]</f>
        <v>0.9965397923875432</v>
      </c>
      <c r="V1273" t="str">
        <f>IF(OR(Table13[[#This Row],[Performance_%]]&gt;=1,Table13[[#This Row],[Performance_%]]&lt;=0),"Error","OK")</f>
        <v>OK</v>
      </c>
      <c r="W1273" t="str">
        <f>IF(OR(Table13[[#This Row],[Quality_%]]&gt;=1,Table13[[#This Row],[Quality_%]]&lt;=0),"Error","OK")</f>
        <v>OK</v>
      </c>
      <c r="X1273">
        <f>Table13[[#This Row],[Performance_%]]*Table13[[#This Row],[Quality_%]]*[2]Availability_KPI!K1273</f>
        <v>0.45653333333333329</v>
      </c>
      <c r="Y1273" t="str">
        <f>IF(OR(Table13[[#This Row],[OEE_%]]&gt;1,Table13[[#This Row],[OEE_%]]&lt;0),"Error","OK")</f>
        <v>OK</v>
      </c>
    </row>
    <row r="1274" spans="1:25" x14ac:dyDescent="0.2">
      <c r="A1274" t="s">
        <v>1482</v>
      </c>
      <c r="B1274" t="s">
        <v>1483</v>
      </c>
      <c r="C1274" s="2">
        <v>46310</v>
      </c>
      <c r="D1274" t="s">
        <v>27</v>
      </c>
      <c r="E1274" t="s">
        <v>28</v>
      </c>
      <c r="F1274" t="s">
        <v>97</v>
      </c>
      <c r="G1274" t="s">
        <v>55</v>
      </c>
      <c r="H1274">
        <v>657</v>
      </c>
      <c r="I1274">
        <v>654</v>
      </c>
      <c r="J1274">
        <v>3</v>
      </c>
      <c r="K1274">
        <v>19.260000000000002</v>
      </c>
      <c r="L1274">
        <v>20.350000000000001</v>
      </c>
      <c r="M1274">
        <v>222.79</v>
      </c>
      <c r="N1274">
        <f>_xlfn.XLOOKUP(Table13[[#This Row],[Production_Order_ID]],[1]Sheet1!$A$2:$A$391,[1]Sheet1!$F$2:$F$391,"No Match")</f>
        <v>620</v>
      </c>
      <c r="O1274" s="3">
        <f>Table13[[#This Row],[Good_Qty]]/Table13[[#This Row],[Planned_Production]]</f>
        <v>1.0548387096774194</v>
      </c>
      <c r="P1274" t="str">
        <f>IF(Table13[[#This Row],[Good_Qty]]&gt;=Table13[[#This Row],[Planned_Production]],"Met","Not Met")</f>
        <v>Met</v>
      </c>
      <c r="Q1274">
        <f>Table13[[#This Row],[Good_Qty]]-Table13[[#This Row],[Planned_Production]]</f>
        <v>34</v>
      </c>
      <c r="R1274" s="3">
        <f>IF(Table13[[#This Row],[Actual_Qty]]=0,0,Table13[[#This Row],[Reject_Qty]]/Table13[[#This Row],[Actual_Qty]])</f>
        <v>4.5662100456621002E-3</v>
      </c>
      <c r="S1274">
        <v>440.99</v>
      </c>
      <c r="T1274">
        <f>(Table13[[#This Row],[Ideal_Cycle_Time_sec]]*Table13[[#This Row],[Actual_Qty]])/(Table13[[#This Row],[Operational_Time_min]]*60)</f>
        <v>0.47823533413456093</v>
      </c>
      <c r="U1274">
        <f>Table13[[#This Row],[Good_Qty]]/Table13[[#This Row],[Actual_Qty]]</f>
        <v>0.99543378995433784</v>
      </c>
      <c r="V1274" t="str">
        <f>IF(OR(Table13[[#This Row],[Performance_%]]&gt;=1,Table13[[#This Row],[Performance_%]]&lt;=0),"Error","OK")</f>
        <v>OK</v>
      </c>
      <c r="W1274" t="str">
        <f>IF(OR(Table13[[#This Row],[Quality_%]]&gt;=1,Table13[[#This Row],[Quality_%]]&lt;=0),"Error","OK")</f>
        <v>OK</v>
      </c>
      <c r="X1274">
        <f>Table13[[#This Row],[Performance_%]]*Table13[[#This Row],[Quality_%]]*[2]Availability_KPI!K1274</f>
        <v>0.46652000000000005</v>
      </c>
      <c r="Y1274" t="str">
        <f>IF(OR(Table13[[#This Row],[OEE_%]]&gt;1,Table13[[#This Row],[OEE_%]]&lt;0),"Error","OK")</f>
        <v>OK</v>
      </c>
    </row>
    <row r="1275" spans="1:25" x14ac:dyDescent="0.2">
      <c r="A1275" t="s">
        <v>1484</v>
      </c>
      <c r="B1275" t="s">
        <v>1483</v>
      </c>
      <c r="C1275" s="2">
        <v>46310</v>
      </c>
      <c r="D1275" t="s">
        <v>27</v>
      </c>
      <c r="E1275" t="s">
        <v>32</v>
      </c>
      <c r="F1275" t="s">
        <v>97</v>
      </c>
      <c r="G1275" t="s">
        <v>71</v>
      </c>
      <c r="H1275">
        <v>669</v>
      </c>
      <c r="I1275">
        <v>665</v>
      </c>
      <c r="J1275">
        <v>4</v>
      </c>
      <c r="K1275">
        <v>21.4</v>
      </c>
      <c r="L1275">
        <v>22.26</v>
      </c>
      <c r="M1275">
        <v>248.15</v>
      </c>
      <c r="N1275">
        <f>_xlfn.XLOOKUP(Table13[[#This Row],[Production_Order_ID]],[1]Sheet1!$A$2:$A$391,[1]Sheet1!$F$2:$F$391,"No Match")</f>
        <v>620</v>
      </c>
      <c r="O1275" s="3">
        <f>Table13[[#This Row],[Good_Qty]]/Table13[[#This Row],[Planned_Production]]</f>
        <v>1.0725806451612903</v>
      </c>
      <c r="P1275" t="str">
        <f>IF(Table13[[#This Row],[Good_Qty]]&gt;=Table13[[#This Row],[Planned_Production]],"Met","Not Met")</f>
        <v>Met</v>
      </c>
      <c r="Q1275">
        <f>Table13[[#This Row],[Good_Qty]]-Table13[[#This Row],[Planned_Production]]</f>
        <v>45</v>
      </c>
      <c r="R1275" s="3">
        <f>IF(Table13[[#This Row],[Actual_Qty]]=0,0,Table13[[#This Row],[Reject_Qty]]/Table13[[#This Row],[Actual_Qty]])</f>
        <v>5.9790732436472349E-3</v>
      </c>
      <c r="S1275">
        <v>437.61</v>
      </c>
      <c r="T1275">
        <f>(Table13[[#This Row],[Ideal_Cycle_Time_sec]]*Table13[[#This Row],[Actual_Qty]])/(Table13[[#This Row],[Operational_Time_min]]*60)</f>
        <v>0.54525719247731985</v>
      </c>
      <c r="U1275">
        <f>Table13[[#This Row],[Good_Qty]]/Table13[[#This Row],[Actual_Qty]]</f>
        <v>0.99402092675635279</v>
      </c>
      <c r="V1275" t="str">
        <f>IF(OR(Table13[[#This Row],[Performance_%]]&gt;=1,Table13[[#This Row],[Performance_%]]&lt;=0),"Error","OK")</f>
        <v>OK</v>
      </c>
      <c r="W1275" t="str">
        <f>IF(OR(Table13[[#This Row],[Quality_%]]&gt;=1,Table13[[#This Row],[Quality_%]]&lt;=0),"Error","OK")</f>
        <v>OK</v>
      </c>
      <c r="X1275">
        <f>Table13[[#This Row],[Performance_%]]*Table13[[#This Row],[Quality_%]]*[2]Availability_KPI!K1275</f>
        <v>0.52707407407407403</v>
      </c>
      <c r="Y1275" t="str">
        <f>IF(OR(Table13[[#This Row],[OEE_%]]&gt;1,Table13[[#This Row],[OEE_%]]&lt;0),"Error","OK")</f>
        <v>OK</v>
      </c>
    </row>
    <row r="1276" spans="1:25" x14ac:dyDescent="0.2">
      <c r="A1276" t="s">
        <v>1485</v>
      </c>
      <c r="B1276" t="s">
        <v>1483</v>
      </c>
      <c r="C1276" s="2">
        <v>46310</v>
      </c>
      <c r="D1276" t="s">
        <v>27</v>
      </c>
      <c r="E1276" t="s">
        <v>35</v>
      </c>
      <c r="F1276" t="s">
        <v>97</v>
      </c>
      <c r="G1276" t="s">
        <v>47</v>
      </c>
      <c r="H1276">
        <v>648</v>
      </c>
      <c r="I1276">
        <v>643</v>
      </c>
      <c r="J1276">
        <v>5</v>
      </c>
      <c r="K1276">
        <v>23.54</v>
      </c>
      <c r="L1276">
        <v>25.23</v>
      </c>
      <c r="M1276">
        <v>272.49</v>
      </c>
      <c r="N1276">
        <f>_xlfn.XLOOKUP(Table13[[#This Row],[Production_Order_ID]],[1]Sheet1!$A$2:$A$391,[1]Sheet1!$F$2:$F$391,"No Match")</f>
        <v>620</v>
      </c>
      <c r="O1276" s="3">
        <f>Table13[[#This Row],[Good_Qty]]/Table13[[#This Row],[Planned_Production]]</f>
        <v>1.0370967741935484</v>
      </c>
      <c r="P1276" t="str">
        <f>IF(Table13[[#This Row],[Good_Qty]]&gt;=Table13[[#This Row],[Planned_Production]],"Met","Not Met")</f>
        <v>Met</v>
      </c>
      <c r="Q1276">
        <f>Table13[[#This Row],[Good_Qty]]-Table13[[#This Row],[Planned_Production]]</f>
        <v>23</v>
      </c>
      <c r="R1276" s="3">
        <f>IF(Table13[[#This Row],[Actual_Qty]]=0,0,Table13[[#This Row],[Reject_Qty]]/Table13[[#This Row],[Actual_Qty]])</f>
        <v>7.716049382716049E-3</v>
      </c>
      <c r="S1276">
        <v>436.42</v>
      </c>
      <c r="T1276">
        <f>(Table13[[#This Row],[Ideal_Cycle_Time_sec]]*Table13[[#This Row],[Actual_Qty]])/(Table13[[#This Row],[Operational_Time_min]]*60)</f>
        <v>0.58253975528160939</v>
      </c>
      <c r="U1276">
        <f>Table13[[#This Row],[Good_Qty]]/Table13[[#This Row],[Actual_Qty]]</f>
        <v>0.99228395061728392</v>
      </c>
      <c r="V1276" t="str">
        <f>IF(OR(Table13[[#This Row],[Performance_%]]&gt;=1,Table13[[#This Row],[Performance_%]]&lt;=0),"Error","OK")</f>
        <v>OK</v>
      </c>
      <c r="W1276" t="str">
        <f>IF(OR(Table13[[#This Row],[Quality_%]]&gt;=1,Table13[[#This Row],[Quality_%]]&lt;=0),"Error","OK")</f>
        <v>OK</v>
      </c>
      <c r="X1276">
        <f>Table13[[#This Row],[Performance_%]]*Table13[[#This Row],[Quality_%]]*[2]Availability_KPI!K1276</f>
        <v>0.56060074074074073</v>
      </c>
      <c r="Y1276" t="str">
        <f>IF(OR(Table13[[#This Row],[OEE_%]]&gt;1,Table13[[#This Row],[OEE_%]]&lt;0),"Error","OK")</f>
        <v>OK</v>
      </c>
    </row>
    <row r="1277" spans="1:25" x14ac:dyDescent="0.2">
      <c r="A1277" t="s">
        <v>1486</v>
      </c>
      <c r="B1277" t="s">
        <v>1483</v>
      </c>
      <c r="C1277" s="2">
        <v>46310</v>
      </c>
      <c r="D1277" t="s">
        <v>27</v>
      </c>
      <c r="E1277" t="s">
        <v>38</v>
      </c>
      <c r="F1277" t="s">
        <v>97</v>
      </c>
      <c r="G1277" t="s">
        <v>36</v>
      </c>
      <c r="H1277">
        <v>658</v>
      </c>
      <c r="I1277">
        <v>652</v>
      </c>
      <c r="J1277">
        <v>6</v>
      </c>
      <c r="K1277">
        <v>21.4</v>
      </c>
      <c r="L1277">
        <v>21.4</v>
      </c>
      <c r="M1277">
        <v>234.69</v>
      </c>
      <c r="N1277">
        <f>_xlfn.XLOOKUP(Table13[[#This Row],[Production_Order_ID]],[1]Sheet1!$A$2:$A$391,[1]Sheet1!$F$2:$F$391,"No Match")</f>
        <v>620</v>
      </c>
      <c r="O1277" s="3">
        <f>Table13[[#This Row],[Good_Qty]]/Table13[[#This Row],[Planned_Production]]</f>
        <v>1.0516129032258064</v>
      </c>
      <c r="P1277" t="str">
        <f>IF(Table13[[#This Row],[Good_Qty]]&gt;=Table13[[#This Row],[Planned_Production]],"Met","Not Met")</f>
        <v>Met</v>
      </c>
      <c r="Q1277">
        <f>Table13[[#This Row],[Good_Qty]]-Table13[[#This Row],[Planned_Production]]</f>
        <v>32</v>
      </c>
      <c r="R1277" s="3">
        <f>IF(Table13[[#This Row],[Actual_Qty]]=0,0,Table13[[#This Row],[Reject_Qty]]/Table13[[#This Row],[Actual_Qty]])</f>
        <v>9.11854103343465E-3</v>
      </c>
      <c r="S1277">
        <v>438.36</v>
      </c>
      <c r="T1277">
        <f>(Table13[[#This Row],[Ideal_Cycle_Time_sec]]*Table13[[#This Row],[Actual_Qty]])/(Table13[[#This Row],[Operational_Time_min]]*60)</f>
        <v>0.53537427380843738</v>
      </c>
      <c r="U1277">
        <f>Table13[[#This Row],[Good_Qty]]/Table13[[#This Row],[Actual_Qty]]</f>
        <v>0.99088145896656532</v>
      </c>
      <c r="V1277" t="str">
        <f>IF(OR(Table13[[#This Row],[Performance_%]]&gt;=1,Table13[[#This Row],[Performance_%]]&lt;=0),"Error","OK")</f>
        <v>OK</v>
      </c>
      <c r="W1277" t="str">
        <f>IF(OR(Table13[[#This Row],[Quality_%]]&gt;=1,Table13[[#This Row],[Quality_%]]&lt;=0),"Error","OK")</f>
        <v>OK</v>
      </c>
      <c r="X1277">
        <f>Table13[[#This Row],[Performance_%]]*Table13[[#This Row],[Quality_%]]*[2]Availability_KPI!K1277</f>
        <v>0.51677037037037021</v>
      </c>
      <c r="Y1277" t="str">
        <f>IF(OR(Table13[[#This Row],[OEE_%]]&gt;1,Table13[[#This Row],[OEE_%]]&lt;0),"Error","OK")</f>
        <v>OK</v>
      </c>
    </row>
    <row r="1278" spans="1:25" x14ac:dyDescent="0.2">
      <c r="A1278" t="s">
        <v>1487</v>
      </c>
      <c r="B1278" t="s">
        <v>1483</v>
      </c>
      <c r="C1278" s="2">
        <v>46310</v>
      </c>
      <c r="D1278" t="s">
        <v>27</v>
      </c>
      <c r="E1278" t="s">
        <v>41</v>
      </c>
      <c r="F1278" t="s">
        <v>97</v>
      </c>
      <c r="G1278" t="s">
        <v>75</v>
      </c>
      <c r="H1278">
        <v>658</v>
      </c>
      <c r="I1278">
        <v>652</v>
      </c>
      <c r="J1278">
        <v>6</v>
      </c>
      <c r="K1278">
        <v>19.260000000000002</v>
      </c>
      <c r="L1278">
        <v>20.34</v>
      </c>
      <c r="M1278">
        <v>223.02</v>
      </c>
      <c r="N1278">
        <f>_xlfn.XLOOKUP(Table13[[#This Row],[Production_Order_ID]],[1]Sheet1!$A$2:$A$391,[1]Sheet1!$F$2:$F$391,"No Match")</f>
        <v>620</v>
      </c>
      <c r="O1278" s="3">
        <f>Table13[[#This Row],[Good_Qty]]/Table13[[#This Row],[Planned_Production]]</f>
        <v>1.0516129032258064</v>
      </c>
      <c r="P1278" t="str">
        <f>IF(Table13[[#This Row],[Good_Qty]]&gt;=Table13[[#This Row],[Planned_Production]],"Met","Not Met")</f>
        <v>Met</v>
      </c>
      <c r="Q1278">
        <f>Table13[[#This Row],[Good_Qty]]-Table13[[#This Row],[Planned_Production]]</f>
        <v>32</v>
      </c>
      <c r="R1278" s="3">
        <f>IF(Table13[[#This Row],[Actual_Qty]]=0,0,Table13[[#This Row],[Reject_Qty]]/Table13[[#This Row],[Actual_Qty]])</f>
        <v>9.11854103343465E-3</v>
      </c>
      <c r="S1278">
        <v>436.44</v>
      </c>
      <c r="T1278">
        <f>(Table13[[#This Row],[Ideal_Cycle_Time_sec]]*Table13[[#This Row],[Actual_Qty]])/(Table13[[#This Row],[Operational_Time_min]]*60)</f>
        <v>0.48395655760241962</v>
      </c>
      <c r="U1278">
        <f>Table13[[#This Row],[Good_Qty]]/Table13[[#This Row],[Actual_Qty]]</f>
        <v>0.99088145896656532</v>
      </c>
      <c r="V1278" t="str">
        <f>IF(OR(Table13[[#This Row],[Performance_%]]&gt;=1,Table13[[#This Row],[Performance_%]]&lt;=0),"Error","OK")</f>
        <v>OK</v>
      </c>
      <c r="W1278" t="str">
        <f>IF(OR(Table13[[#This Row],[Quality_%]]&gt;=1,Table13[[#This Row],[Quality_%]]&lt;=0),"Error","OK")</f>
        <v>OK</v>
      </c>
      <c r="X1278">
        <f>Table13[[#This Row],[Performance_%]]*Table13[[#This Row],[Quality_%]]*[2]Availability_KPI!K1278</f>
        <v>0.46509333333333336</v>
      </c>
      <c r="Y1278" t="str">
        <f>IF(OR(Table13[[#This Row],[OEE_%]]&gt;1,Table13[[#This Row],[OEE_%]]&lt;0),"Error","OK")</f>
        <v>OK</v>
      </c>
    </row>
    <row r="1279" spans="1:25" x14ac:dyDescent="0.2">
      <c r="A1279" t="s">
        <v>1488</v>
      </c>
      <c r="B1279" t="s">
        <v>1483</v>
      </c>
      <c r="C1279" s="2">
        <v>46310</v>
      </c>
      <c r="D1279" t="s">
        <v>27</v>
      </c>
      <c r="E1279" t="s">
        <v>43</v>
      </c>
      <c r="F1279" t="s">
        <v>97</v>
      </c>
      <c r="G1279" t="s">
        <v>33</v>
      </c>
      <c r="H1279">
        <v>666</v>
      </c>
      <c r="I1279">
        <v>655</v>
      </c>
      <c r="J1279">
        <v>11</v>
      </c>
      <c r="K1279">
        <v>34.24</v>
      </c>
      <c r="L1279">
        <v>36.450000000000003</v>
      </c>
      <c r="M1279">
        <v>404.59</v>
      </c>
      <c r="N1279">
        <f>_xlfn.XLOOKUP(Table13[[#This Row],[Production_Order_ID]],[1]Sheet1!$A$2:$A$391,[1]Sheet1!$F$2:$F$391,"No Match")</f>
        <v>620</v>
      </c>
      <c r="O1279" s="3">
        <f>Table13[[#This Row],[Good_Qty]]/Table13[[#This Row],[Planned_Production]]</f>
        <v>1.0564516129032258</v>
      </c>
      <c r="P1279" t="str">
        <f>IF(Table13[[#This Row],[Good_Qty]]&gt;=Table13[[#This Row],[Planned_Production]],"Met","Not Met")</f>
        <v>Met</v>
      </c>
      <c r="Q1279">
        <f>Table13[[#This Row],[Good_Qty]]-Table13[[#This Row],[Planned_Production]]</f>
        <v>35</v>
      </c>
      <c r="R1279" s="3">
        <f>IF(Table13[[#This Row],[Actual_Qty]]=0,0,Table13[[#This Row],[Reject_Qty]]/Table13[[#This Row],[Actual_Qty]])</f>
        <v>1.6516516516516516E-2</v>
      </c>
      <c r="S1279">
        <v>399.55</v>
      </c>
      <c r="T1279">
        <f>(Table13[[#This Row],[Ideal_Cycle_Time_sec]]*Table13[[#This Row],[Actual_Qty]])/(Table13[[#This Row],[Operational_Time_min]]*60)</f>
        <v>0.95123013390063826</v>
      </c>
      <c r="U1279">
        <f>Table13[[#This Row],[Good_Qty]]/Table13[[#This Row],[Actual_Qty]]</f>
        <v>0.98348348348348347</v>
      </c>
      <c r="V1279" t="str">
        <f>IF(OR(Table13[[#This Row],[Performance_%]]&gt;=1,Table13[[#This Row],[Performance_%]]&lt;=0),"Error","OK")</f>
        <v>OK</v>
      </c>
      <c r="W1279" t="str">
        <f>IF(OR(Table13[[#This Row],[Quality_%]]&gt;=1,Table13[[#This Row],[Quality_%]]&lt;=0),"Error","OK")</f>
        <v>OK</v>
      </c>
      <c r="X1279">
        <f>Table13[[#This Row],[Performance_%]]*Table13[[#This Row],[Quality_%]]*[2]Availability_KPI!K1279</f>
        <v>0.83063703703703717</v>
      </c>
      <c r="Y1279" t="str">
        <f>IF(OR(Table13[[#This Row],[OEE_%]]&gt;1,Table13[[#This Row],[OEE_%]]&lt;0),"Error","OK")</f>
        <v>OK</v>
      </c>
    </row>
    <row r="1280" spans="1:25" x14ac:dyDescent="0.2">
      <c r="A1280" t="s">
        <v>1489</v>
      </c>
      <c r="B1280" t="s">
        <v>1483</v>
      </c>
      <c r="C1280" s="2">
        <v>46310</v>
      </c>
      <c r="D1280" t="s">
        <v>27</v>
      </c>
      <c r="E1280" t="s">
        <v>46</v>
      </c>
      <c r="F1280" t="s">
        <v>97</v>
      </c>
      <c r="G1280" t="s">
        <v>33</v>
      </c>
      <c r="H1280">
        <v>655</v>
      </c>
      <c r="I1280">
        <v>648</v>
      </c>
      <c r="J1280">
        <v>7</v>
      </c>
      <c r="K1280">
        <v>26.75</v>
      </c>
      <c r="L1280">
        <v>28.42</v>
      </c>
      <c r="M1280">
        <v>310.2</v>
      </c>
      <c r="N1280">
        <f>_xlfn.XLOOKUP(Table13[[#This Row],[Production_Order_ID]],[1]Sheet1!$A$2:$A$391,[1]Sheet1!$F$2:$F$391,"No Match")</f>
        <v>620</v>
      </c>
      <c r="O1280" s="3">
        <f>Table13[[#This Row],[Good_Qty]]/Table13[[#This Row],[Planned_Production]]</f>
        <v>1.0451612903225806</v>
      </c>
      <c r="P1280" t="str">
        <f>IF(Table13[[#This Row],[Good_Qty]]&gt;=Table13[[#This Row],[Planned_Production]],"Met","Not Met")</f>
        <v>Met</v>
      </c>
      <c r="Q1280">
        <f>Table13[[#This Row],[Good_Qty]]-Table13[[#This Row],[Planned_Production]]</f>
        <v>28</v>
      </c>
      <c r="R1280" s="3">
        <f>IF(Table13[[#This Row],[Actual_Qty]]=0,0,Table13[[#This Row],[Reject_Qty]]/Table13[[#This Row],[Actual_Qty]])</f>
        <v>1.0687022900763359E-2</v>
      </c>
      <c r="S1280">
        <v>427.12</v>
      </c>
      <c r="T1280">
        <f>(Table13[[#This Row],[Ideal_Cycle_Time_sec]]*Table13[[#This Row],[Actual_Qty]])/(Table13[[#This Row],[Operational_Time_min]]*60)</f>
        <v>0.68369739963788467</v>
      </c>
      <c r="U1280">
        <f>Table13[[#This Row],[Good_Qty]]/Table13[[#This Row],[Actual_Qty]]</f>
        <v>0.9893129770992366</v>
      </c>
      <c r="V1280" t="str">
        <f>IF(OR(Table13[[#This Row],[Performance_%]]&gt;=1,Table13[[#This Row],[Performance_%]]&lt;=0),"Error","OK")</f>
        <v>OK</v>
      </c>
      <c r="W1280" t="str">
        <f>IF(OR(Table13[[#This Row],[Quality_%]]&gt;=1,Table13[[#This Row],[Quality_%]]&lt;=0),"Error","OK")</f>
        <v>OK</v>
      </c>
      <c r="X1280">
        <f>Table13[[#This Row],[Performance_%]]*Table13[[#This Row],[Quality_%]]*[2]Availability_KPI!K1280</f>
        <v>0.6419999999999999</v>
      </c>
      <c r="Y1280" t="str">
        <f>IF(OR(Table13[[#This Row],[OEE_%]]&gt;1,Table13[[#This Row],[OEE_%]]&lt;0),"Error","OK")</f>
        <v>OK</v>
      </c>
    </row>
    <row r="1281" spans="1:25" x14ac:dyDescent="0.2">
      <c r="A1281" t="s">
        <v>1490</v>
      </c>
      <c r="B1281" t="s">
        <v>1483</v>
      </c>
      <c r="C1281" s="2">
        <v>46310</v>
      </c>
      <c r="D1281" t="s">
        <v>27</v>
      </c>
      <c r="E1281" t="s">
        <v>49</v>
      </c>
      <c r="F1281" t="s">
        <v>97</v>
      </c>
      <c r="G1281" t="s">
        <v>50</v>
      </c>
      <c r="H1281">
        <v>668</v>
      </c>
      <c r="I1281">
        <v>667</v>
      </c>
      <c r="J1281">
        <v>1</v>
      </c>
      <c r="K1281">
        <v>21.4</v>
      </c>
      <c r="L1281">
        <v>22.64</v>
      </c>
      <c r="M1281">
        <v>252.03</v>
      </c>
      <c r="N1281">
        <f>_xlfn.XLOOKUP(Table13[[#This Row],[Production_Order_ID]],[1]Sheet1!$A$2:$A$391,[1]Sheet1!$F$2:$F$391,"No Match")</f>
        <v>620</v>
      </c>
      <c r="O1281" s="3">
        <f>Table13[[#This Row],[Good_Qty]]/Table13[[#This Row],[Planned_Production]]</f>
        <v>1.0758064516129033</v>
      </c>
      <c r="P1281" t="str">
        <f>IF(Table13[[#This Row],[Good_Qty]]&gt;=Table13[[#This Row],[Planned_Production]],"Met","Not Met")</f>
        <v>Met</v>
      </c>
      <c r="Q1281">
        <f>Table13[[#This Row],[Good_Qty]]-Table13[[#This Row],[Planned_Production]]</f>
        <v>47</v>
      </c>
      <c r="R1281" s="3">
        <f>IF(Table13[[#This Row],[Actual_Qty]]=0,0,Table13[[#This Row],[Reject_Qty]]/Table13[[#This Row],[Actual_Qty]])</f>
        <v>1.4970059880239522E-3</v>
      </c>
      <c r="S1281">
        <v>441</v>
      </c>
      <c r="T1281">
        <f>(Table13[[#This Row],[Ideal_Cycle_Time_sec]]*Table13[[#This Row],[Actual_Qty]])/(Table13[[#This Row],[Operational_Time_min]]*60)</f>
        <v>0.54025699168556307</v>
      </c>
      <c r="U1281">
        <f>Table13[[#This Row],[Good_Qty]]/Table13[[#This Row],[Actual_Qty]]</f>
        <v>0.99850299401197606</v>
      </c>
      <c r="V1281" t="str">
        <f>IF(OR(Table13[[#This Row],[Performance_%]]&gt;=1,Table13[[#This Row],[Performance_%]]&lt;=0),"Error","OK")</f>
        <v>OK</v>
      </c>
      <c r="W1281" t="str">
        <f>IF(OR(Table13[[#This Row],[Quality_%]]&gt;=1,Table13[[#This Row],[Quality_%]]&lt;=0),"Error","OK")</f>
        <v>OK</v>
      </c>
      <c r="X1281">
        <f>Table13[[#This Row],[Performance_%]]*Table13[[#This Row],[Quality_%]]*[2]Availability_KPI!K1281</f>
        <v>0.52865925925925916</v>
      </c>
      <c r="Y1281" t="str">
        <f>IF(OR(Table13[[#This Row],[OEE_%]]&gt;1,Table13[[#This Row],[OEE_%]]&lt;0),"Error","OK")</f>
        <v>OK</v>
      </c>
    </row>
    <row r="1282" spans="1:25" x14ac:dyDescent="0.2">
      <c r="A1282" t="s">
        <v>1491</v>
      </c>
      <c r="B1282" t="s">
        <v>1492</v>
      </c>
      <c r="C1282" s="2">
        <v>46310</v>
      </c>
      <c r="D1282" t="s">
        <v>53</v>
      </c>
      <c r="E1282" t="s">
        <v>28</v>
      </c>
      <c r="F1282" t="s">
        <v>54</v>
      </c>
      <c r="G1282" t="s">
        <v>30</v>
      </c>
      <c r="H1282">
        <v>602</v>
      </c>
      <c r="I1282">
        <v>601</v>
      </c>
      <c r="J1282">
        <v>1</v>
      </c>
      <c r="K1282">
        <v>18</v>
      </c>
      <c r="L1282">
        <v>18.8</v>
      </c>
      <c r="M1282">
        <v>188.67</v>
      </c>
      <c r="N1282">
        <f>_xlfn.XLOOKUP(Table13[[#This Row],[Production_Order_ID]],[1]Sheet1!$A$2:$A$391,[1]Sheet1!$F$2:$F$391,"No Match")</f>
        <v>550</v>
      </c>
      <c r="O1282" s="3">
        <f>Table13[[#This Row],[Good_Qty]]/Table13[[#This Row],[Planned_Production]]</f>
        <v>1.0927272727272728</v>
      </c>
      <c r="P1282" t="str">
        <f>IF(Table13[[#This Row],[Good_Qty]]&gt;=Table13[[#This Row],[Planned_Production]],"Met","Not Met")</f>
        <v>Met</v>
      </c>
      <c r="Q1282">
        <f>Table13[[#This Row],[Good_Qty]]-Table13[[#This Row],[Planned_Production]]</f>
        <v>51</v>
      </c>
      <c r="R1282" s="3">
        <f>IF(Table13[[#This Row],[Actual_Qty]]=0,0,Table13[[#This Row],[Reject_Qty]]/Table13[[#This Row],[Actual_Qty]])</f>
        <v>1.6611295681063123E-3</v>
      </c>
      <c r="S1282">
        <v>439.95</v>
      </c>
      <c r="T1282">
        <f>(Table13[[#This Row],[Ideal_Cycle_Time_sec]]*Table13[[#This Row],[Actual_Qty]])/(Table13[[#This Row],[Operational_Time_min]]*60)</f>
        <v>0.41050119331742241</v>
      </c>
      <c r="U1282">
        <f>Table13[[#This Row],[Good_Qty]]/Table13[[#This Row],[Actual_Qty]]</f>
        <v>0.99833887043189373</v>
      </c>
      <c r="V1282" t="str">
        <f>IF(OR(Table13[[#This Row],[Performance_%]]&gt;=1,Table13[[#This Row],[Performance_%]]&lt;=0),"Error","OK")</f>
        <v>OK</v>
      </c>
      <c r="W1282" t="str">
        <f>IF(OR(Table13[[#This Row],[Quality_%]]&gt;=1,Table13[[#This Row],[Quality_%]]&lt;=0),"Error","OK")</f>
        <v>OK</v>
      </c>
      <c r="X1282">
        <f>Table13[[#This Row],[Performance_%]]*Table13[[#This Row],[Quality_%]]*[2]Availability_KPI!K1282</f>
        <v>0.40066666666666667</v>
      </c>
      <c r="Y1282" t="str">
        <f>IF(OR(Table13[[#This Row],[OEE_%]]&gt;1,Table13[[#This Row],[OEE_%]]&lt;0),"Error","OK")</f>
        <v>OK</v>
      </c>
    </row>
    <row r="1283" spans="1:25" x14ac:dyDescent="0.2">
      <c r="A1283" t="s">
        <v>1493</v>
      </c>
      <c r="B1283" t="s">
        <v>1492</v>
      </c>
      <c r="C1283" s="2">
        <v>46310</v>
      </c>
      <c r="D1283" t="s">
        <v>53</v>
      </c>
      <c r="E1283" t="s">
        <v>32</v>
      </c>
      <c r="F1283" t="s">
        <v>54</v>
      </c>
      <c r="G1283" t="s">
        <v>55</v>
      </c>
      <c r="H1283">
        <v>611</v>
      </c>
      <c r="I1283">
        <v>605</v>
      </c>
      <c r="J1283">
        <v>6</v>
      </c>
      <c r="K1283">
        <v>20</v>
      </c>
      <c r="L1283">
        <v>20.94</v>
      </c>
      <c r="M1283">
        <v>213.21</v>
      </c>
      <c r="N1283">
        <f>_xlfn.XLOOKUP(Table13[[#This Row],[Production_Order_ID]],[1]Sheet1!$A$2:$A$391,[1]Sheet1!$F$2:$F$391,"No Match")</f>
        <v>550</v>
      </c>
      <c r="O1283" s="3">
        <f>Table13[[#This Row],[Good_Qty]]/Table13[[#This Row],[Planned_Production]]</f>
        <v>1.1000000000000001</v>
      </c>
      <c r="P1283" t="str">
        <f>IF(Table13[[#This Row],[Good_Qty]]&gt;=Table13[[#This Row],[Planned_Production]],"Met","Not Met")</f>
        <v>Met</v>
      </c>
      <c r="Q1283">
        <f>Table13[[#This Row],[Good_Qty]]-Table13[[#This Row],[Planned_Production]]</f>
        <v>55</v>
      </c>
      <c r="R1283" s="3">
        <f>IF(Table13[[#This Row],[Actual_Qty]]=0,0,Table13[[#This Row],[Reject_Qty]]/Table13[[#This Row],[Actual_Qty]])</f>
        <v>9.8199672667757774E-3</v>
      </c>
      <c r="S1283">
        <v>436.55</v>
      </c>
      <c r="T1283">
        <f>(Table13[[#This Row],[Ideal_Cycle_Time_sec]]*Table13[[#This Row],[Actual_Qty]])/(Table13[[#This Row],[Operational_Time_min]]*60)</f>
        <v>0.4665368609933952</v>
      </c>
      <c r="U1283">
        <f>Table13[[#This Row],[Good_Qty]]/Table13[[#This Row],[Actual_Qty]]</f>
        <v>0.99018003273322419</v>
      </c>
      <c r="V1283" t="str">
        <f>IF(OR(Table13[[#This Row],[Performance_%]]&gt;=1,Table13[[#This Row],[Performance_%]]&lt;=0),"Error","OK")</f>
        <v>OK</v>
      </c>
      <c r="W1283" t="str">
        <f>IF(OR(Table13[[#This Row],[Quality_%]]&gt;=1,Table13[[#This Row],[Quality_%]]&lt;=0),"Error","OK")</f>
        <v>OK</v>
      </c>
      <c r="X1283">
        <f>Table13[[#This Row],[Performance_%]]*Table13[[#This Row],[Quality_%]]*[2]Availability_KPI!K1283</f>
        <v>0.44814814814814818</v>
      </c>
      <c r="Y1283" t="str">
        <f>IF(OR(Table13[[#This Row],[OEE_%]]&gt;1,Table13[[#This Row],[OEE_%]]&lt;0),"Error","OK")</f>
        <v>OK</v>
      </c>
    </row>
    <row r="1284" spans="1:25" x14ac:dyDescent="0.2">
      <c r="A1284" t="s">
        <v>1494</v>
      </c>
      <c r="B1284" t="s">
        <v>1492</v>
      </c>
      <c r="C1284" s="2">
        <v>46310</v>
      </c>
      <c r="D1284" t="s">
        <v>53</v>
      </c>
      <c r="E1284" t="s">
        <v>35</v>
      </c>
      <c r="F1284" t="s">
        <v>54</v>
      </c>
      <c r="G1284" t="s">
        <v>71</v>
      </c>
      <c r="H1284">
        <v>594</v>
      </c>
      <c r="I1284">
        <v>589</v>
      </c>
      <c r="J1284">
        <v>5</v>
      </c>
      <c r="K1284">
        <v>22</v>
      </c>
      <c r="L1284">
        <v>22.94</v>
      </c>
      <c r="M1284">
        <v>227.11</v>
      </c>
      <c r="N1284">
        <f>_xlfn.XLOOKUP(Table13[[#This Row],[Production_Order_ID]],[1]Sheet1!$A$2:$A$391,[1]Sheet1!$F$2:$F$391,"No Match")</f>
        <v>550</v>
      </c>
      <c r="O1284" s="3">
        <f>Table13[[#This Row],[Good_Qty]]/Table13[[#This Row],[Planned_Production]]</f>
        <v>1.0709090909090908</v>
      </c>
      <c r="P1284" t="str">
        <f>IF(Table13[[#This Row],[Good_Qty]]&gt;=Table13[[#This Row],[Planned_Production]],"Met","Not Met")</f>
        <v>Met</v>
      </c>
      <c r="Q1284">
        <f>Table13[[#This Row],[Good_Qty]]-Table13[[#This Row],[Planned_Production]]</f>
        <v>39</v>
      </c>
      <c r="R1284" s="3">
        <f>IF(Table13[[#This Row],[Actual_Qty]]=0,0,Table13[[#This Row],[Reject_Qty]]/Table13[[#This Row],[Actual_Qty]])</f>
        <v>8.4175084175084174E-3</v>
      </c>
      <c r="S1284">
        <v>436.26</v>
      </c>
      <c r="T1284">
        <f>(Table13[[#This Row],[Ideal_Cycle_Time_sec]]*Table13[[#This Row],[Actual_Qty]])/(Table13[[#This Row],[Operational_Time_min]]*60)</f>
        <v>0.49924357034795769</v>
      </c>
      <c r="U1284">
        <f>Table13[[#This Row],[Good_Qty]]/Table13[[#This Row],[Actual_Qty]]</f>
        <v>0.99158249158249157</v>
      </c>
      <c r="V1284" t="str">
        <f>IF(OR(Table13[[#This Row],[Performance_%]]&gt;=1,Table13[[#This Row],[Performance_%]]&lt;=0),"Error","OK")</f>
        <v>OK</v>
      </c>
      <c r="W1284" t="str">
        <f>IF(OR(Table13[[#This Row],[Quality_%]]&gt;=1,Table13[[#This Row],[Quality_%]]&lt;=0),"Error","OK")</f>
        <v>OK</v>
      </c>
      <c r="X1284">
        <f>Table13[[#This Row],[Performance_%]]*Table13[[#This Row],[Quality_%]]*[2]Availability_KPI!K1284</f>
        <v>0.47992592592592598</v>
      </c>
      <c r="Y1284" t="str">
        <f>IF(OR(Table13[[#This Row],[OEE_%]]&gt;1,Table13[[#This Row],[OEE_%]]&lt;0),"Error","OK")</f>
        <v>OK</v>
      </c>
    </row>
    <row r="1285" spans="1:25" x14ac:dyDescent="0.2">
      <c r="A1285" t="s">
        <v>1495</v>
      </c>
      <c r="B1285" t="s">
        <v>1492</v>
      </c>
      <c r="C1285" s="2">
        <v>46310</v>
      </c>
      <c r="D1285" t="s">
        <v>53</v>
      </c>
      <c r="E1285" t="s">
        <v>38</v>
      </c>
      <c r="F1285" t="s">
        <v>54</v>
      </c>
      <c r="G1285" t="s">
        <v>44</v>
      </c>
      <c r="H1285">
        <v>585</v>
      </c>
      <c r="I1285">
        <v>581</v>
      </c>
      <c r="J1285">
        <v>4</v>
      </c>
      <c r="K1285">
        <v>20</v>
      </c>
      <c r="L1285">
        <v>21.4</v>
      </c>
      <c r="M1285">
        <v>208.61</v>
      </c>
      <c r="N1285">
        <f>_xlfn.XLOOKUP(Table13[[#This Row],[Production_Order_ID]],[1]Sheet1!$A$2:$A$391,[1]Sheet1!$F$2:$F$391,"No Match")</f>
        <v>550</v>
      </c>
      <c r="O1285" s="3">
        <f>Table13[[#This Row],[Good_Qty]]/Table13[[#This Row],[Planned_Production]]</f>
        <v>1.0563636363636364</v>
      </c>
      <c r="P1285" t="str">
        <f>IF(Table13[[#This Row],[Good_Qty]]&gt;=Table13[[#This Row],[Planned_Production]],"Met","Not Met")</f>
        <v>Met</v>
      </c>
      <c r="Q1285">
        <f>Table13[[#This Row],[Good_Qty]]-Table13[[#This Row],[Planned_Production]]</f>
        <v>31</v>
      </c>
      <c r="R1285" s="3">
        <f>IF(Table13[[#This Row],[Actual_Qty]]=0,0,Table13[[#This Row],[Reject_Qty]]/Table13[[#This Row],[Actual_Qty]])</f>
        <v>6.8376068376068376E-3</v>
      </c>
      <c r="S1285">
        <v>438.05</v>
      </c>
      <c r="T1285">
        <f>(Table13[[#This Row],[Ideal_Cycle_Time_sec]]*Table13[[#This Row],[Actual_Qty]])/(Table13[[#This Row],[Operational_Time_min]]*60)</f>
        <v>0.4451546627097363</v>
      </c>
      <c r="U1285">
        <f>Table13[[#This Row],[Good_Qty]]/Table13[[#This Row],[Actual_Qty]]</f>
        <v>0.99316239316239319</v>
      </c>
      <c r="V1285" t="str">
        <f>IF(OR(Table13[[#This Row],[Performance_%]]&gt;=1,Table13[[#This Row],[Performance_%]]&lt;=0),"Error","OK")</f>
        <v>OK</v>
      </c>
      <c r="W1285" t="str">
        <f>IF(OR(Table13[[#This Row],[Quality_%]]&gt;=1,Table13[[#This Row],[Quality_%]]&lt;=0),"Error","OK")</f>
        <v>OK</v>
      </c>
      <c r="X1285">
        <f>Table13[[#This Row],[Performance_%]]*Table13[[#This Row],[Quality_%]]*[2]Availability_KPI!K1285</f>
        <v>0.43037037037037035</v>
      </c>
      <c r="Y1285" t="str">
        <f>IF(OR(Table13[[#This Row],[OEE_%]]&gt;1,Table13[[#This Row],[OEE_%]]&lt;0),"Error","OK")</f>
        <v>OK</v>
      </c>
    </row>
    <row r="1286" spans="1:25" x14ac:dyDescent="0.2">
      <c r="A1286" t="s">
        <v>1496</v>
      </c>
      <c r="B1286" t="s">
        <v>1492</v>
      </c>
      <c r="C1286" s="2">
        <v>46310</v>
      </c>
      <c r="D1286" t="s">
        <v>53</v>
      </c>
      <c r="E1286" t="s">
        <v>41</v>
      </c>
      <c r="F1286" t="s">
        <v>54</v>
      </c>
      <c r="G1286" t="s">
        <v>71</v>
      </c>
      <c r="H1286">
        <v>597</v>
      </c>
      <c r="I1286">
        <v>592</v>
      </c>
      <c r="J1286">
        <v>5</v>
      </c>
      <c r="K1286">
        <v>18</v>
      </c>
      <c r="L1286">
        <v>19.09</v>
      </c>
      <c r="M1286">
        <v>189.94</v>
      </c>
      <c r="N1286">
        <f>_xlfn.XLOOKUP(Table13[[#This Row],[Production_Order_ID]],[1]Sheet1!$A$2:$A$391,[1]Sheet1!$F$2:$F$391,"No Match")</f>
        <v>550</v>
      </c>
      <c r="O1286" s="3">
        <f>Table13[[#This Row],[Good_Qty]]/Table13[[#This Row],[Planned_Production]]</f>
        <v>1.0763636363636364</v>
      </c>
      <c r="P1286" t="str">
        <f>IF(Table13[[#This Row],[Good_Qty]]&gt;=Table13[[#This Row],[Planned_Production]],"Met","Not Met")</f>
        <v>Met</v>
      </c>
      <c r="Q1286">
        <f>Table13[[#This Row],[Good_Qty]]-Table13[[#This Row],[Planned_Production]]</f>
        <v>42</v>
      </c>
      <c r="R1286" s="3">
        <f>IF(Table13[[#This Row],[Actual_Qty]]=0,0,Table13[[#This Row],[Reject_Qty]]/Table13[[#This Row],[Actual_Qty]])</f>
        <v>8.3752093802345051E-3</v>
      </c>
      <c r="S1286">
        <v>436.27</v>
      </c>
      <c r="T1286">
        <f>(Table13[[#This Row],[Ideal_Cycle_Time_sec]]*Table13[[#This Row],[Actual_Qty]])/(Table13[[#This Row],[Operational_Time_min]]*60)</f>
        <v>0.41052559194993932</v>
      </c>
      <c r="U1286">
        <f>Table13[[#This Row],[Good_Qty]]/Table13[[#This Row],[Actual_Qty]]</f>
        <v>0.99162479061976549</v>
      </c>
      <c r="V1286" t="str">
        <f>IF(OR(Table13[[#This Row],[Performance_%]]&gt;=1,Table13[[#This Row],[Performance_%]]&lt;=0),"Error","OK")</f>
        <v>OK</v>
      </c>
      <c r="W1286" t="str">
        <f>IF(OR(Table13[[#This Row],[Quality_%]]&gt;=1,Table13[[#This Row],[Quality_%]]&lt;=0),"Error","OK")</f>
        <v>OK</v>
      </c>
      <c r="X1286">
        <f>Table13[[#This Row],[Performance_%]]*Table13[[#This Row],[Quality_%]]*[2]Availability_KPI!K1286</f>
        <v>0.39466666666666667</v>
      </c>
      <c r="Y1286" t="str">
        <f>IF(OR(Table13[[#This Row],[OEE_%]]&gt;1,Table13[[#This Row],[OEE_%]]&lt;0),"Error","OK")</f>
        <v>OK</v>
      </c>
    </row>
    <row r="1287" spans="1:25" x14ac:dyDescent="0.2">
      <c r="A1287" t="s">
        <v>1497</v>
      </c>
      <c r="B1287" t="s">
        <v>1492</v>
      </c>
      <c r="C1287" s="2">
        <v>46310</v>
      </c>
      <c r="D1287" t="s">
        <v>53</v>
      </c>
      <c r="E1287" t="s">
        <v>43</v>
      </c>
      <c r="F1287" t="s">
        <v>54</v>
      </c>
      <c r="G1287" t="s">
        <v>30</v>
      </c>
      <c r="H1287">
        <v>615</v>
      </c>
      <c r="I1287">
        <v>607</v>
      </c>
      <c r="J1287">
        <v>8</v>
      </c>
      <c r="K1287">
        <v>32</v>
      </c>
      <c r="L1287">
        <v>35.25</v>
      </c>
      <c r="M1287">
        <v>361.35</v>
      </c>
      <c r="N1287">
        <f>_xlfn.XLOOKUP(Table13[[#This Row],[Production_Order_ID]],[1]Sheet1!$A$2:$A$391,[1]Sheet1!$F$2:$F$391,"No Match")</f>
        <v>550</v>
      </c>
      <c r="O1287" s="3">
        <f>Table13[[#This Row],[Good_Qty]]/Table13[[#This Row],[Planned_Production]]</f>
        <v>1.1036363636363635</v>
      </c>
      <c r="P1287" t="str">
        <f>IF(Table13[[#This Row],[Good_Qty]]&gt;=Table13[[#This Row],[Planned_Production]],"Met","Not Met")</f>
        <v>Met</v>
      </c>
      <c r="Q1287">
        <f>Table13[[#This Row],[Good_Qty]]-Table13[[#This Row],[Planned_Production]]</f>
        <v>57</v>
      </c>
      <c r="R1287" s="3">
        <f>IF(Table13[[#This Row],[Actual_Qty]]=0,0,Table13[[#This Row],[Reject_Qty]]/Table13[[#This Row],[Actual_Qty]])</f>
        <v>1.3008130081300813E-2</v>
      </c>
      <c r="S1287">
        <v>414.04</v>
      </c>
      <c r="T1287">
        <f>(Table13[[#This Row],[Ideal_Cycle_Time_sec]]*Table13[[#This Row],[Actual_Qty]])/(Table13[[#This Row],[Operational_Time_min]]*60)</f>
        <v>0.79219399091875176</v>
      </c>
      <c r="U1287">
        <f>Table13[[#This Row],[Good_Qty]]/Table13[[#This Row],[Actual_Qty]]</f>
        <v>0.98699186991869914</v>
      </c>
      <c r="V1287" t="str">
        <f>IF(OR(Table13[[#This Row],[Performance_%]]&gt;=1,Table13[[#This Row],[Performance_%]]&lt;=0),"Error","OK")</f>
        <v>OK</v>
      </c>
      <c r="W1287" t="str">
        <f>IF(OR(Table13[[#This Row],[Quality_%]]&gt;=1,Table13[[#This Row],[Quality_%]]&lt;=0),"Error","OK")</f>
        <v>OK</v>
      </c>
      <c r="X1287">
        <f>Table13[[#This Row],[Performance_%]]*Table13[[#This Row],[Quality_%]]*[2]Availability_KPI!K1287</f>
        <v>0.71940740740740738</v>
      </c>
      <c r="Y1287" t="str">
        <f>IF(OR(Table13[[#This Row],[OEE_%]]&gt;1,Table13[[#This Row],[OEE_%]]&lt;0),"Error","OK")</f>
        <v>OK</v>
      </c>
    </row>
    <row r="1288" spans="1:25" x14ac:dyDescent="0.2">
      <c r="A1288" t="s">
        <v>1498</v>
      </c>
      <c r="B1288" t="s">
        <v>1492</v>
      </c>
      <c r="C1288" s="2">
        <v>46310</v>
      </c>
      <c r="D1288" t="s">
        <v>53</v>
      </c>
      <c r="E1288" t="s">
        <v>46</v>
      </c>
      <c r="F1288" t="s">
        <v>54</v>
      </c>
      <c r="G1288" t="s">
        <v>57</v>
      </c>
      <c r="H1288">
        <v>588</v>
      </c>
      <c r="I1288">
        <v>581</v>
      </c>
      <c r="J1288">
        <v>7</v>
      </c>
      <c r="K1288">
        <v>25</v>
      </c>
      <c r="L1288">
        <v>27.38</v>
      </c>
      <c r="M1288">
        <v>268.37</v>
      </c>
      <c r="N1288">
        <f>_xlfn.XLOOKUP(Table13[[#This Row],[Production_Order_ID]],[1]Sheet1!$A$2:$A$391,[1]Sheet1!$F$2:$F$391,"No Match")</f>
        <v>550</v>
      </c>
      <c r="O1288" s="3">
        <f>Table13[[#This Row],[Good_Qty]]/Table13[[#This Row],[Planned_Production]]</f>
        <v>1.0563636363636364</v>
      </c>
      <c r="P1288" t="str">
        <f>IF(Table13[[#This Row],[Good_Qty]]&gt;=Table13[[#This Row],[Planned_Production]],"Met","Not Met")</f>
        <v>Met</v>
      </c>
      <c r="Q1288">
        <f>Table13[[#This Row],[Good_Qty]]-Table13[[#This Row],[Planned_Production]]</f>
        <v>31</v>
      </c>
      <c r="R1288" s="3">
        <f>IF(Table13[[#This Row],[Actual_Qty]]=0,0,Table13[[#This Row],[Reject_Qty]]/Table13[[#This Row],[Actual_Qty]])</f>
        <v>1.1904761904761904E-2</v>
      </c>
      <c r="S1288">
        <v>425.91</v>
      </c>
      <c r="T1288">
        <f>(Table13[[#This Row],[Ideal_Cycle_Time_sec]]*Table13[[#This Row],[Actual_Qty]])/(Table13[[#This Row],[Operational_Time_min]]*60)</f>
        <v>0.57523890023713931</v>
      </c>
      <c r="U1288">
        <f>Table13[[#This Row],[Good_Qty]]/Table13[[#This Row],[Actual_Qty]]</f>
        <v>0.98809523809523814</v>
      </c>
      <c r="V1288" t="str">
        <f>IF(OR(Table13[[#This Row],[Performance_%]]&gt;=1,Table13[[#This Row],[Performance_%]]&lt;=0),"Error","OK")</f>
        <v>OK</v>
      </c>
      <c r="W1288" t="str">
        <f>IF(OR(Table13[[#This Row],[Quality_%]]&gt;=1,Table13[[#This Row],[Quality_%]]&lt;=0),"Error","OK")</f>
        <v>OK</v>
      </c>
      <c r="X1288">
        <f>Table13[[#This Row],[Performance_%]]*Table13[[#This Row],[Quality_%]]*[2]Availability_KPI!K1288</f>
        <v>0.53796296296296298</v>
      </c>
      <c r="Y1288" t="str">
        <f>IF(OR(Table13[[#This Row],[OEE_%]]&gt;1,Table13[[#This Row],[OEE_%]]&lt;0),"Error","OK")</f>
        <v>OK</v>
      </c>
    </row>
    <row r="1289" spans="1:25" x14ac:dyDescent="0.2">
      <c r="A1289" t="s">
        <v>1499</v>
      </c>
      <c r="B1289" t="s">
        <v>1492</v>
      </c>
      <c r="C1289" s="2">
        <v>46310</v>
      </c>
      <c r="D1289" t="s">
        <v>53</v>
      </c>
      <c r="E1289" t="s">
        <v>49</v>
      </c>
      <c r="F1289" t="s">
        <v>54</v>
      </c>
      <c r="G1289" t="s">
        <v>50</v>
      </c>
      <c r="H1289">
        <v>593</v>
      </c>
      <c r="I1289">
        <v>587</v>
      </c>
      <c r="J1289">
        <v>6</v>
      </c>
      <c r="K1289">
        <v>20</v>
      </c>
      <c r="L1289">
        <v>20.92</v>
      </c>
      <c r="M1289">
        <v>206.75</v>
      </c>
      <c r="N1289">
        <f>_xlfn.XLOOKUP(Table13[[#This Row],[Production_Order_ID]],[1]Sheet1!$A$2:$A$391,[1]Sheet1!$F$2:$F$391,"No Match")</f>
        <v>550</v>
      </c>
      <c r="O1289" s="3">
        <f>Table13[[#This Row],[Good_Qty]]/Table13[[#This Row],[Planned_Production]]</f>
        <v>1.0672727272727274</v>
      </c>
      <c r="P1289" t="str">
        <f>IF(Table13[[#This Row],[Good_Qty]]&gt;=Table13[[#This Row],[Planned_Production]],"Met","Not Met")</f>
        <v>Met</v>
      </c>
      <c r="Q1289">
        <f>Table13[[#This Row],[Good_Qty]]-Table13[[#This Row],[Planned_Production]]</f>
        <v>37</v>
      </c>
      <c r="R1289" s="3">
        <f>IF(Table13[[#This Row],[Actual_Qty]]=0,0,Table13[[#This Row],[Reject_Qty]]/Table13[[#This Row],[Actual_Qty]])</f>
        <v>1.0118043844856661E-2</v>
      </c>
      <c r="S1289">
        <v>442.64</v>
      </c>
      <c r="T1289">
        <f>(Table13[[#This Row],[Ideal_Cycle_Time_sec]]*Table13[[#This Row],[Actual_Qty]])/(Table13[[#This Row],[Operational_Time_min]]*60)</f>
        <v>0.44656304596662455</v>
      </c>
      <c r="U1289">
        <f>Table13[[#This Row],[Good_Qty]]/Table13[[#This Row],[Actual_Qty]]</f>
        <v>0.98988195615514329</v>
      </c>
      <c r="V1289" t="str">
        <f>IF(OR(Table13[[#This Row],[Performance_%]]&gt;=1,Table13[[#This Row],[Performance_%]]&lt;=0),"Error","OK")</f>
        <v>OK</v>
      </c>
      <c r="W1289" t="str">
        <f>IF(OR(Table13[[#This Row],[Quality_%]]&gt;=1,Table13[[#This Row],[Quality_%]]&lt;=0),"Error","OK")</f>
        <v>OK</v>
      </c>
      <c r="X1289">
        <f>Table13[[#This Row],[Performance_%]]*Table13[[#This Row],[Quality_%]]*[2]Availability_KPI!K1289</f>
        <v>0.43481481481481482</v>
      </c>
      <c r="Y1289" t="str">
        <f>IF(OR(Table13[[#This Row],[OEE_%]]&gt;1,Table13[[#This Row],[OEE_%]]&lt;0),"Error","OK")</f>
        <v>OK</v>
      </c>
    </row>
    <row r="1290" spans="1:25" x14ac:dyDescent="0.2">
      <c r="A1290" t="s">
        <v>1500</v>
      </c>
      <c r="B1290" t="s">
        <v>1501</v>
      </c>
      <c r="C1290" s="2">
        <v>46310</v>
      </c>
      <c r="D1290" t="s">
        <v>67</v>
      </c>
      <c r="E1290" t="s">
        <v>28</v>
      </c>
      <c r="F1290" t="s">
        <v>97</v>
      </c>
      <c r="G1290" t="s">
        <v>47</v>
      </c>
      <c r="H1290">
        <v>702</v>
      </c>
      <c r="I1290">
        <v>695</v>
      </c>
      <c r="J1290">
        <v>7</v>
      </c>
      <c r="K1290">
        <v>19.260000000000002</v>
      </c>
      <c r="L1290">
        <v>20.12</v>
      </c>
      <c r="M1290">
        <v>235.39</v>
      </c>
      <c r="N1290">
        <f>_xlfn.XLOOKUP(Table13[[#This Row],[Production_Order_ID]],[1]Sheet1!$A$2:$A$391,[1]Sheet1!$F$2:$F$391,"No Match")</f>
        <v>580</v>
      </c>
      <c r="O1290" s="3">
        <f>Table13[[#This Row],[Good_Qty]]/Table13[[#This Row],[Planned_Production]]</f>
        <v>1.1982758620689655</v>
      </c>
      <c r="P1290" t="str">
        <f>IF(Table13[[#This Row],[Good_Qty]]&gt;=Table13[[#This Row],[Planned_Production]],"Met","Not Met")</f>
        <v>Met</v>
      </c>
      <c r="Q1290">
        <f>Table13[[#This Row],[Good_Qty]]-Table13[[#This Row],[Planned_Production]]</f>
        <v>115</v>
      </c>
      <c r="R1290" s="3">
        <f>IF(Table13[[#This Row],[Actual_Qty]]=0,0,Table13[[#This Row],[Reject_Qty]]/Table13[[#This Row],[Actual_Qty]])</f>
        <v>9.9715099715099714E-3</v>
      </c>
      <c r="S1290">
        <v>439.35</v>
      </c>
      <c r="T1290">
        <f>(Table13[[#This Row],[Ideal_Cycle_Time_sec]]*Table13[[#This Row],[Actual_Qty]])/(Table13[[#This Row],[Operational_Time_min]]*60)</f>
        <v>0.51289860020484812</v>
      </c>
      <c r="U1290">
        <f>Table13[[#This Row],[Good_Qty]]/Table13[[#This Row],[Actual_Qty]]</f>
        <v>0.99002849002849003</v>
      </c>
      <c r="V1290" t="str">
        <f>IF(OR(Table13[[#This Row],[Performance_%]]&gt;=1,Table13[[#This Row],[Performance_%]]&lt;=0),"Error","OK")</f>
        <v>OK</v>
      </c>
      <c r="W1290" t="str">
        <f>IF(OR(Table13[[#This Row],[Quality_%]]&gt;=1,Table13[[#This Row],[Quality_%]]&lt;=0),"Error","OK")</f>
        <v>OK</v>
      </c>
      <c r="X1290">
        <f>Table13[[#This Row],[Performance_%]]*Table13[[#This Row],[Quality_%]]*[2]Availability_KPI!K1290</f>
        <v>0.49576666666666674</v>
      </c>
      <c r="Y1290" t="str">
        <f>IF(OR(Table13[[#This Row],[OEE_%]]&gt;1,Table13[[#This Row],[OEE_%]]&lt;0),"Error","OK")</f>
        <v>OK</v>
      </c>
    </row>
    <row r="1291" spans="1:25" x14ac:dyDescent="0.2">
      <c r="A1291" t="s">
        <v>1502</v>
      </c>
      <c r="B1291" t="s">
        <v>1501</v>
      </c>
      <c r="C1291" s="2">
        <v>46310</v>
      </c>
      <c r="D1291" t="s">
        <v>67</v>
      </c>
      <c r="E1291" t="s">
        <v>32</v>
      </c>
      <c r="F1291" t="s">
        <v>97</v>
      </c>
      <c r="G1291" t="s">
        <v>71</v>
      </c>
      <c r="H1291">
        <v>689</v>
      </c>
      <c r="I1291">
        <v>682</v>
      </c>
      <c r="J1291">
        <v>7</v>
      </c>
      <c r="K1291">
        <v>21.4</v>
      </c>
      <c r="L1291">
        <v>21.48</v>
      </c>
      <c r="M1291">
        <v>246.65</v>
      </c>
      <c r="N1291">
        <f>_xlfn.XLOOKUP(Table13[[#This Row],[Production_Order_ID]],[1]Sheet1!$A$2:$A$391,[1]Sheet1!$F$2:$F$391,"No Match")</f>
        <v>580</v>
      </c>
      <c r="O1291" s="3">
        <f>Table13[[#This Row],[Good_Qty]]/Table13[[#This Row],[Planned_Production]]</f>
        <v>1.1758620689655173</v>
      </c>
      <c r="P1291" t="str">
        <f>IF(Table13[[#This Row],[Good_Qty]]&gt;=Table13[[#This Row],[Planned_Production]],"Met","Not Met")</f>
        <v>Met</v>
      </c>
      <c r="Q1291">
        <f>Table13[[#This Row],[Good_Qty]]-Table13[[#This Row],[Planned_Production]]</f>
        <v>102</v>
      </c>
      <c r="R1291" s="3">
        <f>IF(Table13[[#This Row],[Actual_Qty]]=0,0,Table13[[#This Row],[Reject_Qty]]/Table13[[#This Row],[Actual_Qty]])</f>
        <v>1.0159651669085631E-2</v>
      </c>
      <c r="S1291">
        <v>435.5</v>
      </c>
      <c r="T1291">
        <f>(Table13[[#This Row],[Ideal_Cycle_Time_sec]]*Table13[[#This Row],[Actual_Qty]])/(Table13[[#This Row],[Operational_Time_min]]*60)</f>
        <v>0.56427860696517407</v>
      </c>
      <c r="U1291">
        <f>Table13[[#This Row],[Good_Qty]]/Table13[[#This Row],[Actual_Qty]]</f>
        <v>0.98984034833091439</v>
      </c>
      <c r="V1291" t="str">
        <f>IF(OR(Table13[[#This Row],[Performance_%]]&gt;=1,Table13[[#This Row],[Performance_%]]&lt;=0),"Error","OK")</f>
        <v>OK</v>
      </c>
      <c r="W1291" t="str">
        <f>IF(OR(Table13[[#This Row],[Quality_%]]&gt;=1,Table13[[#This Row],[Quality_%]]&lt;=0),"Error","OK")</f>
        <v>OK</v>
      </c>
      <c r="X1291">
        <f>Table13[[#This Row],[Performance_%]]*Table13[[#This Row],[Quality_%]]*[2]Availability_KPI!K1291</f>
        <v>0.54054814814814811</v>
      </c>
      <c r="Y1291" t="str">
        <f>IF(OR(Table13[[#This Row],[OEE_%]]&gt;1,Table13[[#This Row],[OEE_%]]&lt;0),"Error","OK")</f>
        <v>OK</v>
      </c>
    </row>
    <row r="1292" spans="1:25" x14ac:dyDescent="0.2">
      <c r="A1292" t="s">
        <v>1503</v>
      </c>
      <c r="B1292" t="s">
        <v>1501</v>
      </c>
      <c r="C1292" s="2">
        <v>46310</v>
      </c>
      <c r="D1292" t="s">
        <v>67</v>
      </c>
      <c r="E1292" t="s">
        <v>35</v>
      </c>
      <c r="F1292" t="s">
        <v>97</v>
      </c>
      <c r="G1292" t="s">
        <v>36</v>
      </c>
      <c r="H1292">
        <v>689</v>
      </c>
      <c r="I1292">
        <v>685</v>
      </c>
      <c r="J1292">
        <v>4</v>
      </c>
      <c r="K1292">
        <v>23.54</v>
      </c>
      <c r="L1292">
        <v>23.8</v>
      </c>
      <c r="M1292">
        <v>273.33</v>
      </c>
      <c r="N1292">
        <f>_xlfn.XLOOKUP(Table13[[#This Row],[Production_Order_ID]],[1]Sheet1!$A$2:$A$391,[1]Sheet1!$F$2:$F$391,"No Match")</f>
        <v>580</v>
      </c>
      <c r="O1292" s="3">
        <f>Table13[[#This Row],[Good_Qty]]/Table13[[#This Row],[Planned_Production]]</f>
        <v>1.1810344827586208</v>
      </c>
      <c r="P1292" t="str">
        <f>IF(Table13[[#This Row],[Good_Qty]]&gt;=Table13[[#This Row],[Planned_Production]],"Met","Not Met")</f>
        <v>Met</v>
      </c>
      <c r="Q1292">
        <f>Table13[[#This Row],[Good_Qty]]-Table13[[#This Row],[Planned_Production]]</f>
        <v>105</v>
      </c>
      <c r="R1292" s="3">
        <f>IF(Table13[[#This Row],[Actual_Qty]]=0,0,Table13[[#This Row],[Reject_Qty]]/Table13[[#This Row],[Actual_Qty]])</f>
        <v>5.8055152394775036E-3</v>
      </c>
      <c r="S1292">
        <v>429.94</v>
      </c>
      <c r="T1292">
        <f>(Table13[[#This Row],[Ideal_Cycle_Time_sec]]*Table13[[#This Row],[Actual_Qty]])/(Table13[[#This Row],[Operational_Time_min]]*60)</f>
        <v>0.62873346668527386</v>
      </c>
      <c r="U1292">
        <f>Table13[[#This Row],[Good_Qty]]/Table13[[#This Row],[Actual_Qty]]</f>
        <v>0.99419448476052252</v>
      </c>
      <c r="V1292" t="str">
        <f>IF(OR(Table13[[#This Row],[Performance_%]]&gt;=1,Table13[[#This Row],[Performance_%]]&lt;=0),"Error","OK")</f>
        <v>OK</v>
      </c>
      <c r="W1292" t="str">
        <f>IF(OR(Table13[[#This Row],[Quality_%]]&gt;=1,Table13[[#This Row],[Quality_%]]&lt;=0),"Error","OK")</f>
        <v>OK</v>
      </c>
      <c r="X1292">
        <f>Table13[[#This Row],[Performance_%]]*Table13[[#This Row],[Quality_%]]*[2]Availability_KPI!K1292</f>
        <v>0.59721851851851848</v>
      </c>
      <c r="Y1292" t="str">
        <f>IF(OR(Table13[[#This Row],[OEE_%]]&gt;1,Table13[[#This Row],[OEE_%]]&lt;0),"Error","OK")</f>
        <v>OK</v>
      </c>
    </row>
    <row r="1293" spans="1:25" x14ac:dyDescent="0.2">
      <c r="A1293" t="s">
        <v>1504</v>
      </c>
      <c r="B1293" t="s">
        <v>1501</v>
      </c>
      <c r="C1293" s="2">
        <v>46310</v>
      </c>
      <c r="D1293" t="s">
        <v>67</v>
      </c>
      <c r="E1293" t="s">
        <v>38</v>
      </c>
      <c r="F1293" t="s">
        <v>97</v>
      </c>
      <c r="G1293" t="s">
        <v>39</v>
      </c>
      <c r="H1293">
        <v>678</v>
      </c>
      <c r="I1293">
        <v>672</v>
      </c>
      <c r="J1293">
        <v>6</v>
      </c>
      <c r="K1293">
        <v>21.4</v>
      </c>
      <c r="L1293">
        <v>22.5</v>
      </c>
      <c r="M1293">
        <v>254.2</v>
      </c>
      <c r="N1293">
        <f>_xlfn.XLOOKUP(Table13[[#This Row],[Production_Order_ID]],[1]Sheet1!$A$2:$A$391,[1]Sheet1!$F$2:$F$391,"No Match")</f>
        <v>580</v>
      </c>
      <c r="O1293" s="3">
        <f>Table13[[#This Row],[Good_Qty]]/Table13[[#This Row],[Planned_Production]]</f>
        <v>1.1586206896551725</v>
      </c>
      <c r="P1293" t="str">
        <f>IF(Table13[[#This Row],[Good_Qty]]&gt;=Table13[[#This Row],[Planned_Production]],"Met","Not Met")</f>
        <v>Met</v>
      </c>
      <c r="Q1293">
        <f>Table13[[#This Row],[Good_Qty]]-Table13[[#This Row],[Planned_Production]]</f>
        <v>92</v>
      </c>
      <c r="R1293" s="3">
        <f>IF(Table13[[#This Row],[Actual_Qty]]=0,0,Table13[[#This Row],[Reject_Qty]]/Table13[[#This Row],[Actual_Qty]])</f>
        <v>8.8495575221238937E-3</v>
      </c>
      <c r="S1293">
        <v>439.88</v>
      </c>
      <c r="T1293">
        <f>(Table13[[#This Row],[Ideal_Cycle_Time_sec]]*Table13[[#This Row],[Actual_Qty]])/(Table13[[#This Row],[Operational_Time_min]]*60)</f>
        <v>0.54974083841047561</v>
      </c>
      <c r="U1293">
        <f>Table13[[#This Row],[Good_Qty]]/Table13[[#This Row],[Actual_Qty]]</f>
        <v>0.99115044247787609</v>
      </c>
      <c r="V1293" t="str">
        <f>IF(OR(Table13[[#This Row],[Performance_%]]&gt;=1,Table13[[#This Row],[Performance_%]]&lt;=0),"Error","OK")</f>
        <v>OK</v>
      </c>
      <c r="W1293" t="str">
        <f>IF(OR(Table13[[#This Row],[Quality_%]]&gt;=1,Table13[[#This Row],[Quality_%]]&lt;=0),"Error","OK")</f>
        <v>OK</v>
      </c>
      <c r="X1293">
        <f>Table13[[#This Row],[Performance_%]]*Table13[[#This Row],[Quality_%]]*[2]Availability_KPI!K1293</f>
        <v>0.53262222222222222</v>
      </c>
      <c r="Y1293" t="str">
        <f>IF(OR(Table13[[#This Row],[OEE_%]]&gt;1,Table13[[#This Row],[OEE_%]]&lt;0),"Error","OK")</f>
        <v>OK</v>
      </c>
    </row>
    <row r="1294" spans="1:25" x14ac:dyDescent="0.2">
      <c r="A1294" t="s">
        <v>1505</v>
      </c>
      <c r="B1294" t="s">
        <v>1501</v>
      </c>
      <c r="C1294" s="2">
        <v>46310</v>
      </c>
      <c r="D1294" t="s">
        <v>67</v>
      </c>
      <c r="E1294" t="s">
        <v>41</v>
      </c>
      <c r="F1294" t="s">
        <v>97</v>
      </c>
      <c r="G1294" t="s">
        <v>71</v>
      </c>
      <c r="H1294">
        <v>691</v>
      </c>
      <c r="I1294">
        <v>686</v>
      </c>
      <c r="J1294">
        <v>5</v>
      </c>
      <c r="K1294">
        <v>19.260000000000002</v>
      </c>
      <c r="L1294">
        <v>20.309999999999999</v>
      </c>
      <c r="M1294">
        <v>233.85</v>
      </c>
      <c r="N1294">
        <f>_xlfn.XLOOKUP(Table13[[#This Row],[Production_Order_ID]],[1]Sheet1!$A$2:$A$391,[1]Sheet1!$F$2:$F$391,"No Match")</f>
        <v>580</v>
      </c>
      <c r="O1294" s="3">
        <f>Table13[[#This Row],[Good_Qty]]/Table13[[#This Row],[Planned_Production]]</f>
        <v>1.1827586206896552</v>
      </c>
      <c r="P1294" t="str">
        <f>IF(Table13[[#This Row],[Good_Qty]]&gt;=Table13[[#This Row],[Planned_Production]],"Met","Not Met")</f>
        <v>Met</v>
      </c>
      <c r="Q1294">
        <f>Table13[[#This Row],[Good_Qty]]-Table13[[#This Row],[Planned_Production]]</f>
        <v>106</v>
      </c>
      <c r="R1294" s="3">
        <f>IF(Table13[[#This Row],[Actual_Qty]]=0,0,Table13[[#This Row],[Reject_Qty]]/Table13[[#This Row],[Actual_Qty]])</f>
        <v>7.2358900144717797E-3</v>
      </c>
      <c r="S1294">
        <v>435.05</v>
      </c>
      <c r="T1294">
        <f>(Table13[[#This Row],[Ideal_Cycle_Time_sec]]*Table13[[#This Row],[Actual_Qty]])/(Table13[[#This Row],[Operational_Time_min]]*60)</f>
        <v>0.50985174117917487</v>
      </c>
      <c r="U1294">
        <f>Table13[[#This Row],[Good_Qty]]/Table13[[#This Row],[Actual_Qty]]</f>
        <v>0.99276410998552822</v>
      </c>
      <c r="V1294" t="str">
        <f>IF(OR(Table13[[#This Row],[Performance_%]]&gt;=1,Table13[[#This Row],[Performance_%]]&lt;=0),"Error","OK")</f>
        <v>OK</v>
      </c>
      <c r="W1294" t="str">
        <f>IF(OR(Table13[[#This Row],[Quality_%]]&gt;=1,Table13[[#This Row],[Quality_%]]&lt;=0),"Error","OK")</f>
        <v>OK</v>
      </c>
      <c r="X1294">
        <f>Table13[[#This Row],[Performance_%]]*Table13[[#This Row],[Quality_%]]*[2]Availability_KPI!K1294</f>
        <v>0.48934666666666676</v>
      </c>
      <c r="Y1294" t="str">
        <f>IF(OR(Table13[[#This Row],[OEE_%]]&gt;1,Table13[[#This Row],[OEE_%]]&lt;0),"Error","OK")</f>
        <v>OK</v>
      </c>
    </row>
    <row r="1295" spans="1:25" x14ac:dyDescent="0.2">
      <c r="A1295" t="s">
        <v>1506</v>
      </c>
      <c r="B1295" t="s">
        <v>1501</v>
      </c>
      <c r="C1295" s="2">
        <v>46310</v>
      </c>
      <c r="D1295" t="s">
        <v>67</v>
      </c>
      <c r="E1295" t="s">
        <v>43</v>
      </c>
      <c r="F1295" t="s">
        <v>97</v>
      </c>
      <c r="G1295" t="s">
        <v>47</v>
      </c>
      <c r="H1295">
        <v>694</v>
      </c>
      <c r="I1295">
        <v>683</v>
      </c>
      <c r="J1295">
        <v>11</v>
      </c>
      <c r="K1295">
        <v>34.24</v>
      </c>
      <c r="L1295">
        <v>34.89</v>
      </c>
      <c r="M1295">
        <v>403.59</v>
      </c>
      <c r="N1295">
        <f>_xlfn.XLOOKUP(Table13[[#This Row],[Production_Order_ID]],[1]Sheet1!$A$2:$A$391,[1]Sheet1!$F$2:$F$391,"No Match")</f>
        <v>580</v>
      </c>
      <c r="O1295" s="3">
        <f>Table13[[#This Row],[Good_Qty]]/Table13[[#This Row],[Planned_Production]]</f>
        <v>1.1775862068965517</v>
      </c>
      <c r="P1295" t="str">
        <f>IF(Table13[[#This Row],[Good_Qty]]&gt;=Table13[[#This Row],[Planned_Production]],"Met","Not Met")</f>
        <v>Met</v>
      </c>
      <c r="Q1295">
        <f>Table13[[#This Row],[Good_Qty]]-Table13[[#This Row],[Planned_Production]]</f>
        <v>103</v>
      </c>
      <c r="R1295" s="3">
        <f>IF(Table13[[#This Row],[Actual_Qty]]=0,0,Table13[[#This Row],[Reject_Qty]]/Table13[[#This Row],[Actual_Qty]])</f>
        <v>1.5850144092219021E-2</v>
      </c>
      <c r="S1295">
        <v>411.62</v>
      </c>
      <c r="T1295">
        <f>(Table13[[#This Row],[Ideal_Cycle_Time_sec]]*Table13[[#This Row],[Actual_Qty]])/(Table13[[#This Row],[Operational_Time_min]]*60)</f>
        <v>0.96215603388238347</v>
      </c>
      <c r="U1295">
        <f>Table13[[#This Row],[Good_Qty]]/Table13[[#This Row],[Actual_Qty]]</f>
        <v>0.98414985590778103</v>
      </c>
      <c r="V1295" t="str">
        <f>IF(OR(Table13[[#This Row],[Performance_%]]&gt;=1,Table13[[#This Row],[Performance_%]]&lt;=0),"Error","OK")</f>
        <v>OK</v>
      </c>
      <c r="W1295" t="str">
        <f>IF(OR(Table13[[#This Row],[Quality_%]]&gt;=1,Table13[[#This Row],[Quality_%]]&lt;=0),"Error","OK")</f>
        <v>OK</v>
      </c>
      <c r="X1295">
        <f>Table13[[#This Row],[Performance_%]]*Table13[[#This Row],[Quality_%]]*[2]Availability_KPI!K1295</f>
        <v>0.86614518518518524</v>
      </c>
      <c r="Y1295" t="str">
        <f>IF(OR(Table13[[#This Row],[OEE_%]]&gt;1,Table13[[#This Row],[OEE_%]]&lt;0),"Error","OK")</f>
        <v>OK</v>
      </c>
    </row>
    <row r="1296" spans="1:25" x14ac:dyDescent="0.2">
      <c r="A1296" t="s">
        <v>1507</v>
      </c>
      <c r="B1296" t="s">
        <v>1501</v>
      </c>
      <c r="C1296" s="2">
        <v>46310</v>
      </c>
      <c r="D1296" t="s">
        <v>67</v>
      </c>
      <c r="E1296" t="s">
        <v>46</v>
      </c>
      <c r="F1296" t="s">
        <v>97</v>
      </c>
      <c r="G1296" t="s">
        <v>44</v>
      </c>
      <c r="H1296">
        <v>703</v>
      </c>
      <c r="I1296">
        <v>695</v>
      </c>
      <c r="J1296">
        <v>8</v>
      </c>
      <c r="K1296">
        <v>26.75</v>
      </c>
      <c r="L1296">
        <v>28.61</v>
      </c>
      <c r="M1296">
        <v>335.24</v>
      </c>
      <c r="N1296">
        <f>_xlfn.XLOOKUP(Table13[[#This Row],[Production_Order_ID]],[1]Sheet1!$A$2:$A$391,[1]Sheet1!$F$2:$F$391,"No Match")</f>
        <v>580</v>
      </c>
      <c r="O1296" s="3">
        <f>Table13[[#This Row],[Good_Qty]]/Table13[[#This Row],[Planned_Production]]</f>
        <v>1.1982758620689655</v>
      </c>
      <c r="P1296" t="str">
        <f>IF(Table13[[#This Row],[Good_Qty]]&gt;=Table13[[#This Row],[Planned_Production]],"Met","Not Met")</f>
        <v>Met</v>
      </c>
      <c r="Q1296">
        <f>Table13[[#This Row],[Good_Qty]]-Table13[[#This Row],[Planned_Production]]</f>
        <v>115</v>
      </c>
      <c r="R1296" s="3">
        <f>IF(Table13[[#This Row],[Actual_Qty]]=0,0,Table13[[#This Row],[Reject_Qty]]/Table13[[#This Row],[Actual_Qty]])</f>
        <v>1.1379800853485065E-2</v>
      </c>
      <c r="S1296">
        <v>424.01</v>
      </c>
      <c r="T1296">
        <f>(Table13[[#This Row],[Ideal_Cycle_Time_sec]]*Table13[[#This Row],[Actual_Qty]])/(Table13[[#This Row],[Operational_Time_min]]*60)</f>
        <v>0.73918264506340259</v>
      </c>
      <c r="U1296">
        <f>Table13[[#This Row],[Good_Qty]]/Table13[[#This Row],[Actual_Qty]]</f>
        <v>0.98862019914651489</v>
      </c>
      <c r="V1296" t="str">
        <f>IF(OR(Table13[[#This Row],[Performance_%]]&gt;=1,Table13[[#This Row],[Performance_%]]&lt;=0),"Error","OK")</f>
        <v>OK</v>
      </c>
      <c r="W1296" t="str">
        <f>IF(OR(Table13[[#This Row],[Quality_%]]&gt;=1,Table13[[#This Row],[Quality_%]]&lt;=0),"Error","OK")</f>
        <v>OK</v>
      </c>
      <c r="X1296">
        <f>Table13[[#This Row],[Performance_%]]*Table13[[#This Row],[Quality_%]]*[2]Availability_KPI!K1296</f>
        <v>0.6885648148148148</v>
      </c>
      <c r="Y1296" t="str">
        <f>IF(OR(Table13[[#This Row],[OEE_%]]&gt;1,Table13[[#This Row],[OEE_%]]&lt;0),"Error","OK")</f>
        <v>OK</v>
      </c>
    </row>
    <row r="1297" spans="1:25" x14ac:dyDescent="0.2">
      <c r="A1297" t="s">
        <v>1508</v>
      </c>
      <c r="B1297" t="s">
        <v>1501</v>
      </c>
      <c r="C1297" s="2">
        <v>46310</v>
      </c>
      <c r="D1297" t="s">
        <v>67</v>
      </c>
      <c r="E1297" t="s">
        <v>49</v>
      </c>
      <c r="F1297" t="s">
        <v>97</v>
      </c>
      <c r="G1297" t="s">
        <v>55</v>
      </c>
      <c r="H1297">
        <v>695</v>
      </c>
      <c r="I1297">
        <v>691</v>
      </c>
      <c r="J1297">
        <v>4</v>
      </c>
      <c r="K1297">
        <v>21.4</v>
      </c>
      <c r="L1297">
        <v>21.87</v>
      </c>
      <c r="M1297">
        <v>253.29</v>
      </c>
      <c r="N1297">
        <f>_xlfn.XLOOKUP(Table13[[#This Row],[Production_Order_ID]],[1]Sheet1!$A$2:$A$391,[1]Sheet1!$F$2:$F$391,"No Match")</f>
        <v>580</v>
      </c>
      <c r="O1297" s="3">
        <f>Table13[[#This Row],[Good_Qty]]/Table13[[#This Row],[Planned_Production]]</f>
        <v>1.1913793103448276</v>
      </c>
      <c r="P1297" t="str">
        <f>IF(Table13[[#This Row],[Good_Qty]]&gt;=Table13[[#This Row],[Planned_Production]],"Met","Not Met")</f>
        <v>Met</v>
      </c>
      <c r="Q1297">
        <f>Table13[[#This Row],[Good_Qty]]-Table13[[#This Row],[Planned_Production]]</f>
        <v>111</v>
      </c>
      <c r="R1297" s="3">
        <f>IF(Table13[[#This Row],[Actual_Qty]]=0,0,Table13[[#This Row],[Reject_Qty]]/Table13[[#This Row],[Actual_Qty]])</f>
        <v>5.7553956834532375E-3</v>
      </c>
      <c r="S1297">
        <v>442.1</v>
      </c>
      <c r="T1297">
        <f>(Table13[[#This Row],[Ideal_Cycle_Time_sec]]*Table13[[#This Row],[Actual_Qty]])/(Table13[[#This Row],[Operational_Time_min]]*60)</f>
        <v>0.56069516700595634</v>
      </c>
      <c r="U1297">
        <f>Table13[[#This Row],[Good_Qty]]/Table13[[#This Row],[Actual_Qty]]</f>
        <v>0.99424460431654671</v>
      </c>
      <c r="V1297" t="str">
        <f>IF(OR(Table13[[#This Row],[Performance_%]]&gt;=1,Table13[[#This Row],[Performance_%]]&lt;=0),"Error","OK")</f>
        <v>OK</v>
      </c>
      <c r="W1297" t="str">
        <f>IF(OR(Table13[[#This Row],[Quality_%]]&gt;=1,Table13[[#This Row],[Quality_%]]&lt;=0),"Error","OK")</f>
        <v>OK</v>
      </c>
      <c r="X1297">
        <f>Table13[[#This Row],[Performance_%]]*Table13[[#This Row],[Quality_%]]*[2]Availability_KPI!K1297</f>
        <v>0.54768148148148144</v>
      </c>
      <c r="Y1297" t="str">
        <f>IF(OR(Table13[[#This Row],[OEE_%]]&gt;1,Table13[[#This Row],[OEE_%]]&lt;0),"Error","OK")</f>
        <v>OK</v>
      </c>
    </row>
    <row r="1298" spans="1:25" x14ac:dyDescent="0.2">
      <c r="A1298" t="s">
        <v>1509</v>
      </c>
      <c r="B1298" t="s">
        <v>1510</v>
      </c>
      <c r="C1298" s="2">
        <v>46311</v>
      </c>
      <c r="D1298" t="s">
        <v>27</v>
      </c>
      <c r="E1298" t="s">
        <v>28</v>
      </c>
      <c r="F1298" t="s">
        <v>97</v>
      </c>
      <c r="G1298" t="s">
        <v>61</v>
      </c>
      <c r="H1298">
        <v>557</v>
      </c>
      <c r="I1298">
        <v>554</v>
      </c>
      <c r="J1298">
        <v>3</v>
      </c>
      <c r="K1298">
        <v>19.260000000000002</v>
      </c>
      <c r="L1298">
        <v>19.66</v>
      </c>
      <c r="M1298">
        <v>182.53</v>
      </c>
      <c r="N1298">
        <f>_xlfn.XLOOKUP(Table13[[#This Row],[Production_Order_ID]],[1]Sheet1!$A$2:$A$391,[1]Sheet1!$F$2:$F$391,"No Match")</f>
        <v>610</v>
      </c>
      <c r="O1298" s="3">
        <f>Table13[[#This Row],[Good_Qty]]/Table13[[#This Row],[Planned_Production]]</f>
        <v>0.90819672131147544</v>
      </c>
      <c r="P1298" t="str">
        <f>IF(Table13[[#This Row],[Good_Qty]]&gt;=Table13[[#This Row],[Planned_Production]],"Met","Not Met")</f>
        <v>Not Met</v>
      </c>
      <c r="Q1298">
        <f>Table13[[#This Row],[Good_Qty]]-Table13[[#This Row],[Planned_Production]]</f>
        <v>-56</v>
      </c>
      <c r="R1298" s="3">
        <f>IF(Table13[[#This Row],[Actual_Qty]]=0,0,Table13[[#This Row],[Reject_Qty]]/Table13[[#This Row],[Actual_Qty]])</f>
        <v>5.3859964093357273E-3</v>
      </c>
      <c r="S1298">
        <v>439.93</v>
      </c>
      <c r="T1298">
        <f>(Table13[[#This Row],[Ideal_Cycle_Time_sec]]*Table13[[#This Row],[Actual_Qty]])/(Table13[[#This Row],[Operational_Time_min]]*60)</f>
        <v>0.40642147614393204</v>
      </c>
      <c r="U1298">
        <f>Table13[[#This Row],[Good_Qty]]/Table13[[#This Row],[Actual_Qty]]</f>
        <v>0.99461400359066432</v>
      </c>
      <c r="V1298" t="str">
        <f>IF(OR(Table13[[#This Row],[Performance_%]]&gt;=1,Table13[[#This Row],[Performance_%]]&lt;=0),"Error","OK")</f>
        <v>OK</v>
      </c>
      <c r="W1298" t="str">
        <f>IF(OR(Table13[[#This Row],[Quality_%]]&gt;=1,Table13[[#This Row],[Quality_%]]&lt;=0),"Error","OK")</f>
        <v>OK</v>
      </c>
      <c r="X1298">
        <f>Table13[[#This Row],[Performance_%]]*Table13[[#This Row],[Quality_%]]*[2]Availability_KPI!K1298</f>
        <v>0.3951866666666668</v>
      </c>
      <c r="Y1298" t="str">
        <f>IF(OR(Table13[[#This Row],[OEE_%]]&gt;1,Table13[[#This Row],[OEE_%]]&lt;0),"Error","OK")</f>
        <v>OK</v>
      </c>
    </row>
    <row r="1299" spans="1:25" x14ac:dyDescent="0.2">
      <c r="A1299" t="s">
        <v>1511</v>
      </c>
      <c r="B1299" t="s">
        <v>1510</v>
      </c>
      <c r="C1299" s="2">
        <v>46311</v>
      </c>
      <c r="D1299" t="s">
        <v>27</v>
      </c>
      <c r="E1299" t="s">
        <v>32</v>
      </c>
      <c r="F1299" t="s">
        <v>97</v>
      </c>
      <c r="G1299" t="s">
        <v>57</v>
      </c>
      <c r="H1299">
        <v>560</v>
      </c>
      <c r="I1299">
        <v>555</v>
      </c>
      <c r="J1299">
        <v>5</v>
      </c>
      <c r="K1299">
        <v>21.4</v>
      </c>
      <c r="L1299">
        <v>22.33</v>
      </c>
      <c r="M1299">
        <v>208.38</v>
      </c>
      <c r="N1299">
        <f>_xlfn.XLOOKUP(Table13[[#This Row],[Production_Order_ID]],[1]Sheet1!$A$2:$A$391,[1]Sheet1!$F$2:$F$391,"No Match")</f>
        <v>610</v>
      </c>
      <c r="O1299" s="3">
        <f>Table13[[#This Row],[Good_Qty]]/Table13[[#This Row],[Planned_Production]]</f>
        <v>0.9098360655737705</v>
      </c>
      <c r="P1299" t="str">
        <f>IF(Table13[[#This Row],[Good_Qty]]&gt;=Table13[[#This Row],[Planned_Production]],"Met","Not Met")</f>
        <v>Not Met</v>
      </c>
      <c r="Q1299">
        <f>Table13[[#This Row],[Good_Qty]]-Table13[[#This Row],[Planned_Production]]</f>
        <v>-55</v>
      </c>
      <c r="R1299" s="3">
        <f>IF(Table13[[#This Row],[Actual_Qty]]=0,0,Table13[[#This Row],[Reject_Qty]]/Table13[[#This Row],[Actual_Qty]])</f>
        <v>8.9285714285714281E-3</v>
      </c>
      <c r="S1299">
        <v>435.74</v>
      </c>
      <c r="T1299">
        <f>(Table13[[#This Row],[Ideal_Cycle_Time_sec]]*Table13[[#This Row],[Actual_Qty]])/(Table13[[#This Row],[Operational_Time_min]]*60)</f>
        <v>0.45837731980844842</v>
      </c>
      <c r="U1299">
        <f>Table13[[#This Row],[Good_Qty]]/Table13[[#This Row],[Actual_Qty]]</f>
        <v>0.9910714285714286</v>
      </c>
      <c r="V1299" t="str">
        <f>IF(OR(Table13[[#This Row],[Performance_%]]&gt;=1,Table13[[#This Row],[Performance_%]]&lt;=0),"Error","OK")</f>
        <v>OK</v>
      </c>
      <c r="W1299" t="str">
        <f>IF(OR(Table13[[#This Row],[Quality_%]]&gt;=1,Table13[[#This Row],[Quality_%]]&lt;=0),"Error","OK")</f>
        <v>OK</v>
      </c>
      <c r="X1299">
        <f>Table13[[#This Row],[Performance_%]]*Table13[[#This Row],[Quality_%]]*[2]Availability_KPI!K1299</f>
        <v>0.43988888888888888</v>
      </c>
      <c r="Y1299" t="str">
        <f>IF(OR(Table13[[#This Row],[OEE_%]]&gt;1,Table13[[#This Row],[OEE_%]]&lt;0),"Error","OK")</f>
        <v>OK</v>
      </c>
    </row>
    <row r="1300" spans="1:25" x14ac:dyDescent="0.2">
      <c r="A1300" t="s">
        <v>1512</v>
      </c>
      <c r="B1300" t="s">
        <v>1510</v>
      </c>
      <c r="C1300" s="2">
        <v>46311</v>
      </c>
      <c r="D1300" t="s">
        <v>27</v>
      </c>
      <c r="E1300" t="s">
        <v>35</v>
      </c>
      <c r="F1300" t="s">
        <v>97</v>
      </c>
      <c r="G1300" t="s">
        <v>57</v>
      </c>
      <c r="H1300">
        <v>565</v>
      </c>
      <c r="I1300">
        <v>561</v>
      </c>
      <c r="J1300">
        <v>4</v>
      </c>
      <c r="K1300">
        <v>23.54</v>
      </c>
      <c r="L1300">
        <v>23.66</v>
      </c>
      <c r="M1300">
        <v>222.83</v>
      </c>
      <c r="N1300">
        <f>_xlfn.XLOOKUP(Table13[[#This Row],[Production_Order_ID]],[1]Sheet1!$A$2:$A$391,[1]Sheet1!$F$2:$F$391,"No Match")</f>
        <v>610</v>
      </c>
      <c r="O1300" s="3">
        <f>Table13[[#This Row],[Good_Qty]]/Table13[[#This Row],[Planned_Production]]</f>
        <v>0.91967213114754098</v>
      </c>
      <c r="P1300" t="str">
        <f>IF(Table13[[#This Row],[Good_Qty]]&gt;=Table13[[#This Row],[Planned_Production]],"Met","Not Met")</f>
        <v>Not Met</v>
      </c>
      <c r="Q1300">
        <f>Table13[[#This Row],[Good_Qty]]-Table13[[#This Row],[Planned_Production]]</f>
        <v>-49</v>
      </c>
      <c r="R1300" s="3">
        <f>IF(Table13[[#This Row],[Actual_Qty]]=0,0,Table13[[#This Row],[Reject_Qty]]/Table13[[#This Row],[Actual_Qty]])</f>
        <v>7.0796460176991149E-3</v>
      </c>
      <c r="S1300">
        <v>435.97</v>
      </c>
      <c r="T1300">
        <f>(Table13[[#This Row],[Ideal_Cycle_Time_sec]]*Table13[[#This Row],[Actual_Qty]])/(Table13[[#This Row],[Operational_Time_min]]*60)</f>
        <v>0.5084485935576607</v>
      </c>
      <c r="U1300">
        <f>Table13[[#This Row],[Good_Qty]]/Table13[[#This Row],[Actual_Qty]]</f>
        <v>0.99292035398230083</v>
      </c>
      <c r="V1300" t="str">
        <f>IF(OR(Table13[[#This Row],[Performance_%]]&gt;=1,Table13[[#This Row],[Performance_%]]&lt;=0),"Error","OK")</f>
        <v>OK</v>
      </c>
      <c r="W1300" t="str">
        <f>IF(OR(Table13[[#This Row],[Quality_%]]&gt;=1,Table13[[#This Row],[Quality_%]]&lt;=0),"Error","OK")</f>
        <v>OK</v>
      </c>
      <c r="X1300">
        <f>Table13[[#This Row],[Performance_%]]*Table13[[#This Row],[Quality_%]]*[2]Availability_KPI!K1300</f>
        <v>0.48910888888888887</v>
      </c>
      <c r="Y1300" t="str">
        <f>IF(OR(Table13[[#This Row],[OEE_%]]&gt;1,Table13[[#This Row],[OEE_%]]&lt;0),"Error","OK")</f>
        <v>OK</v>
      </c>
    </row>
    <row r="1301" spans="1:25" x14ac:dyDescent="0.2">
      <c r="A1301" t="s">
        <v>1513</v>
      </c>
      <c r="B1301" t="s">
        <v>1510</v>
      </c>
      <c r="C1301" s="2">
        <v>46311</v>
      </c>
      <c r="D1301" t="s">
        <v>27</v>
      </c>
      <c r="E1301" t="s">
        <v>38</v>
      </c>
      <c r="F1301" t="s">
        <v>97</v>
      </c>
      <c r="G1301" t="s">
        <v>50</v>
      </c>
      <c r="H1301">
        <v>553</v>
      </c>
      <c r="I1301">
        <v>552</v>
      </c>
      <c r="J1301">
        <v>1</v>
      </c>
      <c r="K1301">
        <v>21.4</v>
      </c>
      <c r="L1301">
        <v>22.94</v>
      </c>
      <c r="M1301">
        <v>211.46</v>
      </c>
      <c r="N1301">
        <f>_xlfn.XLOOKUP(Table13[[#This Row],[Production_Order_ID]],[1]Sheet1!$A$2:$A$391,[1]Sheet1!$F$2:$F$391,"No Match")</f>
        <v>610</v>
      </c>
      <c r="O1301" s="3">
        <f>Table13[[#This Row],[Good_Qty]]/Table13[[#This Row],[Planned_Production]]</f>
        <v>0.90491803278688521</v>
      </c>
      <c r="P1301" t="str">
        <f>IF(Table13[[#This Row],[Good_Qty]]&gt;=Table13[[#This Row],[Planned_Production]],"Met","Not Met")</f>
        <v>Not Met</v>
      </c>
      <c r="Q1301">
        <f>Table13[[#This Row],[Good_Qty]]-Table13[[#This Row],[Planned_Production]]</f>
        <v>-58</v>
      </c>
      <c r="R1301" s="3">
        <f>IF(Table13[[#This Row],[Actual_Qty]]=0,0,Table13[[#This Row],[Reject_Qty]]/Table13[[#This Row],[Actual_Qty]])</f>
        <v>1.8083182640144665E-3</v>
      </c>
      <c r="S1301">
        <v>437.59</v>
      </c>
      <c r="T1301">
        <f>(Table13[[#This Row],[Ideal_Cycle_Time_sec]]*Table13[[#This Row],[Actual_Qty]])/(Table13[[#This Row],[Operational_Time_min]]*60)</f>
        <v>0.45073394425527702</v>
      </c>
      <c r="U1301">
        <f>Table13[[#This Row],[Good_Qty]]/Table13[[#This Row],[Actual_Qty]]</f>
        <v>0.99819168173598549</v>
      </c>
      <c r="V1301" t="str">
        <f>IF(OR(Table13[[#This Row],[Performance_%]]&gt;=1,Table13[[#This Row],[Performance_%]]&lt;=0),"Error","OK")</f>
        <v>OK</v>
      </c>
      <c r="W1301" t="str">
        <f>IF(OR(Table13[[#This Row],[Quality_%]]&gt;=1,Table13[[#This Row],[Quality_%]]&lt;=0),"Error","OK")</f>
        <v>OK</v>
      </c>
      <c r="X1301">
        <f>Table13[[#This Row],[Performance_%]]*Table13[[#This Row],[Quality_%]]*[2]Availability_KPI!K1301</f>
        <v>0.43751111111111107</v>
      </c>
      <c r="Y1301" t="str">
        <f>IF(OR(Table13[[#This Row],[OEE_%]]&gt;1,Table13[[#This Row],[OEE_%]]&lt;0),"Error","OK")</f>
        <v>OK</v>
      </c>
    </row>
    <row r="1302" spans="1:25" x14ac:dyDescent="0.2">
      <c r="A1302" t="s">
        <v>1514</v>
      </c>
      <c r="B1302" t="s">
        <v>1510</v>
      </c>
      <c r="C1302" s="2">
        <v>46311</v>
      </c>
      <c r="D1302" t="s">
        <v>27</v>
      </c>
      <c r="E1302" t="s">
        <v>41</v>
      </c>
      <c r="F1302" t="s">
        <v>97</v>
      </c>
      <c r="G1302" t="s">
        <v>36</v>
      </c>
      <c r="H1302">
        <v>558</v>
      </c>
      <c r="I1302">
        <v>553</v>
      </c>
      <c r="J1302">
        <v>5</v>
      </c>
      <c r="K1302">
        <v>19.260000000000002</v>
      </c>
      <c r="L1302">
        <v>20.43</v>
      </c>
      <c r="M1302">
        <v>190.04</v>
      </c>
      <c r="N1302">
        <f>_xlfn.XLOOKUP(Table13[[#This Row],[Production_Order_ID]],[1]Sheet1!$A$2:$A$391,[1]Sheet1!$F$2:$F$391,"No Match")</f>
        <v>610</v>
      </c>
      <c r="O1302" s="3">
        <f>Table13[[#This Row],[Good_Qty]]/Table13[[#This Row],[Planned_Production]]</f>
        <v>0.90655737704918038</v>
      </c>
      <c r="P1302" t="str">
        <f>IF(Table13[[#This Row],[Good_Qty]]&gt;=Table13[[#This Row],[Planned_Production]],"Met","Not Met")</f>
        <v>Not Met</v>
      </c>
      <c r="Q1302">
        <f>Table13[[#This Row],[Good_Qty]]-Table13[[#This Row],[Planned_Production]]</f>
        <v>-57</v>
      </c>
      <c r="R1302" s="3">
        <f>IF(Table13[[#This Row],[Actual_Qty]]=0,0,Table13[[#This Row],[Reject_Qty]]/Table13[[#This Row],[Actual_Qty]])</f>
        <v>8.9605734767025085E-3</v>
      </c>
      <c r="S1302">
        <v>437.01</v>
      </c>
      <c r="T1302">
        <f>(Table13[[#This Row],[Ideal_Cycle_Time_sec]]*Table13[[#This Row],[Actual_Qty]])/(Table13[[#This Row],[Operational_Time_min]]*60)</f>
        <v>0.40987162765154123</v>
      </c>
      <c r="U1302">
        <f>Table13[[#This Row],[Good_Qty]]/Table13[[#This Row],[Actual_Qty]]</f>
        <v>0.99103942652329746</v>
      </c>
      <c r="V1302" t="str">
        <f>IF(OR(Table13[[#This Row],[Performance_%]]&gt;=1,Table13[[#This Row],[Performance_%]]&lt;=0),"Error","OK")</f>
        <v>OK</v>
      </c>
      <c r="W1302" t="str">
        <f>IF(OR(Table13[[#This Row],[Quality_%]]&gt;=1,Table13[[#This Row],[Quality_%]]&lt;=0),"Error","OK")</f>
        <v>OK</v>
      </c>
      <c r="X1302">
        <f>Table13[[#This Row],[Performance_%]]*Table13[[#This Row],[Quality_%]]*[2]Availability_KPI!K1302</f>
        <v>0.39447333333333334</v>
      </c>
      <c r="Y1302" t="str">
        <f>IF(OR(Table13[[#This Row],[OEE_%]]&gt;1,Table13[[#This Row],[OEE_%]]&lt;0),"Error","OK")</f>
        <v>OK</v>
      </c>
    </row>
    <row r="1303" spans="1:25" x14ac:dyDescent="0.2">
      <c r="A1303" t="s">
        <v>1515</v>
      </c>
      <c r="B1303" t="s">
        <v>1510</v>
      </c>
      <c r="C1303" s="2">
        <v>46311</v>
      </c>
      <c r="D1303" t="s">
        <v>27</v>
      </c>
      <c r="E1303" t="s">
        <v>43</v>
      </c>
      <c r="F1303" t="s">
        <v>97</v>
      </c>
      <c r="G1303" t="s">
        <v>44</v>
      </c>
      <c r="H1303">
        <v>559</v>
      </c>
      <c r="I1303">
        <v>551</v>
      </c>
      <c r="J1303">
        <v>8</v>
      </c>
      <c r="K1303">
        <v>34.24</v>
      </c>
      <c r="L1303">
        <v>35.46</v>
      </c>
      <c r="M1303">
        <v>330.41</v>
      </c>
      <c r="N1303">
        <f>_xlfn.XLOOKUP(Table13[[#This Row],[Production_Order_ID]],[1]Sheet1!$A$2:$A$391,[1]Sheet1!$F$2:$F$391,"No Match")</f>
        <v>610</v>
      </c>
      <c r="O1303" s="3">
        <f>Table13[[#This Row],[Good_Qty]]/Table13[[#This Row],[Planned_Production]]</f>
        <v>0.90327868852459015</v>
      </c>
      <c r="P1303" t="str">
        <f>IF(Table13[[#This Row],[Good_Qty]]&gt;=Table13[[#This Row],[Planned_Production]],"Met","Not Met")</f>
        <v>Not Met</v>
      </c>
      <c r="Q1303">
        <f>Table13[[#This Row],[Good_Qty]]-Table13[[#This Row],[Planned_Production]]</f>
        <v>-59</v>
      </c>
      <c r="R1303" s="3">
        <f>IF(Table13[[#This Row],[Actual_Qty]]=0,0,Table13[[#This Row],[Reject_Qty]]/Table13[[#This Row],[Actual_Qty]])</f>
        <v>1.4311270125223614E-2</v>
      </c>
      <c r="S1303">
        <v>406.65999999999997</v>
      </c>
      <c r="T1303">
        <f>(Table13[[#This Row],[Ideal_Cycle_Time_sec]]*Table13[[#This Row],[Actual_Qty]])/(Table13[[#This Row],[Operational_Time_min]]*60)</f>
        <v>0.78444564664994509</v>
      </c>
      <c r="U1303">
        <f>Table13[[#This Row],[Good_Qty]]/Table13[[#This Row],[Actual_Qty]]</f>
        <v>0.9856887298747764</v>
      </c>
      <c r="V1303" t="str">
        <f>IF(OR(Table13[[#This Row],[Performance_%]]&gt;=1,Table13[[#This Row],[Performance_%]]&lt;=0),"Error","OK")</f>
        <v>OK</v>
      </c>
      <c r="W1303" t="str">
        <f>IF(OR(Table13[[#This Row],[Quality_%]]&gt;=1,Table13[[#This Row],[Quality_%]]&lt;=0),"Error","OK")</f>
        <v>OK</v>
      </c>
      <c r="X1303">
        <f>Table13[[#This Row],[Performance_%]]*Table13[[#This Row],[Quality_%]]*[2]Availability_KPI!K1303</f>
        <v>0.6987496296296295</v>
      </c>
      <c r="Y1303" t="str">
        <f>IF(OR(Table13[[#This Row],[OEE_%]]&gt;1,Table13[[#This Row],[OEE_%]]&lt;0),"Error","OK")</f>
        <v>OK</v>
      </c>
    </row>
    <row r="1304" spans="1:25" x14ac:dyDescent="0.2">
      <c r="A1304" t="s">
        <v>1516</v>
      </c>
      <c r="B1304" t="s">
        <v>1510</v>
      </c>
      <c r="C1304" s="2">
        <v>46311</v>
      </c>
      <c r="D1304" t="s">
        <v>27</v>
      </c>
      <c r="E1304" t="s">
        <v>46</v>
      </c>
      <c r="F1304" t="s">
        <v>97</v>
      </c>
      <c r="G1304" t="s">
        <v>33</v>
      </c>
      <c r="H1304">
        <v>556</v>
      </c>
      <c r="I1304">
        <v>549</v>
      </c>
      <c r="J1304">
        <v>7</v>
      </c>
      <c r="K1304">
        <v>26.75</v>
      </c>
      <c r="L1304">
        <v>29.15</v>
      </c>
      <c r="M1304">
        <v>270.08999999999997</v>
      </c>
      <c r="N1304">
        <f>_xlfn.XLOOKUP(Table13[[#This Row],[Production_Order_ID]],[1]Sheet1!$A$2:$A$391,[1]Sheet1!$F$2:$F$391,"No Match")</f>
        <v>610</v>
      </c>
      <c r="O1304" s="3">
        <f>Table13[[#This Row],[Good_Qty]]/Table13[[#This Row],[Planned_Production]]</f>
        <v>0.9</v>
      </c>
      <c r="P1304" t="str">
        <f>IF(Table13[[#This Row],[Good_Qty]]&gt;=Table13[[#This Row],[Planned_Production]],"Met","Not Met")</f>
        <v>Not Met</v>
      </c>
      <c r="Q1304">
        <f>Table13[[#This Row],[Good_Qty]]-Table13[[#This Row],[Planned_Production]]</f>
        <v>-61</v>
      </c>
      <c r="R1304" s="3">
        <f>IF(Table13[[#This Row],[Actual_Qty]]=0,0,Table13[[#This Row],[Reject_Qty]]/Table13[[#This Row],[Actual_Qty]])</f>
        <v>1.2589928057553957E-2</v>
      </c>
      <c r="S1304">
        <v>434.21</v>
      </c>
      <c r="T1304">
        <f>(Table13[[#This Row],[Ideal_Cycle_Time_sec]]*Table13[[#This Row],[Actual_Qty]])/(Table13[[#This Row],[Operational_Time_min]]*60)</f>
        <v>0.57088352026285283</v>
      </c>
      <c r="U1304">
        <f>Table13[[#This Row],[Good_Qty]]/Table13[[#This Row],[Actual_Qty]]</f>
        <v>0.98741007194244601</v>
      </c>
      <c r="V1304" t="str">
        <f>IF(OR(Table13[[#This Row],[Performance_%]]&gt;=1,Table13[[#This Row],[Performance_%]]&lt;=0),"Error","OK")</f>
        <v>OK</v>
      </c>
      <c r="W1304" t="str">
        <f>IF(OR(Table13[[#This Row],[Quality_%]]&gt;=1,Table13[[#This Row],[Quality_%]]&lt;=0),"Error","OK")</f>
        <v>OK</v>
      </c>
      <c r="X1304">
        <f>Table13[[#This Row],[Performance_%]]*Table13[[#This Row],[Quality_%]]*[2]Availability_KPI!K1304</f>
        <v>0.5439166666666666</v>
      </c>
      <c r="Y1304" t="str">
        <f>IF(OR(Table13[[#This Row],[OEE_%]]&gt;1,Table13[[#This Row],[OEE_%]]&lt;0),"Error","OK")</f>
        <v>OK</v>
      </c>
    </row>
    <row r="1305" spans="1:25" x14ac:dyDescent="0.2">
      <c r="A1305" t="s">
        <v>1517</v>
      </c>
      <c r="B1305" t="s">
        <v>1510</v>
      </c>
      <c r="C1305" s="2">
        <v>46311</v>
      </c>
      <c r="D1305" t="s">
        <v>27</v>
      </c>
      <c r="E1305" t="s">
        <v>49</v>
      </c>
      <c r="F1305" t="s">
        <v>97</v>
      </c>
      <c r="G1305" t="s">
        <v>61</v>
      </c>
      <c r="H1305">
        <v>560</v>
      </c>
      <c r="I1305">
        <v>557</v>
      </c>
      <c r="J1305">
        <v>3</v>
      </c>
      <c r="K1305">
        <v>21.4</v>
      </c>
      <c r="L1305">
        <v>23.28</v>
      </c>
      <c r="M1305">
        <v>217.26</v>
      </c>
      <c r="N1305">
        <f>_xlfn.XLOOKUP(Table13[[#This Row],[Production_Order_ID]],[1]Sheet1!$A$2:$A$391,[1]Sheet1!$F$2:$F$391,"No Match")</f>
        <v>610</v>
      </c>
      <c r="O1305" s="3">
        <f>Table13[[#This Row],[Good_Qty]]/Table13[[#This Row],[Planned_Production]]</f>
        <v>0.91311475409836063</v>
      </c>
      <c r="P1305" t="str">
        <f>IF(Table13[[#This Row],[Good_Qty]]&gt;=Table13[[#This Row],[Planned_Production]],"Met","Not Met")</f>
        <v>Not Met</v>
      </c>
      <c r="Q1305">
        <f>Table13[[#This Row],[Good_Qty]]-Table13[[#This Row],[Planned_Production]]</f>
        <v>-53</v>
      </c>
      <c r="R1305" s="3">
        <f>IF(Table13[[#This Row],[Actual_Qty]]=0,0,Table13[[#This Row],[Reject_Qty]]/Table13[[#This Row],[Actual_Qty]])</f>
        <v>5.3571428571428572E-3</v>
      </c>
      <c r="S1305">
        <v>441.52</v>
      </c>
      <c r="T1305">
        <f>(Table13[[#This Row],[Ideal_Cycle_Time_sec]]*Table13[[#This Row],[Actual_Qty]])/(Table13[[#This Row],[Operational_Time_min]]*60)</f>
        <v>0.45237663827988167</v>
      </c>
      <c r="U1305">
        <f>Table13[[#This Row],[Good_Qty]]/Table13[[#This Row],[Actual_Qty]]</f>
        <v>0.99464285714285716</v>
      </c>
      <c r="V1305" t="str">
        <f>IF(OR(Table13[[#This Row],[Performance_%]]&gt;=1,Table13[[#This Row],[Performance_%]]&lt;=0),"Error","OK")</f>
        <v>OK</v>
      </c>
      <c r="W1305" t="str">
        <f>IF(OR(Table13[[#This Row],[Quality_%]]&gt;=1,Table13[[#This Row],[Quality_%]]&lt;=0),"Error","OK")</f>
        <v>OK</v>
      </c>
      <c r="X1305">
        <f>Table13[[#This Row],[Performance_%]]*Table13[[#This Row],[Quality_%]]*[2]Availability_KPI!K1305</f>
        <v>0.44147407407407413</v>
      </c>
      <c r="Y1305" t="str">
        <f>IF(OR(Table13[[#This Row],[OEE_%]]&gt;1,Table13[[#This Row],[OEE_%]]&lt;0),"Error","OK")</f>
        <v>OK</v>
      </c>
    </row>
    <row r="1306" spans="1:25" x14ac:dyDescent="0.2">
      <c r="A1306" t="s">
        <v>1518</v>
      </c>
      <c r="B1306" t="s">
        <v>1519</v>
      </c>
      <c r="C1306" s="2">
        <v>46311</v>
      </c>
      <c r="D1306" t="s">
        <v>53</v>
      </c>
      <c r="E1306" t="s">
        <v>28</v>
      </c>
      <c r="F1306" t="s">
        <v>54</v>
      </c>
      <c r="G1306" t="s">
        <v>44</v>
      </c>
      <c r="H1306">
        <v>584</v>
      </c>
      <c r="I1306">
        <v>580</v>
      </c>
      <c r="J1306">
        <v>4</v>
      </c>
      <c r="K1306">
        <v>18</v>
      </c>
      <c r="L1306">
        <v>18.66</v>
      </c>
      <c r="M1306">
        <v>181.63</v>
      </c>
      <c r="N1306">
        <f>_xlfn.XLOOKUP(Table13[[#This Row],[Production_Order_ID]],[1]Sheet1!$A$2:$A$391,[1]Sheet1!$F$2:$F$391,"No Match")</f>
        <v>480</v>
      </c>
      <c r="O1306" s="3">
        <f>Table13[[#This Row],[Good_Qty]]/Table13[[#This Row],[Planned_Production]]</f>
        <v>1.2083333333333333</v>
      </c>
      <c r="P1306" t="str">
        <f>IF(Table13[[#This Row],[Good_Qty]]&gt;=Table13[[#This Row],[Planned_Production]],"Met","Not Met")</f>
        <v>Met</v>
      </c>
      <c r="Q1306">
        <f>Table13[[#This Row],[Good_Qty]]-Table13[[#This Row],[Planned_Production]]</f>
        <v>100</v>
      </c>
      <c r="R1306" s="3">
        <f>IF(Table13[[#This Row],[Actual_Qty]]=0,0,Table13[[#This Row],[Reject_Qty]]/Table13[[#This Row],[Actual_Qty]])</f>
        <v>6.8493150684931503E-3</v>
      </c>
      <c r="S1306">
        <v>443.85</v>
      </c>
      <c r="T1306">
        <f>(Table13[[#This Row],[Ideal_Cycle_Time_sec]]*Table13[[#This Row],[Actual_Qty]])/(Table13[[#This Row],[Operational_Time_min]]*60)</f>
        <v>0.39472794863129435</v>
      </c>
      <c r="U1306">
        <f>Table13[[#This Row],[Good_Qty]]/Table13[[#This Row],[Actual_Qty]]</f>
        <v>0.99315068493150682</v>
      </c>
      <c r="V1306" t="str">
        <f>IF(OR(Table13[[#This Row],[Performance_%]]&gt;=1,Table13[[#This Row],[Performance_%]]&lt;=0),"Error","OK")</f>
        <v>OK</v>
      </c>
      <c r="W1306" t="str">
        <f>IF(OR(Table13[[#This Row],[Quality_%]]&gt;=1,Table13[[#This Row],[Quality_%]]&lt;=0),"Error","OK")</f>
        <v>OK</v>
      </c>
      <c r="X1306">
        <f>Table13[[#This Row],[Performance_%]]*Table13[[#This Row],[Quality_%]]*[2]Availability_KPI!K1306</f>
        <v>0.38666666666666671</v>
      </c>
      <c r="Y1306" t="str">
        <f>IF(OR(Table13[[#This Row],[OEE_%]]&gt;1,Table13[[#This Row],[OEE_%]]&lt;0),"Error","OK")</f>
        <v>OK</v>
      </c>
    </row>
    <row r="1307" spans="1:25" x14ac:dyDescent="0.2">
      <c r="A1307" t="s">
        <v>1520</v>
      </c>
      <c r="B1307" t="s">
        <v>1519</v>
      </c>
      <c r="C1307" s="2">
        <v>46311</v>
      </c>
      <c r="D1307" t="s">
        <v>53</v>
      </c>
      <c r="E1307" t="s">
        <v>32</v>
      </c>
      <c r="F1307" t="s">
        <v>54</v>
      </c>
      <c r="G1307" t="s">
        <v>71</v>
      </c>
      <c r="H1307">
        <v>589</v>
      </c>
      <c r="I1307">
        <v>585</v>
      </c>
      <c r="J1307">
        <v>4</v>
      </c>
      <c r="K1307">
        <v>20</v>
      </c>
      <c r="L1307">
        <v>21.28</v>
      </c>
      <c r="M1307">
        <v>208.93</v>
      </c>
      <c r="N1307">
        <f>_xlfn.XLOOKUP(Table13[[#This Row],[Production_Order_ID]],[1]Sheet1!$A$2:$A$391,[1]Sheet1!$F$2:$F$391,"No Match")</f>
        <v>480</v>
      </c>
      <c r="O1307" s="3">
        <f>Table13[[#This Row],[Good_Qty]]/Table13[[#This Row],[Planned_Production]]</f>
        <v>1.21875</v>
      </c>
      <c r="P1307" t="str">
        <f>IF(Table13[[#This Row],[Good_Qty]]&gt;=Table13[[#This Row],[Planned_Production]],"Met","Not Met")</f>
        <v>Met</v>
      </c>
      <c r="Q1307">
        <f>Table13[[#This Row],[Good_Qty]]-Table13[[#This Row],[Planned_Production]]</f>
        <v>105</v>
      </c>
      <c r="R1307" s="3">
        <f>IF(Table13[[#This Row],[Actual_Qty]]=0,0,Table13[[#This Row],[Reject_Qty]]/Table13[[#This Row],[Actual_Qty]])</f>
        <v>6.7911714770797962E-3</v>
      </c>
      <c r="S1307">
        <v>436.16</v>
      </c>
      <c r="T1307">
        <f>(Table13[[#This Row],[Ideal_Cycle_Time_sec]]*Table13[[#This Row],[Actual_Qty]])/(Table13[[#This Row],[Operational_Time_min]]*60)</f>
        <v>0.45014062117877229</v>
      </c>
      <c r="U1307">
        <f>Table13[[#This Row],[Good_Qty]]/Table13[[#This Row],[Actual_Qty]]</f>
        <v>0.99320882852292025</v>
      </c>
      <c r="V1307" t="str">
        <f>IF(OR(Table13[[#This Row],[Performance_%]]&gt;=1,Table13[[#This Row],[Performance_%]]&lt;=0),"Error","OK")</f>
        <v>OK</v>
      </c>
      <c r="W1307" t="str">
        <f>IF(OR(Table13[[#This Row],[Quality_%]]&gt;=1,Table13[[#This Row],[Quality_%]]&lt;=0),"Error","OK")</f>
        <v>OK</v>
      </c>
      <c r="X1307">
        <f>Table13[[#This Row],[Performance_%]]*Table13[[#This Row],[Quality_%]]*[2]Availability_KPI!K1307</f>
        <v>0.43333333333333335</v>
      </c>
      <c r="Y1307" t="str">
        <f>IF(OR(Table13[[#This Row],[OEE_%]]&gt;1,Table13[[#This Row],[OEE_%]]&lt;0),"Error","OK")</f>
        <v>OK</v>
      </c>
    </row>
    <row r="1308" spans="1:25" x14ac:dyDescent="0.2">
      <c r="A1308" t="s">
        <v>1521</v>
      </c>
      <c r="B1308" t="s">
        <v>1519</v>
      </c>
      <c r="C1308" s="2">
        <v>46311</v>
      </c>
      <c r="D1308" t="s">
        <v>53</v>
      </c>
      <c r="E1308" t="s">
        <v>35</v>
      </c>
      <c r="F1308" t="s">
        <v>54</v>
      </c>
      <c r="G1308" t="s">
        <v>75</v>
      </c>
      <c r="H1308">
        <v>575</v>
      </c>
      <c r="I1308">
        <v>573</v>
      </c>
      <c r="J1308">
        <v>2</v>
      </c>
      <c r="K1308">
        <v>22</v>
      </c>
      <c r="L1308">
        <v>24.15</v>
      </c>
      <c r="M1308">
        <v>231.42</v>
      </c>
      <c r="N1308">
        <f>_xlfn.XLOOKUP(Table13[[#This Row],[Production_Order_ID]],[1]Sheet1!$A$2:$A$391,[1]Sheet1!$F$2:$F$391,"No Match")</f>
        <v>480</v>
      </c>
      <c r="O1308" s="3">
        <f>Table13[[#This Row],[Good_Qty]]/Table13[[#This Row],[Planned_Production]]</f>
        <v>1.1937500000000001</v>
      </c>
      <c r="P1308" t="str">
        <f>IF(Table13[[#This Row],[Good_Qty]]&gt;=Table13[[#This Row],[Planned_Production]],"Met","Not Met")</f>
        <v>Met</v>
      </c>
      <c r="Q1308">
        <f>Table13[[#This Row],[Good_Qty]]-Table13[[#This Row],[Planned_Production]]</f>
        <v>93</v>
      </c>
      <c r="R1308" s="3">
        <f>IF(Table13[[#This Row],[Actual_Qty]]=0,0,Table13[[#This Row],[Reject_Qty]]/Table13[[#This Row],[Actual_Qty]])</f>
        <v>3.4782608695652175E-3</v>
      </c>
      <c r="S1308">
        <v>435.92</v>
      </c>
      <c r="T1308">
        <f>(Table13[[#This Row],[Ideal_Cycle_Time_sec]]*Table13[[#This Row],[Actual_Qty]])/(Table13[[#This Row],[Operational_Time_min]]*60)</f>
        <v>0.48365143451397807</v>
      </c>
      <c r="U1308">
        <f>Table13[[#This Row],[Good_Qty]]/Table13[[#This Row],[Actual_Qty]]</f>
        <v>0.99652173913043474</v>
      </c>
      <c r="V1308" t="str">
        <f>IF(OR(Table13[[#This Row],[Performance_%]]&gt;=1,Table13[[#This Row],[Performance_%]]&lt;=0),"Error","OK")</f>
        <v>OK</v>
      </c>
      <c r="W1308" t="str">
        <f>IF(OR(Table13[[#This Row],[Quality_%]]&gt;=1,Table13[[#This Row],[Quality_%]]&lt;=0),"Error","OK")</f>
        <v>OK</v>
      </c>
      <c r="X1308">
        <f>Table13[[#This Row],[Performance_%]]*Table13[[#This Row],[Quality_%]]*[2]Availability_KPI!K1308</f>
        <v>0.46688888888888885</v>
      </c>
      <c r="Y1308" t="str">
        <f>IF(OR(Table13[[#This Row],[OEE_%]]&gt;1,Table13[[#This Row],[OEE_%]]&lt;0),"Error","OK")</f>
        <v>OK</v>
      </c>
    </row>
    <row r="1309" spans="1:25" x14ac:dyDescent="0.2">
      <c r="A1309" t="s">
        <v>1522</v>
      </c>
      <c r="B1309" t="s">
        <v>1519</v>
      </c>
      <c r="C1309" s="2">
        <v>46311</v>
      </c>
      <c r="D1309" t="s">
        <v>53</v>
      </c>
      <c r="E1309" t="s">
        <v>38</v>
      </c>
      <c r="F1309" t="s">
        <v>54</v>
      </c>
      <c r="G1309" t="s">
        <v>75</v>
      </c>
      <c r="H1309">
        <v>580</v>
      </c>
      <c r="I1309">
        <v>575</v>
      </c>
      <c r="J1309">
        <v>5</v>
      </c>
      <c r="K1309">
        <v>20</v>
      </c>
      <c r="L1309">
        <v>20</v>
      </c>
      <c r="M1309">
        <v>193.33</v>
      </c>
      <c r="N1309">
        <f>_xlfn.XLOOKUP(Table13[[#This Row],[Production_Order_ID]],[1]Sheet1!$A$2:$A$391,[1]Sheet1!$F$2:$F$391,"No Match")</f>
        <v>480</v>
      </c>
      <c r="O1309" s="3">
        <f>Table13[[#This Row],[Good_Qty]]/Table13[[#This Row],[Planned_Production]]</f>
        <v>1.1979166666666667</v>
      </c>
      <c r="P1309" t="str">
        <f>IF(Table13[[#This Row],[Good_Qty]]&gt;=Table13[[#This Row],[Planned_Production]],"Met","Not Met")</f>
        <v>Met</v>
      </c>
      <c r="Q1309">
        <f>Table13[[#This Row],[Good_Qty]]-Table13[[#This Row],[Planned_Production]]</f>
        <v>95</v>
      </c>
      <c r="R1309" s="3">
        <f>IF(Table13[[#This Row],[Actual_Qty]]=0,0,Table13[[#This Row],[Reject_Qty]]/Table13[[#This Row],[Actual_Qty]])</f>
        <v>8.6206896551724137E-3</v>
      </c>
      <c r="S1309">
        <v>441.96</v>
      </c>
      <c r="T1309">
        <f>(Table13[[#This Row],[Ideal_Cycle_Time_sec]]*Table13[[#This Row],[Actual_Qty]])/(Table13[[#This Row],[Operational_Time_min]]*60)</f>
        <v>0.43744531933508313</v>
      </c>
      <c r="U1309">
        <f>Table13[[#This Row],[Good_Qty]]/Table13[[#This Row],[Actual_Qty]]</f>
        <v>0.99137931034482762</v>
      </c>
      <c r="V1309" t="str">
        <f>IF(OR(Table13[[#This Row],[Performance_%]]&gt;=1,Table13[[#This Row],[Performance_%]]&lt;=0),"Error","OK")</f>
        <v>OK</v>
      </c>
      <c r="W1309" t="str">
        <f>IF(OR(Table13[[#This Row],[Quality_%]]&gt;=1,Table13[[#This Row],[Quality_%]]&lt;=0),"Error","OK")</f>
        <v>OK</v>
      </c>
      <c r="X1309">
        <f>Table13[[#This Row],[Performance_%]]*Table13[[#This Row],[Quality_%]]*[2]Availability_KPI!K1309</f>
        <v>0.42592592592592593</v>
      </c>
      <c r="Y1309" t="str">
        <f>IF(OR(Table13[[#This Row],[OEE_%]]&gt;1,Table13[[#This Row],[OEE_%]]&lt;0),"Error","OK")</f>
        <v>OK</v>
      </c>
    </row>
    <row r="1310" spans="1:25" x14ac:dyDescent="0.2">
      <c r="A1310" t="s">
        <v>1523</v>
      </c>
      <c r="B1310" t="s">
        <v>1519</v>
      </c>
      <c r="C1310" s="2">
        <v>46311</v>
      </c>
      <c r="D1310" t="s">
        <v>53</v>
      </c>
      <c r="E1310" t="s">
        <v>41</v>
      </c>
      <c r="F1310" t="s">
        <v>54</v>
      </c>
      <c r="G1310" t="s">
        <v>71</v>
      </c>
      <c r="H1310">
        <v>566</v>
      </c>
      <c r="I1310">
        <v>563</v>
      </c>
      <c r="J1310">
        <v>3</v>
      </c>
      <c r="K1310">
        <v>18</v>
      </c>
      <c r="L1310">
        <v>18.39</v>
      </c>
      <c r="M1310">
        <v>173.48</v>
      </c>
      <c r="N1310">
        <f>_xlfn.XLOOKUP(Table13[[#This Row],[Production_Order_ID]],[1]Sheet1!$A$2:$A$391,[1]Sheet1!$F$2:$F$391,"No Match")</f>
        <v>480</v>
      </c>
      <c r="O1310" s="3">
        <f>Table13[[#This Row],[Good_Qty]]/Table13[[#This Row],[Planned_Production]]</f>
        <v>1.1729166666666666</v>
      </c>
      <c r="P1310" t="str">
        <f>IF(Table13[[#This Row],[Good_Qty]]&gt;=Table13[[#This Row],[Planned_Production]],"Met","Not Met")</f>
        <v>Met</v>
      </c>
      <c r="Q1310">
        <f>Table13[[#This Row],[Good_Qty]]-Table13[[#This Row],[Planned_Production]]</f>
        <v>83</v>
      </c>
      <c r="R1310" s="3">
        <f>IF(Table13[[#This Row],[Actual_Qty]]=0,0,Table13[[#This Row],[Reject_Qty]]/Table13[[#This Row],[Actual_Qty]])</f>
        <v>5.3003533568904597E-3</v>
      </c>
      <c r="S1310">
        <v>441.35</v>
      </c>
      <c r="T1310">
        <f>(Table13[[#This Row],[Ideal_Cycle_Time_sec]]*Table13[[#This Row],[Actual_Qty]])/(Table13[[#This Row],[Operational_Time_min]]*60)</f>
        <v>0.38472867338846722</v>
      </c>
      <c r="U1310">
        <f>Table13[[#This Row],[Good_Qty]]/Table13[[#This Row],[Actual_Qty]]</f>
        <v>0.9946996466431095</v>
      </c>
      <c r="V1310" t="str">
        <f>IF(OR(Table13[[#This Row],[Performance_%]]&gt;=1,Table13[[#This Row],[Performance_%]]&lt;=0),"Error","OK")</f>
        <v>OK</v>
      </c>
      <c r="W1310" t="str">
        <f>IF(OR(Table13[[#This Row],[Quality_%]]&gt;=1,Table13[[#This Row],[Quality_%]]&lt;=0),"Error","OK")</f>
        <v>OK</v>
      </c>
      <c r="X1310">
        <f>Table13[[#This Row],[Performance_%]]*Table13[[#This Row],[Quality_%]]*[2]Availability_KPI!K1310</f>
        <v>0.37533333333333341</v>
      </c>
      <c r="Y1310" t="str">
        <f>IF(OR(Table13[[#This Row],[OEE_%]]&gt;1,Table13[[#This Row],[OEE_%]]&lt;0),"Error","OK")</f>
        <v>OK</v>
      </c>
    </row>
    <row r="1311" spans="1:25" x14ac:dyDescent="0.2">
      <c r="A1311" t="s">
        <v>1524</v>
      </c>
      <c r="B1311" t="s">
        <v>1519</v>
      </c>
      <c r="C1311" s="2">
        <v>46311</v>
      </c>
      <c r="D1311" t="s">
        <v>53</v>
      </c>
      <c r="E1311" t="s">
        <v>43</v>
      </c>
      <c r="F1311" t="s">
        <v>54</v>
      </c>
      <c r="G1311" t="s">
        <v>55</v>
      </c>
      <c r="H1311">
        <v>583</v>
      </c>
      <c r="I1311">
        <v>575</v>
      </c>
      <c r="J1311">
        <v>8</v>
      </c>
      <c r="K1311">
        <v>32</v>
      </c>
      <c r="L1311">
        <v>34.72</v>
      </c>
      <c r="M1311">
        <v>337.33</v>
      </c>
      <c r="N1311">
        <f>_xlfn.XLOOKUP(Table13[[#This Row],[Production_Order_ID]],[1]Sheet1!$A$2:$A$391,[1]Sheet1!$F$2:$F$391,"No Match")</f>
        <v>480</v>
      </c>
      <c r="O1311" s="3">
        <f>Table13[[#This Row],[Good_Qty]]/Table13[[#This Row],[Planned_Production]]</f>
        <v>1.1979166666666667</v>
      </c>
      <c r="P1311" t="str">
        <f>IF(Table13[[#This Row],[Good_Qty]]&gt;=Table13[[#This Row],[Planned_Production]],"Met","Not Met")</f>
        <v>Met</v>
      </c>
      <c r="Q1311">
        <f>Table13[[#This Row],[Good_Qty]]-Table13[[#This Row],[Planned_Production]]</f>
        <v>95</v>
      </c>
      <c r="R1311" s="3">
        <f>IF(Table13[[#This Row],[Actual_Qty]]=0,0,Table13[[#This Row],[Reject_Qty]]/Table13[[#This Row],[Actual_Qty]])</f>
        <v>1.3722126929674099E-2</v>
      </c>
      <c r="S1311">
        <v>417.13</v>
      </c>
      <c r="T1311">
        <f>(Table13[[#This Row],[Ideal_Cycle_Time_sec]]*Table13[[#This Row],[Actual_Qty]])/(Table13[[#This Row],[Operational_Time_min]]*60)</f>
        <v>0.74541110285362677</v>
      </c>
      <c r="U1311">
        <f>Table13[[#This Row],[Good_Qty]]/Table13[[#This Row],[Actual_Qty]]</f>
        <v>0.98627787307032588</v>
      </c>
      <c r="V1311" t="str">
        <f>IF(OR(Table13[[#This Row],[Performance_%]]&gt;=1,Table13[[#This Row],[Performance_%]]&lt;=0),"Error","OK")</f>
        <v>OK</v>
      </c>
      <c r="W1311" t="str">
        <f>IF(OR(Table13[[#This Row],[Quality_%]]&gt;=1,Table13[[#This Row],[Quality_%]]&lt;=0),"Error","OK")</f>
        <v>OK</v>
      </c>
      <c r="X1311">
        <f>Table13[[#This Row],[Performance_%]]*Table13[[#This Row],[Quality_%]]*[2]Availability_KPI!K1311</f>
        <v>0.68148148148148147</v>
      </c>
      <c r="Y1311" t="str">
        <f>IF(OR(Table13[[#This Row],[OEE_%]]&gt;1,Table13[[#This Row],[OEE_%]]&lt;0),"Error","OK")</f>
        <v>OK</v>
      </c>
    </row>
    <row r="1312" spans="1:25" x14ac:dyDescent="0.2">
      <c r="A1312" t="s">
        <v>1525</v>
      </c>
      <c r="B1312" t="s">
        <v>1519</v>
      </c>
      <c r="C1312" s="2">
        <v>46311</v>
      </c>
      <c r="D1312" t="s">
        <v>53</v>
      </c>
      <c r="E1312" t="s">
        <v>46</v>
      </c>
      <c r="F1312" t="s">
        <v>54</v>
      </c>
      <c r="G1312" t="s">
        <v>44</v>
      </c>
      <c r="H1312">
        <v>595</v>
      </c>
      <c r="I1312">
        <v>589</v>
      </c>
      <c r="J1312">
        <v>6</v>
      </c>
      <c r="K1312">
        <v>25</v>
      </c>
      <c r="L1312">
        <v>25.75</v>
      </c>
      <c r="M1312">
        <v>255.33</v>
      </c>
      <c r="N1312">
        <f>_xlfn.XLOOKUP(Table13[[#This Row],[Production_Order_ID]],[1]Sheet1!$A$2:$A$391,[1]Sheet1!$F$2:$F$391,"No Match")</f>
        <v>480</v>
      </c>
      <c r="O1312" s="3">
        <f>Table13[[#This Row],[Good_Qty]]/Table13[[#This Row],[Planned_Production]]</f>
        <v>1.2270833333333333</v>
      </c>
      <c r="P1312" t="str">
        <f>IF(Table13[[#This Row],[Good_Qty]]&gt;=Table13[[#This Row],[Planned_Production]],"Met","Not Met")</f>
        <v>Met</v>
      </c>
      <c r="Q1312">
        <f>Table13[[#This Row],[Good_Qty]]-Table13[[#This Row],[Planned_Production]]</f>
        <v>109</v>
      </c>
      <c r="R1312" s="3">
        <f>IF(Table13[[#This Row],[Actual_Qty]]=0,0,Table13[[#This Row],[Reject_Qty]]/Table13[[#This Row],[Actual_Qty]])</f>
        <v>1.0084033613445379E-2</v>
      </c>
      <c r="S1312">
        <v>431.25</v>
      </c>
      <c r="T1312">
        <f>(Table13[[#This Row],[Ideal_Cycle_Time_sec]]*Table13[[#This Row],[Actual_Qty]])/(Table13[[#This Row],[Operational_Time_min]]*60)</f>
        <v>0.5748792270531401</v>
      </c>
      <c r="U1312">
        <f>Table13[[#This Row],[Good_Qty]]/Table13[[#This Row],[Actual_Qty]]</f>
        <v>0.98991596638655466</v>
      </c>
      <c r="V1312" t="str">
        <f>IF(OR(Table13[[#This Row],[Performance_%]]&gt;=1,Table13[[#This Row],[Performance_%]]&lt;=0),"Error","OK")</f>
        <v>OK</v>
      </c>
      <c r="W1312" t="str">
        <f>IF(OR(Table13[[#This Row],[Quality_%]]&gt;=1,Table13[[#This Row],[Quality_%]]&lt;=0),"Error","OK")</f>
        <v>OK</v>
      </c>
      <c r="X1312">
        <f>Table13[[#This Row],[Performance_%]]*Table13[[#This Row],[Quality_%]]*[2]Availability_KPI!K1312</f>
        <v>0.54537037037037039</v>
      </c>
      <c r="Y1312" t="str">
        <f>IF(OR(Table13[[#This Row],[OEE_%]]&gt;1,Table13[[#This Row],[OEE_%]]&lt;0),"Error","OK")</f>
        <v>OK</v>
      </c>
    </row>
    <row r="1313" spans="1:25" x14ac:dyDescent="0.2">
      <c r="A1313" t="s">
        <v>1526</v>
      </c>
      <c r="B1313" t="s">
        <v>1519</v>
      </c>
      <c r="C1313" s="2">
        <v>46311</v>
      </c>
      <c r="D1313" t="s">
        <v>53</v>
      </c>
      <c r="E1313" t="s">
        <v>49</v>
      </c>
      <c r="F1313" t="s">
        <v>54</v>
      </c>
      <c r="G1313" t="s">
        <v>33</v>
      </c>
      <c r="H1313">
        <v>580</v>
      </c>
      <c r="I1313">
        <v>576</v>
      </c>
      <c r="J1313">
        <v>4</v>
      </c>
      <c r="K1313">
        <v>20</v>
      </c>
      <c r="L1313">
        <v>20.97</v>
      </c>
      <c r="M1313">
        <v>202.71</v>
      </c>
      <c r="N1313">
        <f>_xlfn.XLOOKUP(Table13[[#This Row],[Production_Order_ID]],[1]Sheet1!$A$2:$A$391,[1]Sheet1!$F$2:$F$391,"No Match")</f>
        <v>480</v>
      </c>
      <c r="O1313" s="3">
        <f>Table13[[#This Row],[Good_Qty]]/Table13[[#This Row],[Planned_Production]]</f>
        <v>1.2</v>
      </c>
      <c r="P1313" t="str">
        <f>IF(Table13[[#This Row],[Good_Qty]]&gt;=Table13[[#This Row],[Planned_Production]],"Met","Not Met")</f>
        <v>Met</v>
      </c>
      <c r="Q1313">
        <f>Table13[[#This Row],[Good_Qty]]-Table13[[#This Row],[Planned_Production]]</f>
        <v>96</v>
      </c>
      <c r="R1313" s="3">
        <f>IF(Table13[[#This Row],[Actual_Qty]]=0,0,Table13[[#This Row],[Reject_Qty]]/Table13[[#This Row],[Actual_Qty]])</f>
        <v>6.8965517241379309E-3</v>
      </c>
      <c r="S1313">
        <v>439.91</v>
      </c>
      <c r="T1313">
        <f>(Table13[[#This Row],[Ideal_Cycle_Time_sec]]*Table13[[#This Row],[Actual_Qty]])/(Table13[[#This Row],[Operational_Time_min]]*60)</f>
        <v>0.4394838338144923</v>
      </c>
      <c r="U1313">
        <f>Table13[[#This Row],[Good_Qty]]/Table13[[#This Row],[Actual_Qty]]</f>
        <v>0.99310344827586206</v>
      </c>
      <c r="V1313" t="str">
        <f>IF(OR(Table13[[#This Row],[Performance_%]]&gt;=1,Table13[[#This Row],[Performance_%]]&lt;=0),"Error","OK")</f>
        <v>OK</v>
      </c>
      <c r="W1313" t="str">
        <f>IF(OR(Table13[[#This Row],[Quality_%]]&gt;=1,Table13[[#This Row],[Quality_%]]&lt;=0),"Error","OK")</f>
        <v>OK</v>
      </c>
      <c r="X1313">
        <f>Table13[[#This Row],[Performance_%]]*Table13[[#This Row],[Quality_%]]*[2]Availability_KPI!K1313</f>
        <v>0.42666666666666664</v>
      </c>
      <c r="Y1313" t="str">
        <f>IF(OR(Table13[[#This Row],[OEE_%]]&gt;1,Table13[[#This Row],[OEE_%]]&lt;0),"Error","OK")</f>
        <v>OK</v>
      </c>
    </row>
    <row r="1314" spans="1:25" x14ac:dyDescent="0.2">
      <c r="A1314" t="s">
        <v>1527</v>
      </c>
      <c r="B1314" t="s">
        <v>1528</v>
      </c>
      <c r="C1314" s="2">
        <v>46311</v>
      </c>
      <c r="D1314" t="s">
        <v>67</v>
      </c>
      <c r="E1314" t="s">
        <v>28</v>
      </c>
      <c r="F1314" t="s">
        <v>54</v>
      </c>
      <c r="G1314" t="s">
        <v>44</v>
      </c>
      <c r="H1314">
        <v>655</v>
      </c>
      <c r="I1314">
        <v>650</v>
      </c>
      <c r="J1314">
        <v>5</v>
      </c>
      <c r="K1314">
        <v>18</v>
      </c>
      <c r="L1314">
        <v>18.420000000000002</v>
      </c>
      <c r="M1314">
        <v>201.12</v>
      </c>
      <c r="N1314">
        <f>_xlfn.XLOOKUP(Table13[[#This Row],[Production_Order_ID]],[1]Sheet1!$A$2:$A$391,[1]Sheet1!$F$2:$F$391,"No Match")</f>
        <v>680</v>
      </c>
      <c r="O1314" s="3">
        <f>Table13[[#This Row],[Good_Qty]]/Table13[[#This Row],[Planned_Production]]</f>
        <v>0.95588235294117652</v>
      </c>
      <c r="P1314" t="str">
        <f>IF(Table13[[#This Row],[Good_Qty]]&gt;=Table13[[#This Row],[Planned_Production]],"Met","Not Met")</f>
        <v>Not Met</v>
      </c>
      <c r="Q1314">
        <f>Table13[[#This Row],[Good_Qty]]-Table13[[#This Row],[Planned_Production]]</f>
        <v>-30</v>
      </c>
      <c r="R1314" s="3">
        <f>IF(Table13[[#This Row],[Actual_Qty]]=0,0,Table13[[#This Row],[Reject_Qty]]/Table13[[#This Row],[Actual_Qty]])</f>
        <v>7.6335877862595417E-3</v>
      </c>
      <c r="S1314">
        <v>442.17</v>
      </c>
      <c r="T1314">
        <f>(Table13[[#This Row],[Ideal_Cycle_Time_sec]]*Table13[[#This Row],[Actual_Qty]])/(Table13[[#This Row],[Operational_Time_min]]*60)</f>
        <v>0.44439921297238616</v>
      </c>
      <c r="U1314">
        <f>Table13[[#This Row],[Good_Qty]]/Table13[[#This Row],[Actual_Qty]]</f>
        <v>0.99236641221374045</v>
      </c>
      <c r="V1314" t="str">
        <f>IF(OR(Table13[[#This Row],[Performance_%]]&gt;=1,Table13[[#This Row],[Performance_%]]&lt;=0),"Error","OK")</f>
        <v>OK</v>
      </c>
      <c r="W1314" t="str">
        <f>IF(OR(Table13[[#This Row],[Quality_%]]&gt;=1,Table13[[#This Row],[Quality_%]]&lt;=0),"Error","OK")</f>
        <v>OK</v>
      </c>
      <c r="X1314">
        <f>Table13[[#This Row],[Performance_%]]*Table13[[#This Row],[Quality_%]]*[2]Availability_KPI!K1314</f>
        <v>0.43333333333333335</v>
      </c>
      <c r="Y1314" t="str">
        <f>IF(OR(Table13[[#This Row],[OEE_%]]&gt;1,Table13[[#This Row],[OEE_%]]&lt;0),"Error","OK")</f>
        <v>OK</v>
      </c>
    </row>
    <row r="1315" spans="1:25" x14ac:dyDescent="0.2">
      <c r="A1315" t="s">
        <v>1529</v>
      </c>
      <c r="B1315" t="s">
        <v>1528</v>
      </c>
      <c r="C1315" s="2">
        <v>46311</v>
      </c>
      <c r="D1315" t="s">
        <v>67</v>
      </c>
      <c r="E1315" t="s">
        <v>32</v>
      </c>
      <c r="F1315" t="s">
        <v>54</v>
      </c>
      <c r="G1315" t="s">
        <v>71</v>
      </c>
      <c r="H1315">
        <v>654</v>
      </c>
      <c r="I1315">
        <v>651</v>
      </c>
      <c r="J1315">
        <v>3</v>
      </c>
      <c r="K1315">
        <v>20</v>
      </c>
      <c r="L1315">
        <v>20.399999999999999</v>
      </c>
      <c r="M1315">
        <v>222.35</v>
      </c>
      <c r="N1315">
        <f>_xlfn.XLOOKUP(Table13[[#This Row],[Production_Order_ID]],[1]Sheet1!$A$2:$A$391,[1]Sheet1!$F$2:$F$391,"No Match")</f>
        <v>680</v>
      </c>
      <c r="O1315" s="3">
        <f>Table13[[#This Row],[Good_Qty]]/Table13[[#This Row],[Planned_Production]]</f>
        <v>0.95735294117647063</v>
      </c>
      <c r="P1315" t="str">
        <f>IF(Table13[[#This Row],[Good_Qty]]&gt;=Table13[[#This Row],[Planned_Production]],"Met","Not Met")</f>
        <v>Not Met</v>
      </c>
      <c r="Q1315">
        <f>Table13[[#This Row],[Good_Qty]]-Table13[[#This Row],[Planned_Production]]</f>
        <v>-29</v>
      </c>
      <c r="R1315" s="3">
        <f>IF(Table13[[#This Row],[Actual_Qty]]=0,0,Table13[[#This Row],[Reject_Qty]]/Table13[[#This Row],[Actual_Qty]])</f>
        <v>4.5871559633027525E-3</v>
      </c>
      <c r="S1315">
        <v>438.72</v>
      </c>
      <c r="T1315">
        <f>(Table13[[#This Row],[Ideal_Cycle_Time_sec]]*Table13[[#This Row],[Actual_Qty]])/(Table13[[#This Row],[Operational_Time_min]]*60)</f>
        <v>0.49690007293946026</v>
      </c>
      <c r="U1315">
        <f>Table13[[#This Row],[Good_Qty]]/Table13[[#This Row],[Actual_Qty]]</f>
        <v>0.99541284403669728</v>
      </c>
      <c r="V1315" t="str">
        <f>IF(OR(Table13[[#This Row],[Performance_%]]&gt;=1,Table13[[#This Row],[Performance_%]]&lt;=0),"Error","OK")</f>
        <v>OK</v>
      </c>
      <c r="W1315" t="str">
        <f>IF(OR(Table13[[#This Row],[Quality_%]]&gt;=1,Table13[[#This Row],[Quality_%]]&lt;=0),"Error","OK")</f>
        <v>OK</v>
      </c>
      <c r="X1315">
        <f>Table13[[#This Row],[Performance_%]]*Table13[[#This Row],[Quality_%]]*[2]Availability_KPI!K1315</f>
        <v>0.48222222222222227</v>
      </c>
      <c r="Y1315" t="str">
        <f>IF(OR(Table13[[#This Row],[OEE_%]]&gt;1,Table13[[#This Row],[OEE_%]]&lt;0),"Error","OK")</f>
        <v>OK</v>
      </c>
    </row>
    <row r="1316" spans="1:25" x14ac:dyDescent="0.2">
      <c r="A1316" t="s">
        <v>1530</v>
      </c>
      <c r="B1316" t="s">
        <v>1528</v>
      </c>
      <c r="C1316" s="2">
        <v>46311</v>
      </c>
      <c r="D1316" t="s">
        <v>67</v>
      </c>
      <c r="E1316" t="s">
        <v>35</v>
      </c>
      <c r="F1316" t="s">
        <v>54</v>
      </c>
      <c r="G1316" t="s">
        <v>33</v>
      </c>
      <c r="H1316">
        <v>651</v>
      </c>
      <c r="I1316">
        <v>646</v>
      </c>
      <c r="J1316">
        <v>5</v>
      </c>
      <c r="K1316">
        <v>22</v>
      </c>
      <c r="L1316">
        <v>23.71</v>
      </c>
      <c r="M1316">
        <v>257.20999999999998</v>
      </c>
      <c r="N1316">
        <f>_xlfn.XLOOKUP(Table13[[#This Row],[Production_Order_ID]],[1]Sheet1!$A$2:$A$391,[1]Sheet1!$F$2:$F$391,"No Match")</f>
        <v>680</v>
      </c>
      <c r="O1316" s="3">
        <f>Table13[[#This Row],[Good_Qty]]/Table13[[#This Row],[Planned_Production]]</f>
        <v>0.95</v>
      </c>
      <c r="P1316" t="str">
        <f>IF(Table13[[#This Row],[Good_Qty]]&gt;=Table13[[#This Row],[Planned_Production]],"Met","Not Met")</f>
        <v>Not Met</v>
      </c>
      <c r="Q1316">
        <f>Table13[[#This Row],[Good_Qty]]-Table13[[#This Row],[Planned_Production]]</f>
        <v>-34</v>
      </c>
      <c r="R1316" s="3">
        <f>IF(Table13[[#This Row],[Actual_Qty]]=0,0,Table13[[#This Row],[Reject_Qty]]/Table13[[#This Row],[Actual_Qty]])</f>
        <v>7.6804915514592934E-3</v>
      </c>
      <c r="S1316">
        <v>432.29</v>
      </c>
      <c r="T1316">
        <f>(Table13[[#This Row],[Ideal_Cycle_Time_sec]]*Table13[[#This Row],[Actual_Qty]])/(Table13[[#This Row],[Operational_Time_min]]*60)</f>
        <v>0.55217562284577482</v>
      </c>
      <c r="U1316">
        <f>Table13[[#This Row],[Good_Qty]]/Table13[[#This Row],[Actual_Qty]]</f>
        <v>0.99231950844854067</v>
      </c>
      <c r="V1316" t="str">
        <f>IF(OR(Table13[[#This Row],[Performance_%]]&gt;=1,Table13[[#This Row],[Performance_%]]&lt;=0),"Error","OK")</f>
        <v>OK</v>
      </c>
      <c r="W1316" t="str">
        <f>IF(OR(Table13[[#This Row],[Quality_%]]&gt;=1,Table13[[#This Row],[Quality_%]]&lt;=0),"Error","OK")</f>
        <v>OK</v>
      </c>
      <c r="X1316">
        <f>Table13[[#This Row],[Performance_%]]*Table13[[#This Row],[Quality_%]]*[2]Availability_KPI!K1316</f>
        <v>0.52637037037037038</v>
      </c>
      <c r="Y1316" t="str">
        <f>IF(OR(Table13[[#This Row],[OEE_%]]&gt;1,Table13[[#This Row],[OEE_%]]&lt;0),"Error","OK")</f>
        <v>OK</v>
      </c>
    </row>
    <row r="1317" spans="1:25" x14ac:dyDescent="0.2">
      <c r="A1317" t="s">
        <v>1531</v>
      </c>
      <c r="B1317" t="s">
        <v>1528</v>
      </c>
      <c r="C1317" s="2">
        <v>46311</v>
      </c>
      <c r="D1317" t="s">
        <v>67</v>
      </c>
      <c r="E1317" t="s">
        <v>38</v>
      </c>
      <c r="F1317" t="s">
        <v>54</v>
      </c>
      <c r="G1317" t="s">
        <v>50</v>
      </c>
      <c r="H1317">
        <v>651</v>
      </c>
      <c r="I1317">
        <v>647</v>
      </c>
      <c r="J1317">
        <v>4</v>
      </c>
      <c r="K1317">
        <v>20</v>
      </c>
      <c r="L1317">
        <v>20.45</v>
      </c>
      <c r="M1317">
        <v>221.9</v>
      </c>
      <c r="N1317">
        <f>_xlfn.XLOOKUP(Table13[[#This Row],[Production_Order_ID]],[1]Sheet1!$A$2:$A$391,[1]Sheet1!$F$2:$F$391,"No Match")</f>
        <v>680</v>
      </c>
      <c r="O1317" s="3">
        <f>Table13[[#This Row],[Good_Qty]]/Table13[[#This Row],[Planned_Production]]</f>
        <v>0.95147058823529407</v>
      </c>
      <c r="P1317" t="str">
        <f>IF(Table13[[#This Row],[Good_Qty]]&gt;=Table13[[#This Row],[Planned_Production]],"Met","Not Met")</f>
        <v>Not Met</v>
      </c>
      <c r="Q1317">
        <f>Table13[[#This Row],[Good_Qty]]-Table13[[#This Row],[Planned_Production]]</f>
        <v>-33</v>
      </c>
      <c r="R1317" s="3">
        <f>IF(Table13[[#This Row],[Actual_Qty]]=0,0,Table13[[#This Row],[Reject_Qty]]/Table13[[#This Row],[Actual_Qty]])</f>
        <v>6.1443932411674347E-3</v>
      </c>
      <c r="S1317">
        <v>439.17</v>
      </c>
      <c r="T1317">
        <f>(Table13[[#This Row],[Ideal_Cycle_Time_sec]]*Table13[[#This Row],[Actual_Qty]])/(Table13[[#This Row],[Operational_Time_min]]*60)</f>
        <v>0.49411389666871597</v>
      </c>
      <c r="U1317">
        <f>Table13[[#This Row],[Good_Qty]]/Table13[[#This Row],[Actual_Qty]]</f>
        <v>0.99385560675883255</v>
      </c>
      <c r="V1317" t="str">
        <f>IF(OR(Table13[[#This Row],[Performance_%]]&gt;=1,Table13[[#This Row],[Performance_%]]&lt;=0),"Error","OK")</f>
        <v>OK</v>
      </c>
      <c r="W1317" t="str">
        <f>IF(OR(Table13[[#This Row],[Quality_%]]&gt;=1,Table13[[#This Row],[Quality_%]]&lt;=0),"Error","OK")</f>
        <v>OK</v>
      </c>
      <c r="X1317">
        <f>Table13[[#This Row],[Performance_%]]*Table13[[#This Row],[Quality_%]]*[2]Availability_KPI!K1317</f>
        <v>0.47925925925925922</v>
      </c>
      <c r="Y1317" t="str">
        <f>IF(OR(Table13[[#This Row],[OEE_%]]&gt;1,Table13[[#This Row],[OEE_%]]&lt;0),"Error","OK")</f>
        <v>OK</v>
      </c>
    </row>
    <row r="1318" spans="1:25" x14ac:dyDescent="0.2">
      <c r="A1318" t="s">
        <v>1532</v>
      </c>
      <c r="B1318" t="s">
        <v>1528</v>
      </c>
      <c r="C1318" s="2">
        <v>46311</v>
      </c>
      <c r="D1318" t="s">
        <v>67</v>
      </c>
      <c r="E1318" t="s">
        <v>41</v>
      </c>
      <c r="F1318" t="s">
        <v>54</v>
      </c>
      <c r="G1318" t="s">
        <v>33</v>
      </c>
      <c r="H1318">
        <v>651</v>
      </c>
      <c r="I1318">
        <v>644</v>
      </c>
      <c r="J1318">
        <v>7</v>
      </c>
      <c r="K1318">
        <v>18</v>
      </c>
      <c r="L1318">
        <v>19.32</v>
      </c>
      <c r="M1318">
        <v>209.59</v>
      </c>
      <c r="N1318">
        <f>_xlfn.XLOOKUP(Table13[[#This Row],[Production_Order_ID]],[1]Sheet1!$A$2:$A$391,[1]Sheet1!$F$2:$F$391,"No Match")</f>
        <v>680</v>
      </c>
      <c r="O1318" s="3">
        <f>Table13[[#This Row],[Good_Qty]]/Table13[[#This Row],[Planned_Production]]</f>
        <v>0.94705882352941173</v>
      </c>
      <c r="P1318" t="str">
        <f>IF(Table13[[#This Row],[Good_Qty]]&gt;=Table13[[#This Row],[Planned_Production]],"Met","Not Met")</f>
        <v>Not Met</v>
      </c>
      <c r="Q1318">
        <f>Table13[[#This Row],[Good_Qty]]-Table13[[#This Row],[Planned_Production]]</f>
        <v>-36</v>
      </c>
      <c r="R1318" s="3">
        <f>IF(Table13[[#This Row],[Actual_Qty]]=0,0,Table13[[#This Row],[Reject_Qty]]/Table13[[#This Row],[Actual_Qty]])</f>
        <v>1.0752688172043012E-2</v>
      </c>
      <c r="S1318">
        <v>438.89</v>
      </c>
      <c r="T1318">
        <f>(Table13[[#This Row],[Ideal_Cycle_Time_sec]]*Table13[[#This Row],[Actual_Qty]])/(Table13[[#This Row],[Operational_Time_min]]*60)</f>
        <v>0.44498621522477161</v>
      </c>
      <c r="U1318">
        <f>Table13[[#This Row],[Good_Qty]]/Table13[[#This Row],[Actual_Qty]]</f>
        <v>0.989247311827957</v>
      </c>
      <c r="V1318" t="str">
        <f>IF(OR(Table13[[#This Row],[Performance_%]]&gt;=1,Table13[[#This Row],[Performance_%]]&lt;=0),"Error","OK")</f>
        <v>OK</v>
      </c>
      <c r="W1318" t="str">
        <f>IF(OR(Table13[[#This Row],[Quality_%]]&gt;=1,Table13[[#This Row],[Quality_%]]&lt;=0),"Error","OK")</f>
        <v>OK</v>
      </c>
      <c r="X1318">
        <f>Table13[[#This Row],[Performance_%]]*Table13[[#This Row],[Quality_%]]*[2]Availability_KPI!K1318</f>
        <v>0.4293333333333334</v>
      </c>
      <c r="Y1318" t="str">
        <f>IF(OR(Table13[[#This Row],[OEE_%]]&gt;1,Table13[[#This Row],[OEE_%]]&lt;0),"Error","OK")</f>
        <v>OK</v>
      </c>
    </row>
    <row r="1319" spans="1:25" x14ac:dyDescent="0.2">
      <c r="A1319" t="s">
        <v>1533</v>
      </c>
      <c r="B1319" t="s">
        <v>1528</v>
      </c>
      <c r="C1319" s="2">
        <v>46311</v>
      </c>
      <c r="D1319" t="s">
        <v>67</v>
      </c>
      <c r="E1319" t="s">
        <v>43</v>
      </c>
      <c r="F1319" t="s">
        <v>54</v>
      </c>
      <c r="G1319" t="s">
        <v>57</v>
      </c>
      <c r="H1319">
        <v>642</v>
      </c>
      <c r="I1319">
        <v>633</v>
      </c>
      <c r="J1319">
        <v>9</v>
      </c>
      <c r="K1319">
        <v>32</v>
      </c>
      <c r="L1319">
        <v>34.340000000000003</v>
      </c>
      <c r="M1319">
        <v>367.48</v>
      </c>
      <c r="N1319">
        <f>_xlfn.XLOOKUP(Table13[[#This Row],[Production_Order_ID]],[1]Sheet1!$A$2:$A$391,[1]Sheet1!$F$2:$F$391,"No Match")</f>
        <v>680</v>
      </c>
      <c r="O1319" s="3">
        <f>Table13[[#This Row],[Good_Qty]]/Table13[[#This Row],[Planned_Production]]</f>
        <v>0.93088235294117649</v>
      </c>
      <c r="P1319" t="str">
        <f>IF(Table13[[#This Row],[Good_Qty]]&gt;=Table13[[#This Row],[Planned_Production]],"Met","Not Met")</f>
        <v>Not Met</v>
      </c>
      <c r="Q1319">
        <f>Table13[[#This Row],[Good_Qty]]-Table13[[#This Row],[Planned_Production]]</f>
        <v>-47</v>
      </c>
      <c r="R1319" s="3">
        <f>IF(Table13[[#This Row],[Actual_Qty]]=0,0,Table13[[#This Row],[Reject_Qty]]/Table13[[#This Row],[Actual_Qty]])</f>
        <v>1.4018691588785047E-2</v>
      </c>
      <c r="S1319">
        <v>414.72</v>
      </c>
      <c r="T1319">
        <f>(Table13[[#This Row],[Ideal_Cycle_Time_sec]]*Table13[[#This Row],[Actual_Qty]])/(Table13[[#This Row],[Operational_Time_min]]*60)</f>
        <v>0.82561728395061729</v>
      </c>
      <c r="U1319">
        <f>Table13[[#This Row],[Good_Qty]]/Table13[[#This Row],[Actual_Qty]]</f>
        <v>0.98598130841121501</v>
      </c>
      <c r="V1319" t="str">
        <f>IF(OR(Table13[[#This Row],[Performance_%]]&gt;=1,Table13[[#This Row],[Performance_%]]&lt;=0),"Error","OK")</f>
        <v>OK</v>
      </c>
      <c r="W1319" t="str">
        <f>IF(OR(Table13[[#This Row],[Quality_%]]&gt;=1,Table13[[#This Row],[Quality_%]]&lt;=0),"Error","OK")</f>
        <v>OK</v>
      </c>
      <c r="X1319">
        <f>Table13[[#This Row],[Performance_%]]*Table13[[#This Row],[Quality_%]]*[2]Availability_KPI!K1319</f>
        <v>0.75022222222222235</v>
      </c>
      <c r="Y1319" t="str">
        <f>IF(OR(Table13[[#This Row],[OEE_%]]&gt;1,Table13[[#This Row],[OEE_%]]&lt;0),"Error","OK")</f>
        <v>OK</v>
      </c>
    </row>
    <row r="1320" spans="1:25" x14ac:dyDescent="0.2">
      <c r="A1320" t="s">
        <v>1534</v>
      </c>
      <c r="B1320" t="s">
        <v>1528</v>
      </c>
      <c r="C1320" s="2">
        <v>46311</v>
      </c>
      <c r="D1320" t="s">
        <v>67</v>
      </c>
      <c r="E1320" t="s">
        <v>46</v>
      </c>
      <c r="F1320" t="s">
        <v>54</v>
      </c>
      <c r="G1320" t="s">
        <v>50</v>
      </c>
      <c r="H1320">
        <v>653</v>
      </c>
      <c r="I1320">
        <v>646</v>
      </c>
      <c r="J1320">
        <v>7</v>
      </c>
      <c r="K1320">
        <v>25</v>
      </c>
      <c r="L1320">
        <v>26.09</v>
      </c>
      <c r="M1320">
        <v>283.95</v>
      </c>
      <c r="N1320">
        <f>_xlfn.XLOOKUP(Table13[[#This Row],[Production_Order_ID]],[1]Sheet1!$A$2:$A$391,[1]Sheet1!$F$2:$F$391,"No Match")</f>
        <v>680</v>
      </c>
      <c r="O1320" s="3">
        <f>Table13[[#This Row],[Good_Qty]]/Table13[[#This Row],[Planned_Production]]</f>
        <v>0.95</v>
      </c>
      <c r="P1320" t="str">
        <f>IF(Table13[[#This Row],[Good_Qty]]&gt;=Table13[[#This Row],[Planned_Production]],"Met","Not Met")</f>
        <v>Not Met</v>
      </c>
      <c r="Q1320">
        <f>Table13[[#This Row],[Good_Qty]]-Table13[[#This Row],[Planned_Production]]</f>
        <v>-34</v>
      </c>
      <c r="R1320" s="3">
        <f>IF(Table13[[#This Row],[Actual_Qty]]=0,0,Table13[[#This Row],[Reject_Qty]]/Table13[[#This Row],[Actual_Qty]])</f>
        <v>1.0719754977029096E-2</v>
      </c>
      <c r="S1320">
        <v>427.53</v>
      </c>
      <c r="T1320">
        <f>(Table13[[#This Row],[Ideal_Cycle_Time_sec]]*Table13[[#This Row],[Actual_Qty]])/(Table13[[#This Row],[Operational_Time_min]]*60)</f>
        <v>0.63640758153423937</v>
      </c>
      <c r="U1320">
        <f>Table13[[#This Row],[Good_Qty]]/Table13[[#This Row],[Actual_Qty]]</f>
        <v>0.98928024502297085</v>
      </c>
      <c r="V1320" t="str">
        <f>IF(OR(Table13[[#This Row],[Performance_%]]&gt;=1,Table13[[#This Row],[Performance_%]]&lt;=0),"Error","OK")</f>
        <v>OK</v>
      </c>
      <c r="W1320" t="str">
        <f>IF(OR(Table13[[#This Row],[Quality_%]]&gt;=1,Table13[[#This Row],[Quality_%]]&lt;=0),"Error","OK")</f>
        <v>OK</v>
      </c>
      <c r="X1320">
        <f>Table13[[#This Row],[Performance_%]]*Table13[[#This Row],[Quality_%]]*[2]Availability_KPI!K1320</f>
        <v>0.59814814814814821</v>
      </c>
      <c r="Y1320" t="str">
        <f>IF(OR(Table13[[#This Row],[OEE_%]]&gt;1,Table13[[#This Row],[OEE_%]]&lt;0),"Error","OK")</f>
        <v>OK</v>
      </c>
    </row>
    <row r="1321" spans="1:25" x14ac:dyDescent="0.2">
      <c r="A1321" t="s">
        <v>1535</v>
      </c>
      <c r="B1321" t="s">
        <v>1528</v>
      </c>
      <c r="C1321" s="2">
        <v>46311</v>
      </c>
      <c r="D1321" t="s">
        <v>67</v>
      </c>
      <c r="E1321" t="s">
        <v>49</v>
      </c>
      <c r="F1321" t="s">
        <v>54</v>
      </c>
      <c r="G1321" t="s">
        <v>50</v>
      </c>
      <c r="H1321">
        <v>638</v>
      </c>
      <c r="I1321">
        <v>635</v>
      </c>
      <c r="J1321">
        <v>3</v>
      </c>
      <c r="K1321">
        <v>20</v>
      </c>
      <c r="L1321">
        <v>21.5</v>
      </c>
      <c r="M1321">
        <v>228.59</v>
      </c>
      <c r="N1321">
        <f>_xlfn.XLOOKUP(Table13[[#This Row],[Production_Order_ID]],[1]Sheet1!$A$2:$A$391,[1]Sheet1!$F$2:$F$391,"No Match")</f>
        <v>680</v>
      </c>
      <c r="O1321" s="3">
        <f>Table13[[#This Row],[Good_Qty]]/Table13[[#This Row],[Planned_Production]]</f>
        <v>0.93382352941176472</v>
      </c>
      <c r="P1321" t="str">
        <f>IF(Table13[[#This Row],[Good_Qty]]&gt;=Table13[[#This Row],[Planned_Production]],"Met","Not Met")</f>
        <v>Not Met</v>
      </c>
      <c r="Q1321">
        <f>Table13[[#This Row],[Good_Qty]]-Table13[[#This Row],[Planned_Production]]</f>
        <v>-45</v>
      </c>
      <c r="R1321" s="3">
        <f>IF(Table13[[#This Row],[Actual_Qty]]=0,0,Table13[[#This Row],[Reject_Qty]]/Table13[[#This Row],[Actual_Qty]])</f>
        <v>4.7021943573667714E-3</v>
      </c>
      <c r="S1321">
        <v>440.82</v>
      </c>
      <c r="T1321">
        <f>(Table13[[#This Row],[Ideal_Cycle_Time_sec]]*Table13[[#This Row],[Actual_Qty]])/(Table13[[#This Row],[Operational_Time_min]]*60)</f>
        <v>0.48243425131951062</v>
      </c>
      <c r="U1321">
        <f>Table13[[#This Row],[Good_Qty]]/Table13[[#This Row],[Actual_Qty]]</f>
        <v>0.99529780564263326</v>
      </c>
      <c r="V1321" t="str">
        <f>IF(OR(Table13[[#This Row],[Performance_%]]&gt;=1,Table13[[#This Row],[Performance_%]]&lt;=0),"Error","OK")</f>
        <v>OK</v>
      </c>
      <c r="W1321" t="str">
        <f>IF(OR(Table13[[#This Row],[Quality_%]]&gt;=1,Table13[[#This Row],[Quality_%]]&lt;=0),"Error","OK")</f>
        <v>OK</v>
      </c>
      <c r="X1321">
        <f>Table13[[#This Row],[Performance_%]]*Table13[[#This Row],[Quality_%]]*[2]Availability_KPI!K1321</f>
        <v>0.47037037037037044</v>
      </c>
      <c r="Y1321" t="str">
        <f>IF(OR(Table13[[#This Row],[OEE_%]]&gt;1,Table13[[#This Row],[OEE_%]]&lt;0),"Error","OK")</f>
        <v>OK</v>
      </c>
    </row>
    <row r="1322" spans="1:25" x14ac:dyDescent="0.2">
      <c r="A1322" t="s">
        <v>1536</v>
      </c>
      <c r="B1322" t="s">
        <v>1537</v>
      </c>
      <c r="C1322" s="2">
        <v>46314</v>
      </c>
      <c r="D1322" t="s">
        <v>27</v>
      </c>
      <c r="E1322" t="s">
        <v>28</v>
      </c>
      <c r="F1322" t="s">
        <v>54</v>
      </c>
      <c r="G1322" t="s">
        <v>47</v>
      </c>
      <c r="H1322">
        <v>605</v>
      </c>
      <c r="I1322">
        <v>600</v>
      </c>
      <c r="J1322">
        <v>5</v>
      </c>
      <c r="K1322">
        <v>18</v>
      </c>
      <c r="L1322">
        <v>18.2</v>
      </c>
      <c r="M1322">
        <v>183.54</v>
      </c>
      <c r="N1322">
        <f>_xlfn.XLOOKUP(Table13[[#This Row],[Production_Order_ID]],[1]Sheet1!$A$2:$A$391,[1]Sheet1!$F$2:$F$391,"No Match")</f>
        <v>420</v>
      </c>
      <c r="O1322" s="3">
        <f>Table13[[#This Row],[Good_Qty]]/Table13[[#This Row],[Planned_Production]]</f>
        <v>1.4285714285714286</v>
      </c>
      <c r="P1322" t="str">
        <f>IF(Table13[[#This Row],[Good_Qty]]&gt;=Table13[[#This Row],[Planned_Production]],"Met","Not Met")</f>
        <v>Met</v>
      </c>
      <c r="Q1322">
        <f>Table13[[#This Row],[Good_Qty]]-Table13[[#This Row],[Planned_Production]]</f>
        <v>180</v>
      </c>
      <c r="R1322" s="3">
        <f>IF(Table13[[#This Row],[Actual_Qty]]=0,0,Table13[[#This Row],[Reject_Qty]]/Table13[[#This Row],[Actual_Qty]])</f>
        <v>8.2644628099173556E-3</v>
      </c>
      <c r="S1322">
        <v>439.76</v>
      </c>
      <c r="T1322">
        <f>(Table13[[#This Row],[Ideal_Cycle_Time_sec]]*Table13[[#This Row],[Actual_Qty]])/(Table13[[#This Row],[Operational_Time_min]]*60)</f>
        <v>0.41272512279425144</v>
      </c>
      <c r="U1322">
        <f>Table13[[#This Row],[Good_Qty]]/Table13[[#This Row],[Actual_Qty]]</f>
        <v>0.99173553719008267</v>
      </c>
      <c r="V1322" t="str">
        <f>IF(OR(Table13[[#This Row],[Performance_%]]&gt;=1,Table13[[#This Row],[Performance_%]]&lt;=0),"Error","OK")</f>
        <v>OK</v>
      </c>
      <c r="W1322" t="str">
        <f>IF(OR(Table13[[#This Row],[Quality_%]]&gt;=1,Table13[[#This Row],[Quality_%]]&lt;=0),"Error","OK")</f>
        <v>OK</v>
      </c>
      <c r="X1322">
        <f>Table13[[#This Row],[Performance_%]]*Table13[[#This Row],[Quality_%]]*[2]Availability_KPI!K1322</f>
        <v>0.40000000000000008</v>
      </c>
      <c r="Y1322" t="str">
        <f>IF(OR(Table13[[#This Row],[OEE_%]]&gt;1,Table13[[#This Row],[OEE_%]]&lt;0),"Error","OK")</f>
        <v>OK</v>
      </c>
    </row>
    <row r="1323" spans="1:25" x14ac:dyDescent="0.2">
      <c r="A1323" t="s">
        <v>1538</v>
      </c>
      <c r="B1323" t="s">
        <v>1537</v>
      </c>
      <c r="C1323" s="2">
        <v>46314</v>
      </c>
      <c r="D1323" t="s">
        <v>27</v>
      </c>
      <c r="E1323" t="s">
        <v>32</v>
      </c>
      <c r="F1323" t="s">
        <v>54</v>
      </c>
      <c r="G1323" t="s">
        <v>39</v>
      </c>
      <c r="H1323">
        <v>583</v>
      </c>
      <c r="I1323">
        <v>581</v>
      </c>
      <c r="J1323">
        <v>2</v>
      </c>
      <c r="K1323">
        <v>20</v>
      </c>
      <c r="L1323">
        <v>20.88</v>
      </c>
      <c r="M1323">
        <v>202.86</v>
      </c>
      <c r="N1323">
        <f>_xlfn.XLOOKUP(Table13[[#This Row],[Production_Order_ID]],[1]Sheet1!$A$2:$A$391,[1]Sheet1!$F$2:$F$391,"No Match")</f>
        <v>420</v>
      </c>
      <c r="O1323" s="3">
        <f>Table13[[#This Row],[Good_Qty]]/Table13[[#This Row],[Planned_Production]]</f>
        <v>1.3833333333333333</v>
      </c>
      <c r="P1323" t="str">
        <f>IF(Table13[[#This Row],[Good_Qty]]&gt;=Table13[[#This Row],[Planned_Production]],"Met","Not Met")</f>
        <v>Met</v>
      </c>
      <c r="Q1323">
        <f>Table13[[#This Row],[Good_Qty]]-Table13[[#This Row],[Planned_Production]]</f>
        <v>161</v>
      </c>
      <c r="R1323" s="3">
        <f>IF(Table13[[#This Row],[Actual_Qty]]=0,0,Table13[[#This Row],[Reject_Qty]]/Table13[[#This Row],[Actual_Qty]])</f>
        <v>3.4305317324185248E-3</v>
      </c>
      <c r="S1323">
        <v>440.2</v>
      </c>
      <c r="T1323">
        <f>(Table13[[#This Row],[Ideal_Cycle_Time_sec]]*Table13[[#This Row],[Actual_Qty]])/(Table13[[#This Row],[Operational_Time_min]]*60)</f>
        <v>0.44146600030289262</v>
      </c>
      <c r="U1323">
        <f>Table13[[#This Row],[Good_Qty]]/Table13[[#This Row],[Actual_Qty]]</f>
        <v>0.99656946826758153</v>
      </c>
      <c r="V1323" t="str">
        <f>IF(OR(Table13[[#This Row],[Performance_%]]&gt;=1,Table13[[#This Row],[Performance_%]]&lt;=0),"Error","OK")</f>
        <v>OK</v>
      </c>
      <c r="W1323" t="str">
        <f>IF(OR(Table13[[#This Row],[Quality_%]]&gt;=1,Table13[[#This Row],[Quality_%]]&lt;=0),"Error","OK")</f>
        <v>OK</v>
      </c>
      <c r="X1323">
        <f>Table13[[#This Row],[Performance_%]]*Table13[[#This Row],[Quality_%]]*[2]Availability_KPI!K1323</f>
        <v>0.4303703703703704</v>
      </c>
      <c r="Y1323" t="str">
        <f>IF(OR(Table13[[#This Row],[OEE_%]]&gt;1,Table13[[#This Row],[OEE_%]]&lt;0),"Error","OK")</f>
        <v>OK</v>
      </c>
    </row>
    <row r="1324" spans="1:25" x14ac:dyDescent="0.2">
      <c r="A1324" t="s">
        <v>1539</v>
      </c>
      <c r="B1324" t="s">
        <v>1537</v>
      </c>
      <c r="C1324" s="2">
        <v>46314</v>
      </c>
      <c r="D1324" t="s">
        <v>27</v>
      </c>
      <c r="E1324" t="s">
        <v>35</v>
      </c>
      <c r="F1324" t="s">
        <v>54</v>
      </c>
      <c r="G1324" t="s">
        <v>50</v>
      </c>
      <c r="H1324">
        <v>591</v>
      </c>
      <c r="I1324">
        <v>586</v>
      </c>
      <c r="J1324">
        <v>5</v>
      </c>
      <c r="K1324">
        <v>22</v>
      </c>
      <c r="L1324">
        <v>24.16</v>
      </c>
      <c r="M1324">
        <v>238</v>
      </c>
      <c r="N1324">
        <f>_xlfn.XLOOKUP(Table13[[#This Row],[Production_Order_ID]],[1]Sheet1!$A$2:$A$391,[1]Sheet1!$F$2:$F$391,"No Match")</f>
        <v>420</v>
      </c>
      <c r="O1324" s="3">
        <f>Table13[[#This Row],[Good_Qty]]/Table13[[#This Row],[Planned_Production]]</f>
        <v>1.3952380952380952</v>
      </c>
      <c r="P1324" t="str">
        <f>IF(Table13[[#This Row],[Good_Qty]]&gt;=Table13[[#This Row],[Planned_Production]],"Met","Not Met")</f>
        <v>Met</v>
      </c>
      <c r="Q1324">
        <f>Table13[[#This Row],[Good_Qty]]-Table13[[#This Row],[Planned_Production]]</f>
        <v>166</v>
      </c>
      <c r="R1324" s="3">
        <f>IF(Table13[[#This Row],[Actual_Qty]]=0,0,Table13[[#This Row],[Reject_Qty]]/Table13[[#This Row],[Actual_Qty]])</f>
        <v>8.4602368866328256E-3</v>
      </c>
      <c r="S1324">
        <v>435.94</v>
      </c>
      <c r="T1324">
        <f>(Table13[[#This Row],[Ideal_Cycle_Time_sec]]*Table13[[#This Row],[Actual_Qty]])/(Table13[[#This Row],[Operational_Time_min]]*60)</f>
        <v>0.49708675505803546</v>
      </c>
      <c r="U1324">
        <f>Table13[[#This Row],[Good_Qty]]/Table13[[#This Row],[Actual_Qty]]</f>
        <v>0.99153976311336722</v>
      </c>
      <c r="V1324" t="str">
        <f>IF(OR(Table13[[#This Row],[Performance_%]]&gt;=1,Table13[[#This Row],[Performance_%]]&lt;=0),"Error","OK")</f>
        <v>OK</v>
      </c>
      <c r="W1324" t="str">
        <f>IF(OR(Table13[[#This Row],[Quality_%]]&gt;=1,Table13[[#This Row],[Quality_%]]&lt;=0),"Error","OK")</f>
        <v>OK</v>
      </c>
      <c r="X1324">
        <f>Table13[[#This Row],[Performance_%]]*Table13[[#This Row],[Quality_%]]*[2]Availability_KPI!K1324</f>
        <v>0.47748148148148145</v>
      </c>
      <c r="Y1324" t="str">
        <f>IF(OR(Table13[[#This Row],[OEE_%]]&gt;1,Table13[[#This Row],[OEE_%]]&lt;0),"Error","OK")</f>
        <v>OK</v>
      </c>
    </row>
    <row r="1325" spans="1:25" x14ac:dyDescent="0.2">
      <c r="A1325" t="s">
        <v>1540</v>
      </c>
      <c r="B1325" t="s">
        <v>1537</v>
      </c>
      <c r="C1325" s="2">
        <v>46314</v>
      </c>
      <c r="D1325" t="s">
        <v>27</v>
      </c>
      <c r="E1325" t="s">
        <v>38</v>
      </c>
      <c r="F1325" t="s">
        <v>54</v>
      </c>
      <c r="G1325" t="s">
        <v>75</v>
      </c>
      <c r="H1325">
        <v>595</v>
      </c>
      <c r="I1325">
        <v>590</v>
      </c>
      <c r="J1325">
        <v>5</v>
      </c>
      <c r="K1325">
        <v>20</v>
      </c>
      <c r="L1325">
        <v>20.84</v>
      </c>
      <c r="M1325">
        <v>206.62</v>
      </c>
      <c r="N1325">
        <f>_xlfn.XLOOKUP(Table13[[#This Row],[Production_Order_ID]],[1]Sheet1!$A$2:$A$391,[1]Sheet1!$F$2:$F$391,"No Match")</f>
        <v>420</v>
      </c>
      <c r="O1325" s="3">
        <f>Table13[[#This Row],[Good_Qty]]/Table13[[#This Row],[Planned_Production]]</f>
        <v>1.4047619047619047</v>
      </c>
      <c r="P1325" t="str">
        <f>IF(Table13[[#This Row],[Good_Qty]]&gt;=Table13[[#This Row],[Planned_Production]],"Met","Not Met")</f>
        <v>Met</v>
      </c>
      <c r="Q1325">
        <f>Table13[[#This Row],[Good_Qty]]-Table13[[#This Row],[Planned_Production]]</f>
        <v>170</v>
      </c>
      <c r="R1325" s="3">
        <f>IF(Table13[[#This Row],[Actual_Qty]]=0,0,Table13[[#This Row],[Reject_Qty]]/Table13[[#This Row],[Actual_Qty]])</f>
        <v>8.4033613445378148E-3</v>
      </c>
      <c r="S1325">
        <v>441.69</v>
      </c>
      <c r="T1325">
        <f>(Table13[[#This Row],[Ideal_Cycle_Time_sec]]*Table13[[#This Row],[Actual_Qty]])/(Table13[[#This Row],[Operational_Time_min]]*60)</f>
        <v>0.44903288128174357</v>
      </c>
      <c r="U1325">
        <f>Table13[[#This Row],[Good_Qty]]/Table13[[#This Row],[Actual_Qty]]</f>
        <v>0.99159663865546221</v>
      </c>
      <c r="V1325" t="str">
        <f>IF(OR(Table13[[#This Row],[Performance_%]]&gt;=1,Table13[[#This Row],[Performance_%]]&lt;=0),"Error","OK")</f>
        <v>OK</v>
      </c>
      <c r="W1325" t="str">
        <f>IF(OR(Table13[[#This Row],[Quality_%]]&gt;=1,Table13[[#This Row],[Quality_%]]&lt;=0),"Error","OK")</f>
        <v>OK</v>
      </c>
      <c r="X1325">
        <f>Table13[[#This Row],[Performance_%]]*Table13[[#This Row],[Quality_%]]*[2]Availability_KPI!K1325</f>
        <v>0.43703703703703706</v>
      </c>
      <c r="Y1325" t="str">
        <f>IF(OR(Table13[[#This Row],[OEE_%]]&gt;1,Table13[[#This Row],[OEE_%]]&lt;0),"Error","OK")</f>
        <v>OK</v>
      </c>
    </row>
    <row r="1326" spans="1:25" x14ac:dyDescent="0.2">
      <c r="A1326" t="s">
        <v>1541</v>
      </c>
      <c r="B1326" t="s">
        <v>1537</v>
      </c>
      <c r="C1326" s="2">
        <v>46314</v>
      </c>
      <c r="D1326" t="s">
        <v>27</v>
      </c>
      <c r="E1326" t="s">
        <v>41</v>
      </c>
      <c r="F1326" t="s">
        <v>54</v>
      </c>
      <c r="G1326" t="s">
        <v>61</v>
      </c>
      <c r="H1326">
        <v>594</v>
      </c>
      <c r="I1326">
        <v>590</v>
      </c>
      <c r="J1326">
        <v>4</v>
      </c>
      <c r="K1326">
        <v>18</v>
      </c>
      <c r="L1326">
        <v>18.36</v>
      </c>
      <c r="M1326">
        <v>181.8</v>
      </c>
      <c r="N1326">
        <f>_xlfn.XLOOKUP(Table13[[#This Row],[Production_Order_ID]],[1]Sheet1!$A$2:$A$391,[1]Sheet1!$F$2:$F$391,"No Match")</f>
        <v>420</v>
      </c>
      <c r="O1326" s="3">
        <f>Table13[[#This Row],[Good_Qty]]/Table13[[#This Row],[Planned_Production]]</f>
        <v>1.4047619047619047</v>
      </c>
      <c r="P1326" t="str">
        <f>IF(Table13[[#This Row],[Good_Qty]]&gt;=Table13[[#This Row],[Planned_Production]],"Met","Not Met")</f>
        <v>Met</v>
      </c>
      <c r="Q1326">
        <f>Table13[[#This Row],[Good_Qty]]-Table13[[#This Row],[Planned_Production]]</f>
        <v>170</v>
      </c>
      <c r="R1326" s="3">
        <f>IF(Table13[[#This Row],[Actual_Qty]]=0,0,Table13[[#This Row],[Reject_Qty]]/Table13[[#This Row],[Actual_Qty]])</f>
        <v>6.7340067340067337E-3</v>
      </c>
      <c r="S1326">
        <v>441.56</v>
      </c>
      <c r="T1326">
        <f>(Table13[[#This Row],[Ideal_Cycle_Time_sec]]*Table13[[#This Row],[Actual_Qty]])/(Table13[[#This Row],[Operational_Time_min]]*60)</f>
        <v>0.4035691638735393</v>
      </c>
      <c r="U1326">
        <f>Table13[[#This Row],[Good_Qty]]/Table13[[#This Row],[Actual_Qty]]</f>
        <v>0.9932659932659933</v>
      </c>
      <c r="V1326" t="str">
        <f>IF(OR(Table13[[#This Row],[Performance_%]]&gt;=1,Table13[[#This Row],[Performance_%]]&lt;=0),"Error","OK")</f>
        <v>OK</v>
      </c>
      <c r="W1326" t="str">
        <f>IF(OR(Table13[[#This Row],[Quality_%]]&gt;=1,Table13[[#This Row],[Quality_%]]&lt;=0),"Error","OK")</f>
        <v>OK</v>
      </c>
      <c r="X1326">
        <f>Table13[[#This Row],[Performance_%]]*Table13[[#This Row],[Quality_%]]*[2]Availability_KPI!K1326</f>
        <v>0.39333333333333342</v>
      </c>
      <c r="Y1326" t="str">
        <f>IF(OR(Table13[[#This Row],[OEE_%]]&gt;1,Table13[[#This Row],[OEE_%]]&lt;0),"Error","OK")</f>
        <v>OK</v>
      </c>
    </row>
    <row r="1327" spans="1:25" x14ac:dyDescent="0.2">
      <c r="A1327" t="s">
        <v>1542</v>
      </c>
      <c r="B1327" t="s">
        <v>1537</v>
      </c>
      <c r="C1327" s="2">
        <v>46314</v>
      </c>
      <c r="D1327" t="s">
        <v>27</v>
      </c>
      <c r="E1327" t="s">
        <v>43</v>
      </c>
      <c r="F1327" t="s">
        <v>54</v>
      </c>
      <c r="G1327" t="s">
        <v>71</v>
      </c>
      <c r="H1327">
        <v>605</v>
      </c>
      <c r="I1327">
        <v>596</v>
      </c>
      <c r="J1327">
        <v>9</v>
      </c>
      <c r="K1327">
        <v>32</v>
      </c>
      <c r="L1327">
        <v>33.729999999999997</v>
      </c>
      <c r="M1327">
        <v>340.13</v>
      </c>
      <c r="N1327">
        <f>_xlfn.XLOOKUP(Table13[[#This Row],[Production_Order_ID]],[1]Sheet1!$A$2:$A$391,[1]Sheet1!$F$2:$F$391,"No Match")</f>
        <v>420</v>
      </c>
      <c r="O1327" s="3">
        <f>Table13[[#This Row],[Good_Qty]]/Table13[[#This Row],[Planned_Production]]</f>
        <v>1.4190476190476191</v>
      </c>
      <c r="P1327" t="str">
        <f>IF(Table13[[#This Row],[Good_Qty]]&gt;=Table13[[#This Row],[Planned_Production]],"Met","Not Met")</f>
        <v>Met</v>
      </c>
      <c r="Q1327">
        <f>Table13[[#This Row],[Good_Qty]]-Table13[[#This Row],[Planned_Production]]</f>
        <v>176</v>
      </c>
      <c r="R1327" s="3">
        <f>IF(Table13[[#This Row],[Actual_Qty]]=0,0,Table13[[#This Row],[Reject_Qty]]/Table13[[#This Row],[Actual_Qty]])</f>
        <v>1.487603305785124E-2</v>
      </c>
      <c r="S1327">
        <v>420.29</v>
      </c>
      <c r="T1327">
        <f>(Table13[[#This Row],[Ideal_Cycle_Time_sec]]*Table13[[#This Row],[Actual_Qty]])/(Table13[[#This Row],[Operational_Time_min]]*60)</f>
        <v>0.76772387319866442</v>
      </c>
      <c r="U1327">
        <f>Table13[[#This Row],[Good_Qty]]/Table13[[#This Row],[Actual_Qty]]</f>
        <v>0.98512396694214877</v>
      </c>
      <c r="V1327" t="str">
        <f>IF(OR(Table13[[#This Row],[Performance_%]]&gt;=1,Table13[[#This Row],[Performance_%]]&lt;=0),"Error","OK")</f>
        <v>OK</v>
      </c>
      <c r="W1327" t="str">
        <f>IF(OR(Table13[[#This Row],[Quality_%]]&gt;=1,Table13[[#This Row],[Quality_%]]&lt;=0),"Error","OK")</f>
        <v>OK</v>
      </c>
      <c r="X1327">
        <f>Table13[[#This Row],[Performance_%]]*Table13[[#This Row],[Quality_%]]*[2]Availability_KPI!K1327</f>
        <v>0.70637037037037043</v>
      </c>
      <c r="Y1327" t="str">
        <f>IF(OR(Table13[[#This Row],[OEE_%]]&gt;1,Table13[[#This Row],[OEE_%]]&lt;0),"Error","OK")</f>
        <v>OK</v>
      </c>
    </row>
    <row r="1328" spans="1:25" x14ac:dyDescent="0.2">
      <c r="A1328" t="s">
        <v>1543</v>
      </c>
      <c r="B1328" t="s">
        <v>1537</v>
      </c>
      <c r="C1328" s="2">
        <v>46314</v>
      </c>
      <c r="D1328" t="s">
        <v>27</v>
      </c>
      <c r="E1328" t="s">
        <v>46</v>
      </c>
      <c r="F1328" t="s">
        <v>54</v>
      </c>
      <c r="G1328" t="s">
        <v>57</v>
      </c>
      <c r="H1328">
        <v>588</v>
      </c>
      <c r="I1328">
        <v>583</v>
      </c>
      <c r="J1328">
        <v>5</v>
      </c>
      <c r="K1328">
        <v>25</v>
      </c>
      <c r="L1328">
        <v>26.59</v>
      </c>
      <c r="M1328">
        <v>260.57</v>
      </c>
      <c r="N1328">
        <f>_xlfn.XLOOKUP(Table13[[#This Row],[Production_Order_ID]],[1]Sheet1!$A$2:$A$391,[1]Sheet1!$F$2:$F$391,"No Match")</f>
        <v>420</v>
      </c>
      <c r="O1328" s="3">
        <f>Table13[[#This Row],[Good_Qty]]/Table13[[#This Row],[Planned_Production]]</f>
        <v>1.388095238095238</v>
      </c>
      <c r="P1328" t="str">
        <f>IF(Table13[[#This Row],[Good_Qty]]&gt;=Table13[[#This Row],[Planned_Production]],"Met","Not Met")</f>
        <v>Met</v>
      </c>
      <c r="Q1328">
        <f>Table13[[#This Row],[Good_Qty]]-Table13[[#This Row],[Planned_Production]]</f>
        <v>163</v>
      </c>
      <c r="R1328" s="3">
        <f>IF(Table13[[#This Row],[Actual_Qty]]=0,0,Table13[[#This Row],[Reject_Qty]]/Table13[[#This Row],[Actual_Qty]])</f>
        <v>8.5034013605442185E-3</v>
      </c>
      <c r="S1328">
        <v>434.64</v>
      </c>
      <c r="T1328">
        <f>(Table13[[#This Row],[Ideal_Cycle_Time_sec]]*Table13[[#This Row],[Actual_Qty]])/(Table13[[#This Row],[Operational_Time_min]]*60)</f>
        <v>0.5636848886434751</v>
      </c>
      <c r="U1328">
        <f>Table13[[#This Row],[Good_Qty]]/Table13[[#This Row],[Actual_Qty]]</f>
        <v>0.99149659863945583</v>
      </c>
      <c r="V1328" t="str">
        <f>IF(OR(Table13[[#This Row],[Performance_%]]&gt;=1,Table13[[#This Row],[Performance_%]]&lt;=0),"Error","OK")</f>
        <v>OK</v>
      </c>
      <c r="W1328" t="str">
        <f>IF(OR(Table13[[#This Row],[Quality_%]]&gt;=1,Table13[[#This Row],[Quality_%]]&lt;=0),"Error","OK")</f>
        <v>OK</v>
      </c>
      <c r="X1328">
        <f>Table13[[#This Row],[Performance_%]]*Table13[[#This Row],[Quality_%]]*[2]Availability_KPI!K1328</f>
        <v>0.53981481481481497</v>
      </c>
      <c r="Y1328" t="str">
        <f>IF(OR(Table13[[#This Row],[OEE_%]]&gt;1,Table13[[#This Row],[OEE_%]]&lt;0),"Error","OK")</f>
        <v>OK</v>
      </c>
    </row>
    <row r="1329" spans="1:25" x14ac:dyDescent="0.2">
      <c r="A1329" t="s">
        <v>1544</v>
      </c>
      <c r="B1329" t="s">
        <v>1537</v>
      </c>
      <c r="C1329" s="2">
        <v>46314</v>
      </c>
      <c r="D1329" t="s">
        <v>27</v>
      </c>
      <c r="E1329" t="s">
        <v>49</v>
      </c>
      <c r="F1329" t="s">
        <v>54</v>
      </c>
      <c r="G1329" t="s">
        <v>36</v>
      </c>
      <c r="H1329">
        <v>603</v>
      </c>
      <c r="I1329">
        <v>600</v>
      </c>
      <c r="J1329">
        <v>3</v>
      </c>
      <c r="K1329">
        <v>20</v>
      </c>
      <c r="L1329">
        <v>20.77</v>
      </c>
      <c r="M1329">
        <v>208.77</v>
      </c>
      <c r="N1329">
        <f>_xlfn.XLOOKUP(Table13[[#This Row],[Production_Order_ID]],[1]Sheet1!$A$2:$A$391,[1]Sheet1!$F$2:$F$391,"No Match")</f>
        <v>420</v>
      </c>
      <c r="O1329" s="3">
        <f>Table13[[#This Row],[Good_Qty]]/Table13[[#This Row],[Planned_Production]]</f>
        <v>1.4285714285714286</v>
      </c>
      <c r="P1329" t="str">
        <f>IF(Table13[[#This Row],[Good_Qty]]&gt;=Table13[[#This Row],[Planned_Production]],"Met","Not Met")</f>
        <v>Met</v>
      </c>
      <c r="Q1329">
        <f>Table13[[#This Row],[Good_Qty]]-Table13[[#This Row],[Planned_Production]]</f>
        <v>180</v>
      </c>
      <c r="R1329" s="3">
        <f>IF(Table13[[#This Row],[Actual_Qty]]=0,0,Table13[[#This Row],[Reject_Qty]]/Table13[[#This Row],[Actual_Qty]])</f>
        <v>4.9751243781094526E-3</v>
      </c>
      <c r="S1329">
        <v>441.67</v>
      </c>
      <c r="T1329">
        <f>(Table13[[#This Row],[Ideal_Cycle_Time_sec]]*Table13[[#This Row],[Actual_Qty]])/(Table13[[#This Row],[Operational_Time_min]]*60)</f>
        <v>0.45509090497430205</v>
      </c>
      <c r="U1329">
        <f>Table13[[#This Row],[Good_Qty]]/Table13[[#This Row],[Actual_Qty]]</f>
        <v>0.99502487562189057</v>
      </c>
      <c r="V1329" t="str">
        <f>IF(OR(Table13[[#This Row],[Performance_%]]&gt;=1,Table13[[#This Row],[Performance_%]]&lt;=0),"Error","OK")</f>
        <v>OK</v>
      </c>
      <c r="W1329" t="str">
        <f>IF(OR(Table13[[#This Row],[Quality_%]]&gt;=1,Table13[[#This Row],[Quality_%]]&lt;=0),"Error","OK")</f>
        <v>OK</v>
      </c>
      <c r="X1329">
        <f>Table13[[#This Row],[Performance_%]]*Table13[[#This Row],[Quality_%]]*[2]Availability_KPI!K1329</f>
        <v>0.44444444444444442</v>
      </c>
      <c r="Y1329" t="str">
        <f>IF(OR(Table13[[#This Row],[OEE_%]]&gt;1,Table13[[#This Row],[OEE_%]]&lt;0),"Error","OK")</f>
        <v>OK</v>
      </c>
    </row>
    <row r="1330" spans="1:25" x14ac:dyDescent="0.2">
      <c r="A1330" t="s">
        <v>1545</v>
      </c>
      <c r="B1330" t="s">
        <v>1546</v>
      </c>
      <c r="C1330" s="2">
        <v>46314</v>
      </c>
      <c r="D1330" t="s">
        <v>53</v>
      </c>
      <c r="E1330" t="s">
        <v>28</v>
      </c>
      <c r="F1330" t="s">
        <v>97</v>
      </c>
      <c r="G1330" t="s">
        <v>75</v>
      </c>
      <c r="H1330">
        <v>618</v>
      </c>
      <c r="I1330">
        <v>615</v>
      </c>
      <c r="J1330">
        <v>3</v>
      </c>
      <c r="K1330">
        <v>19.260000000000002</v>
      </c>
      <c r="L1330">
        <v>20.16</v>
      </c>
      <c r="M1330">
        <v>207.65</v>
      </c>
      <c r="N1330">
        <f>_xlfn.XLOOKUP(Table13[[#This Row],[Production_Order_ID]],[1]Sheet1!$A$2:$A$391,[1]Sheet1!$F$2:$F$391,"No Match")</f>
        <v>630</v>
      </c>
      <c r="O1330" s="3">
        <f>Table13[[#This Row],[Good_Qty]]/Table13[[#This Row],[Planned_Production]]</f>
        <v>0.97619047619047616</v>
      </c>
      <c r="P1330" t="str">
        <f>IF(Table13[[#This Row],[Good_Qty]]&gt;=Table13[[#This Row],[Planned_Production]],"Met","Not Met")</f>
        <v>Not Met</v>
      </c>
      <c r="Q1330">
        <f>Table13[[#This Row],[Good_Qty]]-Table13[[#This Row],[Planned_Production]]</f>
        <v>-15</v>
      </c>
      <c r="R1330" s="3">
        <f>IF(Table13[[#This Row],[Actual_Qty]]=0,0,Table13[[#This Row],[Reject_Qty]]/Table13[[#This Row],[Actual_Qty]])</f>
        <v>4.8543689320388345E-3</v>
      </c>
      <c r="S1330">
        <v>440.66</v>
      </c>
      <c r="T1330">
        <f>(Table13[[#This Row],[Ideal_Cycle_Time_sec]]*Table13[[#This Row],[Actual_Qty]])/(Table13[[#This Row],[Operational_Time_min]]*60)</f>
        <v>0.4501838151863114</v>
      </c>
      <c r="U1330">
        <f>Table13[[#This Row],[Good_Qty]]/Table13[[#This Row],[Actual_Qty]]</f>
        <v>0.99514563106796117</v>
      </c>
      <c r="V1330" t="str">
        <f>IF(OR(Table13[[#This Row],[Performance_%]]&gt;=1,Table13[[#This Row],[Performance_%]]&lt;=0),"Error","OK")</f>
        <v>OK</v>
      </c>
      <c r="W1330" t="str">
        <f>IF(OR(Table13[[#This Row],[Quality_%]]&gt;=1,Table13[[#This Row],[Quality_%]]&lt;=0),"Error","OK")</f>
        <v>OK</v>
      </c>
      <c r="X1330">
        <f>Table13[[#This Row],[Performance_%]]*Table13[[#This Row],[Quality_%]]*[2]Availability_KPI!K1330</f>
        <v>0.43869999999999998</v>
      </c>
      <c r="Y1330" t="str">
        <f>IF(OR(Table13[[#This Row],[OEE_%]]&gt;1,Table13[[#This Row],[OEE_%]]&lt;0),"Error","OK")</f>
        <v>OK</v>
      </c>
    </row>
    <row r="1331" spans="1:25" x14ac:dyDescent="0.2">
      <c r="A1331" t="s">
        <v>1547</v>
      </c>
      <c r="B1331" t="s">
        <v>1546</v>
      </c>
      <c r="C1331" s="2">
        <v>46314</v>
      </c>
      <c r="D1331" t="s">
        <v>53</v>
      </c>
      <c r="E1331" t="s">
        <v>32</v>
      </c>
      <c r="F1331" t="s">
        <v>97</v>
      </c>
      <c r="G1331" t="s">
        <v>47</v>
      </c>
      <c r="H1331">
        <v>622</v>
      </c>
      <c r="I1331">
        <v>616</v>
      </c>
      <c r="J1331">
        <v>6</v>
      </c>
      <c r="K1331">
        <v>21.4</v>
      </c>
      <c r="L1331">
        <v>22.27</v>
      </c>
      <c r="M1331">
        <v>230.82</v>
      </c>
      <c r="N1331">
        <f>_xlfn.XLOOKUP(Table13[[#This Row],[Production_Order_ID]],[1]Sheet1!$A$2:$A$391,[1]Sheet1!$F$2:$F$391,"No Match")</f>
        <v>630</v>
      </c>
      <c r="O1331" s="3">
        <f>Table13[[#This Row],[Good_Qty]]/Table13[[#This Row],[Planned_Production]]</f>
        <v>0.97777777777777775</v>
      </c>
      <c r="P1331" t="str">
        <f>IF(Table13[[#This Row],[Good_Qty]]&gt;=Table13[[#This Row],[Planned_Production]],"Met","Not Met")</f>
        <v>Not Met</v>
      </c>
      <c r="Q1331">
        <f>Table13[[#This Row],[Good_Qty]]-Table13[[#This Row],[Planned_Production]]</f>
        <v>-14</v>
      </c>
      <c r="R1331" s="3">
        <f>IF(Table13[[#This Row],[Actual_Qty]]=0,0,Table13[[#This Row],[Reject_Qty]]/Table13[[#This Row],[Actual_Qty]])</f>
        <v>9.6463022508038593E-3</v>
      </c>
      <c r="S1331">
        <v>439.23</v>
      </c>
      <c r="T1331">
        <f>(Table13[[#This Row],[Ideal_Cycle_Time_sec]]*Table13[[#This Row],[Actual_Qty]])/(Table13[[#This Row],[Operational_Time_min]]*60)</f>
        <v>0.5050808612040768</v>
      </c>
      <c r="U1331">
        <f>Table13[[#This Row],[Good_Qty]]/Table13[[#This Row],[Actual_Qty]]</f>
        <v>0.99035369774919613</v>
      </c>
      <c r="V1331" t="str">
        <f>IF(OR(Table13[[#This Row],[Performance_%]]&gt;=1,Table13[[#This Row],[Performance_%]]&lt;=0),"Error","OK")</f>
        <v>OK</v>
      </c>
      <c r="W1331" t="str">
        <f>IF(OR(Table13[[#This Row],[Quality_%]]&gt;=1,Table13[[#This Row],[Quality_%]]&lt;=0),"Error","OK")</f>
        <v>OK</v>
      </c>
      <c r="X1331">
        <f>Table13[[#This Row],[Performance_%]]*Table13[[#This Row],[Quality_%]]*[2]Availability_KPI!K1331</f>
        <v>0.48823703703703702</v>
      </c>
      <c r="Y1331" t="str">
        <f>IF(OR(Table13[[#This Row],[OEE_%]]&gt;1,Table13[[#This Row],[OEE_%]]&lt;0),"Error","OK")</f>
        <v>OK</v>
      </c>
    </row>
    <row r="1332" spans="1:25" x14ac:dyDescent="0.2">
      <c r="A1332" t="s">
        <v>1548</v>
      </c>
      <c r="B1332" t="s">
        <v>1546</v>
      </c>
      <c r="C1332" s="2">
        <v>46314</v>
      </c>
      <c r="D1332" t="s">
        <v>53</v>
      </c>
      <c r="E1332" t="s">
        <v>35</v>
      </c>
      <c r="F1332" t="s">
        <v>97</v>
      </c>
      <c r="G1332" t="s">
        <v>57</v>
      </c>
      <c r="H1332">
        <v>631</v>
      </c>
      <c r="I1332">
        <v>625</v>
      </c>
      <c r="J1332">
        <v>6</v>
      </c>
      <c r="K1332">
        <v>23.54</v>
      </c>
      <c r="L1332">
        <v>24.21</v>
      </c>
      <c r="M1332">
        <v>254.58</v>
      </c>
      <c r="N1332">
        <f>_xlfn.XLOOKUP(Table13[[#This Row],[Production_Order_ID]],[1]Sheet1!$A$2:$A$391,[1]Sheet1!$F$2:$F$391,"No Match")</f>
        <v>630</v>
      </c>
      <c r="O1332" s="3">
        <f>Table13[[#This Row],[Good_Qty]]/Table13[[#This Row],[Planned_Production]]</f>
        <v>0.99206349206349209</v>
      </c>
      <c r="P1332" t="str">
        <f>IF(Table13[[#This Row],[Good_Qty]]&gt;=Table13[[#This Row],[Planned_Production]],"Met","Not Met")</f>
        <v>Not Met</v>
      </c>
      <c r="Q1332">
        <f>Table13[[#This Row],[Good_Qty]]-Table13[[#This Row],[Planned_Production]]</f>
        <v>-5</v>
      </c>
      <c r="R1332" s="3">
        <f>IF(Table13[[#This Row],[Actual_Qty]]=0,0,Table13[[#This Row],[Reject_Qty]]/Table13[[#This Row],[Actual_Qty]])</f>
        <v>9.5087163232963554E-3</v>
      </c>
      <c r="S1332">
        <v>430.42</v>
      </c>
      <c r="T1332">
        <f>(Table13[[#This Row],[Ideal_Cycle_Time_sec]]*Table13[[#This Row],[Actual_Qty]])/(Table13[[#This Row],[Operational_Time_min]]*60)</f>
        <v>0.57516456794139059</v>
      </c>
      <c r="U1332">
        <f>Table13[[#This Row],[Good_Qty]]/Table13[[#This Row],[Actual_Qty]]</f>
        <v>0.99049128367670369</v>
      </c>
      <c r="V1332" t="str">
        <f>IF(OR(Table13[[#This Row],[Performance_%]]&gt;=1,Table13[[#This Row],[Performance_%]]&lt;=0),"Error","OK")</f>
        <v>OK</v>
      </c>
      <c r="W1332" t="str">
        <f>IF(OR(Table13[[#This Row],[Quality_%]]&gt;=1,Table13[[#This Row],[Quality_%]]&lt;=0),"Error","OK")</f>
        <v>OK</v>
      </c>
      <c r="X1332">
        <f>Table13[[#This Row],[Performance_%]]*Table13[[#This Row],[Quality_%]]*[2]Availability_KPI!K1332</f>
        <v>0.5449074074074074</v>
      </c>
      <c r="Y1332" t="str">
        <f>IF(OR(Table13[[#This Row],[OEE_%]]&gt;1,Table13[[#This Row],[OEE_%]]&lt;0),"Error","OK")</f>
        <v>OK</v>
      </c>
    </row>
    <row r="1333" spans="1:25" x14ac:dyDescent="0.2">
      <c r="A1333" t="s">
        <v>1549</v>
      </c>
      <c r="B1333" t="s">
        <v>1546</v>
      </c>
      <c r="C1333" s="2">
        <v>46314</v>
      </c>
      <c r="D1333" t="s">
        <v>53</v>
      </c>
      <c r="E1333" t="s">
        <v>38</v>
      </c>
      <c r="F1333" t="s">
        <v>97</v>
      </c>
      <c r="G1333" t="s">
        <v>61</v>
      </c>
      <c r="H1333">
        <v>635</v>
      </c>
      <c r="I1333">
        <v>632</v>
      </c>
      <c r="J1333">
        <v>3</v>
      </c>
      <c r="K1333">
        <v>21.4</v>
      </c>
      <c r="L1333">
        <v>22.74</v>
      </c>
      <c r="M1333">
        <v>240.61</v>
      </c>
      <c r="N1333">
        <f>_xlfn.XLOOKUP(Table13[[#This Row],[Production_Order_ID]],[1]Sheet1!$A$2:$A$391,[1]Sheet1!$F$2:$F$391,"No Match")</f>
        <v>630</v>
      </c>
      <c r="O1333" s="3">
        <f>Table13[[#This Row],[Good_Qty]]/Table13[[#This Row],[Planned_Production]]</f>
        <v>1.0031746031746032</v>
      </c>
      <c r="P1333" t="str">
        <f>IF(Table13[[#This Row],[Good_Qty]]&gt;=Table13[[#This Row],[Planned_Production]],"Met","Not Met")</f>
        <v>Met</v>
      </c>
      <c r="Q1333">
        <f>Table13[[#This Row],[Good_Qty]]-Table13[[#This Row],[Planned_Production]]</f>
        <v>2</v>
      </c>
      <c r="R1333" s="3">
        <f>IF(Table13[[#This Row],[Actual_Qty]]=0,0,Table13[[#This Row],[Reject_Qty]]/Table13[[#This Row],[Actual_Qty]])</f>
        <v>4.7244094488188976E-3</v>
      </c>
      <c r="S1333">
        <v>435.55</v>
      </c>
      <c r="T1333">
        <f>(Table13[[#This Row],[Ideal_Cycle_Time_sec]]*Table13[[#This Row],[Actual_Qty]])/(Table13[[#This Row],[Operational_Time_min]]*60)</f>
        <v>0.51999387747292691</v>
      </c>
      <c r="U1333">
        <f>Table13[[#This Row],[Good_Qty]]/Table13[[#This Row],[Actual_Qty]]</f>
        <v>0.99527559055118109</v>
      </c>
      <c r="V1333" t="str">
        <f>IF(OR(Table13[[#This Row],[Performance_%]]&gt;=1,Table13[[#This Row],[Performance_%]]&lt;=0),"Error","OK")</f>
        <v>OK</v>
      </c>
      <c r="W1333" t="str">
        <f>IF(OR(Table13[[#This Row],[Quality_%]]&gt;=1,Table13[[#This Row],[Quality_%]]&lt;=0),"Error","OK")</f>
        <v>OK</v>
      </c>
      <c r="X1333">
        <f>Table13[[#This Row],[Performance_%]]*Table13[[#This Row],[Quality_%]]*[2]Availability_KPI!K1333</f>
        <v>0.50091851851851843</v>
      </c>
      <c r="Y1333" t="str">
        <f>IF(OR(Table13[[#This Row],[OEE_%]]&gt;1,Table13[[#This Row],[OEE_%]]&lt;0),"Error","OK")</f>
        <v>OK</v>
      </c>
    </row>
    <row r="1334" spans="1:25" x14ac:dyDescent="0.2">
      <c r="A1334" t="s">
        <v>1550</v>
      </c>
      <c r="B1334" t="s">
        <v>1546</v>
      </c>
      <c r="C1334" s="2">
        <v>46314</v>
      </c>
      <c r="D1334" t="s">
        <v>53</v>
      </c>
      <c r="E1334" t="s">
        <v>41</v>
      </c>
      <c r="F1334" t="s">
        <v>97</v>
      </c>
      <c r="G1334" t="s">
        <v>55</v>
      </c>
      <c r="H1334">
        <v>620</v>
      </c>
      <c r="I1334">
        <v>615</v>
      </c>
      <c r="J1334">
        <v>5</v>
      </c>
      <c r="K1334">
        <v>19.260000000000002</v>
      </c>
      <c r="L1334">
        <v>20.43</v>
      </c>
      <c r="M1334">
        <v>211.07</v>
      </c>
      <c r="N1334">
        <f>_xlfn.XLOOKUP(Table13[[#This Row],[Production_Order_ID]],[1]Sheet1!$A$2:$A$391,[1]Sheet1!$F$2:$F$391,"No Match")</f>
        <v>630</v>
      </c>
      <c r="O1334" s="3">
        <f>Table13[[#This Row],[Good_Qty]]/Table13[[#This Row],[Planned_Production]]</f>
        <v>0.97619047619047616</v>
      </c>
      <c r="P1334" t="str">
        <f>IF(Table13[[#This Row],[Good_Qty]]&gt;=Table13[[#This Row],[Planned_Production]],"Met","Not Met")</f>
        <v>Not Met</v>
      </c>
      <c r="Q1334">
        <f>Table13[[#This Row],[Good_Qty]]-Table13[[#This Row],[Planned_Production]]</f>
        <v>-15</v>
      </c>
      <c r="R1334" s="3">
        <f>IF(Table13[[#This Row],[Actual_Qty]]=0,0,Table13[[#This Row],[Reject_Qty]]/Table13[[#This Row],[Actual_Qty]])</f>
        <v>8.0645161290322578E-3</v>
      </c>
      <c r="S1334">
        <v>438.14</v>
      </c>
      <c r="T1334">
        <f>(Table13[[#This Row],[Ideal_Cycle_Time_sec]]*Table13[[#This Row],[Actual_Qty]])/(Table13[[#This Row],[Operational_Time_min]]*60)</f>
        <v>0.4542383712968458</v>
      </c>
      <c r="U1334">
        <f>Table13[[#This Row],[Good_Qty]]/Table13[[#This Row],[Actual_Qty]]</f>
        <v>0.99193548387096775</v>
      </c>
      <c r="V1334" t="str">
        <f>IF(OR(Table13[[#This Row],[Performance_%]]&gt;=1,Table13[[#This Row],[Performance_%]]&lt;=0),"Error","OK")</f>
        <v>OK</v>
      </c>
      <c r="W1334" t="str">
        <f>IF(OR(Table13[[#This Row],[Quality_%]]&gt;=1,Table13[[#This Row],[Quality_%]]&lt;=0),"Error","OK")</f>
        <v>OK</v>
      </c>
      <c r="X1334">
        <f>Table13[[#This Row],[Performance_%]]*Table13[[#This Row],[Quality_%]]*[2]Availability_KPI!K1334</f>
        <v>0.43870000000000003</v>
      </c>
      <c r="Y1334" t="str">
        <f>IF(OR(Table13[[#This Row],[OEE_%]]&gt;1,Table13[[#This Row],[OEE_%]]&lt;0),"Error","OK")</f>
        <v>OK</v>
      </c>
    </row>
    <row r="1335" spans="1:25" x14ac:dyDescent="0.2">
      <c r="A1335" t="s">
        <v>1551</v>
      </c>
      <c r="B1335" t="s">
        <v>1546</v>
      </c>
      <c r="C1335" s="2">
        <v>46314</v>
      </c>
      <c r="D1335" t="s">
        <v>53</v>
      </c>
      <c r="E1335" t="s">
        <v>43</v>
      </c>
      <c r="F1335" t="s">
        <v>97</v>
      </c>
      <c r="G1335" t="s">
        <v>55</v>
      </c>
      <c r="H1335">
        <v>624</v>
      </c>
      <c r="I1335">
        <v>614</v>
      </c>
      <c r="J1335">
        <v>10</v>
      </c>
      <c r="K1335">
        <v>34.24</v>
      </c>
      <c r="L1335">
        <v>37.770000000000003</v>
      </c>
      <c r="M1335">
        <v>392.85</v>
      </c>
      <c r="N1335">
        <f>_xlfn.XLOOKUP(Table13[[#This Row],[Production_Order_ID]],[1]Sheet1!$A$2:$A$391,[1]Sheet1!$F$2:$F$391,"No Match")</f>
        <v>630</v>
      </c>
      <c r="O1335" s="3">
        <f>Table13[[#This Row],[Good_Qty]]/Table13[[#This Row],[Planned_Production]]</f>
        <v>0.97460317460317458</v>
      </c>
      <c r="P1335" t="str">
        <f>IF(Table13[[#This Row],[Good_Qty]]&gt;=Table13[[#This Row],[Planned_Production]],"Met","Not Met")</f>
        <v>Not Met</v>
      </c>
      <c r="Q1335">
        <f>Table13[[#This Row],[Good_Qty]]-Table13[[#This Row],[Planned_Production]]</f>
        <v>-16</v>
      </c>
      <c r="R1335" s="3">
        <f>IF(Table13[[#This Row],[Actual_Qty]]=0,0,Table13[[#This Row],[Reject_Qty]]/Table13[[#This Row],[Actual_Qty]])</f>
        <v>1.6025641025641024E-2</v>
      </c>
      <c r="S1335">
        <v>414.6</v>
      </c>
      <c r="T1335">
        <f>(Table13[[#This Row],[Ideal_Cycle_Time_sec]]*Table13[[#This Row],[Actual_Qty]])/(Table13[[#This Row],[Operational_Time_min]]*60)</f>
        <v>0.85889049686444774</v>
      </c>
      <c r="U1335">
        <f>Table13[[#This Row],[Good_Qty]]/Table13[[#This Row],[Actual_Qty]]</f>
        <v>0.98397435897435892</v>
      </c>
      <c r="V1335" t="str">
        <f>IF(OR(Table13[[#This Row],[Performance_%]]&gt;=1,Table13[[#This Row],[Performance_%]]&lt;=0),"Error","OK")</f>
        <v>OK</v>
      </c>
      <c r="W1335" t="str">
        <f>IF(OR(Table13[[#This Row],[Quality_%]]&gt;=1,Table13[[#This Row],[Quality_%]]&lt;=0),"Error","OK")</f>
        <v>OK</v>
      </c>
      <c r="X1335">
        <f>Table13[[#This Row],[Performance_%]]*Table13[[#This Row],[Quality_%]]*[2]Availability_KPI!K1335</f>
        <v>0.77864296296296298</v>
      </c>
      <c r="Y1335" t="str">
        <f>IF(OR(Table13[[#This Row],[OEE_%]]&gt;1,Table13[[#This Row],[OEE_%]]&lt;0),"Error","OK")</f>
        <v>OK</v>
      </c>
    </row>
    <row r="1336" spans="1:25" x14ac:dyDescent="0.2">
      <c r="A1336" t="s">
        <v>1552</v>
      </c>
      <c r="B1336" t="s">
        <v>1546</v>
      </c>
      <c r="C1336" s="2">
        <v>46314</v>
      </c>
      <c r="D1336" t="s">
        <v>53</v>
      </c>
      <c r="E1336" t="s">
        <v>46</v>
      </c>
      <c r="F1336" t="s">
        <v>97</v>
      </c>
      <c r="G1336" t="s">
        <v>55</v>
      </c>
      <c r="H1336">
        <v>630</v>
      </c>
      <c r="I1336">
        <v>624</v>
      </c>
      <c r="J1336">
        <v>6</v>
      </c>
      <c r="K1336">
        <v>26.75</v>
      </c>
      <c r="L1336">
        <v>27.32</v>
      </c>
      <c r="M1336">
        <v>286.81</v>
      </c>
      <c r="N1336">
        <f>_xlfn.XLOOKUP(Table13[[#This Row],[Production_Order_ID]],[1]Sheet1!$A$2:$A$391,[1]Sheet1!$F$2:$F$391,"No Match")</f>
        <v>630</v>
      </c>
      <c r="O1336" s="3">
        <f>Table13[[#This Row],[Good_Qty]]/Table13[[#This Row],[Planned_Production]]</f>
        <v>0.99047619047619051</v>
      </c>
      <c r="P1336" t="str">
        <f>IF(Table13[[#This Row],[Good_Qty]]&gt;=Table13[[#This Row],[Planned_Production]],"Met","Not Met")</f>
        <v>Not Met</v>
      </c>
      <c r="Q1336">
        <f>Table13[[#This Row],[Good_Qty]]-Table13[[#This Row],[Planned_Production]]</f>
        <v>-6</v>
      </c>
      <c r="R1336" s="3">
        <f>IF(Table13[[#This Row],[Actual_Qty]]=0,0,Table13[[#This Row],[Reject_Qty]]/Table13[[#This Row],[Actual_Qty]])</f>
        <v>9.5238095238095247E-3</v>
      </c>
      <c r="S1336">
        <v>432.56</v>
      </c>
      <c r="T1336">
        <f>(Table13[[#This Row],[Ideal_Cycle_Time_sec]]*Table13[[#This Row],[Actual_Qty]])/(Table13[[#This Row],[Operational_Time_min]]*60)</f>
        <v>0.64933188459404478</v>
      </c>
      <c r="U1336">
        <f>Table13[[#This Row],[Good_Qty]]/Table13[[#This Row],[Actual_Qty]]</f>
        <v>0.99047619047619051</v>
      </c>
      <c r="V1336" t="str">
        <f>IF(OR(Table13[[#This Row],[Performance_%]]&gt;=1,Table13[[#This Row],[Performance_%]]&lt;=0),"Error","OK")</f>
        <v>OK</v>
      </c>
      <c r="W1336" t="str">
        <f>IF(OR(Table13[[#This Row],[Quality_%]]&gt;=1,Table13[[#This Row],[Quality_%]]&lt;=0),"Error","OK")</f>
        <v>OK</v>
      </c>
      <c r="X1336">
        <f>Table13[[#This Row],[Performance_%]]*Table13[[#This Row],[Quality_%]]*[2]Availability_KPI!K1336</f>
        <v>0.61822222222222223</v>
      </c>
      <c r="Y1336" t="str">
        <f>IF(OR(Table13[[#This Row],[OEE_%]]&gt;1,Table13[[#This Row],[OEE_%]]&lt;0),"Error","OK")</f>
        <v>OK</v>
      </c>
    </row>
    <row r="1337" spans="1:25" x14ac:dyDescent="0.2">
      <c r="A1337" t="s">
        <v>1553</v>
      </c>
      <c r="B1337" t="s">
        <v>1546</v>
      </c>
      <c r="C1337" s="2">
        <v>46314</v>
      </c>
      <c r="D1337" t="s">
        <v>53</v>
      </c>
      <c r="E1337" t="s">
        <v>49</v>
      </c>
      <c r="F1337" t="s">
        <v>97</v>
      </c>
      <c r="G1337" t="s">
        <v>50</v>
      </c>
      <c r="H1337">
        <v>638</v>
      </c>
      <c r="I1337">
        <v>632</v>
      </c>
      <c r="J1337">
        <v>6</v>
      </c>
      <c r="K1337">
        <v>21.4</v>
      </c>
      <c r="L1337">
        <v>21.81</v>
      </c>
      <c r="M1337">
        <v>231.94</v>
      </c>
      <c r="N1337">
        <f>_xlfn.XLOOKUP(Table13[[#This Row],[Production_Order_ID]],[1]Sheet1!$A$2:$A$391,[1]Sheet1!$F$2:$F$391,"No Match")</f>
        <v>630</v>
      </c>
      <c r="O1337" s="3">
        <f>Table13[[#This Row],[Good_Qty]]/Table13[[#This Row],[Planned_Production]]</f>
        <v>1.0031746031746032</v>
      </c>
      <c r="P1337" t="str">
        <f>IF(Table13[[#This Row],[Good_Qty]]&gt;=Table13[[#This Row],[Planned_Production]],"Met","Not Met")</f>
        <v>Met</v>
      </c>
      <c r="Q1337">
        <f>Table13[[#This Row],[Good_Qty]]-Table13[[#This Row],[Planned_Production]]</f>
        <v>2</v>
      </c>
      <c r="R1337" s="3">
        <f>IF(Table13[[#This Row],[Actual_Qty]]=0,0,Table13[[#This Row],[Reject_Qty]]/Table13[[#This Row],[Actual_Qty]])</f>
        <v>9.4043887147335428E-3</v>
      </c>
      <c r="S1337">
        <v>442.66</v>
      </c>
      <c r="T1337">
        <f>(Table13[[#This Row],[Ideal_Cycle_Time_sec]]*Table13[[#This Row],[Actual_Qty]])/(Table13[[#This Row],[Operational_Time_min]]*60)</f>
        <v>0.51405894667088348</v>
      </c>
      <c r="U1337">
        <f>Table13[[#This Row],[Good_Qty]]/Table13[[#This Row],[Actual_Qty]]</f>
        <v>0.99059561128526641</v>
      </c>
      <c r="V1337" t="str">
        <f>IF(OR(Table13[[#This Row],[Performance_%]]&gt;=1,Table13[[#This Row],[Performance_%]]&lt;=0),"Error","OK")</f>
        <v>OK</v>
      </c>
      <c r="W1337" t="str">
        <f>IF(OR(Table13[[#This Row],[Quality_%]]&gt;=1,Table13[[#This Row],[Quality_%]]&lt;=0),"Error","OK")</f>
        <v>OK</v>
      </c>
      <c r="X1337">
        <f>Table13[[#This Row],[Performance_%]]*Table13[[#This Row],[Quality_%]]*[2]Availability_KPI!K1337</f>
        <v>0.50091851851851832</v>
      </c>
      <c r="Y1337" t="str">
        <f>IF(OR(Table13[[#This Row],[OEE_%]]&gt;1,Table13[[#This Row],[OEE_%]]&lt;0),"Error","OK")</f>
        <v>OK</v>
      </c>
    </row>
    <row r="1338" spans="1:25" x14ac:dyDescent="0.2">
      <c r="A1338" t="s">
        <v>1554</v>
      </c>
      <c r="B1338" t="s">
        <v>1555</v>
      </c>
      <c r="C1338" s="2">
        <v>46314</v>
      </c>
      <c r="D1338" t="s">
        <v>67</v>
      </c>
      <c r="E1338" t="s">
        <v>28</v>
      </c>
      <c r="F1338" t="s">
        <v>97</v>
      </c>
      <c r="G1338" t="s">
        <v>55</v>
      </c>
      <c r="H1338">
        <v>645</v>
      </c>
      <c r="I1338">
        <v>641</v>
      </c>
      <c r="J1338">
        <v>4</v>
      </c>
      <c r="K1338">
        <v>19.260000000000002</v>
      </c>
      <c r="L1338">
        <v>19.440000000000001</v>
      </c>
      <c r="M1338">
        <v>209.02</v>
      </c>
      <c r="N1338">
        <f>_xlfn.XLOOKUP(Table13[[#This Row],[Production_Order_ID]],[1]Sheet1!$A$2:$A$391,[1]Sheet1!$F$2:$F$391,"No Match")</f>
        <v>560</v>
      </c>
      <c r="O1338" s="3">
        <f>Table13[[#This Row],[Good_Qty]]/Table13[[#This Row],[Planned_Production]]</f>
        <v>1.1446428571428571</v>
      </c>
      <c r="P1338" t="str">
        <f>IF(Table13[[#This Row],[Good_Qty]]&gt;=Table13[[#This Row],[Planned_Production]],"Met","Not Met")</f>
        <v>Met</v>
      </c>
      <c r="Q1338">
        <f>Table13[[#This Row],[Good_Qty]]-Table13[[#This Row],[Planned_Production]]</f>
        <v>81</v>
      </c>
      <c r="R1338" s="3">
        <f>IF(Table13[[#This Row],[Actual_Qty]]=0,0,Table13[[#This Row],[Reject_Qty]]/Table13[[#This Row],[Actual_Qty]])</f>
        <v>6.2015503875968991E-3</v>
      </c>
      <c r="S1338">
        <v>439.4</v>
      </c>
      <c r="T1338">
        <f>(Table13[[#This Row],[Ideal_Cycle_Time_sec]]*Table13[[#This Row],[Actual_Qty]])/(Table13[[#This Row],[Operational_Time_min]]*60)</f>
        <v>0.47119936276741015</v>
      </c>
      <c r="U1338">
        <f>Table13[[#This Row],[Good_Qty]]/Table13[[#This Row],[Actual_Qty]]</f>
        <v>0.99379844961240305</v>
      </c>
      <c r="V1338" t="str">
        <f>IF(OR(Table13[[#This Row],[Performance_%]]&gt;=1,Table13[[#This Row],[Performance_%]]&lt;=0),"Error","OK")</f>
        <v>OK</v>
      </c>
      <c r="W1338" t="str">
        <f>IF(OR(Table13[[#This Row],[Quality_%]]&gt;=1,Table13[[#This Row],[Quality_%]]&lt;=0),"Error","OK")</f>
        <v>OK</v>
      </c>
      <c r="X1338">
        <f>Table13[[#This Row],[Performance_%]]*Table13[[#This Row],[Quality_%]]*[2]Availability_KPI!K1338</f>
        <v>0.45724666666666669</v>
      </c>
      <c r="Y1338" t="str">
        <f>IF(OR(Table13[[#This Row],[OEE_%]]&gt;1,Table13[[#This Row],[OEE_%]]&lt;0),"Error","OK")</f>
        <v>OK</v>
      </c>
    </row>
    <row r="1339" spans="1:25" x14ac:dyDescent="0.2">
      <c r="A1339" t="s">
        <v>1556</v>
      </c>
      <c r="B1339" t="s">
        <v>1555</v>
      </c>
      <c r="C1339" s="2">
        <v>46314</v>
      </c>
      <c r="D1339" t="s">
        <v>67</v>
      </c>
      <c r="E1339" t="s">
        <v>32</v>
      </c>
      <c r="F1339" t="s">
        <v>97</v>
      </c>
      <c r="G1339" t="s">
        <v>47</v>
      </c>
      <c r="H1339">
        <v>660</v>
      </c>
      <c r="I1339">
        <v>656</v>
      </c>
      <c r="J1339">
        <v>4</v>
      </c>
      <c r="K1339">
        <v>21.4</v>
      </c>
      <c r="L1339">
        <v>22.79</v>
      </c>
      <c r="M1339">
        <v>250.71</v>
      </c>
      <c r="N1339">
        <f>_xlfn.XLOOKUP(Table13[[#This Row],[Production_Order_ID]],[1]Sheet1!$A$2:$A$391,[1]Sheet1!$F$2:$F$391,"No Match")</f>
        <v>560</v>
      </c>
      <c r="O1339" s="3">
        <f>Table13[[#This Row],[Good_Qty]]/Table13[[#This Row],[Planned_Production]]</f>
        <v>1.1714285714285715</v>
      </c>
      <c r="P1339" t="str">
        <f>IF(Table13[[#This Row],[Good_Qty]]&gt;=Table13[[#This Row],[Planned_Production]],"Met","Not Met")</f>
        <v>Met</v>
      </c>
      <c r="Q1339">
        <f>Table13[[#This Row],[Good_Qty]]-Table13[[#This Row],[Planned_Production]]</f>
        <v>96</v>
      </c>
      <c r="R1339" s="3">
        <f>IF(Table13[[#This Row],[Actual_Qty]]=0,0,Table13[[#This Row],[Reject_Qty]]/Table13[[#This Row],[Actual_Qty]])</f>
        <v>6.0606060606060606E-3</v>
      </c>
      <c r="S1339">
        <v>433.06</v>
      </c>
      <c r="T1339">
        <f>(Table13[[#This Row],[Ideal_Cycle_Time_sec]]*Table13[[#This Row],[Actual_Qty]])/(Table13[[#This Row],[Operational_Time_min]]*60)</f>
        <v>0.54357363875675424</v>
      </c>
      <c r="U1339">
        <f>Table13[[#This Row],[Good_Qty]]/Table13[[#This Row],[Actual_Qty]]</f>
        <v>0.9939393939393939</v>
      </c>
      <c r="V1339" t="str">
        <f>IF(OR(Table13[[#This Row],[Performance_%]]&gt;=1,Table13[[#This Row],[Performance_%]]&lt;=0),"Error","OK")</f>
        <v>OK</v>
      </c>
      <c r="W1339" t="str">
        <f>IF(OR(Table13[[#This Row],[Quality_%]]&gt;=1,Table13[[#This Row],[Quality_%]]&lt;=0),"Error","OK")</f>
        <v>OK</v>
      </c>
      <c r="X1339">
        <f>Table13[[#This Row],[Performance_%]]*Table13[[#This Row],[Quality_%]]*[2]Availability_KPI!K1339</f>
        <v>0.5199407407407407</v>
      </c>
      <c r="Y1339" t="str">
        <f>IF(OR(Table13[[#This Row],[OEE_%]]&gt;1,Table13[[#This Row],[OEE_%]]&lt;0),"Error","OK")</f>
        <v>OK</v>
      </c>
    </row>
    <row r="1340" spans="1:25" x14ac:dyDescent="0.2">
      <c r="A1340" t="s">
        <v>1557</v>
      </c>
      <c r="B1340" t="s">
        <v>1555</v>
      </c>
      <c r="C1340" s="2">
        <v>46314</v>
      </c>
      <c r="D1340" t="s">
        <v>67</v>
      </c>
      <c r="E1340" t="s">
        <v>35</v>
      </c>
      <c r="F1340" t="s">
        <v>97</v>
      </c>
      <c r="G1340" t="s">
        <v>50</v>
      </c>
      <c r="H1340">
        <v>653</v>
      </c>
      <c r="I1340">
        <v>647</v>
      </c>
      <c r="J1340">
        <v>6</v>
      </c>
      <c r="K1340">
        <v>23.54</v>
      </c>
      <c r="L1340">
        <v>24.26</v>
      </c>
      <c r="M1340">
        <v>264.06</v>
      </c>
      <c r="N1340">
        <f>_xlfn.XLOOKUP(Table13[[#This Row],[Production_Order_ID]],[1]Sheet1!$A$2:$A$391,[1]Sheet1!$F$2:$F$391,"No Match")</f>
        <v>560</v>
      </c>
      <c r="O1340" s="3">
        <f>Table13[[#This Row],[Good_Qty]]/Table13[[#This Row],[Planned_Production]]</f>
        <v>1.1553571428571427</v>
      </c>
      <c r="P1340" t="str">
        <f>IF(Table13[[#This Row],[Good_Qty]]&gt;=Table13[[#This Row],[Planned_Production]],"Met","Not Met")</f>
        <v>Met</v>
      </c>
      <c r="Q1340">
        <f>Table13[[#This Row],[Good_Qty]]-Table13[[#This Row],[Planned_Production]]</f>
        <v>87</v>
      </c>
      <c r="R1340" s="3">
        <f>IF(Table13[[#This Row],[Actual_Qty]]=0,0,Table13[[#This Row],[Reject_Qty]]/Table13[[#This Row],[Actual_Qty]])</f>
        <v>9.1883614088820835E-3</v>
      </c>
      <c r="S1340">
        <v>436.55</v>
      </c>
      <c r="T1340">
        <f>(Table13[[#This Row],[Ideal_Cycle_Time_sec]]*Table13[[#This Row],[Actual_Qty]])/(Table13[[#This Row],[Operational_Time_min]]*60)</f>
        <v>0.58685984805100599</v>
      </c>
      <c r="U1340">
        <f>Table13[[#This Row],[Good_Qty]]/Table13[[#This Row],[Actual_Qty]]</f>
        <v>0.99081163859111787</v>
      </c>
      <c r="V1340" t="str">
        <f>IF(OR(Table13[[#This Row],[Performance_%]]&gt;=1,Table13[[#This Row],[Performance_%]]&lt;=0),"Error","OK")</f>
        <v>OK</v>
      </c>
      <c r="W1340" t="str">
        <f>IF(OR(Table13[[#This Row],[Quality_%]]&gt;=1,Table13[[#This Row],[Quality_%]]&lt;=0),"Error","OK")</f>
        <v>OK</v>
      </c>
      <c r="X1340">
        <f>Table13[[#This Row],[Performance_%]]*Table13[[#This Row],[Quality_%]]*[2]Availability_KPI!K1340</f>
        <v>0.56408814814814812</v>
      </c>
      <c r="Y1340" t="str">
        <f>IF(OR(Table13[[#This Row],[OEE_%]]&gt;1,Table13[[#This Row],[OEE_%]]&lt;0),"Error","OK")</f>
        <v>OK</v>
      </c>
    </row>
    <row r="1341" spans="1:25" x14ac:dyDescent="0.2">
      <c r="A1341" t="s">
        <v>1558</v>
      </c>
      <c r="B1341" t="s">
        <v>1555</v>
      </c>
      <c r="C1341" s="2">
        <v>46314</v>
      </c>
      <c r="D1341" t="s">
        <v>67</v>
      </c>
      <c r="E1341" t="s">
        <v>38</v>
      </c>
      <c r="F1341" t="s">
        <v>97</v>
      </c>
      <c r="G1341" t="s">
        <v>36</v>
      </c>
      <c r="H1341">
        <v>637</v>
      </c>
      <c r="I1341">
        <v>633</v>
      </c>
      <c r="J1341">
        <v>4</v>
      </c>
      <c r="K1341">
        <v>21.4</v>
      </c>
      <c r="L1341">
        <v>21.52</v>
      </c>
      <c r="M1341">
        <v>228.51</v>
      </c>
      <c r="N1341">
        <f>_xlfn.XLOOKUP(Table13[[#This Row],[Production_Order_ID]],[1]Sheet1!$A$2:$A$391,[1]Sheet1!$F$2:$F$391,"No Match")</f>
        <v>560</v>
      </c>
      <c r="O1341" s="3">
        <f>Table13[[#This Row],[Good_Qty]]/Table13[[#This Row],[Planned_Production]]</f>
        <v>1.1303571428571428</v>
      </c>
      <c r="P1341" t="str">
        <f>IF(Table13[[#This Row],[Good_Qty]]&gt;=Table13[[#This Row],[Planned_Production]],"Met","Not Met")</f>
        <v>Met</v>
      </c>
      <c r="Q1341">
        <f>Table13[[#This Row],[Good_Qty]]-Table13[[#This Row],[Planned_Production]]</f>
        <v>73</v>
      </c>
      <c r="R1341" s="3">
        <f>IF(Table13[[#This Row],[Actual_Qty]]=0,0,Table13[[#This Row],[Reject_Qty]]/Table13[[#This Row],[Actual_Qty]])</f>
        <v>6.2794348508634227E-3</v>
      </c>
      <c r="S1341">
        <v>439.57</v>
      </c>
      <c r="T1341">
        <f>(Table13[[#This Row],[Ideal_Cycle_Time_sec]]*Table13[[#This Row],[Actual_Qty]])/(Table13[[#This Row],[Operational_Time_min]]*60)</f>
        <v>0.51686117493611172</v>
      </c>
      <c r="U1341">
        <f>Table13[[#This Row],[Good_Qty]]/Table13[[#This Row],[Actual_Qty]]</f>
        <v>0.99372056514913654</v>
      </c>
      <c r="V1341" t="str">
        <f>IF(OR(Table13[[#This Row],[Performance_%]]&gt;=1,Table13[[#This Row],[Performance_%]]&lt;=0),"Error","OK")</f>
        <v>OK</v>
      </c>
      <c r="W1341" t="str">
        <f>IF(OR(Table13[[#This Row],[Quality_%]]&gt;=1,Table13[[#This Row],[Quality_%]]&lt;=0),"Error","OK")</f>
        <v>OK</v>
      </c>
      <c r="X1341">
        <f>Table13[[#This Row],[Performance_%]]*Table13[[#This Row],[Quality_%]]*[2]Availability_KPI!K1341</f>
        <v>0.50171111111111111</v>
      </c>
      <c r="Y1341" t="str">
        <f>IF(OR(Table13[[#This Row],[OEE_%]]&gt;1,Table13[[#This Row],[OEE_%]]&lt;0),"Error","OK")</f>
        <v>OK</v>
      </c>
    </row>
    <row r="1342" spans="1:25" x14ac:dyDescent="0.2">
      <c r="A1342" t="s">
        <v>1559</v>
      </c>
      <c r="B1342" t="s">
        <v>1555</v>
      </c>
      <c r="C1342" s="2">
        <v>46314</v>
      </c>
      <c r="D1342" t="s">
        <v>67</v>
      </c>
      <c r="E1342" t="s">
        <v>41</v>
      </c>
      <c r="F1342" t="s">
        <v>97</v>
      </c>
      <c r="G1342" t="s">
        <v>47</v>
      </c>
      <c r="H1342">
        <v>655</v>
      </c>
      <c r="I1342">
        <v>649</v>
      </c>
      <c r="J1342">
        <v>6</v>
      </c>
      <c r="K1342">
        <v>19.260000000000002</v>
      </c>
      <c r="L1342">
        <v>20.78</v>
      </c>
      <c r="M1342">
        <v>226.86</v>
      </c>
      <c r="N1342">
        <f>_xlfn.XLOOKUP(Table13[[#This Row],[Production_Order_ID]],[1]Sheet1!$A$2:$A$391,[1]Sheet1!$F$2:$F$391,"No Match")</f>
        <v>560</v>
      </c>
      <c r="O1342" s="3">
        <f>Table13[[#This Row],[Good_Qty]]/Table13[[#This Row],[Planned_Production]]</f>
        <v>1.1589285714285715</v>
      </c>
      <c r="P1342" t="str">
        <f>IF(Table13[[#This Row],[Good_Qty]]&gt;=Table13[[#This Row],[Planned_Production]],"Met","Not Met")</f>
        <v>Met</v>
      </c>
      <c r="Q1342">
        <f>Table13[[#This Row],[Good_Qty]]-Table13[[#This Row],[Planned_Production]]</f>
        <v>89</v>
      </c>
      <c r="R1342" s="3">
        <f>IF(Table13[[#This Row],[Actual_Qty]]=0,0,Table13[[#This Row],[Reject_Qty]]/Table13[[#This Row],[Actual_Qty]])</f>
        <v>9.1603053435114507E-3</v>
      </c>
      <c r="S1342">
        <v>438.23</v>
      </c>
      <c r="T1342">
        <f>(Table13[[#This Row],[Ideal_Cycle_Time_sec]]*Table13[[#This Row],[Actual_Qty]])/(Table13[[#This Row],[Operational_Time_min]]*60)</f>
        <v>0.47978230609497297</v>
      </c>
      <c r="U1342">
        <f>Table13[[#This Row],[Good_Qty]]/Table13[[#This Row],[Actual_Qty]]</f>
        <v>0.99083969465648858</v>
      </c>
      <c r="V1342" t="str">
        <f>IF(OR(Table13[[#This Row],[Performance_%]]&gt;=1,Table13[[#This Row],[Performance_%]]&lt;=0),"Error","OK")</f>
        <v>OK</v>
      </c>
      <c r="W1342" t="str">
        <f>IF(OR(Table13[[#This Row],[Quality_%]]&gt;=1,Table13[[#This Row],[Quality_%]]&lt;=0),"Error","OK")</f>
        <v>OK</v>
      </c>
      <c r="X1342">
        <f>Table13[[#This Row],[Performance_%]]*Table13[[#This Row],[Quality_%]]*[2]Availability_KPI!K1342</f>
        <v>0.46295333333333338</v>
      </c>
      <c r="Y1342" t="str">
        <f>IF(OR(Table13[[#This Row],[OEE_%]]&gt;1,Table13[[#This Row],[OEE_%]]&lt;0),"Error","OK")</f>
        <v>OK</v>
      </c>
    </row>
    <row r="1343" spans="1:25" x14ac:dyDescent="0.2">
      <c r="A1343" t="s">
        <v>1560</v>
      </c>
      <c r="B1343" t="s">
        <v>1555</v>
      </c>
      <c r="C1343" s="2">
        <v>46314</v>
      </c>
      <c r="D1343" t="s">
        <v>67</v>
      </c>
      <c r="E1343" t="s">
        <v>43</v>
      </c>
      <c r="F1343" t="s">
        <v>97</v>
      </c>
      <c r="G1343" t="s">
        <v>33</v>
      </c>
      <c r="H1343">
        <v>639</v>
      </c>
      <c r="I1343">
        <v>629</v>
      </c>
      <c r="J1343">
        <v>10</v>
      </c>
      <c r="K1343">
        <v>34.24</v>
      </c>
      <c r="L1343">
        <v>35.64</v>
      </c>
      <c r="M1343">
        <v>379.62</v>
      </c>
      <c r="N1343">
        <f>_xlfn.XLOOKUP(Table13[[#This Row],[Production_Order_ID]],[1]Sheet1!$A$2:$A$391,[1]Sheet1!$F$2:$F$391,"No Match")</f>
        <v>560</v>
      </c>
      <c r="O1343" s="3">
        <f>Table13[[#This Row],[Good_Qty]]/Table13[[#This Row],[Planned_Production]]</f>
        <v>1.1232142857142857</v>
      </c>
      <c r="P1343" t="str">
        <f>IF(Table13[[#This Row],[Good_Qty]]&gt;=Table13[[#This Row],[Planned_Production]],"Met","Not Met")</f>
        <v>Met</v>
      </c>
      <c r="Q1343">
        <f>Table13[[#This Row],[Good_Qty]]-Table13[[#This Row],[Planned_Production]]</f>
        <v>69</v>
      </c>
      <c r="R1343" s="3">
        <f>IF(Table13[[#This Row],[Actual_Qty]]=0,0,Table13[[#This Row],[Reject_Qty]]/Table13[[#This Row],[Actual_Qty]])</f>
        <v>1.5649452269170579E-2</v>
      </c>
      <c r="S1343">
        <v>418.34</v>
      </c>
      <c r="T1343">
        <f>(Table13[[#This Row],[Ideal_Cycle_Time_sec]]*Table13[[#This Row],[Actual_Qty]])/(Table13[[#This Row],[Operational_Time_min]]*60)</f>
        <v>0.87167375818712067</v>
      </c>
      <c r="U1343">
        <f>Table13[[#This Row],[Good_Qty]]/Table13[[#This Row],[Actual_Qty]]</f>
        <v>0.98435054773082942</v>
      </c>
      <c r="V1343" t="str">
        <f>IF(OR(Table13[[#This Row],[Performance_%]]&gt;=1,Table13[[#This Row],[Performance_%]]&lt;=0),"Error","OK")</f>
        <v>OK</v>
      </c>
      <c r="W1343" t="str">
        <f>IF(OR(Table13[[#This Row],[Quality_%]]&gt;=1,Table13[[#This Row],[Quality_%]]&lt;=0),"Error","OK")</f>
        <v>OK</v>
      </c>
      <c r="X1343">
        <f>Table13[[#This Row],[Performance_%]]*Table13[[#This Row],[Quality_%]]*[2]Availability_KPI!K1343</f>
        <v>0.79766518518518525</v>
      </c>
      <c r="Y1343" t="str">
        <f>IF(OR(Table13[[#This Row],[OEE_%]]&gt;1,Table13[[#This Row],[OEE_%]]&lt;0),"Error","OK")</f>
        <v>OK</v>
      </c>
    </row>
    <row r="1344" spans="1:25" x14ac:dyDescent="0.2">
      <c r="A1344" t="s">
        <v>1561</v>
      </c>
      <c r="B1344" t="s">
        <v>1555</v>
      </c>
      <c r="C1344" s="2">
        <v>46314</v>
      </c>
      <c r="D1344" t="s">
        <v>67</v>
      </c>
      <c r="E1344" t="s">
        <v>46</v>
      </c>
      <c r="F1344" t="s">
        <v>97</v>
      </c>
      <c r="G1344" t="s">
        <v>71</v>
      </c>
      <c r="H1344">
        <v>661</v>
      </c>
      <c r="I1344">
        <v>655</v>
      </c>
      <c r="J1344">
        <v>6</v>
      </c>
      <c r="K1344">
        <v>26.75</v>
      </c>
      <c r="L1344">
        <v>27.52</v>
      </c>
      <c r="M1344">
        <v>303.20999999999998</v>
      </c>
      <c r="N1344">
        <f>_xlfn.XLOOKUP(Table13[[#This Row],[Production_Order_ID]],[1]Sheet1!$A$2:$A$391,[1]Sheet1!$F$2:$F$391,"No Match")</f>
        <v>560</v>
      </c>
      <c r="O1344" s="3">
        <f>Table13[[#This Row],[Good_Qty]]/Table13[[#This Row],[Planned_Production]]</f>
        <v>1.1696428571428572</v>
      </c>
      <c r="P1344" t="str">
        <f>IF(Table13[[#This Row],[Good_Qty]]&gt;=Table13[[#This Row],[Planned_Production]],"Met","Not Met")</f>
        <v>Met</v>
      </c>
      <c r="Q1344">
        <f>Table13[[#This Row],[Good_Qty]]-Table13[[#This Row],[Planned_Production]]</f>
        <v>95</v>
      </c>
      <c r="R1344" s="3">
        <f>IF(Table13[[#This Row],[Actual_Qty]]=0,0,Table13[[#This Row],[Reject_Qty]]/Table13[[#This Row],[Actual_Qty]])</f>
        <v>9.0771558245083209E-3</v>
      </c>
      <c r="S1344">
        <v>425.39</v>
      </c>
      <c r="T1344">
        <f>(Table13[[#This Row],[Ideal_Cycle_Time_sec]]*Table13[[#This Row],[Actual_Qty]])/(Table13[[#This Row],[Operational_Time_min]]*60)</f>
        <v>0.69276624587633318</v>
      </c>
      <c r="U1344">
        <f>Table13[[#This Row],[Good_Qty]]/Table13[[#This Row],[Actual_Qty]]</f>
        <v>0.9909228441754917</v>
      </c>
      <c r="V1344" t="str">
        <f>IF(OR(Table13[[#This Row],[Performance_%]]&gt;=1,Table13[[#This Row],[Performance_%]]&lt;=0),"Error","OK")</f>
        <v>OK</v>
      </c>
      <c r="W1344" t="str">
        <f>IF(OR(Table13[[#This Row],[Quality_%]]&gt;=1,Table13[[#This Row],[Quality_%]]&lt;=0),"Error","OK")</f>
        <v>OK</v>
      </c>
      <c r="X1344">
        <f>Table13[[#This Row],[Performance_%]]*Table13[[#This Row],[Quality_%]]*[2]Availability_KPI!K1344</f>
        <v>0.64893518518518523</v>
      </c>
      <c r="Y1344" t="str">
        <f>IF(OR(Table13[[#This Row],[OEE_%]]&gt;1,Table13[[#This Row],[OEE_%]]&lt;0),"Error","OK")</f>
        <v>OK</v>
      </c>
    </row>
    <row r="1345" spans="1:25" x14ac:dyDescent="0.2">
      <c r="A1345" t="s">
        <v>1562</v>
      </c>
      <c r="B1345" t="s">
        <v>1555</v>
      </c>
      <c r="C1345" s="2">
        <v>46314</v>
      </c>
      <c r="D1345" t="s">
        <v>67</v>
      </c>
      <c r="E1345" t="s">
        <v>49</v>
      </c>
      <c r="F1345" t="s">
        <v>97</v>
      </c>
      <c r="G1345" t="s">
        <v>57</v>
      </c>
      <c r="H1345">
        <v>656</v>
      </c>
      <c r="I1345">
        <v>654</v>
      </c>
      <c r="J1345">
        <v>2</v>
      </c>
      <c r="K1345">
        <v>21.4</v>
      </c>
      <c r="L1345">
        <v>21.46</v>
      </c>
      <c r="M1345">
        <v>234.6</v>
      </c>
      <c r="N1345">
        <f>_xlfn.XLOOKUP(Table13[[#This Row],[Production_Order_ID]],[1]Sheet1!$A$2:$A$391,[1]Sheet1!$F$2:$F$391,"No Match")</f>
        <v>560</v>
      </c>
      <c r="O1345" s="3">
        <f>Table13[[#This Row],[Good_Qty]]/Table13[[#This Row],[Planned_Production]]</f>
        <v>1.1678571428571429</v>
      </c>
      <c r="P1345" t="str">
        <f>IF(Table13[[#This Row],[Good_Qty]]&gt;=Table13[[#This Row],[Planned_Production]],"Met","Not Met")</f>
        <v>Met</v>
      </c>
      <c r="Q1345">
        <f>Table13[[#This Row],[Good_Qty]]-Table13[[#This Row],[Planned_Production]]</f>
        <v>94</v>
      </c>
      <c r="R1345" s="3">
        <f>IF(Table13[[#This Row],[Actual_Qty]]=0,0,Table13[[#This Row],[Reject_Qty]]/Table13[[#This Row],[Actual_Qty]])</f>
        <v>3.0487804878048782E-3</v>
      </c>
      <c r="S1345">
        <v>442.87</v>
      </c>
      <c r="T1345">
        <f>(Table13[[#This Row],[Ideal_Cycle_Time_sec]]*Table13[[#This Row],[Actual_Qty]])/(Table13[[#This Row],[Operational_Time_min]]*60)</f>
        <v>0.52831154364335653</v>
      </c>
      <c r="U1345">
        <f>Table13[[#This Row],[Good_Qty]]/Table13[[#This Row],[Actual_Qty]]</f>
        <v>0.99695121951219512</v>
      </c>
      <c r="V1345" t="str">
        <f>IF(OR(Table13[[#This Row],[Performance_%]]&gt;=1,Table13[[#This Row],[Performance_%]]&lt;=0),"Error","OK")</f>
        <v>OK</v>
      </c>
      <c r="W1345" t="str">
        <f>IF(OR(Table13[[#This Row],[Quality_%]]&gt;=1,Table13[[#This Row],[Quality_%]]&lt;=0),"Error","OK")</f>
        <v>OK</v>
      </c>
      <c r="X1345">
        <f>Table13[[#This Row],[Performance_%]]*Table13[[#This Row],[Quality_%]]*[2]Availability_KPI!K1345</f>
        <v>0.51835555555555546</v>
      </c>
      <c r="Y1345" t="str">
        <f>IF(OR(Table13[[#This Row],[OEE_%]]&gt;1,Table13[[#This Row],[OEE_%]]&lt;0),"Error","OK")</f>
        <v>OK</v>
      </c>
    </row>
    <row r="1346" spans="1:25" x14ac:dyDescent="0.2">
      <c r="A1346" t="s">
        <v>1563</v>
      </c>
      <c r="B1346" t="s">
        <v>1564</v>
      </c>
      <c r="C1346" s="2">
        <v>46315</v>
      </c>
      <c r="D1346" t="s">
        <v>27</v>
      </c>
      <c r="E1346" t="s">
        <v>28</v>
      </c>
      <c r="F1346" t="s">
        <v>54</v>
      </c>
      <c r="G1346" t="s">
        <v>47</v>
      </c>
      <c r="H1346">
        <v>722</v>
      </c>
      <c r="I1346">
        <v>721</v>
      </c>
      <c r="J1346">
        <v>1</v>
      </c>
      <c r="K1346">
        <v>18</v>
      </c>
      <c r="L1346">
        <v>18.72</v>
      </c>
      <c r="M1346">
        <v>225.24</v>
      </c>
      <c r="N1346">
        <f>_xlfn.XLOOKUP(Table13[[#This Row],[Production_Order_ID]],[1]Sheet1!$A$2:$A$391,[1]Sheet1!$F$2:$F$391,"No Match")</f>
        <v>420</v>
      </c>
      <c r="O1346" s="3">
        <f>Table13[[#This Row],[Good_Qty]]/Table13[[#This Row],[Planned_Production]]</f>
        <v>1.7166666666666666</v>
      </c>
      <c r="P1346" t="str">
        <f>IF(Table13[[#This Row],[Good_Qty]]&gt;=Table13[[#This Row],[Planned_Production]],"Met","Not Met")</f>
        <v>Met</v>
      </c>
      <c r="Q1346">
        <f>Table13[[#This Row],[Good_Qty]]-Table13[[#This Row],[Planned_Production]]</f>
        <v>301</v>
      </c>
      <c r="R1346" s="3">
        <f>IF(Table13[[#This Row],[Actual_Qty]]=0,0,Table13[[#This Row],[Reject_Qty]]/Table13[[#This Row],[Actual_Qty]])</f>
        <v>1.3850415512465374E-3</v>
      </c>
      <c r="S1346">
        <v>440.38</v>
      </c>
      <c r="T1346">
        <f>(Table13[[#This Row],[Ideal_Cycle_Time_sec]]*Table13[[#This Row],[Actual_Qty]])/(Table13[[#This Row],[Operational_Time_min]]*60)</f>
        <v>0.49184794949816069</v>
      </c>
      <c r="U1346">
        <f>Table13[[#This Row],[Good_Qty]]/Table13[[#This Row],[Actual_Qty]]</f>
        <v>0.99861495844875348</v>
      </c>
      <c r="V1346" t="str">
        <f>IF(OR(Table13[[#This Row],[Performance_%]]&gt;=1,Table13[[#This Row],[Performance_%]]&lt;=0),"Error","OK")</f>
        <v>OK</v>
      </c>
      <c r="W1346" t="str">
        <f>IF(OR(Table13[[#This Row],[Quality_%]]&gt;=1,Table13[[#This Row],[Quality_%]]&lt;=0),"Error","OK")</f>
        <v>OK</v>
      </c>
      <c r="X1346">
        <f>Table13[[#This Row],[Performance_%]]*Table13[[#This Row],[Quality_%]]*[2]Availability_KPI!K1346</f>
        <v>0.48066666666666669</v>
      </c>
      <c r="Y1346" t="str">
        <f>IF(OR(Table13[[#This Row],[OEE_%]]&gt;1,Table13[[#This Row],[OEE_%]]&lt;0),"Error","OK")</f>
        <v>OK</v>
      </c>
    </row>
    <row r="1347" spans="1:25" x14ac:dyDescent="0.2">
      <c r="A1347" t="s">
        <v>1565</v>
      </c>
      <c r="B1347" t="s">
        <v>1564</v>
      </c>
      <c r="C1347" s="2">
        <v>46315</v>
      </c>
      <c r="D1347" t="s">
        <v>27</v>
      </c>
      <c r="E1347" t="s">
        <v>32</v>
      </c>
      <c r="F1347" t="s">
        <v>54</v>
      </c>
      <c r="G1347" t="s">
        <v>36</v>
      </c>
      <c r="H1347">
        <v>715</v>
      </c>
      <c r="I1347">
        <v>712</v>
      </c>
      <c r="J1347">
        <v>3</v>
      </c>
      <c r="K1347">
        <v>20</v>
      </c>
      <c r="L1347">
        <v>21.82</v>
      </c>
      <c r="M1347">
        <v>260.07</v>
      </c>
      <c r="N1347">
        <f>_xlfn.XLOOKUP(Table13[[#This Row],[Production_Order_ID]],[1]Sheet1!$A$2:$A$391,[1]Sheet1!$F$2:$F$391,"No Match")</f>
        <v>420</v>
      </c>
      <c r="O1347" s="3">
        <f>Table13[[#This Row],[Good_Qty]]/Table13[[#This Row],[Planned_Production]]</f>
        <v>1.6952380952380952</v>
      </c>
      <c r="P1347" t="str">
        <f>IF(Table13[[#This Row],[Good_Qty]]&gt;=Table13[[#This Row],[Planned_Production]],"Met","Not Met")</f>
        <v>Met</v>
      </c>
      <c r="Q1347">
        <f>Table13[[#This Row],[Good_Qty]]-Table13[[#This Row],[Planned_Production]]</f>
        <v>292</v>
      </c>
      <c r="R1347" s="3">
        <f>IF(Table13[[#This Row],[Actual_Qty]]=0,0,Table13[[#This Row],[Reject_Qty]]/Table13[[#This Row],[Actual_Qty]])</f>
        <v>4.1958041958041958E-3</v>
      </c>
      <c r="S1347">
        <v>434.4</v>
      </c>
      <c r="T1347">
        <f>(Table13[[#This Row],[Ideal_Cycle_Time_sec]]*Table13[[#This Row],[Actual_Qty]])/(Table13[[#This Row],[Operational_Time_min]]*60)</f>
        <v>0.54864947820748922</v>
      </c>
      <c r="U1347">
        <f>Table13[[#This Row],[Good_Qty]]/Table13[[#This Row],[Actual_Qty]]</f>
        <v>0.99580419580419577</v>
      </c>
      <c r="V1347" t="str">
        <f>IF(OR(Table13[[#This Row],[Performance_%]]&gt;=1,Table13[[#This Row],[Performance_%]]&lt;=0),"Error","OK")</f>
        <v>OK</v>
      </c>
      <c r="W1347" t="str">
        <f>IF(OR(Table13[[#This Row],[Quality_%]]&gt;=1,Table13[[#This Row],[Quality_%]]&lt;=0),"Error","OK")</f>
        <v>OK</v>
      </c>
      <c r="X1347">
        <f>Table13[[#This Row],[Performance_%]]*Table13[[#This Row],[Quality_%]]*[2]Availability_KPI!K1347</f>
        <v>0.52740740740740732</v>
      </c>
      <c r="Y1347" t="str">
        <f>IF(OR(Table13[[#This Row],[OEE_%]]&gt;1,Table13[[#This Row],[OEE_%]]&lt;0),"Error","OK")</f>
        <v>OK</v>
      </c>
    </row>
    <row r="1348" spans="1:25" x14ac:dyDescent="0.2">
      <c r="A1348" t="s">
        <v>1566</v>
      </c>
      <c r="B1348" t="s">
        <v>1564</v>
      </c>
      <c r="C1348" s="2">
        <v>46315</v>
      </c>
      <c r="D1348" t="s">
        <v>27</v>
      </c>
      <c r="E1348" t="s">
        <v>35</v>
      </c>
      <c r="F1348" t="s">
        <v>54</v>
      </c>
      <c r="G1348" t="s">
        <v>44</v>
      </c>
      <c r="H1348">
        <v>713</v>
      </c>
      <c r="I1348">
        <v>706</v>
      </c>
      <c r="J1348">
        <v>7</v>
      </c>
      <c r="K1348">
        <v>22</v>
      </c>
      <c r="L1348">
        <v>24.43</v>
      </c>
      <c r="M1348">
        <v>290.35000000000002</v>
      </c>
      <c r="N1348">
        <f>_xlfn.XLOOKUP(Table13[[#This Row],[Production_Order_ID]],[1]Sheet1!$A$2:$A$391,[1]Sheet1!$F$2:$F$391,"No Match")</f>
        <v>420</v>
      </c>
      <c r="O1348" s="3">
        <f>Table13[[#This Row],[Good_Qty]]/Table13[[#This Row],[Planned_Production]]</f>
        <v>1.680952380952381</v>
      </c>
      <c r="P1348" t="str">
        <f>IF(Table13[[#This Row],[Good_Qty]]&gt;=Table13[[#This Row],[Planned_Production]],"Met","Not Met")</f>
        <v>Met</v>
      </c>
      <c r="Q1348">
        <f>Table13[[#This Row],[Good_Qty]]-Table13[[#This Row],[Planned_Production]]</f>
        <v>286</v>
      </c>
      <c r="R1348" s="3">
        <f>IF(Table13[[#This Row],[Actual_Qty]]=0,0,Table13[[#This Row],[Reject_Qty]]/Table13[[#This Row],[Actual_Qty]])</f>
        <v>9.8176718092566617E-3</v>
      </c>
      <c r="S1348">
        <v>433.53</v>
      </c>
      <c r="T1348">
        <f>(Table13[[#This Row],[Ideal_Cycle_Time_sec]]*Table13[[#This Row],[Actual_Qty]])/(Table13[[#This Row],[Operational_Time_min]]*60)</f>
        <v>0.60303400764268522</v>
      </c>
      <c r="U1348">
        <f>Table13[[#This Row],[Good_Qty]]/Table13[[#This Row],[Actual_Qty]]</f>
        <v>0.99018232819074337</v>
      </c>
      <c r="V1348" t="str">
        <f>IF(OR(Table13[[#This Row],[Performance_%]]&gt;=1,Table13[[#This Row],[Performance_%]]&lt;=0),"Error","OK")</f>
        <v>OK</v>
      </c>
      <c r="W1348" t="str">
        <f>IF(OR(Table13[[#This Row],[Quality_%]]&gt;=1,Table13[[#This Row],[Quality_%]]&lt;=0),"Error","OK")</f>
        <v>OK</v>
      </c>
      <c r="X1348">
        <f>Table13[[#This Row],[Performance_%]]*Table13[[#This Row],[Quality_%]]*[2]Availability_KPI!K1348</f>
        <v>0.57525925925925925</v>
      </c>
      <c r="Y1348" t="str">
        <f>IF(OR(Table13[[#This Row],[OEE_%]]&gt;1,Table13[[#This Row],[OEE_%]]&lt;0),"Error","OK")</f>
        <v>OK</v>
      </c>
    </row>
    <row r="1349" spans="1:25" x14ac:dyDescent="0.2">
      <c r="A1349" t="s">
        <v>1567</v>
      </c>
      <c r="B1349" t="s">
        <v>1564</v>
      </c>
      <c r="C1349" s="2">
        <v>46315</v>
      </c>
      <c r="D1349" t="s">
        <v>27</v>
      </c>
      <c r="E1349" t="s">
        <v>38</v>
      </c>
      <c r="F1349" t="s">
        <v>54</v>
      </c>
      <c r="G1349" t="s">
        <v>57</v>
      </c>
      <c r="H1349">
        <v>729</v>
      </c>
      <c r="I1349">
        <v>726</v>
      </c>
      <c r="J1349">
        <v>3</v>
      </c>
      <c r="K1349">
        <v>20</v>
      </c>
      <c r="L1349">
        <v>21.29</v>
      </c>
      <c r="M1349">
        <v>258.72000000000003</v>
      </c>
      <c r="N1349">
        <f>_xlfn.XLOOKUP(Table13[[#This Row],[Production_Order_ID]],[1]Sheet1!$A$2:$A$391,[1]Sheet1!$F$2:$F$391,"No Match")</f>
        <v>420</v>
      </c>
      <c r="O1349" s="3">
        <f>Table13[[#This Row],[Good_Qty]]/Table13[[#This Row],[Planned_Production]]</f>
        <v>1.7285714285714286</v>
      </c>
      <c r="P1349" t="str">
        <f>IF(Table13[[#This Row],[Good_Qty]]&gt;=Table13[[#This Row],[Planned_Production]],"Met","Not Met")</f>
        <v>Met</v>
      </c>
      <c r="Q1349">
        <f>Table13[[#This Row],[Good_Qty]]-Table13[[#This Row],[Planned_Production]]</f>
        <v>306</v>
      </c>
      <c r="R1349" s="3">
        <f>IF(Table13[[#This Row],[Actual_Qty]]=0,0,Table13[[#This Row],[Reject_Qty]]/Table13[[#This Row],[Actual_Qty]])</f>
        <v>4.11522633744856E-3</v>
      </c>
      <c r="S1349">
        <v>434.16</v>
      </c>
      <c r="T1349">
        <f>(Table13[[#This Row],[Ideal_Cycle_Time_sec]]*Table13[[#This Row],[Actual_Qty]])/(Table13[[#This Row],[Operational_Time_min]]*60)</f>
        <v>0.55970149253731338</v>
      </c>
      <c r="U1349">
        <f>Table13[[#This Row],[Good_Qty]]/Table13[[#This Row],[Actual_Qty]]</f>
        <v>0.99588477366255146</v>
      </c>
      <c r="V1349" t="str">
        <f>IF(OR(Table13[[#This Row],[Performance_%]]&gt;=1,Table13[[#This Row],[Performance_%]]&lt;=0),"Error","OK")</f>
        <v>OK</v>
      </c>
      <c r="W1349" t="str">
        <f>IF(OR(Table13[[#This Row],[Quality_%]]&gt;=1,Table13[[#This Row],[Quality_%]]&lt;=0),"Error","OK")</f>
        <v>OK</v>
      </c>
      <c r="X1349">
        <f>Table13[[#This Row],[Performance_%]]*Table13[[#This Row],[Quality_%]]*[2]Availability_KPI!K1349</f>
        <v>0.5377777777777778</v>
      </c>
      <c r="Y1349" t="str">
        <f>IF(OR(Table13[[#This Row],[OEE_%]]&gt;1,Table13[[#This Row],[OEE_%]]&lt;0),"Error","OK")</f>
        <v>OK</v>
      </c>
    </row>
    <row r="1350" spans="1:25" x14ac:dyDescent="0.2">
      <c r="A1350" t="s">
        <v>1568</v>
      </c>
      <c r="B1350" t="s">
        <v>1564</v>
      </c>
      <c r="C1350" s="2">
        <v>46315</v>
      </c>
      <c r="D1350" t="s">
        <v>27</v>
      </c>
      <c r="E1350" t="s">
        <v>41</v>
      </c>
      <c r="F1350" t="s">
        <v>54</v>
      </c>
      <c r="G1350" t="s">
        <v>57</v>
      </c>
      <c r="H1350">
        <v>727</v>
      </c>
      <c r="I1350">
        <v>722</v>
      </c>
      <c r="J1350">
        <v>5</v>
      </c>
      <c r="K1350">
        <v>18</v>
      </c>
      <c r="L1350">
        <v>18.59</v>
      </c>
      <c r="M1350">
        <v>225.24</v>
      </c>
      <c r="N1350">
        <f>_xlfn.XLOOKUP(Table13[[#This Row],[Production_Order_ID]],[1]Sheet1!$A$2:$A$391,[1]Sheet1!$F$2:$F$391,"No Match")</f>
        <v>420</v>
      </c>
      <c r="O1350" s="3">
        <f>Table13[[#This Row],[Good_Qty]]/Table13[[#This Row],[Planned_Production]]</f>
        <v>1.7190476190476192</v>
      </c>
      <c r="P1350" t="str">
        <f>IF(Table13[[#This Row],[Good_Qty]]&gt;=Table13[[#This Row],[Planned_Production]],"Met","Not Met")</f>
        <v>Met</v>
      </c>
      <c r="Q1350">
        <f>Table13[[#This Row],[Good_Qty]]-Table13[[#This Row],[Planned_Production]]</f>
        <v>302</v>
      </c>
      <c r="R1350" s="3">
        <f>IF(Table13[[#This Row],[Actual_Qty]]=0,0,Table13[[#This Row],[Reject_Qty]]/Table13[[#This Row],[Actual_Qty]])</f>
        <v>6.8775790921595595E-3</v>
      </c>
      <c r="S1350">
        <v>438.45</v>
      </c>
      <c r="T1350">
        <f>(Table13[[#This Row],[Ideal_Cycle_Time_sec]]*Table13[[#This Row],[Actual_Qty]])/(Table13[[#This Row],[Operational_Time_min]]*60)</f>
        <v>0.49743414300376326</v>
      </c>
      <c r="U1350">
        <f>Table13[[#This Row],[Good_Qty]]/Table13[[#This Row],[Actual_Qty]]</f>
        <v>0.99312242090784042</v>
      </c>
      <c r="V1350" t="str">
        <f>IF(OR(Table13[[#This Row],[Performance_%]]&gt;=1,Table13[[#This Row],[Performance_%]]&lt;=0),"Error","OK")</f>
        <v>OK</v>
      </c>
      <c r="W1350" t="str">
        <f>IF(OR(Table13[[#This Row],[Quality_%]]&gt;=1,Table13[[#This Row],[Quality_%]]&lt;=0),"Error","OK")</f>
        <v>OK</v>
      </c>
      <c r="X1350">
        <f>Table13[[#This Row],[Performance_%]]*Table13[[#This Row],[Quality_%]]*[2]Availability_KPI!K1350</f>
        <v>0.48133333333333328</v>
      </c>
      <c r="Y1350" t="str">
        <f>IF(OR(Table13[[#This Row],[OEE_%]]&gt;1,Table13[[#This Row],[OEE_%]]&lt;0),"Error","OK")</f>
        <v>OK</v>
      </c>
    </row>
    <row r="1351" spans="1:25" x14ac:dyDescent="0.2">
      <c r="A1351" t="s">
        <v>1569</v>
      </c>
      <c r="B1351" t="s">
        <v>1564</v>
      </c>
      <c r="C1351" s="2">
        <v>46315</v>
      </c>
      <c r="D1351" t="s">
        <v>27</v>
      </c>
      <c r="E1351" t="s">
        <v>43</v>
      </c>
      <c r="F1351" t="s">
        <v>54</v>
      </c>
      <c r="G1351" t="s">
        <v>47</v>
      </c>
      <c r="H1351">
        <v>725</v>
      </c>
      <c r="I1351">
        <v>717</v>
      </c>
      <c r="J1351">
        <v>8</v>
      </c>
      <c r="K1351">
        <v>32</v>
      </c>
      <c r="L1351">
        <v>35.19</v>
      </c>
      <c r="M1351">
        <v>425.21</v>
      </c>
      <c r="N1351">
        <f>_xlfn.XLOOKUP(Table13[[#This Row],[Production_Order_ID]],[1]Sheet1!$A$2:$A$391,[1]Sheet1!$F$2:$F$391,"No Match")</f>
        <v>420</v>
      </c>
      <c r="O1351" s="3">
        <f>Table13[[#This Row],[Good_Qty]]/Table13[[#This Row],[Planned_Production]]</f>
        <v>1.7071428571428571</v>
      </c>
      <c r="P1351" t="str">
        <f>IF(Table13[[#This Row],[Good_Qty]]&gt;=Table13[[#This Row],[Planned_Production]],"Met","Not Met")</f>
        <v>Met</v>
      </c>
      <c r="Q1351">
        <f>Table13[[#This Row],[Good_Qty]]-Table13[[#This Row],[Planned_Production]]</f>
        <v>297</v>
      </c>
      <c r="R1351" s="3">
        <f>IF(Table13[[#This Row],[Actual_Qty]]=0,0,Table13[[#This Row],[Reject_Qty]]/Table13[[#This Row],[Actual_Qty]])</f>
        <v>1.1034482758620689E-2</v>
      </c>
      <c r="S1351">
        <v>405.21</v>
      </c>
      <c r="T1351">
        <f>(Table13[[#This Row],[Ideal_Cycle_Time_sec]]*Table13[[#This Row],[Actual_Qty]])/(Table13[[#This Row],[Operational_Time_min]]*60)</f>
        <v>0.9542377203589909</v>
      </c>
      <c r="U1351">
        <f>Table13[[#This Row],[Good_Qty]]/Table13[[#This Row],[Actual_Qty]]</f>
        <v>0.98896551724137927</v>
      </c>
      <c r="V1351" t="str">
        <f>IF(OR(Table13[[#This Row],[Performance_%]]&gt;=1,Table13[[#This Row],[Performance_%]]&lt;=0),"Error","OK")</f>
        <v>OK</v>
      </c>
      <c r="W1351" t="str">
        <f>IF(OR(Table13[[#This Row],[Quality_%]]&gt;=1,Table13[[#This Row],[Quality_%]]&lt;=0),"Error","OK")</f>
        <v>OK</v>
      </c>
      <c r="X1351">
        <f>Table13[[#This Row],[Performance_%]]*Table13[[#This Row],[Quality_%]]*[2]Availability_KPI!K1351</f>
        <v>0.84977777777777785</v>
      </c>
      <c r="Y1351" t="str">
        <f>IF(OR(Table13[[#This Row],[OEE_%]]&gt;1,Table13[[#This Row],[OEE_%]]&lt;0),"Error","OK")</f>
        <v>OK</v>
      </c>
    </row>
    <row r="1352" spans="1:25" x14ac:dyDescent="0.2">
      <c r="A1352" t="s">
        <v>1570</v>
      </c>
      <c r="B1352" t="s">
        <v>1564</v>
      </c>
      <c r="C1352" s="2">
        <v>46315</v>
      </c>
      <c r="D1352" t="s">
        <v>27</v>
      </c>
      <c r="E1352" t="s">
        <v>46</v>
      </c>
      <c r="F1352" t="s">
        <v>54</v>
      </c>
      <c r="G1352" t="s">
        <v>75</v>
      </c>
      <c r="H1352">
        <v>706</v>
      </c>
      <c r="I1352">
        <v>699</v>
      </c>
      <c r="J1352">
        <v>7</v>
      </c>
      <c r="K1352">
        <v>25</v>
      </c>
      <c r="L1352">
        <v>26.47</v>
      </c>
      <c r="M1352">
        <v>311.45999999999998</v>
      </c>
      <c r="N1352">
        <f>_xlfn.XLOOKUP(Table13[[#This Row],[Production_Order_ID]],[1]Sheet1!$A$2:$A$391,[1]Sheet1!$F$2:$F$391,"No Match")</f>
        <v>420</v>
      </c>
      <c r="O1352" s="3">
        <f>Table13[[#This Row],[Good_Qty]]/Table13[[#This Row],[Planned_Production]]</f>
        <v>1.6642857142857144</v>
      </c>
      <c r="P1352" t="str">
        <f>IF(Table13[[#This Row],[Good_Qty]]&gt;=Table13[[#This Row],[Planned_Production]],"Met","Not Met")</f>
        <v>Met</v>
      </c>
      <c r="Q1352">
        <f>Table13[[#This Row],[Good_Qty]]-Table13[[#This Row],[Planned_Production]]</f>
        <v>279</v>
      </c>
      <c r="R1352" s="3">
        <f>IF(Table13[[#This Row],[Actual_Qty]]=0,0,Table13[[#This Row],[Reject_Qty]]/Table13[[#This Row],[Actual_Qty]])</f>
        <v>9.9150141643059488E-3</v>
      </c>
      <c r="S1352">
        <v>427.54</v>
      </c>
      <c r="T1352">
        <f>(Table13[[#This Row],[Ideal_Cycle_Time_sec]]*Table13[[#This Row],[Actual_Qty]])/(Table13[[#This Row],[Operational_Time_min]]*60)</f>
        <v>0.6880447833341129</v>
      </c>
      <c r="U1352">
        <f>Table13[[#This Row],[Good_Qty]]/Table13[[#This Row],[Actual_Qty]]</f>
        <v>0.99008498583569404</v>
      </c>
      <c r="V1352" t="str">
        <f>IF(OR(Table13[[#This Row],[Performance_%]]&gt;=1,Table13[[#This Row],[Performance_%]]&lt;=0),"Error","OK")</f>
        <v>OK</v>
      </c>
      <c r="W1352" t="str">
        <f>IF(OR(Table13[[#This Row],[Quality_%]]&gt;=1,Table13[[#This Row],[Quality_%]]&lt;=0),"Error","OK")</f>
        <v>OK</v>
      </c>
      <c r="X1352">
        <f>Table13[[#This Row],[Performance_%]]*Table13[[#This Row],[Quality_%]]*[2]Availability_KPI!K1352</f>
        <v>0.64722222222222225</v>
      </c>
      <c r="Y1352" t="str">
        <f>IF(OR(Table13[[#This Row],[OEE_%]]&gt;1,Table13[[#This Row],[OEE_%]]&lt;0),"Error","OK")</f>
        <v>OK</v>
      </c>
    </row>
    <row r="1353" spans="1:25" x14ac:dyDescent="0.2">
      <c r="A1353" t="s">
        <v>1571</v>
      </c>
      <c r="B1353" t="s">
        <v>1564</v>
      </c>
      <c r="C1353" s="2">
        <v>46315</v>
      </c>
      <c r="D1353" t="s">
        <v>27</v>
      </c>
      <c r="E1353" t="s">
        <v>49</v>
      </c>
      <c r="F1353" t="s">
        <v>54</v>
      </c>
      <c r="G1353" t="s">
        <v>50</v>
      </c>
      <c r="H1353">
        <v>736</v>
      </c>
      <c r="I1353">
        <v>731</v>
      </c>
      <c r="J1353">
        <v>5</v>
      </c>
      <c r="K1353">
        <v>20</v>
      </c>
      <c r="L1353">
        <v>21.53</v>
      </c>
      <c r="M1353">
        <v>264.11</v>
      </c>
      <c r="N1353">
        <f>_xlfn.XLOOKUP(Table13[[#This Row],[Production_Order_ID]],[1]Sheet1!$A$2:$A$391,[1]Sheet1!$F$2:$F$391,"No Match")</f>
        <v>420</v>
      </c>
      <c r="O1353" s="3">
        <f>Table13[[#This Row],[Good_Qty]]/Table13[[#This Row],[Planned_Production]]</f>
        <v>1.7404761904761905</v>
      </c>
      <c r="P1353" t="str">
        <f>IF(Table13[[#This Row],[Good_Qty]]&gt;=Table13[[#This Row],[Planned_Production]],"Met","Not Met")</f>
        <v>Met</v>
      </c>
      <c r="Q1353">
        <f>Table13[[#This Row],[Good_Qty]]-Table13[[#This Row],[Planned_Production]]</f>
        <v>311</v>
      </c>
      <c r="R1353" s="3">
        <f>IF(Table13[[#This Row],[Actual_Qty]]=0,0,Table13[[#This Row],[Reject_Qty]]/Table13[[#This Row],[Actual_Qty]])</f>
        <v>6.793478260869565E-3</v>
      </c>
      <c r="S1353">
        <v>437.69</v>
      </c>
      <c r="T1353">
        <f>(Table13[[#This Row],[Ideal_Cycle_Time_sec]]*Table13[[#This Row],[Actual_Qty]])/(Table13[[#This Row],[Operational_Time_min]]*60)</f>
        <v>0.56051847959362411</v>
      </c>
      <c r="U1353">
        <f>Table13[[#This Row],[Good_Qty]]/Table13[[#This Row],[Actual_Qty]]</f>
        <v>0.99320652173913049</v>
      </c>
      <c r="V1353" t="str">
        <f>IF(OR(Table13[[#This Row],[Performance_%]]&gt;=1,Table13[[#This Row],[Performance_%]]&lt;=0),"Error","OK")</f>
        <v>OK</v>
      </c>
      <c r="W1353" t="str">
        <f>IF(OR(Table13[[#This Row],[Quality_%]]&gt;=1,Table13[[#This Row],[Quality_%]]&lt;=0),"Error","OK")</f>
        <v>OK</v>
      </c>
      <c r="X1353">
        <f>Table13[[#This Row],[Performance_%]]*Table13[[#This Row],[Quality_%]]*[2]Availability_KPI!K1353</f>
        <v>0.54148148148148156</v>
      </c>
      <c r="Y1353" t="str">
        <f>IF(OR(Table13[[#This Row],[OEE_%]]&gt;1,Table13[[#This Row],[OEE_%]]&lt;0),"Error","OK")</f>
        <v>OK</v>
      </c>
    </row>
    <row r="1354" spans="1:25" x14ac:dyDescent="0.2">
      <c r="A1354" t="s">
        <v>1572</v>
      </c>
      <c r="B1354" t="s">
        <v>1573</v>
      </c>
      <c r="C1354" s="2">
        <v>46315</v>
      </c>
      <c r="D1354" t="s">
        <v>53</v>
      </c>
      <c r="E1354" t="s">
        <v>28</v>
      </c>
      <c r="F1354" t="s">
        <v>29</v>
      </c>
      <c r="G1354" t="s">
        <v>71</v>
      </c>
      <c r="H1354">
        <v>649</v>
      </c>
      <c r="I1354">
        <v>645</v>
      </c>
      <c r="J1354">
        <v>4</v>
      </c>
      <c r="K1354">
        <v>19.8</v>
      </c>
      <c r="L1354">
        <v>20.23</v>
      </c>
      <c r="M1354">
        <v>218.83</v>
      </c>
      <c r="N1354">
        <f>_xlfn.XLOOKUP(Table13[[#This Row],[Production_Order_ID]],[1]Sheet1!$A$2:$A$391,[1]Sheet1!$F$2:$F$391,"No Match")</f>
        <v>670</v>
      </c>
      <c r="O1354" s="3">
        <f>Table13[[#This Row],[Good_Qty]]/Table13[[#This Row],[Planned_Production]]</f>
        <v>0.96268656716417911</v>
      </c>
      <c r="P1354" t="str">
        <f>IF(Table13[[#This Row],[Good_Qty]]&gt;=Table13[[#This Row],[Planned_Production]],"Met","Not Met")</f>
        <v>Not Met</v>
      </c>
      <c r="Q1354">
        <f>Table13[[#This Row],[Good_Qty]]-Table13[[#This Row],[Planned_Production]]</f>
        <v>-25</v>
      </c>
      <c r="R1354" s="3">
        <f>IF(Table13[[#This Row],[Actual_Qty]]=0,0,Table13[[#This Row],[Reject_Qty]]/Table13[[#This Row],[Actual_Qty]])</f>
        <v>6.1633281972265025E-3</v>
      </c>
      <c r="S1354">
        <v>439.8</v>
      </c>
      <c r="T1354">
        <f>(Table13[[#This Row],[Ideal_Cycle_Time_sec]]*Table13[[#This Row],[Actual_Qty]])/(Table13[[#This Row],[Operational_Time_min]]*60)</f>
        <v>0.48697135061391544</v>
      </c>
      <c r="U1354">
        <f>Table13[[#This Row],[Good_Qty]]/Table13[[#This Row],[Actual_Qty]]</f>
        <v>0.99383667180277346</v>
      </c>
      <c r="V1354" t="str">
        <f>IF(OR(Table13[[#This Row],[Performance_%]]&gt;=1,Table13[[#This Row],[Performance_%]]&lt;=0),"Error","OK")</f>
        <v>OK</v>
      </c>
      <c r="W1354" t="str">
        <f>IF(OR(Table13[[#This Row],[Quality_%]]&gt;=1,Table13[[#This Row],[Quality_%]]&lt;=0),"Error","OK")</f>
        <v>OK</v>
      </c>
      <c r="X1354">
        <f>Table13[[#This Row],[Performance_%]]*Table13[[#This Row],[Quality_%]]*[2]Availability_KPI!K1354</f>
        <v>0.47300000000000003</v>
      </c>
      <c r="Y1354" t="str">
        <f>IF(OR(Table13[[#This Row],[OEE_%]]&gt;1,Table13[[#This Row],[OEE_%]]&lt;0),"Error","OK")</f>
        <v>OK</v>
      </c>
    </row>
    <row r="1355" spans="1:25" x14ac:dyDescent="0.2">
      <c r="A1355" t="s">
        <v>1574</v>
      </c>
      <c r="B1355" t="s">
        <v>1573</v>
      </c>
      <c r="C1355" s="2">
        <v>46315</v>
      </c>
      <c r="D1355" t="s">
        <v>53</v>
      </c>
      <c r="E1355" t="s">
        <v>32</v>
      </c>
      <c r="F1355" t="s">
        <v>29</v>
      </c>
      <c r="G1355" t="s">
        <v>61</v>
      </c>
      <c r="H1355">
        <v>644</v>
      </c>
      <c r="I1355">
        <v>637</v>
      </c>
      <c r="J1355">
        <v>7</v>
      </c>
      <c r="K1355">
        <v>22</v>
      </c>
      <c r="L1355">
        <v>22.18</v>
      </c>
      <c r="M1355">
        <v>238.08</v>
      </c>
      <c r="N1355">
        <f>_xlfn.XLOOKUP(Table13[[#This Row],[Production_Order_ID]],[1]Sheet1!$A$2:$A$391,[1]Sheet1!$F$2:$F$391,"No Match")</f>
        <v>670</v>
      </c>
      <c r="O1355" s="3">
        <f>Table13[[#This Row],[Good_Qty]]/Table13[[#This Row],[Planned_Production]]</f>
        <v>0.95074626865671641</v>
      </c>
      <c r="P1355" t="str">
        <f>IF(Table13[[#This Row],[Good_Qty]]&gt;=Table13[[#This Row],[Planned_Production]],"Met","Not Met")</f>
        <v>Not Met</v>
      </c>
      <c r="Q1355">
        <f>Table13[[#This Row],[Good_Qty]]-Table13[[#This Row],[Planned_Production]]</f>
        <v>-33</v>
      </c>
      <c r="R1355" s="3">
        <f>IF(Table13[[#This Row],[Actual_Qty]]=0,0,Table13[[#This Row],[Reject_Qty]]/Table13[[#This Row],[Actual_Qty]])</f>
        <v>1.0869565217391304E-2</v>
      </c>
      <c r="S1355">
        <v>439</v>
      </c>
      <c r="T1355">
        <f>(Table13[[#This Row],[Ideal_Cycle_Time_sec]]*Table13[[#This Row],[Actual_Qty]])/(Table13[[#This Row],[Operational_Time_min]]*60)</f>
        <v>0.53788914198936977</v>
      </c>
      <c r="U1355">
        <f>Table13[[#This Row],[Good_Qty]]/Table13[[#This Row],[Actual_Qty]]</f>
        <v>0.98913043478260865</v>
      </c>
      <c r="V1355" t="str">
        <f>IF(OR(Table13[[#This Row],[Performance_%]]&gt;=1,Table13[[#This Row],[Performance_%]]&lt;=0),"Error","OK")</f>
        <v>OK</v>
      </c>
      <c r="W1355" t="str">
        <f>IF(OR(Table13[[#This Row],[Quality_%]]&gt;=1,Table13[[#This Row],[Quality_%]]&lt;=0),"Error","OK")</f>
        <v>OK</v>
      </c>
      <c r="X1355">
        <f>Table13[[#This Row],[Performance_%]]*Table13[[#This Row],[Quality_%]]*[2]Availability_KPI!K1355</f>
        <v>0.51903703703703696</v>
      </c>
      <c r="Y1355" t="str">
        <f>IF(OR(Table13[[#This Row],[OEE_%]]&gt;1,Table13[[#This Row],[OEE_%]]&lt;0),"Error","OK")</f>
        <v>OK</v>
      </c>
    </row>
    <row r="1356" spans="1:25" x14ac:dyDescent="0.2">
      <c r="A1356" t="s">
        <v>1575</v>
      </c>
      <c r="B1356" t="s">
        <v>1573</v>
      </c>
      <c r="C1356" s="2">
        <v>46315</v>
      </c>
      <c r="D1356" t="s">
        <v>53</v>
      </c>
      <c r="E1356" t="s">
        <v>35</v>
      </c>
      <c r="F1356" t="s">
        <v>29</v>
      </c>
      <c r="G1356" t="s">
        <v>33</v>
      </c>
      <c r="H1356">
        <v>650</v>
      </c>
      <c r="I1356">
        <v>645</v>
      </c>
      <c r="J1356">
        <v>5</v>
      </c>
      <c r="K1356">
        <v>24.2</v>
      </c>
      <c r="L1356">
        <v>25.97</v>
      </c>
      <c r="M1356">
        <v>281.38</v>
      </c>
      <c r="N1356">
        <f>_xlfn.XLOOKUP(Table13[[#This Row],[Production_Order_ID]],[1]Sheet1!$A$2:$A$391,[1]Sheet1!$F$2:$F$391,"No Match")</f>
        <v>670</v>
      </c>
      <c r="O1356" s="3">
        <f>Table13[[#This Row],[Good_Qty]]/Table13[[#This Row],[Planned_Production]]</f>
        <v>0.96268656716417911</v>
      </c>
      <c r="P1356" t="str">
        <f>IF(Table13[[#This Row],[Good_Qty]]&gt;=Table13[[#This Row],[Planned_Production]],"Met","Not Met")</f>
        <v>Not Met</v>
      </c>
      <c r="Q1356">
        <f>Table13[[#This Row],[Good_Qty]]-Table13[[#This Row],[Planned_Production]]</f>
        <v>-25</v>
      </c>
      <c r="R1356" s="3">
        <f>IF(Table13[[#This Row],[Actual_Qty]]=0,0,Table13[[#This Row],[Reject_Qty]]/Table13[[#This Row],[Actual_Qty]])</f>
        <v>7.6923076923076927E-3</v>
      </c>
      <c r="S1356">
        <v>433.48</v>
      </c>
      <c r="T1356">
        <f>(Table13[[#This Row],[Ideal_Cycle_Time_sec]]*Table13[[#This Row],[Actual_Qty]])/(Table13[[#This Row],[Operational_Time_min]]*60)</f>
        <v>0.60479530005228987</v>
      </c>
      <c r="U1356">
        <f>Table13[[#This Row],[Good_Qty]]/Table13[[#This Row],[Actual_Qty]]</f>
        <v>0.99230769230769234</v>
      </c>
      <c r="V1356" t="str">
        <f>IF(OR(Table13[[#This Row],[Performance_%]]&gt;=1,Table13[[#This Row],[Performance_%]]&lt;=0),"Error","OK")</f>
        <v>OK</v>
      </c>
      <c r="W1356" t="str">
        <f>IF(OR(Table13[[#This Row],[Quality_%]]&gt;=1,Table13[[#This Row],[Quality_%]]&lt;=0),"Error","OK")</f>
        <v>OK</v>
      </c>
      <c r="X1356">
        <f>Table13[[#This Row],[Performance_%]]*Table13[[#This Row],[Quality_%]]*[2]Availability_KPI!K1356</f>
        <v>0.57811111111111113</v>
      </c>
      <c r="Y1356" t="str">
        <f>IF(OR(Table13[[#This Row],[OEE_%]]&gt;1,Table13[[#This Row],[OEE_%]]&lt;0),"Error","OK")</f>
        <v>OK</v>
      </c>
    </row>
    <row r="1357" spans="1:25" x14ac:dyDescent="0.2">
      <c r="A1357" t="s">
        <v>1576</v>
      </c>
      <c r="B1357" t="s">
        <v>1573</v>
      </c>
      <c r="C1357" s="2">
        <v>46315</v>
      </c>
      <c r="D1357" t="s">
        <v>53</v>
      </c>
      <c r="E1357" t="s">
        <v>38</v>
      </c>
      <c r="F1357" t="s">
        <v>29</v>
      </c>
      <c r="G1357" t="s">
        <v>36</v>
      </c>
      <c r="H1357">
        <v>658</v>
      </c>
      <c r="I1357">
        <v>653</v>
      </c>
      <c r="J1357">
        <v>5</v>
      </c>
      <c r="K1357">
        <v>22</v>
      </c>
      <c r="L1357">
        <v>22</v>
      </c>
      <c r="M1357">
        <v>241.27</v>
      </c>
      <c r="N1357">
        <f>_xlfn.XLOOKUP(Table13[[#This Row],[Production_Order_ID]],[1]Sheet1!$A$2:$A$391,[1]Sheet1!$F$2:$F$391,"No Match")</f>
        <v>670</v>
      </c>
      <c r="O1357" s="3">
        <f>Table13[[#This Row],[Good_Qty]]/Table13[[#This Row],[Planned_Production]]</f>
        <v>0.97462686567164181</v>
      </c>
      <c r="P1357" t="str">
        <f>IF(Table13[[#This Row],[Good_Qty]]&gt;=Table13[[#This Row],[Planned_Production]],"Met","Not Met")</f>
        <v>Not Met</v>
      </c>
      <c r="Q1357">
        <f>Table13[[#This Row],[Good_Qty]]-Table13[[#This Row],[Planned_Production]]</f>
        <v>-17</v>
      </c>
      <c r="R1357" s="3">
        <f>IF(Table13[[#This Row],[Actual_Qty]]=0,0,Table13[[#This Row],[Reject_Qty]]/Table13[[#This Row],[Actual_Qty]])</f>
        <v>7.5987841945288756E-3</v>
      </c>
      <c r="S1357">
        <v>440.1</v>
      </c>
      <c r="T1357">
        <f>(Table13[[#This Row],[Ideal_Cycle_Time_sec]]*Table13[[#This Row],[Actual_Qty]])/(Table13[[#This Row],[Operational_Time_min]]*60)</f>
        <v>0.54820874043777934</v>
      </c>
      <c r="U1357">
        <f>Table13[[#This Row],[Good_Qty]]/Table13[[#This Row],[Actual_Qty]]</f>
        <v>0.99240121580547114</v>
      </c>
      <c r="V1357" t="str">
        <f>IF(OR(Table13[[#This Row],[Performance_%]]&gt;=1,Table13[[#This Row],[Performance_%]]&lt;=0),"Error","OK")</f>
        <v>OK</v>
      </c>
      <c r="W1357" t="str">
        <f>IF(OR(Table13[[#This Row],[Quality_%]]&gt;=1,Table13[[#This Row],[Quality_%]]&lt;=0),"Error","OK")</f>
        <v>OK</v>
      </c>
      <c r="X1357">
        <f>Table13[[#This Row],[Performance_%]]*Table13[[#This Row],[Quality_%]]*[2]Availability_KPI!K1357</f>
        <v>0.53207407407407414</v>
      </c>
      <c r="Y1357" t="str">
        <f>IF(OR(Table13[[#This Row],[OEE_%]]&gt;1,Table13[[#This Row],[OEE_%]]&lt;0),"Error","OK")</f>
        <v>OK</v>
      </c>
    </row>
    <row r="1358" spans="1:25" x14ac:dyDescent="0.2">
      <c r="A1358" t="s">
        <v>1577</v>
      </c>
      <c r="B1358" t="s">
        <v>1573</v>
      </c>
      <c r="C1358" s="2">
        <v>46315</v>
      </c>
      <c r="D1358" t="s">
        <v>53</v>
      </c>
      <c r="E1358" t="s">
        <v>41</v>
      </c>
      <c r="F1358" t="s">
        <v>29</v>
      </c>
      <c r="G1358" t="s">
        <v>47</v>
      </c>
      <c r="H1358">
        <v>653</v>
      </c>
      <c r="I1358">
        <v>646</v>
      </c>
      <c r="J1358">
        <v>7</v>
      </c>
      <c r="K1358">
        <v>19.8</v>
      </c>
      <c r="L1358">
        <v>20.32</v>
      </c>
      <c r="M1358">
        <v>221.11</v>
      </c>
      <c r="N1358">
        <f>_xlfn.XLOOKUP(Table13[[#This Row],[Production_Order_ID]],[1]Sheet1!$A$2:$A$391,[1]Sheet1!$F$2:$F$391,"No Match")</f>
        <v>670</v>
      </c>
      <c r="O1358" s="3">
        <f>Table13[[#This Row],[Good_Qty]]/Table13[[#This Row],[Planned_Production]]</f>
        <v>0.9641791044776119</v>
      </c>
      <c r="P1358" t="str">
        <f>IF(Table13[[#This Row],[Good_Qty]]&gt;=Table13[[#This Row],[Planned_Production]],"Met","Not Met")</f>
        <v>Not Met</v>
      </c>
      <c r="Q1358">
        <f>Table13[[#This Row],[Good_Qty]]-Table13[[#This Row],[Planned_Production]]</f>
        <v>-24</v>
      </c>
      <c r="R1358" s="3">
        <f>IF(Table13[[#This Row],[Actual_Qty]]=0,0,Table13[[#This Row],[Reject_Qty]]/Table13[[#This Row],[Actual_Qty]])</f>
        <v>1.0719754977029096E-2</v>
      </c>
      <c r="S1358">
        <v>434.23</v>
      </c>
      <c r="T1358">
        <f>(Table13[[#This Row],[Ideal_Cycle_Time_sec]]*Table13[[#This Row],[Actual_Qty]])/(Table13[[#This Row],[Operational_Time_min]]*60)</f>
        <v>0.4962577435921055</v>
      </c>
      <c r="U1358">
        <f>Table13[[#This Row],[Good_Qty]]/Table13[[#This Row],[Actual_Qty]]</f>
        <v>0.98928024502297085</v>
      </c>
      <c r="V1358" t="str">
        <f>IF(OR(Table13[[#This Row],[Performance_%]]&gt;=1,Table13[[#This Row],[Performance_%]]&lt;=0),"Error","OK")</f>
        <v>OK</v>
      </c>
      <c r="W1358" t="str">
        <f>IF(OR(Table13[[#This Row],[Quality_%]]&gt;=1,Table13[[#This Row],[Quality_%]]&lt;=0),"Error","OK")</f>
        <v>OK</v>
      </c>
      <c r="X1358">
        <f>Table13[[#This Row],[Performance_%]]*Table13[[#This Row],[Quality_%]]*[2]Availability_KPI!K1358</f>
        <v>0.47373333333333328</v>
      </c>
      <c r="Y1358" t="str">
        <f>IF(OR(Table13[[#This Row],[OEE_%]]&gt;1,Table13[[#This Row],[OEE_%]]&lt;0),"Error","OK")</f>
        <v>OK</v>
      </c>
    </row>
    <row r="1359" spans="1:25" x14ac:dyDescent="0.2">
      <c r="A1359" t="s">
        <v>1578</v>
      </c>
      <c r="B1359" t="s">
        <v>1573</v>
      </c>
      <c r="C1359" s="2">
        <v>46315</v>
      </c>
      <c r="D1359" t="s">
        <v>53</v>
      </c>
      <c r="E1359" t="s">
        <v>43</v>
      </c>
      <c r="F1359" t="s">
        <v>29</v>
      </c>
      <c r="G1359" t="s">
        <v>61</v>
      </c>
      <c r="H1359">
        <v>657</v>
      </c>
      <c r="I1359">
        <v>646</v>
      </c>
      <c r="J1359">
        <v>11</v>
      </c>
      <c r="K1359">
        <v>35.200000000000003</v>
      </c>
      <c r="L1359">
        <v>36.74</v>
      </c>
      <c r="M1359">
        <v>402.28</v>
      </c>
      <c r="N1359">
        <f>_xlfn.XLOOKUP(Table13[[#This Row],[Production_Order_ID]],[1]Sheet1!$A$2:$A$391,[1]Sheet1!$F$2:$F$391,"No Match")</f>
        <v>670</v>
      </c>
      <c r="O1359" s="3">
        <f>Table13[[#This Row],[Good_Qty]]/Table13[[#This Row],[Planned_Production]]</f>
        <v>0.9641791044776119</v>
      </c>
      <c r="P1359" t="str">
        <f>IF(Table13[[#This Row],[Good_Qty]]&gt;=Table13[[#This Row],[Planned_Production]],"Met","Not Met")</f>
        <v>Not Met</v>
      </c>
      <c r="Q1359">
        <f>Table13[[#This Row],[Good_Qty]]-Table13[[#This Row],[Planned_Production]]</f>
        <v>-24</v>
      </c>
      <c r="R1359" s="3">
        <f>IF(Table13[[#This Row],[Actual_Qty]]=0,0,Table13[[#This Row],[Reject_Qty]]/Table13[[#This Row],[Actual_Qty]])</f>
        <v>1.6742770167427701E-2</v>
      </c>
      <c r="S1359">
        <v>417.49</v>
      </c>
      <c r="T1359">
        <f>(Table13[[#This Row],[Ideal_Cycle_Time_sec]]*Table13[[#This Row],[Actual_Qty]])/(Table13[[#This Row],[Operational_Time_min]]*60)</f>
        <v>0.92323169417231554</v>
      </c>
      <c r="U1359">
        <f>Table13[[#This Row],[Good_Qty]]/Table13[[#This Row],[Actual_Qty]]</f>
        <v>0.98325722983257224</v>
      </c>
      <c r="V1359" t="str">
        <f>IF(OR(Table13[[#This Row],[Performance_%]]&gt;=1,Table13[[#This Row],[Performance_%]]&lt;=0),"Error","OK")</f>
        <v>OK</v>
      </c>
      <c r="W1359" t="str">
        <f>IF(OR(Table13[[#This Row],[Quality_%]]&gt;=1,Table13[[#This Row],[Quality_%]]&lt;=0),"Error","OK")</f>
        <v>OK</v>
      </c>
      <c r="X1359">
        <f>Table13[[#This Row],[Performance_%]]*Table13[[#This Row],[Quality_%]]*[2]Availability_KPI!K1359</f>
        <v>0.8421925925925926</v>
      </c>
      <c r="Y1359" t="str">
        <f>IF(OR(Table13[[#This Row],[OEE_%]]&gt;1,Table13[[#This Row],[OEE_%]]&lt;0),"Error","OK")</f>
        <v>OK</v>
      </c>
    </row>
    <row r="1360" spans="1:25" x14ac:dyDescent="0.2">
      <c r="A1360" t="s">
        <v>1579</v>
      </c>
      <c r="B1360" t="s">
        <v>1573</v>
      </c>
      <c r="C1360" s="2">
        <v>46315</v>
      </c>
      <c r="D1360" t="s">
        <v>53</v>
      </c>
      <c r="E1360" t="s">
        <v>46</v>
      </c>
      <c r="F1360" t="s">
        <v>29</v>
      </c>
      <c r="G1360" t="s">
        <v>47</v>
      </c>
      <c r="H1360">
        <v>663</v>
      </c>
      <c r="I1360">
        <v>658</v>
      </c>
      <c r="J1360">
        <v>5</v>
      </c>
      <c r="K1360">
        <v>27.5</v>
      </c>
      <c r="L1360">
        <v>27.5</v>
      </c>
      <c r="M1360">
        <v>303.88</v>
      </c>
      <c r="N1360">
        <f>_xlfn.XLOOKUP(Table13[[#This Row],[Production_Order_ID]],[1]Sheet1!$A$2:$A$391,[1]Sheet1!$F$2:$F$391,"No Match")</f>
        <v>670</v>
      </c>
      <c r="O1360" s="3">
        <f>Table13[[#This Row],[Good_Qty]]/Table13[[#This Row],[Planned_Production]]</f>
        <v>0.98208955223880601</v>
      </c>
      <c r="P1360" t="str">
        <f>IF(Table13[[#This Row],[Good_Qty]]&gt;=Table13[[#This Row],[Planned_Production]],"Met","Not Met")</f>
        <v>Not Met</v>
      </c>
      <c r="Q1360">
        <f>Table13[[#This Row],[Good_Qty]]-Table13[[#This Row],[Planned_Production]]</f>
        <v>-12</v>
      </c>
      <c r="R1360" s="3">
        <f>IF(Table13[[#This Row],[Actual_Qty]]=0,0,Table13[[#This Row],[Reject_Qty]]/Table13[[#This Row],[Actual_Qty]])</f>
        <v>7.5414781297134239E-3</v>
      </c>
      <c r="S1360">
        <v>428.67</v>
      </c>
      <c r="T1360">
        <f>(Table13[[#This Row],[Ideal_Cycle_Time_sec]]*Table13[[#This Row],[Actual_Qty]])/(Table13[[#This Row],[Operational_Time_min]]*60)</f>
        <v>0.70887862458301254</v>
      </c>
      <c r="U1360">
        <f>Table13[[#This Row],[Good_Qty]]/Table13[[#This Row],[Actual_Qty]]</f>
        <v>0.9924585218702866</v>
      </c>
      <c r="V1360" t="str">
        <f>IF(OR(Table13[[#This Row],[Performance_%]]&gt;=1,Table13[[#This Row],[Performance_%]]&lt;=0),"Error","OK")</f>
        <v>OK</v>
      </c>
      <c r="W1360" t="str">
        <f>IF(OR(Table13[[#This Row],[Quality_%]]&gt;=1,Table13[[#This Row],[Quality_%]]&lt;=0),"Error","OK")</f>
        <v>OK</v>
      </c>
      <c r="X1360">
        <f>Table13[[#This Row],[Performance_%]]*Table13[[#This Row],[Quality_%]]*[2]Availability_KPI!K1360</f>
        <v>0.67018518518518522</v>
      </c>
      <c r="Y1360" t="str">
        <f>IF(OR(Table13[[#This Row],[OEE_%]]&gt;1,Table13[[#This Row],[OEE_%]]&lt;0),"Error","OK")</f>
        <v>OK</v>
      </c>
    </row>
    <row r="1361" spans="1:25" x14ac:dyDescent="0.2">
      <c r="A1361" t="s">
        <v>1580</v>
      </c>
      <c r="B1361" t="s">
        <v>1573</v>
      </c>
      <c r="C1361" s="2">
        <v>46315</v>
      </c>
      <c r="D1361" t="s">
        <v>53</v>
      </c>
      <c r="E1361" t="s">
        <v>49</v>
      </c>
      <c r="F1361" t="s">
        <v>29</v>
      </c>
      <c r="G1361" t="s">
        <v>57</v>
      </c>
      <c r="H1361">
        <v>659</v>
      </c>
      <c r="I1361">
        <v>655</v>
      </c>
      <c r="J1361">
        <v>4</v>
      </c>
      <c r="K1361">
        <v>22</v>
      </c>
      <c r="L1361">
        <v>23.4</v>
      </c>
      <c r="M1361">
        <v>256.99</v>
      </c>
      <c r="N1361">
        <f>_xlfn.XLOOKUP(Table13[[#This Row],[Production_Order_ID]],[1]Sheet1!$A$2:$A$391,[1]Sheet1!$F$2:$F$391,"No Match")</f>
        <v>670</v>
      </c>
      <c r="O1361" s="3">
        <f>Table13[[#This Row],[Good_Qty]]/Table13[[#This Row],[Planned_Production]]</f>
        <v>0.97761194029850751</v>
      </c>
      <c r="P1361" t="str">
        <f>IF(Table13[[#This Row],[Good_Qty]]&gt;=Table13[[#This Row],[Planned_Production]],"Met","Not Met")</f>
        <v>Not Met</v>
      </c>
      <c r="Q1361">
        <f>Table13[[#This Row],[Good_Qty]]-Table13[[#This Row],[Planned_Production]]</f>
        <v>-15</v>
      </c>
      <c r="R1361" s="3">
        <f>IF(Table13[[#This Row],[Actual_Qty]]=0,0,Table13[[#This Row],[Reject_Qty]]/Table13[[#This Row],[Actual_Qty]])</f>
        <v>6.0698027314112293E-3</v>
      </c>
      <c r="S1361">
        <v>438.79</v>
      </c>
      <c r="T1361">
        <f>(Table13[[#This Row],[Ideal_Cycle_Time_sec]]*Table13[[#This Row],[Actual_Qty]])/(Table13[[#This Row],[Operational_Time_min]]*60)</f>
        <v>0.5506810395253614</v>
      </c>
      <c r="U1361">
        <f>Table13[[#This Row],[Good_Qty]]/Table13[[#This Row],[Actual_Qty]]</f>
        <v>0.99393019726858878</v>
      </c>
      <c r="V1361" t="str">
        <f>IF(OR(Table13[[#This Row],[Performance_%]]&gt;=1,Table13[[#This Row],[Performance_%]]&lt;=0),"Error","OK")</f>
        <v>OK</v>
      </c>
      <c r="W1361" t="str">
        <f>IF(OR(Table13[[#This Row],[Quality_%]]&gt;=1,Table13[[#This Row],[Quality_%]]&lt;=0),"Error","OK")</f>
        <v>OK</v>
      </c>
      <c r="X1361">
        <f>Table13[[#This Row],[Performance_%]]*Table13[[#This Row],[Quality_%]]*[2]Availability_KPI!K1361</f>
        <v>0.53370370370370368</v>
      </c>
      <c r="Y1361" t="str">
        <f>IF(OR(Table13[[#This Row],[OEE_%]]&gt;1,Table13[[#This Row],[OEE_%]]&lt;0),"Error","OK")</f>
        <v>OK</v>
      </c>
    </row>
    <row r="1362" spans="1:25" x14ac:dyDescent="0.2">
      <c r="A1362" t="s">
        <v>1581</v>
      </c>
      <c r="B1362" t="s">
        <v>1582</v>
      </c>
      <c r="C1362" s="2">
        <v>46315</v>
      </c>
      <c r="D1362" t="s">
        <v>67</v>
      </c>
      <c r="E1362" t="s">
        <v>28</v>
      </c>
      <c r="F1362" t="s">
        <v>97</v>
      </c>
      <c r="G1362" t="s">
        <v>71</v>
      </c>
      <c r="H1362">
        <v>665</v>
      </c>
      <c r="I1362">
        <v>662</v>
      </c>
      <c r="J1362">
        <v>3</v>
      </c>
      <c r="K1362">
        <v>19.260000000000002</v>
      </c>
      <c r="L1362">
        <v>20.39</v>
      </c>
      <c r="M1362">
        <v>225.95</v>
      </c>
      <c r="N1362">
        <f>_xlfn.XLOOKUP(Table13[[#This Row],[Production_Order_ID]],[1]Sheet1!$A$2:$A$391,[1]Sheet1!$F$2:$F$391,"No Match")</f>
        <v>470</v>
      </c>
      <c r="O1362" s="3">
        <f>Table13[[#This Row],[Good_Qty]]/Table13[[#This Row],[Planned_Production]]</f>
        <v>1.4085106382978723</v>
      </c>
      <c r="P1362" t="str">
        <f>IF(Table13[[#This Row],[Good_Qty]]&gt;=Table13[[#This Row],[Planned_Production]],"Met","Not Met")</f>
        <v>Met</v>
      </c>
      <c r="Q1362">
        <f>Table13[[#This Row],[Good_Qty]]-Table13[[#This Row],[Planned_Production]]</f>
        <v>192</v>
      </c>
      <c r="R1362" s="3">
        <f>IF(Table13[[#This Row],[Actual_Qty]]=0,0,Table13[[#This Row],[Reject_Qty]]/Table13[[#This Row],[Actual_Qty]])</f>
        <v>4.5112781954887221E-3</v>
      </c>
      <c r="S1362">
        <v>442.05</v>
      </c>
      <c r="T1362">
        <f>(Table13[[#This Row],[Ideal_Cycle_Time_sec]]*Table13[[#This Row],[Actual_Qty]])/(Table13[[#This Row],[Operational_Time_min]]*60)</f>
        <v>0.48289786223277914</v>
      </c>
      <c r="U1362">
        <f>Table13[[#This Row],[Good_Qty]]/Table13[[#This Row],[Actual_Qty]]</f>
        <v>0.99548872180451131</v>
      </c>
      <c r="V1362" t="str">
        <f>IF(OR(Table13[[#This Row],[Performance_%]]&gt;=1,Table13[[#This Row],[Performance_%]]&lt;=0),"Error","OK")</f>
        <v>OK</v>
      </c>
      <c r="W1362" t="str">
        <f>IF(OR(Table13[[#This Row],[Quality_%]]&gt;=1,Table13[[#This Row],[Quality_%]]&lt;=0),"Error","OK")</f>
        <v>OK</v>
      </c>
      <c r="X1362">
        <f>Table13[[#This Row],[Performance_%]]*Table13[[#This Row],[Quality_%]]*[2]Availability_KPI!K1362</f>
        <v>0.47222666666666674</v>
      </c>
      <c r="Y1362" t="str">
        <f>IF(OR(Table13[[#This Row],[OEE_%]]&gt;1,Table13[[#This Row],[OEE_%]]&lt;0),"Error","OK")</f>
        <v>OK</v>
      </c>
    </row>
    <row r="1363" spans="1:25" x14ac:dyDescent="0.2">
      <c r="A1363" t="s">
        <v>1583</v>
      </c>
      <c r="B1363" t="s">
        <v>1582</v>
      </c>
      <c r="C1363" s="2">
        <v>46315</v>
      </c>
      <c r="D1363" t="s">
        <v>67</v>
      </c>
      <c r="E1363" t="s">
        <v>32</v>
      </c>
      <c r="F1363" t="s">
        <v>97</v>
      </c>
      <c r="G1363" t="s">
        <v>55</v>
      </c>
      <c r="H1363">
        <v>665</v>
      </c>
      <c r="I1363">
        <v>662</v>
      </c>
      <c r="J1363">
        <v>3</v>
      </c>
      <c r="K1363">
        <v>21.4</v>
      </c>
      <c r="L1363">
        <v>23.71</v>
      </c>
      <c r="M1363">
        <v>262.83</v>
      </c>
      <c r="N1363">
        <f>_xlfn.XLOOKUP(Table13[[#This Row],[Production_Order_ID]],[1]Sheet1!$A$2:$A$391,[1]Sheet1!$F$2:$F$391,"No Match")</f>
        <v>470</v>
      </c>
      <c r="O1363" s="3">
        <f>Table13[[#This Row],[Good_Qty]]/Table13[[#This Row],[Planned_Production]]</f>
        <v>1.4085106382978723</v>
      </c>
      <c r="P1363" t="str">
        <f>IF(Table13[[#This Row],[Good_Qty]]&gt;=Table13[[#This Row],[Planned_Production]],"Met","Not Met")</f>
        <v>Met</v>
      </c>
      <c r="Q1363">
        <f>Table13[[#This Row],[Good_Qty]]-Table13[[#This Row],[Planned_Production]]</f>
        <v>192</v>
      </c>
      <c r="R1363" s="3">
        <f>IF(Table13[[#This Row],[Actual_Qty]]=0,0,Table13[[#This Row],[Reject_Qty]]/Table13[[#This Row],[Actual_Qty]])</f>
        <v>4.5112781954887221E-3</v>
      </c>
      <c r="S1363">
        <v>432.4</v>
      </c>
      <c r="T1363">
        <f>(Table13[[#This Row],[Ideal_Cycle_Time_sec]]*Table13[[#This Row],[Actual_Qty]])/(Table13[[#This Row],[Operational_Time_min]]*60)</f>
        <v>0.54852759790317596</v>
      </c>
      <c r="U1363">
        <f>Table13[[#This Row],[Good_Qty]]/Table13[[#This Row],[Actual_Qty]]</f>
        <v>0.99548872180451131</v>
      </c>
      <c r="V1363" t="str">
        <f>IF(OR(Table13[[#This Row],[Performance_%]]&gt;=1,Table13[[#This Row],[Performance_%]]&lt;=0),"Error","OK")</f>
        <v>OK</v>
      </c>
      <c r="W1363" t="str">
        <f>IF(OR(Table13[[#This Row],[Quality_%]]&gt;=1,Table13[[#This Row],[Quality_%]]&lt;=0),"Error","OK")</f>
        <v>OK</v>
      </c>
      <c r="X1363">
        <f>Table13[[#This Row],[Performance_%]]*Table13[[#This Row],[Quality_%]]*[2]Availability_KPI!K1363</f>
        <v>0.52469629629629611</v>
      </c>
      <c r="Y1363" t="str">
        <f>IF(OR(Table13[[#This Row],[OEE_%]]&gt;1,Table13[[#This Row],[OEE_%]]&lt;0),"Error","OK")</f>
        <v>OK</v>
      </c>
    </row>
    <row r="1364" spans="1:25" x14ac:dyDescent="0.2">
      <c r="A1364" t="s">
        <v>1584</v>
      </c>
      <c r="B1364" t="s">
        <v>1582</v>
      </c>
      <c r="C1364" s="2">
        <v>46315</v>
      </c>
      <c r="D1364" t="s">
        <v>67</v>
      </c>
      <c r="E1364" t="s">
        <v>35</v>
      </c>
      <c r="F1364" t="s">
        <v>97</v>
      </c>
      <c r="G1364" t="s">
        <v>30</v>
      </c>
      <c r="H1364">
        <v>678</v>
      </c>
      <c r="I1364">
        <v>671</v>
      </c>
      <c r="J1364">
        <v>7</v>
      </c>
      <c r="K1364">
        <v>23.54</v>
      </c>
      <c r="L1364">
        <v>24.52</v>
      </c>
      <c r="M1364">
        <v>277.05</v>
      </c>
      <c r="N1364">
        <f>_xlfn.XLOOKUP(Table13[[#This Row],[Production_Order_ID]],[1]Sheet1!$A$2:$A$391,[1]Sheet1!$F$2:$F$391,"No Match")</f>
        <v>470</v>
      </c>
      <c r="O1364" s="3">
        <f>Table13[[#This Row],[Good_Qty]]/Table13[[#This Row],[Planned_Production]]</f>
        <v>1.4276595744680851</v>
      </c>
      <c r="P1364" t="str">
        <f>IF(Table13[[#This Row],[Good_Qty]]&gt;=Table13[[#This Row],[Planned_Production]],"Met","Not Met")</f>
        <v>Met</v>
      </c>
      <c r="Q1364">
        <f>Table13[[#This Row],[Good_Qty]]-Table13[[#This Row],[Planned_Production]]</f>
        <v>201</v>
      </c>
      <c r="R1364" s="3">
        <f>IF(Table13[[#This Row],[Actual_Qty]]=0,0,Table13[[#This Row],[Reject_Qty]]/Table13[[#This Row],[Actual_Qty]])</f>
        <v>1.0324483775811209E-2</v>
      </c>
      <c r="S1364">
        <v>430.53</v>
      </c>
      <c r="T1364">
        <f>(Table13[[#This Row],[Ideal_Cycle_Time_sec]]*Table13[[#This Row],[Actual_Qty]])/(Table13[[#This Row],[Operational_Time_min]]*60)</f>
        <v>0.6178477690288714</v>
      </c>
      <c r="U1364">
        <f>Table13[[#This Row],[Good_Qty]]/Table13[[#This Row],[Actual_Qty]]</f>
        <v>0.98967551622418881</v>
      </c>
      <c r="V1364" t="str">
        <f>IF(OR(Table13[[#This Row],[Performance_%]]&gt;=1,Table13[[#This Row],[Performance_%]]&lt;=0),"Error","OK")</f>
        <v>OK</v>
      </c>
      <c r="W1364" t="str">
        <f>IF(OR(Table13[[#This Row],[Quality_%]]&gt;=1,Table13[[#This Row],[Quality_%]]&lt;=0),"Error","OK")</f>
        <v>OK</v>
      </c>
      <c r="X1364">
        <f>Table13[[#This Row],[Performance_%]]*Table13[[#This Row],[Quality_%]]*[2]Availability_KPI!K1364</f>
        <v>0.58501259259259264</v>
      </c>
      <c r="Y1364" t="str">
        <f>IF(OR(Table13[[#This Row],[OEE_%]]&gt;1,Table13[[#This Row],[OEE_%]]&lt;0),"Error","OK")</f>
        <v>OK</v>
      </c>
    </row>
    <row r="1365" spans="1:25" x14ac:dyDescent="0.2">
      <c r="A1365" t="s">
        <v>1585</v>
      </c>
      <c r="B1365" t="s">
        <v>1582</v>
      </c>
      <c r="C1365" s="2">
        <v>46315</v>
      </c>
      <c r="D1365" t="s">
        <v>67</v>
      </c>
      <c r="E1365" t="s">
        <v>38</v>
      </c>
      <c r="F1365" t="s">
        <v>97</v>
      </c>
      <c r="G1365" t="s">
        <v>61</v>
      </c>
      <c r="H1365">
        <v>676</v>
      </c>
      <c r="I1365">
        <v>671</v>
      </c>
      <c r="J1365">
        <v>5</v>
      </c>
      <c r="K1365">
        <v>21.4</v>
      </c>
      <c r="L1365">
        <v>22.26</v>
      </c>
      <c r="M1365">
        <v>250.78</v>
      </c>
      <c r="N1365">
        <f>_xlfn.XLOOKUP(Table13[[#This Row],[Production_Order_ID]],[1]Sheet1!$A$2:$A$391,[1]Sheet1!$F$2:$F$391,"No Match")</f>
        <v>470</v>
      </c>
      <c r="O1365" s="3">
        <f>Table13[[#This Row],[Good_Qty]]/Table13[[#This Row],[Planned_Production]]</f>
        <v>1.4276595744680851</v>
      </c>
      <c r="P1365" t="str">
        <f>IF(Table13[[#This Row],[Good_Qty]]&gt;=Table13[[#This Row],[Planned_Production]],"Met","Not Met")</f>
        <v>Met</v>
      </c>
      <c r="Q1365">
        <f>Table13[[#This Row],[Good_Qty]]-Table13[[#This Row],[Planned_Production]]</f>
        <v>201</v>
      </c>
      <c r="R1365" s="3">
        <f>IF(Table13[[#This Row],[Actual_Qty]]=0,0,Table13[[#This Row],[Reject_Qty]]/Table13[[#This Row],[Actual_Qty]])</f>
        <v>7.3964497041420114E-3</v>
      </c>
      <c r="S1365">
        <v>436.42</v>
      </c>
      <c r="T1365">
        <f>(Table13[[#This Row],[Ideal_Cycle_Time_sec]]*Table13[[#This Row],[Actual_Qty]])/(Table13[[#This Row],[Operational_Time_min]]*60)</f>
        <v>0.55246475108076309</v>
      </c>
      <c r="U1365">
        <f>Table13[[#This Row],[Good_Qty]]/Table13[[#This Row],[Actual_Qty]]</f>
        <v>0.99260355029585801</v>
      </c>
      <c r="V1365" t="str">
        <f>IF(OR(Table13[[#This Row],[Performance_%]]&gt;=1,Table13[[#This Row],[Performance_%]]&lt;=0),"Error","OK")</f>
        <v>OK</v>
      </c>
      <c r="W1365" t="str">
        <f>IF(OR(Table13[[#This Row],[Quality_%]]&gt;=1,Table13[[#This Row],[Quality_%]]&lt;=0),"Error","OK")</f>
        <v>OK</v>
      </c>
      <c r="X1365">
        <f>Table13[[#This Row],[Performance_%]]*Table13[[#This Row],[Quality_%]]*[2]Availability_KPI!K1365</f>
        <v>0.53182962962962954</v>
      </c>
      <c r="Y1365" t="str">
        <f>IF(OR(Table13[[#This Row],[OEE_%]]&gt;1,Table13[[#This Row],[OEE_%]]&lt;0),"Error","OK")</f>
        <v>OK</v>
      </c>
    </row>
    <row r="1366" spans="1:25" x14ac:dyDescent="0.2">
      <c r="A1366" t="s">
        <v>1586</v>
      </c>
      <c r="B1366" t="s">
        <v>1582</v>
      </c>
      <c r="C1366" s="2">
        <v>46315</v>
      </c>
      <c r="D1366" t="s">
        <v>67</v>
      </c>
      <c r="E1366" t="s">
        <v>41</v>
      </c>
      <c r="F1366" t="s">
        <v>97</v>
      </c>
      <c r="G1366" t="s">
        <v>55</v>
      </c>
      <c r="H1366">
        <v>667</v>
      </c>
      <c r="I1366">
        <v>660</v>
      </c>
      <c r="J1366">
        <v>7</v>
      </c>
      <c r="K1366">
        <v>19.260000000000002</v>
      </c>
      <c r="L1366">
        <v>19.82</v>
      </c>
      <c r="M1366">
        <v>220.34</v>
      </c>
      <c r="N1366">
        <f>_xlfn.XLOOKUP(Table13[[#This Row],[Production_Order_ID]],[1]Sheet1!$A$2:$A$391,[1]Sheet1!$F$2:$F$391,"No Match")</f>
        <v>470</v>
      </c>
      <c r="O1366" s="3">
        <f>Table13[[#This Row],[Good_Qty]]/Table13[[#This Row],[Planned_Production]]</f>
        <v>1.4042553191489362</v>
      </c>
      <c r="P1366" t="str">
        <f>IF(Table13[[#This Row],[Good_Qty]]&gt;=Table13[[#This Row],[Planned_Production]],"Met","Not Met")</f>
        <v>Met</v>
      </c>
      <c r="Q1366">
        <f>Table13[[#This Row],[Good_Qty]]-Table13[[#This Row],[Planned_Production]]</f>
        <v>190</v>
      </c>
      <c r="R1366" s="3">
        <f>IF(Table13[[#This Row],[Actual_Qty]]=0,0,Table13[[#This Row],[Reject_Qty]]/Table13[[#This Row],[Actual_Qty]])</f>
        <v>1.0494752623688156E-2</v>
      </c>
      <c r="S1366">
        <v>435.01</v>
      </c>
      <c r="T1366">
        <f>(Table13[[#This Row],[Ideal_Cycle_Time_sec]]*Table13[[#This Row],[Actual_Qty]])/(Table13[[#This Row],[Operational_Time_min]]*60)</f>
        <v>0.49218868531757903</v>
      </c>
      <c r="U1366">
        <f>Table13[[#This Row],[Good_Qty]]/Table13[[#This Row],[Actual_Qty]]</f>
        <v>0.98950524737631185</v>
      </c>
      <c r="V1366" t="str">
        <f>IF(OR(Table13[[#This Row],[Performance_%]]&gt;=1,Table13[[#This Row],[Performance_%]]&lt;=0),"Error","OK")</f>
        <v>OK</v>
      </c>
      <c r="W1366" t="str">
        <f>IF(OR(Table13[[#This Row],[Quality_%]]&gt;=1,Table13[[#This Row],[Quality_%]]&lt;=0),"Error","OK")</f>
        <v>OK</v>
      </c>
      <c r="X1366">
        <f>Table13[[#This Row],[Performance_%]]*Table13[[#This Row],[Quality_%]]*[2]Availability_KPI!K1366</f>
        <v>0.47080000000000011</v>
      </c>
      <c r="Y1366" t="str">
        <f>IF(OR(Table13[[#This Row],[OEE_%]]&gt;1,Table13[[#This Row],[OEE_%]]&lt;0),"Error","OK")</f>
        <v>OK</v>
      </c>
    </row>
    <row r="1367" spans="1:25" x14ac:dyDescent="0.2">
      <c r="A1367" t="s">
        <v>1587</v>
      </c>
      <c r="B1367" t="s">
        <v>1582</v>
      </c>
      <c r="C1367" s="2">
        <v>46315</v>
      </c>
      <c r="D1367" t="s">
        <v>67</v>
      </c>
      <c r="E1367" t="s">
        <v>43</v>
      </c>
      <c r="F1367" t="s">
        <v>97</v>
      </c>
      <c r="G1367" t="s">
        <v>44</v>
      </c>
      <c r="H1367">
        <v>653</v>
      </c>
      <c r="I1367">
        <v>646</v>
      </c>
      <c r="J1367">
        <v>7</v>
      </c>
      <c r="K1367">
        <v>34.24</v>
      </c>
      <c r="L1367">
        <v>36.4</v>
      </c>
      <c r="M1367">
        <v>396.13</v>
      </c>
      <c r="N1367">
        <f>_xlfn.XLOOKUP(Table13[[#This Row],[Production_Order_ID]],[1]Sheet1!$A$2:$A$391,[1]Sheet1!$F$2:$F$391,"No Match")</f>
        <v>470</v>
      </c>
      <c r="O1367" s="3">
        <f>Table13[[#This Row],[Good_Qty]]/Table13[[#This Row],[Planned_Production]]</f>
        <v>1.3744680851063831</v>
      </c>
      <c r="P1367" t="str">
        <f>IF(Table13[[#This Row],[Good_Qty]]&gt;=Table13[[#This Row],[Planned_Production]],"Met","Not Met")</f>
        <v>Met</v>
      </c>
      <c r="Q1367">
        <f>Table13[[#This Row],[Good_Qty]]-Table13[[#This Row],[Planned_Production]]</f>
        <v>176</v>
      </c>
      <c r="R1367" s="3">
        <f>IF(Table13[[#This Row],[Actual_Qty]]=0,0,Table13[[#This Row],[Reject_Qty]]/Table13[[#This Row],[Actual_Qty]])</f>
        <v>1.0719754977029096E-2</v>
      </c>
      <c r="S1367">
        <v>401.46</v>
      </c>
      <c r="T1367">
        <f>(Table13[[#This Row],[Ideal_Cycle_Time_sec]]*Table13[[#This Row],[Actual_Qty]])/(Table13[[#This Row],[Operational_Time_min]]*60)</f>
        <v>0.92822531094837191</v>
      </c>
      <c r="U1367">
        <f>Table13[[#This Row],[Good_Qty]]/Table13[[#This Row],[Actual_Qty]]</f>
        <v>0.98928024502297085</v>
      </c>
      <c r="V1367" t="str">
        <f>IF(OR(Table13[[#This Row],[Performance_%]]&gt;=1,Table13[[#This Row],[Performance_%]]&lt;=0),"Error","OK")</f>
        <v>OK</v>
      </c>
      <c r="W1367" t="str">
        <f>IF(OR(Table13[[#This Row],[Quality_%]]&gt;=1,Table13[[#This Row],[Quality_%]]&lt;=0),"Error","OK")</f>
        <v>OK</v>
      </c>
      <c r="X1367">
        <f>Table13[[#This Row],[Performance_%]]*Table13[[#This Row],[Quality_%]]*[2]Availability_KPI!K1367</f>
        <v>0.81922370370370379</v>
      </c>
      <c r="Y1367" t="str">
        <f>IF(OR(Table13[[#This Row],[OEE_%]]&gt;1,Table13[[#This Row],[OEE_%]]&lt;0),"Error","OK")</f>
        <v>OK</v>
      </c>
    </row>
    <row r="1368" spans="1:25" x14ac:dyDescent="0.2">
      <c r="A1368" t="s">
        <v>1588</v>
      </c>
      <c r="B1368" t="s">
        <v>1582</v>
      </c>
      <c r="C1368" s="2">
        <v>46315</v>
      </c>
      <c r="D1368" t="s">
        <v>67</v>
      </c>
      <c r="E1368" t="s">
        <v>46</v>
      </c>
      <c r="F1368" t="s">
        <v>97</v>
      </c>
      <c r="G1368" t="s">
        <v>30</v>
      </c>
      <c r="H1368">
        <v>649</v>
      </c>
      <c r="I1368">
        <v>641</v>
      </c>
      <c r="J1368">
        <v>8</v>
      </c>
      <c r="K1368">
        <v>26.75</v>
      </c>
      <c r="L1368">
        <v>27.55</v>
      </c>
      <c r="M1368">
        <v>297.98</v>
      </c>
      <c r="N1368">
        <f>_xlfn.XLOOKUP(Table13[[#This Row],[Production_Order_ID]],[1]Sheet1!$A$2:$A$391,[1]Sheet1!$F$2:$F$391,"No Match")</f>
        <v>470</v>
      </c>
      <c r="O1368" s="3">
        <f>Table13[[#This Row],[Good_Qty]]/Table13[[#This Row],[Planned_Production]]</f>
        <v>1.3638297872340426</v>
      </c>
      <c r="P1368" t="str">
        <f>IF(Table13[[#This Row],[Good_Qty]]&gt;=Table13[[#This Row],[Planned_Production]],"Met","Not Met")</f>
        <v>Met</v>
      </c>
      <c r="Q1368">
        <f>Table13[[#This Row],[Good_Qty]]-Table13[[#This Row],[Planned_Production]]</f>
        <v>171</v>
      </c>
      <c r="R1368" s="3">
        <f>IF(Table13[[#This Row],[Actual_Qty]]=0,0,Table13[[#This Row],[Reject_Qty]]/Table13[[#This Row],[Actual_Qty]])</f>
        <v>1.2326656394453005E-2</v>
      </c>
      <c r="S1368">
        <v>424.76</v>
      </c>
      <c r="T1368">
        <f>(Table13[[#This Row],[Ideal_Cycle_Time_sec]]*Table13[[#This Row],[Actual_Qty]])/(Table13[[#This Row],[Operational_Time_min]]*60)</f>
        <v>0.68119840223498762</v>
      </c>
      <c r="U1368">
        <f>Table13[[#This Row],[Good_Qty]]/Table13[[#This Row],[Actual_Qty]]</f>
        <v>0.98767334360554704</v>
      </c>
      <c r="V1368" t="str">
        <f>IF(OR(Table13[[#This Row],[Performance_%]]&gt;=1,Table13[[#This Row],[Performance_%]]&lt;=0),"Error","OK")</f>
        <v>OK</v>
      </c>
      <c r="W1368" t="str">
        <f>IF(OR(Table13[[#This Row],[Quality_%]]&gt;=1,Table13[[#This Row],[Quality_%]]&lt;=0),"Error","OK")</f>
        <v>OK</v>
      </c>
      <c r="X1368">
        <f>Table13[[#This Row],[Performance_%]]*Table13[[#This Row],[Quality_%]]*[2]Availability_KPI!K1368</f>
        <v>0.63506481481481492</v>
      </c>
      <c r="Y1368" t="str">
        <f>IF(OR(Table13[[#This Row],[OEE_%]]&gt;1,Table13[[#This Row],[OEE_%]]&lt;0),"Error","OK")</f>
        <v>OK</v>
      </c>
    </row>
    <row r="1369" spans="1:25" x14ac:dyDescent="0.2">
      <c r="A1369" t="s">
        <v>1589</v>
      </c>
      <c r="B1369" t="s">
        <v>1582</v>
      </c>
      <c r="C1369" s="2">
        <v>46315</v>
      </c>
      <c r="D1369" t="s">
        <v>67</v>
      </c>
      <c r="E1369" t="s">
        <v>49</v>
      </c>
      <c r="F1369" t="s">
        <v>97</v>
      </c>
      <c r="G1369" t="s">
        <v>75</v>
      </c>
      <c r="H1369">
        <v>662</v>
      </c>
      <c r="I1369">
        <v>658</v>
      </c>
      <c r="J1369">
        <v>4</v>
      </c>
      <c r="K1369">
        <v>21.4</v>
      </c>
      <c r="L1369">
        <v>22</v>
      </c>
      <c r="M1369">
        <v>242.74</v>
      </c>
      <c r="N1369">
        <f>_xlfn.XLOOKUP(Table13[[#This Row],[Production_Order_ID]],[1]Sheet1!$A$2:$A$391,[1]Sheet1!$F$2:$F$391,"No Match")</f>
        <v>470</v>
      </c>
      <c r="O1369" s="3">
        <f>Table13[[#This Row],[Good_Qty]]/Table13[[#This Row],[Planned_Production]]</f>
        <v>1.4</v>
      </c>
      <c r="P1369" t="str">
        <f>IF(Table13[[#This Row],[Good_Qty]]&gt;=Table13[[#This Row],[Planned_Production]],"Met","Not Met")</f>
        <v>Met</v>
      </c>
      <c r="Q1369">
        <f>Table13[[#This Row],[Good_Qty]]-Table13[[#This Row],[Planned_Production]]</f>
        <v>188</v>
      </c>
      <c r="R1369" s="3">
        <f>IF(Table13[[#This Row],[Actual_Qty]]=0,0,Table13[[#This Row],[Reject_Qty]]/Table13[[#This Row],[Actual_Qty]])</f>
        <v>6.0422960725075529E-3</v>
      </c>
      <c r="S1369">
        <v>442.42</v>
      </c>
      <c r="T1369">
        <f>(Table13[[#This Row],[Ideal_Cycle_Time_sec]]*Table13[[#This Row],[Actual_Qty]])/(Table13[[#This Row],[Operational_Time_min]]*60)</f>
        <v>0.53368593945421394</v>
      </c>
      <c r="U1369">
        <f>Table13[[#This Row],[Good_Qty]]/Table13[[#This Row],[Actual_Qty]]</f>
        <v>0.9939577039274925</v>
      </c>
      <c r="V1369" t="str">
        <f>IF(OR(Table13[[#This Row],[Performance_%]]&gt;=1,Table13[[#This Row],[Performance_%]]&lt;=0),"Error","OK")</f>
        <v>OK</v>
      </c>
      <c r="W1369" t="str">
        <f>IF(OR(Table13[[#This Row],[Quality_%]]&gt;=1,Table13[[#This Row],[Quality_%]]&lt;=0),"Error","OK")</f>
        <v>OK</v>
      </c>
      <c r="X1369">
        <f>Table13[[#This Row],[Performance_%]]*Table13[[#This Row],[Quality_%]]*[2]Availability_KPI!K1369</f>
        <v>0.52152592592592595</v>
      </c>
      <c r="Y1369" t="str">
        <f>IF(OR(Table13[[#This Row],[OEE_%]]&gt;1,Table13[[#This Row],[OEE_%]]&lt;0),"Error","OK")</f>
        <v>OK</v>
      </c>
    </row>
    <row r="1370" spans="1:25" x14ac:dyDescent="0.2">
      <c r="A1370" t="s">
        <v>1590</v>
      </c>
      <c r="B1370" t="s">
        <v>1591</v>
      </c>
      <c r="C1370" s="2">
        <v>46316</v>
      </c>
      <c r="D1370" t="s">
        <v>27</v>
      </c>
      <c r="E1370" t="s">
        <v>28</v>
      </c>
      <c r="F1370" t="s">
        <v>29</v>
      </c>
      <c r="G1370" t="s">
        <v>61</v>
      </c>
      <c r="H1370">
        <v>581</v>
      </c>
      <c r="I1370">
        <v>577</v>
      </c>
      <c r="J1370">
        <v>4</v>
      </c>
      <c r="K1370">
        <v>19.8</v>
      </c>
      <c r="L1370">
        <v>20.75</v>
      </c>
      <c r="M1370">
        <v>200.91</v>
      </c>
      <c r="N1370">
        <f>_xlfn.XLOOKUP(Table13[[#This Row],[Production_Order_ID]],[1]Sheet1!$A$2:$A$391,[1]Sheet1!$F$2:$F$391,"No Match")</f>
        <v>660</v>
      </c>
      <c r="O1370" s="3">
        <f>Table13[[#This Row],[Good_Qty]]/Table13[[#This Row],[Planned_Production]]</f>
        <v>0.87424242424242427</v>
      </c>
      <c r="P1370" t="str">
        <f>IF(Table13[[#This Row],[Good_Qty]]&gt;=Table13[[#This Row],[Planned_Production]],"Met","Not Met")</f>
        <v>Not Met</v>
      </c>
      <c r="Q1370">
        <f>Table13[[#This Row],[Good_Qty]]-Table13[[#This Row],[Planned_Production]]</f>
        <v>-83</v>
      </c>
      <c r="R1370" s="3">
        <f>IF(Table13[[#This Row],[Actual_Qty]]=0,0,Table13[[#This Row],[Reject_Qty]]/Table13[[#This Row],[Actual_Qty]])</f>
        <v>6.8846815834767644E-3</v>
      </c>
      <c r="S1370">
        <v>438.84</v>
      </c>
      <c r="T1370">
        <f>(Table13[[#This Row],[Ideal_Cycle_Time_sec]]*Table13[[#This Row],[Actual_Qty]])/(Table13[[#This Row],[Operational_Time_min]]*60)</f>
        <v>0.43690183210281658</v>
      </c>
      <c r="U1370">
        <f>Table13[[#This Row],[Good_Qty]]/Table13[[#This Row],[Actual_Qty]]</f>
        <v>0.99311531841652323</v>
      </c>
      <c r="V1370" t="str">
        <f>IF(OR(Table13[[#This Row],[Performance_%]]&gt;=1,Table13[[#This Row],[Performance_%]]&lt;=0),"Error","OK")</f>
        <v>OK</v>
      </c>
      <c r="W1370" t="str">
        <f>IF(OR(Table13[[#This Row],[Quality_%]]&gt;=1,Table13[[#This Row],[Quality_%]]&lt;=0),"Error","OK")</f>
        <v>OK</v>
      </c>
      <c r="X1370">
        <f>Table13[[#This Row],[Performance_%]]*Table13[[#This Row],[Quality_%]]*[2]Availability_KPI!K1370</f>
        <v>0.42313333333333336</v>
      </c>
      <c r="Y1370" t="str">
        <f>IF(OR(Table13[[#This Row],[OEE_%]]&gt;1,Table13[[#This Row],[OEE_%]]&lt;0),"Error","OK")</f>
        <v>OK</v>
      </c>
    </row>
    <row r="1371" spans="1:25" x14ac:dyDescent="0.2">
      <c r="A1371" t="s">
        <v>1592</v>
      </c>
      <c r="B1371" t="s">
        <v>1591</v>
      </c>
      <c r="C1371" s="2">
        <v>46316</v>
      </c>
      <c r="D1371" t="s">
        <v>27</v>
      </c>
      <c r="E1371" t="s">
        <v>32</v>
      </c>
      <c r="F1371" t="s">
        <v>29</v>
      </c>
      <c r="G1371" t="s">
        <v>39</v>
      </c>
      <c r="H1371">
        <v>602</v>
      </c>
      <c r="I1371">
        <v>595</v>
      </c>
      <c r="J1371">
        <v>7</v>
      </c>
      <c r="K1371">
        <v>22</v>
      </c>
      <c r="L1371">
        <v>23.11</v>
      </c>
      <c r="M1371">
        <v>231.92</v>
      </c>
      <c r="N1371">
        <f>_xlfn.XLOOKUP(Table13[[#This Row],[Production_Order_ID]],[1]Sheet1!$A$2:$A$391,[1]Sheet1!$F$2:$F$391,"No Match")</f>
        <v>660</v>
      </c>
      <c r="O1371" s="3">
        <f>Table13[[#This Row],[Good_Qty]]/Table13[[#This Row],[Planned_Production]]</f>
        <v>0.90151515151515149</v>
      </c>
      <c r="P1371" t="str">
        <f>IF(Table13[[#This Row],[Good_Qty]]&gt;=Table13[[#This Row],[Planned_Production]],"Met","Not Met")</f>
        <v>Not Met</v>
      </c>
      <c r="Q1371">
        <f>Table13[[#This Row],[Good_Qty]]-Table13[[#This Row],[Planned_Production]]</f>
        <v>-65</v>
      </c>
      <c r="R1371" s="3">
        <f>IF(Table13[[#This Row],[Actual_Qty]]=0,0,Table13[[#This Row],[Reject_Qty]]/Table13[[#This Row],[Actual_Qty]])</f>
        <v>1.1627906976744186E-2</v>
      </c>
      <c r="S1371">
        <v>438.48</v>
      </c>
      <c r="T1371">
        <f>(Table13[[#This Row],[Ideal_Cycle_Time_sec]]*Table13[[#This Row],[Actual_Qty]])/(Table13[[#This Row],[Operational_Time_min]]*60)</f>
        <v>0.50340570455512978</v>
      </c>
      <c r="U1371">
        <f>Table13[[#This Row],[Good_Qty]]/Table13[[#This Row],[Actual_Qty]]</f>
        <v>0.98837209302325579</v>
      </c>
      <c r="V1371" t="str">
        <f>IF(OR(Table13[[#This Row],[Performance_%]]&gt;=1,Table13[[#This Row],[Performance_%]]&lt;=0),"Error","OK")</f>
        <v>OK</v>
      </c>
      <c r="W1371" t="str">
        <f>IF(OR(Table13[[#This Row],[Quality_%]]&gt;=1,Table13[[#This Row],[Quality_%]]&lt;=0),"Error","OK")</f>
        <v>OK</v>
      </c>
      <c r="X1371">
        <f>Table13[[#This Row],[Performance_%]]*Table13[[#This Row],[Quality_%]]*[2]Availability_KPI!K1371</f>
        <v>0.48481481481481481</v>
      </c>
      <c r="Y1371" t="str">
        <f>IF(OR(Table13[[#This Row],[OEE_%]]&gt;1,Table13[[#This Row],[OEE_%]]&lt;0),"Error","OK")</f>
        <v>OK</v>
      </c>
    </row>
    <row r="1372" spans="1:25" x14ac:dyDescent="0.2">
      <c r="A1372" t="s">
        <v>1593</v>
      </c>
      <c r="B1372" t="s">
        <v>1591</v>
      </c>
      <c r="C1372" s="2">
        <v>46316</v>
      </c>
      <c r="D1372" t="s">
        <v>27</v>
      </c>
      <c r="E1372" t="s">
        <v>35</v>
      </c>
      <c r="F1372" t="s">
        <v>29</v>
      </c>
      <c r="G1372" t="s">
        <v>57</v>
      </c>
      <c r="H1372">
        <v>590</v>
      </c>
      <c r="I1372">
        <v>585</v>
      </c>
      <c r="J1372">
        <v>5</v>
      </c>
      <c r="K1372">
        <v>24.2</v>
      </c>
      <c r="L1372">
        <v>25.97</v>
      </c>
      <c r="M1372">
        <v>255.35</v>
      </c>
      <c r="N1372">
        <f>_xlfn.XLOOKUP(Table13[[#This Row],[Production_Order_ID]],[1]Sheet1!$A$2:$A$391,[1]Sheet1!$F$2:$F$391,"No Match")</f>
        <v>660</v>
      </c>
      <c r="O1372" s="3">
        <f>Table13[[#This Row],[Good_Qty]]/Table13[[#This Row],[Planned_Production]]</f>
        <v>0.88636363636363635</v>
      </c>
      <c r="P1372" t="str">
        <f>IF(Table13[[#This Row],[Good_Qty]]&gt;=Table13[[#This Row],[Planned_Production]],"Met","Not Met")</f>
        <v>Not Met</v>
      </c>
      <c r="Q1372">
        <f>Table13[[#This Row],[Good_Qty]]-Table13[[#This Row],[Planned_Production]]</f>
        <v>-75</v>
      </c>
      <c r="R1372" s="3">
        <f>IF(Table13[[#This Row],[Actual_Qty]]=0,0,Table13[[#This Row],[Reject_Qty]]/Table13[[#This Row],[Actual_Qty]])</f>
        <v>8.4745762711864406E-3</v>
      </c>
      <c r="S1372">
        <v>435.68</v>
      </c>
      <c r="T1372">
        <f>(Table13[[#This Row],[Ideal_Cycle_Time_sec]]*Table13[[#This Row],[Actual_Qty]])/(Table13[[#This Row],[Operational_Time_min]]*60)</f>
        <v>0.54619598482066345</v>
      </c>
      <c r="U1372">
        <f>Table13[[#This Row],[Good_Qty]]/Table13[[#This Row],[Actual_Qty]]</f>
        <v>0.99152542372881358</v>
      </c>
      <c r="V1372" t="str">
        <f>IF(OR(Table13[[#This Row],[Performance_%]]&gt;=1,Table13[[#This Row],[Performance_%]]&lt;=0),"Error","OK")</f>
        <v>OK</v>
      </c>
      <c r="W1372" t="str">
        <f>IF(OR(Table13[[#This Row],[Quality_%]]&gt;=1,Table13[[#This Row],[Quality_%]]&lt;=0),"Error","OK")</f>
        <v>OK</v>
      </c>
      <c r="X1372">
        <f>Table13[[#This Row],[Performance_%]]*Table13[[#This Row],[Quality_%]]*[2]Availability_KPI!K1372</f>
        <v>0.52433333333333332</v>
      </c>
      <c r="Y1372" t="str">
        <f>IF(OR(Table13[[#This Row],[OEE_%]]&gt;1,Table13[[#This Row],[OEE_%]]&lt;0),"Error","OK")</f>
        <v>OK</v>
      </c>
    </row>
    <row r="1373" spans="1:25" x14ac:dyDescent="0.2">
      <c r="A1373" t="s">
        <v>1594</v>
      </c>
      <c r="B1373" t="s">
        <v>1591</v>
      </c>
      <c r="C1373" s="2">
        <v>46316</v>
      </c>
      <c r="D1373" t="s">
        <v>27</v>
      </c>
      <c r="E1373" t="s">
        <v>38</v>
      </c>
      <c r="F1373" t="s">
        <v>29</v>
      </c>
      <c r="G1373" t="s">
        <v>75</v>
      </c>
      <c r="H1373">
        <v>589</v>
      </c>
      <c r="I1373">
        <v>584</v>
      </c>
      <c r="J1373">
        <v>5</v>
      </c>
      <c r="K1373">
        <v>22</v>
      </c>
      <c r="L1373">
        <v>23.6</v>
      </c>
      <c r="M1373">
        <v>231.69</v>
      </c>
      <c r="N1373">
        <f>_xlfn.XLOOKUP(Table13[[#This Row],[Production_Order_ID]],[1]Sheet1!$A$2:$A$391,[1]Sheet1!$F$2:$F$391,"No Match")</f>
        <v>660</v>
      </c>
      <c r="O1373" s="3">
        <f>Table13[[#This Row],[Good_Qty]]/Table13[[#This Row],[Planned_Production]]</f>
        <v>0.88484848484848488</v>
      </c>
      <c r="P1373" t="str">
        <f>IF(Table13[[#This Row],[Good_Qty]]&gt;=Table13[[#This Row],[Planned_Production]],"Met","Not Met")</f>
        <v>Not Met</v>
      </c>
      <c r="Q1373">
        <f>Table13[[#This Row],[Good_Qty]]-Table13[[#This Row],[Planned_Production]]</f>
        <v>-76</v>
      </c>
      <c r="R1373" s="3">
        <f>IF(Table13[[#This Row],[Actual_Qty]]=0,0,Table13[[#This Row],[Reject_Qty]]/Table13[[#This Row],[Actual_Qty]])</f>
        <v>8.4889643463497456E-3</v>
      </c>
      <c r="S1373">
        <v>436.62</v>
      </c>
      <c r="T1373">
        <f>(Table13[[#This Row],[Ideal_Cycle_Time_sec]]*Table13[[#This Row],[Actual_Qty]])/(Table13[[#This Row],[Operational_Time_min]]*60)</f>
        <v>0.49463301421525963</v>
      </c>
      <c r="U1373">
        <f>Table13[[#This Row],[Good_Qty]]/Table13[[#This Row],[Actual_Qty]]</f>
        <v>0.99151103565365029</v>
      </c>
      <c r="V1373" t="str">
        <f>IF(OR(Table13[[#This Row],[Performance_%]]&gt;=1,Table13[[#This Row],[Performance_%]]&lt;=0),"Error","OK")</f>
        <v>OK</v>
      </c>
      <c r="W1373" t="str">
        <f>IF(OR(Table13[[#This Row],[Quality_%]]&gt;=1,Table13[[#This Row],[Quality_%]]&lt;=0),"Error","OK")</f>
        <v>OK</v>
      </c>
      <c r="X1373">
        <f>Table13[[#This Row],[Performance_%]]*Table13[[#This Row],[Quality_%]]*[2]Availability_KPI!K1373</f>
        <v>0.47585185185185186</v>
      </c>
      <c r="Y1373" t="str">
        <f>IF(OR(Table13[[#This Row],[OEE_%]]&gt;1,Table13[[#This Row],[OEE_%]]&lt;0),"Error","OK")</f>
        <v>OK</v>
      </c>
    </row>
    <row r="1374" spans="1:25" x14ac:dyDescent="0.2">
      <c r="A1374" t="s">
        <v>1595</v>
      </c>
      <c r="B1374" t="s">
        <v>1591</v>
      </c>
      <c r="C1374" s="2">
        <v>46316</v>
      </c>
      <c r="D1374" t="s">
        <v>27</v>
      </c>
      <c r="E1374" t="s">
        <v>41</v>
      </c>
      <c r="F1374" t="s">
        <v>29</v>
      </c>
      <c r="G1374" t="s">
        <v>33</v>
      </c>
      <c r="H1374">
        <v>579</v>
      </c>
      <c r="I1374">
        <v>574</v>
      </c>
      <c r="J1374">
        <v>5</v>
      </c>
      <c r="K1374">
        <v>19.8</v>
      </c>
      <c r="L1374">
        <v>21.65</v>
      </c>
      <c r="M1374">
        <v>208.92</v>
      </c>
      <c r="N1374">
        <f>_xlfn.XLOOKUP(Table13[[#This Row],[Production_Order_ID]],[1]Sheet1!$A$2:$A$391,[1]Sheet1!$F$2:$F$391,"No Match")</f>
        <v>660</v>
      </c>
      <c r="O1374" s="3">
        <f>Table13[[#This Row],[Good_Qty]]/Table13[[#This Row],[Planned_Production]]</f>
        <v>0.86969696969696975</v>
      </c>
      <c r="P1374" t="str">
        <f>IF(Table13[[#This Row],[Good_Qty]]&gt;=Table13[[#This Row],[Planned_Production]],"Met","Not Met")</f>
        <v>Not Met</v>
      </c>
      <c r="Q1374">
        <f>Table13[[#This Row],[Good_Qty]]-Table13[[#This Row],[Planned_Production]]</f>
        <v>-86</v>
      </c>
      <c r="R1374" s="3">
        <f>IF(Table13[[#This Row],[Actual_Qty]]=0,0,Table13[[#This Row],[Reject_Qty]]/Table13[[#This Row],[Actual_Qty]])</f>
        <v>8.6355785837651123E-3</v>
      </c>
      <c r="S1374">
        <v>437.18</v>
      </c>
      <c r="T1374">
        <f>(Table13[[#This Row],[Ideal_Cycle_Time_sec]]*Table13[[#This Row],[Actual_Qty]])/(Table13[[#This Row],[Operational_Time_min]]*60)</f>
        <v>0.43705110023331356</v>
      </c>
      <c r="U1374">
        <f>Table13[[#This Row],[Good_Qty]]/Table13[[#This Row],[Actual_Qty]]</f>
        <v>0.99136442141623493</v>
      </c>
      <c r="V1374" t="str">
        <f>IF(OR(Table13[[#This Row],[Performance_%]]&gt;=1,Table13[[#This Row],[Performance_%]]&lt;=0),"Error","OK")</f>
        <v>OK</v>
      </c>
      <c r="W1374" t="str">
        <f>IF(OR(Table13[[#This Row],[Quality_%]]&gt;=1,Table13[[#This Row],[Quality_%]]&lt;=0),"Error","OK")</f>
        <v>OK</v>
      </c>
      <c r="X1374">
        <f>Table13[[#This Row],[Performance_%]]*Table13[[#This Row],[Quality_%]]*[2]Availability_KPI!K1374</f>
        <v>0.42093333333333338</v>
      </c>
      <c r="Y1374" t="str">
        <f>IF(OR(Table13[[#This Row],[OEE_%]]&gt;1,Table13[[#This Row],[OEE_%]]&lt;0),"Error","OK")</f>
        <v>OK</v>
      </c>
    </row>
    <row r="1375" spans="1:25" x14ac:dyDescent="0.2">
      <c r="A1375" t="s">
        <v>1596</v>
      </c>
      <c r="B1375" t="s">
        <v>1591</v>
      </c>
      <c r="C1375" s="2">
        <v>46316</v>
      </c>
      <c r="D1375" t="s">
        <v>27</v>
      </c>
      <c r="E1375" t="s">
        <v>43</v>
      </c>
      <c r="F1375" t="s">
        <v>29</v>
      </c>
      <c r="G1375" t="s">
        <v>50</v>
      </c>
      <c r="H1375">
        <v>604</v>
      </c>
      <c r="I1375">
        <v>595</v>
      </c>
      <c r="J1375">
        <v>9</v>
      </c>
      <c r="K1375">
        <v>35.200000000000003</v>
      </c>
      <c r="L1375">
        <v>38.69</v>
      </c>
      <c r="M1375">
        <v>389.53</v>
      </c>
      <c r="N1375">
        <f>_xlfn.XLOOKUP(Table13[[#This Row],[Production_Order_ID]],[1]Sheet1!$A$2:$A$391,[1]Sheet1!$F$2:$F$391,"No Match")</f>
        <v>660</v>
      </c>
      <c r="O1375" s="3">
        <f>Table13[[#This Row],[Good_Qty]]/Table13[[#This Row],[Planned_Production]]</f>
        <v>0.90151515151515149</v>
      </c>
      <c r="P1375" t="str">
        <f>IF(Table13[[#This Row],[Good_Qty]]&gt;=Table13[[#This Row],[Planned_Production]],"Met","Not Met")</f>
        <v>Not Met</v>
      </c>
      <c r="Q1375">
        <f>Table13[[#This Row],[Good_Qty]]-Table13[[#This Row],[Planned_Production]]</f>
        <v>-65</v>
      </c>
      <c r="R1375" s="3">
        <f>IF(Table13[[#This Row],[Actual_Qty]]=0,0,Table13[[#This Row],[Reject_Qty]]/Table13[[#This Row],[Actual_Qty]])</f>
        <v>1.4900662251655629E-2</v>
      </c>
      <c r="S1375">
        <v>422.61</v>
      </c>
      <c r="T1375">
        <f>(Table13[[#This Row],[Ideal_Cycle_Time_sec]]*Table13[[#This Row],[Actual_Qty]])/(Table13[[#This Row],[Operational_Time_min]]*60)</f>
        <v>0.83847203489426825</v>
      </c>
      <c r="U1375">
        <f>Table13[[#This Row],[Good_Qty]]/Table13[[#This Row],[Actual_Qty]]</f>
        <v>0.98509933774834435</v>
      </c>
      <c r="V1375" t="str">
        <f>IF(OR(Table13[[#This Row],[Performance_%]]&gt;=1,Table13[[#This Row],[Performance_%]]&lt;=0),"Error","OK")</f>
        <v>OK</v>
      </c>
      <c r="W1375" t="str">
        <f>IF(OR(Table13[[#This Row],[Quality_%]]&gt;=1,Table13[[#This Row],[Quality_%]]&lt;=0),"Error","OK")</f>
        <v>OK</v>
      </c>
      <c r="X1375">
        <f>Table13[[#This Row],[Performance_%]]*Table13[[#This Row],[Quality_%]]*[2]Availability_KPI!K1375</f>
        <v>0.77570370370370378</v>
      </c>
      <c r="Y1375" t="str">
        <f>IF(OR(Table13[[#This Row],[OEE_%]]&gt;1,Table13[[#This Row],[OEE_%]]&lt;0),"Error","OK")</f>
        <v>OK</v>
      </c>
    </row>
    <row r="1376" spans="1:25" x14ac:dyDescent="0.2">
      <c r="A1376" t="s">
        <v>1597</v>
      </c>
      <c r="B1376" t="s">
        <v>1591</v>
      </c>
      <c r="C1376" s="2">
        <v>46316</v>
      </c>
      <c r="D1376" t="s">
        <v>27</v>
      </c>
      <c r="E1376" t="s">
        <v>46</v>
      </c>
      <c r="F1376" t="s">
        <v>29</v>
      </c>
      <c r="G1376" t="s">
        <v>50</v>
      </c>
      <c r="H1376">
        <v>584</v>
      </c>
      <c r="I1376">
        <v>580</v>
      </c>
      <c r="J1376">
        <v>4</v>
      </c>
      <c r="K1376">
        <v>27.5</v>
      </c>
      <c r="L1376">
        <v>27.88</v>
      </c>
      <c r="M1376">
        <v>271.39999999999998</v>
      </c>
      <c r="N1376">
        <f>_xlfn.XLOOKUP(Table13[[#This Row],[Production_Order_ID]],[1]Sheet1!$A$2:$A$391,[1]Sheet1!$F$2:$F$391,"No Match")</f>
        <v>660</v>
      </c>
      <c r="O1376" s="3">
        <f>Table13[[#This Row],[Good_Qty]]/Table13[[#This Row],[Planned_Production]]</f>
        <v>0.87878787878787878</v>
      </c>
      <c r="P1376" t="str">
        <f>IF(Table13[[#This Row],[Good_Qty]]&gt;=Table13[[#This Row],[Planned_Production]],"Met","Not Met")</f>
        <v>Not Met</v>
      </c>
      <c r="Q1376">
        <f>Table13[[#This Row],[Good_Qty]]-Table13[[#This Row],[Planned_Production]]</f>
        <v>-80</v>
      </c>
      <c r="R1376" s="3">
        <f>IF(Table13[[#This Row],[Actual_Qty]]=0,0,Table13[[#This Row],[Reject_Qty]]/Table13[[#This Row],[Actual_Qty]])</f>
        <v>6.8493150684931503E-3</v>
      </c>
      <c r="S1376">
        <v>430.13</v>
      </c>
      <c r="T1376">
        <f>(Table13[[#This Row],[Ideal_Cycle_Time_sec]]*Table13[[#This Row],[Actual_Qty]])/(Table13[[#This Row],[Operational_Time_min]]*60)</f>
        <v>0.62229248521764735</v>
      </c>
      <c r="U1376">
        <f>Table13[[#This Row],[Good_Qty]]/Table13[[#This Row],[Actual_Qty]]</f>
        <v>0.99315068493150682</v>
      </c>
      <c r="V1376" t="str">
        <f>IF(OR(Table13[[#This Row],[Performance_%]]&gt;=1,Table13[[#This Row],[Performance_%]]&lt;=0),"Error","OK")</f>
        <v>OK</v>
      </c>
      <c r="W1376" t="str">
        <f>IF(OR(Table13[[#This Row],[Quality_%]]&gt;=1,Table13[[#This Row],[Quality_%]]&lt;=0),"Error","OK")</f>
        <v>OK</v>
      </c>
      <c r="X1376">
        <f>Table13[[#This Row],[Performance_%]]*Table13[[#This Row],[Quality_%]]*[2]Availability_KPI!K1376</f>
        <v>0.59074074074074068</v>
      </c>
      <c r="Y1376" t="str">
        <f>IF(OR(Table13[[#This Row],[OEE_%]]&gt;1,Table13[[#This Row],[OEE_%]]&lt;0),"Error","OK")</f>
        <v>OK</v>
      </c>
    </row>
    <row r="1377" spans="1:25" x14ac:dyDescent="0.2">
      <c r="A1377" t="s">
        <v>1598</v>
      </c>
      <c r="B1377" t="s">
        <v>1591</v>
      </c>
      <c r="C1377" s="2">
        <v>46316</v>
      </c>
      <c r="D1377" t="s">
        <v>27</v>
      </c>
      <c r="E1377" t="s">
        <v>49</v>
      </c>
      <c r="F1377" t="s">
        <v>29</v>
      </c>
      <c r="G1377" t="s">
        <v>57</v>
      </c>
      <c r="H1377">
        <v>591</v>
      </c>
      <c r="I1377">
        <v>586</v>
      </c>
      <c r="J1377">
        <v>5</v>
      </c>
      <c r="K1377">
        <v>22</v>
      </c>
      <c r="L1377">
        <v>22</v>
      </c>
      <c r="M1377">
        <v>216.7</v>
      </c>
      <c r="N1377">
        <f>_xlfn.XLOOKUP(Table13[[#This Row],[Production_Order_ID]],[1]Sheet1!$A$2:$A$391,[1]Sheet1!$F$2:$F$391,"No Match")</f>
        <v>660</v>
      </c>
      <c r="O1377" s="3">
        <f>Table13[[#This Row],[Good_Qty]]/Table13[[#This Row],[Planned_Production]]</f>
        <v>0.88787878787878793</v>
      </c>
      <c r="P1377" t="str">
        <f>IF(Table13[[#This Row],[Good_Qty]]&gt;=Table13[[#This Row],[Planned_Production]],"Met","Not Met")</f>
        <v>Not Met</v>
      </c>
      <c r="Q1377">
        <f>Table13[[#This Row],[Good_Qty]]-Table13[[#This Row],[Planned_Production]]</f>
        <v>-74</v>
      </c>
      <c r="R1377" s="3">
        <f>IF(Table13[[#This Row],[Actual_Qty]]=0,0,Table13[[#This Row],[Reject_Qty]]/Table13[[#This Row],[Actual_Qty]])</f>
        <v>8.4602368866328256E-3</v>
      </c>
      <c r="S1377">
        <v>440.65</v>
      </c>
      <c r="T1377">
        <f>(Table13[[#This Row],[Ideal_Cycle_Time_sec]]*Table13[[#This Row],[Actual_Qty]])/(Table13[[#This Row],[Operational_Time_min]]*60)</f>
        <v>0.49177351639623285</v>
      </c>
      <c r="U1377">
        <f>Table13[[#This Row],[Good_Qty]]/Table13[[#This Row],[Actual_Qty]]</f>
        <v>0.99153976311336722</v>
      </c>
      <c r="V1377" t="str">
        <f>IF(OR(Table13[[#This Row],[Performance_%]]&gt;=1,Table13[[#This Row],[Performance_%]]&lt;=0),"Error","OK")</f>
        <v>OK</v>
      </c>
      <c r="W1377" t="str">
        <f>IF(OR(Table13[[#This Row],[Quality_%]]&gt;=1,Table13[[#This Row],[Quality_%]]&lt;=0),"Error","OK")</f>
        <v>OK</v>
      </c>
      <c r="X1377">
        <f>Table13[[#This Row],[Performance_%]]*Table13[[#This Row],[Quality_%]]*[2]Availability_KPI!K1377</f>
        <v>0.47748148148148151</v>
      </c>
      <c r="Y1377" t="str">
        <f>IF(OR(Table13[[#This Row],[OEE_%]]&gt;1,Table13[[#This Row],[OEE_%]]&lt;0),"Error","OK")</f>
        <v>OK</v>
      </c>
    </row>
    <row r="1378" spans="1:25" x14ac:dyDescent="0.2">
      <c r="A1378" t="s">
        <v>1599</v>
      </c>
      <c r="B1378" t="s">
        <v>1600</v>
      </c>
      <c r="C1378" s="2">
        <v>46316</v>
      </c>
      <c r="D1378" t="s">
        <v>53</v>
      </c>
      <c r="E1378" t="s">
        <v>28</v>
      </c>
      <c r="F1378" t="s">
        <v>29</v>
      </c>
      <c r="G1378" t="s">
        <v>33</v>
      </c>
      <c r="H1378">
        <v>549</v>
      </c>
      <c r="I1378">
        <v>545</v>
      </c>
      <c r="J1378">
        <v>4</v>
      </c>
      <c r="K1378">
        <v>19.8</v>
      </c>
      <c r="L1378">
        <v>21.62</v>
      </c>
      <c r="M1378">
        <v>197.78</v>
      </c>
      <c r="N1378">
        <f>_xlfn.XLOOKUP(Table13[[#This Row],[Production_Order_ID]],[1]Sheet1!$A$2:$A$391,[1]Sheet1!$F$2:$F$391,"No Match")</f>
        <v>540</v>
      </c>
      <c r="O1378" s="3">
        <f>Table13[[#This Row],[Good_Qty]]/Table13[[#This Row],[Planned_Production]]</f>
        <v>1.0092592592592593</v>
      </c>
      <c r="P1378" t="str">
        <f>IF(Table13[[#This Row],[Good_Qty]]&gt;=Table13[[#This Row],[Planned_Production]],"Met","Not Met")</f>
        <v>Met</v>
      </c>
      <c r="Q1378">
        <f>Table13[[#This Row],[Good_Qty]]-Table13[[#This Row],[Planned_Production]]</f>
        <v>5</v>
      </c>
      <c r="R1378" s="3">
        <f>IF(Table13[[#This Row],[Actual_Qty]]=0,0,Table13[[#This Row],[Reject_Qty]]/Table13[[#This Row],[Actual_Qty]])</f>
        <v>7.2859744990892532E-3</v>
      </c>
      <c r="S1378">
        <v>441.06</v>
      </c>
      <c r="T1378">
        <f>(Table13[[#This Row],[Ideal_Cycle_Time_sec]]*Table13[[#This Row],[Actual_Qty]])/(Table13[[#This Row],[Operational_Time_min]]*60)</f>
        <v>0.4107604407563597</v>
      </c>
      <c r="U1378">
        <f>Table13[[#This Row],[Good_Qty]]/Table13[[#This Row],[Actual_Qty]]</f>
        <v>0.9927140255009107</v>
      </c>
      <c r="V1378" t="str">
        <f>IF(OR(Table13[[#This Row],[Performance_%]]&gt;=1,Table13[[#This Row],[Performance_%]]&lt;=0),"Error","OK")</f>
        <v>OK</v>
      </c>
      <c r="W1378" t="str">
        <f>IF(OR(Table13[[#This Row],[Quality_%]]&gt;=1,Table13[[#This Row],[Quality_%]]&lt;=0),"Error","OK")</f>
        <v>OK</v>
      </c>
      <c r="X1378">
        <f>Table13[[#This Row],[Performance_%]]*Table13[[#This Row],[Quality_%]]*[2]Availability_KPI!K1378</f>
        <v>0.39966666666666661</v>
      </c>
      <c r="Y1378" t="str">
        <f>IF(OR(Table13[[#This Row],[OEE_%]]&gt;1,Table13[[#This Row],[OEE_%]]&lt;0),"Error","OK")</f>
        <v>OK</v>
      </c>
    </row>
    <row r="1379" spans="1:25" x14ac:dyDescent="0.2">
      <c r="A1379" t="s">
        <v>1601</v>
      </c>
      <c r="B1379" t="s">
        <v>1600</v>
      </c>
      <c r="C1379" s="2">
        <v>46316</v>
      </c>
      <c r="D1379" t="s">
        <v>53</v>
      </c>
      <c r="E1379" t="s">
        <v>32</v>
      </c>
      <c r="F1379" t="s">
        <v>29</v>
      </c>
      <c r="G1379" t="s">
        <v>36</v>
      </c>
      <c r="H1379">
        <v>549</v>
      </c>
      <c r="I1379">
        <v>546</v>
      </c>
      <c r="J1379">
        <v>3</v>
      </c>
      <c r="K1379">
        <v>22</v>
      </c>
      <c r="L1379">
        <v>24.17</v>
      </c>
      <c r="M1379">
        <v>221.12</v>
      </c>
      <c r="N1379">
        <f>_xlfn.XLOOKUP(Table13[[#This Row],[Production_Order_ID]],[1]Sheet1!$A$2:$A$391,[1]Sheet1!$F$2:$F$391,"No Match")</f>
        <v>540</v>
      </c>
      <c r="O1379" s="3">
        <f>Table13[[#This Row],[Good_Qty]]/Table13[[#This Row],[Planned_Production]]</f>
        <v>1.0111111111111111</v>
      </c>
      <c r="P1379" t="str">
        <f>IF(Table13[[#This Row],[Good_Qty]]&gt;=Table13[[#This Row],[Planned_Production]],"Met","Not Met")</f>
        <v>Met</v>
      </c>
      <c r="Q1379">
        <f>Table13[[#This Row],[Good_Qty]]-Table13[[#This Row],[Planned_Production]]</f>
        <v>6</v>
      </c>
      <c r="R1379" s="3">
        <f>IF(Table13[[#This Row],[Actual_Qty]]=0,0,Table13[[#This Row],[Reject_Qty]]/Table13[[#This Row],[Actual_Qty]])</f>
        <v>5.4644808743169399E-3</v>
      </c>
      <c r="S1379">
        <v>436.81</v>
      </c>
      <c r="T1379">
        <f>(Table13[[#This Row],[Ideal_Cycle_Time_sec]]*Table13[[#This Row],[Actual_Qty]])/(Table13[[#This Row],[Operational_Time_min]]*60)</f>
        <v>0.46084109796021155</v>
      </c>
      <c r="U1379">
        <f>Table13[[#This Row],[Good_Qty]]/Table13[[#This Row],[Actual_Qty]]</f>
        <v>0.99453551912568305</v>
      </c>
      <c r="V1379" t="str">
        <f>IF(OR(Table13[[#This Row],[Performance_%]]&gt;=1,Table13[[#This Row],[Performance_%]]&lt;=0),"Error","OK")</f>
        <v>OK</v>
      </c>
      <c r="W1379" t="str">
        <f>IF(OR(Table13[[#This Row],[Quality_%]]&gt;=1,Table13[[#This Row],[Quality_%]]&lt;=0),"Error","OK")</f>
        <v>OK</v>
      </c>
      <c r="X1379">
        <f>Table13[[#This Row],[Performance_%]]*Table13[[#This Row],[Quality_%]]*[2]Availability_KPI!K1379</f>
        <v>0.44488888888888894</v>
      </c>
      <c r="Y1379" t="str">
        <f>IF(OR(Table13[[#This Row],[OEE_%]]&gt;1,Table13[[#This Row],[OEE_%]]&lt;0),"Error","OK")</f>
        <v>OK</v>
      </c>
    </row>
    <row r="1380" spans="1:25" x14ac:dyDescent="0.2">
      <c r="A1380" t="s">
        <v>1602</v>
      </c>
      <c r="B1380" t="s">
        <v>1600</v>
      </c>
      <c r="C1380" s="2">
        <v>46316</v>
      </c>
      <c r="D1380" t="s">
        <v>53</v>
      </c>
      <c r="E1380" t="s">
        <v>35</v>
      </c>
      <c r="F1380" t="s">
        <v>29</v>
      </c>
      <c r="G1380" t="s">
        <v>30</v>
      </c>
      <c r="H1380">
        <v>554</v>
      </c>
      <c r="I1380">
        <v>548</v>
      </c>
      <c r="J1380">
        <v>6</v>
      </c>
      <c r="K1380">
        <v>24.2</v>
      </c>
      <c r="L1380">
        <v>25.73</v>
      </c>
      <c r="M1380">
        <v>237.61</v>
      </c>
      <c r="N1380">
        <f>_xlfn.XLOOKUP(Table13[[#This Row],[Production_Order_ID]],[1]Sheet1!$A$2:$A$391,[1]Sheet1!$F$2:$F$391,"No Match")</f>
        <v>540</v>
      </c>
      <c r="O1380" s="3">
        <f>Table13[[#This Row],[Good_Qty]]/Table13[[#This Row],[Planned_Production]]</f>
        <v>1.0148148148148148</v>
      </c>
      <c r="P1380" t="str">
        <f>IF(Table13[[#This Row],[Good_Qty]]&gt;=Table13[[#This Row],[Planned_Production]],"Met","Not Met")</f>
        <v>Met</v>
      </c>
      <c r="Q1380">
        <f>Table13[[#This Row],[Good_Qty]]-Table13[[#This Row],[Planned_Production]]</f>
        <v>8</v>
      </c>
      <c r="R1380" s="3">
        <f>IF(Table13[[#This Row],[Actual_Qty]]=0,0,Table13[[#This Row],[Reject_Qty]]/Table13[[#This Row],[Actual_Qty]])</f>
        <v>1.0830324909747292E-2</v>
      </c>
      <c r="S1380">
        <v>436.04</v>
      </c>
      <c r="T1380">
        <f>(Table13[[#This Row],[Ideal_Cycle_Time_sec]]*Table13[[#This Row],[Actual_Qty]])/(Table13[[#This Row],[Operational_Time_min]]*60)</f>
        <v>0.51244534140598719</v>
      </c>
      <c r="U1380">
        <f>Table13[[#This Row],[Good_Qty]]/Table13[[#This Row],[Actual_Qty]]</f>
        <v>0.98916967509025266</v>
      </c>
      <c r="V1380" t="str">
        <f>IF(OR(Table13[[#This Row],[Performance_%]]&gt;=1,Table13[[#This Row],[Performance_%]]&lt;=0),"Error","OK")</f>
        <v>OK</v>
      </c>
      <c r="W1380" t="str">
        <f>IF(OR(Table13[[#This Row],[Quality_%]]&gt;=1,Table13[[#This Row],[Quality_%]]&lt;=0),"Error","OK")</f>
        <v>OK</v>
      </c>
      <c r="X1380">
        <f>Table13[[#This Row],[Performance_%]]*Table13[[#This Row],[Quality_%]]*[2]Availability_KPI!K1380</f>
        <v>0.49117037037037031</v>
      </c>
      <c r="Y1380" t="str">
        <f>IF(OR(Table13[[#This Row],[OEE_%]]&gt;1,Table13[[#This Row],[OEE_%]]&lt;0),"Error","OK")</f>
        <v>OK</v>
      </c>
    </row>
    <row r="1381" spans="1:25" x14ac:dyDescent="0.2">
      <c r="A1381" t="s">
        <v>1603</v>
      </c>
      <c r="B1381" t="s">
        <v>1600</v>
      </c>
      <c r="C1381" s="2">
        <v>46316</v>
      </c>
      <c r="D1381" t="s">
        <v>53</v>
      </c>
      <c r="E1381" t="s">
        <v>38</v>
      </c>
      <c r="F1381" t="s">
        <v>29</v>
      </c>
      <c r="G1381" t="s">
        <v>57</v>
      </c>
      <c r="H1381">
        <v>573</v>
      </c>
      <c r="I1381">
        <v>566</v>
      </c>
      <c r="J1381">
        <v>7</v>
      </c>
      <c r="K1381">
        <v>22</v>
      </c>
      <c r="L1381">
        <v>23.42</v>
      </c>
      <c r="M1381">
        <v>223.68</v>
      </c>
      <c r="N1381">
        <f>_xlfn.XLOOKUP(Table13[[#This Row],[Production_Order_ID]],[1]Sheet1!$A$2:$A$391,[1]Sheet1!$F$2:$F$391,"No Match")</f>
        <v>540</v>
      </c>
      <c r="O1381" s="3">
        <f>Table13[[#This Row],[Good_Qty]]/Table13[[#This Row],[Planned_Production]]</f>
        <v>1.0481481481481481</v>
      </c>
      <c r="P1381" t="str">
        <f>IF(Table13[[#This Row],[Good_Qty]]&gt;=Table13[[#This Row],[Planned_Production]],"Met","Not Met")</f>
        <v>Met</v>
      </c>
      <c r="Q1381">
        <f>Table13[[#This Row],[Good_Qty]]-Table13[[#This Row],[Planned_Production]]</f>
        <v>26</v>
      </c>
      <c r="R1381" s="3">
        <f>IF(Table13[[#This Row],[Actual_Qty]]=0,0,Table13[[#This Row],[Reject_Qty]]/Table13[[#This Row],[Actual_Qty]])</f>
        <v>1.2216404886561954E-2</v>
      </c>
      <c r="S1381">
        <v>438.94</v>
      </c>
      <c r="T1381">
        <f>(Table13[[#This Row],[Ideal_Cycle_Time_sec]]*Table13[[#This Row],[Actual_Qty]])/(Table13[[#This Row],[Operational_Time_min]]*60)</f>
        <v>0.47865311887729528</v>
      </c>
      <c r="U1381">
        <f>Table13[[#This Row],[Good_Qty]]/Table13[[#This Row],[Actual_Qty]]</f>
        <v>0.98778359511343805</v>
      </c>
      <c r="V1381" t="str">
        <f>IF(OR(Table13[[#This Row],[Performance_%]]&gt;=1,Table13[[#This Row],[Performance_%]]&lt;=0),"Error","OK")</f>
        <v>OK</v>
      </c>
      <c r="W1381" t="str">
        <f>IF(OR(Table13[[#This Row],[Quality_%]]&gt;=1,Table13[[#This Row],[Quality_%]]&lt;=0),"Error","OK")</f>
        <v>OK</v>
      </c>
      <c r="X1381">
        <f>Table13[[#This Row],[Performance_%]]*Table13[[#This Row],[Quality_%]]*[2]Availability_KPI!K1381</f>
        <v>0.4611851851851852</v>
      </c>
      <c r="Y1381" t="str">
        <f>IF(OR(Table13[[#This Row],[OEE_%]]&gt;1,Table13[[#This Row],[OEE_%]]&lt;0),"Error","OK")</f>
        <v>OK</v>
      </c>
    </row>
    <row r="1382" spans="1:25" x14ac:dyDescent="0.2">
      <c r="A1382" t="s">
        <v>1604</v>
      </c>
      <c r="B1382" t="s">
        <v>1600</v>
      </c>
      <c r="C1382" s="2">
        <v>46316</v>
      </c>
      <c r="D1382" t="s">
        <v>53</v>
      </c>
      <c r="E1382" t="s">
        <v>41</v>
      </c>
      <c r="F1382" t="s">
        <v>29</v>
      </c>
      <c r="G1382" t="s">
        <v>47</v>
      </c>
      <c r="H1382">
        <v>564</v>
      </c>
      <c r="I1382">
        <v>561</v>
      </c>
      <c r="J1382">
        <v>3</v>
      </c>
      <c r="K1382">
        <v>19.8</v>
      </c>
      <c r="L1382">
        <v>20.78</v>
      </c>
      <c r="M1382">
        <v>195.32</v>
      </c>
      <c r="N1382">
        <f>_xlfn.XLOOKUP(Table13[[#This Row],[Production_Order_ID]],[1]Sheet1!$A$2:$A$391,[1]Sheet1!$F$2:$F$391,"No Match")</f>
        <v>540</v>
      </c>
      <c r="O1382" s="3">
        <f>Table13[[#This Row],[Good_Qty]]/Table13[[#This Row],[Planned_Production]]</f>
        <v>1.038888888888889</v>
      </c>
      <c r="P1382" t="str">
        <f>IF(Table13[[#This Row],[Good_Qty]]&gt;=Table13[[#This Row],[Planned_Production]],"Met","Not Met")</f>
        <v>Met</v>
      </c>
      <c r="Q1382">
        <f>Table13[[#This Row],[Good_Qty]]-Table13[[#This Row],[Planned_Production]]</f>
        <v>21</v>
      </c>
      <c r="R1382" s="3">
        <f>IF(Table13[[#This Row],[Actual_Qty]]=0,0,Table13[[#This Row],[Reject_Qty]]/Table13[[#This Row],[Actual_Qty]])</f>
        <v>5.3191489361702126E-3</v>
      </c>
      <c r="S1382">
        <v>437.68</v>
      </c>
      <c r="T1382">
        <f>(Table13[[#This Row],[Ideal_Cycle_Time_sec]]*Table13[[#This Row],[Actual_Qty]])/(Table13[[#This Row],[Operational_Time_min]]*60)</f>
        <v>0.42524218607201614</v>
      </c>
      <c r="U1382">
        <f>Table13[[#This Row],[Good_Qty]]/Table13[[#This Row],[Actual_Qty]]</f>
        <v>0.99468085106382975</v>
      </c>
      <c r="V1382" t="str">
        <f>IF(OR(Table13[[#This Row],[Performance_%]]&gt;=1,Table13[[#This Row],[Performance_%]]&lt;=0),"Error","OK")</f>
        <v>OK</v>
      </c>
      <c r="W1382" t="str">
        <f>IF(OR(Table13[[#This Row],[Quality_%]]&gt;=1,Table13[[#This Row],[Quality_%]]&lt;=0),"Error","OK")</f>
        <v>OK</v>
      </c>
      <c r="X1382">
        <f>Table13[[#This Row],[Performance_%]]*Table13[[#This Row],[Quality_%]]*[2]Availability_KPI!K1382</f>
        <v>0.41140000000000004</v>
      </c>
      <c r="Y1382" t="str">
        <f>IF(OR(Table13[[#This Row],[OEE_%]]&gt;1,Table13[[#This Row],[OEE_%]]&lt;0),"Error","OK")</f>
        <v>OK</v>
      </c>
    </row>
    <row r="1383" spans="1:25" x14ac:dyDescent="0.2">
      <c r="A1383" t="s">
        <v>1605</v>
      </c>
      <c r="B1383" t="s">
        <v>1600</v>
      </c>
      <c r="C1383" s="2">
        <v>46316</v>
      </c>
      <c r="D1383" t="s">
        <v>53</v>
      </c>
      <c r="E1383" t="s">
        <v>43</v>
      </c>
      <c r="F1383" t="s">
        <v>29</v>
      </c>
      <c r="G1383" t="s">
        <v>75</v>
      </c>
      <c r="H1383">
        <v>562</v>
      </c>
      <c r="I1383">
        <v>553</v>
      </c>
      <c r="J1383">
        <v>9</v>
      </c>
      <c r="K1383">
        <v>35.200000000000003</v>
      </c>
      <c r="L1383">
        <v>36.6</v>
      </c>
      <c r="M1383">
        <v>342.86</v>
      </c>
      <c r="N1383">
        <f>_xlfn.XLOOKUP(Table13[[#This Row],[Production_Order_ID]],[1]Sheet1!$A$2:$A$391,[1]Sheet1!$F$2:$F$391,"No Match")</f>
        <v>540</v>
      </c>
      <c r="O1383" s="3">
        <f>Table13[[#This Row],[Good_Qty]]/Table13[[#This Row],[Planned_Production]]</f>
        <v>1.0240740740740741</v>
      </c>
      <c r="P1383" t="str">
        <f>IF(Table13[[#This Row],[Good_Qty]]&gt;=Table13[[#This Row],[Planned_Production]],"Met","Not Met")</f>
        <v>Met</v>
      </c>
      <c r="Q1383">
        <f>Table13[[#This Row],[Good_Qty]]-Table13[[#This Row],[Planned_Production]]</f>
        <v>13</v>
      </c>
      <c r="R1383" s="3">
        <f>IF(Table13[[#This Row],[Actual_Qty]]=0,0,Table13[[#This Row],[Reject_Qty]]/Table13[[#This Row],[Actual_Qty]])</f>
        <v>1.601423487544484E-2</v>
      </c>
      <c r="S1383">
        <v>405.52</v>
      </c>
      <c r="T1383">
        <f>(Table13[[#This Row],[Ideal_Cycle_Time_sec]]*Table13[[#This Row],[Actual_Qty]])/(Table13[[#This Row],[Operational_Time_min]]*60)</f>
        <v>0.81304662326560151</v>
      </c>
      <c r="U1383">
        <f>Table13[[#This Row],[Good_Qty]]/Table13[[#This Row],[Actual_Qty]]</f>
        <v>0.98398576512455516</v>
      </c>
      <c r="V1383" t="str">
        <f>IF(OR(Table13[[#This Row],[Performance_%]]&gt;=1,Table13[[#This Row],[Performance_%]]&lt;=0),"Error","OK")</f>
        <v>OK</v>
      </c>
      <c r="W1383" t="str">
        <f>IF(OR(Table13[[#This Row],[Quality_%]]&gt;=1,Table13[[#This Row],[Quality_%]]&lt;=0),"Error","OK")</f>
        <v>OK</v>
      </c>
      <c r="X1383">
        <f>Table13[[#This Row],[Performance_%]]*Table13[[#This Row],[Quality_%]]*[2]Availability_KPI!K1383</f>
        <v>0.72094814814814823</v>
      </c>
      <c r="Y1383" t="str">
        <f>IF(OR(Table13[[#This Row],[OEE_%]]&gt;1,Table13[[#This Row],[OEE_%]]&lt;0),"Error","OK")</f>
        <v>OK</v>
      </c>
    </row>
    <row r="1384" spans="1:25" x14ac:dyDescent="0.2">
      <c r="A1384" t="s">
        <v>1606</v>
      </c>
      <c r="B1384" t="s">
        <v>1600</v>
      </c>
      <c r="C1384" s="2">
        <v>46316</v>
      </c>
      <c r="D1384" t="s">
        <v>53</v>
      </c>
      <c r="E1384" t="s">
        <v>46</v>
      </c>
      <c r="F1384" t="s">
        <v>29</v>
      </c>
      <c r="G1384" t="s">
        <v>47</v>
      </c>
      <c r="H1384">
        <v>565</v>
      </c>
      <c r="I1384">
        <v>559</v>
      </c>
      <c r="J1384">
        <v>6</v>
      </c>
      <c r="K1384">
        <v>27.5</v>
      </c>
      <c r="L1384">
        <v>28.64</v>
      </c>
      <c r="M1384">
        <v>269.74</v>
      </c>
      <c r="N1384">
        <f>_xlfn.XLOOKUP(Table13[[#This Row],[Production_Order_ID]],[1]Sheet1!$A$2:$A$391,[1]Sheet1!$F$2:$F$391,"No Match")</f>
        <v>540</v>
      </c>
      <c r="O1384" s="3">
        <f>Table13[[#This Row],[Good_Qty]]/Table13[[#This Row],[Planned_Production]]</f>
        <v>1.0351851851851852</v>
      </c>
      <c r="P1384" t="str">
        <f>IF(Table13[[#This Row],[Good_Qty]]&gt;=Table13[[#This Row],[Planned_Production]],"Met","Not Met")</f>
        <v>Met</v>
      </c>
      <c r="Q1384">
        <f>Table13[[#This Row],[Good_Qty]]-Table13[[#This Row],[Planned_Production]]</f>
        <v>19</v>
      </c>
      <c r="R1384" s="3">
        <f>IF(Table13[[#This Row],[Actual_Qty]]=0,0,Table13[[#This Row],[Reject_Qty]]/Table13[[#This Row],[Actual_Qty]])</f>
        <v>1.0619469026548672E-2</v>
      </c>
      <c r="S1384">
        <v>425.1</v>
      </c>
      <c r="T1384">
        <f>(Table13[[#This Row],[Ideal_Cycle_Time_sec]]*Table13[[#This Row],[Actual_Qty]])/(Table13[[#This Row],[Operational_Time_min]]*60)</f>
        <v>0.609170391280483</v>
      </c>
      <c r="U1384">
        <f>Table13[[#This Row],[Good_Qty]]/Table13[[#This Row],[Actual_Qty]]</f>
        <v>0.98938053097345136</v>
      </c>
      <c r="V1384" t="str">
        <f>IF(OR(Table13[[#This Row],[Performance_%]]&gt;=1,Table13[[#This Row],[Performance_%]]&lt;=0),"Error","OK")</f>
        <v>OK</v>
      </c>
      <c r="W1384" t="str">
        <f>IF(OR(Table13[[#This Row],[Quality_%]]&gt;=1,Table13[[#This Row],[Quality_%]]&lt;=0),"Error","OK")</f>
        <v>OK</v>
      </c>
      <c r="X1384">
        <f>Table13[[#This Row],[Performance_%]]*Table13[[#This Row],[Quality_%]]*[2]Availability_KPI!K1384</f>
        <v>0.56935185185185189</v>
      </c>
      <c r="Y1384" t="str">
        <f>IF(OR(Table13[[#This Row],[OEE_%]]&gt;1,Table13[[#This Row],[OEE_%]]&lt;0),"Error","OK")</f>
        <v>OK</v>
      </c>
    </row>
    <row r="1385" spans="1:25" x14ac:dyDescent="0.2">
      <c r="A1385" t="s">
        <v>1607</v>
      </c>
      <c r="B1385" t="s">
        <v>1600</v>
      </c>
      <c r="C1385" s="2">
        <v>46316</v>
      </c>
      <c r="D1385" t="s">
        <v>53</v>
      </c>
      <c r="E1385" t="s">
        <v>49</v>
      </c>
      <c r="F1385" t="s">
        <v>29</v>
      </c>
      <c r="G1385" t="s">
        <v>44</v>
      </c>
      <c r="H1385">
        <v>558</v>
      </c>
      <c r="I1385">
        <v>556</v>
      </c>
      <c r="J1385">
        <v>2</v>
      </c>
      <c r="K1385">
        <v>22</v>
      </c>
      <c r="L1385">
        <v>23.21</v>
      </c>
      <c r="M1385">
        <v>215.86</v>
      </c>
      <c r="N1385">
        <f>_xlfn.XLOOKUP(Table13[[#This Row],[Production_Order_ID]],[1]Sheet1!$A$2:$A$391,[1]Sheet1!$F$2:$F$391,"No Match")</f>
        <v>540</v>
      </c>
      <c r="O1385" s="3">
        <f>Table13[[#This Row],[Good_Qty]]/Table13[[#This Row],[Planned_Production]]</f>
        <v>1.0296296296296297</v>
      </c>
      <c r="P1385" t="str">
        <f>IF(Table13[[#This Row],[Good_Qty]]&gt;=Table13[[#This Row],[Planned_Production]],"Met","Not Met")</f>
        <v>Met</v>
      </c>
      <c r="Q1385">
        <f>Table13[[#This Row],[Good_Qty]]-Table13[[#This Row],[Planned_Production]]</f>
        <v>16</v>
      </c>
      <c r="R1385" s="3">
        <f>IF(Table13[[#This Row],[Actual_Qty]]=0,0,Table13[[#This Row],[Reject_Qty]]/Table13[[#This Row],[Actual_Qty]])</f>
        <v>3.5842293906810036E-3</v>
      </c>
      <c r="S1385">
        <v>442.47</v>
      </c>
      <c r="T1385">
        <f>(Table13[[#This Row],[Ideal_Cycle_Time_sec]]*Table13[[#This Row],[Actual_Qty]])/(Table13[[#This Row],[Operational_Time_min]]*60)</f>
        <v>0.46240423079530812</v>
      </c>
      <c r="U1385">
        <f>Table13[[#This Row],[Good_Qty]]/Table13[[#This Row],[Actual_Qty]]</f>
        <v>0.99641577060931896</v>
      </c>
      <c r="V1385" t="str">
        <f>IF(OR(Table13[[#This Row],[Performance_%]]&gt;=1,Table13[[#This Row],[Performance_%]]&lt;=0),"Error","OK")</f>
        <v>OK</v>
      </c>
      <c r="W1385" t="str">
        <f>IF(OR(Table13[[#This Row],[Quality_%]]&gt;=1,Table13[[#This Row],[Quality_%]]&lt;=0),"Error","OK")</f>
        <v>OK</v>
      </c>
      <c r="X1385">
        <f>Table13[[#This Row],[Performance_%]]*Table13[[#This Row],[Quality_%]]*[2]Availability_KPI!K1385</f>
        <v>0.45303703703703707</v>
      </c>
      <c r="Y1385" t="str">
        <f>IF(OR(Table13[[#This Row],[OEE_%]]&gt;1,Table13[[#This Row],[OEE_%]]&lt;0),"Error","OK")</f>
        <v>OK</v>
      </c>
    </row>
    <row r="1386" spans="1:25" x14ac:dyDescent="0.2">
      <c r="A1386" t="s">
        <v>1608</v>
      </c>
      <c r="B1386" t="s">
        <v>1609</v>
      </c>
      <c r="C1386" s="2">
        <v>46316</v>
      </c>
      <c r="D1386" t="s">
        <v>67</v>
      </c>
      <c r="E1386" t="s">
        <v>28</v>
      </c>
      <c r="F1386" t="s">
        <v>54</v>
      </c>
      <c r="G1386" t="s">
        <v>61</v>
      </c>
      <c r="H1386">
        <v>617</v>
      </c>
      <c r="I1386">
        <v>615</v>
      </c>
      <c r="J1386">
        <v>2</v>
      </c>
      <c r="K1386">
        <v>18</v>
      </c>
      <c r="L1386">
        <v>19.739999999999998</v>
      </c>
      <c r="M1386">
        <v>202.98</v>
      </c>
      <c r="N1386">
        <f>_xlfn.XLOOKUP(Table13[[#This Row],[Production_Order_ID]],[1]Sheet1!$A$2:$A$391,[1]Sheet1!$F$2:$F$391,"No Match")</f>
        <v>450</v>
      </c>
      <c r="O1386" s="3">
        <f>Table13[[#This Row],[Good_Qty]]/Table13[[#This Row],[Planned_Production]]</f>
        <v>1.3666666666666667</v>
      </c>
      <c r="P1386" t="str">
        <f>IF(Table13[[#This Row],[Good_Qty]]&gt;=Table13[[#This Row],[Planned_Production]],"Met","Not Met")</f>
        <v>Met</v>
      </c>
      <c r="Q1386">
        <f>Table13[[#This Row],[Good_Qty]]-Table13[[#This Row],[Planned_Production]]</f>
        <v>165</v>
      </c>
      <c r="R1386" s="3">
        <f>IF(Table13[[#This Row],[Actual_Qty]]=0,0,Table13[[#This Row],[Reject_Qty]]/Table13[[#This Row],[Actual_Qty]])</f>
        <v>3.2414910858995136E-3</v>
      </c>
      <c r="S1386">
        <v>442.18</v>
      </c>
      <c r="T1386">
        <f>(Table13[[#This Row],[Ideal_Cycle_Time_sec]]*Table13[[#This Row],[Actual_Qty]])/(Table13[[#This Row],[Operational_Time_min]]*60)</f>
        <v>0.41860780677552129</v>
      </c>
      <c r="U1386">
        <f>Table13[[#This Row],[Good_Qty]]/Table13[[#This Row],[Actual_Qty]]</f>
        <v>0.99675850891410045</v>
      </c>
      <c r="V1386" t="str">
        <f>IF(OR(Table13[[#This Row],[Performance_%]]&gt;=1,Table13[[#This Row],[Performance_%]]&lt;=0),"Error","OK")</f>
        <v>OK</v>
      </c>
      <c r="W1386" t="str">
        <f>IF(OR(Table13[[#This Row],[Quality_%]]&gt;=1,Table13[[#This Row],[Quality_%]]&lt;=0),"Error","OK")</f>
        <v>OK</v>
      </c>
      <c r="X1386">
        <f>Table13[[#This Row],[Performance_%]]*Table13[[#This Row],[Quality_%]]*[2]Availability_KPI!K1386</f>
        <v>0.41000000000000003</v>
      </c>
      <c r="Y1386" t="str">
        <f>IF(OR(Table13[[#This Row],[OEE_%]]&gt;1,Table13[[#This Row],[OEE_%]]&lt;0),"Error","OK")</f>
        <v>OK</v>
      </c>
    </row>
    <row r="1387" spans="1:25" x14ac:dyDescent="0.2">
      <c r="A1387" t="s">
        <v>1610</v>
      </c>
      <c r="B1387" t="s">
        <v>1609</v>
      </c>
      <c r="C1387" s="2">
        <v>46316</v>
      </c>
      <c r="D1387" t="s">
        <v>67</v>
      </c>
      <c r="E1387" t="s">
        <v>32</v>
      </c>
      <c r="F1387" t="s">
        <v>54</v>
      </c>
      <c r="G1387" t="s">
        <v>55</v>
      </c>
      <c r="H1387">
        <v>622</v>
      </c>
      <c r="I1387">
        <v>621</v>
      </c>
      <c r="J1387">
        <v>1</v>
      </c>
      <c r="K1387">
        <v>20</v>
      </c>
      <c r="L1387">
        <v>20.170000000000002</v>
      </c>
      <c r="M1387">
        <v>209.09</v>
      </c>
      <c r="N1387">
        <f>_xlfn.XLOOKUP(Table13[[#This Row],[Production_Order_ID]],[1]Sheet1!$A$2:$A$391,[1]Sheet1!$F$2:$F$391,"No Match")</f>
        <v>450</v>
      </c>
      <c r="O1387" s="3">
        <f>Table13[[#This Row],[Good_Qty]]/Table13[[#This Row],[Planned_Production]]</f>
        <v>1.38</v>
      </c>
      <c r="P1387" t="str">
        <f>IF(Table13[[#This Row],[Good_Qty]]&gt;=Table13[[#This Row],[Planned_Production]],"Met","Not Met")</f>
        <v>Met</v>
      </c>
      <c r="Q1387">
        <f>Table13[[#This Row],[Good_Qty]]-Table13[[#This Row],[Planned_Production]]</f>
        <v>171</v>
      </c>
      <c r="R1387" s="3">
        <f>IF(Table13[[#This Row],[Actual_Qty]]=0,0,Table13[[#This Row],[Reject_Qty]]/Table13[[#This Row],[Actual_Qty]])</f>
        <v>1.6077170418006431E-3</v>
      </c>
      <c r="S1387">
        <v>436.27</v>
      </c>
      <c r="T1387">
        <f>(Table13[[#This Row],[Ideal_Cycle_Time_sec]]*Table13[[#This Row],[Actual_Qty]])/(Table13[[#This Row],[Operational_Time_min]]*60)</f>
        <v>0.47524086765840728</v>
      </c>
      <c r="U1387">
        <f>Table13[[#This Row],[Good_Qty]]/Table13[[#This Row],[Actual_Qty]]</f>
        <v>0.99839228295819937</v>
      </c>
      <c r="V1387" t="str">
        <f>IF(OR(Table13[[#This Row],[Performance_%]]&gt;=1,Table13[[#This Row],[Performance_%]]&lt;=0),"Error","OK")</f>
        <v>OK</v>
      </c>
      <c r="W1387" t="str">
        <f>IF(OR(Table13[[#This Row],[Quality_%]]&gt;=1,Table13[[#This Row],[Quality_%]]&lt;=0),"Error","OK")</f>
        <v>OK</v>
      </c>
      <c r="X1387">
        <f>Table13[[#This Row],[Performance_%]]*Table13[[#This Row],[Quality_%]]*[2]Availability_KPI!K1387</f>
        <v>0.46</v>
      </c>
      <c r="Y1387" t="str">
        <f>IF(OR(Table13[[#This Row],[OEE_%]]&gt;1,Table13[[#This Row],[OEE_%]]&lt;0),"Error","OK")</f>
        <v>OK</v>
      </c>
    </row>
    <row r="1388" spans="1:25" x14ac:dyDescent="0.2">
      <c r="A1388" t="s">
        <v>1611</v>
      </c>
      <c r="B1388" t="s">
        <v>1609</v>
      </c>
      <c r="C1388" s="2">
        <v>46316</v>
      </c>
      <c r="D1388" t="s">
        <v>67</v>
      </c>
      <c r="E1388" t="s">
        <v>35</v>
      </c>
      <c r="F1388" t="s">
        <v>54</v>
      </c>
      <c r="G1388" t="s">
        <v>47</v>
      </c>
      <c r="H1388">
        <v>591</v>
      </c>
      <c r="I1388">
        <v>588</v>
      </c>
      <c r="J1388">
        <v>3</v>
      </c>
      <c r="K1388">
        <v>22</v>
      </c>
      <c r="L1388">
        <v>23.12</v>
      </c>
      <c r="M1388">
        <v>227.77</v>
      </c>
      <c r="N1388">
        <f>_xlfn.XLOOKUP(Table13[[#This Row],[Production_Order_ID]],[1]Sheet1!$A$2:$A$391,[1]Sheet1!$F$2:$F$391,"No Match")</f>
        <v>450</v>
      </c>
      <c r="O1388" s="3">
        <f>Table13[[#This Row],[Good_Qty]]/Table13[[#This Row],[Planned_Production]]</f>
        <v>1.3066666666666666</v>
      </c>
      <c r="P1388" t="str">
        <f>IF(Table13[[#This Row],[Good_Qty]]&gt;=Table13[[#This Row],[Planned_Production]],"Met","Not Met")</f>
        <v>Met</v>
      </c>
      <c r="Q1388">
        <f>Table13[[#This Row],[Good_Qty]]-Table13[[#This Row],[Planned_Production]]</f>
        <v>138</v>
      </c>
      <c r="R1388" s="3">
        <f>IF(Table13[[#This Row],[Actual_Qty]]=0,0,Table13[[#This Row],[Reject_Qty]]/Table13[[#This Row],[Actual_Qty]])</f>
        <v>5.076142131979695E-3</v>
      </c>
      <c r="S1388">
        <v>438.71</v>
      </c>
      <c r="T1388">
        <f>(Table13[[#This Row],[Ideal_Cycle_Time_sec]]*Table13[[#This Row],[Actual_Qty]])/(Table13[[#This Row],[Operational_Time_min]]*60)</f>
        <v>0.49394816621458371</v>
      </c>
      <c r="U1388">
        <f>Table13[[#This Row],[Good_Qty]]/Table13[[#This Row],[Actual_Qty]]</f>
        <v>0.99492385786802029</v>
      </c>
      <c r="V1388" t="str">
        <f>IF(OR(Table13[[#This Row],[Performance_%]]&gt;=1,Table13[[#This Row],[Performance_%]]&lt;=0),"Error","OK")</f>
        <v>OK</v>
      </c>
      <c r="W1388" t="str">
        <f>IF(OR(Table13[[#This Row],[Quality_%]]&gt;=1,Table13[[#This Row],[Quality_%]]&lt;=0),"Error","OK")</f>
        <v>OK</v>
      </c>
      <c r="X1388">
        <f>Table13[[#This Row],[Performance_%]]*Table13[[#This Row],[Quality_%]]*[2]Availability_KPI!K1388</f>
        <v>0.4791111111111111</v>
      </c>
      <c r="Y1388" t="str">
        <f>IF(OR(Table13[[#This Row],[OEE_%]]&gt;1,Table13[[#This Row],[OEE_%]]&lt;0),"Error","OK")</f>
        <v>OK</v>
      </c>
    </row>
    <row r="1389" spans="1:25" x14ac:dyDescent="0.2">
      <c r="A1389" t="s">
        <v>1612</v>
      </c>
      <c r="B1389" t="s">
        <v>1609</v>
      </c>
      <c r="C1389" s="2">
        <v>46316</v>
      </c>
      <c r="D1389" t="s">
        <v>67</v>
      </c>
      <c r="E1389" t="s">
        <v>38</v>
      </c>
      <c r="F1389" t="s">
        <v>54</v>
      </c>
      <c r="G1389" t="s">
        <v>57</v>
      </c>
      <c r="H1389">
        <v>601</v>
      </c>
      <c r="I1389">
        <v>596</v>
      </c>
      <c r="J1389">
        <v>5</v>
      </c>
      <c r="K1389">
        <v>20</v>
      </c>
      <c r="L1389">
        <v>21.12</v>
      </c>
      <c r="M1389">
        <v>211.53</v>
      </c>
      <c r="N1389">
        <f>_xlfn.XLOOKUP(Table13[[#This Row],[Production_Order_ID]],[1]Sheet1!$A$2:$A$391,[1]Sheet1!$F$2:$F$391,"No Match")</f>
        <v>450</v>
      </c>
      <c r="O1389" s="3">
        <f>Table13[[#This Row],[Good_Qty]]/Table13[[#This Row],[Planned_Production]]</f>
        <v>1.3244444444444445</v>
      </c>
      <c r="P1389" t="str">
        <f>IF(Table13[[#This Row],[Good_Qty]]&gt;=Table13[[#This Row],[Planned_Production]],"Met","Not Met")</f>
        <v>Met</v>
      </c>
      <c r="Q1389">
        <f>Table13[[#This Row],[Good_Qty]]-Table13[[#This Row],[Planned_Production]]</f>
        <v>146</v>
      </c>
      <c r="R1389" s="3">
        <f>IF(Table13[[#This Row],[Actual_Qty]]=0,0,Table13[[#This Row],[Reject_Qty]]/Table13[[#This Row],[Actual_Qty]])</f>
        <v>8.3194675540765387E-3</v>
      </c>
      <c r="S1389">
        <v>438.71</v>
      </c>
      <c r="T1389">
        <f>(Table13[[#This Row],[Ideal_Cycle_Time_sec]]*Table13[[#This Row],[Actual_Qty]])/(Table13[[#This Row],[Operational_Time_min]]*60)</f>
        <v>0.45664182109670021</v>
      </c>
      <c r="U1389">
        <f>Table13[[#This Row],[Good_Qty]]/Table13[[#This Row],[Actual_Qty]]</f>
        <v>0.99168053244592347</v>
      </c>
      <c r="V1389" t="str">
        <f>IF(OR(Table13[[#This Row],[Performance_%]]&gt;=1,Table13[[#This Row],[Performance_%]]&lt;=0),"Error","OK")</f>
        <v>OK</v>
      </c>
      <c r="W1389" t="str">
        <f>IF(OR(Table13[[#This Row],[Quality_%]]&gt;=1,Table13[[#This Row],[Quality_%]]&lt;=0),"Error","OK")</f>
        <v>OK</v>
      </c>
      <c r="X1389">
        <f>Table13[[#This Row],[Performance_%]]*Table13[[#This Row],[Quality_%]]*[2]Availability_KPI!K1389</f>
        <v>0.44148148148148147</v>
      </c>
      <c r="Y1389" t="str">
        <f>IF(OR(Table13[[#This Row],[OEE_%]]&gt;1,Table13[[#This Row],[OEE_%]]&lt;0),"Error","OK")</f>
        <v>OK</v>
      </c>
    </row>
    <row r="1390" spans="1:25" x14ac:dyDescent="0.2">
      <c r="A1390" t="s">
        <v>1613</v>
      </c>
      <c r="B1390" t="s">
        <v>1609</v>
      </c>
      <c r="C1390" s="2">
        <v>46316</v>
      </c>
      <c r="D1390" t="s">
        <v>67</v>
      </c>
      <c r="E1390" t="s">
        <v>41</v>
      </c>
      <c r="F1390" t="s">
        <v>54</v>
      </c>
      <c r="G1390" t="s">
        <v>39</v>
      </c>
      <c r="H1390">
        <v>618</v>
      </c>
      <c r="I1390">
        <v>613</v>
      </c>
      <c r="J1390">
        <v>5</v>
      </c>
      <c r="K1390">
        <v>18</v>
      </c>
      <c r="L1390">
        <v>18.100000000000001</v>
      </c>
      <c r="M1390">
        <v>186.46</v>
      </c>
      <c r="N1390">
        <f>_xlfn.XLOOKUP(Table13[[#This Row],[Production_Order_ID]],[1]Sheet1!$A$2:$A$391,[1]Sheet1!$F$2:$F$391,"No Match")</f>
        <v>450</v>
      </c>
      <c r="O1390" s="3">
        <f>Table13[[#This Row],[Good_Qty]]/Table13[[#This Row],[Planned_Production]]</f>
        <v>1.3622222222222222</v>
      </c>
      <c r="P1390" t="str">
        <f>IF(Table13[[#This Row],[Good_Qty]]&gt;=Table13[[#This Row],[Planned_Production]],"Met","Not Met")</f>
        <v>Met</v>
      </c>
      <c r="Q1390">
        <f>Table13[[#This Row],[Good_Qty]]-Table13[[#This Row],[Planned_Production]]</f>
        <v>163</v>
      </c>
      <c r="R1390" s="3">
        <f>IF(Table13[[#This Row],[Actual_Qty]]=0,0,Table13[[#This Row],[Reject_Qty]]/Table13[[#This Row],[Actual_Qty]])</f>
        <v>8.0906148867313909E-3</v>
      </c>
      <c r="S1390">
        <v>438.58</v>
      </c>
      <c r="T1390">
        <f>(Table13[[#This Row],[Ideal_Cycle_Time_sec]]*Table13[[#This Row],[Actual_Qty]])/(Table13[[#This Row],[Operational_Time_min]]*60)</f>
        <v>0.4227278945688358</v>
      </c>
      <c r="U1390">
        <f>Table13[[#This Row],[Good_Qty]]/Table13[[#This Row],[Actual_Qty]]</f>
        <v>0.99190938511326865</v>
      </c>
      <c r="V1390" t="str">
        <f>IF(OR(Table13[[#This Row],[Performance_%]]&gt;=1,Table13[[#This Row],[Performance_%]]&lt;=0),"Error","OK")</f>
        <v>OK</v>
      </c>
      <c r="W1390" t="str">
        <f>IF(OR(Table13[[#This Row],[Quality_%]]&gt;=1,Table13[[#This Row],[Quality_%]]&lt;=0),"Error","OK")</f>
        <v>OK</v>
      </c>
      <c r="X1390">
        <f>Table13[[#This Row],[Performance_%]]*Table13[[#This Row],[Quality_%]]*[2]Availability_KPI!K1390</f>
        <v>0.40866666666666668</v>
      </c>
      <c r="Y1390" t="str">
        <f>IF(OR(Table13[[#This Row],[OEE_%]]&gt;1,Table13[[#This Row],[OEE_%]]&lt;0),"Error","OK")</f>
        <v>OK</v>
      </c>
    </row>
    <row r="1391" spans="1:25" x14ac:dyDescent="0.2">
      <c r="A1391" t="s">
        <v>1614</v>
      </c>
      <c r="B1391" t="s">
        <v>1609</v>
      </c>
      <c r="C1391" s="2">
        <v>46316</v>
      </c>
      <c r="D1391" t="s">
        <v>67</v>
      </c>
      <c r="E1391" t="s">
        <v>43</v>
      </c>
      <c r="F1391" t="s">
        <v>54</v>
      </c>
      <c r="G1391" t="s">
        <v>33</v>
      </c>
      <c r="H1391">
        <v>616</v>
      </c>
      <c r="I1391">
        <v>604</v>
      </c>
      <c r="J1391">
        <v>12</v>
      </c>
      <c r="K1391">
        <v>32</v>
      </c>
      <c r="L1391">
        <v>33.83</v>
      </c>
      <c r="M1391">
        <v>347.29</v>
      </c>
      <c r="N1391">
        <f>_xlfn.XLOOKUP(Table13[[#This Row],[Production_Order_ID]],[1]Sheet1!$A$2:$A$391,[1]Sheet1!$F$2:$F$391,"No Match")</f>
        <v>450</v>
      </c>
      <c r="O1391" s="3">
        <f>Table13[[#This Row],[Good_Qty]]/Table13[[#This Row],[Planned_Production]]</f>
        <v>1.3422222222222222</v>
      </c>
      <c r="P1391" t="str">
        <f>IF(Table13[[#This Row],[Good_Qty]]&gt;=Table13[[#This Row],[Planned_Production]],"Met","Not Met")</f>
        <v>Met</v>
      </c>
      <c r="Q1391">
        <f>Table13[[#This Row],[Good_Qty]]-Table13[[#This Row],[Planned_Production]]</f>
        <v>154</v>
      </c>
      <c r="R1391" s="3">
        <f>IF(Table13[[#This Row],[Actual_Qty]]=0,0,Table13[[#This Row],[Reject_Qty]]/Table13[[#This Row],[Actual_Qty]])</f>
        <v>1.948051948051948E-2</v>
      </c>
      <c r="S1391">
        <v>419.72</v>
      </c>
      <c r="T1391">
        <f>(Table13[[#This Row],[Ideal_Cycle_Time_sec]]*Table13[[#This Row],[Actual_Qty]])/(Table13[[#This Row],[Operational_Time_min]]*60)</f>
        <v>0.78274405158994886</v>
      </c>
      <c r="U1391">
        <f>Table13[[#This Row],[Good_Qty]]/Table13[[#This Row],[Actual_Qty]]</f>
        <v>0.98051948051948057</v>
      </c>
      <c r="V1391" t="str">
        <f>IF(OR(Table13[[#This Row],[Performance_%]]&gt;=1,Table13[[#This Row],[Performance_%]]&lt;=0),"Error","OK")</f>
        <v>OK</v>
      </c>
      <c r="W1391" t="str">
        <f>IF(OR(Table13[[#This Row],[Quality_%]]&gt;=1,Table13[[#This Row],[Quality_%]]&lt;=0),"Error","OK")</f>
        <v>OK</v>
      </c>
      <c r="X1391">
        <f>Table13[[#This Row],[Performance_%]]*Table13[[#This Row],[Quality_%]]*[2]Availability_KPI!K1391</f>
        <v>0.71585185185185185</v>
      </c>
      <c r="Y1391" t="str">
        <f>IF(OR(Table13[[#This Row],[OEE_%]]&gt;1,Table13[[#This Row],[OEE_%]]&lt;0),"Error","OK")</f>
        <v>OK</v>
      </c>
    </row>
    <row r="1392" spans="1:25" x14ac:dyDescent="0.2">
      <c r="A1392" t="s">
        <v>1615</v>
      </c>
      <c r="B1392" t="s">
        <v>1609</v>
      </c>
      <c r="C1392" s="2">
        <v>46316</v>
      </c>
      <c r="D1392" t="s">
        <v>67</v>
      </c>
      <c r="E1392" t="s">
        <v>46</v>
      </c>
      <c r="F1392" t="s">
        <v>54</v>
      </c>
      <c r="G1392" t="s">
        <v>47</v>
      </c>
      <c r="H1392">
        <v>604</v>
      </c>
      <c r="I1392">
        <v>598</v>
      </c>
      <c r="J1392">
        <v>6</v>
      </c>
      <c r="K1392">
        <v>25</v>
      </c>
      <c r="L1392">
        <v>26.61</v>
      </c>
      <c r="M1392">
        <v>267.89999999999998</v>
      </c>
      <c r="N1392">
        <f>_xlfn.XLOOKUP(Table13[[#This Row],[Production_Order_ID]],[1]Sheet1!$A$2:$A$391,[1]Sheet1!$F$2:$F$391,"No Match")</f>
        <v>450</v>
      </c>
      <c r="O1392" s="3">
        <f>Table13[[#This Row],[Good_Qty]]/Table13[[#This Row],[Planned_Production]]</f>
        <v>1.3288888888888888</v>
      </c>
      <c r="P1392" t="str">
        <f>IF(Table13[[#This Row],[Good_Qty]]&gt;=Table13[[#This Row],[Planned_Production]],"Met","Not Met")</f>
        <v>Met</v>
      </c>
      <c r="Q1392">
        <f>Table13[[#This Row],[Good_Qty]]-Table13[[#This Row],[Planned_Production]]</f>
        <v>148</v>
      </c>
      <c r="R1392" s="3">
        <f>IF(Table13[[#This Row],[Actual_Qty]]=0,0,Table13[[#This Row],[Reject_Qty]]/Table13[[#This Row],[Actual_Qty]])</f>
        <v>9.9337748344370865E-3</v>
      </c>
      <c r="S1392">
        <v>425.52</v>
      </c>
      <c r="T1392">
        <f>(Table13[[#This Row],[Ideal_Cycle_Time_sec]]*Table13[[#This Row],[Actual_Qty]])/(Table13[[#This Row],[Operational_Time_min]]*60)</f>
        <v>0.59143322679701704</v>
      </c>
      <c r="U1392">
        <f>Table13[[#This Row],[Good_Qty]]/Table13[[#This Row],[Actual_Qty]]</f>
        <v>0.99006622516556286</v>
      </c>
      <c r="V1392" t="str">
        <f>IF(OR(Table13[[#This Row],[Performance_%]]&gt;=1,Table13[[#This Row],[Performance_%]]&lt;=0),"Error","OK")</f>
        <v>OK</v>
      </c>
      <c r="W1392" t="str">
        <f>IF(OR(Table13[[#This Row],[Quality_%]]&gt;=1,Table13[[#This Row],[Quality_%]]&lt;=0),"Error","OK")</f>
        <v>OK</v>
      </c>
      <c r="X1392">
        <f>Table13[[#This Row],[Performance_%]]*Table13[[#This Row],[Quality_%]]*[2]Availability_KPI!K1392</f>
        <v>0.55370370370370381</v>
      </c>
      <c r="Y1392" t="str">
        <f>IF(OR(Table13[[#This Row],[OEE_%]]&gt;1,Table13[[#This Row],[OEE_%]]&lt;0),"Error","OK")</f>
        <v>OK</v>
      </c>
    </row>
    <row r="1393" spans="1:25" x14ac:dyDescent="0.2">
      <c r="A1393" t="s">
        <v>1616</v>
      </c>
      <c r="B1393" t="s">
        <v>1609</v>
      </c>
      <c r="C1393" s="2">
        <v>46316</v>
      </c>
      <c r="D1393" t="s">
        <v>67</v>
      </c>
      <c r="E1393" t="s">
        <v>49</v>
      </c>
      <c r="F1393" t="s">
        <v>54</v>
      </c>
      <c r="G1393" t="s">
        <v>44</v>
      </c>
      <c r="H1393">
        <v>610</v>
      </c>
      <c r="I1393">
        <v>607</v>
      </c>
      <c r="J1393">
        <v>3</v>
      </c>
      <c r="K1393">
        <v>20</v>
      </c>
      <c r="L1393">
        <v>20.350000000000001</v>
      </c>
      <c r="M1393">
        <v>206.86</v>
      </c>
      <c r="N1393">
        <f>_xlfn.XLOOKUP(Table13[[#This Row],[Production_Order_ID]],[1]Sheet1!$A$2:$A$391,[1]Sheet1!$F$2:$F$391,"No Match")</f>
        <v>450</v>
      </c>
      <c r="O1393" s="3">
        <f>Table13[[#This Row],[Good_Qty]]/Table13[[#This Row],[Planned_Production]]</f>
        <v>1.3488888888888888</v>
      </c>
      <c r="P1393" t="str">
        <f>IF(Table13[[#This Row],[Good_Qty]]&gt;=Table13[[#This Row],[Planned_Production]],"Met","Not Met")</f>
        <v>Met</v>
      </c>
      <c r="Q1393">
        <f>Table13[[#This Row],[Good_Qty]]-Table13[[#This Row],[Planned_Production]]</f>
        <v>157</v>
      </c>
      <c r="R1393" s="3">
        <f>IF(Table13[[#This Row],[Actual_Qty]]=0,0,Table13[[#This Row],[Reject_Qty]]/Table13[[#This Row],[Actual_Qty]])</f>
        <v>4.9180327868852463E-3</v>
      </c>
      <c r="S1393">
        <v>441.13</v>
      </c>
      <c r="T1393">
        <f>(Table13[[#This Row],[Ideal_Cycle_Time_sec]]*Table13[[#This Row],[Actual_Qty]])/(Table13[[#This Row],[Operational_Time_min]]*60)</f>
        <v>0.46093744096600398</v>
      </c>
      <c r="U1393">
        <f>Table13[[#This Row],[Good_Qty]]/Table13[[#This Row],[Actual_Qty]]</f>
        <v>0.9950819672131147</v>
      </c>
      <c r="V1393" t="str">
        <f>IF(OR(Table13[[#This Row],[Performance_%]]&gt;=1,Table13[[#This Row],[Performance_%]]&lt;=0),"Error","OK")</f>
        <v>OK</v>
      </c>
      <c r="W1393" t="str">
        <f>IF(OR(Table13[[#This Row],[Quality_%]]&gt;=1,Table13[[#This Row],[Quality_%]]&lt;=0),"Error","OK")</f>
        <v>OK</v>
      </c>
      <c r="X1393">
        <f>Table13[[#This Row],[Performance_%]]*Table13[[#This Row],[Quality_%]]*[2]Availability_KPI!K1393</f>
        <v>0.4496296296296296</v>
      </c>
      <c r="Y1393" t="str">
        <f>IF(OR(Table13[[#This Row],[OEE_%]]&gt;1,Table13[[#This Row],[OEE_%]]&lt;0),"Error","OK")</f>
        <v>OK</v>
      </c>
    </row>
    <row r="1394" spans="1:25" x14ac:dyDescent="0.2">
      <c r="A1394" t="s">
        <v>1617</v>
      </c>
      <c r="B1394" t="s">
        <v>1618</v>
      </c>
      <c r="C1394" s="2">
        <v>46317</v>
      </c>
      <c r="D1394" t="s">
        <v>27</v>
      </c>
      <c r="E1394" t="s">
        <v>28</v>
      </c>
      <c r="F1394" t="s">
        <v>29</v>
      </c>
      <c r="G1394" t="s">
        <v>55</v>
      </c>
      <c r="H1394">
        <v>595</v>
      </c>
      <c r="I1394">
        <v>594</v>
      </c>
      <c r="J1394">
        <v>1</v>
      </c>
      <c r="K1394">
        <v>19.8</v>
      </c>
      <c r="L1394">
        <v>20.59</v>
      </c>
      <c r="M1394">
        <v>204.18</v>
      </c>
      <c r="N1394">
        <f>_xlfn.XLOOKUP(Table13[[#This Row],[Production_Order_ID]],[1]Sheet1!$A$2:$A$391,[1]Sheet1!$F$2:$F$391,"No Match")</f>
        <v>570</v>
      </c>
      <c r="O1394" s="3">
        <f>Table13[[#This Row],[Good_Qty]]/Table13[[#This Row],[Planned_Production]]</f>
        <v>1.0421052631578946</v>
      </c>
      <c r="P1394" t="str">
        <f>IF(Table13[[#This Row],[Good_Qty]]&gt;=Table13[[#This Row],[Planned_Production]],"Met","Not Met")</f>
        <v>Met</v>
      </c>
      <c r="Q1394">
        <f>Table13[[#This Row],[Good_Qty]]-Table13[[#This Row],[Planned_Production]]</f>
        <v>24</v>
      </c>
      <c r="R1394" s="3">
        <f>IF(Table13[[#This Row],[Actual_Qty]]=0,0,Table13[[#This Row],[Reject_Qty]]/Table13[[#This Row],[Actual_Qty]])</f>
        <v>1.6806722689075631E-3</v>
      </c>
      <c r="S1394">
        <v>442.51</v>
      </c>
      <c r="T1394">
        <f>(Table13[[#This Row],[Ideal_Cycle_Time_sec]]*Table13[[#This Row],[Actual_Qty]])/(Table13[[#This Row],[Operational_Time_min]]*60)</f>
        <v>0.44371878601613524</v>
      </c>
      <c r="U1394">
        <f>Table13[[#This Row],[Good_Qty]]/Table13[[#This Row],[Actual_Qty]]</f>
        <v>0.99831932773109244</v>
      </c>
      <c r="V1394" t="str">
        <f>IF(OR(Table13[[#This Row],[Performance_%]]&gt;=1,Table13[[#This Row],[Performance_%]]&lt;=0),"Error","OK")</f>
        <v>OK</v>
      </c>
      <c r="W1394" t="str">
        <f>IF(OR(Table13[[#This Row],[Quality_%]]&gt;=1,Table13[[#This Row],[Quality_%]]&lt;=0),"Error","OK")</f>
        <v>OK</v>
      </c>
      <c r="X1394">
        <f>Table13[[#This Row],[Performance_%]]*Table13[[#This Row],[Quality_%]]*[2]Availability_KPI!K1394</f>
        <v>0.43560000000000004</v>
      </c>
      <c r="Y1394" t="str">
        <f>IF(OR(Table13[[#This Row],[OEE_%]]&gt;1,Table13[[#This Row],[OEE_%]]&lt;0),"Error","OK")</f>
        <v>OK</v>
      </c>
    </row>
    <row r="1395" spans="1:25" x14ac:dyDescent="0.2">
      <c r="A1395" t="s">
        <v>1619</v>
      </c>
      <c r="B1395" t="s">
        <v>1618</v>
      </c>
      <c r="C1395" s="2">
        <v>46317</v>
      </c>
      <c r="D1395" t="s">
        <v>27</v>
      </c>
      <c r="E1395" t="s">
        <v>32</v>
      </c>
      <c r="F1395" t="s">
        <v>29</v>
      </c>
      <c r="G1395" t="s">
        <v>39</v>
      </c>
      <c r="H1395">
        <v>594</v>
      </c>
      <c r="I1395">
        <v>589</v>
      </c>
      <c r="J1395">
        <v>5</v>
      </c>
      <c r="K1395">
        <v>22</v>
      </c>
      <c r="L1395">
        <v>23.44</v>
      </c>
      <c r="M1395">
        <v>232.09</v>
      </c>
      <c r="N1395">
        <f>_xlfn.XLOOKUP(Table13[[#This Row],[Production_Order_ID]],[1]Sheet1!$A$2:$A$391,[1]Sheet1!$F$2:$F$391,"No Match")</f>
        <v>570</v>
      </c>
      <c r="O1395" s="3">
        <f>Table13[[#This Row],[Good_Qty]]/Table13[[#This Row],[Planned_Production]]</f>
        <v>1.0333333333333334</v>
      </c>
      <c r="P1395" t="str">
        <f>IF(Table13[[#This Row],[Good_Qty]]&gt;=Table13[[#This Row],[Planned_Production]],"Met","Not Met")</f>
        <v>Met</v>
      </c>
      <c r="Q1395">
        <f>Table13[[#This Row],[Good_Qty]]-Table13[[#This Row],[Planned_Production]]</f>
        <v>19</v>
      </c>
      <c r="R1395" s="3">
        <f>IF(Table13[[#This Row],[Actual_Qty]]=0,0,Table13[[#This Row],[Reject_Qty]]/Table13[[#This Row],[Actual_Qty]])</f>
        <v>8.4175084175084174E-3</v>
      </c>
      <c r="S1395">
        <v>440.25</v>
      </c>
      <c r="T1395">
        <f>(Table13[[#This Row],[Ideal_Cycle_Time_sec]]*Table13[[#This Row],[Actual_Qty]])/(Table13[[#This Row],[Operational_Time_min]]*60)</f>
        <v>0.49471890971039184</v>
      </c>
      <c r="U1395">
        <f>Table13[[#This Row],[Good_Qty]]/Table13[[#This Row],[Actual_Qty]]</f>
        <v>0.99158249158249157</v>
      </c>
      <c r="V1395" t="str">
        <f>IF(OR(Table13[[#This Row],[Performance_%]]&gt;=1,Table13[[#This Row],[Performance_%]]&lt;=0),"Error","OK")</f>
        <v>OK</v>
      </c>
      <c r="W1395" t="str">
        <f>IF(OR(Table13[[#This Row],[Quality_%]]&gt;=1,Table13[[#This Row],[Quality_%]]&lt;=0),"Error","OK")</f>
        <v>OK</v>
      </c>
      <c r="X1395">
        <f>Table13[[#This Row],[Performance_%]]*Table13[[#This Row],[Quality_%]]*[2]Availability_KPI!K1395</f>
        <v>0.47992592592592598</v>
      </c>
      <c r="Y1395" t="str">
        <f>IF(OR(Table13[[#This Row],[OEE_%]]&gt;1,Table13[[#This Row],[OEE_%]]&lt;0),"Error","OK")</f>
        <v>OK</v>
      </c>
    </row>
    <row r="1396" spans="1:25" x14ac:dyDescent="0.2">
      <c r="A1396" t="s">
        <v>1620</v>
      </c>
      <c r="B1396" t="s">
        <v>1618</v>
      </c>
      <c r="C1396" s="2">
        <v>46317</v>
      </c>
      <c r="D1396" t="s">
        <v>27</v>
      </c>
      <c r="E1396" t="s">
        <v>35</v>
      </c>
      <c r="F1396" t="s">
        <v>29</v>
      </c>
      <c r="G1396" t="s">
        <v>33</v>
      </c>
      <c r="H1396">
        <v>598</v>
      </c>
      <c r="I1396">
        <v>593</v>
      </c>
      <c r="J1396">
        <v>5</v>
      </c>
      <c r="K1396">
        <v>24.2</v>
      </c>
      <c r="L1396">
        <v>25.82</v>
      </c>
      <c r="M1396">
        <v>257.35000000000002</v>
      </c>
      <c r="N1396">
        <f>_xlfn.XLOOKUP(Table13[[#This Row],[Production_Order_ID]],[1]Sheet1!$A$2:$A$391,[1]Sheet1!$F$2:$F$391,"No Match")</f>
        <v>570</v>
      </c>
      <c r="O1396" s="3">
        <f>Table13[[#This Row],[Good_Qty]]/Table13[[#This Row],[Planned_Production]]</f>
        <v>1.0403508771929824</v>
      </c>
      <c r="P1396" t="str">
        <f>IF(Table13[[#This Row],[Good_Qty]]&gt;=Table13[[#This Row],[Planned_Production]],"Met","Not Met")</f>
        <v>Met</v>
      </c>
      <c r="Q1396">
        <f>Table13[[#This Row],[Good_Qty]]-Table13[[#This Row],[Planned_Production]]</f>
        <v>23</v>
      </c>
      <c r="R1396" s="3">
        <f>IF(Table13[[#This Row],[Actual_Qty]]=0,0,Table13[[#This Row],[Reject_Qty]]/Table13[[#This Row],[Actual_Qty]])</f>
        <v>8.3612040133779261E-3</v>
      </c>
      <c r="S1396">
        <v>433.16</v>
      </c>
      <c r="T1396">
        <f>(Table13[[#This Row],[Ideal_Cycle_Time_sec]]*Table13[[#This Row],[Actual_Qty]])/(Table13[[#This Row],[Operational_Time_min]]*60)</f>
        <v>0.55682272909163666</v>
      </c>
      <c r="U1396">
        <f>Table13[[#This Row],[Good_Qty]]/Table13[[#This Row],[Actual_Qty]]</f>
        <v>0.99163879598662208</v>
      </c>
      <c r="V1396" t="str">
        <f>IF(OR(Table13[[#This Row],[Performance_%]]&gt;=1,Table13[[#This Row],[Performance_%]]&lt;=0),"Error","OK")</f>
        <v>OK</v>
      </c>
      <c r="W1396" t="str">
        <f>IF(OR(Table13[[#This Row],[Quality_%]]&gt;=1,Table13[[#This Row],[Quality_%]]&lt;=0),"Error","OK")</f>
        <v>OK</v>
      </c>
      <c r="X1396">
        <f>Table13[[#This Row],[Performance_%]]*Table13[[#This Row],[Quality_%]]*[2]Availability_KPI!K1396</f>
        <v>0.5315037037037037</v>
      </c>
      <c r="Y1396" t="str">
        <f>IF(OR(Table13[[#This Row],[OEE_%]]&gt;1,Table13[[#This Row],[OEE_%]]&lt;0),"Error","OK")</f>
        <v>OK</v>
      </c>
    </row>
    <row r="1397" spans="1:25" x14ac:dyDescent="0.2">
      <c r="A1397" t="s">
        <v>1621</v>
      </c>
      <c r="B1397" t="s">
        <v>1618</v>
      </c>
      <c r="C1397" s="2">
        <v>46317</v>
      </c>
      <c r="D1397" t="s">
        <v>27</v>
      </c>
      <c r="E1397" t="s">
        <v>38</v>
      </c>
      <c r="F1397" t="s">
        <v>29</v>
      </c>
      <c r="G1397" t="s">
        <v>71</v>
      </c>
      <c r="H1397">
        <v>591</v>
      </c>
      <c r="I1397">
        <v>589</v>
      </c>
      <c r="J1397">
        <v>2</v>
      </c>
      <c r="K1397">
        <v>22</v>
      </c>
      <c r="L1397">
        <v>24</v>
      </c>
      <c r="M1397">
        <v>236.44</v>
      </c>
      <c r="N1397">
        <f>_xlfn.XLOOKUP(Table13[[#This Row],[Production_Order_ID]],[1]Sheet1!$A$2:$A$391,[1]Sheet1!$F$2:$F$391,"No Match")</f>
        <v>570</v>
      </c>
      <c r="O1397" s="3">
        <f>Table13[[#This Row],[Good_Qty]]/Table13[[#This Row],[Planned_Production]]</f>
        <v>1.0333333333333334</v>
      </c>
      <c r="P1397" t="str">
        <f>IF(Table13[[#This Row],[Good_Qty]]&gt;=Table13[[#This Row],[Planned_Production]],"Met","Not Met")</f>
        <v>Met</v>
      </c>
      <c r="Q1397">
        <f>Table13[[#This Row],[Good_Qty]]-Table13[[#This Row],[Planned_Production]]</f>
        <v>19</v>
      </c>
      <c r="R1397" s="3">
        <f>IF(Table13[[#This Row],[Actual_Qty]]=0,0,Table13[[#This Row],[Reject_Qty]]/Table13[[#This Row],[Actual_Qty]])</f>
        <v>3.3840947546531302E-3</v>
      </c>
      <c r="S1397">
        <v>438.9</v>
      </c>
      <c r="T1397">
        <f>(Table13[[#This Row],[Ideal_Cycle_Time_sec]]*Table13[[#This Row],[Actual_Qty]])/(Table13[[#This Row],[Operational_Time_min]]*60)</f>
        <v>0.49373433583959897</v>
      </c>
      <c r="U1397">
        <f>Table13[[#This Row],[Good_Qty]]/Table13[[#This Row],[Actual_Qty]]</f>
        <v>0.99661590524534682</v>
      </c>
      <c r="V1397" t="str">
        <f>IF(OR(Table13[[#This Row],[Performance_%]]&gt;=1,Table13[[#This Row],[Performance_%]]&lt;=0),"Error","OK")</f>
        <v>OK</v>
      </c>
      <c r="W1397" t="str">
        <f>IF(OR(Table13[[#This Row],[Quality_%]]&gt;=1,Table13[[#This Row],[Quality_%]]&lt;=0),"Error","OK")</f>
        <v>OK</v>
      </c>
      <c r="X1397">
        <f>Table13[[#This Row],[Performance_%]]*Table13[[#This Row],[Quality_%]]*[2]Availability_KPI!K1397</f>
        <v>0.47992592592592587</v>
      </c>
      <c r="Y1397" t="str">
        <f>IF(OR(Table13[[#This Row],[OEE_%]]&gt;1,Table13[[#This Row],[OEE_%]]&lt;0),"Error","OK")</f>
        <v>OK</v>
      </c>
    </row>
    <row r="1398" spans="1:25" x14ac:dyDescent="0.2">
      <c r="A1398" t="s">
        <v>1622</v>
      </c>
      <c r="B1398" t="s">
        <v>1618</v>
      </c>
      <c r="C1398" s="2">
        <v>46317</v>
      </c>
      <c r="D1398" t="s">
        <v>27</v>
      </c>
      <c r="E1398" t="s">
        <v>41</v>
      </c>
      <c r="F1398" t="s">
        <v>29</v>
      </c>
      <c r="G1398" t="s">
        <v>75</v>
      </c>
      <c r="H1398">
        <v>586</v>
      </c>
      <c r="I1398">
        <v>581</v>
      </c>
      <c r="J1398">
        <v>5</v>
      </c>
      <c r="K1398">
        <v>19.8</v>
      </c>
      <c r="L1398">
        <v>20.98</v>
      </c>
      <c r="M1398">
        <v>204.94</v>
      </c>
      <c r="N1398">
        <f>_xlfn.XLOOKUP(Table13[[#This Row],[Production_Order_ID]],[1]Sheet1!$A$2:$A$391,[1]Sheet1!$F$2:$F$391,"No Match")</f>
        <v>570</v>
      </c>
      <c r="O1398" s="3">
        <f>Table13[[#This Row],[Good_Qty]]/Table13[[#This Row],[Planned_Production]]</f>
        <v>1.0192982456140351</v>
      </c>
      <c r="P1398" t="str">
        <f>IF(Table13[[#This Row],[Good_Qty]]&gt;=Table13[[#This Row],[Planned_Production]],"Met","Not Met")</f>
        <v>Met</v>
      </c>
      <c r="Q1398">
        <f>Table13[[#This Row],[Good_Qty]]-Table13[[#This Row],[Planned_Production]]</f>
        <v>11</v>
      </c>
      <c r="R1398" s="3">
        <f>IF(Table13[[#This Row],[Actual_Qty]]=0,0,Table13[[#This Row],[Reject_Qty]]/Table13[[#This Row],[Actual_Qty]])</f>
        <v>8.5324232081911266E-3</v>
      </c>
      <c r="S1398">
        <v>439.39</v>
      </c>
      <c r="T1398">
        <f>(Table13[[#This Row],[Ideal_Cycle_Time_sec]]*Table13[[#This Row],[Actual_Qty]])/(Table13[[#This Row],[Operational_Time_min]]*60)</f>
        <v>0.44011015271171405</v>
      </c>
      <c r="U1398">
        <f>Table13[[#This Row],[Good_Qty]]/Table13[[#This Row],[Actual_Qty]]</f>
        <v>0.99146757679180886</v>
      </c>
      <c r="V1398" t="str">
        <f>IF(OR(Table13[[#This Row],[Performance_%]]&gt;=1,Table13[[#This Row],[Performance_%]]&lt;=0),"Error","OK")</f>
        <v>OK</v>
      </c>
      <c r="W1398" t="str">
        <f>IF(OR(Table13[[#This Row],[Quality_%]]&gt;=1,Table13[[#This Row],[Quality_%]]&lt;=0),"Error","OK")</f>
        <v>OK</v>
      </c>
      <c r="X1398">
        <f>Table13[[#This Row],[Performance_%]]*Table13[[#This Row],[Quality_%]]*[2]Availability_KPI!K1398</f>
        <v>0.4260666666666667</v>
      </c>
      <c r="Y1398" t="str">
        <f>IF(OR(Table13[[#This Row],[OEE_%]]&gt;1,Table13[[#This Row],[OEE_%]]&lt;0),"Error","OK")</f>
        <v>OK</v>
      </c>
    </row>
    <row r="1399" spans="1:25" x14ac:dyDescent="0.2">
      <c r="A1399" t="s">
        <v>1623</v>
      </c>
      <c r="B1399" t="s">
        <v>1618</v>
      </c>
      <c r="C1399" s="2">
        <v>46317</v>
      </c>
      <c r="D1399" t="s">
        <v>27</v>
      </c>
      <c r="E1399" t="s">
        <v>43</v>
      </c>
      <c r="F1399" t="s">
        <v>29</v>
      </c>
      <c r="G1399" t="s">
        <v>36</v>
      </c>
      <c r="H1399">
        <v>567</v>
      </c>
      <c r="I1399">
        <v>560</v>
      </c>
      <c r="J1399">
        <v>7</v>
      </c>
      <c r="K1399">
        <v>35.200000000000003</v>
      </c>
      <c r="L1399">
        <v>36.99</v>
      </c>
      <c r="M1399">
        <v>349.54</v>
      </c>
      <c r="N1399">
        <f>_xlfn.XLOOKUP(Table13[[#This Row],[Production_Order_ID]],[1]Sheet1!$A$2:$A$391,[1]Sheet1!$F$2:$F$391,"No Match")</f>
        <v>570</v>
      </c>
      <c r="O1399" s="3">
        <f>Table13[[#This Row],[Good_Qty]]/Table13[[#This Row],[Planned_Production]]</f>
        <v>0.98245614035087714</v>
      </c>
      <c r="P1399" t="str">
        <f>IF(Table13[[#This Row],[Good_Qty]]&gt;=Table13[[#This Row],[Planned_Production]],"Met","Not Met")</f>
        <v>Not Met</v>
      </c>
      <c r="Q1399">
        <f>Table13[[#This Row],[Good_Qty]]-Table13[[#This Row],[Planned_Production]]</f>
        <v>-10</v>
      </c>
      <c r="R1399" s="3">
        <f>IF(Table13[[#This Row],[Actual_Qty]]=0,0,Table13[[#This Row],[Reject_Qty]]/Table13[[#This Row],[Actual_Qty]])</f>
        <v>1.2345679012345678E-2</v>
      </c>
      <c r="S1399">
        <v>413.12</v>
      </c>
      <c r="T1399">
        <f>(Table13[[#This Row],[Ideal_Cycle_Time_sec]]*Table13[[#This Row],[Actual_Qty]])/(Table13[[#This Row],[Operational_Time_min]]*60)</f>
        <v>0.8051897753679319</v>
      </c>
      <c r="U1399">
        <f>Table13[[#This Row],[Good_Qty]]/Table13[[#This Row],[Actual_Qty]]</f>
        <v>0.98765432098765427</v>
      </c>
      <c r="V1399" t="str">
        <f>IF(OR(Table13[[#This Row],[Performance_%]]&gt;=1,Table13[[#This Row],[Performance_%]]&lt;=0),"Error","OK")</f>
        <v>OK</v>
      </c>
      <c r="W1399" t="str">
        <f>IF(OR(Table13[[#This Row],[Quality_%]]&gt;=1,Table13[[#This Row],[Quality_%]]&lt;=0),"Error","OK")</f>
        <v>OK</v>
      </c>
      <c r="X1399">
        <f>Table13[[#This Row],[Performance_%]]*Table13[[#This Row],[Quality_%]]*[2]Availability_KPI!K1399</f>
        <v>0.7300740740740741</v>
      </c>
      <c r="Y1399" t="str">
        <f>IF(OR(Table13[[#This Row],[OEE_%]]&gt;1,Table13[[#This Row],[OEE_%]]&lt;0),"Error","OK")</f>
        <v>OK</v>
      </c>
    </row>
    <row r="1400" spans="1:25" x14ac:dyDescent="0.2">
      <c r="A1400" t="s">
        <v>1624</v>
      </c>
      <c r="B1400" t="s">
        <v>1618</v>
      </c>
      <c r="C1400" s="2">
        <v>46317</v>
      </c>
      <c r="D1400" t="s">
        <v>27</v>
      </c>
      <c r="E1400" t="s">
        <v>46</v>
      </c>
      <c r="F1400" t="s">
        <v>29</v>
      </c>
      <c r="G1400" t="s">
        <v>57</v>
      </c>
      <c r="H1400">
        <v>588</v>
      </c>
      <c r="I1400">
        <v>580</v>
      </c>
      <c r="J1400">
        <v>8</v>
      </c>
      <c r="K1400">
        <v>27.5</v>
      </c>
      <c r="L1400">
        <v>27.66</v>
      </c>
      <c r="M1400">
        <v>271.10000000000002</v>
      </c>
      <c r="N1400">
        <f>_xlfn.XLOOKUP(Table13[[#This Row],[Production_Order_ID]],[1]Sheet1!$A$2:$A$391,[1]Sheet1!$F$2:$F$391,"No Match")</f>
        <v>570</v>
      </c>
      <c r="O1400" s="3">
        <f>Table13[[#This Row],[Good_Qty]]/Table13[[#This Row],[Planned_Production]]</f>
        <v>1.0175438596491229</v>
      </c>
      <c r="P1400" t="str">
        <f>IF(Table13[[#This Row],[Good_Qty]]&gt;=Table13[[#This Row],[Planned_Production]],"Met","Not Met")</f>
        <v>Met</v>
      </c>
      <c r="Q1400">
        <f>Table13[[#This Row],[Good_Qty]]-Table13[[#This Row],[Planned_Production]]</f>
        <v>10</v>
      </c>
      <c r="R1400" s="3">
        <f>IF(Table13[[#This Row],[Actual_Qty]]=0,0,Table13[[#This Row],[Reject_Qty]]/Table13[[#This Row],[Actual_Qty]])</f>
        <v>1.3605442176870748E-2</v>
      </c>
      <c r="S1400">
        <v>430.36</v>
      </c>
      <c r="T1400">
        <f>(Table13[[#This Row],[Ideal_Cycle_Time_sec]]*Table13[[#This Row],[Actual_Qty]])/(Table13[[#This Row],[Operational_Time_min]]*60)</f>
        <v>0.62621990891346779</v>
      </c>
      <c r="U1400">
        <f>Table13[[#This Row],[Good_Qty]]/Table13[[#This Row],[Actual_Qty]]</f>
        <v>0.98639455782312924</v>
      </c>
      <c r="V1400" t="str">
        <f>IF(OR(Table13[[#This Row],[Performance_%]]&gt;=1,Table13[[#This Row],[Performance_%]]&lt;=0),"Error","OK")</f>
        <v>OK</v>
      </c>
      <c r="W1400" t="str">
        <f>IF(OR(Table13[[#This Row],[Quality_%]]&gt;=1,Table13[[#This Row],[Quality_%]]&lt;=0),"Error","OK")</f>
        <v>OK</v>
      </c>
      <c r="X1400">
        <f>Table13[[#This Row],[Performance_%]]*Table13[[#This Row],[Quality_%]]*[2]Availability_KPI!K1400</f>
        <v>0.59074074074074068</v>
      </c>
      <c r="Y1400" t="str">
        <f>IF(OR(Table13[[#This Row],[OEE_%]]&gt;1,Table13[[#This Row],[OEE_%]]&lt;0),"Error","OK")</f>
        <v>OK</v>
      </c>
    </row>
    <row r="1401" spans="1:25" x14ac:dyDescent="0.2">
      <c r="A1401" t="s">
        <v>1625</v>
      </c>
      <c r="B1401" t="s">
        <v>1618</v>
      </c>
      <c r="C1401" s="2">
        <v>46317</v>
      </c>
      <c r="D1401" t="s">
        <v>27</v>
      </c>
      <c r="E1401" t="s">
        <v>49</v>
      </c>
      <c r="F1401" t="s">
        <v>29</v>
      </c>
      <c r="G1401" t="s">
        <v>39</v>
      </c>
      <c r="H1401">
        <v>587</v>
      </c>
      <c r="I1401">
        <v>586</v>
      </c>
      <c r="J1401">
        <v>1</v>
      </c>
      <c r="K1401">
        <v>22</v>
      </c>
      <c r="L1401">
        <v>23.46</v>
      </c>
      <c r="M1401">
        <v>229.48</v>
      </c>
      <c r="N1401">
        <f>_xlfn.XLOOKUP(Table13[[#This Row],[Production_Order_ID]],[1]Sheet1!$A$2:$A$391,[1]Sheet1!$F$2:$F$391,"No Match")</f>
        <v>570</v>
      </c>
      <c r="O1401" s="3">
        <f>Table13[[#This Row],[Good_Qty]]/Table13[[#This Row],[Planned_Production]]</f>
        <v>1.0280701754385966</v>
      </c>
      <c r="P1401" t="str">
        <f>IF(Table13[[#This Row],[Good_Qty]]&gt;=Table13[[#This Row],[Planned_Production]],"Met","Not Met")</f>
        <v>Met</v>
      </c>
      <c r="Q1401">
        <f>Table13[[#This Row],[Good_Qty]]-Table13[[#This Row],[Planned_Production]]</f>
        <v>16</v>
      </c>
      <c r="R1401" s="3">
        <f>IF(Table13[[#This Row],[Actual_Qty]]=0,0,Table13[[#This Row],[Reject_Qty]]/Table13[[#This Row],[Actual_Qty]])</f>
        <v>1.7035775127768314E-3</v>
      </c>
      <c r="S1401">
        <v>439.87</v>
      </c>
      <c r="T1401">
        <f>(Table13[[#This Row],[Ideal_Cycle_Time_sec]]*Table13[[#This Row],[Actual_Qty]])/(Table13[[#This Row],[Operational_Time_min]]*60)</f>
        <v>0.48931123589545394</v>
      </c>
      <c r="U1401">
        <f>Table13[[#This Row],[Good_Qty]]/Table13[[#This Row],[Actual_Qty]]</f>
        <v>0.99829642248722317</v>
      </c>
      <c r="V1401" t="str">
        <f>IF(OR(Table13[[#This Row],[Performance_%]]&gt;=1,Table13[[#This Row],[Performance_%]]&lt;=0),"Error","OK")</f>
        <v>OK</v>
      </c>
      <c r="W1401" t="str">
        <f>IF(OR(Table13[[#This Row],[Quality_%]]&gt;=1,Table13[[#This Row],[Quality_%]]&lt;=0),"Error","OK")</f>
        <v>OK</v>
      </c>
      <c r="X1401">
        <f>Table13[[#This Row],[Performance_%]]*Table13[[#This Row],[Quality_%]]*[2]Availability_KPI!K1401</f>
        <v>0.47748148148148145</v>
      </c>
      <c r="Y1401" t="str">
        <f>IF(OR(Table13[[#This Row],[OEE_%]]&gt;1,Table13[[#This Row],[OEE_%]]&lt;0),"Error","OK")</f>
        <v>OK</v>
      </c>
    </row>
    <row r="1402" spans="1:25" x14ac:dyDescent="0.2">
      <c r="A1402" t="s">
        <v>1626</v>
      </c>
      <c r="B1402" t="s">
        <v>1627</v>
      </c>
      <c r="C1402" s="2">
        <v>46317</v>
      </c>
      <c r="D1402" t="s">
        <v>53</v>
      </c>
      <c r="E1402" t="s">
        <v>28</v>
      </c>
      <c r="F1402" t="s">
        <v>29</v>
      </c>
      <c r="G1402" t="s">
        <v>55</v>
      </c>
      <c r="H1402">
        <v>659</v>
      </c>
      <c r="I1402">
        <v>655</v>
      </c>
      <c r="J1402">
        <v>4</v>
      </c>
      <c r="K1402">
        <v>19.8</v>
      </c>
      <c r="L1402">
        <v>19.86</v>
      </c>
      <c r="M1402">
        <v>218.15</v>
      </c>
      <c r="N1402">
        <f>_xlfn.XLOOKUP(Table13[[#This Row],[Production_Order_ID]],[1]Sheet1!$A$2:$A$391,[1]Sheet1!$F$2:$F$391,"No Match")</f>
        <v>550</v>
      </c>
      <c r="O1402" s="3">
        <f>Table13[[#This Row],[Good_Qty]]/Table13[[#This Row],[Planned_Production]]</f>
        <v>1.1909090909090909</v>
      </c>
      <c r="P1402" t="str">
        <f>IF(Table13[[#This Row],[Good_Qty]]&gt;=Table13[[#This Row],[Planned_Production]],"Met","Not Met")</f>
        <v>Met</v>
      </c>
      <c r="Q1402">
        <f>Table13[[#This Row],[Good_Qty]]-Table13[[#This Row],[Planned_Production]]</f>
        <v>105</v>
      </c>
      <c r="R1402" s="3">
        <f>IF(Table13[[#This Row],[Actual_Qty]]=0,0,Table13[[#This Row],[Reject_Qty]]/Table13[[#This Row],[Actual_Qty]])</f>
        <v>6.0698027314112293E-3</v>
      </c>
      <c r="S1402">
        <v>438.88</v>
      </c>
      <c r="T1402">
        <f>(Table13[[#This Row],[Ideal_Cycle_Time_sec]]*Table13[[#This Row],[Actual_Qty]])/(Table13[[#This Row],[Operational_Time_min]]*60)</f>
        <v>0.49551130149471384</v>
      </c>
      <c r="U1402">
        <f>Table13[[#This Row],[Good_Qty]]/Table13[[#This Row],[Actual_Qty]]</f>
        <v>0.99393019726858878</v>
      </c>
      <c r="V1402" t="str">
        <f>IF(OR(Table13[[#This Row],[Performance_%]]&gt;=1,Table13[[#This Row],[Performance_%]]&lt;=0),"Error","OK")</f>
        <v>OK</v>
      </c>
      <c r="W1402" t="str">
        <f>IF(OR(Table13[[#This Row],[Quality_%]]&gt;=1,Table13[[#This Row],[Quality_%]]&lt;=0),"Error","OK")</f>
        <v>OK</v>
      </c>
      <c r="X1402">
        <f>Table13[[#This Row],[Performance_%]]*Table13[[#This Row],[Quality_%]]*[2]Availability_KPI!K1402</f>
        <v>0.48033333333333339</v>
      </c>
      <c r="Y1402" t="str">
        <f>IF(OR(Table13[[#This Row],[OEE_%]]&gt;1,Table13[[#This Row],[OEE_%]]&lt;0),"Error","OK")</f>
        <v>OK</v>
      </c>
    </row>
    <row r="1403" spans="1:25" x14ac:dyDescent="0.2">
      <c r="A1403" t="s">
        <v>1628</v>
      </c>
      <c r="B1403" t="s">
        <v>1627</v>
      </c>
      <c r="C1403" s="2">
        <v>46317</v>
      </c>
      <c r="D1403" t="s">
        <v>53</v>
      </c>
      <c r="E1403" t="s">
        <v>32</v>
      </c>
      <c r="F1403" t="s">
        <v>29</v>
      </c>
      <c r="G1403" t="s">
        <v>39</v>
      </c>
      <c r="H1403">
        <v>665</v>
      </c>
      <c r="I1403">
        <v>659</v>
      </c>
      <c r="J1403">
        <v>6</v>
      </c>
      <c r="K1403">
        <v>22</v>
      </c>
      <c r="L1403">
        <v>23.23</v>
      </c>
      <c r="M1403">
        <v>257.44</v>
      </c>
      <c r="N1403">
        <f>_xlfn.XLOOKUP(Table13[[#This Row],[Production_Order_ID]],[1]Sheet1!$A$2:$A$391,[1]Sheet1!$F$2:$F$391,"No Match")</f>
        <v>550</v>
      </c>
      <c r="O1403" s="3">
        <f>Table13[[#This Row],[Good_Qty]]/Table13[[#This Row],[Planned_Production]]</f>
        <v>1.1981818181818182</v>
      </c>
      <c r="P1403" t="str">
        <f>IF(Table13[[#This Row],[Good_Qty]]&gt;=Table13[[#This Row],[Planned_Production]],"Met","Not Met")</f>
        <v>Met</v>
      </c>
      <c r="Q1403">
        <f>Table13[[#This Row],[Good_Qty]]-Table13[[#This Row],[Planned_Production]]</f>
        <v>109</v>
      </c>
      <c r="R1403" s="3">
        <f>IF(Table13[[#This Row],[Actual_Qty]]=0,0,Table13[[#This Row],[Reject_Qty]]/Table13[[#This Row],[Actual_Qty]])</f>
        <v>9.0225563909774441E-3</v>
      </c>
      <c r="S1403">
        <v>434.88</v>
      </c>
      <c r="T1403">
        <f>(Table13[[#This Row],[Ideal_Cycle_Time_sec]]*Table13[[#This Row],[Actual_Qty]])/(Table13[[#This Row],[Operational_Time_min]]*60)</f>
        <v>0.56069107186656852</v>
      </c>
      <c r="U1403">
        <f>Table13[[#This Row],[Good_Qty]]/Table13[[#This Row],[Actual_Qty]]</f>
        <v>0.99097744360902251</v>
      </c>
      <c r="V1403" t="str">
        <f>IF(OR(Table13[[#This Row],[Performance_%]]&gt;=1,Table13[[#This Row],[Performance_%]]&lt;=0),"Error","OK")</f>
        <v>OK</v>
      </c>
      <c r="W1403" t="str">
        <f>IF(OR(Table13[[#This Row],[Quality_%]]&gt;=1,Table13[[#This Row],[Quality_%]]&lt;=0),"Error","OK")</f>
        <v>OK</v>
      </c>
      <c r="X1403">
        <f>Table13[[#This Row],[Performance_%]]*Table13[[#This Row],[Quality_%]]*[2]Availability_KPI!K1403</f>
        <v>0.53696296296296298</v>
      </c>
      <c r="Y1403" t="str">
        <f>IF(OR(Table13[[#This Row],[OEE_%]]&gt;1,Table13[[#This Row],[OEE_%]]&lt;0),"Error","OK")</f>
        <v>OK</v>
      </c>
    </row>
    <row r="1404" spans="1:25" x14ac:dyDescent="0.2">
      <c r="A1404" t="s">
        <v>1629</v>
      </c>
      <c r="B1404" t="s">
        <v>1627</v>
      </c>
      <c r="C1404" s="2">
        <v>46317</v>
      </c>
      <c r="D1404" t="s">
        <v>53</v>
      </c>
      <c r="E1404" t="s">
        <v>35</v>
      </c>
      <c r="F1404" t="s">
        <v>29</v>
      </c>
      <c r="G1404" t="s">
        <v>50</v>
      </c>
      <c r="H1404">
        <v>655</v>
      </c>
      <c r="I1404">
        <v>651</v>
      </c>
      <c r="J1404">
        <v>4</v>
      </c>
      <c r="K1404">
        <v>24.2</v>
      </c>
      <c r="L1404">
        <v>26.61</v>
      </c>
      <c r="M1404">
        <v>290.45</v>
      </c>
      <c r="N1404">
        <f>_xlfn.XLOOKUP(Table13[[#This Row],[Production_Order_ID]],[1]Sheet1!$A$2:$A$391,[1]Sheet1!$F$2:$F$391,"No Match")</f>
        <v>550</v>
      </c>
      <c r="O1404" s="3">
        <f>Table13[[#This Row],[Good_Qty]]/Table13[[#This Row],[Planned_Production]]</f>
        <v>1.1836363636363636</v>
      </c>
      <c r="P1404" t="str">
        <f>IF(Table13[[#This Row],[Good_Qty]]&gt;=Table13[[#This Row],[Planned_Production]],"Met","Not Met")</f>
        <v>Met</v>
      </c>
      <c r="Q1404">
        <f>Table13[[#This Row],[Good_Qty]]-Table13[[#This Row],[Planned_Production]]</f>
        <v>101</v>
      </c>
      <c r="R1404" s="3">
        <f>IF(Table13[[#This Row],[Actual_Qty]]=0,0,Table13[[#This Row],[Reject_Qty]]/Table13[[#This Row],[Actual_Qty]])</f>
        <v>6.1068702290076335E-3</v>
      </c>
      <c r="S1404">
        <v>432.95</v>
      </c>
      <c r="T1404">
        <f>(Table13[[#This Row],[Ideal_Cycle_Time_sec]]*Table13[[#This Row],[Actual_Qty]])/(Table13[[#This Row],[Operational_Time_min]]*60)</f>
        <v>0.61019363282904104</v>
      </c>
      <c r="U1404">
        <f>Table13[[#This Row],[Good_Qty]]/Table13[[#This Row],[Actual_Qty]]</f>
        <v>0.99389312977099231</v>
      </c>
      <c r="V1404" t="str">
        <f>IF(OR(Table13[[#This Row],[Performance_%]]&gt;=1,Table13[[#This Row],[Performance_%]]&lt;=0),"Error","OK")</f>
        <v>OK</v>
      </c>
      <c r="W1404" t="str">
        <f>IF(OR(Table13[[#This Row],[Quality_%]]&gt;=1,Table13[[#This Row],[Quality_%]]&lt;=0),"Error","OK")</f>
        <v>OK</v>
      </c>
      <c r="X1404">
        <f>Table13[[#This Row],[Performance_%]]*Table13[[#This Row],[Quality_%]]*[2]Availability_KPI!K1404</f>
        <v>0.58348888888888883</v>
      </c>
      <c r="Y1404" t="str">
        <f>IF(OR(Table13[[#This Row],[OEE_%]]&gt;1,Table13[[#This Row],[OEE_%]]&lt;0),"Error","OK")</f>
        <v>OK</v>
      </c>
    </row>
    <row r="1405" spans="1:25" x14ac:dyDescent="0.2">
      <c r="A1405" t="s">
        <v>1630</v>
      </c>
      <c r="B1405" t="s">
        <v>1627</v>
      </c>
      <c r="C1405" s="2">
        <v>46317</v>
      </c>
      <c r="D1405" t="s">
        <v>53</v>
      </c>
      <c r="E1405" t="s">
        <v>38</v>
      </c>
      <c r="F1405" t="s">
        <v>29</v>
      </c>
      <c r="G1405" t="s">
        <v>50</v>
      </c>
      <c r="H1405">
        <v>656</v>
      </c>
      <c r="I1405">
        <v>650</v>
      </c>
      <c r="J1405">
        <v>6</v>
      </c>
      <c r="K1405">
        <v>22</v>
      </c>
      <c r="L1405">
        <v>23.01</v>
      </c>
      <c r="M1405">
        <v>251.55</v>
      </c>
      <c r="N1405">
        <f>_xlfn.XLOOKUP(Table13[[#This Row],[Production_Order_ID]],[1]Sheet1!$A$2:$A$391,[1]Sheet1!$F$2:$F$391,"No Match")</f>
        <v>550</v>
      </c>
      <c r="O1405" s="3">
        <f>Table13[[#This Row],[Good_Qty]]/Table13[[#This Row],[Planned_Production]]</f>
        <v>1.1818181818181819</v>
      </c>
      <c r="P1405" t="str">
        <f>IF(Table13[[#This Row],[Good_Qty]]&gt;=Table13[[#This Row],[Planned_Production]],"Met","Not Met")</f>
        <v>Met</v>
      </c>
      <c r="Q1405">
        <f>Table13[[#This Row],[Good_Qty]]-Table13[[#This Row],[Planned_Production]]</f>
        <v>100</v>
      </c>
      <c r="R1405" s="3">
        <f>IF(Table13[[#This Row],[Actual_Qty]]=0,0,Table13[[#This Row],[Reject_Qty]]/Table13[[#This Row],[Actual_Qty]])</f>
        <v>9.1463414634146336E-3</v>
      </c>
      <c r="S1405">
        <v>438.75</v>
      </c>
      <c r="T1405">
        <f>(Table13[[#This Row],[Ideal_Cycle_Time_sec]]*Table13[[#This Row],[Actual_Qty]])/(Table13[[#This Row],[Operational_Time_min]]*60)</f>
        <v>0.54822412155745492</v>
      </c>
      <c r="U1405">
        <f>Table13[[#This Row],[Good_Qty]]/Table13[[#This Row],[Actual_Qty]]</f>
        <v>0.99085365853658536</v>
      </c>
      <c r="V1405" t="str">
        <f>IF(OR(Table13[[#This Row],[Performance_%]]&gt;=1,Table13[[#This Row],[Performance_%]]&lt;=0),"Error","OK")</f>
        <v>OK</v>
      </c>
      <c r="W1405" t="str">
        <f>IF(OR(Table13[[#This Row],[Quality_%]]&gt;=1,Table13[[#This Row],[Quality_%]]&lt;=0),"Error","OK")</f>
        <v>OK</v>
      </c>
      <c r="X1405">
        <f>Table13[[#This Row],[Performance_%]]*Table13[[#This Row],[Quality_%]]*[2]Availability_KPI!K1405</f>
        <v>0.52962962962962967</v>
      </c>
      <c r="Y1405" t="str">
        <f>IF(OR(Table13[[#This Row],[OEE_%]]&gt;1,Table13[[#This Row],[OEE_%]]&lt;0),"Error","OK")</f>
        <v>OK</v>
      </c>
    </row>
    <row r="1406" spans="1:25" x14ac:dyDescent="0.2">
      <c r="A1406" t="s">
        <v>1631</v>
      </c>
      <c r="B1406" t="s">
        <v>1627</v>
      </c>
      <c r="C1406" s="2">
        <v>46317</v>
      </c>
      <c r="D1406" t="s">
        <v>53</v>
      </c>
      <c r="E1406" t="s">
        <v>41</v>
      </c>
      <c r="F1406" t="s">
        <v>29</v>
      </c>
      <c r="G1406" t="s">
        <v>47</v>
      </c>
      <c r="H1406">
        <v>655</v>
      </c>
      <c r="I1406">
        <v>651</v>
      </c>
      <c r="J1406">
        <v>4</v>
      </c>
      <c r="K1406">
        <v>19.8</v>
      </c>
      <c r="L1406">
        <v>21.42</v>
      </c>
      <c r="M1406">
        <v>233.79</v>
      </c>
      <c r="N1406">
        <f>_xlfn.XLOOKUP(Table13[[#This Row],[Production_Order_ID]],[1]Sheet1!$A$2:$A$391,[1]Sheet1!$F$2:$F$391,"No Match")</f>
        <v>550</v>
      </c>
      <c r="O1406" s="3">
        <f>Table13[[#This Row],[Good_Qty]]/Table13[[#This Row],[Planned_Production]]</f>
        <v>1.1836363636363636</v>
      </c>
      <c r="P1406" t="str">
        <f>IF(Table13[[#This Row],[Good_Qty]]&gt;=Table13[[#This Row],[Planned_Production]],"Met","Not Met")</f>
        <v>Met</v>
      </c>
      <c r="Q1406">
        <f>Table13[[#This Row],[Good_Qty]]-Table13[[#This Row],[Planned_Production]]</f>
        <v>101</v>
      </c>
      <c r="R1406" s="3">
        <f>IF(Table13[[#This Row],[Actual_Qty]]=0,0,Table13[[#This Row],[Reject_Qty]]/Table13[[#This Row],[Actual_Qty]])</f>
        <v>6.1068702290076335E-3</v>
      </c>
      <c r="S1406">
        <v>434.11</v>
      </c>
      <c r="T1406">
        <f>(Table13[[#This Row],[Ideal_Cycle_Time_sec]]*Table13[[#This Row],[Actual_Qty]])/(Table13[[#This Row],[Operational_Time_min]]*60)</f>
        <v>0.49791527493031718</v>
      </c>
      <c r="U1406">
        <f>Table13[[#This Row],[Good_Qty]]/Table13[[#This Row],[Actual_Qty]]</f>
        <v>0.99389312977099231</v>
      </c>
      <c r="V1406" t="str">
        <f>IF(OR(Table13[[#This Row],[Performance_%]]&gt;=1,Table13[[#This Row],[Performance_%]]&lt;=0),"Error","OK")</f>
        <v>OK</v>
      </c>
      <c r="W1406" t="str">
        <f>IF(OR(Table13[[#This Row],[Quality_%]]&gt;=1,Table13[[#This Row],[Quality_%]]&lt;=0),"Error","OK")</f>
        <v>OK</v>
      </c>
      <c r="X1406">
        <f>Table13[[#This Row],[Performance_%]]*Table13[[#This Row],[Quality_%]]*[2]Availability_KPI!K1406</f>
        <v>0.47739999999999994</v>
      </c>
      <c r="Y1406" t="str">
        <f>IF(OR(Table13[[#This Row],[OEE_%]]&gt;1,Table13[[#This Row],[OEE_%]]&lt;0),"Error","OK")</f>
        <v>OK</v>
      </c>
    </row>
    <row r="1407" spans="1:25" x14ac:dyDescent="0.2">
      <c r="A1407" t="s">
        <v>1632</v>
      </c>
      <c r="B1407" t="s">
        <v>1627</v>
      </c>
      <c r="C1407" s="2">
        <v>46317</v>
      </c>
      <c r="D1407" t="s">
        <v>53</v>
      </c>
      <c r="E1407" t="s">
        <v>43</v>
      </c>
      <c r="F1407" t="s">
        <v>29</v>
      </c>
      <c r="G1407" t="s">
        <v>30</v>
      </c>
      <c r="H1407">
        <v>659</v>
      </c>
      <c r="I1407">
        <v>650</v>
      </c>
      <c r="J1407">
        <v>9</v>
      </c>
      <c r="K1407">
        <v>35.200000000000003</v>
      </c>
      <c r="L1407">
        <v>38.94</v>
      </c>
      <c r="M1407">
        <v>427.71</v>
      </c>
      <c r="N1407">
        <f>_xlfn.XLOOKUP(Table13[[#This Row],[Production_Order_ID]],[1]Sheet1!$A$2:$A$391,[1]Sheet1!$F$2:$F$391,"No Match")</f>
        <v>550</v>
      </c>
      <c r="O1407" s="3">
        <f>Table13[[#This Row],[Good_Qty]]/Table13[[#This Row],[Planned_Production]]</f>
        <v>1.1818181818181819</v>
      </c>
      <c r="P1407" t="str">
        <f>IF(Table13[[#This Row],[Good_Qty]]&gt;=Table13[[#This Row],[Planned_Production]],"Met","Not Met")</f>
        <v>Met</v>
      </c>
      <c r="Q1407">
        <f>Table13[[#This Row],[Good_Qty]]-Table13[[#This Row],[Planned_Production]]</f>
        <v>100</v>
      </c>
      <c r="R1407" s="3">
        <f>IF(Table13[[#This Row],[Actual_Qty]]=0,0,Table13[[#This Row],[Reject_Qty]]/Table13[[#This Row],[Actual_Qty]])</f>
        <v>1.3657056145675266E-2</v>
      </c>
      <c r="S1407">
        <v>407.71</v>
      </c>
      <c r="T1407">
        <f>(Table13[[#This Row],[Ideal_Cycle_Time_sec]]*Table13[[#This Row],[Actual_Qty]])/(Table13[[#This Row],[Operational_Time_min]]*60)</f>
        <v>0.94825570462665476</v>
      </c>
      <c r="U1407">
        <f>Table13[[#This Row],[Good_Qty]]/Table13[[#This Row],[Actual_Qty]]</f>
        <v>0.98634294385432475</v>
      </c>
      <c r="V1407" t="str">
        <f>IF(OR(Table13[[#This Row],[Performance_%]]&gt;=1,Table13[[#This Row],[Performance_%]]&lt;=0),"Error","OK")</f>
        <v>OK</v>
      </c>
      <c r="W1407" t="str">
        <f>IF(OR(Table13[[#This Row],[Quality_%]]&gt;=1,Table13[[#This Row],[Quality_%]]&lt;=0),"Error","OK")</f>
        <v>OK</v>
      </c>
      <c r="X1407">
        <f>Table13[[#This Row],[Performance_%]]*Table13[[#This Row],[Quality_%]]*[2]Availability_KPI!K1407</f>
        <v>0.8474074074074075</v>
      </c>
      <c r="Y1407" t="str">
        <f>IF(OR(Table13[[#This Row],[OEE_%]]&gt;1,Table13[[#This Row],[OEE_%]]&lt;0),"Error","OK")</f>
        <v>OK</v>
      </c>
    </row>
    <row r="1408" spans="1:25" x14ac:dyDescent="0.2">
      <c r="A1408" t="s">
        <v>1633</v>
      </c>
      <c r="B1408" t="s">
        <v>1627</v>
      </c>
      <c r="C1408" s="2">
        <v>46317</v>
      </c>
      <c r="D1408" t="s">
        <v>53</v>
      </c>
      <c r="E1408" t="s">
        <v>46</v>
      </c>
      <c r="F1408" t="s">
        <v>29</v>
      </c>
      <c r="G1408" t="s">
        <v>30</v>
      </c>
      <c r="H1408">
        <v>658</v>
      </c>
      <c r="I1408">
        <v>651</v>
      </c>
      <c r="J1408">
        <v>7</v>
      </c>
      <c r="K1408">
        <v>27.5</v>
      </c>
      <c r="L1408">
        <v>27.99</v>
      </c>
      <c r="M1408">
        <v>306.91000000000003</v>
      </c>
      <c r="N1408">
        <f>_xlfn.XLOOKUP(Table13[[#This Row],[Production_Order_ID]],[1]Sheet1!$A$2:$A$391,[1]Sheet1!$F$2:$F$391,"No Match")</f>
        <v>550</v>
      </c>
      <c r="O1408" s="3">
        <f>Table13[[#This Row],[Good_Qty]]/Table13[[#This Row],[Planned_Production]]</f>
        <v>1.1836363636363636</v>
      </c>
      <c r="P1408" t="str">
        <f>IF(Table13[[#This Row],[Good_Qty]]&gt;=Table13[[#This Row],[Planned_Production]],"Met","Not Met")</f>
        <v>Met</v>
      </c>
      <c r="Q1408">
        <f>Table13[[#This Row],[Good_Qty]]-Table13[[#This Row],[Planned_Production]]</f>
        <v>101</v>
      </c>
      <c r="R1408" s="3">
        <f>IF(Table13[[#This Row],[Actual_Qty]]=0,0,Table13[[#This Row],[Reject_Qty]]/Table13[[#This Row],[Actual_Qty]])</f>
        <v>1.0638297872340425E-2</v>
      </c>
      <c r="S1408">
        <v>422.99</v>
      </c>
      <c r="T1408">
        <f>(Table13[[#This Row],[Ideal_Cycle_Time_sec]]*Table13[[#This Row],[Actual_Qty]])/(Table13[[#This Row],[Operational_Time_min]]*60)</f>
        <v>0.71297981827781587</v>
      </c>
      <c r="U1408">
        <f>Table13[[#This Row],[Good_Qty]]/Table13[[#This Row],[Actual_Qty]]</f>
        <v>0.98936170212765961</v>
      </c>
      <c r="V1408" t="str">
        <f>IF(OR(Table13[[#This Row],[Performance_%]]&gt;=1,Table13[[#This Row],[Performance_%]]&lt;=0),"Error","OK")</f>
        <v>OK</v>
      </c>
      <c r="W1408" t="str">
        <f>IF(OR(Table13[[#This Row],[Quality_%]]&gt;=1,Table13[[#This Row],[Quality_%]]&lt;=0),"Error","OK")</f>
        <v>OK</v>
      </c>
      <c r="X1408">
        <f>Table13[[#This Row],[Performance_%]]*Table13[[#This Row],[Quality_%]]*[2]Availability_KPI!K1408</f>
        <v>0.66305555555555562</v>
      </c>
      <c r="Y1408" t="str">
        <f>IF(OR(Table13[[#This Row],[OEE_%]]&gt;1,Table13[[#This Row],[OEE_%]]&lt;0),"Error","OK")</f>
        <v>OK</v>
      </c>
    </row>
    <row r="1409" spans="1:25" x14ac:dyDescent="0.2">
      <c r="A1409" t="s">
        <v>1634</v>
      </c>
      <c r="B1409" t="s">
        <v>1627</v>
      </c>
      <c r="C1409" s="2">
        <v>46317</v>
      </c>
      <c r="D1409" t="s">
        <v>53</v>
      </c>
      <c r="E1409" t="s">
        <v>49</v>
      </c>
      <c r="F1409" t="s">
        <v>29</v>
      </c>
      <c r="G1409" t="s">
        <v>30</v>
      </c>
      <c r="H1409">
        <v>653</v>
      </c>
      <c r="I1409">
        <v>651</v>
      </c>
      <c r="J1409">
        <v>2</v>
      </c>
      <c r="K1409">
        <v>22</v>
      </c>
      <c r="L1409">
        <v>23.58</v>
      </c>
      <c r="M1409">
        <v>256.58999999999997</v>
      </c>
      <c r="N1409">
        <f>_xlfn.XLOOKUP(Table13[[#This Row],[Production_Order_ID]],[1]Sheet1!$A$2:$A$391,[1]Sheet1!$F$2:$F$391,"No Match")</f>
        <v>550</v>
      </c>
      <c r="O1409" s="3">
        <f>Table13[[#This Row],[Good_Qty]]/Table13[[#This Row],[Planned_Production]]</f>
        <v>1.1836363636363636</v>
      </c>
      <c r="P1409" t="str">
        <f>IF(Table13[[#This Row],[Good_Qty]]&gt;=Table13[[#This Row],[Planned_Production]],"Met","Not Met")</f>
        <v>Met</v>
      </c>
      <c r="Q1409">
        <f>Table13[[#This Row],[Good_Qty]]-Table13[[#This Row],[Planned_Production]]</f>
        <v>101</v>
      </c>
      <c r="R1409" s="3">
        <f>IF(Table13[[#This Row],[Actual_Qty]]=0,0,Table13[[#This Row],[Reject_Qty]]/Table13[[#This Row],[Actual_Qty]])</f>
        <v>3.0627871362940277E-3</v>
      </c>
      <c r="S1409">
        <v>440.86</v>
      </c>
      <c r="T1409">
        <f>(Table13[[#This Row],[Ideal_Cycle_Time_sec]]*Table13[[#This Row],[Actual_Qty]])/(Table13[[#This Row],[Operational_Time_min]]*60)</f>
        <v>0.54310514297811852</v>
      </c>
      <c r="U1409">
        <f>Table13[[#This Row],[Good_Qty]]/Table13[[#This Row],[Actual_Qty]]</f>
        <v>0.99693721286370596</v>
      </c>
      <c r="V1409" t="str">
        <f>IF(OR(Table13[[#This Row],[Performance_%]]&gt;=1,Table13[[#This Row],[Performance_%]]&lt;=0),"Error","OK")</f>
        <v>OK</v>
      </c>
      <c r="W1409" t="str">
        <f>IF(OR(Table13[[#This Row],[Quality_%]]&gt;=1,Table13[[#This Row],[Quality_%]]&lt;=0),"Error","OK")</f>
        <v>OK</v>
      </c>
      <c r="X1409">
        <f>Table13[[#This Row],[Performance_%]]*Table13[[#This Row],[Quality_%]]*[2]Availability_KPI!K1409</f>
        <v>0.5304444444444445</v>
      </c>
      <c r="Y1409" t="str">
        <f>IF(OR(Table13[[#This Row],[OEE_%]]&gt;1,Table13[[#This Row],[OEE_%]]&lt;0),"Error","OK")</f>
        <v>OK</v>
      </c>
    </row>
    <row r="1410" spans="1:25" x14ac:dyDescent="0.2">
      <c r="A1410" t="s">
        <v>1635</v>
      </c>
      <c r="B1410" t="s">
        <v>1636</v>
      </c>
      <c r="C1410" s="2">
        <v>46317</v>
      </c>
      <c r="D1410" t="s">
        <v>67</v>
      </c>
      <c r="E1410" t="s">
        <v>28</v>
      </c>
      <c r="F1410" t="s">
        <v>29</v>
      </c>
      <c r="G1410" t="s">
        <v>36</v>
      </c>
      <c r="H1410">
        <v>547</v>
      </c>
      <c r="I1410">
        <v>544</v>
      </c>
      <c r="J1410">
        <v>3</v>
      </c>
      <c r="K1410">
        <v>19.8</v>
      </c>
      <c r="L1410">
        <v>20.2</v>
      </c>
      <c r="M1410">
        <v>184.2</v>
      </c>
      <c r="N1410">
        <f>_xlfn.XLOOKUP(Table13[[#This Row],[Production_Order_ID]],[1]Sheet1!$A$2:$A$391,[1]Sheet1!$F$2:$F$391,"No Match")</f>
        <v>460</v>
      </c>
      <c r="O1410" s="3">
        <f>Table13[[#This Row],[Good_Qty]]/Table13[[#This Row],[Planned_Production]]</f>
        <v>1.182608695652174</v>
      </c>
      <c r="P1410" t="str">
        <f>IF(Table13[[#This Row],[Good_Qty]]&gt;=Table13[[#This Row],[Planned_Production]],"Met","Not Met")</f>
        <v>Met</v>
      </c>
      <c r="Q1410">
        <f>Table13[[#This Row],[Good_Qty]]-Table13[[#This Row],[Planned_Production]]</f>
        <v>84</v>
      </c>
      <c r="R1410" s="3">
        <f>IF(Table13[[#This Row],[Actual_Qty]]=0,0,Table13[[#This Row],[Reject_Qty]]/Table13[[#This Row],[Actual_Qty]])</f>
        <v>5.4844606946983544E-3</v>
      </c>
      <c r="S1410">
        <v>440.95</v>
      </c>
      <c r="T1410">
        <f>(Table13[[#This Row],[Ideal_Cycle_Time_sec]]*Table13[[#This Row],[Actual_Qty]])/(Table13[[#This Row],[Operational_Time_min]]*60)</f>
        <v>0.40936614128586007</v>
      </c>
      <c r="U1410">
        <f>Table13[[#This Row],[Good_Qty]]/Table13[[#This Row],[Actual_Qty]]</f>
        <v>0.99451553930530168</v>
      </c>
      <c r="V1410" t="str">
        <f>IF(OR(Table13[[#This Row],[Performance_%]]&gt;=1,Table13[[#This Row],[Performance_%]]&lt;=0),"Error","OK")</f>
        <v>OK</v>
      </c>
      <c r="W1410" t="str">
        <f>IF(OR(Table13[[#This Row],[Quality_%]]&gt;=1,Table13[[#This Row],[Quality_%]]&lt;=0),"Error","OK")</f>
        <v>OK</v>
      </c>
      <c r="X1410">
        <f>Table13[[#This Row],[Performance_%]]*Table13[[#This Row],[Quality_%]]*[2]Availability_KPI!K1410</f>
        <v>0.39893333333333331</v>
      </c>
      <c r="Y1410" t="str">
        <f>IF(OR(Table13[[#This Row],[OEE_%]]&gt;1,Table13[[#This Row],[OEE_%]]&lt;0),"Error","OK")</f>
        <v>OK</v>
      </c>
    </row>
    <row r="1411" spans="1:25" x14ac:dyDescent="0.2">
      <c r="A1411" t="s">
        <v>1637</v>
      </c>
      <c r="B1411" t="s">
        <v>1636</v>
      </c>
      <c r="C1411" s="2">
        <v>46317</v>
      </c>
      <c r="D1411" t="s">
        <v>67</v>
      </c>
      <c r="E1411" t="s">
        <v>32</v>
      </c>
      <c r="F1411" t="s">
        <v>29</v>
      </c>
      <c r="G1411" t="s">
        <v>61</v>
      </c>
      <c r="H1411">
        <v>539</v>
      </c>
      <c r="I1411">
        <v>535</v>
      </c>
      <c r="J1411">
        <v>4</v>
      </c>
      <c r="K1411">
        <v>22</v>
      </c>
      <c r="L1411">
        <v>22.8</v>
      </c>
      <c r="M1411">
        <v>204.79</v>
      </c>
      <c r="N1411">
        <f>_xlfn.XLOOKUP(Table13[[#This Row],[Production_Order_ID]],[1]Sheet1!$A$2:$A$391,[1]Sheet1!$F$2:$F$391,"No Match")</f>
        <v>460</v>
      </c>
      <c r="O1411" s="3">
        <f>Table13[[#This Row],[Good_Qty]]/Table13[[#This Row],[Planned_Production]]</f>
        <v>1.1630434782608696</v>
      </c>
      <c r="P1411" t="str">
        <f>IF(Table13[[#This Row],[Good_Qty]]&gt;=Table13[[#This Row],[Planned_Production]],"Met","Not Met")</f>
        <v>Met</v>
      </c>
      <c r="Q1411">
        <f>Table13[[#This Row],[Good_Qty]]-Table13[[#This Row],[Planned_Production]]</f>
        <v>75</v>
      </c>
      <c r="R1411" s="3">
        <f>IF(Table13[[#This Row],[Actual_Qty]]=0,0,Table13[[#This Row],[Reject_Qty]]/Table13[[#This Row],[Actual_Qty]])</f>
        <v>7.4211502782931356E-3</v>
      </c>
      <c r="S1411">
        <v>440.29</v>
      </c>
      <c r="T1411">
        <f>(Table13[[#This Row],[Ideal_Cycle_Time_sec]]*Table13[[#This Row],[Actual_Qty]])/(Table13[[#This Row],[Operational_Time_min]]*60)</f>
        <v>0.44887081998985512</v>
      </c>
      <c r="U1411">
        <f>Table13[[#This Row],[Good_Qty]]/Table13[[#This Row],[Actual_Qty]]</f>
        <v>0.99257884972170685</v>
      </c>
      <c r="V1411" t="str">
        <f>IF(OR(Table13[[#This Row],[Performance_%]]&gt;=1,Table13[[#This Row],[Performance_%]]&lt;=0),"Error","OK")</f>
        <v>OK</v>
      </c>
      <c r="W1411" t="str">
        <f>IF(OR(Table13[[#This Row],[Quality_%]]&gt;=1,Table13[[#This Row],[Quality_%]]&lt;=0),"Error","OK")</f>
        <v>OK</v>
      </c>
      <c r="X1411">
        <f>Table13[[#This Row],[Performance_%]]*Table13[[#This Row],[Quality_%]]*[2]Availability_KPI!K1411</f>
        <v>0.43592592592592588</v>
      </c>
      <c r="Y1411" t="str">
        <f>IF(OR(Table13[[#This Row],[OEE_%]]&gt;1,Table13[[#This Row],[OEE_%]]&lt;0),"Error","OK")</f>
        <v>OK</v>
      </c>
    </row>
    <row r="1412" spans="1:25" x14ac:dyDescent="0.2">
      <c r="A1412" t="s">
        <v>1638</v>
      </c>
      <c r="B1412" t="s">
        <v>1636</v>
      </c>
      <c r="C1412" s="2">
        <v>46317</v>
      </c>
      <c r="D1412" t="s">
        <v>67</v>
      </c>
      <c r="E1412" t="s">
        <v>35</v>
      </c>
      <c r="F1412" t="s">
        <v>29</v>
      </c>
      <c r="G1412" t="s">
        <v>36</v>
      </c>
      <c r="H1412">
        <v>540</v>
      </c>
      <c r="I1412">
        <v>535</v>
      </c>
      <c r="J1412">
        <v>5</v>
      </c>
      <c r="K1412">
        <v>24.2</v>
      </c>
      <c r="L1412">
        <v>25.55</v>
      </c>
      <c r="M1412">
        <v>229.93</v>
      </c>
      <c r="N1412">
        <f>_xlfn.XLOOKUP(Table13[[#This Row],[Production_Order_ID]],[1]Sheet1!$A$2:$A$391,[1]Sheet1!$F$2:$F$391,"No Match")</f>
        <v>460</v>
      </c>
      <c r="O1412" s="3">
        <f>Table13[[#This Row],[Good_Qty]]/Table13[[#This Row],[Planned_Production]]</f>
        <v>1.1630434782608696</v>
      </c>
      <c r="P1412" t="str">
        <f>IF(Table13[[#This Row],[Good_Qty]]&gt;=Table13[[#This Row],[Planned_Production]],"Met","Not Met")</f>
        <v>Met</v>
      </c>
      <c r="Q1412">
        <f>Table13[[#This Row],[Good_Qty]]-Table13[[#This Row],[Planned_Production]]</f>
        <v>75</v>
      </c>
      <c r="R1412" s="3">
        <f>IF(Table13[[#This Row],[Actual_Qty]]=0,0,Table13[[#This Row],[Reject_Qty]]/Table13[[#This Row],[Actual_Qty]])</f>
        <v>9.2592592592592587E-3</v>
      </c>
      <c r="S1412">
        <v>437.49</v>
      </c>
      <c r="T1412">
        <f>(Table13[[#This Row],[Ideal_Cycle_Time_sec]]*Table13[[#This Row],[Actual_Qty]])/(Table13[[#This Row],[Operational_Time_min]]*60)</f>
        <v>0.49783995062744291</v>
      </c>
      <c r="U1412">
        <f>Table13[[#This Row],[Good_Qty]]/Table13[[#This Row],[Actual_Qty]]</f>
        <v>0.9907407407407407</v>
      </c>
      <c r="V1412" t="str">
        <f>IF(OR(Table13[[#This Row],[Performance_%]]&gt;=1,Table13[[#This Row],[Performance_%]]&lt;=0),"Error","OK")</f>
        <v>OK</v>
      </c>
      <c r="W1412" t="str">
        <f>IF(OR(Table13[[#This Row],[Quality_%]]&gt;=1,Table13[[#This Row],[Quality_%]]&lt;=0),"Error","OK")</f>
        <v>OK</v>
      </c>
      <c r="X1412">
        <f>Table13[[#This Row],[Performance_%]]*Table13[[#This Row],[Quality_%]]*[2]Availability_KPI!K1412</f>
        <v>0.47951851851851851</v>
      </c>
      <c r="Y1412" t="str">
        <f>IF(OR(Table13[[#This Row],[OEE_%]]&gt;1,Table13[[#This Row],[OEE_%]]&lt;0),"Error","OK")</f>
        <v>OK</v>
      </c>
    </row>
    <row r="1413" spans="1:25" x14ac:dyDescent="0.2">
      <c r="A1413" t="s">
        <v>1639</v>
      </c>
      <c r="B1413" t="s">
        <v>1636</v>
      </c>
      <c r="C1413" s="2">
        <v>46317</v>
      </c>
      <c r="D1413" t="s">
        <v>67</v>
      </c>
      <c r="E1413" t="s">
        <v>38</v>
      </c>
      <c r="F1413" t="s">
        <v>29</v>
      </c>
      <c r="G1413" t="s">
        <v>44</v>
      </c>
      <c r="H1413">
        <v>540</v>
      </c>
      <c r="I1413">
        <v>538</v>
      </c>
      <c r="J1413">
        <v>2</v>
      </c>
      <c r="K1413">
        <v>22</v>
      </c>
      <c r="L1413">
        <v>22.23</v>
      </c>
      <c r="M1413">
        <v>200.08</v>
      </c>
      <c r="N1413">
        <f>_xlfn.XLOOKUP(Table13[[#This Row],[Production_Order_ID]],[1]Sheet1!$A$2:$A$391,[1]Sheet1!$F$2:$F$391,"No Match")</f>
        <v>460</v>
      </c>
      <c r="O1413" s="3">
        <f>Table13[[#This Row],[Good_Qty]]/Table13[[#This Row],[Planned_Production]]</f>
        <v>1.1695652173913043</v>
      </c>
      <c r="P1413" t="str">
        <f>IF(Table13[[#This Row],[Good_Qty]]&gt;=Table13[[#This Row],[Planned_Production]],"Met","Not Met")</f>
        <v>Met</v>
      </c>
      <c r="Q1413">
        <f>Table13[[#This Row],[Good_Qty]]-Table13[[#This Row],[Planned_Production]]</f>
        <v>78</v>
      </c>
      <c r="R1413" s="3">
        <f>IF(Table13[[#This Row],[Actual_Qty]]=0,0,Table13[[#This Row],[Reject_Qty]]/Table13[[#This Row],[Actual_Qty]])</f>
        <v>3.7037037037037038E-3</v>
      </c>
      <c r="S1413">
        <v>438.85</v>
      </c>
      <c r="T1413">
        <f>(Table13[[#This Row],[Ideal_Cycle_Time_sec]]*Table13[[#This Row],[Actual_Qty]])/(Table13[[#This Row],[Operational_Time_min]]*60)</f>
        <v>0.45117921841175801</v>
      </c>
      <c r="U1413">
        <f>Table13[[#This Row],[Good_Qty]]/Table13[[#This Row],[Actual_Qty]]</f>
        <v>0.99629629629629635</v>
      </c>
      <c r="V1413" t="str">
        <f>IF(OR(Table13[[#This Row],[Performance_%]]&gt;=1,Table13[[#This Row],[Performance_%]]&lt;=0),"Error","OK")</f>
        <v>OK</v>
      </c>
      <c r="W1413" t="str">
        <f>IF(OR(Table13[[#This Row],[Quality_%]]&gt;=1,Table13[[#This Row],[Quality_%]]&lt;=0),"Error","OK")</f>
        <v>OK</v>
      </c>
      <c r="X1413">
        <f>Table13[[#This Row],[Performance_%]]*Table13[[#This Row],[Quality_%]]*[2]Availability_KPI!K1413</f>
        <v>0.43837037037037041</v>
      </c>
      <c r="Y1413" t="str">
        <f>IF(OR(Table13[[#This Row],[OEE_%]]&gt;1,Table13[[#This Row],[OEE_%]]&lt;0),"Error","OK")</f>
        <v>OK</v>
      </c>
    </row>
    <row r="1414" spans="1:25" x14ac:dyDescent="0.2">
      <c r="A1414" t="s">
        <v>1640</v>
      </c>
      <c r="B1414" t="s">
        <v>1636</v>
      </c>
      <c r="C1414" s="2">
        <v>46317</v>
      </c>
      <c r="D1414" t="s">
        <v>67</v>
      </c>
      <c r="E1414" t="s">
        <v>41</v>
      </c>
      <c r="F1414" t="s">
        <v>29</v>
      </c>
      <c r="G1414" t="s">
        <v>33</v>
      </c>
      <c r="H1414">
        <v>556</v>
      </c>
      <c r="I1414">
        <v>551</v>
      </c>
      <c r="J1414">
        <v>5</v>
      </c>
      <c r="K1414">
        <v>19.8</v>
      </c>
      <c r="L1414">
        <v>21.57</v>
      </c>
      <c r="M1414">
        <v>199.84</v>
      </c>
      <c r="N1414">
        <f>_xlfn.XLOOKUP(Table13[[#This Row],[Production_Order_ID]],[1]Sheet1!$A$2:$A$391,[1]Sheet1!$F$2:$F$391,"No Match")</f>
        <v>460</v>
      </c>
      <c r="O1414" s="3">
        <f>Table13[[#This Row],[Good_Qty]]/Table13[[#This Row],[Planned_Production]]</f>
        <v>1.1978260869565218</v>
      </c>
      <c r="P1414" t="str">
        <f>IF(Table13[[#This Row],[Good_Qty]]&gt;=Table13[[#This Row],[Planned_Production]],"Met","Not Met")</f>
        <v>Met</v>
      </c>
      <c r="Q1414">
        <f>Table13[[#This Row],[Good_Qty]]-Table13[[#This Row],[Planned_Production]]</f>
        <v>91</v>
      </c>
      <c r="R1414" s="3">
        <f>IF(Table13[[#This Row],[Actual_Qty]]=0,0,Table13[[#This Row],[Reject_Qty]]/Table13[[#This Row],[Actual_Qty]])</f>
        <v>8.9928057553956831E-3</v>
      </c>
      <c r="S1414">
        <v>436.17</v>
      </c>
      <c r="T1414">
        <f>(Table13[[#This Row],[Ideal_Cycle_Time_sec]]*Table13[[#This Row],[Actual_Qty]])/(Table13[[#This Row],[Operational_Time_min]]*60)</f>
        <v>0.42066166861544813</v>
      </c>
      <c r="U1414">
        <f>Table13[[#This Row],[Good_Qty]]/Table13[[#This Row],[Actual_Qty]]</f>
        <v>0.99100719424460426</v>
      </c>
      <c r="V1414" t="str">
        <f>IF(OR(Table13[[#This Row],[Performance_%]]&gt;=1,Table13[[#This Row],[Performance_%]]&lt;=0),"Error","OK")</f>
        <v>OK</v>
      </c>
      <c r="W1414" t="str">
        <f>IF(OR(Table13[[#This Row],[Quality_%]]&gt;=1,Table13[[#This Row],[Quality_%]]&lt;=0),"Error","OK")</f>
        <v>OK</v>
      </c>
      <c r="X1414">
        <f>Table13[[#This Row],[Performance_%]]*Table13[[#This Row],[Quality_%]]*[2]Availability_KPI!K1414</f>
        <v>0.40406666666666669</v>
      </c>
      <c r="Y1414" t="str">
        <f>IF(OR(Table13[[#This Row],[OEE_%]]&gt;1,Table13[[#This Row],[OEE_%]]&lt;0),"Error","OK")</f>
        <v>OK</v>
      </c>
    </row>
    <row r="1415" spans="1:25" x14ac:dyDescent="0.2">
      <c r="A1415" t="s">
        <v>1641</v>
      </c>
      <c r="B1415" t="s">
        <v>1636</v>
      </c>
      <c r="C1415" s="2">
        <v>46317</v>
      </c>
      <c r="D1415" t="s">
        <v>67</v>
      </c>
      <c r="E1415" t="s">
        <v>43</v>
      </c>
      <c r="F1415" t="s">
        <v>29</v>
      </c>
      <c r="G1415" t="s">
        <v>55</v>
      </c>
      <c r="H1415">
        <v>543</v>
      </c>
      <c r="I1415">
        <v>534</v>
      </c>
      <c r="J1415">
        <v>9</v>
      </c>
      <c r="K1415">
        <v>35.200000000000003</v>
      </c>
      <c r="L1415">
        <v>35.36</v>
      </c>
      <c r="M1415">
        <v>319.98</v>
      </c>
      <c r="N1415">
        <f>_xlfn.XLOOKUP(Table13[[#This Row],[Production_Order_ID]],[1]Sheet1!$A$2:$A$391,[1]Sheet1!$F$2:$F$391,"No Match")</f>
        <v>460</v>
      </c>
      <c r="O1415" s="3">
        <f>Table13[[#This Row],[Good_Qty]]/Table13[[#This Row],[Planned_Production]]</f>
        <v>1.1608695652173913</v>
      </c>
      <c r="P1415" t="str">
        <f>IF(Table13[[#This Row],[Good_Qty]]&gt;=Table13[[#This Row],[Planned_Production]],"Met","Not Met")</f>
        <v>Met</v>
      </c>
      <c r="Q1415">
        <f>Table13[[#This Row],[Good_Qty]]-Table13[[#This Row],[Planned_Production]]</f>
        <v>74</v>
      </c>
      <c r="R1415" s="3">
        <f>IF(Table13[[#This Row],[Actual_Qty]]=0,0,Table13[[#This Row],[Reject_Qty]]/Table13[[#This Row],[Actual_Qty]])</f>
        <v>1.6574585635359115E-2</v>
      </c>
      <c r="S1415">
        <v>419.91</v>
      </c>
      <c r="T1415">
        <f>(Table13[[#This Row],[Ideal_Cycle_Time_sec]]*Table13[[#This Row],[Actual_Qty]])/(Table13[[#This Row],[Operational_Time_min]]*60)</f>
        <v>0.75863875592388852</v>
      </c>
      <c r="U1415">
        <f>Table13[[#This Row],[Good_Qty]]/Table13[[#This Row],[Actual_Qty]]</f>
        <v>0.98342541436464093</v>
      </c>
      <c r="V1415" t="str">
        <f>IF(OR(Table13[[#This Row],[Performance_%]]&gt;=1,Table13[[#This Row],[Performance_%]]&lt;=0),"Error","OK")</f>
        <v>OK</v>
      </c>
      <c r="W1415" t="str">
        <f>IF(OR(Table13[[#This Row],[Quality_%]]&gt;=1,Table13[[#This Row],[Quality_%]]&lt;=0),"Error","OK")</f>
        <v>OK</v>
      </c>
      <c r="X1415">
        <f>Table13[[#This Row],[Performance_%]]*Table13[[#This Row],[Quality_%]]*[2]Availability_KPI!K1415</f>
        <v>0.6961777777777779</v>
      </c>
      <c r="Y1415" t="str">
        <f>IF(OR(Table13[[#This Row],[OEE_%]]&gt;1,Table13[[#This Row],[OEE_%]]&lt;0),"Error","OK")</f>
        <v>OK</v>
      </c>
    </row>
    <row r="1416" spans="1:25" x14ac:dyDescent="0.2">
      <c r="A1416" t="s">
        <v>1642</v>
      </c>
      <c r="B1416" t="s">
        <v>1636</v>
      </c>
      <c r="C1416" s="2">
        <v>46317</v>
      </c>
      <c r="D1416" t="s">
        <v>67</v>
      </c>
      <c r="E1416" t="s">
        <v>46</v>
      </c>
      <c r="F1416" t="s">
        <v>29</v>
      </c>
      <c r="G1416" t="s">
        <v>47</v>
      </c>
      <c r="H1416">
        <v>539</v>
      </c>
      <c r="I1416">
        <v>535</v>
      </c>
      <c r="J1416">
        <v>4</v>
      </c>
      <c r="K1416">
        <v>27.5</v>
      </c>
      <c r="L1416">
        <v>28.97</v>
      </c>
      <c r="M1416">
        <v>260.23</v>
      </c>
      <c r="N1416">
        <f>_xlfn.XLOOKUP(Table13[[#This Row],[Production_Order_ID]],[1]Sheet1!$A$2:$A$391,[1]Sheet1!$F$2:$F$391,"No Match")</f>
        <v>460</v>
      </c>
      <c r="O1416" s="3">
        <f>Table13[[#This Row],[Good_Qty]]/Table13[[#This Row],[Planned_Production]]</f>
        <v>1.1630434782608696</v>
      </c>
      <c r="P1416" t="str">
        <f>IF(Table13[[#This Row],[Good_Qty]]&gt;=Table13[[#This Row],[Planned_Production]],"Met","Not Met")</f>
        <v>Met</v>
      </c>
      <c r="Q1416">
        <f>Table13[[#This Row],[Good_Qty]]-Table13[[#This Row],[Planned_Production]]</f>
        <v>75</v>
      </c>
      <c r="R1416" s="3">
        <f>IF(Table13[[#This Row],[Actual_Qty]]=0,0,Table13[[#This Row],[Reject_Qty]]/Table13[[#This Row],[Actual_Qty]])</f>
        <v>7.4211502782931356E-3</v>
      </c>
      <c r="S1416">
        <v>428.31</v>
      </c>
      <c r="T1416">
        <f>(Table13[[#This Row],[Ideal_Cycle_Time_sec]]*Table13[[#This Row],[Actual_Qty]])/(Table13[[#This Row],[Operational_Time_min]]*60)</f>
        <v>0.57678239281517285</v>
      </c>
      <c r="U1416">
        <f>Table13[[#This Row],[Good_Qty]]/Table13[[#This Row],[Actual_Qty]]</f>
        <v>0.99257884972170685</v>
      </c>
      <c r="V1416" t="str">
        <f>IF(OR(Table13[[#This Row],[Performance_%]]&gt;=1,Table13[[#This Row],[Performance_%]]&lt;=0),"Error","OK")</f>
        <v>OK</v>
      </c>
      <c r="W1416" t="str">
        <f>IF(OR(Table13[[#This Row],[Quality_%]]&gt;=1,Table13[[#This Row],[Quality_%]]&lt;=0),"Error","OK")</f>
        <v>OK</v>
      </c>
      <c r="X1416">
        <f>Table13[[#This Row],[Performance_%]]*Table13[[#This Row],[Quality_%]]*[2]Availability_KPI!K1416</f>
        <v>0.5449074074074074</v>
      </c>
      <c r="Y1416" t="str">
        <f>IF(OR(Table13[[#This Row],[OEE_%]]&gt;1,Table13[[#This Row],[OEE_%]]&lt;0),"Error","OK")</f>
        <v>OK</v>
      </c>
    </row>
    <row r="1417" spans="1:25" x14ac:dyDescent="0.2">
      <c r="A1417" t="s">
        <v>1643</v>
      </c>
      <c r="B1417" t="s">
        <v>1636</v>
      </c>
      <c r="C1417" s="2">
        <v>46317</v>
      </c>
      <c r="D1417" t="s">
        <v>67</v>
      </c>
      <c r="E1417" t="s">
        <v>49</v>
      </c>
      <c r="F1417" t="s">
        <v>29</v>
      </c>
      <c r="G1417" t="s">
        <v>44</v>
      </c>
      <c r="H1417">
        <v>537</v>
      </c>
      <c r="I1417">
        <v>533</v>
      </c>
      <c r="J1417">
        <v>4</v>
      </c>
      <c r="K1417">
        <v>22</v>
      </c>
      <c r="L1417">
        <v>22.95</v>
      </c>
      <c r="M1417">
        <v>205.38</v>
      </c>
      <c r="N1417">
        <f>_xlfn.XLOOKUP(Table13[[#This Row],[Production_Order_ID]],[1]Sheet1!$A$2:$A$391,[1]Sheet1!$F$2:$F$391,"No Match")</f>
        <v>460</v>
      </c>
      <c r="O1417" s="3">
        <f>Table13[[#This Row],[Good_Qty]]/Table13[[#This Row],[Planned_Production]]</f>
        <v>1.1586956521739131</v>
      </c>
      <c r="P1417" t="str">
        <f>IF(Table13[[#This Row],[Good_Qty]]&gt;=Table13[[#This Row],[Planned_Production]],"Met","Not Met")</f>
        <v>Met</v>
      </c>
      <c r="Q1417">
        <f>Table13[[#This Row],[Good_Qty]]-Table13[[#This Row],[Planned_Production]]</f>
        <v>73</v>
      </c>
      <c r="R1417" s="3">
        <f>IF(Table13[[#This Row],[Actual_Qty]]=0,0,Table13[[#This Row],[Reject_Qty]]/Table13[[#This Row],[Actual_Qty]])</f>
        <v>7.4487895716945996E-3</v>
      </c>
      <c r="S1417">
        <v>440.81</v>
      </c>
      <c r="T1417">
        <f>(Table13[[#This Row],[Ideal_Cycle_Time_sec]]*Table13[[#This Row],[Actual_Qty]])/(Table13[[#This Row],[Operational_Time_min]]*60)</f>
        <v>0.44667770694857195</v>
      </c>
      <c r="U1417">
        <f>Table13[[#This Row],[Good_Qty]]/Table13[[#This Row],[Actual_Qty]]</f>
        <v>0.99255121042830541</v>
      </c>
      <c r="V1417" t="str">
        <f>IF(OR(Table13[[#This Row],[Performance_%]]&gt;=1,Table13[[#This Row],[Performance_%]]&lt;=0),"Error","OK")</f>
        <v>OK</v>
      </c>
      <c r="W1417" t="str">
        <f>IF(OR(Table13[[#This Row],[Quality_%]]&gt;=1,Table13[[#This Row],[Quality_%]]&lt;=0),"Error","OK")</f>
        <v>OK</v>
      </c>
      <c r="X1417">
        <f>Table13[[#This Row],[Performance_%]]*Table13[[#This Row],[Quality_%]]*[2]Availability_KPI!K1417</f>
        <v>0.43429629629629629</v>
      </c>
      <c r="Y1417" t="str">
        <f>IF(OR(Table13[[#This Row],[OEE_%]]&gt;1,Table13[[#This Row],[OEE_%]]&lt;0),"Error","OK")</f>
        <v>OK</v>
      </c>
    </row>
    <row r="1418" spans="1:25" x14ac:dyDescent="0.2">
      <c r="A1418" t="s">
        <v>1644</v>
      </c>
      <c r="B1418" t="s">
        <v>1645</v>
      </c>
      <c r="C1418" s="2">
        <v>46318</v>
      </c>
      <c r="D1418" t="s">
        <v>27</v>
      </c>
      <c r="E1418" t="s">
        <v>28</v>
      </c>
      <c r="F1418" t="s">
        <v>29</v>
      </c>
      <c r="G1418" t="s">
        <v>61</v>
      </c>
      <c r="H1418">
        <v>638</v>
      </c>
      <c r="I1418">
        <v>634</v>
      </c>
      <c r="J1418">
        <v>4</v>
      </c>
      <c r="K1418">
        <v>19.8</v>
      </c>
      <c r="L1418">
        <v>20.84</v>
      </c>
      <c r="M1418">
        <v>221.6</v>
      </c>
      <c r="N1418">
        <f>_xlfn.XLOOKUP(Table13[[#This Row],[Production_Order_ID]],[1]Sheet1!$A$2:$A$391,[1]Sheet1!$F$2:$F$391,"No Match")</f>
        <v>650</v>
      </c>
      <c r="O1418" s="3">
        <f>Table13[[#This Row],[Good_Qty]]/Table13[[#This Row],[Planned_Production]]</f>
        <v>0.97538461538461541</v>
      </c>
      <c r="P1418" t="str">
        <f>IF(Table13[[#This Row],[Good_Qty]]&gt;=Table13[[#This Row],[Planned_Production]],"Met","Not Met")</f>
        <v>Not Met</v>
      </c>
      <c r="Q1418">
        <f>Table13[[#This Row],[Good_Qty]]-Table13[[#This Row],[Planned_Production]]</f>
        <v>-16</v>
      </c>
      <c r="R1418" s="3">
        <f>IF(Table13[[#This Row],[Actual_Qty]]=0,0,Table13[[#This Row],[Reject_Qty]]/Table13[[#This Row],[Actual_Qty]])</f>
        <v>6.269592476489028E-3</v>
      </c>
      <c r="S1418">
        <v>440.87</v>
      </c>
      <c r="T1418">
        <f>(Table13[[#This Row],[Ideal_Cycle_Time_sec]]*Table13[[#This Row],[Actual_Qty]])/(Table13[[#This Row],[Operational_Time_min]]*60)</f>
        <v>0.47755574205548118</v>
      </c>
      <c r="U1418">
        <f>Table13[[#This Row],[Good_Qty]]/Table13[[#This Row],[Actual_Qty]]</f>
        <v>0.99373040752351094</v>
      </c>
      <c r="V1418" t="str">
        <f>IF(OR(Table13[[#This Row],[Performance_%]]&gt;=1,Table13[[#This Row],[Performance_%]]&lt;=0),"Error","OK")</f>
        <v>OK</v>
      </c>
      <c r="W1418" t="str">
        <f>IF(OR(Table13[[#This Row],[Quality_%]]&gt;=1,Table13[[#This Row],[Quality_%]]&lt;=0),"Error","OK")</f>
        <v>OK</v>
      </c>
      <c r="X1418">
        <f>Table13[[#This Row],[Performance_%]]*Table13[[#This Row],[Quality_%]]*[2]Availability_KPI!K1418</f>
        <v>0.46493333333333331</v>
      </c>
      <c r="Y1418" t="str">
        <f>IF(OR(Table13[[#This Row],[OEE_%]]&gt;1,Table13[[#This Row],[OEE_%]]&lt;0),"Error","OK")</f>
        <v>OK</v>
      </c>
    </row>
    <row r="1419" spans="1:25" x14ac:dyDescent="0.2">
      <c r="A1419" t="s">
        <v>1646</v>
      </c>
      <c r="B1419" t="s">
        <v>1645</v>
      </c>
      <c r="C1419" s="2">
        <v>46318</v>
      </c>
      <c r="D1419" t="s">
        <v>27</v>
      </c>
      <c r="E1419" t="s">
        <v>32</v>
      </c>
      <c r="F1419" t="s">
        <v>29</v>
      </c>
      <c r="G1419" t="s">
        <v>44</v>
      </c>
      <c r="H1419">
        <v>630</v>
      </c>
      <c r="I1419">
        <v>623</v>
      </c>
      <c r="J1419">
        <v>7</v>
      </c>
      <c r="K1419">
        <v>22</v>
      </c>
      <c r="L1419">
        <v>22.87</v>
      </c>
      <c r="M1419">
        <v>240.14</v>
      </c>
      <c r="N1419">
        <f>_xlfn.XLOOKUP(Table13[[#This Row],[Production_Order_ID]],[1]Sheet1!$A$2:$A$391,[1]Sheet1!$F$2:$F$391,"No Match")</f>
        <v>650</v>
      </c>
      <c r="O1419" s="3">
        <f>Table13[[#This Row],[Good_Qty]]/Table13[[#This Row],[Planned_Production]]</f>
        <v>0.95846153846153848</v>
      </c>
      <c r="P1419" t="str">
        <f>IF(Table13[[#This Row],[Good_Qty]]&gt;=Table13[[#This Row],[Planned_Production]],"Met","Not Met")</f>
        <v>Not Met</v>
      </c>
      <c r="Q1419">
        <f>Table13[[#This Row],[Good_Qty]]-Table13[[#This Row],[Planned_Production]]</f>
        <v>-27</v>
      </c>
      <c r="R1419" s="3">
        <f>IF(Table13[[#This Row],[Actual_Qty]]=0,0,Table13[[#This Row],[Reject_Qty]]/Table13[[#This Row],[Actual_Qty]])</f>
        <v>1.1111111111111112E-2</v>
      </c>
      <c r="S1419">
        <v>435.4</v>
      </c>
      <c r="T1419">
        <f>(Table13[[#This Row],[Ideal_Cycle_Time_sec]]*Table13[[#This Row],[Actual_Qty]])/(Table13[[#This Row],[Operational_Time_min]]*60)</f>
        <v>0.53054662379421225</v>
      </c>
      <c r="U1419">
        <f>Table13[[#This Row],[Good_Qty]]/Table13[[#This Row],[Actual_Qty]]</f>
        <v>0.98888888888888893</v>
      </c>
      <c r="V1419" t="str">
        <f>IF(OR(Table13[[#This Row],[Performance_%]]&gt;=1,Table13[[#This Row],[Performance_%]]&lt;=0),"Error","OK")</f>
        <v>OK</v>
      </c>
      <c r="W1419" t="str">
        <f>IF(OR(Table13[[#This Row],[Quality_%]]&gt;=1,Table13[[#This Row],[Quality_%]]&lt;=0),"Error","OK")</f>
        <v>OK</v>
      </c>
      <c r="X1419">
        <f>Table13[[#This Row],[Performance_%]]*Table13[[#This Row],[Quality_%]]*[2]Availability_KPI!K1419</f>
        <v>0.50762962962962965</v>
      </c>
      <c r="Y1419" t="str">
        <f>IF(OR(Table13[[#This Row],[OEE_%]]&gt;1,Table13[[#This Row],[OEE_%]]&lt;0),"Error","OK")</f>
        <v>OK</v>
      </c>
    </row>
    <row r="1420" spans="1:25" x14ac:dyDescent="0.2">
      <c r="A1420" t="s">
        <v>1647</v>
      </c>
      <c r="B1420" t="s">
        <v>1645</v>
      </c>
      <c r="C1420" s="2">
        <v>46318</v>
      </c>
      <c r="D1420" t="s">
        <v>27</v>
      </c>
      <c r="E1420" t="s">
        <v>35</v>
      </c>
      <c r="F1420" t="s">
        <v>29</v>
      </c>
      <c r="G1420" t="s">
        <v>33</v>
      </c>
      <c r="H1420">
        <v>626</v>
      </c>
      <c r="I1420">
        <v>622</v>
      </c>
      <c r="J1420">
        <v>4</v>
      </c>
      <c r="K1420">
        <v>24.2</v>
      </c>
      <c r="L1420">
        <v>25.68</v>
      </c>
      <c r="M1420">
        <v>267.89999999999998</v>
      </c>
      <c r="N1420">
        <f>_xlfn.XLOOKUP(Table13[[#This Row],[Production_Order_ID]],[1]Sheet1!$A$2:$A$391,[1]Sheet1!$F$2:$F$391,"No Match")</f>
        <v>650</v>
      </c>
      <c r="O1420" s="3">
        <f>Table13[[#This Row],[Good_Qty]]/Table13[[#This Row],[Planned_Production]]</f>
        <v>0.95692307692307688</v>
      </c>
      <c r="P1420" t="str">
        <f>IF(Table13[[#This Row],[Good_Qty]]&gt;=Table13[[#This Row],[Planned_Production]],"Met","Not Met")</f>
        <v>Not Met</v>
      </c>
      <c r="Q1420">
        <f>Table13[[#This Row],[Good_Qty]]-Table13[[#This Row],[Planned_Production]]</f>
        <v>-28</v>
      </c>
      <c r="R1420" s="3">
        <f>IF(Table13[[#This Row],[Actual_Qty]]=0,0,Table13[[#This Row],[Reject_Qty]]/Table13[[#This Row],[Actual_Qty]])</f>
        <v>6.3897763578274758E-3</v>
      </c>
      <c r="S1420">
        <v>432.99</v>
      </c>
      <c r="T1420">
        <f>(Table13[[#This Row],[Ideal_Cycle_Time_sec]]*Table13[[#This Row],[Actual_Qty]])/(Table13[[#This Row],[Operational_Time_min]]*60)</f>
        <v>0.58312355173714547</v>
      </c>
      <c r="U1420">
        <f>Table13[[#This Row],[Good_Qty]]/Table13[[#This Row],[Actual_Qty]]</f>
        <v>0.99361022364217255</v>
      </c>
      <c r="V1420" t="str">
        <f>IF(OR(Table13[[#This Row],[Performance_%]]&gt;=1,Table13[[#This Row],[Performance_%]]&lt;=0),"Error","OK")</f>
        <v>OK</v>
      </c>
      <c r="W1420" t="str">
        <f>IF(OR(Table13[[#This Row],[Quality_%]]&gt;=1,Table13[[#This Row],[Quality_%]]&lt;=0),"Error","OK")</f>
        <v>OK</v>
      </c>
      <c r="X1420">
        <f>Table13[[#This Row],[Performance_%]]*Table13[[#This Row],[Quality_%]]*[2]Availability_KPI!K1420</f>
        <v>0.55749629629629616</v>
      </c>
      <c r="Y1420" t="str">
        <f>IF(OR(Table13[[#This Row],[OEE_%]]&gt;1,Table13[[#This Row],[OEE_%]]&lt;0),"Error","OK")</f>
        <v>OK</v>
      </c>
    </row>
    <row r="1421" spans="1:25" x14ac:dyDescent="0.2">
      <c r="A1421" t="s">
        <v>1648</v>
      </c>
      <c r="B1421" t="s">
        <v>1645</v>
      </c>
      <c r="C1421" s="2">
        <v>46318</v>
      </c>
      <c r="D1421" t="s">
        <v>27</v>
      </c>
      <c r="E1421" t="s">
        <v>38</v>
      </c>
      <c r="F1421" t="s">
        <v>29</v>
      </c>
      <c r="G1421" t="s">
        <v>39</v>
      </c>
      <c r="H1421">
        <v>636</v>
      </c>
      <c r="I1421">
        <v>631</v>
      </c>
      <c r="J1421">
        <v>5</v>
      </c>
      <c r="K1421">
        <v>22</v>
      </c>
      <c r="L1421">
        <v>23.16</v>
      </c>
      <c r="M1421">
        <v>245.51</v>
      </c>
      <c r="N1421">
        <f>_xlfn.XLOOKUP(Table13[[#This Row],[Production_Order_ID]],[1]Sheet1!$A$2:$A$391,[1]Sheet1!$F$2:$F$391,"No Match")</f>
        <v>650</v>
      </c>
      <c r="O1421" s="3">
        <f>Table13[[#This Row],[Good_Qty]]/Table13[[#This Row],[Planned_Production]]</f>
        <v>0.97076923076923072</v>
      </c>
      <c r="P1421" t="str">
        <f>IF(Table13[[#This Row],[Good_Qty]]&gt;=Table13[[#This Row],[Planned_Production]],"Met","Not Met")</f>
        <v>Not Met</v>
      </c>
      <c r="Q1421">
        <f>Table13[[#This Row],[Good_Qty]]-Table13[[#This Row],[Planned_Production]]</f>
        <v>-19</v>
      </c>
      <c r="R1421" s="3">
        <f>IF(Table13[[#This Row],[Actual_Qty]]=0,0,Table13[[#This Row],[Reject_Qty]]/Table13[[#This Row],[Actual_Qty]])</f>
        <v>7.8616352201257862E-3</v>
      </c>
      <c r="S1421">
        <v>438.82</v>
      </c>
      <c r="T1421">
        <f>(Table13[[#This Row],[Ideal_Cycle_Time_sec]]*Table13[[#This Row],[Actual_Qty]])/(Table13[[#This Row],[Operational_Time_min]]*60)</f>
        <v>0.53142518572535435</v>
      </c>
      <c r="U1421">
        <f>Table13[[#This Row],[Good_Qty]]/Table13[[#This Row],[Actual_Qty]]</f>
        <v>0.99213836477987416</v>
      </c>
      <c r="V1421" t="str">
        <f>IF(OR(Table13[[#This Row],[Performance_%]]&gt;=1,Table13[[#This Row],[Performance_%]]&lt;=0),"Error","OK")</f>
        <v>OK</v>
      </c>
      <c r="W1421" t="str">
        <f>IF(OR(Table13[[#This Row],[Quality_%]]&gt;=1,Table13[[#This Row],[Quality_%]]&lt;=0),"Error","OK")</f>
        <v>OK</v>
      </c>
      <c r="X1421">
        <f>Table13[[#This Row],[Performance_%]]*Table13[[#This Row],[Quality_%]]*[2]Availability_KPI!K1421</f>
        <v>0.51414814814814813</v>
      </c>
      <c r="Y1421" t="str">
        <f>IF(OR(Table13[[#This Row],[OEE_%]]&gt;1,Table13[[#This Row],[OEE_%]]&lt;0),"Error","OK")</f>
        <v>OK</v>
      </c>
    </row>
    <row r="1422" spans="1:25" x14ac:dyDescent="0.2">
      <c r="A1422" t="s">
        <v>1649</v>
      </c>
      <c r="B1422" t="s">
        <v>1645</v>
      </c>
      <c r="C1422" s="2">
        <v>46318</v>
      </c>
      <c r="D1422" t="s">
        <v>27</v>
      </c>
      <c r="E1422" t="s">
        <v>41</v>
      </c>
      <c r="F1422" t="s">
        <v>29</v>
      </c>
      <c r="G1422" t="s">
        <v>39</v>
      </c>
      <c r="H1422">
        <v>642</v>
      </c>
      <c r="I1422">
        <v>638</v>
      </c>
      <c r="J1422">
        <v>4</v>
      </c>
      <c r="K1422">
        <v>19.8</v>
      </c>
      <c r="L1422">
        <v>20.7</v>
      </c>
      <c r="M1422">
        <v>221.45</v>
      </c>
      <c r="N1422">
        <f>_xlfn.XLOOKUP(Table13[[#This Row],[Production_Order_ID]],[1]Sheet1!$A$2:$A$391,[1]Sheet1!$F$2:$F$391,"No Match")</f>
        <v>650</v>
      </c>
      <c r="O1422" s="3">
        <f>Table13[[#This Row],[Good_Qty]]/Table13[[#This Row],[Planned_Production]]</f>
        <v>0.98153846153846158</v>
      </c>
      <c r="P1422" t="str">
        <f>IF(Table13[[#This Row],[Good_Qty]]&gt;=Table13[[#This Row],[Planned_Production]],"Met","Not Met")</f>
        <v>Not Met</v>
      </c>
      <c r="Q1422">
        <f>Table13[[#This Row],[Good_Qty]]-Table13[[#This Row],[Planned_Production]]</f>
        <v>-12</v>
      </c>
      <c r="R1422" s="3">
        <f>IF(Table13[[#This Row],[Actual_Qty]]=0,0,Table13[[#This Row],[Reject_Qty]]/Table13[[#This Row],[Actual_Qty]])</f>
        <v>6.2305295950155761E-3</v>
      </c>
      <c r="S1422">
        <v>436.22</v>
      </c>
      <c r="T1422">
        <f>(Table13[[#This Row],[Ideal_Cycle_Time_sec]]*Table13[[#This Row],[Actual_Qty]])/(Table13[[#This Row],[Operational_Time_min]]*60)</f>
        <v>0.48567236715418827</v>
      </c>
      <c r="U1422">
        <f>Table13[[#This Row],[Good_Qty]]/Table13[[#This Row],[Actual_Qty]]</f>
        <v>0.99376947040498442</v>
      </c>
      <c r="V1422" t="str">
        <f>IF(OR(Table13[[#This Row],[Performance_%]]&gt;=1,Table13[[#This Row],[Performance_%]]&lt;=0),"Error","OK")</f>
        <v>OK</v>
      </c>
      <c r="W1422" t="str">
        <f>IF(OR(Table13[[#This Row],[Quality_%]]&gt;=1,Table13[[#This Row],[Quality_%]]&lt;=0),"Error","OK")</f>
        <v>OK</v>
      </c>
      <c r="X1422">
        <f>Table13[[#This Row],[Performance_%]]*Table13[[#This Row],[Quality_%]]*[2]Availability_KPI!K1422</f>
        <v>0.46786666666666671</v>
      </c>
      <c r="Y1422" t="str">
        <f>IF(OR(Table13[[#This Row],[OEE_%]]&gt;1,Table13[[#This Row],[OEE_%]]&lt;0),"Error","OK")</f>
        <v>OK</v>
      </c>
    </row>
    <row r="1423" spans="1:25" x14ac:dyDescent="0.2">
      <c r="A1423" t="s">
        <v>1650</v>
      </c>
      <c r="B1423" t="s">
        <v>1645</v>
      </c>
      <c r="C1423" s="2">
        <v>46318</v>
      </c>
      <c r="D1423" t="s">
        <v>27</v>
      </c>
      <c r="E1423" t="s">
        <v>43</v>
      </c>
      <c r="F1423" t="s">
        <v>29</v>
      </c>
      <c r="G1423" t="s">
        <v>39</v>
      </c>
      <c r="H1423">
        <v>632</v>
      </c>
      <c r="I1423">
        <v>622</v>
      </c>
      <c r="J1423">
        <v>10</v>
      </c>
      <c r="K1423">
        <v>35.200000000000003</v>
      </c>
      <c r="L1423">
        <v>37.61</v>
      </c>
      <c r="M1423">
        <v>396.17</v>
      </c>
      <c r="N1423">
        <f>_xlfn.XLOOKUP(Table13[[#This Row],[Production_Order_ID]],[1]Sheet1!$A$2:$A$391,[1]Sheet1!$F$2:$F$391,"No Match")</f>
        <v>650</v>
      </c>
      <c r="O1423" s="3">
        <f>Table13[[#This Row],[Good_Qty]]/Table13[[#This Row],[Planned_Production]]</f>
        <v>0.95692307692307688</v>
      </c>
      <c r="P1423" t="str">
        <f>IF(Table13[[#This Row],[Good_Qty]]&gt;=Table13[[#This Row],[Planned_Production]],"Met","Not Met")</f>
        <v>Not Met</v>
      </c>
      <c r="Q1423">
        <f>Table13[[#This Row],[Good_Qty]]-Table13[[#This Row],[Planned_Production]]</f>
        <v>-28</v>
      </c>
      <c r="R1423" s="3">
        <f>IF(Table13[[#This Row],[Actual_Qty]]=0,0,Table13[[#This Row],[Reject_Qty]]/Table13[[#This Row],[Actual_Qty]])</f>
        <v>1.5822784810126583E-2</v>
      </c>
      <c r="S1423">
        <v>406.96</v>
      </c>
      <c r="T1423">
        <f>(Table13[[#This Row],[Ideal_Cycle_Time_sec]]*Table13[[#This Row],[Actual_Qty]])/(Table13[[#This Row],[Operational_Time_min]]*60)</f>
        <v>0.91108053207522455</v>
      </c>
      <c r="U1423">
        <f>Table13[[#This Row],[Good_Qty]]/Table13[[#This Row],[Actual_Qty]]</f>
        <v>0.98417721518987344</v>
      </c>
      <c r="V1423" t="str">
        <f>IF(OR(Table13[[#This Row],[Performance_%]]&gt;=1,Table13[[#This Row],[Performance_%]]&lt;=0),"Error","OK")</f>
        <v>OK</v>
      </c>
      <c r="W1423" t="str">
        <f>IF(OR(Table13[[#This Row],[Quality_%]]&gt;=1,Table13[[#This Row],[Quality_%]]&lt;=0),"Error","OK")</f>
        <v>OK</v>
      </c>
      <c r="X1423">
        <f>Table13[[#This Row],[Performance_%]]*Table13[[#This Row],[Quality_%]]*[2]Availability_KPI!K1423</f>
        <v>0.81090370370370368</v>
      </c>
      <c r="Y1423" t="str">
        <f>IF(OR(Table13[[#This Row],[OEE_%]]&gt;1,Table13[[#This Row],[OEE_%]]&lt;0),"Error","OK")</f>
        <v>OK</v>
      </c>
    </row>
    <row r="1424" spans="1:25" x14ac:dyDescent="0.2">
      <c r="A1424" t="s">
        <v>1651</v>
      </c>
      <c r="B1424" t="s">
        <v>1645</v>
      </c>
      <c r="C1424" s="2">
        <v>46318</v>
      </c>
      <c r="D1424" t="s">
        <v>27</v>
      </c>
      <c r="E1424" t="s">
        <v>46</v>
      </c>
      <c r="F1424" t="s">
        <v>29</v>
      </c>
      <c r="G1424" t="s">
        <v>39</v>
      </c>
      <c r="H1424">
        <v>637</v>
      </c>
      <c r="I1424">
        <v>631</v>
      </c>
      <c r="J1424">
        <v>6</v>
      </c>
      <c r="K1424">
        <v>27.5</v>
      </c>
      <c r="L1424">
        <v>28.76</v>
      </c>
      <c r="M1424">
        <v>305.33999999999997</v>
      </c>
      <c r="N1424">
        <f>_xlfn.XLOOKUP(Table13[[#This Row],[Production_Order_ID]],[1]Sheet1!$A$2:$A$391,[1]Sheet1!$F$2:$F$391,"No Match")</f>
        <v>650</v>
      </c>
      <c r="O1424" s="3">
        <f>Table13[[#This Row],[Good_Qty]]/Table13[[#This Row],[Planned_Production]]</f>
        <v>0.97076923076923072</v>
      </c>
      <c r="P1424" t="str">
        <f>IF(Table13[[#This Row],[Good_Qty]]&gt;=Table13[[#This Row],[Planned_Production]],"Met","Not Met")</f>
        <v>Not Met</v>
      </c>
      <c r="Q1424">
        <f>Table13[[#This Row],[Good_Qty]]-Table13[[#This Row],[Planned_Production]]</f>
        <v>-19</v>
      </c>
      <c r="R1424" s="3">
        <f>IF(Table13[[#This Row],[Actual_Qty]]=0,0,Table13[[#This Row],[Reject_Qty]]/Table13[[#This Row],[Actual_Qty]])</f>
        <v>9.4191522762951327E-3</v>
      </c>
      <c r="S1424">
        <v>432.51</v>
      </c>
      <c r="T1424">
        <f>(Table13[[#This Row],[Ideal_Cycle_Time_sec]]*Table13[[#This Row],[Actual_Qty]])/(Table13[[#This Row],[Operational_Time_min]]*60)</f>
        <v>0.67503256186754834</v>
      </c>
      <c r="U1424">
        <f>Table13[[#This Row],[Good_Qty]]/Table13[[#This Row],[Actual_Qty]]</f>
        <v>0.99058084772370492</v>
      </c>
      <c r="V1424" t="str">
        <f>IF(OR(Table13[[#This Row],[Performance_%]]&gt;=1,Table13[[#This Row],[Performance_%]]&lt;=0),"Error","OK")</f>
        <v>OK</v>
      </c>
      <c r="W1424" t="str">
        <f>IF(OR(Table13[[#This Row],[Quality_%]]&gt;=1,Table13[[#This Row],[Quality_%]]&lt;=0),"Error","OK")</f>
        <v>OK</v>
      </c>
      <c r="X1424">
        <f>Table13[[#This Row],[Performance_%]]*Table13[[#This Row],[Quality_%]]*[2]Availability_KPI!K1424</f>
        <v>0.64268518518518514</v>
      </c>
      <c r="Y1424" t="str">
        <f>IF(OR(Table13[[#This Row],[OEE_%]]&gt;1,Table13[[#This Row],[OEE_%]]&lt;0),"Error","OK")</f>
        <v>OK</v>
      </c>
    </row>
    <row r="1425" spans="1:25" x14ac:dyDescent="0.2">
      <c r="A1425" t="s">
        <v>1652</v>
      </c>
      <c r="B1425" t="s">
        <v>1645</v>
      </c>
      <c r="C1425" s="2">
        <v>46318</v>
      </c>
      <c r="D1425" t="s">
        <v>27</v>
      </c>
      <c r="E1425" t="s">
        <v>49</v>
      </c>
      <c r="F1425" t="s">
        <v>29</v>
      </c>
      <c r="G1425" t="s">
        <v>57</v>
      </c>
      <c r="H1425">
        <v>650</v>
      </c>
      <c r="I1425">
        <v>647</v>
      </c>
      <c r="J1425">
        <v>3</v>
      </c>
      <c r="K1425">
        <v>22</v>
      </c>
      <c r="L1425">
        <v>22.43</v>
      </c>
      <c r="M1425">
        <v>243.04</v>
      </c>
      <c r="N1425">
        <f>_xlfn.XLOOKUP(Table13[[#This Row],[Production_Order_ID]],[1]Sheet1!$A$2:$A$391,[1]Sheet1!$F$2:$F$391,"No Match")</f>
        <v>650</v>
      </c>
      <c r="O1425" s="3">
        <f>Table13[[#This Row],[Good_Qty]]/Table13[[#This Row],[Planned_Production]]</f>
        <v>0.99538461538461542</v>
      </c>
      <c r="P1425" t="str">
        <f>IF(Table13[[#This Row],[Good_Qty]]&gt;=Table13[[#This Row],[Planned_Production]],"Met","Not Met")</f>
        <v>Not Met</v>
      </c>
      <c r="Q1425">
        <f>Table13[[#This Row],[Good_Qty]]-Table13[[#This Row],[Planned_Production]]</f>
        <v>-3</v>
      </c>
      <c r="R1425" s="3">
        <f>IF(Table13[[#This Row],[Actual_Qty]]=0,0,Table13[[#This Row],[Reject_Qty]]/Table13[[#This Row],[Actual_Qty]])</f>
        <v>4.6153846153846158E-3</v>
      </c>
      <c r="S1425">
        <v>438.41</v>
      </c>
      <c r="T1425">
        <f>(Table13[[#This Row],[Ideal_Cycle_Time_sec]]*Table13[[#This Row],[Actual_Qty]])/(Table13[[#This Row],[Operational_Time_min]]*60)</f>
        <v>0.5436311519658158</v>
      </c>
      <c r="U1425">
        <f>Table13[[#This Row],[Good_Qty]]/Table13[[#This Row],[Actual_Qty]]</f>
        <v>0.99538461538461542</v>
      </c>
      <c r="V1425" t="str">
        <f>IF(OR(Table13[[#This Row],[Performance_%]]&gt;=1,Table13[[#This Row],[Performance_%]]&lt;=0),"Error","OK")</f>
        <v>OK</v>
      </c>
      <c r="W1425" t="str">
        <f>IF(OR(Table13[[#This Row],[Quality_%]]&gt;=1,Table13[[#This Row],[Quality_%]]&lt;=0),"Error","OK")</f>
        <v>OK</v>
      </c>
      <c r="X1425">
        <f>Table13[[#This Row],[Performance_%]]*Table13[[#This Row],[Quality_%]]*[2]Availability_KPI!K1425</f>
        <v>0.5271851851851852</v>
      </c>
      <c r="Y1425" t="str">
        <f>IF(OR(Table13[[#This Row],[OEE_%]]&gt;1,Table13[[#This Row],[OEE_%]]&lt;0),"Error","OK")</f>
        <v>OK</v>
      </c>
    </row>
    <row r="1426" spans="1:25" x14ac:dyDescent="0.2">
      <c r="A1426" t="s">
        <v>1653</v>
      </c>
      <c r="B1426" t="s">
        <v>1654</v>
      </c>
      <c r="C1426" s="2">
        <v>46318</v>
      </c>
      <c r="D1426" t="s">
        <v>53</v>
      </c>
      <c r="E1426" t="s">
        <v>28</v>
      </c>
      <c r="F1426" t="s">
        <v>29</v>
      </c>
      <c r="G1426" t="s">
        <v>44</v>
      </c>
      <c r="H1426">
        <v>551</v>
      </c>
      <c r="I1426">
        <v>548</v>
      </c>
      <c r="J1426">
        <v>3</v>
      </c>
      <c r="K1426">
        <v>19.8</v>
      </c>
      <c r="L1426">
        <v>20.9</v>
      </c>
      <c r="M1426">
        <v>191.89</v>
      </c>
      <c r="N1426">
        <f>_xlfn.XLOOKUP(Table13[[#This Row],[Production_Order_ID]],[1]Sheet1!$A$2:$A$391,[1]Sheet1!$F$2:$F$391,"No Match")</f>
        <v>560</v>
      </c>
      <c r="O1426" s="3">
        <f>Table13[[#This Row],[Good_Qty]]/Table13[[#This Row],[Planned_Production]]</f>
        <v>0.97857142857142854</v>
      </c>
      <c r="P1426" t="str">
        <f>IF(Table13[[#This Row],[Good_Qty]]&gt;=Table13[[#This Row],[Planned_Production]],"Met","Not Met")</f>
        <v>Not Met</v>
      </c>
      <c r="Q1426">
        <f>Table13[[#This Row],[Good_Qty]]-Table13[[#This Row],[Planned_Production]]</f>
        <v>-12</v>
      </c>
      <c r="R1426" s="3">
        <f>IF(Table13[[#This Row],[Actual_Qty]]=0,0,Table13[[#This Row],[Reject_Qty]]/Table13[[#This Row],[Actual_Qty]])</f>
        <v>5.4446460980036296E-3</v>
      </c>
      <c r="S1426">
        <v>442</v>
      </c>
      <c r="T1426">
        <f>(Table13[[#This Row],[Ideal_Cycle_Time_sec]]*Table13[[#This Row],[Actual_Qty]])/(Table13[[#This Row],[Operational_Time_min]]*60)</f>
        <v>0.4113800904977376</v>
      </c>
      <c r="U1426">
        <f>Table13[[#This Row],[Good_Qty]]/Table13[[#This Row],[Actual_Qty]]</f>
        <v>0.99455535390199634</v>
      </c>
      <c r="V1426" t="str">
        <f>IF(OR(Table13[[#This Row],[Performance_%]]&gt;=1,Table13[[#This Row],[Performance_%]]&lt;=0),"Error","OK")</f>
        <v>OK</v>
      </c>
      <c r="W1426" t="str">
        <f>IF(OR(Table13[[#This Row],[Quality_%]]&gt;=1,Table13[[#This Row],[Quality_%]]&lt;=0),"Error","OK")</f>
        <v>OK</v>
      </c>
      <c r="X1426">
        <f>Table13[[#This Row],[Performance_%]]*Table13[[#This Row],[Quality_%]]*[2]Availability_KPI!K1426</f>
        <v>0.40186666666666671</v>
      </c>
      <c r="Y1426" t="str">
        <f>IF(OR(Table13[[#This Row],[OEE_%]]&gt;1,Table13[[#This Row],[OEE_%]]&lt;0),"Error","OK")</f>
        <v>OK</v>
      </c>
    </row>
    <row r="1427" spans="1:25" x14ac:dyDescent="0.2">
      <c r="A1427" t="s">
        <v>1655</v>
      </c>
      <c r="B1427" t="s">
        <v>1654</v>
      </c>
      <c r="C1427" s="2">
        <v>46318</v>
      </c>
      <c r="D1427" t="s">
        <v>53</v>
      </c>
      <c r="E1427" t="s">
        <v>32</v>
      </c>
      <c r="F1427" t="s">
        <v>29</v>
      </c>
      <c r="G1427" t="s">
        <v>47</v>
      </c>
      <c r="H1427">
        <v>542</v>
      </c>
      <c r="I1427">
        <v>537</v>
      </c>
      <c r="J1427">
        <v>5</v>
      </c>
      <c r="K1427">
        <v>22</v>
      </c>
      <c r="L1427">
        <v>23.83</v>
      </c>
      <c r="M1427">
        <v>215.27</v>
      </c>
      <c r="N1427">
        <f>_xlfn.XLOOKUP(Table13[[#This Row],[Production_Order_ID]],[1]Sheet1!$A$2:$A$391,[1]Sheet1!$F$2:$F$391,"No Match")</f>
        <v>560</v>
      </c>
      <c r="O1427" s="3">
        <f>Table13[[#This Row],[Good_Qty]]/Table13[[#This Row],[Planned_Production]]</f>
        <v>0.95892857142857146</v>
      </c>
      <c r="P1427" t="str">
        <f>IF(Table13[[#This Row],[Good_Qty]]&gt;=Table13[[#This Row],[Planned_Production]],"Met","Not Met")</f>
        <v>Not Met</v>
      </c>
      <c r="Q1427">
        <f>Table13[[#This Row],[Good_Qty]]-Table13[[#This Row],[Planned_Production]]</f>
        <v>-23</v>
      </c>
      <c r="R1427" s="3">
        <f>IF(Table13[[#This Row],[Actual_Qty]]=0,0,Table13[[#This Row],[Reject_Qty]]/Table13[[#This Row],[Actual_Qty]])</f>
        <v>9.2250922509225092E-3</v>
      </c>
      <c r="S1427">
        <v>439.95</v>
      </c>
      <c r="T1427">
        <f>(Table13[[#This Row],[Ideal_Cycle_Time_sec]]*Table13[[#This Row],[Actual_Qty]])/(Table13[[#This Row],[Operational_Time_min]]*60)</f>
        <v>0.45171799825737774</v>
      </c>
      <c r="U1427">
        <f>Table13[[#This Row],[Good_Qty]]/Table13[[#This Row],[Actual_Qty]]</f>
        <v>0.9907749077490775</v>
      </c>
      <c r="V1427" t="str">
        <f>IF(OR(Table13[[#This Row],[Performance_%]]&gt;=1,Table13[[#This Row],[Performance_%]]&lt;=0),"Error","OK")</f>
        <v>OK</v>
      </c>
      <c r="W1427" t="str">
        <f>IF(OR(Table13[[#This Row],[Quality_%]]&gt;=1,Table13[[#This Row],[Quality_%]]&lt;=0),"Error","OK")</f>
        <v>OK</v>
      </c>
      <c r="X1427">
        <f>Table13[[#This Row],[Performance_%]]*Table13[[#This Row],[Quality_%]]*[2]Availability_KPI!K1427</f>
        <v>0.43755555555555553</v>
      </c>
      <c r="Y1427" t="str">
        <f>IF(OR(Table13[[#This Row],[OEE_%]]&gt;1,Table13[[#This Row],[OEE_%]]&lt;0),"Error","OK")</f>
        <v>OK</v>
      </c>
    </row>
    <row r="1428" spans="1:25" x14ac:dyDescent="0.2">
      <c r="A1428" t="s">
        <v>1656</v>
      </c>
      <c r="B1428" t="s">
        <v>1654</v>
      </c>
      <c r="C1428" s="2">
        <v>46318</v>
      </c>
      <c r="D1428" t="s">
        <v>53</v>
      </c>
      <c r="E1428" t="s">
        <v>35</v>
      </c>
      <c r="F1428" t="s">
        <v>29</v>
      </c>
      <c r="G1428" t="s">
        <v>47</v>
      </c>
      <c r="H1428">
        <v>545</v>
      </c>
      <c r="I1428">
        <v>541</v>
      </c>
      <c r="J1428">
        <v>4</v>
      </c>
      <c r="K1428">
        <v>24.2</v>
      </c>
      <c r="L1428">
        <v>25.97</v>
      </c>
      <c r="M1428">
        <v>235.92</v>
      </c>
      <c r="N1428">
        <f>_xlfn.XLOOKUP(Table13[[#This Row],[Production_Order_ID]],[1]Sheet1!$A$2:$A$391,[1]Sheet1!$F$2:$F$391,"No Match")</f>
        <v>560</v>
      </c>
      <c r="O1428" s="3">
        <f>Table13[[#This Row],[Good_Qty]]/Table13[[#This Row],[Planned_Production]]</f>
        <v>0.96607142857142858</v>
      </c>
      <c r="P1428" t="str">
        <f>IF(Table13[[#This Row],[Good_Qty]]&gt;=Table13[[#This Row],[Planned_Production]],"Met","Not Met")</f>
        <v>Not Met</v>
      </c>
      <c r="Q1428">
        <f>Table13[[#This Row],[Good_Qty]]-Table13[[#This Row],[Planned_Production]]</f>
        <v>-19</v>
      </c>
      <c r="R1428" s="3">
        <f>IF(Table13[[#This Row],[Actual_Qty]]=0,0,Table13[[#This Row],[Reject_Qty]]/Table13[[#This Row],[Actual_Qty]])</f>
        <v>7.3394495412844041E-3</v>
      </c>
      <c r="S1428">
        <v>432.15</v>
      </c>
      <c r="T1428">
        <f>(Table13[[#This Row],[Ideal_Cycle_Time_sec]]*Table13[[#This Row],[Actual_Qty]])/(Table13[[#This Row],[Operational_Time_min]]*60)</f>
        <v>0.50865825909213624</v>
      </c>
      <c r="U1428">
        <f>Table13[[#This Row],[Good_Qty]]/Table13[[#This Row],[Actual_Qty]]</f>
        <v>0.9926605504587156</v>
      </c>
      <c r="V1428" t="str">
        <f>IF(OR(Table13[[#This Row],[Performance_%]]&gt;=1,Table13[[#This Row],[Performance_%]]&lt;=0),"Error","OK")</f>
        <v>OK</v>
      </c>
      <c r="W1428" t="str">
        <f>IF(OR(Table13[[#This Row],[Quality_%]]&gt;=1,Table13[[#This Row],[Quality_%]]&lt;=0),"Error","OK")</f>
        <v>OK</v>
      </c>
      <c r="X1428">
        <f>Table13[[#This Row],[Performance_%]]*Table13[[#This Row],[Quality_%]]*[2]Availability_KPI!K1428</f>
        <v>0.48489629629629633</v>
      </c>
      <c r="Y1428" t="str">
        <f>IF(OR(Table13[[#This Row],[OEE_%]]&gt;1,Table13[[#This Row],[OEE_%]]&lt;0),"Error","OK")</f>
        <v>OK</v>
      </c>
    </row>
    <row r="1429" spans="1:25" x14ac:dyDescent="0.2">
      <c r="A1429" t="s">
        <v>1657</v>
      </c>
      <c r="B1429" t="s">
        <v>1654</v>
      </c>
      <c r="C1429" s="2">
        <v>46318</v>
      </c>
      <c r="D1429" t="s">
        <v>53</v>
      </c>
      <c r="E1429" t="s">
        <v>38</v>
      </c>
      <c r="F1429" t="s">
        <v>29</v>
      </c>
      <c r="G1429" t="s">
        <v>75</v>
      </c>
      <c r="H1429">
        <v>554</v>
      </c>
      <c r="I1429">
        <v>550</v>
      </c>
      <c r="J1429">
        <v>4</v>
      </c>
      <c r="K1429">
        <v>22</v>
      </c>
      <c r="L1429">
        <v>22.22</v>
      </c>
      <c r="M1429">
        <v>205.18</v>
      </c>
      <c r="N1429">
        <f>_xlfn.XLOOKUP(Table13[[#This Row],[Production_Order_ID]],[1]Sheet1!$A$2:$A$391,[1]Sheet1!$F$2:$F$391,"No Match")</f>
        <v>560</v>
      </c>
      <c r="O1429" s="3">
        <f>Table13[[#This Row],[Good_Qty]]/Table13[[#This Row],[Planned_Production]]</f>
        <v>0.9821428571428571</v>
      </c>
      <c r="P1429" t="str">
        <f>IF(Table13[[#This Row],[Good_Qty]]&gt;=Table13[[#This Row],[Planned_Production]],"Met","Not Met")</f>
        <v>Not Met</v>
      </c>
      <c r="Q1429">
        <f>Table13[[#This Row],[Good_Qty]]-Table13[[#This Row],[Planned_Production]]</f>
        <v>-10</v>
      </c>
      <c r="R1429" s="3">
        <f>IF(Table13[[#This Row],[Actual_Qty]]=0,0,Table13[[#This Row],[Reject_Qty]]/Table13[[#This Row],[Actual_Qty]])</f>
        <v>7.2202166064981952E-3</v>
      </c>
      <c r="S1429">
        <v>441.63</v>
      </c>
      <c r="T1429">
        <f>(Table13[[#This Row],[Ideal_Cycle_Time_sec]]*Table13[[#This Row],[Actual_Qty]])/(Table13[[#This Row],[Operational_Time_min]]*60)</f>
        <v>0.45996271388568111</v>
      </c>
      <c r="U1429">
        <f>Table13[[#This Row],[Good_Qty]]/Table13[[#This Row],[Actual_Qty]]</f>
        <v>0.99277978339350181</v>
      </c>
      <c r="V1429" t="str">
        <f>IF(OR(Table13[[#This Row],[Performance_%]]&gt;=1,Table13[[#This Row],[Performance_%]]&lt;=0),"Error","OK")</f>
        <v>OK</v>
      </c>
      <c r="W1429" t="str">
        <f>IF(OR(Table13[[#This Row],[Quality_%]]&gt;=1,Table13[[#This Row],[Quality_%]]&lt;=0),"Error","OK")</f>
        <v>OK</v>
      </c>
      <c r="X1429">
        <f>Table13[[#This Row],[Performance_%]]*Table13[[#This Row],[Quality_%]]*[2]Availability_KPI!K1429</f>
        <v>0.44814814814814818</v>
      </c>
      <c r="Y1429" t="str">
        <f>IF(OR(Table13[[#This Row],[OEE_%]]&gt;1,Table13[[#This Row],[OEE_%]]&lt;0),"Error","OK")</f>
        <v>OK</v>
      </c>
    </row>
    <row r="1430" spans="1:25" x14ac:dyDescent="0.2">
      <c r="A1430" t="s">
        <v>1658</v>
      </c>
      <c r="B1430" t="s">
        <v>1654</v>
      </c>
      <c r="C1430" s="2">
        <v>46318</v>
      </c>
      <c r="D1430" t="s">
        <v>53</v>
      </c>
      <c r="E1430" t="s">
        <v>41</v>
      </c>
      <c r="F1430" t="s">
        <v>29</v>
      </c>
      <c r="G1430" t="s">
        <v>39</v>
      </c>
      <c r="H1430">
        <v>553</v>
      </c>
      <c r="I1430">
        <v>549</v>
      </c>
      <c r="J1430">
        <v>4</v>
      </c>
      <c r="K1430">
        <v>19.8</v>
      </c>
      <c r="L1430">
        <v>20.65</v>
      </c>
      <c r="M1430">
        <v>190.28</v>
      </c>
      <c r="N1430">
        <f>_xlfn.XLOOKUP(Table13[[#This Row],[Production_Order_ID]],[1]Sheet1!$A$2:$A$391,[1]Sheet1!$F$2:$F$391,"No Match")</f>
        <v>560</v>
      </c>
      <c r="O1430" s="3">
        <f>Table13[[#This Row],[Good_Qty]]/Table13[[#This Row],[Planned_Production]]</f>
        <v>0.98035714285714282</v>
      </c>
      <c r="P1430" t="str">
        <f>IF(Table13[[#This Row],[Good_Qty]]&gt;=Table13[[#This Row],[Planned_Production]],"Met","Not Met")</f>
        <v>Not Met</v>
      </c>
      <c r="Q1430">
        <f>Table13[[#This Row],[Good_Qty]]-Table13[[#This Row],[Planned_Production]]</f>
        <v>-11</v>
      </c>
      <c r="R1430" s="3">
        <f>IF(Table13[[#This Row],[Actual_Qty]]=0,0,Table13[[#This Row],[Reject_Qty]]/Table13[[#This Row],[Actual_Qty]])</f>
        <v>7.2332730560578659E-3</v>
      </c>
      <c r="S1430">
        <v>437.12</v>
      </c>
      <c r="T1430">
        <f>(Table13[[#This Row],[Ideal_Cycle_Time_sec]]*Table13[[#This Row],[Actual_Qty]])/(Table13[[#This Row],[Operational_Time_min]]*60)</f>
        <v>0.41748261346998533</v>
      </c>
      <c r="U1430">
        <f>Table13[[#This Row],[Good_Qty]]/Table13[[#This Row],[Actual_Qty]]</f>
        <v>0.99276672694394208</v>
      </c>
      <c r="V1430" t="str">
        <f>IF(OR(Table13[[#This Row],[Performance_%]]&gt;=1,Table13[[#This Row],[Performance_%]]&lt;=0),"Error","OK")</f>
        <v>OK</v>
      </c>
      <c r="W1430" t="str">
        <f>IF(OR(Table13[[#This Row],[Quality_%]]&gt;=1,Table13[[#This Row],[Quality_%]]&lt;=0),"Error","OK")</f>
        <v>OK</v>
      </c>
      <c r="X1430">
        <f>Table13[[#This Row],[Performance_%]]*Table13[[#This Row],[Quality_%]]*[2]Availability_KPI!K1430</f>
        <v>0.40259999999999996</v>
      </c>
      <c r="Y1430" t="str">
        <f>IF(OR(Table13[[#This Row],[OEE_%]]&gt;1,Table13[[#This Row],[OEE_%]]&lt;0),"Error","OK")</f>
        <v>OK</v>
      </c>
    </row>
    <row r="1431" spans="1:25" x14ac:dyDescent="0.2">
      <c r="A1431" t="s">
        <v>1659</v>
      </c>
      <c r="B1431" t="s">
        <v>1654</v>
      </c>
      <c r="C1431" s="2">
        <v>46318</v>
      </c>
      <c r="D1431" t="s">
        <v>53</v>
      </c>
      <c r="E1431" t="s">
        <v>43</v>
      </c>
      <c r="F1431" t="s">
        <v>29</v>
      </c>
      <c r="G1431" t="s">
        <v>71</v>
      </c>
      <c r="H1431">
        <v>550</v>
      </c>
      <c r="I1431">
        <v>543</v>
      </c>
      <c r="J1431">
        <v>7</v>
      </c>
      <c r="K1431">
        <v>35.200000000000003</v>
      </c>
      <c r="L1431">
        <v>38.549999999999997</v>
      </c>
      <c r="M1431">
        <v>353.35</v>
      </c>
      <c r="N1431">
        <f>_xlfn.XLOOKUP(Table13[[#This Row],[Production_Order_ID]],[1]Sheet1!$A$2:$A$391,[1]Sheet1!$F$2:$F$391,"No Match")</f>
        <v>560</v>
      </c>
      <c r="O1431" s="3">
        <f>Table13[[#This Row],[Good_Qty]]/Table13[[#This Row],[Planned_Production]]</f>
        <v>0.96964285714285714</v>
      </c>
      <c r="P1431" t="str">
        <f>IF(Table13[[#This Row],[Good_Qty]]&gt;=Table13[[#This Row],[Planned_Production]],"Met","Not Met")</f>
        <v>Not Met</v>
      </c>
      <c r="Q1431">
        <f>Table13[[#This Row],[Good_Qty]]-Table13[[#This Row],[Planned_Production]]</f>
        <v>-17</v>
      </c>
      <c r="R1431" s="3">
        <f>IF(Table13[[#This Row],[Actual_Qty]]=0,0,Table13[[#This Row],[Reject_Qty]]/Table13[[#This Row],[Actual_Qty]])</f>
        <v>1.2727272727272728E-2</v>
      </c>
      <c r="S1431">
        <v>421.03</v>
      </c>
      <c r="T1431">
        <f>(Table13[[#This Row],[Ideal_Cycle_Time_sec]]*Table13[[#This Row],[Actual_Qty]])/(Table13[[#This Row],[Operational_Time_min]]*60)</f>
        <v>0.76637452596410394</v>
      </c>
      <c r="U1431">
        <f>Table13[[#This Row],[Good_Qty]]/Table13[[#This Row],[Actual_Qty]]</f>
        <v>0.9872727272727273</v>
      </c>
      <c r="V1431" t="str">
        <f>IF(OR(Table13[[#This Row],[Performance_%]]&gt;=1,Table13[[#This Row],[Performance_%]]&lt;=0),"Error","OK")</f>
        <v>OK</v>
      </c>
      <c r="W1431" t="str">
        <f>IF(OR(Table13[[#This Row],[Quality_%]]&gt;=1,Table13[[#This Row],[Quality_%]]&lt;=0),"Error","OK")</f>
        <v>OK</v>
      </c>
      <c r="X1431">
        <f>Table13[[#This Row],[Performance_%]]*Table13[[#This Row],[Quality_%]]*[2]Availability_KPI!K1431</f>
        <v>0.70791111111111105</v>
      </c>
      <c r="Y1431" t="str">
        <f>IF(OR(Table13[[#This Row],[OEE_%]]&gt;1,Table13[[#This Row],[OEE_%]]&lt;0),"Error","OK")</f>
        <v>OK</v>
      </c>
    </row>
    <row r="1432" spans="1:25" x14ac:dyDescent="0.2">
      <c r="A1432" t="s">
        <v>1660</v>
      </c>
      <c r="B1432" t="s">
        <v>1654</v>
      </c>
      <c r="C1432" s="2">
        <v>46318</v>
      </c>
      <c r="D1432" t="s">
        <v>53</v>
      </c>
      <c r="E1432" t="s">
        <v>46</v>
      </c>
      <c r="F1432" t="s">
        <v>29</v>
      </c>
      <c r="G1432" t="s">
        <v>61</v>
      </c>
      <c r="H1432">
        <v>552</v>
      </c>
      <c r="I1432">
        <v>546</v>
      </c>
      <c r="J1432">
        <v>6</v>
      </c>
      <c r="K1432">
        <v>27.5</v>
      </c>
      <c r="L1432">
        <v>29.31</v>
      </c>
      <c r="M1432">
        <v>269.69</v>
      </c>
      <c r="N1432">
        <f>_xlfn.XLOOKUP(Table13[[#This Row],[Production_Order_ID]],[1]Sheet1!$A$2:$A$391,[1]Sheet1!$F$2:$F$391,"No Match")</f>
        <v>560</v>
      </c>
      <c r="O1432" s="3">
        <f>Table13[[#This Row],[Good_Qty]]/Table13[[#This Row],[Planned_Production]]</f>
        <v>0.97499999999999998</v>
      </c>
      <c r="P1432" t="str">
        <f>IF(Table13[[#This Row],[Good_Qty]]&gt;=Table13[[#This Row],[Planned_Production]],"Met","Not Met")</f>
        <v>Not Met</v>
      </c>
      <c r="Q1432">
        <f>Table13[[#This Row],[Good_Qty]]-Table13[[#This Row],[Planned_Production]]</f>
        <v>-14</v>
      </c>
      <c r="R1432" s="3">
        <f>IF(Table13[[#This Row],[Actual_Qty]]=0,0,Table13[[#This Row],[Reject_Qty]]/Table13[[#This Row],[Actual_Qty]])</f>
        <v>1.0869565217391304E-2</v>
      </c>
      <c r="S1432">
        <v>433.58</v>
      </c>
      <c r="T1432">
        <f>(Table13[[#This Row],[Ideal_Cycle_Time_sec]]*Table13[[#This Row],[Actual_Qty]])/(Table13[[#This Row],[Operational_Time_min]]*60)</f>
        <v>0.58351399972323448</v>
      </c>
      <c r="U1432">
        <f>Table13[[#This Row],[Good_Qty]]/Table13[[#This Row],[Actual_Qty]]</f>
        <v>0.98913043478260865</v>
      </c>
      <c r="V1432" t="str">
        <f>IF(OR(Table13[[#This Row],[Performance_%]]&gt;=1,Table13[[#This Row],[Performance_%]]&lt;=0),"Error","OK")</f>
        <v>OK</v>
      </c>
      <c r="W1432" t="str">
        <f>IF(OR(Table13[[#This Row],[Quality_%]]&gt;=1,Table13[[#This Row],[Quality_%]]&lt;=0),"Error","OK")</f>
        <v>OK</v>
      </c>
      <c r="X1432">
        <f>Table13[[#This Row],[Performance_%]]*Table13[[#This Row],[Quality_%]]*[2]Availability_KPI!K1432</f>
        <v>0.55611111111111111</v>
      </c>
      <c r="Y1432" t="str">
        <f>IF(OR(Table13[[#This Row],[OEE_%]]&gt;1,Table13[[#This Row],[OEE_%]]&lt;0),"Error","OK")</f>
        <v>OK</v>
      </c>
    </row>
    <row r="1433" spans="1:25" x14ac:dyDescent="0.2">
      <c r="A1433" t="s">
        <v>1661</v>
      </c>
      <c r="B1433" t="s">
        <v>1654</v>
      </c>
      <c r="C1433" s="2">
        <v>46318</v>
      </c>
      <c r="D1433" t="s">
        <v>53</v>
      </c>
      <c r="E1433" t="s">
        <v>49</v>
      </c>
      <c r="F1433" t="s">
        <v>29</v>
      </c>
      <c r="G1433" t="s">
        <v>33</v>
      </c>
      <c r="H1433">
        <v>543</v>
      </c>
      <c r="I1433">
        <v>540</v>
      </c>
      <c r="J1433">
        <v>3</v>
      </c>
      <c r="K1433">
        <v>22</v>
      </c>
      <c r="L1433">
        <v>22.55</v>
      </c>
      <c r="M1433">
        <v>204.09</v>
      </c>
      <c r="N1433">
        <f>_xlfn.XLOOKUP(Table13[[#This Row],[Production_Order_ID]],[1]Sheet1!$A$2:$A$391,[1]Sheet1!$F$2:$F$391,"No Match")</f>
        <v>560</v>
      </c>
      <c r="O1433" s="3">
        <f>Table13[[#This Row],[Good_Qty]]/Table13[[#This Row],[Planned_Production]]</f>
        <v>0.9642857142857143</v>
      </c>
      <c r="P1433" t="str">
        <f>IF(Table13[[#This Row],[Good_Qty]]&gt;=Table13[[#This Row],[Planned_Production]],"Met","Not Met")</f>
        <v>Not Met</v>
      </c>
      <c r="Q1433">
        <f>Table13[[#This Row],[Good_Qty]]-Table13[[#This Row],[Planned_Production]]</f>
        <v>-20</v>
      </c>
      <c r="R1433" s="3">
        <f>IF(Table13[[#This Row],[Actual_Qty]]=0,0,Table13[[#This Row],[Reject_Qty]]/Table13[[#This Row],[Actual_Qty]])</f>
        <v>5.5248618784530384E-3</v>
      </c>
      <c r="S1433">
        <v>442.9</v>
      </c>
      <c r="T1433">
        <f>(Table13[[#This Row],[Ideal_Cycle_Time_sec]]*Table13[[#This Row],[Actual_Qty]])/(Table13[[#This Row],[Operational_Time_min]]*60)</f>
        <v>0.44953714156694513</v>
      </c>
      <c r="U1433">
        <f>Table13[[#This Row],[Good_Qty]]/Table13[[#This Row],[Actual_Qty]]</f>
        <v>0.99447513812154698</v>
      </c>
      <c r="V1433" t="str">
        <f>IF(OR(Table13[[#This Row],[Performance_%]]&gt;=1,Table13[[#This Row],[Performance_%]]&lt;=0),"Error","OK")</f>
        <v>OK</v>
      </c>
      <c r="W1433" t="str">
        <f>IF(OR(Table13[[#This Row],[Quality_%]]&gt;=1,Table13[[#This Row],[Quality_%]]&lt;=0),"Error","OK")</f>
        <v>OK</v>
      </c>
      <c r="X1433">
        <f>Table13[[#This Row],[Performance_%]]*Table13[[#This Row],[Quality_%]]*[2]Availability_KPI!K1433</f>
        <v>0.44</v>
      </c>
      <c r="Y1433" t="str">
        <f>IF(OR(Table13[[#This Row],[OEE_%]]&gt;1,Table13[[#This Row],[OEE_%]]&lt;0),"Error","OK")</f>
        <v>OK</v>
      </c>
    </row>
    <row r="1434" spans="1:25" x14ac:dyDescent="0.2">
      <c r="A1434" t="s">
        <v>1662</v>
      </c>
      <c r="B1434" t="s">
        <v>1663</v>
      </c>
      <c r="C1434" s="2">
        <v>46318</v>
      </c>
      <c r="D1434" t="s">
        <v>67</v>
      </c>
      <c r="E1434" t="s">
        <v>28</v>
      </c>
      <c r="F1434" t="s">
        <v>97</v>
      </c>
      <c r="G1434" t="s">
        <v>71</v>
      </c>
      <c r="H1434">
        <v>658</v>
      </c>
      <c r="I1434">
        <v>654</v>
      </c>
      <c r="J1434">
        <v>4</v>
      </c>
      <c r="K1434">
        <v>19.260000000000002</v>
      </c>
      <c r="L1434">
        <v>20.59</v>
      </c>
      <c r="M1434">
        <v>225.82</v>
      </c>
      <c r="N1434">
        <f>_xlfn.XLOOKUP(Table13[[#This Row],[Production_Order_ID]],[1]Sheet1!$A$2:$A$391,[1]Sheet1!$F$2:$F$391,"No Match")</f>
        <v>580</v>
      </c>
      <c r="O1434" s="3">
        <f>Table13[[#This Row],[Good_Qty]]/Table13[[#This Row],[Planned_Production]]</f>
        <v>1.1275862068965516</v>
      </c>
      <c r="P1434" t="str">
        <f>IF(Table13[[#This Row],[Good_Qty]]&gt;=Table13[[#This Row],[Planned_Production]],"Met","Not Met")</f>
        <v>Met</v>
      </c>
      <c r="Q1434">
        <f>Table13[[#This Row],[Good_Qty]]-Table13[[#This Row],[Planned_Production]]</f>
        <v>74</v>
      </c>
      <c r="R1434" s="3">
        <f>IF(Table13[[#This Row],[Actual_Qty]]=0,0,Table13[[#This Row],[Reject_Qty]]/Table13[[#This Row],[Actual_Qty]])</f>
        <v>6.0790273556231003E-3</v>
      </c>
      <c r="S1434">
        <v>441.86</v>
      </c>
      <c r="T1434">
        <f>(Table13[[#This Row],[Ideal_Cycle_Time_sec]]*Table13[[#This Row],[Actual_Qty]])/(Table13[[#This Row],[Operational_Time_min]]*60)</f>
        <v>0.47802018738967095</v>
      </c>
      <c r="U1434">
        <f>Table13[[#This Row],[Good_Qty]]/Table13[[#This Row],[Actual_Qty]]</f>
        <v>0.99392097264437695</v>
      </c>
      <c r="V1434" t="str">
        <f>IF(OR(Table13[[#This Row],[Performance_%]]&gt;=1,Table13[[#This Row],[Performance_%]]&lt;=0),"Error","OK")</f>
        <v>OK</v>
      </c>
      <c r="W1434" t="str">
        <f>IF(OR(Table13[[#This Row],[Quality_%]]&gt;=1,Table13[[#This Row],[Quality_%]]&lt;=0),"Error","OK")</f>
        <v>OK</v>
      </c>
      <c r="X1434">
        <f>Table13[[#This Row],[Performance_%]]*Table13[[#This Row],[Quality_%]]*[2]Availability_KPI!K1434</f>
        <v>0.4665200000000001</v>
      </c>
      <c r="Y1434" t="str">
        <f>IF(OR(Table13[[#This Row],[OEE_%]]&gt;1,Table13[[#This Row],[OEE_%]]&lt;0),"Error","OK")</f>
        <v>OK</v>
      </c>
    </row>
    <row r="1435" spans="1:25" x14ac:dyDescent="0.2">
      <c r="A1435" t="s">
        <v>1664</v>
      </c>
      <c r="B1435" t="s">
        <v>1663</v>
      </c>
      <c r="C1435" s="2">
        <v>46318</v>
      </c>
      <c r="D1435" t="s">
        <v>67</v>
      </c>
      <c r="E1435" t="s">
        <v>32</v>
      </c>
      <c r="F1435" t="s">
        <v>97</v>
      </c>
      <c r="G1435" t="s">
        <v>75</v>
      </c>
      <c r="H1435">
        <v>646</v>
      </c>
      <c r="I1435">
        <v>641</v>
      </c>
      <c r="J1435">
        <v>5</v>
      </c>
      <c r="K1435">
        <v>21.4</v>
      </c>
      <c r="L1435">
        <v>22.18</v>
      </c>
      <c r="M1435">
        <v>238.78</v>
      </c>
      <c r="N1435">
        <f>_xlfn.XLOOKUP(Table13[[#This Row],[Production_Order_ID]],[1]Sheet1!$A$2:$A$391,[1]Sheet1!$F$2:$F$391,"No Match")</f>
        <v>580</v>
      </c>
      <c r="O1435" s="3">
        <f>Table13[[#This Row],[Good_Qty]]/Table13[[#This Row],[Planned_Production]]</f>
        <v>1.1051724137931034</v>
      </c>
      <c r="P1435" t="str">
        <f>IF(Table13[[#This Row],[Good_Qty]]&gt;=Table13[[#This Row],[Planned_Production]],"Met","Not Met")</f>
        <v>Met</v>
      </c>
      <c r="Q1435">
        <f>Table13[[#This Row],[Good_Qty]]-Table13[[#This Row],[Planned_Production]]</f>
        <v>61</v>
      </c>
      <c r="R1435" s="3">
        <f>IF(Table13[[#This Row],[Actual_Qty]]=0,0,Table13[[#This Row],[Reject_Qty]]/Table13[[#This Row],[Actual_Qty]])</f>
        <v>7.7399380804953561E-3</v>
      </c>
      <c r="S1435">
        <v>440</v>
      </c>
      <c r="T1435">
        <f>(Table13[[#This Row],[Ideal_Cycle_Time_sec]]*Table13[[#This Row],[Actual_Qty]])/(Table13[[#This Row],[Operational_Time_min]]*60)</f>
        <v>0.52365151515151509</v>
      </c>
      <c r="U1435">
        <f>Table13[[#This Row],[Good_Qty]]/Table13[[#This Row],[Actual_Qty]]</f>
        <v>0.99226006191950467</v>
      </c>
      <c r="V1435" t="str">
        <f>IF(OR(Table13[[#This Row],[Performance_%]]&gt;=1,Table13[[#This Row],[Performance_%]]&lt;=0),"Error","OK")</f>
        <v>OK</v>
      </c>
      <c r="W1435" t="str">
        <f>IF(OR(Table13[[#This Row],[Quality_%]]&gt;=1,Table13[[#This Row],[Quality_%]]&lt;=0),"Error","OK")</f>
        <v>OK</v>
      </c>
      <c r="X1435">
        <f>Table13[[#This Row],[Performance_%]]*Table13[[#This Row],[Quality_%]]*[2]Availability_KPI!K1435</f>
        <v>0.50805185185185175</v>
      </c>
      <c r="Y1435" t="str">
        <f>IF(OR(Table13[[#This Row],[OEE_%]]&gt;1,Table13[[#This Row],[OEE_%]]&lt;0),"Error","OK")</f>
        <v>OK</v>
      </c>
    </row>
    <row r="1436" spans="1:25" x14ac:dyDescent="0.2">
      <c r="A1436" t="s">
        <v>1665</v>
      </c>
      <c r="B1436" t="s">
        <v>1663</v>
      </c>
      <c r="C1436" s="2">
        <v>46318</v>
      </c>
      <c r="D1436" t="s">
        <v>67</v>
      </c>
      <c r="E1436" t="s">
        <v>35</v>
      </c>
      <c r="F1436" t="s">
        <v>97</v>
      </c>
      <c r="G1436" t="s">
        <v>57</v>
      </c>
      <c r="H1436">
        <v>645</v>
      </c>
      <c r="I1436">
        <v>641</v>
      </c>
      <c r="J1436">
        <v>4</v>
      </c>
      <c r="K1436">
        <v>23.54</v>
      </c>
      <c r="L1436">
        <v>24.28</v>
      </c>
      <c r="M1436">
        <v>261.01</v>
      </c>
      <c r="N1436">
        <f>_xlfn.XLOOKUP(Table13[[#This Row],[Production_Order_ID]],[1]Sheet1!$A$2:$A$391,[1]Sheet1!$F$2:$F$391,"No Match")</f>
        <v>580</v>
      </c>
      <c r="O1436" s="3">
        <f>Table13[[#This Row],[Good_Qty]]/Table13[[#This Row],[Planned_Production]]</f>
        <v>1.1051724137931034</v>
      </c>
      <c r="P1436" t="str">
        <f>IF(Table13[[#This Row],[Good_Qty]]&gt;=Table13[[#This Row],[Planned_Production]],"Met","Not Met")</f>
        <v>Met</v>
      </c>
      <c r="Q1436">
        <f>Table13[[#This Row],[Good_Qty]]-Table13[[#This Row],[Planned_Production]]</f>
        <v>61</v>
      </c>
      <c r="R1436" s="3">
        <f>IF(Table13[[#This Row],[Actual_Qty]]=0,0,Table13[[#This Row],[Reject_Qty]]/Table13[[#This Row],[Actual_Qty]])</f>
        <v>6.2015503875968991E-3</v>
      </c>
      <c r="S1436">
        <v>434.12</v>
      </c>
      <c r="T1436">
        <f>(Table13[[#This Row],[Ideal_Cycle_Time_sec]]*Table13[[#This Row],[Actual_Qty]])/(Table13[[#This Row],[Operational_Time_min]]*60)</f>
        <v>0.58291486225006905</v>
      </c>
      <c r="U1436">
        <f>Table13[[#This Row],[Good_Qty]]/Table13[[#This Row],[Actual_Qty]]</f>
        <v>0.99379844961240305</v>
      </c>
      <c r="V1436" t="str">
        <f>IF(OR(Table13[[#This Row],[Performance_%]]&gt;=1,Table13[[#This Row],[Performance_%]]&lt;=0),"Error","OK")</f>
        <v>OK</v>
      </c>
      <c r="W1436" t="str">
        <f>IF(OR(Table13[[#This Row],[Quality_%]]&gt;=1,Table13[[#This Row],[Quality_%]]&lt;=0),"Error","OK")</f>
        <v>OK</v>
      </c>
      <c r="X1436">
        <f>Table13[[#This Row],[Performance_%]]*Table13[[#This Row],[Quality_%]]*[2]Availability_KPI!K1436</f>
        <v>0.55885703703703693</v>
      </c>
      <c r="Y1436" t="str">
        <f>IF(OR(Table13[[#This Row],[OEE_%]]&gt;1,Table13[[#This Row],[OEE_%]]&lt;0),"Error","OK")</f>
        <v>OK</v>
      </c>
    </row>
    <row r="1437" spans="1:25" x14ac:dyDescent="0.2">
      <c r="A1437" t="s">
        <v>1666</v>
      </c>
      <c r="B1437" t="s">
        <v>1663</v>
      </c>
      <c r="C1437" s="2">
        <v>46318</v>
      </c>
      <c r="D1437" t="s">
        <v>67</v>
      </c>
      <c r="E1437" t="s">
        <v>38</v>
      </c>
      <c r="F1437" t="s">
        <v>97</v>
      </c>
      <c r="G1437" t="s">
        <v>33</v>
      </c>
      <c r="H1437">
        <v>633</v>
      </c>
      <c r="I1437">
        <v>630</v>
      </c>
      <c r="J1437">
        <v>3</v>
      </c>
      <c r="K1437">
        <v>21.4</v>
      </c>
      <c r="L1437">
        <v>22.67</v>
      </c>
      <c r="M1437">
        <v>239.14</v>
      </c>
      <c r="N1437">
        <f>_xlfn.XLOOKUP(Table13[[#This Row],[Production_Order_ID]],[1]Sheet1!$A$2:$A$391,[1]Sheet1!$F$2:$F$391,"No Match")</f>
        <v>580</v>
      </c>
      <c r="O1437" s="3">
        <f>Table13[[#This Row],[Good_Qty]]/Table13[[#This Row],[Planned_Production]]</f>
        <v>1.0862068965517242</v>
      </c>
      <c r="P1437" t="str">
        <f>IF(Table13[[#This Row],[Good_Qty]]&gt;=Table13[[#This Row],[Planned_Production]],"Met","Not Met")</f>
        <v>Met</v>
      </c>
      <c r="Q1437">
        <f>Table13[[#This Row],[Good_Qty]]-Table13[[#This Row],[Planned_Production]]</f>
        <v>50</v>
      </c>
      <c r="R1437" s="3">
        <f>IF(Table13[[#This Row],[Actual_Qty]]=0,0,Table13[[#This Row],[Reject_Qty]]/Table13[[#This Row],[Actual_Qty]])</f>
        <v>4.7393364928909956E-3</v>
      </c>
      <c r="S1437">
        <v>440.14</v>
      </c>
      <c r="T1437">
        <f>(Table13[[#This Row],[Ideal_Cycle_Time_sec]]*Table13[[#This Row],[Actual_Qty]])/(Table13[[#This Row],[Operational_Time_min]]*60)</f>
        <v>0.51295042486481579</v>
      </c>
      <c r="U1437">
        <f>Table13[[#This Row],[Good_Qty]]/Table13[[#This Row],[Actual_Qty]]</f>
        <v>0.99526066350710896</v>
      </c>
      <c r="V1437" t="str">
        <f>IF(OR(Table13[[#This Row],[Performance_%]]&gt;=1,Table13[[#This Row],[Performance_%]]&lt;=0),"Error","OK")</f>
        <v>OK</v>
      </c>
      <c r="W1437" t="str">
        <f>IF(OR(Table13[[#This Row],[Quality_%]]&gt;=1,Table13[[#This Row],[Quality_%]]&lt;=0),"Error","OK")</f>
        <v>OK</v>
      </c>
      <c r="X1437">
        <f>Table13[[#This Row],[Performance_%]]*Table13[[#This Row],[Quality_%]]*[2]Availability_KPI!K1437</f>
        <v>0.49933333333333335</v>
      </c>
      <c r="Y1437" t="str">
        <f>IF(OR(Table13[[#This Row],[OEE_%]]&gt;1,Table13[[#This Row],[OEE_%]]&lt;0),"Error","OK")</f>
        <v>OK</v>
      </c>
    </row>
    <row r="1438" spans="1:25" x14ac:dyDescent="0.2">
      <c r="A1438" t="s">
        <v>1667</v>
      </c>
      <c r="B1438" t="s">
        <v>1663</v>
      </c>
      <c r="C1438" s="2">
        <v>46318</v>
      </c>
      <c r="D1438" t="s">
        <v>67</v>
      </c>
      <c r="E1438" t="s">
        <v>41</v>
      </c>
      <c r="F1438" t="s">
        <v>97</v>
      </c>
      <c r="G1438" t="s">
        <v>50</v>
      </c>
      <c r="H1438">
        <v>650</v>
      </c>
      <c r="I1438">
        <v>646</v>
      </c>
      <c r="J1438">
        <v>4</v>
      </c>
      <c r="K1438">
        <v>19.260000000000002</v>
      </c>
      <c r="L1438">
        <v>19.89</v>
      </c>
      <c r="M1438">
        <v>215.51</v>
      </c>
      <c r="N1438">
        <f>_xlfn.XLOOKUP(Table13[[#This Row],[Production_Order_ID]],[1]Sheet1!$A$2:$A$391,[1]Sheet1!$F$2:$F$391,"No Match")</f>
        <v>580</v>
      </c>
      <c r="O1438" s="3">
        <f>Table13[[#This Row],[Good_Qty]]/Table13[[#This Row],[Planned_Production]]</f>
        <v>1.1137931034482758</v>
      </c>
      <c r="P1438" t="str">
        <f>IF(Table13[[#This Row],[Good_Qty]]&gt;=Table13[[#This Row],[Planned_Production]],"Met","Not Met")</f>
        <v>Met</v>
      </c>
      <c r="Q1438">
        <f>Table13[[#This Row],[Good_Qty]]-Table13[[#This Row],[Planned_Production]]</f>
        <v>66</v>
      </c>
      <c r="R1438" s="3">
        <f>IF(Table13[[#This Row],[Actual_Qty]]=0,0,Table13[[#This Row],[Reject_Qty]]/Table13[[#This Row],[Actual_Qty]])</f>
        <v>6.1538461538461538E-3</v>
      </c>
      <c r="S1438">
        <v>439.5</v>
      </c>
      <c r="T1438">
        <f>(Table13[[#This Row],[Ideal_Cycle_Time_sec]]*Table13[[#This Row],[Actual_Qty]])/(Table13[[#This Row],[Operational_Time_min]]*60)</f>
        <v>0.47474402730375431</v>
      </c>
      <c r="U1438">
        <f>Table13[[#This Row],[Good_Qty]]/Table13[[#This Row],[Actual_Qty]]</f>
        <v>0.99384615384615382</v>
      </c>
      <c r="V1438" t="str">
        <f>IF(OR(Table13[[#This Row],[Performance_%]]&gt;=1,Table13[[#This Row],[Performance_%]]&lt;=0),"Error","OK")</f>
        <v>OK</v>
      </c>
      <c r="W1438" t="str">
        <f>IF(OR(Table13[[#This Row],[Quality_%]]&gt;=1,Table13[[#This Row],[Quality_%]]&lt;=0),"Error","OK")</f>
        <v>OK</v>
      </c>
      <c r="X1438">
        <f>Table13[[#This Row],[Performance_%]]*Table13[[#This Row],[Quality_%]]*[2]Availability_KPI!K1438</f>
        <v>0.46081333333333341</v>
      </c>
      <c r="Y1438" t="str">
        <f>IF(OR(Table13[[#This Row],[OEE_%]]&gt;1,Table13[[#This Row],[OEE_%]]&lt;0),"Error","OK")</f>
        <v>OK</v>
      </c>
    </row>
    <row r="1439" spans="1:25" x14ac:dyDescent="0.2">
      <c r="A1439" t="s">
        <v>1668</v>
      </c>
      <c r="B1439" t="s">
        <v>1663</v>
      </c>
      <c r="C1439" s="2">
        <v>46318</v>
      </c>
      <c r="D1439" t="s">
        <v>67</v>
      </c>
      <c r="E1439" t="s">
        <v>43</v>
      </c>
      <c r="F1439" t="s">
        <v>97</v>
      </c>
      <c r="G1439" t="s">
        <v>61</v>
      </c>
      <c r="H1439">
        <v>646</v>
      </c>
      <c r="I1439">
        <v>636</v>
      </c>
      <c r="J1439">
        <v>10</v>
      </c>
      <c r="K1439">
        <v>34.24</v>
      </c>
      <c r="L1439">
        <v>35.81</v>
      </c>
      <c r="M1439">
        <v>385.54</v>
      </c>
      <c r="N1439">
        <f>_xlfn.XLOOKUP(Table13[[#This Row],[Production_Order_ID]],[1]Sheet1!$A$2:$A$391,[1]Sheet1!$F$2:$F$391,"No Match")</f>
        <v>580</v>
      </c>
      <c r="O1439" s="3">
        <f>Table13[[#This Row],[Good_Qty]]/Table13[[#This Row],[Planned_Production]]</f>
        <v>1.096551724137931</v>
      </c>
      <c r="P1439" t="str">
        <f>IF(Table13[[#This Row],[Good_Qty]]&gt;=Table13[[#This Row],[Planned_Production]],"Met","Not Met")</f>
        <v>Met</v>
      </c>
      <c r="Q1439">
        <f>Table13[[#This Row],[Good_Qty]]-Table13[[#This Row],[Planned_Production]]</f>
        <v>56</v>
      </c>
      <c r="R1439" s="3">
        <f>IF(Table13[[#This Row],[Actual_Qty]]=0,0,Table13[[#This Row],[Reject_Qty]]/Table13[[#This Row],[Actual_Qty]])</f>
        <v>1.5479876160990712E-2</v>
      </c>
      <c r="S1439">
        <v>408.63</v>
      </c>
      <c r="T1439">
        <f>(Table13[[#This Row],[Ideal_Cycle_Time_sec]]*Table13[[#This Row],[Actual_Qty]])/(Table13[[#This Row],[Operational_Time_min]]*60)</f>
        <v>0.90216251050257368</v>
      </c>
      <c r="U1439">
        <f>Table13[[#This Row],[Good_Qty]]/Table13[[#This Row],[Actual_Qty]]</f>
        <v>0.98452012383900933</v>
      </c>
      <c r="V1439" t="str">
        <f>IF(OR(Table13[[#This Row],[Performance_%]]&gt;=1,Table13[[#This Row],[Performance_%]]&lt;=0),"Error","OK")</f>
        <v>OK</v>
      </c>
      <c r="W1439" t="str">
        <f>IF(OR(Table13[[#This Row],[Quality_%]]&gt;=1,Table13[[#This Row],[Quality_%]]&lt;=0),"Error","OK")</f>
        <v>OK</v>
      </c>
      <c r="X1439">
        <f>Table13[[#This Row],[Performance_%]]*Table13[[#This Row],[Quality_%]]*[2]Availability_KPI!K1439</f>
        <v>0.80654222222222227</v>
      </c>
      <c r="Y1439" t="str">
        <f>IF(OR(Table13[[#This Row],[OEE_%]]&gt;1,Table13[[#This Row],[OEE_%]]&lt;0),"Error","OK")</f>
        <v>OK</v>
      </c>
    </row>
    <row r="1440" spans="1:25" x14ac:dyDescent="0.2">
      <c r="A1440" t="s">
        <v>1669</v>
      </c>
      <c r="B1440" t="s">
        <v>1663</v>
      </c>
      <c r="C1440" s="2">
        <v>46318</v>
      </c>
      <c r="D1440" t="s">
        <v>67</v>
      </c>
      <c r="E1440" t="s">
        <v>46</v>
      </c>
      <c r="F1440" t="s">
        <v>97</v>
      </c>
      <c r="G1440" t="s">
        <v>75</v>
      </c>
      <c r="H1440">
        <v>646</v>
      </c>
      <c r="I1440">
        <v>641</v>
      </c>
      <c r="J1440">
        <v>5</v>
      </c>
      <c r="K1440">
        <v>26.75</v>
      </c>
      <c r="L1440">
        <v>27.17</v>
      </c>
      <c r="M1440">
        <v>292.52</v>
      </c>
      <c r="N1440">
        <f>_xlfn.XLOOKUP(Table13[[#This Row],[Production_Order_ID]],[1]Sheet1!$A$2:$A$391,[1]Sheet1!$F$2:$F$391,"No Match")</f>
        <v>580</v>
      </c>
      <c r="O1440" s="3">
        <f>Table13[[#This Row],[Good_Qty]]/Table13[[#This Row],[Planned_Production]]</f>
        <v>1.1051724137931034</v>
      </c>
      <c r="P1440" t="str">
        <f>IF(Table13[[#This Row],[Good_Qty]]&gt;=Table13[[#This Row],[Planned_Production]],"Met","Not Met")</f>
        <v>Met</v>
      </c>
      <c r="Q1440">
        <f>Table13[[#This Row],[Good_Qty]]-Table13[[#This Row],[Planned_Production]]</f>
        <v>61</v>
      </c>
      <c r="R1440" s="3">
        <f>IF(Table13[[#This Row],[Actual_Qty]]=0,0,Table13[[#This Row],[Reject_Qty]]/Table13[[#This Row],[Actual_Qty]])</f>
        <v>7.7399380804953561E-3</v>
      </c>
      <c r="S1440">
        <v>429.45</v>
      </c>
      <c r="T1440">
        <f>(Table13[[#This Row],[Ideal_Cycle_Time_sec]]*Table13[[#This Row],[Actual_Qty]])/(Table13[[#This Row],[Operational_Time_min]]*60)</f>
        <v>0.67064462296736138</v>
      </c>
      <c r="U1440">
        <f>Table13[[#This Row],[Good_Qty]]/Table13[[#This Row],[Actual_Qty]]</f>
        <v>0.99226006191950467</v>
      </c>
      <c r="V1440" t="str">
        <f>IF(OR(Table13[[#This Row],[Performance_%]]&gt;=1,Table13[[#This Row],[Performance_%]]&lt;=0),"Error","OK")</f>
        <v>OK</v>
      </c>
      <c r="W1440" t="str">
        <f>IF(OR(Table13[[#This Row],[Quality_%]]&gt;=1,Table13[[#This Row],[Quality_%]]&lt;=0),"Error","OK")</f>
        <v>OK</v>
      </c>
      <c r="X1440">
        <f>Table13[[#This Row],[Performance_%]]*Table13[[#This Row],[Quality_%]]*[2]Availability_KPI!K1440</f>
        <v>0.6350648148148148</v>
      </c>
      <c r="Y1440" t="str">
        <f>IF(OR(Table13[[#This Row],[OEE_%]]&gt;1,Table13[[#This Row],[OEE_%]]&lt;0),"Error","OK")</f>
        <v>OK</v>
      </c>
    </row>
    <row r="1441" spans="1:25" x14ac:dyDescent="0.2">
      <c r="A1441" t="s">
        <v>1670</v>
      </c>
      <c r="B1441" t="s">
        <v>1663</v>
      </c>
      <c r="C1441" s="2">
        <v>46318</v>
      </c>
      <c r="D1441" t="s">
        <v>67</v>
      </c>
      <c r="E1441" t="s">
        <v>49</v>
      </c>
      <c r="F1441" t="s">
        <v>97</v>
      </c>
      <c r="G1441" t="s">
        <v>39</v>
      </c>
      <c r="H1441">
        <v>657</v>
      </c>
      <c r="I1441">
        <v>654</v>
      </c>
      <c r="J1441">
        <v>3</v>
      </c>
      <c r="K1441">
        <v>21.4</v>
      </c>
      <c r="L1441">
        <v>21.74</v>
      </c>
      <c r="M1441">
        <v>238.09</v>
      </c>
      <c r="N1441">
        <f>_xlfn.XLOOKUP(Table13[[#This Row],[Production_Order_ID]],[1]Sheet1!$A$2:$A$391,[1]Sheet1!$F$2:$F$391,"No Match")</f>
        <v>580</v>
      </c>
      <c r="O1441" s="3">
        <f>Table13[[#This Row],[Good_Qty]]/Table13[[#This Row],[Planned_Production]]</f>
        <v>1.1275862068965516</v>
      </c>
      <c r="P1441" t="str">
        <f>IF(Table13[[#This Row],[Good_Qty]]&gt;=Table13[[#This Row],[Planned_Production]],"Met","Not Met")</f>
        <v>Met</v>
      </c>
      <c r="Q1441">
        <f>Table13[[#This Row],[Good_Qty]]-Table13[[#This Row],[Planned_Production]]</f>
        <v>74</v>
      </c>
      <c r="R1441" s="3">
        <f>IF(Table13[[#This Row],[Actual_Qty]]=0,0,Table13[[#This Row],[Reject_Qty]]/Table13[[#This Row],[Actual_Qty]])</f>
        <v>4.5662100456621002E-3</v>
      </c>
      <c r="S1441">
        <v>440.64</v>
      </c>
      <c r="T1441">
        <f>(Table13[[#This Row],[Ideal_Cycle_Time_sec]]*Table13[[#This Row],[Actual_Qty]])/(Table13[[#This Row],[Operational_Time_min]]*60)</f>
        <v>0.53179466230936823</v>
      </c>
      <c r="U1441">
        <f>Table13[[#This Row],[Good_Qty]]/Table13[[#This Row],[Actual_Qty]]</f>
        <v>0.99543378995433784</v>
      </c>
      <c r="V1441" t="str">
        <f>IF(OR(Table13[[#This Row],[Performance_%]]&gt;=1,Table13[[#This Row],[Performance_%]]&lt;=0),"Error","OK")</f>
        <v>OK</v>
      </c>
      <c r="W1441" t="str">
        <f>IF(OR(Table13[[#This Row],[Quality_%]]&gt;=1,Table13[[#This Row],[Quality_%]]&lt;=0),"Error","OK")</f>
        <v>OK</v>
      </c>
      <c r="X1441">
        <f>Table13[[#This Row],[Performance_%]]*Table13[[#This Row],[Quality_%]]*[2]Availability_KPI!K1441</f>
        <v>0.51835555555555546</v>
      </c>
      <c r="Y1441" t="str">
        <f>IF(OR(Table13[[#This Row],[OEE_%]]&gt;1,Table13[[#This Row],[OEE_%]]&lt;0),"Error","OK")</f>
        <v>OK</v>
      </c>
    </row>
    <row r="1442" spans="1:25" x14ac:dyDescent="0.2">
      <c r="A1442" t="s">
        <v>1671</v>
      </c>
      <c r="B1442" t="s">
        <v>1672</v>
      </c>
      <c r="C1442" s="2">
        <v>46321</v>
      </c>
      <c r="D1442" t="s">
        <v>27</v>
      </c>
      <c r="E1442" t="s">
        <v>28</v>
      </c>
      <c r="F1442" t="s">
        <v>54</v>
      </c>
      <c r="G1442" t="s">
        <v>47</v>
      </c>
      <c r="H1442">
        <v>596</v>
      </c>
      <c r="I1442">
        <v>595</v>
      </c>
      <c r="J1442">
        <v>1</v>
      </c>
      <c r="K1442">
        <v>18</v>
      </c>
      <c r="L1442">
        <v>18.010000000000002</v>
      </c>
      <c r="M1442">
        <v>178.88</v>
      </c>
      <c r="N1442">
        <f>_xlfn.XLOOKUP(Table13[[#This Row],[Production_Order_ID]],[1]Sheet1!$A$2:$A$391,[1]Sheet1!$F$2:$F$391,"No Match")</f>
        <v>520</v>
      </c>
      <c r="O1442" s="3">
        <f>Table13[[#This Row],[Good_Qty]]/Table13[[#This Row],[Planned_Production]]</f>
        <v>1.1442307692307692</v>
      </c>
      <c r="P1442" t="str">
        <f>IF(Table13[[#This Row],[Good_Qty]]&gt;=Table13[[#This Row],[Planned_Production]],"Met","Not Met")</f>
        <v>Met</v>
      </c>
      <c r="Q1442">
        <f>Table13[[#This Row],[Good_Qty]]-Table13[[#This Row],[Planned_Production]]</f>
        <v>75</v>
      </c>
      <c r="R1442" s="3">
        <f>IF(Table13[[#This Row],[Actual_Qty]]=0,0,Table13[[#This Row],[Reject_Qty]]/Table13[[#This Row],[Actual_Qty]])</f>
        <v>1.6778523489932886E-3</v>
      </c>
      <c r="S1442">
        <v>442.54</v>
      </c>
      <c r="T1442">
        <f>(Table13[[#This Row],[Ideal_Cycle_Time_sec]]*Table13[[#This Row],[Actual_Qty]])/(Table13[[#This Row],[Operational_Time_min]]*60)</f>
        <v>0.40403127400912908</v>
      </c>
      <c r="U1442">
        <f>Table13[[#This Row],[Good_Qty]]/Table13[[#This Row],[Actual_Qty]]</f>
        <v>0.99832214765100669</v>
      </c>
      <c r="V1442" t="str">
        <f>IF(OR(Table13[[#This Row],[Performance_%]]&gt;=1,Table13[[#This Row],[Performance_%]]&lt;=0),"Error","OK")</f>
        <v>OK</v>
      </c>
      <c r="W1442" t="str">
        <f>IF(OR(Table13[[#This Row],[Quality_%]]&gt;=1,Table13[[#This Row],[Quality_%]]&lt;=0),"Error","OK")</f>
        <v>OK</v>
      </c>
      <c r="X1442">
        <f>Table13[[#This Row],[Performance_%]]*Table13[[#This Row],[Quality_%]]*[2]Availability_KPI!K1442</f>
        <v>0.39666666666666667</v>
      </c>
      <c r="Y1442" t="str">
        <f>IF(OR(Table13[[#This Row],[OEE_%]]&gt;1,Table13[[#This Row],[OEE_%]]&lt;0),"Error","OK")</f>
        <v>OK</v>
      </c>
    </row>
    <row r="1443" spans="1:25" x14ac:dyDescent="0.2">
      <c r="A1443" t="s">
        <v>1673</v>
      </c>
      <c r="B1443" t="s">
        <v>1672</v>
      </c>
      <c r="C1443" s="2">
        <v>46321</v>
      </c>
      <c r="D1443" t="s">
        <v>27</v>
      </c>
      <c r="E1443" t="s">
        <v>32</v>
      </c>
      <c r="F1443" t="s">
        <v>54</v>
      </c>
      <c r="G1443" t="s">
        <v>36</v>
      </c>
      <c r="H1443">
        <v>578</v>
      </c>
      <c r="I1443">
        <v>573</v>
      </c>
      <c r="J1443">
        <v>5</v>
      </c>
      <c r="K1443">
        <v>20</v>
      </c>
      <c r="L1443">
        <v>21.34</v>
      </c>
      <c r="M1443">
        <v>205.59</v>
      </c>
      <c r="N1443">
        <f>_xlfn.XLOOKUP(Table13[[#This Row],[Production_Order_ID]],[1]Sheet1!$A$2:$A$391,[1]Sheet1!$F$2:$F$391,"No Match")</f>
        <v>520</v>
      </c>
      <c r="O1443" s="3">
        <f>Table13[[#This Row],[Good_Qty]]/Table13[[#This Row],[Planned_Production]]</f>
        <v>1.101923076923077</v>
      </c>
      <c r="P1443" t="str">
        <f>IF(Table13[[#This Row],[Good_Qty]]&gt;=Table13[[#This Row],[Planned_Production]],"Met","Not Met")</f>
        <v>Met</v>
      </c>
      <c r="Q1443">
        <f>Table13[[#This Row],[Good_Qty]]-Table13[[#This Row],[Planned_Production]]</f>
        <v>53</v>
      </c>
      <c r="R1443" s="3">
        <f>IF(Table13[[#This Row],[Actual_Qty]]=0,0,Table13[[#This Row],[Reject_Qty]]/Table13[[#This Row],[Actual_Qty]])</f>
        <v>8.6505190311418692E-3</v>
      </c>
      <c r="S1443">
        <v>441.47</v>
      </c>
      <c r="T1443">
        <f>(Table13[[#This Row],[Ideal_Cycle_Time_sec]]*Table13[[#This Row],[Actual_Qty]])/(Table13[[#This Row],[Operational_Time_min]]*60)</f>
        <v>0.4364207458415445</v>
      </c>
      <c r="U1443">
        <f>Table13[[#This Row],[Good_Qty]]/Table13[[#This Row],[Actual_Qty]]</f>
        <v>0.99134948096885811</v>
      </c>
      <c r="V1443" t="str">
        <f>IF(OR(Table13[[#This Row],[Performance_%]]&gt;=1,Table13[[#This Row],[Performance_%]]&lt;=0),"Error","OK")</f>
        <v>OK</v>
      </c>
      <c r="W1443" t="str">
        <f>IF(OR(Table13[[#This Row],[Quality_%]]&gt;=1,Table13[[#This Row],[Quality_%]]&lt;=0),"Error","OK")</f>
        <v>OK</v>
      </c>
      <c r="X1443">
        <f>Table13[[#This Row],[Performance_%]]*Table13[[#This Row],[Quality_%]]*[2]Availability_KPI!K1443</f>
        <v>0.42444444444444446</v>
      </c>
      <c r="Y1443" t="str">
        <f>IF(OR(Table13[[#This Row],[OEE_%]]&gt;1,Table13[[#This Row],[OEE_%]]&lt;0),"Error","OK")</f>
        <v>OK</v>
      </c>
    </row>
    <row r="1444" spans="1:25" x14ac:dyDescent="0.2">
      <c r="A1444" t="s">
        <v>1674</v>
      </c>
      <c r="B1444" t="s">
        <v>1672</v>
      </c>
      <c r="C1444" s="2">
        <v>46321</v>
      </c>
      <c r="D1444" t="s">
        <v>27</v>
      </c>
      <c r="E1444" t="s">
        <v>35</v>
      </c>
      <c r="F1444" t="s">
        <v>54</v>
      </c>
      <c r="G1444" t="s">
        <v>71</v>
      </c>
      <c r="H1444">
        <v>599</v>
      </c>
      <c r="I1444">
        <v>596</v>
      </c>
      <c r="J1444">
        <v>3</v>
      </c>
      <c r="K1444">
        <v>22</v>
      </c>
      <c r="L1444">
        <v>24.4</v>
      </c>
      <c r="M1444">
        <v>243.64</v>
      </c>
      <c r="N1444">
        <f>_xlfn.XLOOKUP(Table13[[#This Row],[Production_Order_ID]],[1]Sheet1!$A$2:$A$391,[1]Sheet1!$F$2:$F$391,"No Match")</f>
        <v>520</v>
      </c>
      <c r="O1444" s="3">
        <f>Table13[[#This Row],[Good_Qty]]/Table13[[#This Row],[Planned_Production]]</f>
        <v>1.1461538461538461</v>
      </c>
      <c r="P1444" t="str">
        <f>IF(Table13[[#This Row],[Good_Qty]]&gt;=Table13[[#This Row],[Planned_Production]],"Met","Not Met")</f>
        <v>Met</v>
      </c>
      <c r="Q1444">
        <f>Table13[[#This Row],[Good_Qty]]-Table13[[#This Row],[Planned_Production]]</f>
        <v>76</v>
      </c>
      <c r="R1444" s="3">
        <f>IF(Table13[[#This Row],[Actual_Qty]]=0,0,Table13[[#This Row],[Reject_Qty]]/Table13[[#This Row],[Actual_Qty]])</f>
        <v>5.008347245409015E-3</v>
      </c>
      <c r="S1444">
        <v>435.86</v>
      </c>
      <c r="T1444">
        <f>(Table13[[#This Row],[Ideal_Cycle_Time_sec]]*Table13[[#This Row],[Actual_Qty]])/(Table13[[#This Row],[Operational_Time_min]]*60)</f>
        <v>0.5039079826855718</v>
      </c>
      <c r="U1444">
        <f>Table13[[#This Row],[Good_Qty]]/Table13[[#This Row],[Actual_Qty]]</f>
        <v>0.994991652754591</v>
      </c>
      <c r="V1444" t="str">
        <f>IF(OR(Table13[[#This Row],[Performance_%]]&gt;=1,Table13[[#This Row],[Performance_%]]&lt;=0),"Error","OK")</f>
        <v>OK</v>
      </c>
      <c r="W1444" t="str">
        <f>IF(OR(Table13[[#This Row],[Quality_%]]&gt;=1,Table13[[#This Row],[Quality_%]]&lt;=0),"Error","OK")</f>
        <v>OK</v>
      </c>
      <c r="X1444">
        <f>Table13[[#This Row],[Performance_%]]*Table13[[#This Row],[Quality_%]]*[2]Availability_KPI!K1444</f>
        <v>0.48562962962962963</v>
      </c>
      <c r="Y1444" t="str">
        <f>IF(OR(Table13[[#This Row],[OEE_%]]&gt;1,Table13[[#This Row],[OEE_%]]&lt;0),"Error","OK")</f>
        <v>OK</v>
      </c>
    </row>
    <row r="1445" spans="1:25" x14ac:dyDescent="0.2">
      <c r="A1445" t="s">
        <v>1675</v>
      </c>
      <c r="B1445" t="s">
        <v>1672</v>
      </c>
      <c r="C1445" s="2">
        <v>46321</v>
      </c>
      <c r="D1445" t="s">
        <v>27</v>
      </c>
      <c r="E1445" t="s">
        <v>38</v>
      </c>
      <c r="F1445" t="s">
        <v>54</v>
      </c>
      <c r="G1445" t="s">
        <v>47</v>
      </c>
      <c r="H1445">
        <v>608</v>
      </c>
      <c r="I1445">
        <v>603</v>
      </c>
      <c r="J1445">
        <v>5</v>
      </c>
      <c r="K1445">
        <v>20</v>
      </c>
      <c r="L1445">
        <v>21.7</v>
      </c>
      <c r="M1445">
        <v>219.86</v>
      </c>
      <c r="N1445">
        <f>_xlfn.XLOOKUP(Table13[[#This Row],[Production_Order_ID]],[1]Sheet1!$A$2:$A$391,[1]Sheet1!$F$2:$F$391,"No Match")</f>
        <v>520</v>
      </c>
      <c r="O1445" s="3">
        <f>Table13[[#This Row],[Good_Qty]]/Table13[[#This Row],[Planned_Production]]</f>
        <v>1.1596153846153847</v>
      </c>
      <c r="P1445" t="str">
        <f>IF(Table13[[#This Row],[Good_Qty]]&gt;=Table13[[#This Row],[Planned_Production]],"Met","Not Met")</f>
        <v>Met</v>
      </c>
      <c r="Q1445">
        <f>Table13[[#This Row],[Good_Qty]]-Table13[[#This Row],[Planned_Production]]</f>
        <v>83</v>
      </c>
      <c r="R1445" s="3">
        <f>IF(Table13[[#This Row],[Actual_Qty]]=0,0,Table13[[#This Row],[Reject_Qty]]/Table13[[#This Row],[Actual_Qty]])</f>
        <v>8.2236842105263153E-3</v>
      </c>
      <c r="S1445">
        <v>437.84</v>
      </c>
      <c r="T1445">
        <f>(Table13[[#This Row],[Ideal_Cycle_Time_sec]]*Table13[[#This Row],[Actual_Qty]])/(Table13[[#This Row],[Operational_Time_min]]*60)</f>
        <v>0.46287837261708997</v>
      </c>
      <c r="U1445">
        <f>Table13[[#This Row],[Good_Qty]]/Table13[[#This Row],[Actual_Qty]]</f>
        <v>0.99177631578947367</v>
      </c>
      <c r="V1445" t="str">
        <f>IF(OR(Table13[[#This Row],[Performance_%]]&gt;=1,Table13[[#This Row],[Performance_%]]&lt;=0),"Error","OK")</f>
        <v>OK</v>
      </c>
      <c r="W1445" t="str">
        <f>IF(OR(Table13[[#This Row],[Quality_%]]&gt;=1,Table13[[#This Row],[Quality_%]]&lt;=0),"Error","OK")</f>
        <v>OK</v>
      </c>
      <c r="X1445">
        <f>Table13[[#This Row],[Performance_%]]*Table13[[#This Row],[Quality_%]]*[2]Availability_KPI!K1445</f>
        <v>0.44666666666666666</v>
      </c>
      <c r="Y1445" t="str">
        <f>IF(OR(Table13[[#This Row],[OEE_%]]&gt;1,Table13[[#This Row],[OEE_%]]&lt;0),"Error","OK")</f>
        <v>OK</v>
      </c>
    </row>
    <row r="1446" spans="1:25" x14ac:dyDescent="0.2">
      <c r="A1446" t="s">
        <v>1676</v>
      </c>
      <c r="B1446" t="s">
        <v>1672</v>
      </c>
      <c r="C1446" s="2">
        <v>46321</v>
      </c>
      <c r="D1446" t="s">
        <v>27</v>
      </c>
      <c r="E1446" t="s">
        <v>41</v>
      </c>
      <c r="F1446" t="s">
        <v>54</v>
      </c>
      <c r="G1446" t="s">
        <v>30</v>
      </c>
      <c r="H1446">
        <v>595</v>
      </c>
      <c r="I1446">
        <v>588</v>
      </c>
      <c r="J1446">
        <v>7</v>
      </c>
      <c r="K1446">
        <v>18</v>
      </c>
      <c r="L1446">
        <v>19.37</v>
      </c>
      <c r="M1446">
        <v>192.1</v>
      </c>
      <c r="N1446">
        <f>_xlfn.XLOOKUP(Table13[[#This Row],[Production_Order_ID]],[1]Sheet1!$A$2:$A$391,[1]Sheet1!$F$2:$F$391,"No Match")</f>
        <v>520</v>
      </c>
      <c r="O1446" s="3">
        <f>Table13[[#This Row],[Good_Qty]]/Table13[[#This Row],[Planned_Production]]</f>
        <v>1.1307692307692307</v>
      </c>
      <c r="P1446" t="str">
        <f>IF(Table13[[#This Row],[Good_Qty]]&gt;=Table13[[#This Row],[Planned_Production]],"Met","Not Met")</f>
        <v>Met</v>
      </c>
      <c r="Q1446">
        <f>Table13[[#This Row],[Good_Qty]]-Table13[[#This Row],[Planned_Production]]</f>
        <v>68</v>
      </c>
      <c r="R1446" s="3">
        <f>IF(Table13[[#This Row],[Actual_Qty]]=0,0,Table13[[#This Row],[Reject_Qty]]/Table13[[#This Row],[Actual_Qty]])</f>
        <v>1.1764705882352941E-2</v>
      </c>
      <c r="S1446">
        <v>439.43</v>
      </c>
      <c r="T1446">
        <f>(Table13[[#This Row],[Ideal_Cycle_Time_sec]]*Table13[[#This Row],[Actual_Qty]])/(Table13[[#This Row],[Operational_Time_min]]*60)</f>
        <v>0.40620804223653373</v>
      </c>
      <c r="U1446">
        <f>Table13[[#This Row],[Good_Qty]]/Table13[[#This Row],[Actual_Qty]]</f>
        <v>0.9882352941176471</v>
      </c>
      <c r="V1446" t="str">
        <f>IF(OR(Table13[[#This Row],[Performance_%]]&gt;=1,Table13[[#This Row],[Performance_%]]&lt;=0),"Error","OK")</f>
        <v>OK</v>
      </c>
      <c r="W1446" t="str">
        <f>IF(OR(Table13[[#This Row],[Quality_%]]&gt;=1,Table13[[#This Row],[Quality_%]]&lt;=0),"Error","OK")</f>
        <v>OK</v>
      </c>
      <c r="X1446">
        <f>Table13[[#This Row],[Performance_%]]*Table13[[#This Row],[Quality_%]]*[2]Availability_KPI!K1446</f>
        <v>0.39200000000000007</v>
      </c>
      <c r="Y1446" t="str">
        <f>IF(OR(Table13[[#This Row],[OEE_%]]&gt;1,Table13[[#This Row],[OEE_%]]&lt;0),"Error","OK")</f>
        <v>OK</v>
      </c>
    </row>
    <row r="1447" spans="1:25" x14ac:dyDescent="0.2">
      <c r="A1447" t="s">
        <v>1677</v>
      </c>
      <c r="B1447" t="s">
        <v>1672</v>
      </c>
      <c r="C1447" s="2">
        <v>46321</v>
      </c>
      <c r="D1447" t="s">
        <v>27</v>
      </c>
      <c r="E1447" t="s">
        <v>43</v>
      </c>
      <c r="F1447" t="s">
        <v>54</v>
      </c>
      <c r="G1447" t="s">
        <v>39</v>
      </c>
      <c r="H1447">
        <v>584</v>
      </c>
      <c r="I1447">
        <v>574</v>
      </c>
      <c r="J1447">
        <v>10</v>
      </c>
      <c r="K1447">
        <v>32</v>
      </c>
      <c r="L1447">
        <v>35.19</v>
      </c>
      <c r="M1447">
        <v>342.53</v>
      </c>
      <c r="N1447">
        <f>_xlfn.XLOOKUP(Table13[[#This Row],[Production_Order_ID]],[1]Sheet1!$A$2:$A$391,[1]Sheet1!$F$2:$F$391,"No Match")</f>
        <v>520</v>
      </c>
      <c r="O1447" s="3">
        <f>Table13[[#This Row],[Good_Qty]]/Table13[[#This Row],[Planned_Production]]</f>
        <v>1.1038461538461539</v>
      </c>
      <c r="P1447" t="str">
        <f>IF(Table13[[#This Row],[Good_Qty]]&gt;=Table13[[#This Row],[Planned_Production]],"Met","Not Met")</f>
        <v>Met</v>
      </c>
      <c r="Q1447">
        <f>Table13[[#This Row],[Good_Qty]]-Table13[[#This Row],[Planned_Production]]</f>
        <v>54</v>
      </c>
      <c r="R1447" s="3">
        <f>IF(Table13[[#This Row],[Actual_Qty]]=0,0,Table13[[#This Row],[Reject_Qty]]/Table13[[#This Row],[Actual_Qty]])</f>
        <v>1.7123287671232876E-2</v>
      </c>
      <c r="S1447">
        <v>430.45</v>
      </c>
      <c r="T1447">
        <f>(Table13[[#This Row],[Ideal_Cycle_Time_sec]]*Table13[[#This Row],[Actual_Qty]])/(Table13[[#This Row],[Operational_Time_min]]*60)</f>
        <v>0.72358384636233397</v>
      </c>
      <c r="U1447">
        <f>Table13[[#This Row],[Good_Qty]]/Table13[[#This Row],[Actual_Qty]]</f>
        <v>0.98287671232876717</v>
      </c>
      <c r="V1447" t="str">
        <f>IF(OR(Table13[[#This Row],[Performance_%]]&gt;=1,Table13[[#This Row],[Performance_%]]&lt;=0),"Error","OK")</f>
        <v>OK</v>
      </c>
      <c r="W1447" t="str">
        <f>IF(OR(Table13[[#This Row],[Quality_%]]&gt;=1,Table13[[#This Row],[Quality_%]]&lt;=0),"Error","OK")</f>
        <v>OK</v>
      </c>
      <c r="X1447">
        <f>Table13[[#This Row],[Performance_%]]*Table13[[#This Row],[Quality_%]]*[2]Availability_KPI!K1447</f>
        <v>0.68029629629629629</v>
      </c>
      <c r="Y1447" t="str">
        <f>IF(OR(Table13[[#This Row],[OEE_%]]&gt;1,Table13[[#This Row],[OEE_%]]&lt;0),"Error","OK")</f>
        <v>OK</v>
      </c>
    </row>
    <row r="1448" spans="1:25" x14ac:dyDescent="0.2">
      <c r="A1448" t="s">
        <v>1678</v>
      </c>
      <c r="B1448" t="s">
        <v>1672</v>
      </c>
      <c r="C1448" s="2">
        <v>46321</v>
      </c>
      <c r="D1448" t="s">
        <v>27</v>
      </c>
      <c r="E1448" t="s">
        <v>46</v>
      </c>
      <c r="F1448" t="s">
        <v>54</v>
      </c>
      <c r="G1448" t="s">
        <v>33</v>
      </c>
      <c r="H1448">
        <v>583</v>
      </c>
      <c r="I1448">
        <v>577</v>
      </c>
      <c r="J1448">
        <v>6</v>
      </c>
      <c r="K1448">
        <v>25</v>
      </c>
      <c r="L1448">
        <v>26.7</v>
      </c>
      <c r="M1448">
        <v>259.39</v>
      </c>
      <c r="N1448">
        <f>_xlfn.XLOOKUP(Table13[[#This Row],[Production_Order_ID]],[1]Sheet1!$A$2:$A$391,[1]Sheet1!$F$2:$F$391,"No Match")</f>
        <v>520</v>
      </c>
      <c r="O1448" s="3">
        <f>Table13[[#This Row],[Good_Qty]]/Table13[[#This Row],[Planned_Production]]</f>
        <v>1.1096153846153847</v>
      </c>
      <c r="P1448" t="str">
        <f>IF(Table13[[#This Row],[Good_Qty]]&gt;=Table13[[#This Row],[Planned_Production]],"Met","Not Met")</f>
        <v>Met</v>
      </c>
      <c r="Q1448">
        <f>Table13[[#This Row],[Good_Qty]]-Table13[[#This Row],[Planned_Production]]</f>
        <v>57</v>
      </c>
      <c r="R1448" s="3">
        <f>IF(Table13[[#This Row],[Actual_Qty]]=0,0,Table13[[#This Row],[Reject_Qty]]/Table13[[#This Row],[Actual_Qty]])</f>
        <v>1.0291595197255575E-2</v>
      </c>
      <c r="S1448">
        <v>432.16</v>
      </c>
      <c r="T1448">
        <f>(Table13[[#This Row],[Ideal_Cycle_Time_sec]]*Table13[[#This Row],[Actual_Qty]])/(Table13[[#This Row],[Operational_Time_min]]*60)</f>
        <v>0.56209891398247558</v>
      </c>
      <c r="U1448">
        <f>Table13[[#This Row],[Good_Qty]]/Table13[[#This Row],[Actual_Qty]]</f>
        <v>0.98970840480274447</v>
      </c>
      <c r="V1448" t="str">
        <f>IF(OR(Table13[[#This Row],[Performance_%]]&gt;=1,Table13[[#This Row],[Performance_%]]&lt;=0),"Error","OK")</f>
        <v>OK</v>
      </c>
      <c r="W1448" t="str">
        <f>IF(OR(Table13[[#This Row],[Quality_%]]&gt;=1,Table13[[#This Row],[Quality_%]]&lt;=0),"Error","OK")</f>
        <v>OK</v>
      </c>
      <c r="X1448">
        <f>Table13[[#This Row],[Performance_%]]*Table13[[#This Row],[Quality_%]]*[2]Availability_KPI!K1448</f>
        <v>0.53425925925925932</v>
      </c>
      <c r="Y1448" t="str">
        <f>IF(OR(Table13[[#This Row],[OEE_%]]&gt;1,Table13[[#This Row],[OEE_%]]&lt;0),"Error","OK")</f>
        <v>OK</v>
      </c>
    </row>
    <row r="1449" spans="1:25" x14ac:dyDescent="0.2">
      <c r="A1449" t="s">
        <v>1679</v>
      </c>
      <c r="B1449" t="s">
        <v>1672</v>
      </c>
      <c r="C1449" s="2">
        <v>46321</v>
      </c>
      <c r="D1449" t="s">
        <v>27</v>
      </c>
      <c r="E1449" t="s">
        <v>49</v>
      </c>
      <c r="F1449" t="s">
        <v>54</v>
      </c>
      <c r="G1449" t="s">
        <v>30</v>
      </c>
      <c r="H1449">
        <v>592</v>
      </c>
      <c r="I1449">
        <v>588</v>
      </c>
      <c r="J1449">
        <v>4</v>
      </c>
      <c r="K1449">
        <v>20</v>
      </c>
      <c r="L1449">
        <v>21.02</v>
      </c>
      <c r="M1449">
        <v>207.37</v>
      </c>
      <c r="N1449">
        <f>_xlfn.XLOOKUP(Table13[[#This Row],[Production_Order_ID]],[1]Sheet1!$A$2:$A$391,[1]Sheet1!$F$2:$F$391,"No Match")</f>
        <v>520</v>
      </c>
      <c r="O1449" s="3">
        <f>Table13[[#This Row],[Good_Qty]]/Table13[[#This Row],[Planned_Production]]</f>
        <v>1.1307692307692307</v>
      </c>
      <c r="P1449" t="str">
        <f>IF(Table13[[#This Row],[Good_Qty]]&gt;=Table13[[#This Row],[Planned_Production]],"Met","Not Met")</f>
        <v>Met</v>
      </c>
      <c r="Q1449">
        <f>Table13[[#This Row],[Good_Qty]]-Table13[[#This Row],[Planned_Production]]</f>
        <v>68</v>
      </c>
      <c r="R1449" s="3">
        <f>IF(Table13[[#This Row],[Actual_Qty]]=0,0,Table13[[#This Row],[Reject_Qty]]/Table13[[#This Row],[Actual_Qty]])</f>
        <v>6.7567567567567571E-3</v>
      </c>
      <c r="S1449">
        <v>442.33</v>
      </c>
      <c r="T1449">
        <f>(Table13[[#This Row],[Ideal_Cycle_Time_sec]]*Table13[[#This Row],[Actual_Qty]])/(Table13[[#This Row],[Operational_Time_min]]*60)</f>
        <v>0.44612242744858666</v>
      </c>
      <c r="U1449">
        <f>Table13[[#This Row],[Good_Qty]]/Table13[[#This Row],[Actual_Qty]]</f>
        <v>0.9932432432432432</v>
      </c>
      <c r="V1449" t="str">
        <f>IF(OR(Table13[[#This Row],[Performance_%]]&gt;=1,Table13[[#This Row],[Performance_%]]&lt;=0),"Error","OK")</f>
        <v>OK</v>
      </c>
      <c r="W1449" t="str">
        <f>IF(OR(Table13[[#This Row],[Quality_%]]&gt;=1,Table13[[#This Row],[Quality_%]]&lt;=0),"Error","OK")</f>
        <v>OK</v>
      </c>
      <c r="X1449">
        <f>Table13[[#This Row],[Performance_%]]*Table13[[#This Row],[Quality_%]]*[2]Availability_KPI!K1449</f>
        <v>0.43555555555555553</v>
      </c>
      <c r="Y1449" t="str">
        <f>IF(OR(Table13[[#This Row],[OEE_%]]&gt;1,Table13[[#This Row],[OEE_%]]&lt;0),"Error","OK")</f>
        <v>OK</v>
      </c>
    </row>
    <row r="1450" spans="1:25" x14ac:dyDescent="0.2">
      <c r="A1450" t="s">
        <v>1680</v>
      </c>
      <c r="B1450" t="s">
        <v>1681</v>
      </c>
      <c r="C1450" s="2">
        <v>46321</v>
      </c>
      <c r="D1450" t="s">
        <v>53</v>
      </c>
      <c r="E1450" t="s">
        <v>28</v>
      </c>
      <c r="F1450" t="s">
        <v>97</v>
      </c>
      <c r="G1450" t="s">
        <v>55</v>
      </c>
      <c r="H1450">
        <v>645</v>
      </c>
      <c r="I1450">
        <v>640</v>
      </c>
      <c r="J1450">
        <v>5</v>
      </c>
      <c r="K1450">
        <v>19.260000000000002</v>
      </c>
      <c r="L1450">
        <v>19.71</v>
      </c>
      <c r="M1450">
        <v>211.83</v>
      </c>
      <c r="N1450">
        <f>_xlfn.XLOOKUP(Table13[[#This Row],[Production_Order_ID]],[1]Sheet1!$A$2:$A$391,[1]Sheet1!$F$2:$F$391,"No Match")</f>
        <v>470</v>
      </c>
      <c r="O1450" s="3">
        <f>Table13[[#This Row],[Good_Qty]]/Table13[[#This Row],[Planned_Production]]</f>
        <v>1.3617021276595744</v>
      </c>
      <c r="P1450" t="str">
        <f>IF(Table13[[#This Row],[Good_Qty]]&gt;=Table13[[#This Row],[Planned_Production]],"Met","Not Met")</f>
        <v>Met</v>
      </c>
      <c r="Q1450">
        <f>Table13[[#This Row],[Good_Qty]]-Table13[[#This Row],[Planned_Production]]</f>
        <v>170</v>
      </c>
      <c r="R1450" s="3">
        <f>IF(Table13[[#This Row],[Actual_Qty]]=0,0,Table13[[#This Row],[Reject_Qty]]/Table13[[#This Row],[Actual_Qty]])</f>
        <v>7.7519379844961239E-3</v>
      </c>
      <c r="S1450">
        <v>442.76</v>
      </c>
      <c r="T1450">
        <f>(Table13[[#This Row],[Ideal_Cycle_Time_sec]]*Table13[[#This Row],[Actual_Qty]])/(Table13[[#This Row],[Operational_Time_min]]*60)</f>
        <v>0.46762354322883737</v>
      </c>
      <c r="U1450">
        <f>Table13[[#This Row],[Good_Qty]]/Table13[[#This Row],[Actual_Qty]]</f>
        <v>0.99224806201550386</v>
      </c>
      <c r="V1450" t="str">
        <f>IF(OR(Table13[[#This Row],[Performance_%]]&gt;=1,Table13[[#This Row],[Performance_%]]&lt;=0),"Error","OK")</f>
        <v>OK</v>
      </c>
      <c r="W1450" t="str">
        <f>IF(OR(Table13[[#This Row],[Quality_%]]&gt;=1,Table13[[#This Row],[Quality_%]]&lt;=0),"Error","OK")</f>
        <v>OK</v>
      </c>
      <c r="X1450">
        <f>Table13[[#This Row],[Performance_%]]*Table13[[#This Row],[Quality_%]]*[2]Availability_KPI!K1450</f>
        <v>0.4565333333333334</v>
      </c>
      <c r="Y1450" t="str">
        <f>IF(OR(Table13[[#This Row],[OEE_%]]&gt;1,Table13[[#This Row],[OEE_%]]&lt;0),"Error","OK")</f>
        <v>OK</v>
      </c>
    </row>
    <row r="1451" spans="1:25" x14ac:dyDescent="0.2">
      <c r="A1451" t="s">
        <v>1682</v>
      </c>
      <c r="B1451" t="s">
        <v>1681</v>
      </c>
      <c r="C1451" s="2">
        <v>46321</v>
      </c>
      <c r="D1451" t="s">
        <v>53</v>
      </c>
      <c r="E1451" t="s">
        <v>32</v>
      </c>
      <c r="F1451" t="s">
        <v>97</v>
      </c>
      <c r="G1451" t="s">
        <v>44</v>
      </c>
      <c r="H1451">
        <v>639</v>
      </c>
      <c r="I1451">
        <v>634</v>
      </c>
      <c r="J1451">
        <v>5</v>
      </c>
      <c r="K1451">
        <v>21.4</v>
      </c>
      <c r="L1451">
        <v>21.55</v>
      </c>
      <c r="M1451">
        <v>229.51</v>
      </c>
      <c r="N1451">
        <f>_xlfn.XLOOKUP(Table13[[#This Row],[Production_Order_ID]],[1]Sheet1!$A$2:$A$391,[1]Sheet1!$F$2:$F$391,"No Match")</f>
        <v>470</v>
      </c>
      <c r="O1451" s="3">
        <f>Table13[[#This Row],[Good_Qty]]/Table13[[#This Row],[Planned_Production]]</f>
        <v>1.348936170212766</v>
      </c>
      <c r="P1451" t="str">
        <f>IF(Table13[[#This Row],[Good_Qty]]&gt;=Table13[[#This Row],[Planned_Production]],"Met","Not Met")</f>
        <v>Met</v>
      </c>
      <c r="Q1451">
        <f>Table13[[#This Row],[Good_Qty]]-Table13[[#This Row],[Planned_Production]]</f>
        <v>164</v>
      </c>
      <c r="R1451" s="3">
        <f>IF(Table13[[#This Row],[Actual_Qty]]=0,0,Table13[[#This Row],[Reject_Qty]]/Table13[[#This Row],[Actual_Qty]])</f>
        <v>7.8247261345852897E-3</v>
      </c>
      <c r="S1451">
        <v>436.15</v>
      </c>
      <c r="T1451">
        <f>(Table13[[#This Row],[Ideal_Cycle_Time_sec]]*Table13[[#This Row],[Actual_Qty]])/(Table13[[#This Row],[Operational_Time_min]]*60)</f>
        <v>0.52254958156597497</v>
      </c>
      <c r="U1451">
        <f>Table13[[#This Row],[Good_Qty]]/Table13[[#This Row],[Actual_Qty]]</f>
        <v>0.99217527386541471</v>
      </c>
      <c r="V1451" t="str">
        <f>IF(OR(Table13[[#This Row],[Performance_%]]&gt;=1,Table13[[#This Row],[Performance_%]]&lt;=0),"Error","OK")</f>
        <v>OK</v>
      </c>
      <c r="W1451" t="str">
        <f>IF(OR(Table13[[#This Row],[Quality_%]]&gt;=1,Table13[[#This Row],[Quality_%]]&lt;=0),"Error","OK")</f>
        <v>OK</v>
      </c>
      <c r="X1451">
        <f>Table13[[#This Row],[Performance_%]]*Table13[[#This Row],[Quality_%]]*[2]Availability_KPI!K1451</f>
        <v>0.50250370370370367</v>
      </c>
      <c r="Y1451" t="str">
        <f>IF(OR(Table13[[#This Row],[OEE_%]]&gt;1,Table13[[#This Row],[OEE_%]]&lt;0),"Error","OK")</f>
        <v>OK</v>
      </c>
    </row>
    <row r="1452" spans="1:25" x14ac:dyDescent="0.2">
      <c r="A1452" t="s">
        <v>1683</v>
      </c>
      <c r="B1452" t="s">
        <v>1681</v>
      </c>
      <c r="C1452" s="2">
        <v>46321</v>
      </c>
      <c r="D1452" t="s">
        <v>53</v>
      </c>
      <c r="E1452" t="s">
        <v>35</v>
      </c>
      <c r="F1452" t="s">
        <v>97</v>
      </c>
      <c r="G1452" t="s">
        <v>50</v>
      </c>
      <c r="H1452">
        <v>639</v>
      </c>
      <c r="I1452">
        <v>636</v>
      </c>
      <c r="J1452">
        <v>3</v>
      </c>
      <c r="K1452">
        <v>23.54</v>
      </c>
      <c r="L1452">
        <v>24.76</v>
      </c>
      <c r="M1452">
        <v>263.68</v>
      </c>
      <c r="N1452">
        <f>_xlfn.XLOOKUP(Table13[[#This Row],[Production_Order_ID]],[1]Sheet1!$A$2:$A$391,[1]Sheet1!$F$2:$F$391,"No Match")</f>
        <v>470</v>
      </c>
      <c r="O1452" s="3">
        <f>Table13[[#This Row],[Good_Qty]]/Table13[[#This Row],[Planned_Production]]</f>
        <v>1.3531914893617021</v>
      </c>
      <c r="P1452" t="str">
        <f>IF(Table13[[#This Row],[Good_Qty]]&gt;=Table13[[#This Row],[Planned_Production]],"Met","Not Met")</f>
        <v>Met</v>
      </c>
      <c r="Q1452">
        <f>Table13[[#This Row],[Good_Qty]]-Table13[[#This Row],[Planned_Production]]</f>
        <v>166</v>
      </c>
      <c r="R1452" s="3">
        <f>IF(Table13[[#This Row],[Actual_Qty]]=0,0,Table13[[#This Row],[Reject_Qty]]/Table13[[#This Row],[Actual_Qty]])</f>
        <v>4.6948356807511738E-3</v>
      </c>
      <c r="S1452">
        <v>429.93</v>
      </c>
      <c r="T1452">
        <f>(Table13[[#This Row],[Ideal_Cycle_Time_sec]]*Table13[[#This Row],[Actual_Qty]])/(Table13[[#This Row],[Operational_Time_min]]*60)</f>
        <v>0.58312050798967274</v>
      </c>
      <c r="U1452">
        <f>Table13[[#This Row],[Good_Qty]]/Table13[[#This Row],[Actual_Qty]]</f>
        <v>0.99530516431924887</v>
      </c>
      <c r="V1452" t="str">
        <f>IF(OR(Table13[[#This Row],[Performance_%]]&gt;=1,Table13[[#This Row],[Performance_%]]&lt;=0),"Error","OK")</f>
        <v>OK</v>
      </c>
      <c r="W1452" t="str">
        <f>IF(OR(Table13[[#This Row],[Quality_%]]&gt;=1,Table13[[#This Row],[Quality_%]]&lt;=0),"Error","OK")</f>
        <v>OK</v>
      </c>
      <c r="X1452">
        <f>Table13[[#This Row],[Performance_%]]*Table13[[#This Row],[Quality_%]]*[2]Availability_KPI!K1452</f>
        <v>0.55449777777777776</v>
      </c>
      <c r="Y1452" t="str">
        <f>IF(OR(Table13[[#This Row],[OEE_%]]&gt;1,Table13[[#This Row],[OEE_%]]&lt;0),"Error","OK")</f>
        <v>OK</v>
      </c>
    </row>
    <row r="1453" spans="1:25" x14ac:dyDescent="0.2">
      <c r="A1453" t="s">
        <v>1684</v>
      </c>
      <c r="B1453" t="s">
        <v>1681</v>
      </c>
      <c r="C1453" s="2">
        <v>46321</v>
      </c>
      <c r="D1453" t="s">
        <v>53</v>
      </c>
      <c r="E1453" t="s">
        <v>38</v>
      </c>
      <c r="F1453" t="s">
        <v>97</v>
      </c>
      <c r="G1453" t="s">
        <v>36</v>
      </c>
      <c r="H1453">
        <v>655</v>
      </c>
      <c r="I1453">
        <v>651</v>
      </c>
      <c r="J1453">
        <v>4</v>
      </c>
      <c r="K1453">
        <v>21.4</v>
      </c>
      <c r="L1453">
        <v>23.22</v>
      </c>
      <c r="M1453">
        <v>253.45</v>
      </c>
      <c r="N1453">
        <f>_xlfn.XLOOKUP(Table13[[#This Row],[Production_Order_ID]],[1]Sheet1!$A$2:$A$391,[1]Sheet1!$F$2:$F$391,"No Match")</f>
        <v>470</v>
      </c>
      <c r="O1453" s="3">
        <f>Table13[[#This Row],[Good_Qty]]/Table13[[#This Row],[Planned_Production]]</f>
        <v>1.3851063829787233</v>
      </c>
      <c r="P1453" t="str">
        <f>IF(Table13[[#This Row],[Good_Qty]]&gt;=Table13[[#This Row],[Planned_Production]],"Met","Not Met")</f>
        <v>Met</v>
      </c>
      <c r="Q1453">
        <f>Table13[[#This Row],[Good_Qty]]-Table13[[#This Row],[Planned_Production]]</f>
        <v>181</v>
      </c>
      <c r="R1453" s="3">
        <f>IF(Table13[[#This Row],[Actual_Qty]]=0,0,Table13[[#This Row],[Reject_Qty]]/Table13[[#This Row],[Actual_Qty]])</f>
        <v>6.1068702290076335E-3</v>
      </c>
      <c r="S1453">
        <v>440.11</v>
      </c>
      <c r="T1453">
        <f>(Table13[[#This Row],[Ideal_Cycle_Time_sec]]*Table13[[#This Row],[Actual_Qty]])/(Table13[[#This Row],[Operational_Time_min]]*60)</f>
        <v>0.53081426613043703</v>
      </c>
      <c r="U1453">
        <f>Table13[[#This Row],[Good_Qty]]/Table13[[#This Row],[Actual_Qty]]</f>
        <v>0.99389312977099231</v>
      </c>
      <c r="V1453" t="str">
        <f>IF(OR(Table13[[#This Row],[Performance_%]]&gt;=1,Table13[[#This Row],[Performance_%]]&lt;=0),"Error","OK")</f>
        <v>OK</v>
      </c>
      <c r="W1453" t="str">
        <f>IF(OR(Table13[[#This Row],[Quality_%]]&gt;=1,Table13[[#This Row],[Quality_%]]&lt;=0),"Error","OK")</f>
        <v>OK</v>
      </c>
      <c r="X1453">
        <f>Table13[[#This Row],[Performance_%]]*Table13[[#This Row],[Quality_%]]*[2]Availability_KPI!K1453</f>
        <v>0.51597777777777776</v>
      </c>
      <c r="Y1453" t="str">
        <f>IF(OR(Table13[[#This Row],[OEE_%]]&gt;1,Table13[[#This Row],[OEE_%]]&lt;0),"Error","OK")</f>
        <v>OK</v>
      </c>
    </row>
    <row r="1454" spans="1:25" x14ac:dyDescent="0.2">
      <c r="A1454" t="s">
        <v>1685</v>
      </c>
      <c r="B1454" t="s">
        <v>1681</v>
      </c>
      <c r="C1454" s="2">
        <v>46321</v>
      </c>
      <c r="D1454" t="s">
        <v>53</v>
      </c>
      <c r="E1454" t="s">
        <v>41</v>
      </c>
      <c r="F1454" t="s">
        <v>97</v>
      </c>
      <c r="G1454" t="s">
        <v>55</v>
      </c>
      <c r="H1454">
        <v>637</v>
      </c>
      <c r="I1454">
        <v>631</v>
      </c>
      <c r="J1454">
        <v>6</v>
      </c>
      <c r="K1454">
        <v>19.260000000000002</v>
      </c>
      <c r="L1454">
        <v>20.54</v>
      </c>
      <c r="M1454">
        <v>218.09</v>
      </c>
      <c r="N1454">
        <f>_xlfn.XLOOKUP(Table13[[#This Row],[Production_Order_ID]],[1]Sheet1!$A$2:$A$391,[1]Sheet1!$F$2:$F$391,"No Match")</f>
        <v>470</v>
      </c>
      <c r="O1454" s="3">
        <f>Table13[[#This Row],[Good_Qty]]/Table13[[#This Row],[Planned_Production]]</f>
        <v>1.3425531914893618</v>
      </c>
      <c r="P1454" t="str">
        <f>IF(Table13[[#This Row],[Good_Qty]]&gt;=Table13[[#This Row],[Planned_Production]],"Met","Not Met")</f>
        <v>Met</v>
      </c>
      <c r="Q1454">
        <f>Table13[[#This Row],[Good_Qty]]-Table13[[#This Row],[Planned_Production]]</f>
        <v>161</v>
      </c>
      <c r="R1454" s="3">
        <f>IF(Table13[[#This Row],[Actual_Qty]]=0,0,Table13[[#This Row],[Reject_Qty]]/Table13[[#This Row],[Actual_Qty]])</f>
        <v>9.4191522762951327E-3</v>
      </c>
      <c r="S1454">
        <v>436.5</v>
      </c>
      <c r="T1454">
        <f>(Table13[[#This Row],[Ideal_Cycle_Time_sec]]*Table13[[#This Row],[Actual_Qty]])/(Table13[[#This Row],[Operational_Time_min]]*60)</f>
        <v>0.46844673539518905</v>
      </c>
      <c r="U1454">
        <f>Table13[[#This Row],[Good_Qty]]/Table13[[#This Row],[Actual_Qty]]</f>
        <v>0.99058084772370492</v>
      </c>
      <c r="V1454" t="str">
        <f>IF(OR(Table13[[#This Row],[Performance_%]]&gt;=1,Table13[[#This Row],[Performance_%]]&lt;=0),"Error","OK")</f>
        <v>OK</v>
      </c>
      <c r="W1454" t="str">
        <f>IF(OR(Table13[[#This Row],[Quality_%]]&gt;=1,Table13[[#This Row],[Quality_%]]&lt;=0),"Error","OK")</f>
        <v>OK</v>
      </c>
      <c r="X1454">
        <f>Table13[[#This Row],[Performance_%]]*Table13[[#This Row],[Quality_%]]*[2]Availability_KPI!K1454</f>
        <v>0.45011333333333337</v>
      </c>
      <c r="Y1454" t="str">
        <f>IF(OR(Table13[[#This Row],[OEE_%]]&gt;1,Table13[[#This Row],[OEE_%]]&lt;0),"Error","OK")</f>
        <v>OK</v>
      </c>
    </row>
    <row r="1455" spans="1:25" x14ac:dyDescent="0.2">
      <c r="A1455" t="s">
        <v>1686</v>
      </c>
      <c r="B1455" t="s">
        <v>1681</v>
      </c>
      <c r="C1455" s="2">
        <v>46321</v>
      </c>
      <c r="D1455" t="s">
        <v>53</v>
      </c>
      <c r="E1455" t="s">
        <v>43</v>
      </c>
      <c r="F1455" t="s">
        <v>97</v>
      </c>
      <c r="G1455" t="s">
        <v>55</v>
      </c>
      <c r="H1455">
        <v>636</v>
      </c>
      <c r="I1455">
        <v>626</v>
      </c>
      <c r="J1455">
        <v>10</v>
      </c>
      <c r="K1455">
        <v>34.24</v>
      </c>
      <c r="L1455">
        <v>37.5</v>
      </c>
      <c r="M1455">
        <v>397.45</v>
      </c>
      <c r="N1455">
        <f>_xlfn.XLOOKUP(Table13[[#This Row],[Production_Order_ID]],[1]Sheet1!$A$2:$A$391,[1]Sheet1!$F$2:$F$391,"No Match")</f>
        <v>470</v>
      </c>
      <c r="O1455" s="3">
        <f>Table13[[#This Row],[Good_Qty]]/Table13[[#This Row],[Planned_Production]]</f>
        <v>1.3319148936170213</v>
      </c>
      <c r="P1455" t="str">
        <f>IF(Table13[[#This Row],[Good_Qty]]&gt;=Table13[[#This Row],[Planned_Production]],"Met","Not Met")</f>
        <v>Met</v>
      </c>
      <c r="Q1455">
        <f>Table13[[#This Row],[Good_Qty]]-Table13[[#This Row],[Planned_Production]]</f>
        <v>156</v>
      </c>
      <c r="R1455" s="3">
        <f>IF(Table13[[#This Row],[Actual_Qty]]=0,0,Table13[[#This Row],[Reject_Qty]]/Table13[[#This Row],[Actual_Qty]])</f>
        <v>1.5723270440251572E-2</v>
      </c>
      <c r="S1455">
        <v>413.28</v>
      </c>
      <c r="T1455">
        <f>(Table13[[#This Row],[Ideal_Cycle_Time_sec]]*Table13[[#This Row],[Actual_Qty]])/(Table13[[#This Row],[Operational_Time_min]]*60)</f>
        <v>0.87820363917924904</v>
      </c>
      <c r="U1455">
        <f>Table13[[#This Row],[Good_Qty]]/Table13[[#This Row],[Actual_Qty]]</f>
        <v>0.98427672955974843</v>
      </c>
      <c r="V1455" t="str">
        <f>IF(OR(Table13[[#This Row],[Performance_%]]&gt;=1,Table13[[#This Row],[Performance_%]]&lt;=0),"Error","OK")</f>
        <v>OK</v>
      </c>
      <c r="W1455" t="str">
        <f>IF(OR(Table13[[#This Row],[Quality_%]]&gt;=1,Table13[[#This Row],[Quality_%]]&lt;=0),"Error","OK")</f>
        <v>OK</v>
      </c>
      <c r="X1455">
        <f>Table13[[#This Row],[Performance_%]]*Table13[[#This Row],[Quality_%]]*[2]Availability_KPI!K1455</f>
        <v>0.79386074074074087</v>
      </c>
      <c r="Y1455" t="str">
        <f>IF(OR(Table13[[#This Row],[OEE_%]]&gt;1,Table13[[#This Row],[OEE_%]]&lt;0),"Error","OK")</f>
        <v>OK</v>
      </c>
    </row>
    <row r="1456" spans="1:25" x14ac:dyDescent="0.2">
      <c r="A1456" t="s">
        <v>1687</v>
      </c>
      <c r="B1456" t="s">
        <v>1681</v>
      </c>
      <c r="C1456" s="2">
        <v>46321</v>
      </c>
      <c r="D1456" t="s">
        <v>53</v>
      </c>
      <c r="E1456" t="s">
        <v>46</v>
      </c>
      <c r="F1456" t="s">
        <v>97</v>
      </c>
      <c r="G1456" t="s">
        <v>47</v>
      </c>
      <c r="H1456">
        <v>639</v>
      </c>
      <c r="I1456">
        <v>632</v>
      </c>
      <c r="J1456">
        <v>7</v>
      </c>
      <c r="K1456">
        <v>26.75</v>
      </c>
      <c r="L1456">
        <v>29.35</v>
      </c>
      <c r="M1456">
        <v>312.54000000000002</v>
      </c>
      <c r="N1456">
        <f>_xlfn.XLOOKUP(Table13[[#This Row],[Production_Order_ID]],[1]Sheet1!$A$2:$A$391,[1]Sheet1!$F$2:$F$391,"No Match")</f>
        <v>470</v>
      </c>
      <c r="O1456" s="3">
        <f>Table13[[#This Row],[Good_Qty]]/Table13[[#This Row],[Planned_Production]]</f>
        <v>1.3446808510638297</v>
      </c>
      <c r="P1456" t="str">
        <f>IF(Table13[[#This Row],[Good_Qty]]&gt;=Table13[[#This Row],[Planned_Production]],"Met","Not Met")</f>
        <v>Met</v>
      </c>
      <c r="Q1456">
        <f>Table13[[#This Row],[Good_Qty]]-Table13[[#This Row],[Planned_Production]]</f>
        <v>162</v>
      </c>
      <c r="R1456" s="3">
        <f>IF(Table13[[#This Row],[Actual_Qty]]=0,0,Table13[[#This Row],[Reject_Qty]]/Table13[[#This Row],[Actual_Qty]])</f>
        <v>1.0954616588419406E-2</v>
      </c>
      <c r="S1456">
        <v>424.67</v>
      </c>
      <c r="T1456">
        <f>(Table13[[#This Row],[Ideal_Cycle_Time_sec]]*Table13[[#This Row],[Actual_Qty]])/(Table13[[#This Row],[Operational_Time_min]]*60)</f>
        <v>0.67084442037346648</v>
      </c>
      <c r="U1456">
        <f>Table13[[#This Row],[Good_Qty]]/Table13[[#This Row],[Actual_Qty]]</f>
        <v>0.98904538341158055</v>
      </c>
      <c r="V1456" t="str">
        <f>IF(OR(Table13[[#This Row],[Performance_%]]&gt;=1,Table13[[#This Row],[Performance_%]]&lt;=0),"Error","OK")</f>
        <v>OK</v>
      </c>
      <c r="W1456" t="str">
        <f>IF(OR(Table13[[#This Row],[Quality_%]]&gt;=1,Table13[[#This Row],[Quality_%]]&lt;=0),"Error","OK")</f>
        <v>OK</v>
      </c>
      <c r="X1456">
        <f>Table13[[#This Row],[Performance_%]]*Table13[[#This Row],[Quality_%]]*[2]Availability_KPI!K1456</f>
        <v>0.62614814814814823</v>
      </c>
      <c r="Y1456" t="str">
        <f>IF(OR(Table13[[#This Row],[OEE_%]]&gt;1,Table13[[#This Row],[OEE_%]]&lt;0),"Error","OK")</f>
        <v>OK</v>
      </c>
    </row>
    <row r="1457" spans="1:25" x14ac:dyDescent="0.2">
      <c r="A1457" t="s">
        <v>1688</v>
      </c>
      <c r="B1457" t="s">
        <v>1681</v>
      </c>
      <c r="C1457" s="2">
        <v>46321</v>
      </c>
      <c r="D1457" t="s">
        <v>53</v>
      </c>
      <c r="E1457" t="s">
        <v>49</v>
      </c>
      <c r="F1457" t="s">
        <v>97</v>
      </c>
      <c r="G1457" t="s">
        <v>39</v>
      </c>
      <c r="H1457">
        <v>659</v>
      </c>
      <c r="I1457">
        <v>655</v>
      </c>
      <c r="J1457">
        <v>4</v>
      </c>
      <c r="K1457">
        <v>21.4</v>
      </c>
      <c r="L1457">
        <v>21.98</v>
      </c>
      <c r="M1457">
        <v>241.41</v>
      </c>
      <c r="N1457">
        <f>_xlfn.XLOOKUP(Table13[[#This Row],[Production_Order_ID]],[1]Sheet1!$A$2:$A$391,[1]Sheet1!$F$2:$F$391,"No Match")</f>
        <v>470</v>
      </c>
      <c r="O1457" s="3">
        <f>Table13[[#This Row],[Good_Qty]]/Table13[[#This Row],[Planned_Production]]</f>
        <v>1.3936170212765957</v>
      </c>
      <c r="P1457" t="str">
        <f>IF(Table13[[#This Row],[Good_Qty]]&gt;=Table13[[#This Row],[Planned_Production]],"Met","Not Met")</f>
        <v>Met</v>
      </c>
      <c r="Q1457">
        <f>Table13[[#This Row],[Good_Qty]]-Table13[[#This Row],[Planned_Production]]</f>
        <v>185</v>
      </c>
      <c r="R1457" s="3">
        <f>IF(Table13[[#This Row],[Actual_Qty]]=0,0,Table13[[#This Row],[Reject_Qty]]/Table13[[#This Row],[Actual_Qty]])</f>
        <v>6.0698027314112293E-3</v>
      </c>
      <c r="S1457">
        <v>438.96</v>
      </c>
      <c r="T1457">
        <f>(Table13[[#This Row],[Ideal_Cycle_Time_sec]]*Table13[[#This Row],[Actual_Qty]])/(Table13[[#This Row],[Operational_Time_min]]*60)</f>
        <v>0.53545501488366443</v>
      </c>
      <c r="U1457">
        <f>Table13[[#This Row],[Good_Qty]]/Table13[[#This Row],[Actual_Qty]]</f>
        <v>0.99393019726858878</v>
      </c>
      <c r="V1457" t="str">
        <f>IF(OR(Table13[[#This Row],[Performance_%]]&gt;=1,Table13[[#This Row],[Performance_%]]&lt;=0),"Error","OK")</f>
        <v>OK</v>
      </c>
      <c r="W1457" t="str">
        <f>IF(OR(Table13[[#This Row],[Quality_%]]&gt;=1,Table13[[#This Row],[Quality_%]]&lt;=0),"Error","OK")</f>
        <v>OK</v>
      </c>
      <c r="X1457">
        <f>Table13[[#This Row],[Performance_%]]*Table13[[#This Row],[Quality_%]]*[2]Availability_KPI!K1457</f>
        <v>0.51914814814814814</v>
      </c>
      <c r="Y1457" t="str">
        <f>IF(OR(Table13[[#This Row],[OEE_%]]&gt;1,Table13[[#This Row],[OEE_%]]&lt;0),"Error","OK")</f>
        <v>OK</v>
      </c>
    </row>
    <row r="1458" spans="1:25" x14ac:dyDescent="0.2">
      <c r="A1458" t="s">
        <v>1689</v>
      </c>
      <c r="B1458" t="s">
        <v>1690</v>
      </c>
      <c r="C1458" s="2">
        <v>46321</v>
      </c>
      <c r="D1458" t="s">
        <v>67</v>
      </c>
      <c r="E1458" t="s">
        <v>28</v>
      </c>
      <c r="F1458" t="s">
        <v>97</v>
      </c>
      <c r="G1458" t="s">
        <v>39</v>
      </c>
      <c r="H1458">
        <v>637</v>
      </c>
      <c r="I1458">
        <v>632</v>
      </c>
      <c r="J1458">
        <v>5</v>
      </c>
      <c r="K1458">
        <v>19.260000000000002</v>
      </c>
      <c r="L1458">
        <v>19.600000000000001</v>
      </c>
      <c r="M1458">
        <v>208.06</v>
      </c>
      <c r="N1458">
        <f>_xlfn.XLOOKUP(Table13[[#This Row],[Production_Order_ID]],[1]Sheet1!$A$2:$A$391,[1]Sheet1!$F$2:$F$391,"No Match")</f>
        <v>510</v>
      </c>
      <c r="O1458" s="3">
        <f>Table13[[#This Row],[Good_Qty]]/Table13[[#This Row],[Planned_Production]]</f>
        <v>1.2392156862745098</v>
      </c>
      <c r="P1458" t="str">
        <f>IF(Table13[[#This Row],[Good_Qty]]&gt;=Table13[[#This Row],[Planned_Production]],"Met","Not Met")</f>
        <v>Met</v>
      </c>
      <c r="Q1458">
        <f>Table13[[#This Row],[Good_Qty]]-Table13[[#This Row],[Planned_Production]]</f>
        <v>122</v>
      </c>
      <c r="R1458" s="3">
        <f>IF(Table13[[#This Row],[Actual_Qty]]=0,0,Table13[[#This Row],[Reject_Qty]]/Table13[[#This Row],[Actual_Qty]])</f>
        <v>7.8492935635792772E-3</v>
      </c>
      <c r="S1458">
        <v>442.9</v>
      </c>
      <c r="T1458">
        <f>(Table13[[#This Row],[Ideal_Cycle_Time_sec]]*Table13[[#This Row],[Actual_Qty]])/(Table13[[#This Row],[Operational_Time_min]]*60)</f>
        <v>0.46167757958907207</v>
      </c>
      <c r="U1458">
        <f>Table13[[#This Row],[Good_Qty]]/Table13[[#This Row],[Actual_Qty]]</f>
        <v>0.99215070643642067</v>
      </c>
      <c r="V1458" t="str">
        <f>IF(OR(Table13[[#This Row],[Performance_%]]&gt;=1,Table13[[#This Row],[Performance_%]]&lt;=0),"Error","OK")</f>
        <v>OK</v>
      </c>
      <c r="W1458" t="str">
        <f>IF(OR(Table13[[#This Row],[Quality_%]]&gt;=1,Table13[[#This Row],[Quality_%]]&lt;=0),"Error","OK")</f>
        <v>OK</v>
      </c>
      <c r="X1458">
        <f>Table13[[#This Row],[Performance_%]]*Table13[[#This Row],[Quality_%]]*[2]Availability_KPI!K1458</f>
        <v>0.45082666666666671</v>
      </c>
      <c r="Y1458" t="str">
        <f>IF(OR(Table13[[#This Row],[OEE_%]]&gt;1,Table13[[#This Row],[OEE_%]]&lt;0),"Error","OK")</f>
        <v>OK</v>
      </c>
    </row>
    <row r="1459" spans="1:25" x14ac:dyDescent="0.2">
      <c r="A1459" t="s">
        <v>1691</v>
      </c>
      <c r="B1459" t="s">
        <v>1690</v>
      </c>
      <c r="C1459" s="2">
        <v>46321</v>
      </c>
      <c r="D1459" t="s">
        <v>67</v>
      </c>
      <c r="E1459" t="s">
        <v>32</v>
      </c>
      <c r="F1459" t="s">
        <v>97</v>
      </c>
      <c r="G1459" t="s">
        <v>50</v>
      </c>
      <c r="H1459">
        <v>633</v>
      </c>
      <c r="I1459">
        <v>628</v>
      </c>
      <c r="J1459">
        <v>5</v>
      </c>
      <c r="K1459">
        <v>21.4</v>
      </c>
      <c r="L1459">
        <v>22.89</v>
      </c>
      <c r="M1459">
        <v>241.47</v>
      </c>
      <c r="N1459">
        <f>_xlfn.XLOOKUP(Table13[[#This Row],[Production_Order_ID]],[1]Sheet1!$A$2:$A$391,[1]Sheet1!$F$2:$F$391,"No Match")</f>
        <v>510</v>
      </c>
      <c r="O1459" s="3">
        <f>Table13[[#This Row],[Good_Qty]]/Table13[[#This Row],[Planned_Production]]</f>
        <v>1.2313725490196079</v>
      </c>
      <c r="P1459" t="str">
        <f>IF(Table13[[#This Row],[Good_Qty]]&gt;=Table13[[#This Row],[Planned_Production]],"Met","Not Met")</f>
        <v>Met</v>
      </c>
      <c r="Q1459">
        <f>Table13[[#This Row],[Good_Qty]]-Table13[[#This Row],[Planned_Production]]</f>
        <v>118</v>
      </c>
      <c r="R1459" s="3">
        <f>IF(Table13[[#This Row],[Actual_Qty]]=0,0,Table13[[#This Row],[Reject_Qty]]/Table13[[#This Row],[Actual_Qty]])</f>
        <v>7.8988941548183249E-3</v>
      </c>
      <c r="S1459">
        <v>435.77</v>
      </c>
      <c r="T1459">
        <f>(Table13[[#This Row],[Ideal_Cycle_Time_sec]]*Table13[[#This Row],[Actual_Qty]])/(Table13[[#This Row],[Operational_Time_min]]*60)</f>
        <v>0.51809440760033965</v>
      </c>
      <c r="U1459">
        <f>Table13[[#This Row],[Good_Qty]]/Table13[[#This Row],[Actual_Qty]]</f>
        <v>0.99210110584518163</v>
      </c>
      <c r="V1459" t="str">
        <f>IF(OR(Table13[[#This Row],[Performance_%]]&gt;=1,Table13[[#This Row],[Performance_%]]&lt;=0),"Error","OK")</f>
        <v>OK</v>
      </c>
      <c r="W1459" t="str">
        <f>IF(OR(Table13[[#This Row],[Quality_%]]&gt;=1,Table13[[#This Row],[Quality_%]]&lt;=0),"Error","OK")</f>
        <v>OK</v>
      </c>
      <c r="X1459">
        <f>Table13[[#This Row],[Performance_%]]*Table13[[#This Row],[Quality_%]]*[2]Availability_KPI!K1459</f>
        <v>0.49774814814814816</v>
      </c>
      <c r="Y1459" t="str">
        <f>IF(OR(Table13[[#This Row],[OEE_%]]&gt;1,Table13[[#This Row],[OEE_%]]&lt;0),"Error","OK")</f>
        <v>OK</v>
      </c>
    </row>
    <row r="1460" spans="1:25" x14ac:dyDescent="0.2">
      <c r="A1460" t="s">
        <v>1692</v>
      </c>
      <c r="B1460" t="s">
        <v>1690</v>
      </c>
      <c r="C1460" s="2">
        <v>46321</v>
      </c>
      <c r="D1460" t="s">
        <v>67</v>
      </c>
      <c r="E1460" t="s">
        <v>35</v>
      </c>
      <c r="F1460" t="s">
        <v>97</v>
      </c>
      <c r="G1460" t="s">
        <v>33</v>
      </c>
      <c r="H1460">
        <v>625</v>
      </c>
      <c r="I1460">
        <v>619</v>
      </c>
      <c r="J1460">
        <v>6</v>
      </c>
      <c r="K1460">
        <v>23.54</v>
      </c>
      <c r="L1460">
        <v>25.21</v>
      </c>
      <c r="M1460">
        <v>262.58999999999997</v>
      </c>
      <c r="N1460">
        <f>_xlfn.XLOOKUP(Table13[[#This Row],[Production_Order_ID]],[1]Sheet1!$A$2:$A$391,[1]Sheet1!$F$2:$F$391,"No Match")</f>
        <v>510</v>
      </c>
      <c r="O1460" s="3">
        <f>Table13[[#This Row],[Good_Qty]]/Table13[[#This Row],[Planned_Production]]</f>
        <v>1.2137254901960783</v>
      </c>
      <c r="P1460" t="str">
        <f>IF(Table13[[#This Row],[Good_Qty]]&gt;=Table13[[#This Row],[Planned_Production]],"Met","Not Met")</f>
        <v>Met</v>
      </c>
      <c r="Q1460">
        <f>Table13[[#This Row],[Good_Qty]]-Table13[[#This Row],[Planned_Production]]</f>
        <v>109</v>
      </c>
      <c r="R1460" s="3">
        <f>IF(Table13[[#This Row],[Actual_Qty]]=0,0,Table13[[#This Row],[Reject_Qty]]/Table13[[#This Row],[Actual_Qty]])</f>
        <v>9.5999999999999992E-3</v>
      </c>
      <c r="S1460">
        <v>431.6</v>
      </c>
      <c r="T1460">
        <f>(Table13[[#This Row],[Ideal_Cycle_Time_sec]]*Table13[[#This Row],[Actual_Qty]])/(Table13[[#This Row],[Operational_Time_min]]*60)</f>
        <v>0.56813793636082788</v>
      </c>
      <c r="U1460">
        <f>Table13[[#This Row],[Good_Qty]]/Table13[[#This Row],[Actual_Qty]]</f>
        <v>0.99039999999999995</v>
      </c>
      <c r="V1460" t="str">
        <f>IF(OR(Table13[[#This Row],[Performance_%]]&gt;=1,Table13[[#This Row],[Performance_%]]&lt;=0),"Error","OK")</f>
        <v>OK</v>
      </c>
      <c r="W1460" t="str">
        <f>IF(OR(Table13[[#This Row],[Quality_%]]&gt;=1,Table13[[#This Row],[Quality_%]]&lt;=0),"Error","OK")</f>
        <v>OK</v>
      </c>
      <c r="X1460">
        <f>Table13[[#This Row],[Performance_%]]*Table13[[#This Row],[Quality_%]]*[2]Availability_KPI!K1460</f>
        <v>0.53967629629629621</v>
      </c>
      <c r="Y1460" t="str">
        <f>IF(OR(Table13[[#This Row],[OEE_%]]&gt;1,Table13[[#This Row],[OEE_%]]&lt;0),"Error","OK")</f>
        <v>OK</v>
      </c>
    </row>
    <row r="1461" spans="1:25" x14ac:dyDescent="0.2">
      <c r="A1461" t="s">
        <v>1693</v>
      </c>
      <c r="B1461" t="s">
        <v>1690</v>
      </c>
      <c r="C1461" s="2">
        <v>46321</v>
      </c>
      <c r="D1461" t="s">
        <v>67</v>
      </c>
      <c r="E1461" t="s">
        <v>38</v>
      </c>
      <c r="F1461" t="s">
        <v>97</v>
      </c>
      <c r="G1461" t="s">
        <v>44</v>
      </c>
      <c r="H1461">
        <v>625</v>
      </c>
      <c r="I1461">
        <v>620</v>
      </c>
      <c r="J1461">
        <v>5</v>
      </c>
      <c r="K1461">
        <v>21.4</v>
      </c>
      <c r="L1461">
        <v>21.88</v>
      </c>
      <c r="M1461">
        <v>227.96</v>
      </c>
      <c r="N1461">
        <f>_xlfn.XLOOKUP(Table13[[#This Row],[Production_Order_ID]],[1]Sheet1!$A$2:$A$391,[1]Sheet1!$F$2:$F$391,"No Match")</f>
        <v>510</v>
      </c>
      <c r="O1461" s="3">
        <f>Table13[[#This Row],[Good_Qty]]/Table13[[#This Row],[Planned_Production]]</f>
        <v>1.2156862745098038</v>
      </c>
      <c r="P1461" t="str">
        <f>IF(Table13[[#This Row],[Good_Qty]]&gt;=Table13[[#This Row],[Planned_Production]],"Met","Not Met")</f>
        <v>Met</v>
      </c>
      <c r="Q1461">
        <f>Table13[[#This Row],[Good_Qty]]-Table13[[#This Row],[Planned_Production]]</f>
        <v>110</v>
      </c>
      <c r="R1461" s="3">
        <f>IF(Table13[[#This Row],[Actual_Qty]]=0,0,Table13[[#This Row],[Reject_Qty]]/Table13[[#This Row],[Actual_Qty]])</f>
        <v>8.0000000000000002E-3</v>
      </c>
      <c r="S1461">
        <v>438.21</v>
      </c>
      <c r="T1461">
        <f>(Table13[[#This Row],[Ideal_Cycle_Time_sec]]*Table13[[#This Row],[Actual_Qty]])/(Table13[[#This Row],[Operational_Time_min]]*60)</f>
        <v>0.50869826491103964</v>
      </c>
      <c r="U1461">
        <f>Table13[[#This Row],[Good_Qty]]/Table13[[#This Row],[Actual_Qty]]</f>
        <v>0.99199999999999999</v>
      </c>
      <c r="V1461" t="str">
        <f>IF(OR(Table13[[#This Row],[Performance_%]]&gt;=1,Table13[[#This Row],[Performance_%]]&lt;=0),"Error","OK")</f>
        <v>OK</v>
      </c>
      <c r="W1461" t="str">
        <f>IF(OR(Table13[[#This Row],[Quality_%]]&gt;=1,Table13[[#This Row],[Quality_%]]&lt;=0),"Error","OK")</f>
        <v>OK</v>
      </c>
      <c r="X1461">
        <f>Table13[[#This Row],[Performance_%]]*Table13[[#This Row],[Quality_%]]*[2]Availability_KPI!K1461</f>
        <v>0.49140740740740746</v>
      </c>
      <c r="Y1461" t="str">
        <f>IF(OR(Table13[[#This Row],[OEE_%]]&gt;1,Table13[[#This Row],[OEE_%]]&lt;0),"Error","OK")</f>
        <v>OK</v>
      </c>
    </row>
    <row r="1462" spans="1:25" x14ac:dyDescent="0.2">
      <c r="A1462" t="s">
        <v>1694</v>
      </c>
      <c r="B1462" t="s">
        <v>1690</v>
      </c>
      <c r="C1462" s="2">
        <v>46321</v>
      </c>
      <c r="D1462" t="s">
        <v>67</v>
      </c>
      <c r="E1462" t="s">
        <v>41</v>
      </c>
      <c r="F1462" t="s">
        <v>97</v>
      </c>
      <c r="G1462" t="s">
        <v>55</v>
      </c>
      <c r="H1462">
        <v>630</v>
      </c>
      <c r="I1462">
        <v>624</v>
      </c>
      <c r="J1462">
        <v>6</v>
      </c>
      <c r="K1462">
        <v>19.260000000000002</v>
      </c>
      <c r="L1462">
        <v>19.420000000000002</v>
      </c>
      <c r="M1462">
        <v>203.87</v>
      </c>
      <c r="N1462">
        <f>_xlfn.XLOOKUP(Table13[[#This Row],[Production_Order_ID]],[1]Sheet1!$A$2:$A$391,[1]Sheet1!$F$2:$F$391,"No Match")</f>
        <v>510</v>
      </c>
      <c r="O1462" s="3">
        <f>Table13[[#This Row],[Good_Qty]]/Table13[[#This Row],[Planned_Production]]</f>
        <v>1.223529411764706</v>
      </c>
      <c r="P1462" t="str">
        <f>IF(Table13[[#This Row],[Good_Qty]]&gt;=Table13[[#This Row],[Planned_Production]],"Met","Not Met")</f>
        <v>Met</v>
      </c>
      <c r="Q1462">
        <f>Table13[[#This Row],[Good_Qty]]-Table13[[#This Row],[Planned_Production]]</f>
        <v>114</v>
      </c>
      <c r="R1462" s="3">
        <f>IF(Table13[[#This Row],[Actual_Qty]]=0,0,Table13[[#This Row],[Reject_Qty]]/Table13[[#This Row],[Actual_Qty]])</f>
        <v>9.5238095238095247E-3</v>
      </c>
      <c r="S1462">
        <v>435.19</v>
      </c>
      <c r="T1462">
        <f>(Table13[[#This Row],[Ideal_Cycle_Time_sec]]*Table13[[#This Row],[Actual_Qty]])/(Table13[[#This Row],[Operational_Time_min]]*60)</f>
        <v>0.4646935821135596</v>
      </c>
      <c r="U1462">
        <f>Table13[[#This Row],[Good_Qty]]/Table13[[#This Row],[Actual_Qty]]</f>
        <v>0.99047619047619051</v>
      </c>
      <c r="V1462" t="str">
        <f>IF(OR(Table13[[#This Row],[Performance_%]]&gt;=1,Table13[[#This Row],[Performance_%]]&lt;=0),"Error","OK")</f>
        <v>OK</v>
      </c>
      <c r="W1462" t="str">
        <f>IF(OR(Table13[[#This Row],[Quality_%]]&gt;=1,Table13[[#This Row],[Quality_%]]&lt;=0),"Error","OK")</f>
        <v>OK</v>
      </c>
      <c r="X1462">
        <f>Table13[[#This Row],[Performance_%]]*Table13[[#This Row],[Quality_%]]*[2]Availability_KPI!K1462</f>
        <v>0.44512000000000002</v>
      </c>
      <c r="Y1462" t="str">
        <f>IF(OR(Table13[[#This Row],[OEE_%]]&gt;1,Table13[[#This Row],[OEE_%]]&lt;0),"Error","OK")</f>
        <v>OK</v>
      </c>
    </row>
    <row r="1463" spans="1:25" x14ac:dyDescent="0.2">
      <c r="A1463" t="s">
        <v>1695</v>
      </c>
      <c r="B1463" t="s">
        <v>1690</v>
      </c>
      <c r="C1463" s="2">
        <v>46321</v>
      </c>
      <c r="D1463" t="s">
        <v>67</v>
      </c>
      <c r="E1463" t="s">
        <v>43</v>
      </c>
      <c r="F1463" t="s">
        <v>97</v>
      </c>
      <c r="G1463" t="s">
        <v>61</v>
      </c>
      <c r="H1463">
        <v>631</v>
      </c>
      <c r="I1463">
        <v>621</v>
      </c>
      <c r="J1463">
        <v>10</v>
      </c>
      <c r="K1463">
        <v>34.24</v>
      </c>
      <c r="L1463">
        <v>36.07</v>
      </c>
      <c r="M1463">
        <v>379.38</v>
      </c>
      <c r="N1463">
        <f>_xlfn.XLOOKUP(Table13[[#This Row],[Production_Order_ID]],[1]Sheet1!$A$2:$A$391,[1]Sheet1!$F$2:$F$391,"No Match")</f>
        <v>510</v>
      </c>
      <c r="O1463" s="3">
        <f>Table13[[#This Row],[Good_Qty]]/Table13[[#This Row],[Planned_Production]]</f>
        <v>1.2176470588235293</v>
      </c>
      <c r="P1463" t="str">
        <f>IF(Table13[[#This Row],[Good_Qty]]&gt;=Table13[[#This Row],[Planned_Production]],"Met","Not Met")</f>
        <v>Met</v>
      </c>
      <c r="Q1463">
        <f>Table13[[#This Row],[Good_Qty]]-Table13[[#This Row],[Planned_Production]]</f>
        <v>111</v>
      </c>
      <c r="R1463" s="3">
        <f>IF(Table13[[#This Row],[Actual_Qty]]=0,0,Table13[[#This Row],[Reject_Qty]]/Table13[[#This Row],[Actual_Qty]])</f>
        <v>1.5847860538827259E-2</v>
      </c>
      <c r="S1463">
        <v>412.38</v>
      </c>
      <c r="T1463">
        <f>(Table13[[#This Row],[Ideal_Cycle_Time_sec]]*Table13[[#This Row],[Actual_Qty]])/(Table13[[#This Row],[Operational_Time_min]]*60)</f>
        <v>0.87320109284317071</v>
      </c>
      <c r="U1463">
        <f>Table13[[#This Row],[Good_Qty]]/Table13[[#This Row],[Actual_Qty]]</f>
        <v>0.98415213946117275</v>
      </c>
      <c r="V1463" t="str">
        <f>IF(OR(Table13[[#This Row],[Performance_%]]&gt;=1,Table13[[#This Row],[Performance_%]]&lt;=0),"Error","OK")</f>
        <v>OK</v>
      </c>
      <c r="W1463" t="str">
        <f>IF(OR(Table13[[#This Row],[Quality_%]]&gt;=1,Table13[[#This Row],[Quality_%]]&lt;=0),"Error","OK")</f>
        <v>OK</v>
      </c>
      <c r="X1463">
        <f>Table13[[#This Row],[Performance_%]]*Table13[[#This Row],[Quality_%]]*[2]Availability_KPI!K1463</f>
        <v>0.78752000000000022</v>
      </c>
      <c r="Y1463" t="str">
        <f>IF(OR(Table13[[#This Row],[OEE_%]]&gt;1,Table13[[#This Row],[OEE_%]]&lt;0),"Error","OK")</f>
        <v>OK</v>
      </c>
    </row>
    <row r="1464" spans="1:25" x14ac:dyDescent="0.2">
      <c r="A1464" t="s">
        <v>1696</v>
      </c>
      <c r="B1464" t="s">
        <v>1690</v>
      </c>
      <c r="C1464" s="2">
        <v>46321</v>
      </c>
      <c r="D1464" t="s">
        <v>67</v>
      </c>
      <c r="E1464" t="s">
        <v>46</v>
      </c>
      <c r="F1464" t="s">
        <v>97</v>
      </c>
      <c r="G1464" t="s">
        <v>75</v>
      </c>
      <c r="H1464">
        <v>626</v>
      </c>
      <c r="I1464">
        <v>619</v>
      </c>
      <c r="J1464">
        <v>7</v>
      </c>
      <c r="K1464">
        <v>26.75</v>
      </c>
      <c r="L1464">
        <v>28.52</v>
      </c>
      <c r="M1464">
        <v>297.57</v>
      </c>
      <c r="N1464">
        <f>_xlfn.XLOOKUP(Table13[[#This Row],[Production_Order_ID]],[1]Sheet1!$A$2:$A$391,[1]Sheet1!$F$2:$F$391,"No Match")</f>
        <v>510</v>
      </c>
      <c r="O1464" s="3">
        <f>Table13[[#This Row],[Good_Qty]]/Table13[[#This Row],[Planned_Production]]</f>
        <v>1.2137254901960783</v>
      </c>
      <c r="P1464" t="str">
        <f>IF(Table13[[#This Row],[Good_Qty]]&gt;=Table13[[#This Row],[Planned_Production]],"Met","Not Met")</f>
        <v>Met</v>
      </c>
      <c r="Q1464">
        <f>Table13[[#This Row],[Good_Qty]]-Table13[[#This Row],[Planned_Production]]</f>
        <v>109</v>
      </c>
      <c r="R1464" s="3">
        <f>IF(Table13[[#This Row],[Actual_Qty]]=0,0,Table13[[#This Row],[Reject_Qty]]/Table13[[#This Row],[Actual_Qty]])</f>
        <v>1.1182108626198083E-2</v>
      </c>
      <c r="S1464">
        <v>432.66</v>
      </c>
      <c r="T1464">
        <f>(Table13[[#This Row],[Ideal_Cycle_Time_sec]]*Table13[[#This Row],[Actual_Qty]])/(Table13[[#This Row],[Operational_Time_min]]*60)</f>
        <v>0.64506001633307131</v>
      </c>
      <c r="U1464">
        <f>Table13[[#This Row],[Good_Qty]]/Table13[[#This Row],[Actual_Qty]]</f>
        <v>0.98881789137380194</v>
      </c>
      <c r="V1464" t="str">
        <f>IF(OR(Table13[[#This Row],[Performance_%]]&gt;=1,Table13[[#This Row],[Performance_%]]&lt;=0),"Error","OK")</f>
        <v>OK</v>
      </c>
      <c r="W1464" t="str">
        <f>IF(OR(Table13[[#This Row],[Quality_%]]&gt;=1,Table13[[#This Row],[Quality_%]]&lt;=0),"Error","OK")</f>
        <v>OK</v>
      </c>
      <c r="X1464">
        <f>Table13[[#This Row],[Performance_%]]*Table13[[#This Row],[Quality_%]]*[2]Availability_KPI!K1464</f>
        <v>0.61326851851851849</v>
      </c>
      <c r="Y1464" t="str">
        <f>IF(OR(Table13[[#This Row],[OEE_%]]&gt;1,Table13[[#This Row],[OEE_%]]&lt;0),"Error","OK")</f>
        <v>OK</v>
      </c>
    </row>
    <row r="1465" spans="1:25" x14ac:dyDescent="0.2">
      <c r="A1465" t="s">
        <v>1697</v>
      </c>
      <c r="B1465" t="s">
        <v>1690</v>
      </c>
      <c r="C1465" s="2">
        <v>46321</v>
      </c>
      <c r="D1465" t="s">
        <v>67</v>
      </c>
      <c r="E1465" t="s">
        <v>49</v>
      </c>
      <c r="F1465" t="s">
        <v>97</v>
      </c>
      <c r="G1465" t="s">
        <v>36</v>
      </c>
      <c r="H1465">
        <v>617</v>
      </c>
      <c r="I1465">
        <v>613</v>
      </c>
      <c r="J1465">
        <v>4</v>
      </c>
      <c r="K1465">
        <v>21.4</v>
      </c>
      <c r="L1465">
        <v>22.13</v>
      </c>
      <c r="M1465">
        <v>227.6</v>
      </c>
      <c r="N1465">
        <f>_xlfn.XLOOKUP(Table13[[#This Row],[Production_Order_ID]],[1]Sheet1!$A$2:$A$391,[1]Sheet1!$F$2:$F$391,"No Match")</f>
        <v>510</v>
      </c>
      <c r="O1465" s="3">
        <f>Table13[[#This Row],[Good_Qty]]/Table13[[#This Row],[Planned_Production]]</f>
        <v>1.2019607843137254</v>
      </c>
      <c r="P1465" t="str">
        <f>IF(Table13[[#This Row],[Good_Qty]]&gt;=Table13[[#This Row],[Planned_Production]],"Met","Not Met")</f>
        <v>Met</v>
      </c>
      <c r="Q1465">
        <f>Table13[[#This Row],[Good_Qty]]-Table13[[#This Row],[Planned_Production]]</f>
        <v>103</v>
      </c>
      <c r="R1465" s="3">
        <f>IF(Table13[[#This Row],[Actual_Qty]]=0,0,Table13[[#This Row],[Reject_Qty]]/Table13[[#This Row],[Actual_Qty]])</f>
        <v>6.4829821717990272E-3</v>
      </c>
      <c r="S1465">
        <v>442.35</v>
      </c>
      <c r="T1465">
        <f>(Table13[[#This Row],[Ideal_Cycle_Time_sec]]*Table13[[#This Row],[Actual_Qty]])/(Table13[[#This Row],[Operational_Time_min]]*60)</f>
        <v>0.49748690704947063</v>
      </c>
      <c r="U1465">
        <f>Table13[[#This Row],[Good_Qty]]/Table13[[#This Row],[Actual_Qty]]</f>
        <v>0.99351701782820101</v>
      </c>
      <c r="V1465" t="str">
        <f>IF(OR(Table13[[#This Row],[Performance_%]]&gt;=1,Table13[[#This Row],[Performance_%]]&lt;=0),"Error","OK")</f>
        <v>OK</v>
      </c>
      <c r="W1465" t="str">
        <f>IF(OR(Table13[[#This Row],[Quality_%]]&gt;=1,Table13[[#This Row],[Quality_%]]&lt;=0),"Error","OK")</f>
        <v>OK</v>
      </c>
      <c r="X1465">
        <f>Table13[[#This Row],[Performance_%]]*Table13[[#This Row],[Quality_%]]*[2]Availability_KPI!K1465</f>
        <v>0.48585925925925932</v>
      </c>
      <c r="Y1465" t="str">
        <f>IF(OR(Table13[[#This Row],[OEE_%]]&gt;1,Table13[[#This Row],[OEE_%]]&lt;0),"Error","OK")</f>
        <v>OK</v>
      </c>
    </row>
    <row r="1466" spans="1:25" x14ac:dyDescent="0.2">
      <c r="A1466" t="s">
        <v>1698</v>
      </c>
      <c r="B1466" t="s">
        <v>1699</v>
      </c>
      <c r="C1466" s="2">
        <v>46322</v>
      </c>
      <c r="D1466" t="s">
        <v>27</v>
      </c>
      <c r="E1466" t="s">
        <v>28</v>
      </c>
      <c r="F1466" t="s">
        <v>54</v>
      </c>
      <c r="G1466" t="s">
        <v>44</v>
      </c>
      <c r="H1466">
        <v>556</v>
      </c>
      <c r="I1466">
        <v>554</v>
      </c>
      <c r="J1466">
        <v>2</v>
      </c>
      <c r="K1466">
        <v>18</v>
      </c>
      <c r="L1466">
        <v>18.5</v>
      </c>
      <c r="M1466">
        <v>171.45</v>
      </c>
      <c r="N1466">
        <f>_xlfn.XLOOKUP(Table13[[#This Row],[Production_Order_ID]],[1]Sheet1!$A$2:$A$391,[1]Sheet1!$F$2:$F$391,"No Match")</f>
        <v>590</v>
      </c>
      <c r="O1466" s="3">
        <f>Table13[[#This Row],[Good_Qty]]/Table13[[#This Row],[Planned_Production]]</f>
        <v>0.93898305084745759</v>
      </c>
      <c r="P1466" t="str">
        <f>IF(Table13[[#This Row],[Good_Qty]]&gt;=Table13[[#This Row],[Planned_Production]],"Met","Not Met")</f>
        <v>Not Met</v>
      </c>
      <c r="Q1466">
        <f>Table13[[#This Row],[Good_Qty]]-Table13[[#This Row],[Planned_Production]]</f>
        <v>-36</v>
      </c>
      <c r="R1466" s="3">
        <f>IF(Table13[[#This Row],[Actual_Qty]]=0,0,Table13[[#This Row],[Reject_Qty]]/Table13[[#This Row],[Actual_Qty]])</f>
        <v>3.5971223021582736E-3</v>
      </c>
      <c r="S1466">
        <v>443.08</v>
      </c>
      <c r="T1466">
        <f>(Table13[[#This Row],[Ideal_Cycle_Time_sec]]*Table13[[#This Row],[Actual_Qty]])/(Table13[[#This Row],[Operational_Time_min]]*60)</f>
        <v>0.37645571905750658</v>
      </c>
      <c r="U1466">
        <f>Table13[[#This Row],[Good_Qty]]/Table13[[#This Row],[Actual_Qty]]</f>
        <v>0.99640287769784175</v>
      </c>
      <c r="V1466" t="str">
        <f>IF(OR(Table13[[#This Row],[Performance_%]]&gt;=1,Table13[[#This Row],[Performance_%]]&lt;=0),"Error","OK")</f>
        <v>OK</v>
      </c>
      <c r="W1466" t="str">
        <f>IF(OR(Table13[[#This Row],[Quality_%]]&gt;=1,Table13[[#This Row],[Quality_%]]&lt;=0),"Error","OK")</f>
        <v>OK</v>
      </c>
      <c r="X1466">
        <f>Table13[[#This Row],[Performance_%]]*Table13[[#This Row],[Quality_%]]*[2]Availability_KPI!K1466</f>
        <v>0.3693333333333334</v>
      </c>
      <c r="Y1466" t="str">
        <f>IF(OR(Table13[[#This Row],[OEE_%]]&gt;1,Table13[[#This Row],[OEE_%]]&lt;0),"Error","OK")</f>
        <v>OK</v>
      </c>
    </row>
    <row r="1467" spans="1:25" x14ac:dyDescent="0.2">
      <c r="A1467" t="s">
        <v>1700</v>
      </c>
      <c r="B1467" t="s">
        <v>1699</v>
      </c>
      <c r="C1467" s="2">
        <v>46322</v>
      </c>
      <c r="D1467" t="s">
        <v>27</v>
      </c>
      <c r="E1467" t="s">
        <v>32</v>
      </c>
      <c r="F1467" t="s">
        <v>54</v>
      </c>
      <c r="G1467" t="s">
        <v>71</v>
      </c>
      <c r="H1467">
        <v>557</v>
      </c>
      <c r="I1467">
        <v>552</v>
      </c>
      <c r="J1467">
        <v>5</v>
      </c>
      <c r="K1467">
        <v>20</v>
      </c>
      <c r="L1467">
        <v>20.94</v>
      </c>
      <c r="M1467">
        <v>194.35</v>
      </c>
      <c r="N1467">
        <f>_xlfn.XLOOKUP(Table13[[#This Row],[Production_Order_ID]],[1]Sheet1!$A$2:$A$391,[1]Sheet1!$F$2:$F$391,"No Match")</f>
        <v>590</v>
      </c>
      <c r="O1467" s="3">
        <f>Table13[[#This Row],[Good_Qty]]/Table13[[#This Row],[Planned_Production]]</f>
        <v>0.93559322033898307</v>
      </c>
      <c r="P1467" t="str">
        <f>IF(Table13[[#This Row],[Good_Qty]]&gt;=Table13[[#This Row],[Planned_Production]],"Met","Not Met")</f>
        <v>Not Met</v>
      </c>
      <c r="Q1467">
        <f>Table13[[#This Row],[Good_Qty]]-Table13[[#This Row],[Planned_Production]]</f>
        <v>-38</v>
      </c>
      <c r="R1467" s="3">
        <f>IF(Table13[[#This Row],[Actual_Qty]]=0,0,Table13[[#This Row],[Reject_Qty]]/Table13[[#This Row],[Actual_Qty]])</f>
        <v>8.9766606822262122E-3</v>
      </c>
      <c r="S1467">
        <v>440.74</v>
      </c>
      <c r="T1467">
        <f>(Table13[[#This Row],[Ideal_Cycle_Time_sec]]*Table13[[#This Row],[Actual_Qty]])/(Table13[[#This Row],[Operational_Time_min]]*60)</f>
        <v>0.42126121220371798</v>
      </c>
      <c r="U1467">
        <f>Table13[[#This Row],[Good_Qty]]/Table13[[#This Row],[Actual_Qty]]</f>
        <v>0.99102333931777375</v>
      </c>
      <c r="V1467" t="str">
        <f>IF(OR(Table13[[#This Row],[Performance_%]]&gt;=1,Table13[[#This Row],[Performance_%]]&lt;=0),"Error","OK")</f>
        <v>OK</v>
      </c>
      <c r="W1467" t="str">
        <f>IF(OR(Table13[[#This Row],[Quality_%]]&gt;=1,Table13[[#This Row],[Quality_%]]&lt;=0),"Error","OK")</f>
        <v>OK</v>
      </c>
      <c r="X1467">
        <f>Table13[[#This Row],[Performance_%]]*Table13[[#This Row],[Quality_%]]*[2]Availability_KPI!K1467</f>
        <v>0.40888888888888886</v>
      </c>
      <c r="Y1467" t="str">
        <f>IF(OR(Table13[[#This Row],[OEE_%]]&gt;1,Table13[[#This Row],[OEE_%]]&lt;0),"Error","OK")</f>
        <v>OK</v>
      </c>
    </row>
    <row r="1468" spans="1:25" x14ac:dyDescent="0.2">
      <c r="A1468" t="s">
        <v>1701</v>
      </c>
      <c r="B1468" t="s">
        <v>1699</v>
      </c>
      <c r="C1468" s="2">
        <v>46322</v>
      </c>
      <c r="D1468" t="s">
        <v>27</v>
      </c>
      <c r="E1468" t="s">
        <v>35</v>
      </c>
      <c r="F1468" t="s">
        <v>54</v>
      </c>
      <c r="G1468" t="s">
        <v>33</v>
      </c>
      <c r="H1468">
        <v>554</v>
      </c>
      <c r="I1468">
        <v>550</v>
      </c>
      <c r="J1468">
        <v>4</v>
      </c>
      <c r="K1468">
        <v>22</v>
      </c>
      <c r="L1468">
        <v>23.61</v>
      </c>
      <c r="M1468">
        <v>217.96</v>
      </c>
      <c r="N1468">
        <f>_xlfn.XLOOKUP(Table13[[#This Row],[Production_Order_ID]],[1]Sheet1!$A$2:$A$391,[1]Sheet1!$F$2:$F$391,"No Match")</f>
        <v>590</v>
      </c>
      <c r="O1468" s="3">
        <f>Table13[[#This Row],[Good_Qty]]/Table13[[#This Row],[Planned_Production]]</f>
        <v>0.93220338983050843</v>
      </c>
      <c r="P1468" t="str">
        <f>IF(Table13[[#This Row],[Good_Qty]]&gt;=Table13[[#This Row],[Planned_Production]],"Met","Not Met")</f>
        <v>Not Met</v>
      </c>
      <c r="Q1468">
        <f>Table13[[#This Row],[Good_Qty]]-Table13[[#This Row],[Planned_Production]]</f>
        <v>-40</v>
      </c>
      <c r="R1468" s="3">
        <f>IF(Table13[[#This Row],[Actual_Qty]]=0,0,Table13[[#This Row],[Reject_Qty]]/Table13[[#This Row],[Actual_Qty]])</f>
        <v>7.2202166064981952E-3</v>
      </c>
      <c r="S1468">
        <v>433.61</v>
      </c>
      <c r="T1468">
        <f>(Table13[[#This Row],[Ideal_Cycle_Time_sec]]*Table13[[#This Row],[Actual_Qty]])/(Table13[[#This Row],[Operational_Time_min]]*60)</f>
        <v>0.4684701306089189</v>
      </c>
      <c r="U1468">
        <f>Table13[[#This Row],[Good_Qty]]/Table13[[#This Row],[Actual_Qty]]</f>
        <v>0.99277978339350181</v>
      </c>
      <c r="V1468" t="str">
        <f>IF(OR(Table13[[#This Row],[Performance_%]]&gt;=1,Table13[[#This Row],[Performance_%]]&lt;=0),"Error","OK")</f>
        <v>OK</v>
      </c>
      <c r="W1468" t="str">
        <f>IF(OR(Table13[[#This Row],[Quality_%]]&gt;=1,Table13[[#This Row],[Quality_%]]&lt;=0),"Error","OK")</f>
        <v>OK</v>
      </c>
      <c r="X1468">
        <f>Table13[[#This Row],[Performance_%]]*Table13[[#This Row],[Quality_%]]*[2]Availability_KPI!K1468</f>
        <v>0.44814814814814813</v>
      </c>
      <c r="Y1468" t="str">
        <f>IF(OR(Table13[[#This Row],[OEE_%]]&gt;1,Table13[[#This Row],[OEE_%]]&lt;0),"Error","OK")</f>
        <v>OK</v>
      </c>
    </row>
    <row r="1469" spans="1:25" x14ac:dyDescent="0.2">
      <c r="A1469" t="s">
        <v>1702</v>
      </c>
      <c r="B1469" t="s">
        <v>1699</v>
      </c>
      <c r="C1469" s="2">
        <v>46322</v>
      </c>
      <c r="D1469" t="s">
        <v>27</v>
      </c>
      <c r="E1469" t="s">
        <v>38</v>
      </c>
      <c r="F1469" t="s">
        <v>54</v>
      </c>
      <c r="G1469" t="s">
        <v>33</v>
      </c>
      <c r="H1469">
        <v>548</v>
      </c>
      <c r="I1469">
        <v>546</v>
      </c>
      <c r="J1469">
        <v>2</v>
      </c>
      <c r="K1469">
        <v>20</v>
      </c>
      <c r="L1469">
        <v>21.98</v>
      </c>
      <c r="M1469">
        <v>200.74</v>
      </c>
      <c r="N1469">
        <f>_xlfn.XLOOKUP(Table13[[#This Row],[Production_Order_ID]],[1]Sheet1!$A$2:$A$391,[1]Sheet1!$F$2:$F$391,"No Match")</f>
        <v>590</v>
      </c>
      <c r="O1469" s="3">
        <f>Table13[[#This Row],[Good_Qty]]/Table13[[#This Row],[Planned_Production]]</f>
        <v>0.92542372881355928</v>
      </c>
      <c r="P1469" t="str">
        <f>IF(Table13[[#This Row],[Good_Qty]]&gt;=Table13[[#This Row],[Planned_Production]],"Met","Not Met")</f>
        <v>Not Met</v>
      </c>
      <c r="Q1469">
        <f>Table13[[#This Row],[Good_Qty]]-Table13[[#This Row],[Planned_Production]]</f>
        <v>-44</v>
      </c>
      <c r="R1469" s="3">
        <f>IF(Table13[[#This Row],[Actual_Qty]]=0,0,Table13[[#This Row],[Reject_Qty]]/Table13[[#This Row],[Actual_Qty]])</f>
        <v>3.6496350364963502E-3</v>
      </c>
      <c r="S1469">
        <v>439.2</v>
      </c>
      <c r="T1469">
        <f>(Table13[[#This Row],[Ideal_Cycle_Time_sec]]*Table13[[#This Row],[Actual_Qty]])/(Table13[[#This Row],[Operational_Time_min]]*60)</f>
        <v>0.41590771098967821</v>
      </c>
      <c r="U1469">
        <f>Table13[[#This Row],[Good_Qty]]/Table13[[#This Row],[Actual_Qty]]</f>
        <v>0.9963503649635036</v>
      </c>
      <c r="V1469" t="str">
        <f>IF(OR(Table13[[#This Row],[Performance_%]]&gt;=1,Table13[[#This Row],[Performance_%]]&lt;=0),"Error","OK")</f>
        <v>OK</v>
      </c>
      <c r="W1469" t="str">
        <f>IF(OR(Table13[[#This Row],[Quality_%]]&gt;=1,Table13[[#This Row],[Quality_%]]&lt;=0),"Error","OK")</f>
        <v>OK</v>
      </c>
      <c r="X1469">
        <f>Table13[[#This Row],[Performance_%]]*Table13[[#This Row],[Quality_%]]*[2]Availability_KPI!K1469</f>
        <v>0.40444444444444444</v>
      </c>
      <c r="Y1469" t="str">
        <f>IF(OR(Table13[[#This Row],[OEE_%]]&gt;1,Table13[[#This Row],[OEE_%]]&lt;0),"Error","OK")</f>
        <v>OK</v>
      </c>
    </row>
    <row r="1470" spans="1:25" x14ac:dyDescent="0.2">
      <c r="A1470" t="s">
        <v>1703</v>
      </c>
      <c r="B1470" t="s">
        <v>1699</v>
      </c>
      <c r="C1470" s="2">
        <v>46322</v>
      </c>
      <c r="D1470" t="s">
        <v>27</v>
      </c>
      <c r="E1470" t="s">
        <v>41</v>
      </c>
      <c r="F1470" t="s">
        <v>54</v>
      </c>
      <c r="G1470" t="s">
        <v>33</v>
      </c>
      <c r="H1470">
        <v>556</v>
      </c>
      <c r="I1470">
        <v>551</v>
      </c>
      <c r="J1470">
        <v>5</v>
      </c>
      <c r="K1470">
        <v>18</v>
      </c>
      <c r="L1470">
        <v>19.66</v>
      </c>
      <c r="M1470">
        <v>182.21</v>
      </c>
      <c r="N1470">
        <f>_xlfn.XLOOKUP(Table13[[#This Row],[Production_Order_ID]],[1]Sheet1!$A$2:$A$391,[1]Sheet1!$F$2:$F$391,"No Match")</f>
        <v>590</v>
      </c>
      <c r="O1470" s="3">
        <f>Table13[[#This Row],[Good_Qty]]/Table13[[#This Row],[Planned_Production]]</f>
        <v>0.93389830508474581</v>
      </c>
      <c r="P1470" t="str">
        <f>IF(Table13[[#This Row],[Good_Qty]]&gt;=Table13[[#This Row],[Planned_Production]],"Met","Not Met")</f>
        <v>Not Met</v>
      </c>
      <c r="Q1470">
        <f>Table13[[#This Row],[Good_Qty]]-Table13[[#This Row],[Planned_Production]]</f>
        <v>-39</v>
      </c>
      <c r="R1470" s="3">
        <f>IF(Table13[[#This Row],[Actual_Qty]]=0,0,Table13[[#This Row],[Reject_Qty]]/Table13[[#This Row],[Actual_Qty]])</f>
        <v>8.9928057553956831E-3</v>
      </c>
      <c r="S1470">
        <v>438.27</v>
      </c>
      <c r="T1470">
        <f>(Table13[[#This Row],[Ideal_Cycle_Time_sec]]*Table13[[#This Row],[Actual_Qty]])/(Table13[[#This Row],[Operational_Time_min]]*60)</f>
        <v>0.3805873091929633</v>
      </c>
      <c r="U1470">
        <f>Table13[[#This Row],[Good_Qty]]/Table13[[#This Row],[Actual_Qty]]</f>
        <v>0.99100719424460426</v>
      </c>
      <c r="V1470" t="str">
        <f>IF(OR(Table13[[#This Row],[Performance_%]]&gt;=1,Table13[[#This Row],[Performance_%]]&lt;=0),"Error","OK")</f>
        <v>OK</v>
      </c>
      <c r="W1470" t="str">
        <f>IF(OR(Table13[[#This Row],[Quality_%]]&gt;=1,Table13[[#This Row],[Quality_%]]&lt;=0),"Error","OK")</f>
        <v>OK</v>
      </c>
      <c r="X1470">
        <f>Table13[[#This Row],[Performance_%]]*Table13[[#This Row],[Quality_%]]*[2]Availability_KPI!K1470</f>
        <v>0.3673333333333334</v>
      </c>
      <c r="Y1470" t="str">
        <f>IF(OR(Table13[[#This Row],[OEE_%]]&gt;1,Table13[[#This Row],[OEE_%]]&lt;0),"Error","OK")</f>
        <v>OK</v>
      </c>
    </row>
    <row r="1471" spans="1:25" x14ac:dyDescent="0.2">
      <c r="A1471" t="s">
        <v>1704</v>
      </c>
      <c r="B1471" t="s">
        <v>1699</v>
      </c>
      <c r="C1471" s="2">
        <v>46322</v>
      </c>
      <c r="D1471" t="s">
        <v>27</v>
      </c>
      <c r="E1471" t="s">
        <v>43</v>
      </c>
      <c r="F1471" t="s">
        <v>54</v>
      </c>
      <c r="G1471" t="s">
        <v>30</v>
      </c>
      <c r="H1471">
        <v>558</v>
      </c>
      <c r="I1471">
        <v>550</v>
      </c>
      <c r="J1471">
        <v>8</v>
      </c>
      <c r="K1471">
        <v>32</v>
      </c>
      <c r="L1471">
        <v>34.97</v>
      </c>
      <c r="M1471">
        <v>325.19</v>
      </c>
      <c r="N1471">
        <f>_xlfn.XLOOKUP(Table13[[#This Row],[Production_Order_ID]],[1]Sheet1!$A$2:$A$391,[1]Sheet1!$F$2:$F$391,"No Match")</f>
        <v>590</v>
      </c>
      <c r="O1471" s="3">
        <f>Table13[[#This Row],[Good_Qty]]/Table13[[#This Row],[Planned_Production]]</f>
        <v>0.93220338983050843</v>
      </c>
      <c r="P1471" t="str">
        <f>IF(Table13[[#This Row],[Good_Qty]]&gt;=Table13[[#This Row],[Planned_Production]],"Met","Not Met")</f>
        <v>Not Met</v>
      </c>
      <c r="Q1471">
        <f>Table13[[#This Row],[Good_Qty]]-Table13[[#This Row],[Planned_Production]]</f>
        <v>-40</v>
      </c>
      <c r="R1471" s="3">
        <f>IF(Table13[[#This Row],[Actual_Qty]]=0,0,Table13[[#This Row],[Reject_Qty]]/Table13[[#This Row],[Actual_Qty]])</f>
        <v>1.4336917562724014E-2</v>
      </c>
      <c r="S1471">
        <v>418.96</v>
      </c>
      <c r="T1471">
        <f>(Table13[[#This Row],[Ideal_Cycle_Time_sec]]*Table13[[#This Row],[Actual_Qty]])/(Table13[[#This Row],[Operational_Time_min]]*60)</f>
        <v>0.71033034179873977</v>
      </c>
      <c r="U1471">
        <f>Table13[[#This Row],[Good_Qty]]/Table13[[#This Row],[Actual_Qty]]</f>
        <v>0.98566308243727596</v>
      </c>
      <c r="V1471" t="str">
        <f>IF(OR(Table13[[#This Row],[Performance_%]]&gt;=1,Table13[[#This Row],[Performance_%]]&lt;=0),"Error","OK")</f>
        <v>OK</v>
      </c>
      <c r="W1471" t="str">
        <f>IF(OR(Table13[[#This Row],[Quality_%]]&gt;=1,Table13[[#This Row],[Quality_%]]&lt;=0),"Error","OK")</f>
        <v>OK</v>
      </c>
      <c r="X1471">
        <f>Table13[[#This Row],[Performance_%]]*Table13[[#This Row],[Quality_%]]*[2]Availability_KPI!K1471</f>
        <v>0.65185185185185179</v>
      </c>
      <c r="Y1471" t="str">
        <f>IF(OR(Table13[[#This Row],[OEE_%]]&gt;1,Table13[[#This Row],[OEE_%]]&lt;0),"Error","OK")</f>
        <v>OK</v>
      </c>
    </row>
    <row r="1472" spans="1:25" x14ac:dyDescent="0.2">
      <c r="A1472" t="s">
        <v>1705</v>
      </c>
      <c r="B1472" t="s">
        <v>1699</v>
      </c>
      <c r="C1472" s="2">
        <v>46322</v>
      </c>
      <c r="D1472" t="s">
        <v>27</v>
      </c>
      <c r="E1472" t="s">
        <v>46</v>
      </c>
      <c r="F1472" t="s">
        <v>54</v>
      </c>
      <c r="G1472" t="s">
        <v>39</v>
      </c>
      <c r="H1472">
        <v>553</v>
      </c>
      <c r="I1472">
        <v>547</v>
      </c>
      <c r="J1472">
        <v>6</v>
      </c>
      <c r="K1472">
        <v>25</v>
      </c>
      <c r="L1472">
        <v>26.11</v>
      </c>
      <c r="M1472">
        <v>240.63</v>
      </c>
      <c r="N1472">
        <f>_xlfn.XLOOKUP(Table13[[#This Row],[Production_Order_ID]],[1]Sheet1!$A$2:$A$391,[1]Sheet1!$F$2:$F$391,"No Match")</f>
        <v>590</v>
      </c>
      <c r="O1472" s="3">
        <f>Table13[[#This Row],[Good_Qty]]/Table13[[#This Row],[Planned_Production]]</f>
        <v>0.92711864406779665</v>
      </c>
      <c r="P1472" t="str">
        <f>IF(Table13[[#This Row],[Good_Qty]]&gt;=Table13[[#This Row],[Planned_Production]],"Met","Not Met")</f>
        <v>Not Met</v>
      </c>
      <c r="Q1472">
        <f>Table13[[#This Row],[Good_Qty]]-Table13[[#This Row],[Planned_Production]]</f>
        <v>-43</v>
      </c>
      <c r="R1472" s="3">
        <f>IF(Table13[[#This Row],[Actual_Qty]]=0,0,Table13[[#This Row],[Reject_Qty]]/Table13[[#This Row],[Actual_Qty]])</f>
        <v>1.0849909584086799E-2</v>
      </c>
      <c r="S1472">
        <v>435.34</v>
      </c>
      <c r="T1472">
        <f>(Table13[[#This Row],[Ideal_Cycle_Time_sec]]*Table13[[#This Row],[Actual_Qty]])/(Table13[[#This Row],[Operational_Time_min]]*60)</f>
        <v>0.52927979663404856</v>
      </c>
      <c r="U1472">
        <f>Table13[[#This Row],[Good_Qty]]/Table13[[#This Row],[Actual_Qty]]</f>
        <v>0.98915009041591317</v>
      </c>
      <c r="V1472" t="str">
        <f>IF(OR(Table13[[#This Row],[Performance_%]]&gt;=1,Table13[[#This Row],[Performance_%]]&lt;=0),"Error","OK")</f>
        <v>OK</v>
      </c>
      <c r="W1472" t="str">
        <f>IF(OR(Table13[[#This Row],[Quality_%]]&gt;=1,Table13[[#This Row],[Quality_%]]&lt;=0),"Error","OK")</f>
        <v>OK</v>
      </c>
      <c r="X1472">
        <f>Table13[[#This Row],[Performance_%]]*Table13[[#This Row],[Quality_%]]*[2]Availability_KPI!K1472</f>
        <v>0.50648148148148153</v>
      </c>
      <c r="Y1472" t="str">
        <f>IF(OR(Table13[[#This Row],[OEE_%]]&gt;1,Table13[[#This Row],[OEE_%]]&lt;0),"Error","OK")</f>
        <v>OK</v>
      </c>
    </row>
    <row r="1473" spans="1:25" x14ac:dyDescent="0.2">
      <c r="A1473" t="s">
        <v>1706</v>
      </c>
      <c r="B1473" t="s">
        <v>1699</v>
      </c>
      <c r="C1473" s="2">
        <v>46322</v>
      </c>
      <c r="D1473" t="s">
        <v>27</v>
      </c>
      <c r="E1473" t="s">
        <v>49</v>
      </c>
      <c r="F1473" t="s">
        <v>54</v>
      </c>
      <c r="G1473" t="s">
        <v>75</v>
      </c>
      <c r="H1473">
        <v>563</v>
      </c>
      <c r="I1473">
        <v>560</v>
      </c>
      <c r="J1473">
        <v>3</v>
      </c>
      <c r="K1473">
        <v>20</v>
      </c>
      <c r="L1473">
        <v>20.27</v>
      </c>
      <c r="M1473">
        <v>190.15</v>
      </c>
      <c r="N1473">
        <f>_xlfn.XLOOKUP(Table13[[#This Row],[Production_Order_ID]],[1]Sheet1!$A$2:$A$391,[1]Sheet1!$F$2:$F$391,"No Match")</f>
        <v>590</v>
      </c>
      <c r="O1473" s="3">
        <f>Table13[[#This Row],[Good_Qty]]/Table13[[#This Row],[Planned_Production]]</f>
        <v>0.94915254237288138</v>
      </c>
      <c r="P1473" t="str">
        <f>IF(Table13[[#This Row],[Good_Qty]]&gt;=Table13[[#This Row],[Planned_Production]],"Met","Not Met")</f>
        <v>Not Met</v>
      </c>
      <c r="Q1473">
        <f>Table13[[#This Row],[Good_Qty]]-Table13[[#This Row],[Planned_Production]]</f>
        <v>-30</v>
      </c>
      <c r="R1473" s="3">
        <f>IF(Table13[[#This Row],[Actual_Qty]]=0,0,Table13[[#This Row],[Reject_Qty]]/Table13[[#This Row],[Actual_Qty]])</f>
        <v>5.3285968028419185E-3</v>
      </c>
      <c r="S1473">
        <v>442.94</v>
      </c>
      <c r="T1473">
        <f>(Table13[[#This Row],[Ideal_Cycle_Time_sec]]*Table13[[#This Row],[Actual_Qty]])/(Table13[[#This Row],[Operational_Time_min]]*60)</f>
        <v>0.42368417091855931</v>
      </c>
      <c r="U1473">
        <f>Table13[[#This Row],[Good_Qty]]/Table13[[#This Row],[Actual_Qty]]</f>
        <v>0.99467140319715808</v>
      </c>
      <c r="V1473" t="str">
        <f>IF(OR(Table13[[#This Row],[Performance_%]]&gt;=1,Table13[[#This Row],[Performance_%]]&lt;=0),"Error","OK")</f>
        <v>OK</v>
      </c>
      <c r="W1473" t="str">
        <f>IF(OR(Table13[[#This Row],[Quality_%]]&gt;=1,Table13[[#This Row],[Quality_%]]&lt;=0),"Error","OK")</f>
        <v>OK</v>
      </c>
      <c r="X1473">
        <f>Table13[[#This Row],[Performance_%]]*Table13[[#This Row],[Quality_%]]*[2]Availability_KPI!K1473</f>
        <v>0.4148148148148148</v>
      </c>
      <c r="Y1473" t="str">
        <f>IF(OR(Table13[[#This Row],[OEE_%]]&gt;1,Table13[[#This Row],[OEE_%]]&lt;0),"Error","OK")</f>
        <v>OK</v>
      </c>
    </row>
    <row r="1474" spans="1:25" x14ac:dyDescent="0.2">
      <c r="A1474" t="s">
        <v>1707</v>
      </c>
      <c r="B1474" t="s">
        <v>1708</v>
      </c>
      <c r="C1474" s="2">
        <v>46322</v>
      </c>
      <c r="D1474" t="s">
        <v>53</v>
      </c>
      <c r="E1474" t="s">
        <v>28</v>
      </c>
      <c r="F1474" t="s">
        <v>29</v>
      </c>
      <c r="G1474" t="s">
        <v>55</v>
      </c>
      <c r="H1474">
        <v>564</v>
      </c>
      <c r="I1474">
        <v>561</v>
      </c>
      <c r="J1474">
        <v>3</v>
      </c>
      <c r="K1474">
        <v>19.8</v>
      </c>
      <c r="L1474">
        <v>20.64</v>
      </c>
      <c r="M1474">
        <v>193.99</v>
      </c>
      <c r="N1474">
        <f>_xlfn.XLOOKUP(Table13[[#This Row],[Production_Order_ID]],[1]Sheet1!$A$2:$A$391,[1]Sheet1!$F$2:$F$391,"No Match")</f>
        <v>580</v>
      </c>
      <c r="O1474" s="3">
        <f>Table13[[#This Row],[Good_Qty]]/Table13[[#This Row],[Planned_Production]]</f>
        <v>0.96724137931034482</v>
      </c>
      <c r="P1474" t="str">
        <f>IF(Table13[[#This Row],[Good_Qty]]&gt;=Table13[[#This Row],[Planned_Production]],"Met","Not Met")</f>
        <v>Not Met</v>
      </c>
      <c r="Q1474">
        <f>Table13[[#This Row],[Good_Qty]]-Table13[[#This Row],[Planned_Production]]</f>
        <v>-19</v>
      </c>
      <c r="R1474" s="3">
        <f>IF(Table13[[#This Row],[Actual_Qty]]=0,0,Table13[[#This Row],[Reject_Qty]]/Table13[[#This Row],[Actual_Qty]])</f>
        <v>5.3191489361702126E-3</v>
      </c>
      <c r="S1474">
        <v>442.6</v>
      </c>
      <c r="T1474">
        <f>(Table13[[#This Row],[Ideal_Cycle_Time_sec]]*Table13[[#This Row],[Actual_Qty]])/(Table13[[#This Row],[Operational_Time_min]]*60)</f>
        <v>0.42051513782196115</v>
      </c>
      <c r="U1474">
        <f>Table13[[#This Row],[Good_Qty]]/Table13[[#This Row],[Actual_Qty]]</f>
        <v>0.99468085106382975</v>
      </c>
      <c r="V1474" t="str">
        <f>IF(OR(Table13[[#This Row],[Performance_%]]&gt;=1,Table13[[#This Row],[Performance_%]]&lt;=0),"Error","OK")</f>
        <v>OK</v>
      </c>
      <c r="W1474" t="str">
        <f>IF(OR(Table13[[#This Row],[Quality_%]]&gt;=1,Table13[[#This Row],[Quality_%]]&lt;=0),"Error","OK")</f>
        <v>OK</v>
      </c>
      <c r="X1474">
        <f>Table13[[#This Row],[Performance_%]]*Table13[[#This Row],[Quality_%]]*[2]Availability_KPI!K1474</f>
        <v>0.41140000000000004</v>
      </c>
      <c r="Y1474" t="str">
        <f>IF(OR(Table13[[#This Row],[OEE_%]]&gt;1,Table13[[#This Row],[OEE_%]]&lt;0),"Error","OK")</f>
        <v>OK</v>
      </c>
    </row>
    <row r="1475" spans="1:25" x14ac:dyDescent="0.2">
      <c r="A1475" t="s">
        <v>1709</v>
      </c>
      <c r="B1475" t="s">
        <v>1708</v>
      </c>
      <c r="C1475" s="2">
        <v>46322</v>
      </c>
      <c r="D1475" t="s">
        <v>53</v>
      </c>
      <c r="E1475" t="s">
        <v>32</v>
      </c>
      <c r="F1475" t="s">
        <v>29</v>
      </c>
      <c r="G1475" t="s">
        <v>44</v>
      </c>
      <c r="H1475">
        <v>566</v>
      </c>
      <c r="I1475">
        <v>560</v>
      </c>
      <c r="J1475">
        <v>6</v>
      </c>
      <c r="K1475">
        <v>22</v>
      </c>
      <c r="L1475">
        <v>23.8</v>
      </c>
      <c r="M1475">
        <v>224.49</v>
      </c>
      <c r="N1475">
        <f>_xlfn.XLOOKUP(Table13[[#This Row],[Production_Order_ID]],[1]Sheet1!$A$2:$A$391,[1]Sheet1!$F$2:$F$391,"No Match")</f>
        <v>580</v>
      </c>
      <c r="O1475" s="3">
        <f>Table13[[#This Row],[Good_Qty]]/Table13[[#This Row],[Planned_Production]]</f>
        <v>0.96551724137931039</v>
      </c>
      <c r="P1475" t="str">
        <f>IF(Table13[[#This Row],[Good_Qty]]&gt;=Table13[[#This Row],[Planned_Production]],"Met","Not Met")</f>
        <v>Not Met</v>
      </c>
      <c r="Q1475">
        <f>Table13[[#This Row],[Good_Qty]]-Table13[[#This Row],[Planned_Production]]</f>
        <v>-20</v>
      </c>
      <c r="R1475" s="3">
        <f>IF(Table13[[#This Row],[Actual_Qty]]=0,0,Table13[[#This Row],[Reject_Qty]]/Table13[[#This Row],[Actual_Qty]])</f>
        <v>1.0600706713780919E-2</v>
      </c>
      <c r="S1475">
        <v>439.69</v>
      </c>
      <c r="T1475">
        <f>(Table13[[#This Row],[Ideal_Cycle_Time_sec]]*Table13[[#This Row],[Actual_Qty]])/(Table13[[#This Row],[Operational_Time_min]]*60)</f>
        <v>0.47199921156572433</v>
      </c>
      <c r="U1475">
        <f>Table13[[#This Row],[Good_Qty]]/Table13[[#This Row],[Actual_Qty]]</f>
        <v>0.98939929328621912</v>
      </c>
      <c r="V1475" t="str">
        <f>IF(OR(Table13[[#This Row],[Performance_%]]&gt;=1,Table13[[#This Row],[Performance_%]]&lt;=0),"Error","OK")</f>
        <v>OK</v>
      </c>
      <c r="W1475" t="str">
        <f>IF(OR(Table13[[#This Row],[Quality_%]]&gt;=1,Table13[[#This Row],[Quality_%]]&lt;=0),"Error","OK")</f>
        <v>OK</v>
      </c>
      <c r="X1475">
        <f>Table13[[#This Row],[Performance_%]]*Table13[[#This Row],[Quality_%]]*[2]Availability_KPI!K1475</f>
        <v>0.45629629629629631</v>
      </c>
      <c r="Y1475" t="str">
        <f>IF(OR(Table13[[#This Row],[OEE_%]]&gt;1,Table13[[#This Row],[OEE_%]]&lt;0),"Error","OK")</f>
        <v>OK</v>
      </c>
    </row>
    <row r="1476" spans="1:25" x14ac:dyDescent="0.2">
      <c r="A1476" t="s">
        <v>1710</v>
      </c>
      <c r="B1476" t="s">
        <v>1708</v>
      </c>
      <c r="C1476" s="2">
        <v>46322</v>
      </c>
      <c r="D1476" t="s">
        <v>53</v>
      </c>
      <c r="E1476" t="s">
        <v>35</v>
      </c>
      <c r="F1476" t="s">
        <v>29</v>
      </c>
      <c r="G1476" t="s">
        <v>33</v>
      </c>
      <c r="H1476">
        <v>558</v>
      </c>
      <c r="I1476">
        <v>554</v>
      </c>
      <c r="J1476">
        <v>4</v>
      </c>
      <c r="K1476">
        <v>24.2</v>
      </c>
      <c r="L1476">
        <v>25.44</v>
      </c>
      <c r="M1476">
        <v>236.56</v>
      </c>
      <c r="N1476">
        <f>_xlfn.XLOOKUP(Table13[[#This Row],[Production_Order_ID]],[1]Sheet1!$A$2:$A$391,[1]Sheet1!$F$2:$F$391,"No Match")</f>
        <v>580</v>
      </c>
      <c r="O1476" s="3">
        <f>Table13[[#This Row],[Good_Qty]]/Table13[[#This Row],[Planned_Production]]</f>
        <v>0.95517241379310347</v>
      </c>
      <c r="P1476" t="str">
        <f>IF(Table13[[#This Row],[Good_Qty]]&gt;=Table13[[#This Row],[Planned_Production]],"Met","Not Met")</f>
        <v>Not Met</v>
      </c>
      <c r="Q1476">
        <f>Table13[[#This Row],[Good_Qty]]-Table13[[#This Row],[Planned_Production]]</f>
        <v>-26</v>
      </c>
      <c r="R1476" s="3">
        <f>IF(Table13[[#This Row],[Actual_Qty]]=0,0,Table13[[#This Row],[Reject_Qty]]/Table13[[#This Row],[Actual_Qty]])</f>
        <v>7.1684587813620072E-3</v>
      </c>
      <c r="S1476">
        <v>435.54</v>
      </c>
      <c r="T1476">
        <f>(Table13[[#This Row],[Ideal_Cycle_Time_sec]]*Table13[[#This Row],[Actual_Qty]])/(Table13[[#This Row],[Operational_Time_min]]*60)</f>
        <v>0.51673784267805478</v>
      </c>
      <c r="U1476">
        <f>Table13[[#This Row],[Good_Qty]]/Table13[[#This Row],[Actual_Qty]]</f>
        <v>0.99283154121863804</v>
      </c>
      <c r="V1476" t="str">
        <f>IF(OR(Table13[[#This Row],[Performance_%]]&gt;=1,Table13[[#This Row],[Performance_%]]&lt;=0),"Error","OK")</f>
        <v>OK</v>
      </c>
      <c r="W1476" t="str">
        <f>IF(OR(Table13[[#This Row],[Quality_%]]&gt;=1,Table13[[#This Row],[Quality_%]]&lt;=0),"Error","OK")</f>
        <v>OK</v>
      </c>
      <c r="X1476">
        <f>Table13[[#This Row],[Performance_%]]*Table13[[#This Row],[Quality_%]]*[2]Availability_KPI!K1476</f>
        <v>0.49654814814814818</v>
      </c>
      <c r="Y1476" t="str">
        <f>IF(OR(Table13[[#This Row],[OEE_%]]&gt;1,Table13[[#This Row],[OEE_%]]&lt;0),"Error","OK")</f>
        <v>OK</v>
      </c>
    </row>
    <row r="1477" spans="1:25" x14ac:dyDescent="0.2">
      <c r="A1477" t="s">
        <v>1711</v>
      </c>
      <c r="B1477" t="s">
        <v>1708</v>
      </c>
      <c r="C1477" s="2">
        <v>46322</v>
      </c>
      <c r="D1477" t="s">
        <v>53</v>
      </c>
      <c r="E1477" t="s">
        <v>38</v>
      </c>
      <c r="F1477" t="s">
        <v>29</v>
      </c>
      <c r="G1477" t="s">
        <v>30</v>
      </c>
      <c r="H1477">
        <v>555</v>
      </c>
      <c r="I1477">
        <v>553</v>
      </c>
      <c r="J1477">
        <v>2</v>
      </c>
      <c r="K1477">
        <v>22</v>
      </c>
      <c r="L1477">
        <v>22.43</v>
      </c>
      <c r="M1477">
        <v>207.51</v>
      </c>
      <c r="N1477">
        <f>_xlfn.XLOOKUP(Table13[[#This Row],[Production_Order_ID]],[1]Sheet1!$A$2:$A$391,[1]Sheet1!$F$2:$F$391,"No Match")</f>
        <v>580</v>
      </c>
      <c r="O1477" s="3">
        <f>Table13[[#This Row],[Good_Qty]]/Table13[[#This Row],[Planned_Production]]</f>
        <v>0.95344827586206893</v>
      </c>
      <c r="P1477" t="str">
        <f>IF(Table13[[#This Row],[Good_Qty]]&gt;=Table13[[#This Row],[Planned_Production]],"Met","Not Met")</f>
        <v>Not Met</v>
      </c>
      <c r="Q1477">
        <f>Table13[[#This Row],[Good_Qty]]-Table13[[#This Row],[Planned_Production]]</f>
        <v>-27</v>
      </c>
      <c r="R1477" s="3">
        <f>IF(Table13[[#This Row],[Actual_Qty]]=0,0,Table13[[#This Row],[Reject_Qty]]/Table13[[#This Row],[Actual_Qty]])</f>
        <v>3.6036036036036037E-3</v>
      </c>
      <c r="S1477">
        <v>439.47</v>
      </c>
      <c r="T1477">
        <f>(Table13[[#This Row],[Ideal_Cycle_Time_sec]]*Table13[[#This Row],[Actual_Qty]])/(Table13[[#This Row],[Operational_Time_min]]*60)</f>
        <v>0.4630577741370287</v>
      </c>
      <c r="U1477">
        <f>Table13[[#This Row],[Good_Qty]]/Table13[[#This Row],[Actual_Qty]]</f>
        <v>0.99639639639639643</v>
      </c>
      <c r="V1477" t="str">
        <f>IF(OR(Table13[[#This Row],[Performance_%]]&gt;=1,Table13[[#This Row],[Performance_%]]&lt;=0),"Error","OK")</f>
        <v>OK</v>
      </c>
      <c r="W1477" t="str">
        <f>IF(OR(Table13[[#This Row],[Quality_%]]&gt;=1,Table13[[#This Row],[Quality_%]]&lt;=0),"Error","OK")</f>
        <v>OK</v>
      </c>
      <c r="X1477">
        <f>Table13[[#This Row],[Performance_%]]*Table13[[#This Row],[Quality_%]]*[2]Availability_KPI!K1477</f>
        <v>0.4505925925925926</v>
      </c>
      <c r="Y1477" t="str">
        <f>IF(OR(Table13[[#This Row],[OEE_%]]&gt;1,Table13[[#This Row],[OEE_%]]&lt;0),"Error","OK")</f>
        <v>OK</v>
      </c>
    </row>
    <row r="1478" spans="1:25" x14ac:dyDescent="0.2">
      <c r="A1478" t="s">
        <v>1712</v>
      </c>
      <c r="B1478" t="s">
        <v>1708</v>
      </c>
      <c r="C1478" s="2">
        <v>46322</v>
      </c>
      <c r="D1478" t="s">
        <v>53</v>
      </c>
      <c r="E1478" t="s">
        <v>41</v>
      </c>
      <c r="F1478" t="s">
        <v>29</v>
      </c>
      <c r="G1478" t="s">
        <v>36</v>
      </c>
      <c r="H1478">
        <v>574</v>
      </c>
      <c r="I1478">
        <v>568</v>
      </c>
      <c r="J1478">
        <v>6</v>
      </c>
      <c r="K1478">
        <v>19.8</v>
      </c>
      <c r="L1478">
        <v>20.39</v>
      </c>
      <c r="M1478">
        <v>195.07</v>
      </c>
      <c r="N1478">
        <f>_xlfn.XLOOKUP(Table13[[#This Row],[Production_Order_ID]],[1]Sheet1!$A$2:$A$391,[1]Sheet1!$F$2:$F$391,"No Match")</f>
        <v>580</v>
      </c>
      <c r="O1478" s="3">
        <f>Table13[[#This Row],[Good_Qty]]/Table13[[#This Row],[Planned_Production]]</f>
        <v>0.97931034482758617</v>
      </c>
      <c r="P1478" t="str">
        <f>IF(Table13[[#This Row],[Good_Qty]]&gt;=Table13[[#This Row],[Planned_Production]],"Met","Not Met")</f>
        <v>Not Met</v>
      </c>
      <c r="Q1478">
        <f>Table13[[#This Row],[Good_Qty]]-Table13[[#This Row],[Planned_Production]]</f>
        <v>-12</v>
      </c>
      <c r="R1478" s="3">
        <f>IF(Table13[[#This Row],[Actual_Qty]]=0,0,Table13[[#This Row],[Reject_Qty]]/Table13[[#This Row],[Actual_Qty]])</f>
        <v>1.0452961672473868E-2</v>
      </c>
      <c r="S1478">
        <v>436.31</v>
      </c>
      <c r="T1478">
        <f>(Table13[[#This Row],[Ideal_Cycle_Time_sec]]*Table13[[#This Row],[Actual_Qty]])/(Table13[[#This Row],[Operational_Time_min]]*60)</f>
        <v>0.43414086314776196</v>
      </c>
      <c r="U1478">
        <f>Table13[[#This Row],[Good_Qty]]/Table13[[#This Row],[Actual_Qty]]</f>
        <v>0.98954703832752611</v>
      </c>
      <c r="V1478" t="str">
        <f>IF(OR(Table13[[#This Row],[Performance_%]]&gt;=1,Table13[[#This Row],[Performance_%]]&lt;=0),"Error","OK")</f>
        <v>OK</v>
      </c>
      <c r="W1478" t="str">
        <f>IF(OR(Table13[[#This Row],[Quality_%]]&gt;=1,Table13[[#This Row],[Quality_%]]&lt;=0),"Error","OK")</f>
        <v>OK</v>
      </c>
      <c r="X1478">
        <f>Table13[[#This Row],[Performance_%]]*Table13[[#This Row],[Quality_%]]*[2]Availability_KPI!K1478</f>
        <v>0.41653333333333331</v>
      </c>
      <c r="Y1478" t="str">
        <f>IF(OR(Table13[[#This Row],[OEE_%]]&gt;1,Table13[[#This Row],[OEE_%]]&lt;0),"Error","OK")</f>
        <v>OK</v>
      </c>
    </row>
    <row r="1479" spans="1:25" x14ac:dyDescent="0.2">
      <c r="A1479" t="s">
        <v>1713</v>
      </c>
      <c r="B1479" t="s">
        <v>1708</v>
      </c>
      <c r="C1479" s="2">
        <v>46322</v>
      </c>
      <c r="D1479" t="s">
        <v>53</v>
      </c>
      <c r="E1479" t="s">
        <v>43</v>
      </c>
      <c r="F1479" t="s">
        <v>29</v>
      </c>
      <c r="G1479" t="s">
        <v>61</v>
      </c>
      <c r="H1479">
        <v>556</v>
      </c>
      <c r="I1479">
        <v>547</v>
      </c>
      <c r="J1479">
        <v>9</v>
      </c>
      <c r="K1479">
        <v>35.200000000000003</v>
      </c>
      <c r="L1479">
        <v>39.54</v>
      </c>
      <c r="M1479">
        <v>366.41</v>
      </c>
      <c r="N1479">
        <f>_xlfn.XLOOKUP(Table13[[#This Row],[Production_Order_ID]],[1]Sheet1!$A$2:$A$391,[1]Sheet1!$F$2:$F$391,"No Match")</f>
        <v>580</v>
      </c>
      <c r="O1479" s="3">
        <f>Table13[[#This Row],[Good_Qty]]/Table13[[#This Row],[Planned_Production]]</f>
        <v>0.94310344827586212</v>
      </c>
      <c r="P1479" t="str">
        <f>IF(Table13[[#This Row],[Good_Qty]]&gt;=Table13[[#This Row],[Planned_Production]],"Met","Not Met")</f>
        <v>Not Met</v>
      </c>
      <c r="Q1479">
        <f>Table13[[#This Row],[Good_Qty]]-Table13[[#This Row],[Planned_Production]]</f>
        <v>-33</v>
      </c>
      <c r="R1479" s="3">
        <f>IF(Table13[[#This Row],[Actual_Qty]]=0,0,Table13[[#This Row],[Reject_Qty]]/Table13[[#This Row],[Actual_Qty]])</f>
        <v>1.618705035971223E-2</v>
      </c>
      <c r="S1479">
        <v>404.64</v>
      </c>
      <c r="T1479">
        <f>(Table13[[#This Row],[Ideal_Cycle_Time_sec]]*Table13[[#This Row],[Actual_Qty]])/(Table13[[#This Row],[Operational_Time_min]]*60)</f>
        <v>0.80611572426519051</v>
      </c>
      <c r="U1479">
        <f>Table13[[#This Row],[Good_Qty]]/Table13[[#This Row],[Actual_Qty]]</f>
        <v>0.98381294964028776</v>
      </c>
      <c r="V1479" t="str">
        <f>IF(OR(Table13[[#This Row],[Performance_%]]&gt;=1,Table13[[#This Row],[Performance_%]]&lt;=0),"Error","OK")</f>
        <v>OK</v>
      </c>
      <c r="W1479" t="str">
        <f>IF(OR(Table13[[#This Row],[Quality_%]]&gt;=1,Table13[[#This Row],[Quality_%]]&lt;=0),"Error","OK")</f>
        <v>OK</v>
      </c>
      <c r="X1479">
        <f>Table13[[#This Row],[Performance_%]]*Table13[[#This Row],[Quality_%]]*[2]Availability_KPI!K1479</f>
        <v>0.71312592592592605</v>
      </c>
      <c r="Y1479" t="str">
        <f>IF(OR(Table13[[#This Row],[OEE_%]]&gt;1,Table13[[#This Row],[OEE_%]]&lt;0),"Error","OK")</f>
        <v>OK</v>
      </c>
    </row>
    <row r="1480" spans="1:25" x14ac:dyDescent="0.2">
      <c r="A1480" t="s">
        <v>1714</v>
      </c>
      <c r="B1480" t="s">
        <v>1708</v>
      </c>
      <c r="C1480" s="2">
        <v>46322</v>
      </c>
      <c r="D1480" t="s">
        <v>53</v>
      </c>
      <c r="E1480" t="s">
        <v>46</v>
      </c>
      <c r="F1480" t="s">
        <v>29</v>
      </c>
      <c r="G1480" t="s">
        <v>47</v>
      </c>
      <c r="H1480">
        <v>559</v>
      </c>
      <c r="I1480">
        <v>554</v>
      </c>
      <c r="J1480">
        <v>5</v>
      </c>
      <c r="K1480">
        <v>27.5</v>
      </c>
      <c r="L1480">
        <v>28.76</v>
      </c>
      <c r="M1480">
        <v>267.94</v>
      </c>
      <c r="N1480">
        <f>_xlfn.XLOOKUP(Table13[[#This Row],[Production_Order_ID]],[1]Sheet1!$A$2:$A$391,[1]Sheet1!$F$2:$F$391,"No Match")</f>
        <v>580</v>
      </c>
      <c r="O1480" s="3">
        <f>Table13[[#This Row],[Good_Qty]]/Table13[[#This Row],[Planned_Production]]</f>
        <v>0.95517241379310347</v>
      </c>
      <c r="P1480" t="str">
        <f>IF(Table13[[#This Row],[Good_Qty]]&gt;=Table13[[#This Row],[Planned_Production]],"Met","Not Met")</f>
        <v>Not Met</v>
      </c>
      <c r="Q1480">
        <f>Table13[[#This Row],[Good_Qty]]-Table13[[#This Row],[Planned_Production]]</f>
        <v>-26</v>
      </c>
      <c r="R1480" s="3">
        <f>IF(Table13[[#This Row],[Actual_Qty]]=0,0,Table13[[#This Row],[Reject_Qty]]/Table13[[#This Row],[Actual_Qty]])</f>
        <v>8.9445438282647581E-3</v>
      </c>
      <c r="S1480">
        <v>428.79</v>
      </c>
      <c r="T1480">
        <f>(Table13[[#This Row],[Ideal_Cycle_Time_sec]]*Table13[[#This Row],[Actual_Qty]])/(Table13[[#This Row],[Operational_Time_min]]*60)</f>
        <v>0.5975147119413543</v>
      </c>
      <c r="U1480">
        <f>Table13[[#This Row],[Good_Qty]]/Table13[[#This Row],[Actual_Qty]]</f>
        <v>0.99105545617173529</v>
      </c>
      <c r="V1480" t="str">
        <f>IF(OR(Table13[[#This Row],[Performance_%]]&gt;=1,Table13[[#This Row],[Performance_%]]&lt;=0),"Error","OK")</f>
        <v>OK</v>
      </c>
      <c r="W1480" t="str">
        <f>IF(OR(Table13[[#This Row],[Quality_%]]&gt;=1,Table13[[#This Row],[Quality_%]]&lt;=0),"Error","OK")</f>
        <v>OK</v>
      </c>
      <c r="X1480">
        <f>Table13[[#This Row],[Performance_%]]*Table13[[#This Row],[Quality_%]]*[2]Availability_KPI!K1480</f>
        <v>0.56425925925925935</v>
      </c>
      <c r="Y1480" t="str">
        <f>IF(OR(Table13[[#This Row],[OEE_%]]&gt;1,Table13[[#This Row],[OEE_%]]&lt;0),"Error","OK")</f>
        <v>OK</v>
      </c>
    </row>
    <row r="1481" spans="1:25" x14ac:dyDescent="0.2">
      <c r="A1481" t="s">
        <v>1715</v>
      </c>
      <c r="B1481" t="s">
        <v>1708</v>
      </c>
      <c r="C1481" s="2">
        <v>46322</v>
      </c>
      <c r="D1481" t="s">
        <v>53</v>
      </c>
      <c r="E1481" t="s">
        <v>49</v>
      </c>
      <c r="F1481" t="s">
        <v>29</v>
      </c>
      <c r="G1481" t="s">
        <v>44</v>
      </c>
      <c r="H1481">
        <v>553</v>
      </c>
      <c r="I1481">
        <v>552</v>
      </c>
      <c r="J1481">
        <v>1</v>
      </c>
      <c r="K1481">
        <v>22</v>
      </c>
      <c r="L1481">
        <v>22.16</v>
      </c>
      <c r="M1481">
        <v>204.27</v>
      </c>
      <c r="N1481">
        <f>_xlfn.XLOOKUP(Table13[[#This Row],[Production_Order_ID]],[1]Sheet1!$A$2:$A$391,[1]Sheet1!$F$2:$F$391,"No Match")</f>
        <v>580</v>
      </c>
      <c r="O1481" s="3">
        <f>Table13[[#This Row],[Good_Qty]]/Table13[[#This Row],[Planned_Production]]</f>
        <v>0.9517241379310345</v>
      </c>
      <c r="P1481" t="str">
        <f>IF(Table13[[#This Row],[Good_Qty]]&gt;=Table13[[#This Row],[Planned_Production]],"Met","Not Met")</f>
        <v>Not Met</v>
      </c>
      <c r="Q1481">
        <f>Table13[[#This Row],[Good_Qty]]-Table13[[#This Row],[Planned_Production]]</f>
        <v>-28</v>
      </c>
      <c r="R1481" s="3">
        <f>IF(Table13[[#This Row],[Actual_Qty]]=0,0,Table13[[#This Row],[Reject_Qty]]/Table13[[#This Row],[Actual_Qty]])</f>
        <v>1.8083182640144665E-3</v>
      </c>
      <c r="S1481">
        <v>441.9</v>
      </c>
      <c r="T1481">
        <f>(Table13[[#This Row],[Ideal_Cycle_Time_sec]]*Table13[[#This Row],[Actual_Qty]])/(Table13[[#This Row],[Operational_Time_min]]*60)</f>
        <v>0.45885192728369917</v>
      </c>
      <c r="U1481">
        <f>Table13[[#This Row],[Good_Qty]]/Table13[[#This Row],[Actual_Qty]]</f>
        <v>0.99819168173598549</v>
      </c>
      <c r="V1481" t="str">
        <f>IF(OR(Table13[[#This Row],[Performance_%]]&gt;=1,Table13[[#This Row],[Performance_%]]&lt;=0),"Error","OK")</f>
        <v>OK</v>
      </c>
      <c r="W1481" t="str">
        <f>IF(OR(Table13[[#This Row],[Quality_%]]&gt;=1,Table13[[#This Row],[Quality_%]]&lt;=0),"Error","OK")</f>
        <v>OK</v>
      </c>
      <c r="X1481">
        <f>Table13[[#This Row],[Performance_%]]*Table13[[#This Row],[Quality_%]]*[2]Availability_KPI!K1481</f>
        <v>0.44977777777777778</v>
      </c>
      <c r="Y1481" t="str">
        <f>IF(OR(Table13[[#This Row],[OEE_%]]&gt;1,Table13[[#This Row],[OEE_%]]&lt;0),"Error","OK")</f>
        <v>OK</v>
      </c>
    </row>
    <row r="1482" spans="1:25" x14ac:dyDescent="0.2">
      <c r="A1482" t="s">
        <v>1716</v>
      </c>
      <c r="B1482" t="s">
        <v>1717</v>
      </c>
      <c r="C1482" s="2">
        <v>46322</v>
      </c>
      <c r="D1482" t="s">
        <v>67</v>
      </c>
      <c r="E1482" t="s">
        <v>28</v>
      </c>
      <c r="F1482" t="s">
        <v>54</v>
      </c>
      <c r="G1482" t="s">
        <v>50</v>
      </c>
      <c r="H1482">
        <v>609</v>
      </c>
      <c r="I1482">
        <v>608</v>
      </c>
      <c r="J1482">
        <v>1</v>
      </c>
      <c r="K1482">
        <v>18</v>
      </c>
      <c r="L1482">
        <v>19.12</v>
      </c>
      <c r="M1482">
        <v>194.1</v>
      </c>
      <c r="N1482">
        <f>_xlfn.XLOOKUP(Table13[[#This Row],[Production_Order_ID]],[1]Sheet1!$A$2:$A$391,[1]Sheet1!$F$2:$F$391,"No Match")</f>
        <v>520</v>
      </c>
      <c r="O1482" s="3">
        <f>Table13[[#This Row],[Good_Qty]]/Table13[[#This Row],[Planned_Production]]</f>
        <v>1.1692307692307693</v>
      </c>
      <c r="P1482" t="str">
        <f>IF(Table13[[#This Row],[Good_Qty]]&gt;=Table13[[#This Row],[Planned_Production]],"Met","Not Met")</f>
        <v>Met</v>
      </c>
      <c r="Q1482">
        <f>Table13[[#This Row],[Good_Qty]]-Table13[[#This Row],[Planned_Production]]</f>
        <v>88</v>
      </c>
      <c r="R1482" s="3">
        <f>IF(Table13[[#This Row],[Actual_Qty]]=0,0,Table13[[#This Row],[Reject_Qty]]/Table13[[#This Row],[Actual_Qty]])</f>
        <v>1.6420361247947454E-3</v>
      </c>
      <c r="S1482">
        <v>442.75</v>
      </c>
      <c r="T1482">
        <f>(Table13[[#This Row],[Ideal_Cycle_Time_sec]]*Table13[[#This Row],[Actual_Qty]])/(Table13[[#This Row],[Operational_Time_min]]*60)</f>
        <v>0.41264822134387352</v>
      </c>
      <c r="U1482">
        <f>Table13[[#This Row],[Good_Qty]]/Table13[[#This Row],[Actual_Qty]]</f>
        <v>0.99835796387520526</v>
      </c>
      <c r="V1482" t="str">
        <f>IF(OR(Table13[[#This Row],[Performance_%]]&gt;=1,Table13[[#This Row],[Performance_%]]&lt;=0),"Error","OK")</f>
        <v>OK</v>
      </c>
      <c r="W1482" t="str">
        <f>IF(OR(Table13[[#This Row],[Quality_%]]&gt;=1,Table13[[#This Row],[Quality_%]]&lt;=0),"Error","OK")</f>
        <v>OK</v>
      </c>
      <c r="X1482">
        <f>Table13[[#This Row],[Performance_%]]*Table13[[#This Row],[Quality_%]]*[2]Availability_KPI!K1482</f>
        <v>0.40533333333333338</v>
      </c>
      <c r="Y1482" t="str">
        <f>IF(OR(Table13[[#This Row],[OEE_%]]&gt;1,Table13[[#This Row],[OEE_%]]&lt;0),"Error","OK")</f>
        <v>OK</v>
      </c>
    </row>
    <row r="1483" spans="1:25" x14ac:dyDescent="0.2">
      <c r="A1483" t="s">
        <v>1718</v>
      </c>
      <c r="B1483" t="s">
        <v>1717</v>
      </c>
      <c r="C1483" s="2">
        <v>46322</v>
      </c>
      <c r="D1483" t="s">
        <v>67</v>
      </c>
      <c r="E1483" t="s">
        <v>32</v>
      </c>
      <c r="F1483" t="s">
        <v>54</v>
      </c>
      <c r="G1483" t="s">
        <v>50</v>
      </c>
      <c r="H1483">
        <v>622</v>
      </c>
      <c r="I1483">
        <v>616</v>
      </c>
      <c r="J1483">
        <v>6</v>
      </c>
      <c r="K1483">
        <v>20</v>
      </c>
      <c r="L1483">
        <v>21.02</v>
      </c>
      <c r="M1483">
        <v>217.86</v>
      </c>
      <c r="N1483">
        <f>_xlfn.XLOOKUP(Table13[[#This Row],[Production_Order_ID]],[1]Sheet1!$A$2:$A$391,[1]Sheet1!$F$2:$F$391,"No Match")</f>
        <v>520</v>
      </c>
      <c r="O1483" s="3">
        <f>Table13[[#This Row],[Good_Qty]]/Table13[[#This Row],[Planned_Production]]</f>
        <v>1.1846153846153846</v>
      </c>
      <c r="P1483" t="str">
        <f>IF(Table13[[#This Row],[Good_Qty]]&gt;=Table13[[#This Row],[Planned_Production]],"Met","Not Met")</f>
        <v>Met</v>
      </c>
      <c r="Q1483">
        <f>Table13[[#This Row],[Good_Qty]]-Table13[[#This Row],[Planned_Production]]</f>
        <v>96</v>
      </c>
      <c r="R1483" s="3">
        <f>IF(Table13[[#This Row],[Actual_Qty]]=0,0,Table13[[#This Row],[Reject_Qty]]/Table13[[#This Row],[Actual_Qty]])</f>
        <v>9.6463022508038593E-3</v>
      </c>
      <c r="S1483">
        <v>435.32</v>
      </c>
      <c r="T1483">
        <f>(Table13[[#This Row],[Ideal_Cycle_Time_sec]]*Table13[[#This Row],[Actual_Qty]])/(Table13[[#This Row],[Operational_Time_min]]*60)</f>
        <v>0.47627798707464242</v>
      </c>
      <c r="U1483">
        <f>Table13[[#This Row],[Good_Qty]]/Table13[[#This Row],[Actual_Qty]]</f>
        <v>0.99035369774919613</v>
      </c>
      <c r="V1483" t="str">
        <f>IF(OR(Table13[[#This Row],[Performance_%]]&gt;=1,Table13[[#This Row],[Performance_%]]&lt;=0),"Error","OK")</f>
        <v>OK</v>
      </c>
      <c r="W1483" t="str">
        <f>IF(OR(Table13[[#This Row],[Quality_%]]&gt;=1,Table13[[#This Row],[Quality_%]]&lt;=0),"Error","OK")</f>
        <v>OK</v>
      </c>
      <c r="X1483">
        <f>Table13[[#This Row],[Performance_%]]*Table13[[#This Row],[Quality_%]]*[2]Availability_KPI!K1483</f>
        <v>0.45629629629629631</v>
      </c>
      <c r="Y1483" t="str">
        <f>IF(OR(Table13[[#This Row],[OEE_%]]&gt;1,Table13[[#This Row],[OEE_%]]&lt;0),"Error","OK")</f>
        <v>OK</v>
      </c>
    </row>
    <row r="1484" spans="1:25" x14ac:dyDescent="0.2">
      <c r="A1484" t="s">
        <v>1719</v>
      </c>
      <c r="B1484" t="s">
        <v>1717</v>
      </c>
      <c r="C1484" s="2">
        <v>46322</v>
      </c>
      <c r="D1484" t="s">
        <v>67</v>
      </c>
      <c r="E1484" t="s">
        <v>35</v>
      </c>
      <c r="F1484" t="s">
        <v>54</v>
      </c>
      <c r="G1484" t="s">
        <v>61</v>
      </c>
      <c r="H1484">
        <v>614</v>
      </c>
      <c r="I1484">
        <v>611</v>
      </c>
      <c r="J1484">
        <v>3</v>
      </c>
      <c r="K1484">
        <v>22</v>
      </c>
      <c r="L1484">
        <v>23.3</v>
      </c>
      <c r="M1484">
        <v>238.46</v>
      </c>
      <c r="N1484">
        <f>_xlfn.XLOOKUP(Table13[[#This Row],[Production_Order_ID]],[1]Sheet1!$A$2:$A$391,[1]Sheet1!$F$2:$F$391,"No Match")</f>
        <v>520</v>
      </c>
      <c r="O1484" s="3">
        <f>Table13[[#This Row],[Good_Qty]]/Table13[[#This Row],[Planned_Production]]</f>
        <v>1.175</v>
      </c>
      <c r="P1484" t="str">
        <f>IF(Table13[[#This Row],[Good_Qty]]&gt;=Table13[[#This Row],[Planned_Production]],"Met","Not Met")</f>
        <v>Met</v>
      </c>
      <c r="Q1484">
        <f>Table13[[#This Row],[Good_Qty]]-Table13[[#This Row],[Planned_Production]]</f>
        <v>91</v>
      </c>
      <c r="R1484" s="3">
        <f>IF(Table13[[#This Row],[Actual_Qty]]=0,0,Table13[[#This Row],[Reject_Qty]]/Table13[[#This Row],[Actual_Qty]])</f>
        <v>4.8859934853420191E-3</v>
      </c>
      <c r="S1484">
        <v>437.69</v>
      </c>
      <c r="T1484">
        <f>(Table13[[#This Row],[Ideal_Cycle_Time_sec]]*Table13[[#This Row],[Actual_Qty]])/(Table13[[#This Row],[Operational_Time_min]]*60)</f>
        <v>0.51436709390969249</v>
      </c>
      <c r="U1484">
        <f>Table13[[#This Row],[Good_Qty]]/Table13[[#This Row],[Actual_Qty]]</f>
        <v>0.99511400651465798</v>
      </c>
      <c r="V1484" t="str">
        <f>IF(OR(Table13[[#This Row],[Performance_%]]&gt;=1,Table13[[#This Row],[Performance_%]]&lt;=0),"Error","OK")</f>
        <v>OK</v>
      </c>
      <c r="W1484" t="str">
        <f>IF(OR(Table13[[#This Row],[Quality_%]]&gt;=1,Table13[[#This Row],[Quality_%]]&lt;=0),"Error","OK")</f>
        <v>OK</v>
      </c>
      <c r="X1484">
        <f>Table13[[#This Row],[Performance_%]]*Table13[[#This Row],[Quality_%]]*[2]Availability_KPI!K1484</f>
        <v>0.49785185185185182</v>
      </c>
      <c r="Y1484" t="str">
        <f>IF(OR(Table13[[#This Row],[OEE_%]]&gt;1,Table13[[#This Row],[OEE_%]]&lt;0),"Error","OK")</f>
        <v>OK</v>
      </c>
    </row>
    <row r="1485" spans="1:25" x14ac:dyDescent="0.2">
      <c r="A1485" t="s">
        <v>1720</v>
      </c>
      <c r="B1485" t="s">
        <v>1717</v>
      </c>
      <c r="C1485" s="2">
        <v>46322</v>
      </c>
      <c r="D1485" t="s">
        <v>67</v>
      </c>
      <c r="E1485" t="s">
        <v>38</v>
      </c>
      <c r="F1485" t="s">
        <v>54</v>
      </c>
      <c r="G1485" t="s">
        <v>71</v>
      </c>
      <c r="H1485">
        <v>602</v>
      </c>
      <c r="I1485">
        <v>600</v>
      </c>
      <c r="J1485">
        <v>2</v>
      </c>
      <c r="K1485">
        <v>20</v>
      </c>
      <c r="L1485">
        <v>21.49</v>
      </c>
      <c r="M1485">
        <v>215.62</v>
      </c>
      <c r="N1485">
        <f>_xlfn.XLOOKUP(Table13[[#This Row],[Production_Order_ID]],[1]Sheet1!$A$2:$A$391,[1]Sheet1!$F$2:$F$391,"No Match")</f>
        <v>520</v>
      </c>
      <c r="O1485" s="3">
        <f>Table13[[#This Row],[Good_Qty]]/Table13[[#This Row],[Planned_Production]]</f>
        <v>1.1538461538461537</v>
      </c>
      <c r="P1485" t="str">
        <f>IF(Table13[[#This Row],[Good_Qty]]&gt;=Table13[[#This Row],[Planned_Production]],"Met","Not Met")</f>
        <v>Met</v>
      </c>
      <c r="Q1485">
        <f>Table13[[#This Row],[Good_Qty]]-Table13[[#This Row],[Planned_Production]]</f>
        <v>80</v>
      </c>
      <c r="R1485" s="3">
        <f>IF(Table13[[#This Row],[Actual_Qty]]=0,0,Table13[[#This Row],[Reject_Qty]]/Table13[[#This Row],[Actual_Qty]])</f>
        <v>3.3222591362126247E-3</v>
      </c>
      <c r="S1485">
        <v>441.76</v>
      </c>
      <c r="T1485">
        <f>(Table13[[#This Row],[Ideal_Cycle_Time_sec]]*Table13[[#This Row],[Actual_Qty]])/(Table13[[#This Row],[Operational_Time_min]]*60)</f>
        <v>0.45424363153446823</v>
      </c>
      <c r="U1485">
        <f>Table13[[#This Row],[Good_Qty]]/Table13[[#This Row],[Actual_Qty]]</f>
        <v>0.99667774086378735</v>
      </c>
      <c r="V1485" t="str">
        <f>IF(OR(Table13[[#This Row],[Performance_%]]&gt;=1,Table13[[#This Row],[Performance_%]]&lt;=0),"Error","OK")</f>
        <v>OK</v>
      </c>
      <c r="W1485" t="str">
        <f>IF(OR(Table13[[#This Row],[Quality_%]]&gt;=1,Table13[[#This Row],[Quality_%]]&lt;=0),"Error","OK")</f>
        <v>OK</v>
      </c>
      <c r="X1485">
        <f>Table13[[#This Row],[Performance_%]]*Table13[[#This Row],[Quality_%]]*[2]Availability_KPI!K1485</f>
        <v>0.44444444444444448</v>
      </c>
      <c r="Y1485" t="str">
        <f>IF(OR(Table13[[#This Row],[OEE_%]]&gt;1,Table13[[#This Row],[OEE_%]]&lt;0),"Error","OK")</f>
        <v>OK</v>
      </c>
    </row>
    <row r="1486" spans="1:25" x14ac:dyDescent="0.2">
      <c r="A1486" t="s">
        <v>1721</v>
      </c>
      <c r="B1486" t="s">
        <v>1717</v>
      </c>
      <c r="C1486" s="2">
        <v>46322</v>
      </c>
      <c r="D1486" t="s">
        <v>67</v>
      </c>
      <c r="E1486" t="s">
        <v>41</v>
      </c>
      <c r="F1486" t="s">
        <v>54</v>
      </c>
      <c r="G1486" t="s">
        <v>75</v>
      </c>
      <c r="H1486">
        <v>603</v>
      </c>
      <c r="I1486">
        <v>598</v>
      </c>
      <c r="J1486">
        <v>5</v>
      </c>
      <c r="K1486">
        <v>18</v>
      </c>
      <c r="L1486">
        <v>18.489999999999998</v>
      </c>
      <c r="M1486">
        <v>185.8</v>
      </c>
      <c r="N1486">
        <f>_xlfn.XLOOKUP(Table13[[#This Row],[Production_Order_ID]],[1]Sheet1!$A$2:$A$391,[1]Sheet1!$F$2:$F$391,"No Match")</f>
        <v>520</v>
      </c>
      <c r="O1486" s="3">
        <f>Table13[[#This Row],[Good_Qty]]/Table13[[#This Row],[Planned_Production]]</f>
        <v>1.1499999999999999</v>
      </c>
      <c r="P1486" t="str">
        <f>IF(Table13[[#This Row],[Good_Qty]]&gt;=Table13[[#This Row],[Planned_Production]],"Met","Not Met")</f>
        <v>Met</v>
      </c>
      <c r="Q1486">
        <f>Table13[[#This Row],[Good_Qty]]-Table13[[#This Row],[Planned_Production]]</f>
        <v>78</v>
      </c>
      <c r="R1486" s="3">
        <f>IF(Table13[[#This Row],[Actual_Qty]]=0,0,Table13[[#This Row],[Reject_Qty]]/Table13[[#This Row],[Actual_Qty]])</f>
        <v>8.291873963515755E-3</v>
      </c>
      <c r="S1486">
        <v>441.4</v>
      </c>
      <c r="T1486">
        <f>(Table13[[#This Row],[Ideal_Cycle_Time_sec]]*Table13[[#This Row],[Actual_Qty]])/(Table13[[#This Row],[Operational_Time_min]]*60)</f>
        <v>0.40983235160851833</v>
      </c>
      <c r="U1486">
        <f>Table13[[#This Row],[Good_Qty]]/Table13[[#This Row],[Actual_Qty]]</f>
        <v>0.99170812603648428</v>
      </c>
      <c r="V1486" t="str">
        <f>IF(OR(Table13[[#This Row],[Performance_%]]&gt;=1,Table13[[#This Row],[Performance_%]]&lt;=0),"Error","OK")</f>
        <v>OK</v>
      </c>
      <c r="W1486" t="str">
        <f>IF(OR(Table13[[#This Row],[Quality_%]]&gt;=1,Table13[[#This Row],[Quality_%]]&lt;=0),"Error","OK")</f>
        <v>OK</v>
      </c>
      <c r="X1486">
        <f>Table13[[#This Row],[Performance_%]]*Table13[[#This Row],[Quality_%]]*[2]Availability_KPI!K1486</f>
        <v>0.39866666666666661</v>
      </c>
      <c r="Y1486" t="str">
        <f>IF(OR(Table13[[#This Row],[OEE_%]]&gt;1,Table13[[#This Row],[OEE_%]]&lt;0),"Error","OK")</f>
        <v>OK</v>
      </c>
    </row>
    <row r="1487" spans="1:25" x14ac:dyDescent="0.2">
      <c r="A1487" t="s">
        <v>1722</v>
      </c>
      <c r="B1487" t="s">
        <v>1717</v>
      </c>
      <c r="C1487" s="2">
        <v>46322</v>
      </c>
      <c r="D1487" t="s">
        <v>67</v>
      </c>
      <c r="E1487" t="s">
        <v>43</v>
      </c>
      <c r="F1487" t="s">
        <v>54</v>
      </c>
      <c r="G1487" t="s">
        <v>71</v>
      </c>
      <c r="H1487">
        <v>604</v>
      </c>
      <c r="I1487">
        <v>596</v>
      </c>
      <c r="J1487">
        <v>8</v>
      </c>
      <c r="K1487">
        <v>32</v>
      </c>
      <c r="L1487">
        <v>33.619999999999997</v>
      </c>
      <c r="M1487">
        <v>338.49</v>
      </c>
      <c r="N1487">
        <f>_xlfn.XLOOKUP(Table13[[#This Row],[Production_Order_ID]],[1]Sheet1!$A$2:$A$391,[1]Sheet1!$F$2:$F$391,"No Match")</f>
        <v>520</v>
      </c>
      <c r="O1487" s="3">
        <f>Table13[[#This Row],[Good_Qty]]/Table13[[#This Row],[Planned_Production]]</f>
        <v>1.1461538461538461</v>
      </c>
      <c r="P1487" t="str">
        <f>IF(Table13[[#This Row],[Good_Qty]]&gt;=Table13[[#This Row],[Planned_Production]],"Met","Not Met")</f>
        <v>Met</v>
      </c>
      <c r="Q1487">
        <f>Table13[[#This Row],[Good_Qty]]-Table13[[#This Row],[Planned_Production]]</f>
        <v>76</v>
      </c>
      <c r="R1487" s="3">
        <f>IF(Table13[[#This Row],[Actual_Qty]]=0,0,Table13[[#This Row],[Reject_Qty]]/Table13[[#This Row],[Actual_Qty]])</f>
        <v>1.3245033112582781E-2</v>
      </c>
      <c r="S1487">
        <v>412.96</v>
      </c>
      <c r="T1487">
        <f>(Table13[[#This Row],[Ideal_Cycle_Time_sec]]*Table13[[#This Row],[Actual_Qty]])/(Table13[[#This Row],[Operational_Time_min]]*60)</f>
        <v>0.78005940849799826</v>
      </c>
      <c r="U1487">
        <f>Table13[[#This Row],[Good_Qty]]/Table13[[#This Row],[Actual_Qty]]</f>
        <v>0.98675496688741726</v>
      </c>
      <c r="V1487" t="str">
        <f>IF(OR(Table13[[#This Row],[Performance_%]]&gt;=1,Table13[[#This Row],[Performance_%]]&lt;=0),"Error","OK")</f>
        <v>OK</v>
      </c>
      <c r="W1487" t="str">
        <f>IF(OR(Table13[[#This Row],[Quality_%]]&gt;=1,Table13[[#This Row],[Quality_%]]&lt;=0),"Error","OK")</f>
        <v>OK</v>
      </c>
      <c r="X1487">
        <f>Table13[[#This Row],[Performance_%]]*Table13[[#This Row],[Quality_%]]*[2]Availability_KPI!K1487</f>
        <v>0.70637037037037043</v>
      </c>
      <c r="Y1487" t="str">
        <f>IF(OR(Table13[[#This Row],[OEE_%]]&gt;1,Table13[[#This Row],[OEE_%]]&lt;0),"Error","OK")</f>
        <v>OK</v>
      </c>
    </row>
    <row r="1488" spans="1:25" x14ac:dyDescent="0.2">
      <c r="A1488" t="s">
        <v>1723</v>
      </c>
      <c r="B1488" t="s">
        <v>1717</v>
      </c>
      <c r="C1488" s="2">
        <v>46322</v>
      </c>
      <c r="D1488" t="s">
        <v>67</v>
      </c>
      <c r="E1488" t="s">
        <v>46</v>
      </c>
      <c r="F1488" t="s">
        <v>54</v>
      </c>
      <c r="G1488" t="s">
        <v>71</v>
      </c>
      <c r="H1488">
        <v>607</v>
      </c>
      <c r="I1488">
        <v>603</v>
      </c>
      <c r="J1488">
        <v>4</v>
      </c>
      <c r="K1488">
        <v>25</v>
      </c>
      <c r="L1488">
        <v>26.01</v>
      </c>
      <c r="M1488">
        <v>263.12</v>
      </c>
      <c r="N1488">
        <f>_xlfn.XLOOKUP(Table13[[#This Row],[Production_Order_ID]],[1]Sheet1!$A$2:$A$391,[1]Sheet1!$F$2:$F$391,"No Match")</f>
        <v>520</v>
      </c>
      <c r="O1488" s="3">
        <f>Table13[[#This Row],[Good_Qty]]/Table13[[#This Row],[Planned_Production]]</f>
        <v>1.1596153846153847</v>
      </c>
      <c r="P1488" t="str">
        <f>IF(Table13[[#This Row],[Good_Qty]]&gt;=Table13[[#This Row],[Planned_Production]],"Met","Not Met")</f>
        <v>Met</v>
      </c>
      <c r="Q1488">
        <f>Table13[[#This Row],[Good_Qty]]-Table13[[#This Row],[Planned_Production]]</f>
        <v>83</v>
      </c>
      <c r="R1488" s="3">
        <f>IF(Table13[[#This Row],[Actual_Qty]]=0,0,Table13[[#This Row],[Reject_Qty]]/Table13[[#This Row],[Actual_Qty]])</f>
        <v>6.5897858319604614E-3</v>
      </c>
      <c r="S1488">
        <v>434.06</v>
      </c>
      <c r="T1488">
        <f>(Table13[[#This Row],[Ideal_Cycle_Time_sec]]*Table13[[#This Row],[Actual_Qty]])/(Table13[[#This Row],[Operational_Time_min]]*60)</f>
        <v>0.58267674207866815</v>
      </c>
      <c r="U1488">
        <f>Table13[[#This Row],[Good_Qty]]/Table13[[#This Row],[Actual_Qty]]</f>
        <v>0.99341021416803954</v>
      </c>
      <c r="V1488" t="str">
        <f>IF(OR(Table13[[#This Row],[Performance_%]]&gt;=1,Table13[[#This Row],[Performance_%]]&lt;=0),"Error","OK")</f>
        <v>OK</v>
      </c>
      <c r="W1488" t="str">
        <f>IF(OR(Table13[[#This Row],[Quality_%]]&gt;=1,Table13[[#This Row],[Quality_%]]&lt;=0),"Error","OK")</f>
        <v>OK</v>
      </c>
      <c r="X1488">
        <f>Table13[[#This Row],[Performance_%]]*Table13[[#This Row],[Quality_%]]*[2]Availability_KPI!K1488</f>
        <v>0.55833333333333335</v>
      </c>
      <c r="Y1488" t="str">
        <f>IF(OR(Table13[[#This Row],[OEE_%]]&gt;1,Table13[[#This Row],[OEE_%]]&lt;0),"Error","OK")</f>
        <v>OK</v>
      </c>
    </row>
    <row r="1489" spans="1:25" x14ac:dyDescent="0.2">
      <c r="A1489" t="s">
        <v>1724</v>
      </c>
      <c r="B1489" t="s">
        <v>1717</v>
      </c>
      <c r="C1489" s="2">
        <v>46322</v>
      </c>
      <c r="D1489" t="s">
        <v>67</v>
      </c>
      <c r="E1489" t="s">
        <v>49</v>
      </c>
      <c r="F1489" t="s">
        <v>54</v>
      </c>
      <c r="G1489" t="s">
        <v>44</v>
      </c>
      <c r="H1489">
        <v>614</v>
      </c>
      <c r="I1489">
        <v>610</v>
      </c>
      <c r="J1489">
        <v>4</v>
      </c>
      <c r="K1489">
        <v>20</v>
      </c>
      <c r="L1489">
        <v>21.08</v>
      </c>
      <c r="M1489">
        <v>215.75</v>
      </c>
      <c r="N1489">
        <f>_xlfn.XLOOKUP(Table13[[#This Row],[Production_Order_ID]],[1]Sheet1!$A$2:$A$391,[1]Sheet1!$F$2:$F$391,"No Match")</f>
        <v>520</v>
      </c>
      <c r="O1489" s="3">
        <f>Table13[[#This Row],[Good_Qty]]/Table13[[#This Row],[Planned_Production]]</f>
        <v>1.1730769230769231</v>
      </c>
      <c r="P1489" t="str">
        <f>IF(Table13[[#This Row],[Good_Qty]]&gt;=Table13[[#This Row],[Planned_Production]],"Met","Not Met")</f>
        <v>Met</v>
      </c>
      <c r="Q1489">
        <f>Table13[[#This Row],[Good_Qty]]-Table13[[#This Row],[Planned_Production]]</f>
        <v>90</v>
      </c>
      <c r="R1489" s="3">
        <f>IF(Table13[[#This Row],[Actual_Qty]]=0,0,Table13[[#This Row],[Reject_Qty]]/Table13[[#This Row],[Actual_Qty]])</f>
        <v>6.5146579804560263E-3</v>
      </c>
      <c r="S1489">
        <v>440.34</v>
      </c>
      <c r="T1489">
        <f>(Table13[[#This Row],[Ideal_Cycle_Time_sec]]*Table13[[#This Row],[Actual_Qty]])/(Table13[[#This Row],[Operational_Time_min]]*60)</f>
        <v>0.46479235742078095</v>
      </c>
      <c r="U1489">
        <f>Table13[[#This Row],[Good_Qty]]/Table13[[#This Row],[Actual_Qty]]</f>
        <v>0.99348534201954397</v>
      </c>
      <c r="V1489" t="str">
        <f>IF(OR(Table13[[#This Row],[Performance_%]]&gt;=1,Table13[[#This Row],[Performance_%]]&lt;=0),"Error","OK")</f>
        <v>OK</v>
      </c>
      <c r="W1489" t="str">
        <f>IF(OR(Table13[[#This Row],[Quality_%]]&gt;=1,Table13[[#This Row],[Quality_%]]&lt;=0),"Error","OK")</f>
        <v>OK</v>
      </c>
      <c r="X1489">
        <f>Table13[[#This Row],[Performance_%]]*Table13[[#This Row],[Quality_%]]*[2]Availability_KPI!K1489</f>
        <v>0.45185185185185184</v>
      </c>
      <c r="Y1489" t="str">
        <f>IF(OR(Table13[[#This Row],[OEE_%]]&gt;1,Table13[[#This Row],[OEE_%]]&lt;0),"Error","OK")</f>
        <v>OK</v>
      </c>
    </row>
    <row r="1490" spans="1:25" x14ac:dyDescent="0.2">
      <c r="A1490" t="s">
        <v>1725</v>
      </c>
      <c r="B1490" t="s">
        <v>1726</v>
      </c>
      <c r="C1490" s="2">
        <v>46323</v>
      </c>
      <c r="D1490" t="s">
        <v>27</v>
      </c>
      <c r="E1490" t="s">
        <v>28</v>
      </c>
      <c r="F1490" t="s">
        <v>97</v>
      </c>
      <c r="G1490" t="s">
        <v>71</v>
      </c>
      <c r="H1490">
        <v>535</v>
      </c>
      <c r="I1490">
        <v>534</v>
      </c>
      <c r="J1490">
        <v>1</v>
      </c>
      <c r="K1490">
        <v>19.260000000000002</v>
      </c>
      <c r="L1490">
        <v>19.690000000000001</v>
      </c>
      <c r="M1490">
        <v>175.57</v>
      </c>
      <c r="N1490">
        <f>_xlfn.XLOOKUP(Table13[[#This Row],[Production_Order_ID]],[1]Sheet1!$A$2:$A$391,[1]Sheet1!$F$2:$F$391,"No Match")</f>
        <v>550</v>
      </c>
      <c r="O1490" s="3">
        <f>Table13[[#This Row],[Good_Qty]]/Table13[[#This Row],[Planned_Production]]</f>
        <v>0.97090909090909094</v>
      </c>
      <c r="P1490" t="str">
        <f>IF(Table13[[#This Row],[Good_Qty]]&gt;=Table13[[#This Row],[Planned_Production]],"Met","Not Met")</f>
        <v>Not Met</v>
      </c>
      <c r="Q1490">
        <f>Table13[[#This Row],[Good_Qty]]-Table13[[#This Row],[Planned_Production]]</f>
        <v>-16</v>
      </c>
      <c r="R1490" s="3">
        <f>IF(Table13[[#This Row],[Actual_Qty]]=0,0,Table13[[#This Row],[Reject_Qty]]/Table13[[#This Row],[Actual_Qty]])</f>
        <v>1.869158878504673E-3</v>
      </c>
      <c r="S1490">
        <v>442</v>
      </c>
      <c r="T1490">
        <f>(Table13[[#This Row],[Ideal_Cycle_Time_sec]]*Table13[[#This Row],[Actual_Qty]])/(Table13[[#This Row],[Operational_Time_min]]*60)</f>
        <v>0.38854072398190048</v>
      </c>
      <c r="U1490">
        <f>Table13[[#This Row],[Good_Qty]]/Table13[[#This Row],[Actual_Qty]]</f>
        <v>0.9981308411214953</v>
      </c>
      <c r="V1490" t="str">
        <f>IF(OR(Table13[[#This Row],[Performance_%]]&gt;=1,Table13[[#This Row],[Performance_%]]&lt;=0),"Error","OK")</f>
        <v>OK</v>
      </c>
      <c r="W1490" t="str">
        <f>IF(OR(Table13[[#This Row],[Quality_%]]&gt;=1,Table13[[#This Row],[Quality_%]]&lt;=0),"Error","OK")</f>
        <v>OK</v>
      </c>
      <c r="X1490">
        <f>Table13[[#This Row],[Performance_%]]*Table13[[#This Row],[Quality_%]]*[2]Availability_KPI!K1490</f>
        <v>0.38092000000000004</v>
      </c>
      <c r="Y1490" t="str">
        <f>IF(OR(Table13[[#This Row],[OEE_%]]&gt;1,Table13[[#This Row],[OEE_%]]&lt;0),"Error","OK")</f>
        <v>OK</v>
      </c>
    </row>
    <row r="1491" spans="1:25" x14ac:dyDescent="0.2">
      <c r="A1491" t="s">
        <v>1727</v>
      </c>
      <c r="B1491" t="s">
        <v>1726</v>
      </c>
      <c r="C1491" s="2">
        <v>46323</v>
      </c>
      <c r="D1491" t="s">
        <v>27</v>
      </c>
      <c r="E1491" t="s">
        <v>32</v>
      </c>
      <c r="F1491" t="s">
        <v>97</v>
      </c>
      <c r="G1491" t="s">
        <v>55</v>
      </c>
      <c r="H1491">
        <v>545</v>
      </c>
      <c r="I1491">
        <v>542</v>
      </c>
      <c r="J1491">
        <v>3</v>
      </c>
      <c r="K1491">
        <v>21.4</v>
      </c>
      <c r="L1491">
        <v>22.45</v>
      </c>
      <c r="M1491">
        <v>203.88</v>
      </c>
      <c r="N1491">
        <f>_xlfn.XLOOKUP(Table13[[#This Row],[Production_Order_ID]],[1]Sheet1!$A$2:$A$391,[1]Sheet1!$F$2:$F$391,"No Match")</f>
        <v>550</v>
      </c>
      <c r="O1491" s="3">
        <f>Table13[[#This Row],[Good_Qty]]/Table13[[#This Row],[Planned_Production]]</f>
        <v>0.98545454545454547</v>
      </c>
      <c r="P1491" t="str">
        <f>IF(Table13[[#This Row],[Good_Qty]]&gt;=Table13[[#This Row],[Planned_Production]],"Met","Not Met")</f>
        <v>Not Met</v>
      </c>
      <c r="Q1491">
        <f>Table13[[#This Row],[Good_Qty]]-Table13[[#This Row],[Planned_Production]]</f>
        <v>-8</v>
      </c>
      <c r="R1491" s="3">
        <f>IF(Table13[[#This Row],[Actual_Qty]]=0,0,Table13[[#This Row],[Reject_Qty]]/Table13[[#This Row],[Actual_Qty]])</f>
        <v>5.5045871559633031E-3</v>
      </c>
      <c r="S1491">
        <v>436.74</v>
      </c>
      <c r="T1491">
        <f>(Table13[[#This Row],[Ideal_Cycle_Time_sec]]*Table13[[#This Row],[Actual_Qty]])/(Table13[[#This Row],[Operational_Time_min]]*60)</f>
        <v>0.44507792584451461</v>
      </c>
      <c r="U1491">
        <f>Table13[[#This Row],[Good_Qty]]/Table13[[#This Row],[Actual_Qty]]</f>
        <v>0.99449541284403675</v>
      </c>
      <c r="V1491" t="str">
        <f>IF(OR(Table13[[#This Row],[Performance_%]]&gt;=1,Table13[[#This Row],[Performance_%]]&lt;=0),"Error","OK")</f>
        <v>OK</v>
      </c>
      <c r="W1491" t="str">
        <f>IF(OR(Table13[[#This Row],[Quality_%]]&gt;=1,Table13[[#This Row],[Quality_%]]&lt;=0),"Error","OK")</f>
        <v>OK</v>
      </c>
      <c r="X1491">
        <f>Table13[[#This Row],[Performance_%]]*Table13[[#This Row],[Quality_%]]*[2]Availability_KPI!K1491</f>
        <v>0.42958518518518513</v>
      </c>
      <c r="Y1491" t="str">
        <f>IF(OR(Table13[[#This Row],[OEE_%]]&gt;1,Table13[[#This Row],[OEE_%]]&lt;0),"Error","OK")</f>
        <v>OK</v>
      </c>
    </row>
    <row r="1492" spans="1:25" x14ac:dyDescent="0.2">
      <c r="A1492" t="s">
        <v>1728</v>
      </c>
      <c r="B1492" t="s">
        <v>1726</v>
      </c>
      <c r="C1492" s="2">
        <v>46323</v>
      </c>
      <c r="D1492" t="s">
        <v>27</v>
      </c>
      <c r="E1492" t="s">
        <v>35</v>
      </c>
      <c r="F1492" t="s">
        <v>97</v>
      </c>
      <c r="G1492" t="s">
        <v>44</v>
      </c>
      <c r="H1492">
        <v>544</v>
      </c>
      <c r="I1492">
        <v>539</v>
      </c>
      <c r="J1492">
        <v>5</v>
      </c>
      <c r="K1492">
        <v>23.54</v>
      </c>
      <c r="L1492">
        <v>25.16</v>
      </c>
      <c r="M1492">
        <v>228.11</v>
      </c>
      <c r="N1492">
        <f>_xlfn.XLOOKUP(Table13[[#This Row],[Production_Order_ID]],[1]Sheet1!$A$2:$A$391,[1]Sheet1!$F$2:$F$391,"No Match")</f>
        <v>550</v>
      </c>
      <c r="O1492" s="3">
        <f>Table13[[#This Row],[Good_Qty]]/Table13[[#This Row],[Planned_Production]]</f>
        <v>0.98</v>
      </c>
      <c r="P1492" t="str">
        <f>IF(Table13[[#This Row],[Good_Qty]]&gt;=Table13[[#This Row],[Planned_Production]],"Met","Not Met")</f>
        <v>Not Met</v>
      </c>
      <c r="Q1492">
        <f>Table13[[#This Row],[Good_Qty]]-Table13[[#This Row],[Planned_Production]]</f>
        <v>-11</v>
      </c>
      <c r="R1492" s="3">
        <f>IF(Table13[[#This Row],[Actual_Qty]]=0,0,Table13[[#This Row],[Reject_Qty]]/Table13[[#This Row],[Actual_Qty]])</f>
        <v>9.1911764705882356E-3</v>
      </c>
      <c r="S1492">
        <v>435.6</v>
      </c>
      <c r="T1492">
        <f>(Table13[[#This Row],[Ideal_Cycle_Time_sec]]*Table13[[#This Row],[Actual_Qty]])/(Table13[[#This Row],[Operational_Time_min]]*60)</f>
        <v>0.48996632996632999</v>
      </c>
      <c r="U1492">
        <f>Table13[[#This Row],[Good_Qty]]/Table13[[#This Row],[Actual_Qty]]</f>
        <v>0.9908088235294118</v>
      </c>
      <c r="V1492" t="str">
        <f>IF(OR(Table13[[#This Row],[Performance_%]]&gt;=1,Table13[[#This Row],[Performance_%]]&lt;=0),"Error","OK")</f>
        <v>OK</v>
      </c>
      <c r="W1492" t="str">
        <f>IF(OR(Table13[[#This Row],[Quality_%]]&gt;=1,Table13[[#This Row],[Quality_%]]&lt;=0),"Error","OK")</f>
        <v>OK</v>
      </c>
      <c r="X1492">
        <f>Table13[[#This Row],[Performance_%]]*Table13[[#This Row],[Quality_%]]*[2]Availability_KPI!K1492</f>
        <v>0.46992814814814821</v>
      </c>
      <c r="Y1492" t="str">
        <f>IF(OR(Table13[[#This Row],[OEE_%]]&gt;1,Table13[[#This Row],[OEE_%]]&lt;0),"Error","OK")</f>
        <v>OK</v>
      </c>
    </row>
    <row r="1493" spans="1:25" x14ac:dyDescent="0.2">
      <c r="A1493" t="s">
        <v>1729</v>
      </c>
      <c r="B1493" t="s">
        <v>1726</v>
      </c>
      <c r="C1493" s="2">
        <v>46323</v>
      </c>
      <c r="D1493" t="s">
        <v>27</v>
      </c>
      <c r="E1493" t="s">
        <v>38</v>
      </c>
      <c r="F1493" t="s">
        <v>97</v>
      </c>
      <c r="G1493" t="s">
        <v>44</v>
      </c>
      <c r="H1493">
        <v>542</v>
      </c>
      <c r="I1493">
        <v>538</v>
      </c>
      <c r="J1493">
        <v>4</v>
      </c>
      <c r="K1493">
        <v>21.4</v>
      </c>
      <c r="L1493">
        <v>22.35</v>
      </c>
      <c r="M1493">
        <v>201.87</v>
      </c>
      <c r="N1493">
        <f>_xlfn.XLOOKUP(Table13[[#This Row],[Production_Order_ID]],[1]Sheet1!$A$2:$A$391,[1]Sheet1!$F$2:$F$391,"No Match")</f>
        <v>550</v>
      </c>
      <c r="O1493" s="3">
        <f>Table13[[#This Row],[Good_Qty]]/Table13[[#This Row],[Planned_Production]]</f>
        <v>0.97818181818181815</v>
      </c>
      <c r="P1493" t="str">
        <f>IF(Table13[[#This Row],[Good_Qty]]&gt;=Table13[[#This Row],[Planned_Production]],"Met","Not Met")</f>
        <v>Not Met</v>
      </c>
      <c r="Q1493">
        <f>Table13[[#This Row],[Good_Qty]]-Table13[[#This Row],[Planned_Production]]</f>
        <v>-12</v>
      </c>
      <c r="R1493" s="3">
        <f>IF(Table13[[#This Row],[Actual_Qty]]=0,0,Table13[[#This Row],[Reject_Qty]]/Table13[[#This Row],[Actual_Qty]])</f>
        <v>7.3800738007380072E-3</v>
      </c>
      <c r="S1493">
        <v>440.21</v>
      </c>
      <c r="T1493">
        <f>(Table13[[#This Row],[Ideal_Cycle_Time_sec]]*Table13[[#This Row],[Actual_Qty]])/(Table13[[#This Row],[Operational_Time_min]]*60)</f>
        <v>0.43913889583002053</v>
      </c>
      <c r="U1493">
        <f>Table13[[#This Row],[Good_Qty]]/Table13[[#This Row],[Actual_Qty]]</f>
        <v>0.99261992619926198</v>
      </c>
      <c r="V1493" t="str">
        <f>IF(OR(Table13[[#This Row],[Performance_%]]&gt;=1,Table13[[#This Row],[Performance_%]]&lt;=0),"Error","OK")</f>
        <v>OK</v>
      </c>
      <c r="W1493" t="str">
        <f>IF(OR(Table13[[#This Row],[Quality_%]]&gt;=1,Table13[[#This Row],[Quality_%]]&lt;=0),"Error","OK")</f>
        <v>OK</v>
      </c>
      <c r="X1493">
        <f>Table13[[#This Row],[Performance_%]]*Table13[[#This Row],[Quality_%]]*[2]Availability_KPI!K1493</f>
        <v>0.42641481481481475</v>
      </c>
      <c r="Y1493" t="str">
        <f>IF(OR(Table13[[#This Row],[OEE_%]]&gt;1,Table13[[#This Row],[OEE_%]]&lt;0),"Error","OK")</f>
        <v>OK</v>
      </c>
    </row>
    <row r="1494" spans="1:25" x14ac:dyDescent="0.2">
      <c r="A1494" t="s">
        <v>1730</v>
      </c>
      <c r="B1494" t="s">
        <v>1726</v>
      </c>
      <c r="C1494" s="2">
        <v>46323</v>
      </c>
      <c r="D1494" t="s">
        <v>27</v>
      </c>
      <c r="E1494" t="s">
        <v>41</v>
      </c>
      <c r="F1494" t="s">
        <v>97</v>
      </c>
      <c r="G1494" t="s">
        <v>75</v>
      </c>
      <c r="H1494">
        <v>537</v>
      </c>
      <c r="I1494">
        <v>533</v>
      </c>
      <c r="J1494">
        <v>4</v>
      </c>
      <c r="K1494">
        <v>19.260000000000002</v>
      </c>
      <c r="L1494">
        <v>19.260000000000002</v>
      </c>
      <c r="M1494">
        <v>172.38</v>
      </c>
      <c r="N1494">
        <f>_xlfn.XLOOKUP(Table13[[#This Row],[Production_Order_ID]],[1]Sheet1!$A$2:$A$391,[1]Sheet1!$F$2:$F$391,"No Match")</f>
        <v>550</v>
      </c>
      <c r="O1494" s="3">
        <f>Table13[[#This Row],[Good_Qty]]/Table13[[#This Row],[Planned_Production]]</f>
        <v>0.96909090909090911</v>
      </c>
      <c r="P1494" t="str">
        <f>IF(Table13[[#This Row],[Good_Qty]]&gt;=Table13[[#This Row],[Planned_Production]],"Met","Not Met")</f>
        <v>Not Met</v>
      </c>
      <c r="Q1494">
        <f>Table13[[#This Row],[Good_Qty]]-Table13[[#This Row],[Planned_Production]]</f>
        <v>-17</v>
      </c>
      <c r="R1494" s="3">
        <f>IF(Table13[[#This Row],[Actual_Qty]]=0,0,Table13[[#This Row],[Reject_Qty]]/Table13[[#This Row],[Actual_Qty]])</f>
        <v>7.4487895716945996E-3</v>
      </c>
      <c r="S1494">
        <v>437.78</v>
      </c>
      <c r="T1494">
        <f>(Table13[[#This Row],[Ideal_Cycle_Time_sec]]*Table13[[#This Row],[Actual_Qty]])/(Table13[[#This Row],[Operational_Time_min]]*60)</f>
        <v>0.39375256978390977</v>
      </c>
      <c r="U1494">
        <f>Table13[[#This Row],[Good_Qty]]/Table13[[#This Row],[Actual_Qty]]</f>
        <v>0.99255121042830541</v>
      </c>
      <c r="V1494" t="str">
        <f>IF(OR(Table13[[#This Row],[Performance_%]]&gt;=1,Table13[[#This Row],[Performance_%]]&lt;=0),"Error","OK")</f>
        <v>OK</v>
      </c>
      <c r="W1494" t="str">
        <f>IF(OR(Table13[[#This Row],[Quality_%]]&gt;=1,Table13[[#This Row],[Quality_%]]&lt;=0),"Error","OK")</f>
        <v>OK</v>
      </c>
      <c r="X1494">
        <f>Table13[[#This Row],[Performance_%]]*Table13[[#This Row],[Quality_%]]*[2]Availability_KPI!K1494</f>
        <v>0.38020666666666669</v>
      </c>
      <c r="Y1494" t="str">
        <f>IF(OR(Table13[[#This Row],[OEE_%]]&gt;1,Table13[[#This Row],[OEE_%]]&lt;0),"Error","OK")</f>
        <v>OK</v>
      </c>
    </row>
    <row r="1495" spans="1:25" x14ac:dyDescent="0.2">
      <c r="A1495" t="s">
        <v>1731</v>
      </c>
      <c r="B1495" t="s">
        <v>1726</v>
      </c>
      <c r="C1495" s="2">
        <v>46323</v>
      </c>
      <c r="D1495" t="s">
        <v>27</v>
      </c>
      <c r="E1495" t="s">
        <v>43</v>
      </c>
      <c r="F1495" t="s">
        <v>97</v>
      </c>
      <c r="G1495" t="s">
        <v>50</v>
      </c>
      <c r="H1495">
        <v>520</v>
      </c>
      <c r="I1495">
        <v>512</v>
      </c>
      <c r="J1495">
        <v>8</v>
      </c>
      <c r="K1495">
        <v>34.24</v>
      </c>
      <c r="L1495">
        <v>35.92</v>
      </c>
      <c r="M1495">
        <v>311.33</v>
      </c>
      <c r="N1495">
        <f>_xlfn.XLOOKUP(Table13[[#This Row],[Production_Order_ID]],[1]Sheet1!$A$2:$A$391,[1]Sheet1!$F$2:$F$391,"No Match")</f>
        <v>550</v>
      </c>
      <c r="O1495" s="3">
        <f>Table13[[#This Row],[Good_Qty]]/Table13[[#This Row],[Planned_Production]]</f>
        <v>0.93090909090909091</v>
      </c>
      <c r="P1495" t="str">
        <f>IF(Table13[[#This Row],[Good_Qty]]&gt;=Table13[[#This Row],[Planned_Production]],"Met","Not Met")</f>
        <v>Not Met</v>
      </c>
      <c r="Q1495">
        <f>Table13[[#This Row],[Good_Qty]]-Table13[[#This Row],[Planned_Production]]</f>
        <v>-38</v>
      </c>
      <c r="R1495" s="3">
        <f>IF(Table13[[#This Row],[Actual_Qty]]=0,0,Table13[[#This Row],[Reject_Qty]]/Table13[[#This Row],[Actual_Qty]])</f>
        <v>1.5384615384615385E-2</v>
      </c>
      <c r="S1495">
        <v>409.87</v>
      </c>
      <c r="T1495">
        <f>(Table13[[#This Row],[Ideal_Cycle_Time_sec]]*Table13[[#This Row],[Actual_Qty]])/(Table13[[#This Row],[Operational_Time_min]]*60)</f>
        <v>0.72400191930774793</v>
      </c>
      <c r="U1495">
        <f>Table13[[#This Row],[Good_Qty]]/Table13[[#This Row],[Actual_Qty]]</f>
        <v>0.98461538461538467</v>
      </c>
      <c r="V1495" t="str">
        <f>IF(OR(Table13[[#This Row],[Performance_%]]&gt;=1,Table13[[#This Row],[Performance_%]]&lt;=0),"Error","OK")</f>
        <v>OK</v>
      </c>
      <c r="W1495" t="str">
        <f>IF(OR(Table13[[#This Row],[Quality_%]]&gt;=1,Table13[[#This Row],[Quality_%]]&lt;=0),"Error","OK")</f>
        <v>OK</v>
      </c>
      <c r="X1495">
        <f>Table13[[#This Row],[Performance_%]]*Table13[[#This Row],[Quality_%]]*[2]Availability_KPI!K1495</f>
        <v>0.6492918518518519</v>
      </c>
      <c r="Y1495" t="str">
        <f>IF(OR(Table13[[#This Row],[OEE_%]]&gt;1,Table13[[#This Row],[OEE_%]]&lt;0),"Error","OK")</f>
        <v>OK</v>
      </c>
    </row>
    <row r="1496" spans="1:25" x14ac:dyDescent="0.2">
      <c r="A1496" t="s">
        <v>1732</v>
      </c>
      <c r="B1496" t="s">
        <v>1726</v>
      </c>
      <c r="C1496" s="2">
        <v>46323</v>
      </c>
      <c r="D1496" t="s">
        <v>27</v>
      </c>
      <c r="E1496" t="s">
        <v>46</v>
      </c>
      <c r="F1496" t="s">
        <v>97</v>
      </c>
      <c r="G1496" t="s">
        <v>36</v>
      </c>
      <c r="H1496">
        <v>546</v>
      </c>
      <c r="I1496">
        <v>542</v>
      </c>
      <c r="J1496">
        <v>4</v>
      </c>
      <c r="K1496">
        <v>26.75</v>
      </c>
      <c r="L1496">
        <v>26.75</v>
      </c>
      <c r="M1496">
        <v>243.43</v>
      </c>
      <c r="N1496">
        <f>_xlfn.XLOOKUP(Table13[[#This Row],[Production_Order_ID]],[1]Sheet1!$A$2:$A$391,[1]Sheet1!$F$2:$F$391,"No Match")</f>
        <v>550</v>
      </c>
      <c r="O1496" s="3">
        <f>Table13[[#This Row],[Good_Qty]]/Table13[[#This Row],[Planned_Production]]</f>
        <v>0.98545454545454547</v>
      </c>
      <c r="P1496" t="str">
        <f>IF(Table13[[#This Row],[Good_Qty]]&gt;=Table13[[#This Row],[Planned_Production]],"Met","Not Met")</f>
        <v>Not Met</v>
      </c>
      <c r="Q1496">
        <f>Table13[[#This Row],[Good_Qty]]-Table13[[#This Row],[Planned_Production]]</f>
        <v>-8</v>
      </c>
      <c r="R1496" s="3">
        <f>IF(Table13[[#This Row],[Actual_Qty]]=0,0,Table13[[#This Row],[Reject_Qty]]/Table13[[#This Row],[Actual_Qty]])</f>
        <v>7.326007326007326E-3</v>
      </c>
      <c r="S1496">
        <v>430.21</v>
      </c>
      <c r="T1496">
        <f>(Table13[[#This Row],[Ideal_Cycle_Time_sec]]*Table13[[#This Row],[Actual_Qty]])/(Table13[[#This Row],[Operational_Time_min]]*60)</f>
        <v>0.56582831640361686</v>
      </c>
      <c r="U1496">
        <f>Table13[[#This Row],[Good_Qty]]/Table13[[#This Row],[Actual_Qty]]</f>
        <v>0.9926739926739927</v>
      </c>
      <c r="V1496" t="str">
        <f>IF(OR(Table13[[#This Row],[Performance_%]]&gt;=1,Table13[[#This Row],[Performance_%]]&lt;=0),"Error","OK")</f>
        <v>OK</v>
      </c>
      <c r="W1496" t="str">
        <f>IF(OR(Table13[[#This Row],[Quality_%]]&gt;=1,Table13[[#This Row],[Quality_%]]&lt;=0),"Error","OK")</f>
        <v>OK</v>
      </c>
      <c r="X1496">
        <f>Table13[[#This Row],[Performance_%]]*Table13[[#This Row],[Quality_%]]*[2]Availability_KPI!K1496</f>
        <v>0.5369814814814815</v>
      </c>
      <c r="Y1496" t="str">
        <f>IF(OR(Table13[[#This Row],[OEE_%]]&gt;1,Table13[[#This Row],[OEE_%]]&lt;0),"Error","OK")</f>
        <v>OK</v>
      </c>
    </row>
    <row r="1497" spans="1:25" x14ac:dyDescent="0.2">
      <c r="A1497" t="s">
        <v>1733</v>
      </c>
      <c r="B1497" t="s">
        <v>1726</v>
      </c>
      <c r="C1497" s="2">
        <v>46323</v>
      </c>
      <c r="D1497" t="s">
        <v>27</v>
      </c>
      <c r="E1497" t="s">
        <v>49</v>
      </c>
      <c r="F1497" t="s">
        <v>97</v>
      </c>
      <c r="G1497" t="s">
        <v>75</v>
      </c>
      <c r="H1497">
        <v>533</v>
      </c>
      <c r="I1497">
        <v>530</v>
      </c>
      <c r="J1497">
        <v>3</v>
      </c>
      <c r="K1497">
        <v>21.4</v>
      </c>
      <c r="L1497">
        <v>21.81</v>
      </c>
      <c r="M1497">
        <v>193.75</v>
      </c>
      <c r="N1497">
        <f>_xlfn.XLOOKUP(Table13[[#This Row],[Production_Order_ID]],[1]Sheet1!$A$2:$A$391,[1]Sheet1!$F$2:$F$391,"No Match")</f>
        <v>550</v>
      </c>
      <c r="O1497" s="3">
        <f>Table13[[#This Row],[Good_Qty]]/Table13[[#This Row],[Planned_Production]]</f>
        <v>0.96363636363636362</v>
      </c>
      <c r="P1497" t="str">
        <f>IF(Table13[[#This Row],[Good_Qty]]&gt;=Table13[[#This Row],[Planned_Production]],"Met","Not Met")</f>
        <v>Not Met</v>
      </c>
      <c r="Q1497">
        <f>Table13[[#This Row],[Good_Qty]]-Table13[[#This Row],[Planned_Production]]</f>
        <v>-20</v>
      </c>
      <c r="R1497" s="3">
        <f>IF(Table13[[#This Row],[Actual_Qty]]=0,0,Table13[[#This Row],[Reject_Qty]]/Table13[[#This Row],[Actual_Qty]])</f>
        <v>5.6285178236397749E-3</v>
      </c>
      <c r="S1497">
        <v>441.36</v>
      </c>
      <c r="T1497">
        <f>(Table13[[#This Row],[Ideal_Cycle_Time_sec]]*Table13[[#This Row],[Actual_Qty]])/(Table13[[#This Row],[Operational_Time_min]]*60)</f>
        <v>0.43072170865808707</v>
      </c>
      <c r="U1497">
        <f>Table13[[#This Row],[Good_Qty]]/Table13[[#This Row],[Actual_Qty]]</f>
        <v>0.99437148217636018</v>
      </c>
      <c r="V1497" t="str">
        <f>IF(OR(Table13[[#This Row],[Performance_%]]&gt;=1,Table13[[#This Row],[Performance_%]]&lt;=0),"Error","OK")</f>
        <v>OK</v>
      </c>
      <c r="W1497" t="str">
        <f>IF(OR(Table13[[#This Row],[Quality_%]]&gt;=1,Table13[[#This Row],[Quality_%]]&lt;=0),"Error","OK")</f>
        <v>OK</v>
      </c>
      <c r="X1497">
        <f>Table13[[#This Row],[Performance_%]]*Table13[[#This Row],[Quality_%]]*[2]Availability_KPI!K1497</f>
        <v>0.42007407407407404</v>
      </c>
      <c r="Y1497" t="str">
        <f>IF(OR(Table13[[#This Row],[OEE_%]]&gt;1,Table13[[#This Row],[OEE_%]]&lt;0),"Error","OK")</f>
        <v>OK</v>
      </c>
    </row>
    <row r="1498" spans="1:25" x14ac:dyDescent="0.2">
      <c r="A1498" t="s">
        <v>1734</v>
      </c>
      <c r="B1498" t="s">
        <v>1735</v>
      </c>
      <c r="C1498" s="2">
        <v>46323</v>
      </c>
      <c r="D1498" t="s">
        <v>53</v>
      </c>
      <c r="E1498" t="s">
        <v>28</v>
      </c>
      <c r="F1498" t="s">
        <v>29</v>
      </c>
      <c r="G1498" t="s">
        <v>36</v>
      </c>
      <c r="H1498">
        <v>576</v>
      </c>
      <c r="I1498">
        <v>572</v>
      </c>
      <c r="J1498">
        <v>4</v>
      </c>
      <c r="K1498">
        <v>19.8</v>
      </c>
      <c r="L1498">
        <v>20.54</v>
      </c>
      <c r="M1498">
        <v>197.16</v>
      </c>
      <c r="N1498">
        <f>_xlfn.XLOOKUP(Table13[[#This Row],[Production_Order_ID]],[1]Sheet1!$A$2:$A$391,[1]Sheet1!$F$2:$F$391,"No Match")</f>
        <v>540</v>
      </c>
      <c r="O1498" s="3">
        <f>Table13[[#This Row],[Good_Qty]]/Table13[[#This Row],[Planned_Production]]</f>
        <v>1.0592592592592593</v>
      </c>
      <c r="P1498" t="str">
        <f>IF(Table13[[#This Row],[Good_Qty]]&gt;=Table13[[#This Row],[Planned_Production]],"Met","Not Met")</f>
        <v>Met</v>
      </c>
      <c r="Q1498">
        <f>Table13[[#This Row],[Good_Qty]]-Table13[[#This Row],[Planned_Production]]</f>
        <v>32</v>
      </c>
      <c r="R1498" s="3">
        <f>IF(Table13[[#This Row],[Actual_Qty]]=0,0,Table13[[#This Row],[Reject_Qty]]/Table13[[#This Row],[Actual_Qty]])</f>
        <v>6.9444444444444441E-3</v>
      </c>
      <c r="S1498">
        <v>442.04</v>
      </c>
      <c r="T1498">
        <f>(Table13[[#This Row],[Ideal_Cycle_Time_sec]]*Table13[[#This Row],[Actual_Qty]])/(Table13[[#This Row],[Operational_Time_min]]*60)</f>
        <v>0.43000633426839202</v>
      </c>
      <c r="U1498">
        <f>Table13[[#This Row],[Good_Qty]]/Table13[[#This Row],[Actual_Qty]]</f>
        <v>0.99305555555555558</v>
      </c>
      <c r="V1498" t="str">
        <f>IF(OR(Table13[[#This Row],[Performance_%]]&gt;=1,Table13[[#This Row],[Performance_%]]&lt;=0),"Error","OK")</f>
        <v>OK</v>
      </c>
      <c r="W1498" t="str">
        <f>IF(OR(Table13[[#This Row],[Quality_%]]&gt;=1,Table13[[#This Row],[Quality_%]]&lt;=0),"Error","OK")</f>
        <v>OK</v>
      </c>
      <c r="X1498">
        <f>Table13[[#This Row],[Performance_%]]*Table13[[#This Row],[Quality_%]]*[2]Availability_KPI!K1498</f>
        <v>0.41946666666666671</v>
      </c>
      <c r="Y1498" t="str">
        <f>IF(OR(Table13[[#This Row],[OEE_%]]&gt;1,Table13[[#This Row],[OEE_%]]&lt;0),"Error","OK")</f>
        <v>OK</v>
      </c>
    </row>
    <row r="1499" spans="1:25" x14ac:dyDescent="0.2">
      <c r="A1499" t="s">
        <v>1736</v>
      </c>
      <c r="B1499" t="s">
        <v>1735</v>
      </c>
      <c r="C1499" s="2">
        <v>46323</v>
      </c>
      <c r="D1499" t="s">
        <v>53</v>
      </c>
      <c r="E1499" t="s">
        <v>32</v>
      </c>
      <c r="F1499" t="s">
        <v>29</v>
      </c>
      <c r="G1499" t="s">
        <v>47</v>
      </c>
      <c r="H1499">
        <v>596</v>
      </c>
      <c r="I1499">
        <v>592</v>
      </c>
      <c r="J1499">
        <v>4</v>
      </c>
      <c r="K1499">
        <v>22</v>
      </c>
      <c r="L1499">
        <v>22.57</v>
      </c>
      <c r="M1499">
        <v>224.18</v>
      </c>
      <c r="N1499">
        <f>_xlfn.XLOOKUP(Table13[[#This Row],[Production_Order_ID]],[1]Sheet1!$A$2:$A$391,[1]Sheet1!$F$2:$F$391,"No Match")</f>
        <v>540</v>
      </c>
      <c r="O1499" s="3">
        <f>Table13[[#This Row],[Good_Qty]]/Table13[[#This Row],[Planned_Production]]</f>
        <v>1.0962962962962963</v>
      </c>
      <c r="P1499" t="str">
        <f>IF(Table13[[#This Row],[Good_Qty]]&gt;=Table13[[#This Row],[Planned_Production]],"Met","Not Met")</f>
        <v>Met</v>
      </c>
      <c r="Q1499">
        <f>Table13[[#This Row],[Good_Qty]]-Table13[[#This Row],[Planned_Production]]</f>
        <v>52</v>
      </c>
      <c r="R1499" s="3">
        <f>IF(Table13[[#This Row],[Actual_Qty]]=0,0,Table13[[#This Row],[Reject_Qty]]/Table13[[#This Row],[Actual_Qty]])</f>
        <v>6.7114093959731542E-3</v>
      </c>
      <c r="S1499">
        <v>435.7</v>
      </c>
      <c r="T1499">
        <f>(Table13[[#This Row],[Ideal_Cycle_Time_sec]]*Table13[[#This Row],[Actual_Qty]])/(Table13[[#This Row],[Operational_Time_min]]*60)</f>
        <v>0.50156835743248418</v>
      </c>
      <c r="U1499">
        <f>Table13[[#This Row],[Good_Qty]]/Table13[[#This Row],[Actual_Qty]]</f>
        <v>0.99328859060402686</v>
      </c>
      <c r="V1499" t="str">
        <f>IF(OR(Table13[[#This Row],[Performance_%]]&gt;=1,Table13[[#This Row],[Performance_%]]&lt;=0),"Error","OK")</f>
        <v>OK</v>
      </c>
      <c r="W1499" t="str">
        <f>IF(OR(Table13[[#This Row],[Quality_%]]&gt;=1,Table13[[#This Row],[Quality_%]]&lt;=0),"Error","OK")</f>
        <v>OK</v>
      </c>
      <c r="X1499">
        <f>Table13[[#This Row],[Performance_%]]*Table13[[#This Row],[Quality_%]]*[2]Availability_KPI!K1499</f>
        <v>0.48237037037037039</v>
      </c>
      <c r="Y1499" t="str">
        <f>IF(OR(Table13[[#This Row],[OEE_%]]&gt;1,Table13[[#This Row],[OEE_%]]&lt;0),"Error","OK")</f>
        <v>OK</v>
      </c>
    </row>
    <row r="1500" spans="1:25" x14ac:dyDescent="0.2">
      <c r="A1500" t="s">
        <v>1737</v>
      </c>
      <c r="B1500" t="s">
        <v>1735</v>
      </c>
      <c r="C1500" s="2">
        <v>46323</v>
      </c>
      <c r="D1500" t="s">
        <v>53</v>
      </c>
      <c r="E1500" t="s">
        <v>35</v>
      </c>
      <c r="F1500" t="s">
        <v>29</v>
      </c>
      <c r="G1500" t="s">
        <v>55</v>
      </c>
      <c r="H1500">
        <v>591</v>
      </c>
      <c r="I1500">
        <v>587</v>
      </c>
      <c r="J1500">
        <v>4</v>
      </c>
      <c r="K1500">
        <v>24.2</v>
      </c>
      <c r="L1500">
        <v>25.92</v>
      </c>
      <c r="M1500">
        <v>255.34</v>
      </c>
      <c r="N1500">
        <f>_xlfn.XLOOKUP(Table13[[#This Row],[Production_Order_ID]],[1]Sheet1!$A$2:$A$391,[1]Sheet1!$F$2:$F$391,"No Match")</f>
        <v>540</v>
      </c>
      <c r="O1500" s="3">
        <f>Table13[[#This Row],[Good_Qty]]/Table13[[#This Row],[Planned_Production]]</f>
        <v>1.087037037037037</v>
      </c>
      <c r="P1500" t="str">
        <f>IF(Table13[[#This Row],[Good_Qty]]&gt;=Table13[[#This Row],[Planned_Production]],"Met","Not Met")</f>
        <v>Met</v>
      </c>
      <c r="Q1500">
        <f>Table13[[#This Row],[Good_Qty]]-Table13[[#This Row],[Planned_Production]]</f>
        <v>47</v>
      </c>
      <c r="R1500" s="3">
        <f>IF(Table13[[#This Row],[Actual_Qty]]=0,0,Table13[[#This Row],[Reject_Qty]]/Table13[[#This Row],[Actual_Qty]])</f>
        <v>6.7681895093062603E-3</v>
      </c>
      <c r="S1500">
        <v>429.49</v>
      </c>
      <c r="T1500">
        <f>(Table13[[#This Row],[Ideal_Cycle_Time_sec]]*Table13[[#This Row],[Actual_Qty]])/(Table13[[#This Row],[Operational_Time_min]]*60)</f>
        <v>0.55500710144590093</v>
      </c>
      <c r="U1500">
        <f>Table13[[#This Row],[Good_Qty]]/Table13[[#This Row],[Actual_Qty]]</f>
        <v>0.99323181049069376</v>
      </c>
      <c r="V1500" t="str">
        <f>IF(OR(Table13[[#This Row],[Performance_%]]&gt;=1,Table13[[#This Row],[Performance_%]]&lt;=0),"Error","OK")</f>
        <v>OK</v>
      </c>
      <c r="W1500" t="str">
        <f>IF(OR(Table13[[#This Row],[Quality_%]]&gt;=1,Table13[[#This Row],[Quality_%]]&lt;=0),"Error","OK")</f>
        <v>OK</v>
      </c>
      <c r="X1500">
        <f>Table13[[#This Row],[Performance_%]]*Table13[[#This Row],[Quality_%]]*[2]Availability_KPI!K1500</f>
        <v>0.526125925925926</v>
      </c>
      <c r="Y1500" t="str">
        <f>IF(OR(Table13[[#This Row],[OEE_%]]&gt;1,Table13[[#This Row],[OEE_%]]&lt;0),"Error","OK")</f>
        <v>OK</v>
      </c>
    </row>
    <row r="1501" spans="1:25" x14ac:dyDescent="0.2">
      <c r="A1501" t="s">
        <v>1738</v>
      </c>
      <c r="B1501" t="s">
        <v>1735</v>
      </c>
      <c r="C1501" s="2">
        <v>46323</v>
      </c>
      <c r="D1501" t="s">
        <v>53</v>
      </c>
      <c r="E1501" t="s">
        <v>38</v>
      </c>
      <c r="F1501" t="s">
        <v>29</v>
      </c>
      <c r="G1501" t="s">
        <v>47</v>
      </c>
      <c r="H1501">
        <v>576</v>
      </c>
      <c r="I1501">
        <v>572</v>
      </c>
      <c r="J1501">
        <v>4</v>
      </c>
      <c r="K1501">
        <v>22</v>
      </c>
      <c r="L1501">
        <v>22.85</v>
      </c>
      <c r="M1501">
        <v>219.34</v>
      </c>
      <c r="N1501">
        <f>_xlfn.XLOOKUP(Table13[[#This Row],[Production_Order_ID]],[1]Sheet1!$A$2:$A$391,[1]Sheet1!$F$2:$F$391,"No Match")</f>
        <v>540</v>
      </c>
      <c r="O1501" s="3">
        <f>Table13[[#This Row],[Good_Qty]]/Table13[[#This Row],[Planned_Production]]</f>
        <v>1.0592592592592593</v>
      </c>
      <c r="P1501" t="str">
        <f>IF(Table13[[#This Row],[Good_Qty]]&gt;=Table13[[#This Row],[Planned_Production]],"Met","Not Met")</f>
        <v>Met</v>
      </c>
      <c r="Q1501">
        <f>Table13[[#This Row],[Good_Qty]]-Table13[[#This Row],[Planned_Production]]</f>
        <v>32</v>
      </c>
      <c r="R1501" s="3">
        <f>IF(Table13[[#This Row],[Actual_Qty]]=0,0,Table13[[#This Row],[Reject_Qty]]/Table13[[#This Row],[Actual_Qty]])</f>
        <v>6.9444444444444441E-3</v>
      </c>
      <c r="S1501">
        <v>436.84</v>
      </c>
      <c r="T1501">
        <f>(Table13[[#This Row],[Ideal_Cycle_Time_sec]]*Table13[[#This Row],[Actual_Qty]])/(Table13[[#This Row],[Operational_Time_min]]*60)</f>
        <v>0.48347220950462416</v>
      </c>
      <c r="U1501">
        <f>Table13[[#This Row],[Good_Qty]]/Table13[[#This Row],[Actual_Qty]]</f>
        <v>0.99305555555555558</v>
      </c>
      <c r="V1501" t="str">
        <f>IF(OR(Table13[[#This Row],[Performance_%]]&gt;=1,Table13[[#This Row],[Performance_%]]&lt;=0),"Error","OK")</f>
        <v>OK</v>
      </c>
      <c r="W1501" t="str">
        <f>IF(OR(Table13[[#This Row],[Quality_%]]&gt;=1,Table13[[#This Row],[Quality_%]]&lt;=0),"Error","OK")</f>
        <v>OK</v>
      </c>
      <c r="X1501">
        <f>Table13[[#This Row],[Performance_%]]*Table13[[#This Row],[Quality_%]]*[2]Availability_KPI!K1501</f>
        <v>0.46607407407407409</v>
      </c>
      <c r="Y1501" t="str">
        <f>IF(OR(Table13[[#This Row],[OEE_%]]&gt;1,Table13[[#This Row],[OEE_%]]&lt;0),"Error","OK")</f>
        <v>OK</v>
      </c>
    </row>
    <row r="1502" spans="1:25" x14ac:dyDescent="0.2">
      <c r="A1502" t="s">
        <v>1739</v>
      </c>
      <c r="B1502" t="s">
        <v>1735</v>
      </c>
      <c r="C1502" s="2">
        <v>46323</v>
      </c>
      <c r="D1502" t="s">
        <v>53</v>
      </c>
      <c r="E1502" t="s">
        <v>41</v>
      </c>
      <c r="F1502" t="s">
        <v>29</v>
      </c>
      <c r="G1502" t="s">
        <v>61</v>
      </c>
      <c r="H1502">
        <v>600</v>
      </c>
      <c r="I1502">
        <v>596</v>
      </c>
      <c r="J1502">
        <v>4</v>
      </c>
      <c r="K1502">
        <v>19.8</v>
      </c>
      <c r="L1502">
        <v>21.21</v>
      </c>
      <c r="M1502">
        <v>212.13</v>
      </c>
      <c r="N1502">
        <f>_xlfn.XLOOKUP(Table13[[#This Row],[Production_Order_ID]],[1]Sheet1!$A$2:$A$391,[1]Sheet1!$F$2:$F$391,"No Match")</f>
        <v>540</v>
      </c>
      <c r="O1502" s="3">
        <f>Table13[[#This Row],[Good_Qty]]/Table13[[#This Row],[Planned_Production]]</f>
        <v>1.1037037037037036</v>
      </c>
      <c r="P1502" t="str">
        <f>IF(Table13[[#This Row],[Good_Qty]]&gt;=Table13[[#This Row],[Planned_Production]],"Met","Not Met")</f>
        <v>Met</v>
      </c>
      <c r="Q1502">
        <f>Table13[[#This Row],[Good_Qty]]-Table13[[#This Row],[Planned_Production]]</f>
        <v>56</v>
      </c>
      <c r="R1502" s="3">
        <f>IF(Table13[[#This Row],[Actual_Qty]]=0,0,Table13[[#This Row],[Reject_Qty]]/Table13[[#This Row],[Actual_Qty]])</f>
        <v>6.6666666666666671E-3</v>
      </c>
      <c r="S1502">
        <v>436.25</v>
      </c>
      <c r="T1502">
        <f>(Table13[[#This Row],[Ideal_Cycle_Time_sec]]*Table13[[#This Row],[Actual_Qty]])/(Table13[[#This Row],[Operational_Time_min]]*60)</f>
        <v>0.45386819484240687</v>
      </c>
      <c r="U1502">
        <f>Table13[[#This Row],[Good_Qty]]/Table13[[#This Row],[Actual_Qty]]</f>
        <v>0.99333333333333329</v>
      </c>
      <c r="V1502" t="str">
        <f>IF(OR(Table13[[#This Row],[Performance_%]]&gt;=1,Table13[[#This Row],[Performance_%]]&lt;=0),"Error","OK")</f>
        <v>OK</v>
      </c>
      <c r="W1502" t="str">
        <f>IF(OR(Table13[[#This Row],[Quality_%]]&gt;=1,Table13[[#This Row],[Quality_%]]&lt;=0),"Error","OK")</f>
        <v>OK</v>
      </c>
      <c r="X1502">
        <f>Table13[[#This Row],[Performance_%]]*Table13[[#This Row],[Quality_%]]*[2]Availability_KPI!K1502</f>
        <v>0.4370666666666666</v>
      </c>
      <c r="Y1502" t="str">
        <f>IF(OR(Table13[[#This Row],[OEE_%]]&gt;1,Table13[[#This Row],[OEE_%]]&lt;0),"Error","OK")</f>
        <v>OK</v>
      </c>
    </row>
    <row r="1503" spans="1:25" x14ac:dyDescent="0.2">
      <c r="A1503" t="s">
        <v>1740</v>
      </c>
      <c r="B1503" t="s">
        <v>1735</v>
      </c>
      <c r="C1503" s="2">
        <v>46323</v>
      </c>
      <c r="D1503" t="s">
        <v>53</v>
      </c>
      <c r="E1503" t="s">
        <v>43</v>
      </c>
      <c r="F1503" t="s">
        <v>29</v>
      </c>
      <c r="G1503" t="s">
        <v>55</v>
      </c>
      <c r="H1503">
        <v>595</v>
      </c>
      <c r="I1503">
        <v>584</v>
      </c>
      <c r="J1503">
        <v>11</v>
      </c>
      <c r="K1503">
        <v>35.200000000000003</v>
      </c>
      <c r="L1503">
        <v>37.840000000000003</v>
      </c>
      <c r="M1503">
        <v>375.23</v>
      </c>
      <c r="N1503">
        <f>_xlfn.XLOOKUP(Table13[[#This Row],[Production_Order_ID]],[1]Sheet1!$A$2:$A$391,[1]Sheet1!$F$2:$F$391,"No Match")</f>
        <v>540</v>
      </c>
      <c r="O1503" s="3">
        <f>Table13[[#This Row],[Good_Qty]]/Table13[[#This Row],[Planned_Production]]</f>
        <v>1.0814814814814815</v>
      </c>
      <c r="P1503" t="str">
        <f>IF(Table13[[#This Row],[Good_Qty]]&gt;=Table13[[#This Row],[Planned_Production]],"Met","Not Met")</f>
        <v>Met</v>
      </c>
      <c r="Q1503">
        <f>Table13[[#This Row],[Good_Qty]]-Table13[[#This Row],[Planned_Production]]</f>
        <v>44</v>
      </c>
      <c r="R1503" s="3">
        <f>IF(Table13[[#This Row],[Actual_Qty]]=0,0,Table13[[#This Row],[Reject_Qty]]/Table13[[#This Row],[Actual_Qty]])</f>
        <v>1.8487394957983194E-2</v>
      </c>
      <c r="S1503">
        <v>419.52</v>
      </c>
      <c r="T1503">
        <f>(Table13[[#This Row],[Ideal_Cycle_Time_sec]]*Table13[[#This Row],[Actual_Qty]])/(Table13[[#This Row],[Operational_Time_min]]*60)</f>
        <v>0.83206203915586074</v>
      </c>
      <c r="U1503">
        <f>Table13[[#This Row],[Good_Qty]]/Table13[[#This Row],[Actual_Qty]]</f>
        <v>0.98151260504201676</v>
      </c>
      <c r="V1503" t="str">
        <f>IF(OR(Table13[[#This Row],[Performance_%]]&gt;=1,Table13[[#This Row],[Performance_%]]&lt;=0),"Error","OK")</f>
        <v>OK</v>
      </c>
      <c r="W1503" t="str">
        <f>IF(OR(Table13[[#This Row],[Quality_%]]&gt;=1,Table13[[#This Row],[Quality_%]]&lt;=0),"Error","OK")</f>
        <v>OK</v>
      </c>
      <c r="X1503">
        <f>Table13[[#This Row],[Performance_%]]*Table13[[#This Row],[Quality_%]]*[2]Availability_KPI!K1503</f>
        <v>0.76136296296296291</v>
      </c>
      <c r="Y1503" t="str">
        <f>IF(OR(Table13[[#This Row],[OEE_%]]&gt;1,Table13[[#This Row],[OEE_%]]&lt;0),"Error","OK")</f>
        <v>OK</v>
      </c>
    </row>
    <row r="1504" spans="1:25" x14ac:dyDescent="0.2">
      <c r="A1504" t="s">
        <v>1741</v>
      </c>
      <c r="B1504" t="s">
        <v>1735</v>
      </c>
      <c r="C1504" s="2">
        <v>46323</v>
      </c>
      <c r="D1504" t="s">
        <v>53</v>
      </c>
      <c r="E1504" t="s">
        <v>46</v>
      </c>
      <c r="F1504" t="s">
        <v>29</v>
      </c>
      <c r="G1504" t="s">
        <v>61</v>
      </c>
      <c r="H1504">
        <v>600</v>
      </c>
      <c r="I1504">
        <v>593</v>
      </c>
      <c r="J1504">
        <v>7</v>
      </c>
      <c r="K1504">
        <v>27.5</v>
      </c>
      <c r="L1504">
        <v>28.59</v>
      </c>
      <c r="M1504">
        <v>285.93</v>
      </c>
      <c r="N1504">
        <f>_xlfn.XLOOKUP(Table13[[#This Row],[Production_Order_ID]],[1]Sheet1!$A$2:$A$391,[1]Sheet1!$F$2:$F$391,"No Match")</f>
        <v>540</v>
      </c>
      <c r="O1504" s="3">
        <f>Table13[[#This Row],[Good_Qty]]/Table13[[#This Row],[Planned_Production]]</f>
        <v>1.0981481481481481</v>
      </c>
      <c r="P1504" t="str">
        <f>IF(Table13[[#This Row],[Good_Qty]]&gt;=Table13[[#This Row],[Planned_Production]],"Met","Not Met")</f>
        <v>Met</v>
      </c>
      <c r="Q1504">
        <f>Table13[[#This Row],[Good_Qty]]-Table13[[#This Row],[Planned_Production]]</f>
        <v>53</v>
      </c>
      <c r="R1504" s="3">
        <f>IF(Table13[[#This Row],[Actual_Qty]]=0,0,Table13[[#This Row],[Reject_Qty]]/Table13[[#This Row],[Actual_Qty]])</f>
        <v>1.1666666666666667E-2</v>
      </c>
      <c r="S1504">
        <v>432.58</v>
      </c>
      <c r="T1504">
        <f>(Table13[[#This Row],[Ideal_Cycle_Time_sec]]*Table13[[#This Row],[Actual_Qty]])/(Table13[[#This Row],[Operational_Time_min]]*60)</f>
        <v>0.63572056035877755</v>
      </c>
      <c r="U1504">
        <f>Table13[[#This Row],[Good_Qty]]/Table13[[#This Row],[Actual_Qty]]</f>
        <v>0.98833333333333329</v>
      </c>
      <c r="V1504" t="str">
        <f>IF(OR(Table13[[#This Row],[Performance_%]]&gt;=1,Table13[[#This Row],[Performance_%]]&lt;=0),"Error","OK")</f>
        <v>OK</v>
      </c>
      <c r="W1504" t="str">
        <f>IF(OR(Table13[[#This Row],[Quality_%]]&gt;=1,Table13[[#This Row],[Quality_%]]&lt;=0),"Error","OK")</f>
        <v>OK</v>
      </c>
      <c r="X1504">
        <f>Table13[[#This Row],[Performance_%]]*Table13[[#This Row],[Quality_%]]*[2]Availability_KPI!K1504</f>
        <v>0.60398148148148145</v>
      </c>
      <c r="Y1504" t="str">
        <f>IF(OR(Table13[[#This Row],[OEE_%]]&gt;1,Table13[[#This Row],[OEE_%]]&lt;0),"Error","OK")</f>
        <v>OK</v>
      </c>
    </row>
    <row r="1505" spans="1:25" x14ac:dyDescent="0.2">
      <c r="A1505" t="s">
        <v>1742</v>
      </c>
      <c r="B1505" t="s">
        <v>1735</v>
      </c>
      <c r="C1505" s="2">
        <v>46323</v>
      </c>
      <c r="D1505" t="s">
        <v>53</v>
      </c>
      <c r="E1505" t="s">
        <v>49</v>
      </c>
      <c r="F1505" t="s">
        <v>29</v>
      </c>
      <c r="G1505" t="s">
        <v>44</v>
      </c>
      <c r="H1505">
        <v>596</v>
      </c>
      <c r="I1505">
        <v>591</v>
      </c>
      <c r="J1505">
        <v>5</v>
      </c>
      <c r="K1505">
        <v>22</v>
      </c>
      <c r="L1505">
        <v>23.13</v>
      </c>
      <c r="M1505">
        <v>229.79</v>
      </c>
      <c r="N1505">
        <f>_xlfn.XLOOKUP(Table13[[#This Row],[Production_Order_ID]],[1]Sheet1!$A$2:$A$391,[1]Sheet1!$F$2:$F$391,"No Match")</f>
        <v>540</v>
      </c>
      <c r="O1505" s="3">
        <f>Table13[[#This Row],[Good_Qty]]/Table13[[#This Row],[Planned_Production]]</f>
        <v>1.0944444444444446</v>
      </c>
      <c r="P1505" t="str">
        <f>IF(Table13[[#This Row],[Good_Qty]]&gt;=Table13[[#This Row],[Planned_Production]],"Met","Not Met")</f>
        <v>Met</v>
      </c>
      <c r="Q1505">
        <f>Table13[[#This Row],[Good_Qty]]-Table13[[#This Row],[Planned_Production]]</f>
        <v>51</v>
      </c>
      <c r="R1505" s="3">
        <f>IF(Table13[[#This Row],[Actual_Qty]]=0,0,Table13[[#This Row],[Reject_Qty]]/Table13[[#This Row],[Actual_Qty]])</f>
        <v>8.389261744966443E-3</v>
      </c>
      <c r="S1505">
        <v>442.37</v>
      </c>
      <c r="T1505">
        <f>(Table13[[#This Row],[Ideal_Cycle_Time_sec]]*Table13[[#This Row],[Actual_Qty]])/(Table13[[#This Row],[Operational_Time_min]]*60)</f>
        <v>0.49400577194053241</v>
      </c>
      <c r="U1505">
        <f>Table13[[#This Row],[Good_Qty]]/Table13[[#This Row],[Actual_Qty]]</f>
        <v>0.99161073825503354</v>
      </c>
      <c r="V1505" t="str">
        <f>IF(OR(Table13[[#This Row],[Performance_%]]&gt;=1,Table13[[#This Row],[Performance_%]]&lt;=0),"Error","OK")</f>
        <v>OK</v>
      </c>
      <c r="W1505" t="str">
        <f>IF(OR(Table13[[#This Row],[Quality_%]]&gt;=1,Table13[[#This Row],[Quality_%]]&lt;=0),"Error","OK")</f>
        <v>OK</v>
      </c>
      <c r="X1505">
        <f>Table13[[#This Row],[Performance_%]]*Table13[[#This Row],[Quality_%]]*[2]Availability_KPI!K1505</f>
        <v>0.48155555555555557</v>
      </c>
      <c r="Y1505" t="str">
        <f>IF(OR(Table13[[#This Row],[OEE_%]]&gt;1,Table13[[#This Row],[OEE_%]]&lt;0),"Error","OK")</f>
        <v>OK</v>
      </c>
    </row>
    <row r="1506" spans="1:25" x14ac:dyDescent="0.2">
      <c r="A1506" t="s">
        <v>1743</v>
      </c>
      <c r="B1506" t="s">
        <v>1744</v>
      </c>
      <c r="C1506" s="2">
        <v>46323</v>
      </c>
      <c r="D1506" t="s">
        <v>67</v>
      </c>
      <c r="E1506" t="s">
        <v>28</v>
      </c>
      <c r="F1506" t="s">
        <v>29</v>
      </c>
      <c r="G1506" t="s">
        <v>44</v>
      </c>
      <c r="H1506">
        <v>678</v>
      </c>
      <c r="I1506">
        <v>677</v>
      </c>
      <c r="J1506">
        <v>1</v>
      </c>
      <c r="K1506">
        <v>19.8</v>
      </c>
      <c r="L1506">
        <v>21.22</v>
      </c>
      <c r="M1506">
        <v>239.8</v>
      </c>
      <c r="N1506">
        <f>_xlfn.XLOOKUP(Table13[[#This Row],[Production_Order_ID]],[1]Sheet1!$A$2:$A$391,[1]Sheet1!$F$2:$F$391,"No Match")</f>
        <v>580</v>
      </c>
      <c r="O1506" s="3">
        <f>Table13[[#This Row],[Good_Qty]]/Table13[[#This Row],[Planned_Production]]</f>
        <v>1.1672413793103449</v>
      </c>
      <c r="P1506" t="str">
        <f>IF(Table13[[#This Row],[Good_Qty]]&gt;=Table13[[#This Row],[Planned_Production]],"Met","Not Met")</f>
        <v>Met</v>
      </c>
      <c r="Q1506">
        <f>Table13[[#This Row],[Good_Qty]]-Table13[[#This Row],[Planned_Production]]</f>
        <v>97</v>
      </c>
      <c r="R1506" s="3">
        <f>IF(Table13[[#This Row],[Actual_Qty]]=0,0,Table13[[#This Row],[Reject_Qty]]/Table13[[#This Row],[Actual_Qty]])</f>
        <v>1.4749262536873156E-3</v>
      </c>
      <c r="S1506">
        <v>438.53</v>
      </c>
      <c r="T1506">
        <f>(Table13[[#This Row],[Ideal_Cycle_Time_sec]]*Table13[[#This Row],[Actual_Qty]])/(Table13[[#This Row],[Operational_Time_min]]*60)</f>
        <v>0.5102045470093266</v>
      </c>
      <c r="U1506">
        <f>Table13[[#This Row],[Good_Qty]]/Table13[[#This Row],[Actual_Qty]]</f>
        <v>0.99852507374631272</v>
      </c>
      <c r="V1506" t="str">
        <f>IF(OR(Table13[[#This Row],[Performance_%]]&gt;=1,Table13[[#This Row],[Performance_%]]&lt;=0),"Error","OK")</f>
        <v>OK</v>
      </c>
      <c r="W1506" t="str">
        <f>IF(OR(Table13[[#This Row],[Quality_%]]&gt;=1,Table13[[#This Row],[Quality_%]]&lt;=0),"Error","OK")</f>
        <v>OK</v>
      </c>
      <c r="X1506">
        <f>Table13[[#This Row],[Performance_%]]*Table13[[#This Row],[Quality_%]]*[2]Availability_KPI!K1506</f>
        <v>0.49646666666666672</v>
      </c>
      <c r="Y1506" t="str">
        <f>IF(OR(Table13[[#This Row],[OEE_%]]&gt;1,Table13[[#This Row],[OEE_%]]&lt;0),"Error","OK")</f>
        <v>OK</v>
      </c>
    </row>
    <row r="1507" spans="1:25" x14ac:dyDescent="0.2">
      <c r="A1507" t="s">
        <v>1745</v>
      </c>
      <c r="B1507" t="s">
        <v>1744</v>
      </c>
      <c r="C1507" s="2">
        <v>46323</v>
      </c>
      <c r="D1507" t="s">
        <v>67</v>
      </c>
      <c r="E1507" t="s">
        <v>32</v>
      </c>
      <c r="F1507" t="s">
        <v>29</v>
      </c>
      <c r="G1507" t="s">
        <v>61</v>
      </c>
      <c r="H1507">
        <v>682</v>
      </c>
      <c r="I1507">
        <v>679</v>
      </c>
      <c r="J1507">
        <v>3</v>
      </c>
      <c r="K1507">
        <v>22</v>
      </c>
      <c r="L1507">
        <v>23.91</v>
      </c>
      <c r="M1507">
        <v>271.77999999999997</v>
      </c>
      <c r="N1507">
        <f>_xlfn.XLOOKUP(Table13[[#This Row],[Production_Order_ID]],[1]Sheet1!$A$2:$A$391,[1]Sheet1!$F$2:$F$391,"No Match")</f>
        <v>580</v>
      </c>
      <c r="O1507" s="3">
        <f>Table13[[#This Row],[Good_Qty]]/Table13[[#This Row],[Planned_Production]]</f>
        <v>1.1706896551724137</v>
      </c>
      <c r="P1507" t="str">
        <f>IF(Table13[[#This Row],[Good_Qty]]&gt;=Table13[[#This Row],[Planned_Production]],"Met","Not Met")</f>
        <v>Met</v>
      </c>
      <c r="Q1507">
        <f>Table13[[#This Row],[Good_Qty]]-Table13[[#This Row],[Planned_Production]]</f>
        <v>99</v>
      </c>
      <c r="R1507" s="3">
        <f>IF(Table13[[#This Row],[Actual_Qty]]=0,0,Table13[[#This Row],[Reject_Qty]]/Table13[[#This Row],[Actual_Qty]])</f>
        <v>4.3988269794721412E-3</v>
      </c>
      <c r="S1507">
        <v>432.28</v>
      </c>
      <c r="T1507">
        <f>(Table13[[#This Row],[Ideal_Cycle_Time_sec]]*Table13[[#This Row],[Actual_Qty]])/(Table13[[#This Row],[Operational_Time_min]]*60)</f>
        <v>0.57848308195305509</v>
      </c>
      <c r="U1507">
        <f>Table13[[#This Row],[Good_Qty]]/Table13[[#This Row],[Actual_Qty]]</f>
        <v>0.99560117302052786</v>
      </c>
      <c r="V1507" t="str">
        <f>IF(OR(Table13[[#This Row],[Performance_%]]&gt;=1,Table13[[#This Row],[Performance_%]]&lt;=0),"Error","OK")</f>
        <v>OK</v>
      </c>
      <c r="W1507" t="str">
        <f>IF(OR(Table13[[#This Row],[Quality_%]]&gt;=1,Table13[[#This Row],[Quality_%]]&lt;=0),"Error","OK")</f>
        <v>OK</v>
      </c>
      <c r="X1507">
        <f>Table13[[#This Row],[Performance_%]]*Table13[[#This Row],[Quality_%]]*[2]Availability_KPI!K1507</f>
        <v>0.55325925925925912</v>
      </c>
      <c r="Y1507" t="str">
        <f>IF(OR(Table13[[#This Row],[OEE_%]]&gt;1,Table13[[#This Row],[OEE_%]]&lt;0),"Error","OK")</f>
        <v>OK</v>
      </c>
    </row>
    <row r="1508" spans="1:25" x14ac:dyDescent="0.2">
      <c r="A1508" t="s">
        <v>1746</v>
      </c>
      <c r="B1508" t="s">
        <v>1744</v>
      </c>
      <c r="C1508" s="2">
        <v>46323</v>
      </c>
      <c r="D1508" t="s">
        <v>67</v>
      </c>
      <c r="E1508" t="s">
        <v>35</v>
      </c>
      <c r="F1508" t="s">
        <v>29</v>
      </c>
      <c r="G1508" t="s">
        <v>36</v>
      </c>
      <c r="H1508">
        <v>672</v>
      </c>
      <c r="I1508">
        <v>667</v>
      </c>
      <c r="J1508">
        <v>5</v>
      </c>
      <c r="K1508">
        <v>24.2</v>
      </c>
      <c r="L1508">
        <v>26.15</v>
      </c>
      <c r="M1508">
        <v>292.91000000000003</v>
      </c>
      <c r="N1508">
        <f>_xlfn.XLOOKUP(Table13[[#This Row],[Production_Order_ID]],[1]Sheet1!$A$2:$A$391,[1]Sheet1!$F$2:$F$391,"No Match")</f>
        <v>580</v>
      </c>
      <c r="O1508" s="3">
        <f>Table13[[#This Row],[Good_Qty]]/Table13[[#This Row],[Planned_Production]]</f>
        <v>1.1499999999999999</v>
      </c>
      <c r="P1508" t="str">
        <f>IF(Table13[[#This Row],[Good_Qty]]&gt;=Table13[[#This Row],[Planned_Production]],"Met","Not Met")</f>
        <v>Met</v>
      </c>
      <c r="Q1508">
        <f>Table13[[#This Row],[Good_Qty]]-Table13[[#This Row],[Planned_Production]]</f>
        <v>87</v>
      </c>
      <c r="R1508" s="3">
        <f>IF(Table13[[#This Row],[Actual_Qty]]=0,0,Table13[[#This Row],[Reject_Qty]]/Table13[[#This Row],[Actual_Qty]])</f>
        <v>7.4404761904761901E-3</v>
      </c>
      <c r="S1508">
        <v>435.4</v>
      </c>
      <c r="T1508">
        <f>(Table13[[#This Row],[Ideal_Cycle_Time_sec]]*Table13[[#This Row],[Actual_Qty]])/(Table13[[#This Row],[Operational_Time_min]]*60)</f>
        <v>0.62250803858520898</v>
      </c>
      <c r="U1508">
        <f>Table13[[#This Row],[Good_Qty]]/Table13[[#This Row],[Actual_Qty]]</f>
        <v>0.99255952380952384</v>
      </c>
      <c r="V1508" t="str">
        <f>IF(OR(Table13[[#This Row],[Performance_%]]&gt;=1,Table13[[#This Row],[Performance_%]]&lt;=0),"Error","OK")</f>
        <v>OK</v>
      </c>
      <c r="W1508" t="str">
        <f>IF(OR(Table13[[#This Row],[Quality_%]]&gt;=1,Table13[[#This Row],[Quality_%]]&lt;=0),"Error","OK")</f>
        <v>OK</v>
      </c>
      <c r="X1508">
        <f>Table13[[#This Row],[Performance_%]]*Table13[[#This Row],[Quality_%]]*[2]Availability_KPI!K1508</f>
        <v>0.59782962962962949</v>
      </c>
      <c r="Y1508" t="str">
        <f>IF(OR(Table13[[#This Row],[OEE_%]]&gt;1,Table13[[#This Row],[OEE_%]]&lt;0),"Error","OK")</f>
        <v>OK</v>
      </c>
    </row>
    <row r="1509" spans="1:25" x14ac:dyDescent="0.2">
      <c r="A1509" t="s">
        <v>1747</v>
      </c>
      <c r="B1509" t="s">
        <v>1744</v>
      </c>
      <c r="C1509" s="2">
        <v>46323</v>
      </c>
      <c r="D1509" t="s">
        <v>67</v>
      </c>
      <c r="E1509" t="s">
        <v>38</v>
      </c>
      <c r="F1509" t="s">
        <v>29</v>
      </c>
      <c r="G1509" t="s">
        <v>57</v>
      </c>
      <c r="H1509">
        <v>681</v>
      </c>
      <c r="I1509">
        <v>677</v>
      </c>
      <c r="J1509">
        <v>4</v>
      </c>
      <c r="K1509">
        <v>22</v>
      </c>
      <c r="L1509">
        <v>22.27</v>
      </c>
      <c r="M1509">
        <v>252.78</v>
      </c>
      <c r="N1509">
        <f>_xlfn.XLOOKUP(Table13[[#This Row],[Production_Order_ID]],[1]Sheet1!$A$2:$A$391,[1]Sheet1!$F$2:$F$391,"No Match")</f>
        <v>580</v>
      </c>
      <c r="O1509" s="3">
        <f>Table13[[#This Row],[Good_Qty]]/Table13[[#This Row],[Planned_Production]]</f>
        <v>1.1672413793103449</v>
      </c>
      <c r="P1509" t="str">
        <f>IF(Table13[[#This Row],[Good_Qty]]&gt;=Table13[[#This Row],[Planned_Production]],"Met","Not Met")</f>
        <v>Met</v>
      </c>
      <c r="Q1509">
        <f>Table13[[#This Row],[Good_Qty]]-Table13[[#This Row],[Planned_Production]]</f>
        <v>97</v>
      </c>
      <c r="R1509" s="3">
        <f>IF(Table13[[#This Row],[Actual_Qty]]=0,0,Table13[[#This Row],[Reject_Qty]]/Table13[[#This Row],[Actual_Qty]])</f>
        <v>5.8737151248164461E-3</v>
      </c>
      <c r="S1509">
        <v>435.31</v>
      </c>
      <c r="T1509">
        <f>(Table13[[#This Row],[Ideal_Cycle_Time_sec]]*Table13[[#This Row],[Actual_Qty]])/(Table13[[#This Row],[Operational_Time_min]]*60)</f>
        <v>0.57361420596816071</v>
      </c>
      <c r="U1509">
        <f>Table13[[#This Row],[Good_Qty]]/Table13[[#This Row],[Actual_Qty]]</f>
        <v>0.99412628487518351</v>
      </c>
      <c r="V1509" t="str">
        <f>IF(OR(Table13[[#This Row],[Performance_%]]&gt;=1,Table13[[#This Row],[Performance_%]]&lt;=0),"Error","OK")</f>
        <v>OK</v>
      </c>
      <c r="W1509" t="str">
        <f>IF(OR(Table13[[#This Row],[Quality_%]]&gt;=1,Table13[[#This Row],[Quality_%]]&lt;=0),"Error","OK")</f>
        <v>OK</v>
      </c>
      <c r="X1509">
        <f>Table13[[#This Row],[Performance_%]]*Table13[[#This Row],[Quality_%]]*[2]Availability_KPI!K1509</f>
        <v>0.55162962962962969</v>
      </c>
      <c r="Y1509" t="str">
        <f>IF(OR(Table13[[#This Row],[OEE_%]]&gt;1,Table13[[#This Row],[OEE_%]]&lt;0),"Error","OK")</f>
        <v>OK</v>
      </c>
    </row>
    <row r="1510" spans="1:25" x14ac:dyDescent="0.2">
      <c r="A1510" t="s">
        <v>1748</v>
      </c>
      <c r="B1510" t="s">
        <v>1744</v>
      </c>
      <c r="C1510" s="2">
        <v>46323</v>
      </c>
      <c r="D1510" t="s">
        <v>67</v>
      </c>
      <c r="E1510" t="s">
        <v>41</v>
      </c>
      <c r="F1510" t="s">
        <v>29</v>
      </c>
      <c r="G1510" t="s">
        <v>44</v>
      </c>
      <c r="H1510">
        <v>680</v>
      </c>
      <c r="I1510">
        <v>672</v>
      </c>
      <c r="J1510">
        <v>8</v>
      </c>
      <c r="K1510">
        <v>19.8</v>
      </c>
      <c r="L1510">
        <v>21.14</v>
      </c>
      <c r="M1510">
        <v>239.57</v>
      </c>
      <c r="N1510">
        <f>_xlfn.XLOOKUP(Table13[[#This Row],[Production_Order_ID]],[1]Sheet1!$A$2:$A$391,[1]Sheet1!$F$2:$F$391,"No Match")</f>
        <v>580</v>
      </c>
      <c r="O1510" s="3">
        <f>Table13[[#This Row],[Good_Qty]]/Table13[[#This Row],[Planned_Production]]</f>
        <v>1.1586206896551725</v>
      </c>
      <c r="P1510" t="str">
        <f>IF(Table13[[#This Row],[Good_Qty]]&gt;=Table13[[#This Row],[Planned_Production]],"Met","Not Met")</f>
        <v>Met</v>
      </c>
      <c r="Q1510">
        <f>Table13[[#This Row],[Good_Qty]]-Table13[[#This Row],[Planned_Production]]</f>
        <v>92</v>
      </c>
      <c r="R1510" s="3">
        <f>IF(Table13[[#This Row],[Actual_Qty]]=0,0,Table13[[#This Row],[Reject_Qty]]/Table13[[#This Row],[Actual_Qty]])</f>
        <v>1.1764705882352941E-2</v>
      </c>
      <c r="S1510">
        <v>435.32</v>
      </c>
      <c r="T1510">
        <f>(Table13[[#This Row],[Ideal_Cycle_Time_sec]]*Table13[[#This Row],[Actual_Qty]])/(Table13[[#This Row],[Operational_Time_min]]*60)</f>
        <v>0.51548286318110814</v>
      </c>
      <c r="U1510">
        <f>Table13[[#This Row],[Good_Qty]]/Table13[[#This Row],[Actual_Qty]]</f>
        <v>0.9882352941176471</v>
      </c>
      <c r="V1510" t="str">
        <f>IF(OR(Table13[[#This Row],[Performance_%]]&gt;=1,Table13[[#This Row],[Performance_%]]&lt;=0),"Error","OK")</f>
        <v>OK</v>
      </c>
      <c r="W1510" t="str">
        <f>IF(OR(Table13[[#This Row],[Quality_%]]&gt;=1,Table13[[#This Row],[Quality_%]]&lt;=0),"Error","OK")</f>
        <v>OK</v>
      </c>
      <c r="X1510">
        <f>Table13[[#This Row],[Performance_%]]*Table13[[#This Row],[Quality_%]]*[2]Availability_KPI!K1510</f>
        <v>0.49280000000000002</v>
      </c>
      <c r="Y1510" t="str">
        <f>IF(OR(Table13[[#This Row],[OEE_%]]&gt;1,Table13[[#This Row],[OEE_%]]&lt;0),"Error","OK")</f>
        <v>OK</v>
      </c>
    </row>
    <row r="1511" spans="1:25" x14ac:dyDescent="0.2">
      <c r="A1511" t="s">
        <v>1749</v>
      </c>
      <c r="B1511" t="s">
        <v>1744</v>
      </c>
      <c r="C1511" s="2">
        <v>46323</v>
      </c>
      <c r="D1511" t="s">
        <v>67</v>
      </c>
      <c r="E1511" t="s">
        <v>43</v>
      </c>
      <c r="F1511" t="s">
        <v>29</v>
      </c>
      <c r="G1511" t="s">
        <v>33</v>
      </c>
      <c r="H1511">
        <v>684</v>
      </c>
      <c r="I1511">
        <v>672</v>
      </c>
      <c r="J1511">
        <v>12</v>
      </c>
      <c r="K1511">
        <v>35.200000000000003</v>
      </c>
      <c r="L1511">
        <v>37.64</v>
      </c>
      <c r="M1511">
        <v>429.07</v>
      </c>
      <c r="N1511">
        <f>_xlfn.XLOOKUP(Table13[[#This Row],[Production_Order_ID]],[1]Sheet1!$A$2:$A$391,[1]Sheet1!$F$2:$F$391,"No Match")</f>
        <v>580</v>
      </c>
      <c r="O1511" s="3">
        <f>Table13[[#This Row],[Good_Qty]]/Table13[[#This Row],[Planned_Production]]</f>
        <v>1.1586206896551725</v>
      </c>
      <c r="P1511" t="str">
        <f>IF(Table13[[#This Row],[Good_Qty]]&gt;=Table13[[#This Row],[Planned_Production]],"Met","Not Met")</f>
        <v>Met</v>
      </c>
      <c r="Q1511">
        <f>Table13[[#This Row],[Good_Qty]]-Table13[[#This Row],[Planned_Production]]</f>
        <v>92</v>
      </c>
      <c r="R1511" s="3">
        <f>IF(Table13[[#This Row],[Actual_Qty]]=0,0,Table13[[#This Row],[Reject_Qty]]/Table13[[#This Row],[Actual_Qty]])</f>
        <v>1.7543859649122806E-2</v>
      </c>
      <c r="S1511">
        <v>409.07</v>
      </c>
      <c r="T1511">
        <f>(Table13[[#This Row],[Ideal_Cycle_Time_sec]]*Table13[[#This Row],[Actual_Qty]])/(Table13[[#This Row],[Operational_Time_min]]*60)</f>
        <v>0.98095680445889466</v>
      </c>
      <c r="U1511">
        <f>Table13[[#This Row],[Good_Qty]]/Table13[[#This Row],[Actual_Qty]]</f>
        <v>0.98245614035087714</v>
      </c>
      <c r="V1511" t="str">
        <f>IF(OR(Table13[[#This Row],[Performance_%]]&gt;=1,Table13[[#This Row],[Performance_%]]&lt;=0),"Error","OK")</f>
        <v>OK</v>
      </c>
      <c r="W1511" t="str">
        <f>IF(OR(Table13[[#This Row],[Quality_%]]&gt;=1,Table13[[#This Row],[Quality_%]]&lt;=0),"Error","OK")</f>
        <v>OK</v>
      </c>
      <c r="X1511">
        <f>Table13[[#This Row],[Performance_%]]*Table13[[#This Row],[Quality_%]]*[2]Availability_KPI!K1511</f>
        <v>0.87608888888888892</v>
      </c>
      <c r="Y1511" t="str">
        <f>IF(OR(Table13[[#This Row],[OEE_%]]&gt;1,Table13[[#This Row],[OEE_%]]&lt;0),"Error","OK")</f>
        <v>OK</v>
      </c>
    </row>
    <row r="1512" spans="1:25" x14ac:dyDescent="0.2">
      <c r="A1512" t="s">
        <v>1750</v>
      </c>
      <c r="B1512" t="s">
        <v>1744</v>
      </c>
      <c r="C1512" s="2">
        <v>46323</v>
      </c>
      <c r="D1512" t="s">
        <v>67</v>
      </c>
      <c r="E1512" t="s">
        <v>46</v>
      </c>
      <c r="F1512" t="s">
        <v>29</v>
      </c>
      <c r="G1512" t="s">
        <v>61</v>
      </c>
      <c r="H1512">
        <v>678</v>
      </c>
      <c r="I1512">
        <v>672</v>
      </c>
      <c r="J1512">
        <v>6</v>
      </c>
      <c r="K1512">
        <v>27.5</v>
      </c>
      <c r="L1512">
        <v>28.22</v>
      </c>
      <c r="M1512">
        <v>318.85000000000002</v>
      </c>
      <c r="N1512">
        <f>_xlfn.XLOOKUP(Table13[[#This Row],[Production_Order_ID]],[1]Sheet1!$A$2:$A$391,[1]Sheet1!$F$2:$F$391,"No Match")</f>
        <v>580</v>
      </c>
      <c r="O1512" s="3">
        <f>Table13[[#This Row],[Good_Qty]]/Table13[[#This Row],[Planned_Production]]</f>
        <v>1.1586206896551725</v>
      </c>
      <c r="P1512" t="str">
        <f>IF(Table13[[#This Row],[Good_Qty]]&gt;=Table13[[#This Row],[Planned_Production]],"Met","Not Met")</f>
        <v>Met</v>
      </c>
      <c r="Q1512">
        <f>Table13[[#This Row],[Good_Qty]]-Table13[[#This Row],[Planned_Production]]</f>
        <v>92</v>
      </c>
      <c r="R1512" s="3">
        <f>IF(Table13[[#This Row],[Actual_Qty]]=0,0,Table13[[#This Row],[Reject_Qty]]/Table13[[#This Row],[Actual_Qty]])</f>
        <v>8.8495575221238937E-3</v>
      </c>
      <c r="S1512">
        <v>426.26</v>
      </c>
      <c r="T1512">
        <f>(Table13[[#This Row],[Ideal_Cycle_Time_sec]]*Table13[[#This Row],[Actual_Qty]])/(Table13[[#This Row],[Operational_Time_min]]*60)</f>
        <v>0.72901515506967585</v>
      </c>
      <c r="U1512">
        <f>Table13[[#This Row],[Good_Qty]]/Table13[[#This Row],[Actual_Qty]]</f>
        <v>0.99115044247787609</v>
      </c>
      <c r="V1512" t="str">
        <f>IF(OR(Table13[[#This Row],[Performance_%]]&gt;=1,Table13[[#This Row],[Performance_%]]&lt;=0),"Error","OK")</f>
        <v>OK</v>
      </c>
      <c r="W1512" t="str">
        <f>IF(OR(Table13[[#This Row],[Quality_%]]&gt;=1,Table13[[#This Row],[Quality_%]]&lt;=0),"Error","OK")</f>
        <v>OK</v>
      </c>
      <c r="X1512">
        <f>Table13[[#This Row],[Performance_%]]*Table13[[#This Row],[Quality_%]]*[2]Availability_KPI!K1512</f>
        <v>0.68444444444444441</v>
      </c>
      <c r="Y1512" t="str">
        <f>IF(OR(Table13[[#This Row],[OEE_%]]&gt;1,Table13[[#This Row],[OEE_%]]&lt;0),"Error","OK")</f>
        <v>OK</v>
      </c>
    </row>
    <row r="1513" spans="1:25" x14ac:dyDescent="0.2">
      <c r="A1513" t="s">
        <v>1751</v>
      </c>
      <c r="B1513" t="s">
        <v>1744</v>
      </c>
      <c r="C1513" s="2">
        <v>46323</v>
      </c>
      <c r="D1513" t="s">
        <v>67</v>
      </c>
      <c r="E1513" t="s">
        <v>49</v>
      </c>
      <c r="F1513" t="s">
        <v>29</v>
      </c>
      <c r="G1513" t="s">
        <v>55</v>
      </c>
      <c r="H1513">
        <v>674</v>
      </c>
      <c r="I1513">
        <v>672</v>
      </c>
      <c r="J1513">
        <v>2</v>
      </c>
      <c r="K1513">
        <v>22</v>
      </c>
      <c r="L1513">
        <v>23.41</v>
      </c>
      <c r="M1513">
        <v>262.92</v>
      </c>
      <c r="N1513">
        <f>_xlfn.XLOOKUP(Table13[[#This Row],[Production_Order_ID]],[1]Sheet1!$A$2:$A$391,[1]Sheet1!$F$2:$F$391,"No Match")</f>
        <v>580</v>
      </c>
      <c r="O1513" s="3">
        <f>Table13[[#This Row],[Good_Qty]]/Table13[[#This Row],[Planned_Production]]</f>
        <v>1.1586206896551725</v>
      </c>
      <c r="P1513" t="str">
        <f>IF(Table13[[#This Row],[Good_Qty]]&gt;=Table13[[#This Row],[Planned_Production]],"Met","Not Met")</f>
        <v>Met</v>
      </c>
      <c r="Q1513">
        <f>Table13[[#This Row],[Good_Qty]]-Table13[[#This Row],[Planned_Production]]</f>
        <v>92</v>
      </c>
      <c r="R1513" s="3">
        <f>IF(Table13[[#This Row],[Actual_Qty]]=0,0,Table13[[#This Row],[Reject_Qty]]/Table13[[#This Row],[Actual_Qty]])</f>
        <v>2.967359050445104E-3</v>
      </c>
      <c r="S1513">
        <v>436.95</v>
      </c>
      <c r="T1513">
        <f>(Table13[[#This Row],[Ideal_Cycle_Time_sec]]*Table13[[#This Row],[Actual_Qty]])/(Table13[[#This Row],[Operational_Time_min]]*60)</f>
        <v>0.56558721440286841</v>
      </c>
      <c r="U1513">
        <f>Table13[[#This Row],[Good_Qty]]/Table13[[#This Row],[Actual_Qty]]</f>
        <v>0.9970326409495549</v>
      </c>
      <c r="V1513" t="str">
        <f>IF(OR(Table13[[#This Row],[Performance_%]]&gt;=1,Table13[[#This Row],[Performance_%]]&lt;=0),"Error","OK")</f>
        <v>OK</v>
      </c>
      <c r="W1513" t="str">
        <f>IF(OR(Table13[[#This Row],[Quality_%]]&gt;=1,Table13[[#This Row],[Quality_%]]&lt;=0),"Error","OK")</f>
        <v>OK</v>
      </c>
      <c r="X1513">
        <f>Table13[[#This Row],[Performance_%]]*Table13[[#This Row],[Quality_%]]*[2]Availability_KPI!K1513</f>
        <v>0.54755555555555557</v>
      </c>
      <c r="Y1513" t="str">
        <f>IF(OR(Table13[[#This Row],[OEE_%]]&gt;1,Table13[[#This Row],[OEE_%]]&lt;0),"Error","OK")</f>
        <v>OK</v>
      </c>
    </row>
    <row r="1514" spans="1:25" x14ac:dyDescent="0.2">
      <c r="A1514" t="s">
        <v>1752</v>
      </c>
      <c r="B1514" t="s">
        <v>1753</v>
      </c>
      <c r="C1514" s="2">
        <v>46324</v>
      </c>
      <c r="D1514" t="s">
        <v>27</v>
      </c>
      <c r="E1514" t="s">
        <v>28</v>
      </c>
      <c r="F1514" t="s">
        <v>54</v>
      </c>
      <c r="G1514" t="s">
        <v>44</v>
      </c>
      <c r="H1514">
        <v>721</v>
      </c>
      <c r="I1514">
        <v>716</v>
      </c>
      <c r="J1514">
        <v>5</v>
      </c>
      <c r="K1514">
        <v>18</v>
      </c>
      <c r="L1514">
        <v>18.66</v>
      </c>
      <c r="M1514">
        <v>224.2</v>
      </c>
      <c r="N1514">
        <f>_xlfn.XLOOKUP(Table13[[#This Row],[Production_Order_ID]],[1]Sheet1!$A$2:$A$391,[1]Sheet1!$F$2:$F$391,"No Match")</f>
        <v>510</v>
      </c>
      <c r="O1514" s="3">
        <f>Table13[[#This Row],[Good_Qty]]/Table13[[#This Row],[Planned_Production]]</f>
        <v>1.4039215686274509</v>
      </c>
      <c r="P1514" t="str">
        <f>IF(Table13[[#This Row],[Good_Qty]]&gt;=Table13[[#This Row],[Planned_Production]],"Met","Not Met")</f>
        <v>Met</v>
      </c>
      <c r="Q1514">
        <f>Table13[[#This Row],[Good_Qty]]-Table13[[#This Row],[Planned_Production]]</f>
        <v>206</v>
      </c>
      <c r="R1514" s="3">
        <f>IF(Table13[[#This Row],[Actual_Qty]]=0,0,Table13[[#This Row],[Reject_Qty]]/Table13[[#This Row],[Actual_Qty]])</f>
        <v>6.9348127600554789E-3</v>
      </c>
      <c r="S1514">
        <v>437.44</v>
      </c>
      <c r="T1514">
        <f>(Table13[[#This Row],[Ideal_Cycle_Time_sec]]*Table13[[#This Row],[Actual_Qty]])/(Table13[[#This Row],[Operational_Time_min]]*60)</f>
        <v>0.49446781272860274</v>
      </c>
      <c r="U1514">
        <f>Table13[[#This Row],[Good_Qty]]/Table13[[#This Row],[Actual_Qty]]</f>
        <v>0.99306518723994452</v>
      </c>
      <c r="V1514" t="str">
        <f>IF(OR(Table13[[#This Row],[Performance_%]]&gt;=1,Table13[[#This Row],[Performance_%]]&lt;=0),"Error","OK")</f>
        <v>OK</v>
      </c>
      <c r="W1514" t="str">
        <f>IF(OR(Table13[[#This Row],[Quality_%]]&gt;=1,Table13[[#This Row],[Quality_%]]&lt;=0),"Error","OK")</f>
        <v>OK</v>
      </c>
      <c r="X1514">
        <f>Table13[[#This Row],[Performance_%]]*Table13[[#This Row],[Quality_%]]*[2]Availability_KPI!K1514</f>
        <v>0.47733333333333333</v>
      </c>
      <c r="Y1514" t="str">
        <f>IF(OR(Table13[[#This Row],[OEE_%]]&gt;1,Table13[[#This Row],[OEE_%]]&lt;0),"Error","OK")</f>
        <v>OK</v>
      </c>
    </row>
    <row r="1515" spans="1:25" x14ac:dyDescent="0.2">
      <c r="A1515" t="s">
        <v>1754</v>
      </c>
      <c r="B1515" t="s">
        <v>1753</v>
      </c>
      <c r="C1515" s="2">
        <v>46324</v>
      </c>
      <c r="D1515" t="s">
        <v>27</v>
      </c>
      <c r="E1515" t="s">
        <v>32</v>
      </c>
      <c r="F1515" t="s">
        <v>54</v>
      </c>
      <c r="G1515" t="s">
        <v>75</v>
      </c>
      <c r="H1515">
        <v>714</v>
      </c>
      <c r="I1515">
        <v>710</v>
      </c>
      <c r="J1515">
        <v>4</v>
      </c>
      <c r="K1515">
        <v>20</v>
      </c>
      <c r="L1515">
        <v>21.13</v>
      </c>
      <c r="M1515">
        <v>251.42</v>
      </c>
      <c r="N1515">
        <f>_xlfn.XLOOKUP(Table13[[#This Row],[Production_Order_ID]],[1]Sheet1!$A$2:$A$391,[1]Sheet1!$F$2:$F$391,"No Match")</f>
        <v>510</v>
      </c>
      <c r="O1515" s="3">
        <f>Table13[[#This Row],[Good_Qty]]/Table13[[#This Row],[Planned_Production]]</f>
        <v>1.392156862745098</v>
      </c>
      <c r="P1515" t="str">
        <f>IF(Table13[[#This Row],[Good_Qty]]&gt;=Table13[[#This Row],[Planned_Production]],"Met","Not Met")</f>
        <v>Met</v>
      </c>
      <c r="Q1515">
        <f>Table13[[#This Row],[Good_Qty]]-Table13[[#This Row],[Planned_Production]]</f>
        <v>200</v>
      </c>
      <c r="R1515" s="3">
        <f>IF(Table13[[#This Row],[Actual_Qty]]=0,0,Table13[[#This Row],[Reject_Qty]]/Table13[[#This Row],[Actual_Qty]])</f>
        <v>5.6022408963585435E-3</v>
      </c>
      <c r="S1515">
        <v>432.99</v>
      </c>
      <c r="T1515">
        <f>(Table13[[#This Row],[Ideal_Cycle_Time_sec]]*Table13[[#This Row],[Actual_Qty]])/(Table13[[#This Row],[Operational_Time_min]]*60)</f>
        <v>0.54966627404789947</v>
      </c>
      <c r="U1515">
        <f>Table13[[#This Row],[Good_Qty]]/Table13[[#This Row],[Actual_Qty]]</f>
        <v>0.99439775910364148</v>
      </c>
      <c r="V1515" t="str">
        <f>IF(OR(Table13[[#This Row],[Performance_%]]&gt;=1,Table13[[#This Row],[Performance_%]]&lt;=0),"Error","OK")</f>
        <v>OK</v>
      </c>
      <c r="W1515" t="str">
        <f>IF(OR(Table13[[#This Row],[Quality_%]]&gt;=1,Table13[[#This Row],[Quality_%]]&lt;=0),"Error","OK")</f>
        <v>OK</v>
      </c>
      <c r="X1515">
        <f>Table13[[#This Row],[Performance_%]]*Table13[[#This Row],[Quality_%]]*[2]Availability_KPI!K1515</f>
        <v>0.52592592592592602</v>
      </c>
      <c r="Y1515" t="str">
        <f>IF(OR(Table13[[#This Row],[OEE_%]]&gt;1,Table13[[#This Row],[OEE_%]]&lt;0),"Error","OK")</f>
        <v>OK</v>
      </c>
    </row>
    <row r="1516" spans="1:25" x14ac:dyDescent="0.2">
      <c r="A1516" t="s">
        <v>1755</v>
      </c>
      <c r="B1516" t="s">
        <v>1753</v>
      </c>
      <c r="C1516" s="2">
        <v>46324</v>
      </c>
      <c r="D1516" t="s">
        <v>27</v>
      </c>
      <c r="E1516" t="s">
        <v>35</v>
      </c>
      <c r="F1516" t="s">
        <v>54</v>
      </c>
      <c r="G1516" t="s">
        <v>36</v>
      </c>
      <c r="H1516">
        <v>717</v>
      </c>
      <c r="I1516">
        <v>713</v>
      </c>
      <c r="J1516">
        <v>4</v>
      </c>
      <c r="K1516">
        <v>22</v>
      </c>
      <c r="L1516">
        <v>22.45</v>
      </c>
      <c r="M1516">
        <v>268.24</v>
      </c>
      <c r="N1516">
        <f>_xlfn.XLOOKUP(Table13[[#This Row],[Production_Order_ID]],[1]Sheet1!$A$2:$A$391,[1]Sheet1!$F$2:$F$391,"No Match")</f>
        <v>510</v>
      </c>
      <c r="O1516" s="3">
        <f>Table13[[#This Row],[Good_Qty]]/Table13[[#This Row],[Planned_Production]]</f>
        <v>1.3980392156862744</v>
      </c>
      <c r="P1516" t="str">
        <f>IF(Table13[[#This Row],[Good_Qty]]&gt;=Table13[[#This Row],[Planned_Production]],"Met","Not Met")</f>
        <v>Met</v>
      </c>
      <c r="Q1516">
        <f>Table13[[#This Row],[Good_Qty]]-Table13[[#This Row],[Planned_Production]]</f>
        <v>203</v>
      </c>
      <c r="R1516" s="3">
        <f>IF(Table13[[#This Row],[Actual_Qty]]=0,0,Table13[[#This Row],[Reject_Qty]]/Table13[[#This Row],[Actual_Qty]])</f>
        <v>5.5788005578800556E-3</v>
      </c>
      <c r="S1516">
        <v>428.48</v>
      </c>
      <c r="T1516">
        <f>(Table13[[#This Row],[Ideal_Cycle_Time_sec]]*Table13[[#This Row],[Actual_Qty]])/(Table13[[#This Row],[Operational_Time_min]]*60)</f>
        <v>0.61356422703510072</v>
      </c>
      <c r="U1516">
        <f>Table13[[#This Row],[Good_Qty]]/Table13[[#This Row],[Actual_Qty]]</f>
        <v>0.99442119944211993</v>
      </c>
      <c r="V1516" t="str">
        <f>IF(OR(Table13[[#This Row],[Performance_%]]&gt;=1,Table13[[#This Row],[Performance_%]]&lt;=0),"Error","OK")</f>
        <v>OK</v>
      </c>
      <c r="W1516" t="str">
        <f>IF(OR(Table13[[#This Row],[Quality_%]]&gt;=1,Table13[[#This Row],[Quality_%]]&lt;=0),"Error","OK")</f>
        <v>OK</v>
      </c>
      <c r="X1516">
        <f>Table13[[#This Row],[Performance_%]]*Table13[[#This Row],[Quality_%]]*[2]Availability_KPI!K1516</f>
        <v>0.5809629629629629</v>
      </c>
      <c r="Y1516" t="str">
        <f>IF(OR(Table13[[#This Row],[OEE_%]]&gt;1,Table13[[#This Row],[OEE_%]]&lt;0),"Error","OK")</f>
        <v>OK</v>
      </c>
    </row>
    <row r="1517" spans="1:25" x14ac:dyDescent="0.2">
      <c r="A1517" t="s">
        <v>1756</v>
      </c>
      <c r="B1517" t="s">
        <v>1753</v>
      </c>
      <c r="C1517" s="2">
        <v>46324</v>
      </c>
      <c r="D1517" t="s">
        <v>27</v>
      </c>
      <c r="E1517" t="s">
        <v>38</v>
      </c>
      <c r="F1517" t="s">
        <v>54</v>
      </c>
      <c r="G1517" t="s">
        <v>44</v>
      </c>
      <c r="H1517">
        <v>728</v>
      </c>
      <c r="I1517">
        <v>726</v>
      </c>
      <c r="J1517">
        <v>2</v>
      </c>
      <c r="K1517">
        <v>20</v>
      </c>
      <c r="L1517">
        <v>20.38</v>
      </c>
      <c r="M1517">
        <v>247.28</v>
      </c>
      <c r="N1517">
        <f>_xlfn.XLOOKUP(Table13[[#This Row],[Production_Order_ID]],[1]Sheet1!$A$2:$A$391,[1]Sheet1!$F$2:$F$391,"No Match")</f>
        <v>510</v>
      </c>
      <c r="O1517" s="3">
        <f>Table13[[#This Row],[Good_Qty]]/Table13[[#This Row],[Planned_Production]]</f>
        <v>1.4235294117647059</v>
      </c>
      <c r="P1517" t="str">
        <f>IF(Table13[[#This Row],[Good_Qty]]&gt;=Table13[[#This Row],[Planned_Production]],"Met","Not Met")</f>
        <v>Met</v>
      </c>
      <c r="Q1517">
        <f>Table13[[#This Row],[Good_Qty]]-Table13[[#This Row],[Planned_Production]]</f>
        <v>216</v>
      </c>
      <c r="R1517" s="3">
        <f>IF(Table13[[#This Row],[Actual_Qty]]=0,0,Table13[[#This Row],[Reject_Qty]]/Table13[[#This Row],[Actual_Qty]])</f>
        <v>2.7472527472527475E-3</v>
      </c>
      <c r="S1517">
        <v>440.14</v>
      </c>
      <c r="T1517">
        <f>(Table13[[#This Row],[Ideal_Cycle_Time_sec]]*Table13[[#This Row],[Actual_Qty]])/(Table13[[#This Row],[Operational_Time_min]]*60)</f>
        <v>0.55133972523893915</v>
      </c>
      <c r="U1517">
        <f>Table13[[#This Row],[Good_Qty]]/Table13[[#This Row],[Actual_Qty]]</f>
        <v>0.99725274725274726</v>
      </c>
      <c r="V1517" t="str">
        <f>IF(OR(Table13[[#This Row],[Performance_%]]&gt;=1,Table13[[#This Row],[Performance_%]]&lt;=0),"Error","OK")</f>
        <v>OK</v>
      </c>
      <c r="W1517" t="str">
        <f>IF(OR(Table13[[#This Row],[Quality_%]]&gt;=1,Table13[[#This Row],[Quality_%]]&lt;=0),"Error","OK")</f>
        <v>OK</v>
      </c>
      <c r="X1517">
        <f>Table13[[#This Row],[Performance_%]]*Table13[[#This Row],[Quality_%]]*[2]Availability_KPI!K1517</f>
        <v>0.5377777777777778</v>
      </c>
      <c r="Y1517" t="str">
        <f>IF(OR(Table13[[#This Row],[OEE_%]]&gt;1,Table13[[#This Row],[OEE_%]]&lt;0),"Error","OK")</f>
        <v>OK</v>
      </c>
    </row>
    <row r="1518" spans="1:25" x14ac:dyDescent="0.2">
      <c r="A1518" t="s">
        <v>1757</v>
      </c>
      <c r="B1518" t="s">
        <v>1753</v>
      </c>
      <c r="C1518" s="2">
        <v>46324</v>
      </c>
      <c r="D1518" t="s">
        <v>27</v>
      </c>
      <c r="E1518" t="s">
        <v>41</v>
      </c>
      <c r="F1518" t="s">
        <v>54</v>
      </c>
      <c r="G1518" t="s">
        <v>44</v>
      </c>
      <c r="H1518">
        <v>727</v>
      </c>
      <c r="I1518">
        <v>719</v>
      </c>
      <c r="J1518">
        <v>8</v>
      </c>
      <c r="K1518">
        <v>18</v>
      </c>
      <c r="L1518">
        <v>18.920000000000002</v>
      </c>
      <c r="M1518">
        <v>229.28</v>
      </c>
      <c r="N1518">
        <f>_xlfn.XLOOKUP(Table13[[#This Row],[Production_Order_ID]],[1]Sheet1!$A$2:$A$391,[1]Sheet1!$F$2:$F$391,"No Match")</f>
        <v>510</v>
      </c>
      <c r="O1518" s="3">
        <f>Table13[[#This Row],[Good_Qty]]/Table13[[#This Row],[Planned_Production]]</f>
        <v>1.4098039215686275</v>
      </c>
      <c r="P1518" t="str">
        <f>IF(Table13[[#This Row],[Good_Qty]]&gt;=Table13[[#This Row],[Planned_Production]],"Met","Not Met")</f>
        <v>Met</v>
      </c>
      <c r="Q1518">
        <f>Table13[[#This Row],[Good_Qty]]-Table13[[#This Row],[Planned_Production]]</f>
        <v>209</v>
      </c>
      <c r="R1518" s="3">
        <f>IF(Table13[[#This Row],[Actual_Qty]]=0,0,Table13[[#This Row],[Reject_Qty]]/Table13[[#This Row],[Actual_Qty]])</f>
        <v>1.1004126547455296E-2</v>
      </c>
      <c r="S1518">
        <v>436.07</v>
      </c>
      <c r="T1518">
        <f>(Table13[[#This Row],[Ideal_Cycle_Time_sec]]*Table13[[#This Row],[Actual_Qty]])/(Table13[[#This Row],[Operational_Time_min]]*60)</f>
        <v>0.50014905863737469</v>
      </c>
      <c r="U1518">
        <f>Table13[[#This Row],[Good_Qty]]/Table13[[#This Row],[Actual_Qty]]</f>
        <v>0.98899587345254469</v>
      </c>
      <c r="V1518" t="str">
        <f>IF(OR(Table13[[#This Row],[Performance_%]]&gt;=1,Table13[[#This Row],[Performance_%]]&lt;=0),"Error","OK")</f>
        <v>OK</v>
      </c>
      <c r="W1518" t="str">
        <f>IF(OR(Table13[[#This Row],[Quality_%]]&gt;=1,Table13[[#This Row],[Quality_%]]&lt;=0),"Error","OK")</f>
        <v>OK</v>
      </c>
      <c r="X1518">
        <f>Table13[[#This Row],[Performance_%]]*Table13[[#This Row],[Quality_%]]*[2]Availability_KPI!K1518</f>
        <v>0.47933333333333322</v>
      </c>
      <c r="Y1518" t="str">
        <f>IF(OR(Table13[[#This Row],[OEE_%]]&gt;1,Table13[[#This Row],[OEE_%]]&lt;0),"Error","OK")</f>
        <v>OK</v>
      </c>
    </row>
    <row r="1519" spans="1:25" x14ac:dyDescent="0.2">
      <c r="A1519" t="s">
        <v>1758</v>
      </c>
      <c r="B1519" t="s">
        <v>1753</v>
      </c>
      <c r="C1519" s="2">
        <v>46324</v>
      </c>
      <c r="D1519" t="s">
        <v>27</v>
      </c>
      <c r="E1519" t="s">
        <v>43</v>
      </c>
      <c r="F1519" t="s">
        <v>54</v>
      </c>
      <c r="G1519" t="s">
        <v>33</v>
      </c>
      <c r="H1519">
        <v>727</v>
      </c>
      <c r="I1519">
        <v>716</v>
      </c>
      <c r="J1519">
        <v>11</v>
      </c>
      <c r="K1519">
        <v>32</v>
      </c>
      <c r="L1519">
        <v>32.700000000000003</v>
      </c>
      <c r="M1519">
        <v>396.16</v>
      </c>
      <c r="N1519">
        <f>_xlfn.XLOOKUP(Table13[[#This Row],[Production_Order_ID]],[1]Sheet1!$A$2:$A$391,[1]Sheet1!$F$2:$F$391,"No Match")</f>
        <v>510</v>
      </c>
      <c r="O1519" s="3">
        <f>Table13[[#This Row],[Good_Qty]]/Table13[[#This Row],[Planned_Production]]</f>
        <v>1.4039215686274509</v>
      </c>
      <c r="P1519" t="str">
        <f>IF(Table13[[#This Row],[Good_Qty]]&gt;=Table13[[#This Row],[Planned_Production]],"Met","Not Met")</f>
        <v>Met</v>
      </c>
      <c r="Q1519">
        <f>Table13[[#This Row],[Good_Qty]]-Table13[[#This Row],[Planned_Production]]</f>
        <v>206</v>
      </c>
      <c r="R1519" s="3">
        <f>IF(Table13[[#This Row],[Actual_Qty]]=0,0,Table13[[#This Row],[Reject_Qty]]/Table13[[#This Row],[Actual_Qty]])</f>
        <v>1.5130674002751032E-2</v>
      </c>
      <c r="S1519">
        <v>405.28</v>
      </c>
      <c r="T1519">
        <f>(Table13[[#This Row],[Ideal_Cycle_Time_sec]]*Table13[[#This Row],[Actual_Qty]])/(Table13[[#This Row],[Operational_Time_min]]*60)</f>
        <v>0.95670482958283987</v>
      </c>
      <c r="U1519">
        <f>Table13[[#This Row],[Good_Qty]]/Table13[[#This Row],[Actual_Qty]]</f>
        <v>0.98486932599724897</v>
      </c>
      <c r="V1519" t="str">
        <f>IF(OR(Table13[[#This Row],[Performance_%]]&gt;=1,Table13[[#This Row],[Performance_%]]&lt;=0),"Error","OK")</f>
        <v>OK</v>
      </c>
      <c r="W1519" t="str">
        <f>IF(OR(Table13[[#This Row],[Quality_%]]&gt;=1,Table13[[#This Row],[Quality_%]]&lt;=0),"Error","OK")</f>
        <v>OK</v>
      </c>
      <c r="X1519">
        <f>Table13[[#This Row],[Performance_%]]*Table13[[#This Row],[Quality_%]]*[2]Availability_KPI!K1519</f>
        <v>0.84859259259259268</v>
      </c>
      <c r="Y1519" t="str">
        <f>IF(OR(Table13[[#This Row],[OEE_%]]&gt;1,Table13[[#This Row],[OEE_%]]&lt;0),"Error","OK")</f>
        <v>OK</v>
      </c>
    </row>
    <row r="1520" spans="1:25" x14ac:dyDescent="0.2">
      <c r="A1520" t="s">
        <v>1759</v>
      </c>
      <c r="B1520" t="s">
        <v>1753</v>
      </c>
      <c r="C1520" s="2">
        <v>46324</v>
      </c>
      <c r="D1520" t="s">
        <v>27</v>
      </c>
      <c r="E1520" t="s">
        <v>46</v>
      </c>
      <c r="F1520" t="s">
        <v>54</v>
      </c>
      <c r="G1520" t="s">
        <v>30</v>
      </c>
      <c r="H1520">
        <v>724</v>
      </c>
      <c r="I1520">
        <v>716</v>
      </c>
      <c r="J1520">
        <v>8</v>
      </c>
      <c r="K1520">
        <v>25</v>
      </c>
      <c r="L1520">
        <v>26.8</v>
      </c>
      <c r="M1520">
        <v>323.44</v>
      </c>
      <c r="N1520">
        <f>_xlfn.XLOOKUP(Table13[[#This Row],[Production_Order_ID]],[1]Sheet1!$A$2:$A$391,[1]Sheet1!$F$2:$F$391,"No Match")</f>
        <v>510</v>
      </c>
      <c r="O1520" s="3">
        <f>Table13[[#This Row],[Good_Qty]]/Table13[[#This Row],[Planned_Production]]</f>
        <v>1.4039215686274509</v>
      </c>
      <c r="P1520" t="str">
        <f>IF(Table13[[#This Row],[Good_Qty]]&gt;=Table13[[#This Row],[Planned_Production]],"Met","Not Met")</f>
        <v>Met</v>
      </c>
      <c r="Q1520">
        <f>Table13[[#This Row],[Good_Qty]]-Table13[[#This Row],[Planned_Production]]</f>
        <v>206</v>
      </c>
      <c r="R1520" s="3">
        <f>IF(Table13[[#This Row],[Actual_Qty]]=0,0,Table13[[#This Row],[Reject_Qty]]/Table13[[#This Row],[Actual_Qty]])</f>
        <v>1.1049723756906077E-2</v>
      </c>
      <c r="S1520">
        <v>428.65</v>
      </c>
      <c r="T1520">
        <f>(Table13[[#This Row],[Ideal_Cycle_Time_sec]]*Table13[[#This Row],[Actual_Qty]])/(Table13[[#This Row],[Operational_Time_min]]*60)</f>
        <v>0.70375986624674369</v>
      </c>
      <c r="U1520">
        <f>Table13[[#This Row],[Good_Qty]]/Table13[[#This Row],[Actual_Qty]]</f>
        <v>0.98895027624309395</v>
      </c>
      <c r="V1520" t="str">
        <f>IF(OR(Table13[[#This Row],[Performance_%]]&gt;=1,Table13[[#This Row],[Performance_%]]&lt;=0),"Error","OK")</f>
        <v>OK</v>
      </c>
      <c r="W1520" t="str">
        <f>IF(OR(Table13[[#This Row],[Quality_%]]&gt;=1,Table13[[#This Row],[Quality_%]]&lt;=0),"Error","OK")</f>
        <v>OK</v>
      </c>
      <c r="X1520">
        <f>Table13[[#This Row],[Performance_%]]*Table13[[#This Row],[Quality_%]]*[2]Availability_KPI!K1520</f>
        <v>0.66296296296296298</v>
      </c>
      <c r="Y1520" t="str">
        <f>IF(OR(Table13[[#This Row],[OEE_%]]&gt;1,Table13[[#This Row],[OEE_%]]&lt;0),"Error","OK")</f>
        <v>OK</v>
      </c>
    </row>
    <row r="1521" spans="1:25" x14ac:dyDescent="0.2">
      <c r="A1521" t="s">
        <v>1760</v>
      </c>
      <c r="B1521" t="s">
        <v>1753</v>
      </c>
      <c r="C1521" s="2">
        <v>46324</v>
      </c>
      <c r="D1521" t="s">
        <v>27</v>
      </c>
      <c r="E1521" t="s">
        <v>49</v>
      </c>
      <c r="F1521" t="s">
        <v>54</v>
      </c>
      <c r="G1521" t="s">
        <v>44</v>
      </c>
      <c r="H1521">
        <v>731</v>
      </c>
      <c r="I1521">
        <v>727</v>
      </c>
      <c r="J1521">
        <v>4</v>
      </c>
      <c r="K1521">
        <v>20</v>
      </c>
      <c r="L1521">
        <v>20.72</v>
      </c>
      <c r="M1521">
        <v>252.45</v>
      </c>
      <c r="N1521">
        <f>_xlfn.XLOOKUP(Table13[[#This Row],[Production_Order_ID]],[1]Sheet1!$A$2:$A$391,[1]Sheet1!$F$2:$F$391,"No Match")</f>
        <v>510</v>
      </c>
      <c r="O1521" s="3">
        <f>Table13[[#This Row],[Good_Qty]]/Table13[[#This Row],[Planned_Production]]</f>
        <v>1.4254901960784314</v>
      </c>
      <c r="P1521" t="str">
        <f>IF(Table13[[#This Row],[Good_Qty]]&gt;=Table13[[#This Row],[Planned_Production]],"Met","Not Met")</f>
        <v>Met</v>
      </c>
      <c r="Q1521">
        <f>Table13[[#This Row],[Good_Qty]]-Table13[[#This Row],[Planned_Production]]</f>
        <v>217</v>
      </c>
      <c r="R1521" s="3">
        <f>IF(Table13[[#This Row],[Actual_Qty]]=0,0,Table13[[#This Row],[Reject_Qty]]/Table13[[#This Row],[Actual_Qty]])</f>
        <v>5.4719562243502051E-3</v>
      </c>
      <c r="S1521">
        <v>440.02</v>
      </c>
      <c r="T1521">
        <f>(Table13[[#This Row],[Ideal_Cycle_Time_sec]]*Table13[[#This Row],[Actual_Qty]])/(Table13[[#This Row],[Operational_Time_min]]*60)</f>
        <v>0.55376270775570813</v>
      </c>
      <c r="U1521">
        <f>Table13[[#This Row],[Good_Qty]]/Table13[[#This Row],[Actual_Qty]]</f>
        <v>0.99452804377564974</v>
      </c>
      <c r="V1521" t="str">
        <f>IF(OR(Table13[[#This Row],[Performance_%]]&gt;=1,Table13[[#This Row],[Performance_%]]&lt;=0),"Error","OK")</f>
        <v>OK</v>
      </c>
      <c r="W1521" t="str">
        <f>IF(OR(Table13[[#This Row],[Quality_%]]&gt;=1,Table13[[#This Row],[Quality_%]]&lt;=0),"Error","OK")</f>
        <v>OK</v>
      </c>
      <c r="X1521">
        <f>Table13[[#This Row],[Performance_%]]*Table13[[#This Row],[Quality_%]]*[2]Availability_KPI!K1521</f>
        <v>0.53851851851851851</v>
      </c>
      <c r="Y1521" t="str">
        <f>IF(OR(Table13[[#This Row],[OEE_%]]&gt;1,Table13[[#This Row],[OEE_%]]&lt;0),"Error","OK")</f>
        <v>OK</v>
      </c>
    </row>
    <row r="1522" spans="1:25" x14ac:dyDescent="0.2">
      <c r="A1522" t="s">
        <v>1761</v>
      </c>
      <c r="B1522" t="s">
        <v>1762</v>
      </c>
      <c r="C1522" s="2">
        <v>46324</v>
      </c>
      <c r="D1522" t="s">
        <v>53</v>
      </c>
      <c r="E1522" t="s">
        <v>28</v>
      </c>
      <c r="F1522" t="s">
        <v>29</v>
      </c>
      <c r="G1522" t="s">
        <v>61</v>
      </c>
      <c r="H1522">
        <v>524</v>
      </c>
      <c r="I1522">
        <v>520</v>
      </c>
      <c r="J1522">
        <v>4</v>
      </c>
      <c r="K1522">
        <v>19.8</v>
      </c>
      <c r="L1522">
        <v>19.97</v>
      </c>
      <c r="M1522">
        <v>174.38</v>
      </c>
      <c r="N1522">
        <f>_xlfn.XLOOKUP(Table13[[#This Row],[Production_Order_ID]],[1]Sheet1!$A$2:$A$391,[1]Sheet1!$F$2:$F$391,"No Match")</f>
        <v>600</v>
      </c>
      <c r="O1522" s="3">
        <f>Table13[[#This Row],[Good_Qty]]/Table13[[#This Row],[Planned_Production]]</f>
        <v>0.8666666666666667</v>
      </c>
      <c r="P1522" t="str">
        <f>IF(Table13[[#This Row],[Good_Qty]]&gt;=Table13[[#This Row],[Planned_Production]],"Met","Not Met")</f>
        <v>Not Met</v>
      </c>
      <c r="Q1522">
        <f>Table13[[#This Row],[Good_Qty]]-Table13[[#This Row],[Planned_Production]]</f>
        <v>-80</v>
      </c>
      <c r="R1522" s="3">
        <f>IF(Table13[[#This Row],[Actual_Qty]]=0,0,Table13[[#This Row],[Reject_Qty]]/Table13[[#This Row],[Actual_Qty]])</f>
        <v>7.6335877862595417E-3</v>
      </c>
      <c r="S1522">
        <v>442.51</v>
      </c>
      <c r="T1522">
        <f>(Table13[[#This Row],[Ideal_Cycle_Time_sec]]*Table13[[#This Row],[Actual_Qty]])/(Table13[[#This Row],[Operational_Time_min]]*60)</f>
        <v>0.39077083003773933</v>
      </c>
      <c r="U1522">
        <f>Table13[[#This Row],[Good_Qty]]/Table13[[#This Row],[Actual_Qty]]</f>
        <v>0.99236641221374045</v>
      </c>
      <c r="V1522" t="str">
        <f>IF(OR(Table13[[#This Row],[Performance_%]]&gt;=1,Table13[[#This Row],[Performance_%]]&lt;=0),"Error","OK")</f>
        <v>OK</v>
      </c>
      <c r="W1522" t="str">
        <f>IF(OR(Table13[[#This Row],[Quality_%]]&gt;=1,Table13[[#This Row],[Quality_%]]&lt;=0),"Error","OK")</f>
        <v>OK</v>
      </c>
      <c r="X1522">
        <f>Table13[[#This Row],[Performance_%]]*Table13[[#This Row],[Quality_%]]*[2]Availability_KPI!K1522</f>
        <v>0.38133333333333336</v>
      </c>
      <c r="Y1522" t="str">
        <f>IF(OR(Table13[[#This Row],[OEE_%]]&gt;1,Table13[[#This Row],[OEE_%]]&lt;0),"Error","OK")</f>
        <v>OK</v>
      </c>
    </row>
    <row r="1523" spans="1:25" x14ac:dyDescent="0.2">
      <c r="A1523" t="s">
        <v>1763</v>
      </c>
      <c r="B1523" t="s">
        <v>1762</v>
      </c>
      <c r="C1523" s="2">
        <v>46324</v>
      </c>
      <c r="D1523" t="s">
        <v>53</v>
      </c>
      <c r="E1523" t="s">
        <v>32</v>
      </c>
      <c r="F1523" t="s">
        <v>29</v>
      </c>
      <c r="G1523" t="s">
        <v>75</v>
      </c>
      <c r="H1523">
        <v>520</v>
      </c>
      <c r="I1523">
        <v>516</v>
      </c>
      <c r="J1523">
        <v>4</v>
      </c>
      <c r="K1523">
        <v>22</v>
      </c>
      <c r="L1523">
        <v>22.91</v>
      </c>
      <c r="M1523">
        <v>198.51</v>
      </c>
      <c r="N1523">
        <f>_xlfn.XLOOKUP(Table13[[#This Row],[Production_Order_ID]],[1]Sheet1!$A$2:$A$391,[1]Sheet1!$F$2:$F$391,"No Match")</f>
        <v>600</v>
      </c>
      <c r="O1523" s="3">
        <f>Table13[[#This Row],[Good_Qty]]/Table13[[#This Row],[Planned_Production]]</f>
        <v>0.86</v>
      </c>
      <c r="P1523" t="str">
        <f>IF(Table13[[#This Row],[Good_Qty]]&gt;=Table13[[#This Row],[Planned_Production]],"Met","Not Met")</f>
        <v>Not Met</v>
      </c>
      <c r="Q1523">
        <f>Table13[[#This Row],[Good_Qty]]-Table13[[#This Row],[Planned_Production]]</f>
        <v>-84</v>
      </c>
      <c r="R1523" s="3">
        <f>IF(Table13[[#This Row],[Actual_Qty]]=0,0,Table13[[#This Row],[Reject_Qty]]/Table13[[#This Row],[Actual_Qty]])</f>
        <v>7.6923076923076927E-3</v>
      </c>
      <c r="S1523">
        <v>437.75</v>
      </c>
      <c r="T1523">
        <f>(Table13[[#This Row],[Ideal_Cycle_Time_sec]]*Table13[[#This Row],[Actual_Qty]])/(Table13[[#This Row],[Operational_Time_min]]*60)</f>
        <v>0.43556063201979822</v>
      </c>
      <c r="U1523">
        <f>Table13[[#This Row],[Good_Qty]]/Table13[[#This Row],[Actual_Qty]]</f>
        <v>0.99230769230769234</v>
      </c>
      <c r="V1523" t="str">
        <f>IF(OR(Table13[[#This Row],[Performance_%]]&gt;=1,Table13[[#This Row],[Performance_%]]&lt;=0),"Error","OK")</f>
        <v>OK</v>
      </c>
      <c r="W1523" t="str">
        <f>IF(OR(Table13[[#This Row],[Quality_%]]&gt;=1,Table13[[#This Row],[Quality_%]]&lt;=0),"Error","OK")</f>
        <v>OK</v>
      </c>
      <c r="X1523">
        <f>Table13[[#This Row],[Performance_%]]*Table13[[#This Row],[Quality_%]]*[2]Availability_KPI!K1523</f>
        <v>0.42044444444444445</v>
      </c>
      <c r="Y1523" t="str">
        <f>IF(OR(Table13[[#This Row],[OEE_%]]&gt;1,Table13[[#This Row],[OEE_%]]&lt;0),"Error","OK")</f>
        <v>OK</v>
      </c>
    </row>
    <row r="1524" spans="1:25" x14ac:dyDescent="0.2">
      <c r="A1524" t="s">
        <v>1764</v>
      </c>
      <c r="B1524" t="s">
        <v>1762</v>
      </c>
      <c r="C1524" s="2">
        <v>46324</v>
      </c>
      <c r="D1524" t="s">
        <v>53</v>
      </c>
      <c r="E1524" t="s">
        <v>35</v>
      </c>
      <c r="F1524" t="s">
        <v>29</v>
      </c>
      <c r="G1524" t="s">
        <v>33</v>
      </c>
      <c r="H1524">
        <v>523</v>
      </c>
      <c r="I1524">
        <v>518</v>
      </c>
      <c r="J1524">
        <v>5</v>
      </c>
      <c r="K1524">
        <v>24.2</v>
      </c>
      <c r="L1524">
        <v>25.37</v>
      </c>
      <c r="M1524">
        <v>221.18</v>
      </c>
      <c r="N1524">
        <f>_xlfn.XLOOKUP(Table13[[#This Row],[Production_Order_ID]],[1]Sheet1!$A$2:$A$391,[1]Sheet1!$F$2:$F$391,"No Match")</f>
        <v>600</v>
      </c>
      <c r="O1524" s="3">
        <f>Table13[[#This Row],[Good_Qty]]/Table13[[#This Row],[Planned_Production]]</f>
        <v>0.86333333333333329</v>
      </c>
      <c r="P1524" t="str">
        <f>IF(Table13[[#This Row],[Good_Qty]]&gt;=Table13[[#This Row],[Planned_Production]],"Met","Not Met")</f>
        <v>Not Met</v>
      </c>
      <c r="Q1524">
        <f>Table13[[#This Row],[Good_Qty]]-Table13[[#This Row],[Planned_Production]]</f>
        <v>-82</v>
      </c>
      <c r="R1524" s="3">
        <f>IF(Table13[[#This Row],[Actual_Qty]]=0,0,Table13[[#This Row],[Reject_Qty]]/Table13[[#This Row],[Actual_Qty]])</f>
        <v>9.5602294455066923E-3</v>
      </c>
      <c r="S1524">
        <v>436.41</v>
      </c>
      <c r="T1524">
        <f>(Table13[[#This Row],[Ideal_Cycle_Time_sec]]*Table13[[#This Row],[Actual_Qty]])/(Table13[[#This Row],[Operational_Time_min]]*60)</f>
        <v>0.48336044850790155</v>
      </c>
      <c r="U1524">
        <f>Table13[[#This Row],[Good_Qty]]/Table13[[#This Row],[Actual_Qty]]</f>
        <v>0.99043977055449328</v>
      </c>
      <c r="V1524" t="str">
        <f>IF(OR(Table13[[#This Row],[Performance_%]]&gt;=1,Table13[[#This Row],[Performance_%]]&lt;=0),"Error","OK")</f>
        <v>OK</v>
      </c>
      <c r="W1524" t="str">
        <f>IF(OR(Table13[[#This Row],[Quality_%]]&gt;=1,Table13[[#This Row],[Quality_%]]&lt;=0),"Error","OK")</f>
        <v>OK</v>
      </c>
      <c r="X1524">
        <f>Table13[[#This Row],[Performance_%]]*Table13[[#This Row],[Quality_%]]*[2]Availability_KPI!K1524</f>
        <v>0.46428148148148152</v>
      </c>
      <c r="Y1524" t="str">
        <f>IF(OR(Table13[[#This Row],[OEE_%]]&gt;1,Table13[[#This Row],[OEE_%]]&lt;0),"Error","OK")</f>
        <v>OK</v>
      </c>
    </row>
    <row r="1525" spans="1:25" x14ac:dyDescent="0.2">
      <c r="A1525" t="s">
        <v>1765</v>
      </c>
      <c r="B1525" t="s">
        <v>1762</v>
      </c>
      <c r="C1525" s="2">
        <v>46324</v>
      </c>
      <c r="D1525" t="s">
        <v>53</v>
      </c>
      <c r="E1525" t="s">
        <v>38</v>
      </c>
      <c r="F1525" t="s">
        <v>29</v>
      </c>
      <c r="G1525" t="s">
        <v>71</v>
      </c>
      <c r="H1525">
        <v>518</v>
      </c>
      <c r="I1525">
        <v>516</v>
      </c>
      <c r="J1525">
        <v>2</v>
      </c>
      <c r="K1525">
        <v>22</v>
      </c>
      <c r="L1525">
        <v>22.12</v>
      </c>
      <c r="M1525">
        <v>190.97</v>
      </c>
      <c r="N1525">
        <f>_xlfn.XLOOKUP(Table13[[#This Row],[Production_Order_ID]],[1]Sheet1!$A$2:$A$391,[1]Sheet1!$F$2:$F$391,"No Match")</f>
        <v>600</v>
      </c>
      <c r="O1525" s="3">
        <f>Table13[[#This Row],[Good_Qty]]/Table13[[#This Row],[Planned_Production]]</f>
        <v>0.86</v>
      </c>
      <c r="P1525" t="str">
        <f>IF(Table13[[#This Row],[Good_Qty]]&gt;=Table13[[#This Row],[Planned_Production]],"Met","Not Met")</f>
        <v>Not Met</v>
      </c>
      <c r="Q1525">
        <f>Table13[[#This Row],[Good_Qty]]-Table13[[#This Row],[Planned_Production]]</f>
        <v>-84</v>
      </c>
      <c r="R1525" s="3">
        <f>IF(Table13[[#This Row],[Actual_Qty]]=0,0,Table13[[#This Row],[Reject_Qty]]/Table13[[#This Row],[Actual_Qty]])</f>
        <v>3.8610038610038611E-3</v>
      </c>
      <c r="S1525">
        <v>438.42</v>
      </c>
      <c r="T1525">
        <f>(Table13[[#This Row],[Ideal_Cycle_Time_sec]]*Table13[[#This Row],[Actual_Qty]])/(Table13[[#This Row],[Operational_Time_min]]*60)</f>
        <v>0.43322232866505478</v>
      </c>
      <c r="U1525">
        <f>Table13[[#This Row],[Good_Qty]]/Table13[[#This Row],[Actual_Qty]]</f>
        <v>0.99613899613899615</v>
      </c>
      <c r="V1525" t="str">
        <f>IF(OR(Table13[[#This Row],[Performance_%]]&gt;=1,Table13[[#This Row],[Performance_%]]&lt;=0),"Error","OK")</f>
        <v>OK</v>
      </c>
      <c r="W1525" t="str">
        <f>IF(OR(Table13[[#This Row],[Quality_%]]&gt;=1,Table13[[#This Row],[Quality_%]]&lt;=0),"Error","OK")</f>
        <v>OK</v>
      </c>
      <c r="X1525">
        <f>Table13[[#This Row],[Performance_%]]*Table13[[#This Row],[Quality_%]]*[2]Availability_KPI!K1525</f>
        <v>0.4204444444444444</v>
      </c>
      <c r="Y1525" t="str">
        <f>IF(OR(Table13[[#This Row],[OEE_%]]&gt;1,Table13[[#This Row],[OEE_%]]&lt;0),"Error","OK")</f>
        <v>OK</v>
      </c>
    </row>
    <row r="1526" spans="1:25" x14ac:dyDescent="0.2">
      <c r="A1526" t="s">
        <v>1766</v>
      </c>
      <c r="B1526" t="s">
        <v>1762</v>
      </c>
      <c r="C1526" s="2">
        <v>46324</v>
      </c>
      <c r="D1526" t="s">
        <v>53</v>
      </c>
      <c r="E1526" t="s">
        <v>41</v>
      </c>
      <c r="F1526" t="s">
        <v>29</v>
      </c>
      <c r="G1526" t="s">
        <v>47</v>
      </c>
      <c r="H1526">
        <v>512</v>
      </c>
      <c r="I1526">
        <v>510</v>
      </c>
      <c r="J1526">
        <v>2</v>
      </c>
      <c r="K1526">
        <v>19.8</v>
      </c>
      <c r="L1526">
        <v>20.66</v>
      </c>
      <c r="M1526">
        <v>176.33</v>
      </c>
      <c r="N1526">
        <f>_xlfn.XLOOKUP(Table13[[#This Row],[Production_Order_ID]],[1]Sheet1!$A$2:$A$391,[1]Sheet1!$F$2:$F$391,"No Match")</f>
        <v>600</v>
      </c>
      <c r="O1526" s="3">
        <f>Table13[[#This Row],[Good_Qty]]/Table13[[#This Row],[Planned_Production]]</f>
        <v>0.85</v>
      </c>
      <c r="P1526" t="str">
        <f>IF(Table13[[#This Row],[Good_Qty]]&gt;=Table13[[#This Row],[Planned_Production]],"Met","Not Met")</f>
        <v>Not Met</v>
      </c>
      <c r="Q1526">
        <f>Table13[[#This Row],[Good_Qty]]-Table13[[#This Row],[Planned_Production]]</f>
        <v>-90</v>
      </c>
      <c r="R1526" s="3">
        <f>IF(Table13[[#This Row],[Actual_Qty]]=0,0,Table13[[#This Row],[Reject_Qty]]/Table13[[#This Row],[Actual_Qty]])</f>
        <v>3.90625E-3</v>
      </c>
      <c r="S1526">
        <v>439.65</v>
      </c>
      <c r="T1526">
        <f>(Table13[[#This Row],[Ideal_Cycle_Time_sec]]*Table13[[#This Row],[Actual_Qty]])/(Table13[[#This Row],[Operational_Time_min]]*60)</f>
        <v>0.38430569771409079</v>
      </c>
      <c r="U1526">
        <f>Table13[[#This Row],[Good_Qty]]/Table13[[#This Row],[Actual_Qty]]</f>
        <v>0.99609375</v>
      </c>
      <c r="V1526" t="str">
        <f>IF(OR(Table13[[#This Row],[Performance_%]]&gt;=1,Table13[[#This Row],[Performance_%]]&lt;=0),"Error","OK")</f>
        <v>OK</v>
      </c>
      <c r="W1526" t="str">
        <f>IF(OR(Table13[[#This Row],[Quality_%]]&gt;=1,Table13[[#This Row],[Quality_%]]&lt;=0),"Error","OK")</f>
        <v>OK</v>
      </c>
      <c r="X1526">
        <f>Table13[[#This Row],[Performance_%]]*Table13[[#This Row],[Quality_%]]*[2]Availability_KPI!K1526</f>
        <v>0.374</v>
      </c>
      <c r="Y1526" t="str">
        <f>IF(OR(Table13[[#This Row],[OEE_%]]&gt;1,Table13[[#This Row],[OEE_%]]&lt;0),"Error","OK")</f>
        <v>OK</v>
      </c>
    </row>
    <row r="1527" spans="1:25" x14ac:dyDescent="0.2">
      <c r="A1527" t="s">
        <v>1767</v>
      </c>
      <c r="B1527" t="s">
        <v>1762</v>
      </c>
      <c r="C1527" s="2">
        <v>46324</v>
      </c>
      <c r="D1527" t="s">
        <v>53</v>
      </c>
      <c r="E1527" t="s">
        <v>43</v>
      </c>
      <c r="F1527" t="s">
        <v>29</v>
      </c>
      <c r="G1527" t="s">
        <v>47</v>
      </c>
      <c r="H1527">
        <v>517</v>
      </c>
      <c r="I1527">
        <v>509</v>
      </c>
      <c r="J1527">
        <v>8</v>
      </c>
      <c r="K1527">
        <v>35.200000000000003</v>
      </c>
      <c r="L1527">
        <v>37.99</v>
      </c>
      <c r="M1527">
        <v>327.39</v>
      </c>
      <c r="N1527">
        <f>_xlfn.XLOOKUP(Table13[[#This Row],[Production_Order_ID]],[1]Sheet1!$A$2:$A$391,[1]Sheet1!$F$2:$F$391,"No Match")</f>
        <v>600</v>
      </c>
      <c r="O1527" s="3">
        <f>Table13[[#This Row],[Good_Qty]]/Table13[[#This Row],[Planned_Production]]</f>
        <v>0.84833333333333338</v>
      </c>
      <c r="P1527" t="str">
        <f>IF(Table13[[#This Row],[Good_Qty]]&gt;=Table13[[#This Row],[Planned_Production]],"Met","Not Met")</f>
        <v>Not Met</v>
      </c>
      <c r="Q1527">
        <f>Table13[[#This Row],[Good_Qty]]-Table13[[#This Row],[Planned_Production]]</f>
        <v>-91</v>
      </c>
      <c r="R1527" s="3">
        <f>IF(Table13[[#This Row],[Actual_Qty]]=0,0,Table13[[#This Row],[Reject_Qty]]/Table13[[#This Row],[Actual_Qty]])</f>
        <v>1.5473887814313346E-2</v>
      </c>
      <c r="S1527">
        <v>413.79</v>
      </c>
      <c r="T1527">
        <f>(Table13[[#This Row],[Ideal_Cycle_Time_sec]]*Table13[[#This Row],[Actual_Qty]])/(Table13[[#This Row],[Operational_Time_min]]*60)</f>
        <v>0.7329966085856755</v>
      </c>
      <c r="U1527">
        <f>Table13[[#This Row],[Good_Qty]]/Table13[[#This Row],[Actual_Qty]]</f>
        <v>0.98452611218568664</v>
      </c>
      <c r="V1527" t="str">
        <f>IF(OR(Table13[[#This Row],[Performance_%]]&gt;=1,Table13[[#This Row],[Performance_%]]&lt;=0),"Error","OK")</f>
        <v>OK</v>
      </c>
      <c r="W1527" t="str">
        <f>IF(OR(Table13[[#This Row],[Quality_%]]&gt;=1,Table13[[#This Row],[Quality_%]]&lt;=0),"Error","OK")</f>
        <v>OK</v>
      </c>
      <c r="X1527">
        <f>Table13[[#This Row],[Performance_%]]*Table13[[#This Row],[Quality_%]]*[2]Availability_KPI!K1527</f>
        <v>0.66358518518518528</v>
      </c>
      <c r="Y1527" t="str">
        <f>IF(OR(Table13[[#This Row],[OEE_%]]&gt;1,Table13[[#This Row],[OEE_%]]&lt;0),"Error","OK")</f>
        <v>OK</v>
      </c>
    </row>
    <row r="1528" spans="1:25" x14ac:dyDescent="0.2">
      <c r="A1528" t="s">
        <v>1768</v>
      </c>
      <c r="B1528" t="s">
        <v>1762</v>
      </c>
      <c r="C1528" s="2">
        <v>46324</v>
      </c>
      <c r="D1528" t="s">
        <v>53</v>
      </c>
      <c r="E1528" t="s">
        <v>46</v>
      </c>
      <c r="F1528" t="s">
        <v>29</v>
      </c>
      <c r="G1528" t="s">
        <v>30</v>
      </c>
      <c r="H1528">
        <v>538</v>
      </c>
      <c r="I1528">
        <v>533</v>
      </c>
      <c r="J1528">
        <v>5</v>
      </c>
      <c r="K1528">
        <v>27.5</v>
      </c>
      <c r="L1528">
        <v>27.99</v>
      </c>
      <c r="M1528">
        <v>250.98</v>
      </c>
      <c r="N1528">
        <f>_xlfn.XLOOKUP(Table13[[#This Row],[Production_Order_ID]],[1]Sheet1!$A$2:$A$391,[1]Sheet1!$F$2:$F$391,"No Match")</f>
        <v>600</v>
      </c>
      <c r="O1528" s="3">
        <f>Table13[[#This Row],[Good_Qty]]/Table13[[#This Row],[Planned_Production]]</f>
        <v>0.88833333333333331</v>
      </c>
      <c r="P1528" t="str">
        <f>IF(Table13[[#This Row],[Good_Qty]]&gt;=Table13[[#This Row],[Planned_Production]],"Met","Not Met")</f>
        <v>Not Met</v>
      </c>
      <c r="Q1528">
        <f>Table13[[#This Row],[Good_Qty]]-Table13[[#This Row],[Planned_Production]]</f>
        <v>-67</v>
      </c>
      <c r="R1528" s="3">
        <f>IF(Table13[[#This Row],[Actual_Qty]]=0,0,Table13[[#This Row],[Reject_Qty]]/Table13[[#This Row],[Actual_Qty]])</f>
        <v>9.2936802973977699E-3</v>
      </c>
      <c r="S1528">
        <v>428.51</v>
      </c>
      <c r="T1528">
        <f>(Table13[[#This Row],[Ideal_Cycle_Time_sec]]*Table13[[#This Row],[Actual_Qty]])/(Table13[[#This Row],[Operational_Time_min]]*60)</f>
        <v>0.57544359135920597</v>
      </c>
      <c r="U1528">
        <f>Table13[[#This Row],[Good_Qty]]/Table13[[#This Row],[Actual_Qty]]</f>
        <v>0.99070631970260226</v>
      </c>
      <c r="V1528" t="str">
        <f>IF(OR(Table13[[#This Row],[Performance_%]]&gt;=1,Table13[[#This Row],[Performance_%]]&lt;=0),"Error","OK")</f>
        <v>OK</v>
      </c>
      <c r="W1528" t="str">
        <f>IF(OR(Table13[[#This Row],[Quality_%]]&gt;=1,Table13[[#This Row],[Quality_%]]&lt;=0),"Error","OK")</f>
        <v>OK</v>
      </c>
      <c r="X1528">
        <f>Table13[[#This Row],[Performance_%]]*Table13[[#This Row],[Quality_%]]*[2]Availability_KPI!K1528</f>
        <v>0.54287037037037045</v>
      </c>
      <c r="Y1528" t="str">
        <f>IF(OR(Table13[[#This Row],[OEE_%]]&gt;1,Table13[[#This Row],[OEE_%]]&lt;0),"Error","OK")</f>
        <v>OK</v>
      </c>
    </row>
    <row r="1529" spans="1:25" x14ac:dyDescent="0.2">
      <c r="A1529" t="s">
        <v>1769</v>
      </c>
      <c r="B1529" t="s">
        <v>1762</v>
      </c>
      <c r="C1529" s="2">
        <v>46324</v>
      </c>
      <c r="D1529" t="s">
        <v>53</v>
      </c>
      <c r="E1529" t="s">
        <v>49</v>
      </c>
      <c r="F1529" t="s">
        <v>29</v>
      </c>
      <c r="G1529" t="s">
        <v>61</v>
      </c>
      <c r="H1529">
        <v>519</v>
      </c>
      <c r="I1529">
        <v>516</v>
      </c>
      <c r="J1529">
        <v>3</v>
      </c>
      <c r="K1529">
        <v>22</v>
      </c>
      <c r="L1529">
        <v>23.7</v>
      </c>
      <c r="M1529">
        <v>205.05</v>
      </c>
      <c r="N1529">
        <f>_xlfn.XLOOKUP(Table13[[#This Row],[Production_Order_ID]],[1]Sheet1!$A$2:$A$391,[1]Sheet1!$F$2:$F$391,"No Match")</f>
        <v>600</v>
      </c>
      <c r="O1529" s="3">
        <f>Table13[[#This Row],[Good_Qty]]/Table13[[#This Row],[Planned_Production]]</f>
        <v>0.86</v>
      </c>
      <c r="P1529" t="str">
        <f>IF(Table13[[#This Row],[Good_Qty]]&gt;=Table13[[#This Row],[Planned_Production]],"Met","Not Met")</f>
        <v>Not Met</v>
      </c>
      <c r="Q1529">
        <f>Table13[[#This Row],[Good_Qty]]-Table13[[#This Row],[Planned_Production]]</f>
        <v>-84</v>
      </c>
      <c r="R1529" s="3">
        <f>IF(Table13[[#This Row],[Actual_Qty]]=0,0,Table13[[#This Row],[Reject_Qty]]/Table13[[#This Row],[Actual_Qty]])</f>
        <v>5.7803468208092483E-3</v>
      </c>
      <c r="S1529">
        <v>443.13</v>
      </c>
      <c r="T1529">
        <f>(Table13[[#This Row],[Ideal_Cycle_Time_sec]]*Table13[[#This Row],[Actual_Qty]])/(Table13[[#This Row],[Operational_Time_min]]*60)</f>
        <v>0.42944508383544333</v>
      </c>
      <c r="U1529">
        <f>Table13[[#This Row],[Good_Qty]]/Table13[[#This Row],[Actual_Qty]]</f>
        <v>0.9942196531791907</v>
      </c>
      <c r="V1529" t="str">
        <f>IF(OR(Table13[[#This Row],[Performance_%]]&gt;=1,Table13[[#This Row],[Performance_%]]&lt;=0),"Error","OK")</f>
        <v>OK</v>
      </c>
      <c r="W1529" t="str">
        <f>IF(OR(Table13[[#This Row],[Quality_%]]&gt;=1,Table13[[#This Row],[Quality_%]]&lt;=0),"Error","OK")</f>
        <v>OK</v>
      </c>
      <c r="X1529">
        <f>Table13[[#This Row],[Performance_%]]*Table13[[#This Row],[Quality_%]]*[2]Availability_KPI!K1529</f>
        <v>0.42044444444444445</v>
      </c>
      <c r="Y1529" t="str">
        <f>IF(OR(Table13[[#This Row],[OEE_%]]&gt;1,Table13[[#This Row],[OEE_%]]&lt;0),"Error","OK")</f>
        <v>OK</v>
      </c>
    </row>
    <row r="1530" spans="1:25" x14ac:dyDescent="0.2">
      <c r="A1530" t="s">
        <v>1770</v>
      </c>
      <c r="B1530" t="s">
        <v>1771</v>
      </c>
      <c r="C1530" s="2">
        <v>46324</v>
      </c>
      <c r="D1530" t="s">
        <v>67</v>
      </c>
      <c r="E1530" t="s">
        <v>28</v>
      </c>
      <c r="F1530" t="s">
        <v>29</v>
      </c>
      <c r="G1530" t="s">
        <v>55</v>
      </c>
      <c r="H1530">
        <v>534</v>
      </c>
      <c r="I1530">
        <v>531</v>
      </c>
      <c r="J1530">
        <v>3</v>
      </c>
      <c r="K1530">
        <v>19.8</v>
      </c>
      <c r="L1530">
        <v>20.84</v>
      </c>
      <c r="M1530">
        <v>185.51</v>
      </c>
      <c r="N1530">
        <f>_xlfn.XLOOKUP(Table13[[#This Row],[Production_Order_ID]],[1]Sheet1!$A$2:$A$391,[1]Sheet1!$F$2:$F$391,"No Match")</f>
        <v>500</v>
      </c>
      <c r="O1530" s="3">
        <f>Table13[[#This Row],[Good_Qty]]/Table13[[#This Row],[Planned_Production]]</f>
        <v>1.0620000000000001</v>
      </c>
      <c r="P1530" t="str">
        <f>IF(Table13[[#This Row],[Good_Qty]]&gt;=Table13[[#This Row],[Planned_Production]],"Met","Not Met")</f>
        <v>Met</v>
      </c>
      <c r="Q1530">
        <f>Table13[[#This Row],[Good_Qty]]-Table13[[#This Row],[Planned_Production]]</f>
        <v>31</v>
      </c>
      <c r="R1530" s="3">
        <f>IF(Table13[[#This Row],[Actual_Qty]]=0,0,Table13[[#This Row],[Reject_Qty]]/Table13[[#This Row],[Actual_Qty]])</f>
        <v>5.6179775280898875E-3</v>
      </c>
      <c r="S1530">
        <v>443.33</v>
      </c>
      <c r="T1530">
        <f>(Table13[[#This Row],[Ideal_Cycle_Time_sec]]*Table13[[#This Row],[Actual_Qty]])/(Table13[[#This Row],[Operational_Time_min]]*60)</f>
        <v>0.39749171046398851</v>
      </c>
      <c r="U1530">
        <f>Table13[[#This Row],[Good_Qty]]/Table13[[#This Row],[Actual_Qty]]</f>
        <v>0.9943820224719101</v>
      </c>
      <c r="V1530" t="str">
        <f>IF(OR(Table13[[#This Row],[Performance_%]]&gt;=1,Table13[[#This Row],[Performance_%]]&lt;=0),"Error","OK")</f>
        <v>OK</v>
      </c>
      <c r="W1530" t="str">
        <f>IF(OR(Table13[[#This Row],[Quality_%]]&gt;=1,Table13[[#This Row],[Quality_%]]&lt;=0),"Error","OK")</f>
        <v>OK</v>
      </c>
      <c r="X1530">
        <f>Table13[[#This Row],[Performance_%]]*Table13[[#This Row],[Quality_%]]*[2]Availability_KPI!K1530</f>
        <v>0.38940000000000002</v>
      </c>
      <c r="Y1530" t="str">
        <f>IF(OR(Table13[[#This Row],[OEE_%]]&gt;1,Table13[[#This Row],[OEE_%]]&lt;0),"Error","OK")</f>
        <v>OK</v>
      </c>
    </row>
    <row r="1531" spans="1:25" x14ac:dyDescent="0.2">
      <c r="A1531" t="s">
        <v>1772</v>
      </c>
      <c r="B1531" t="s">
        <v>1771</v>
      </c>
      <c r="C1531" s="2">
        <v>46324</v>
      </c>
      <c r="D1531" t="s">
        <v>67</v>
      </c>
      <c r="E1531" t="s">
        <v>32</v>
      </c>
      <c r="F1531" t="s">
        <v>29</v>
      </c>
      <c r="G1531" t="s">
        <v>75</v>
      </c>
      <c r="H1531">
        <v>528</v>
      </c>
      <c r="I1531">
        <v>522</v>
      </c>
      <c r="J1531">
        <v>6</v>
      </c>
      <c r="K1531">
        <v>22</v>
      </c>
      <c r="L1531">
        <v>22.71</v>
      </c>
      <c r="M1531">
        <v>199.87</v>
      </c>
      <c r="N1531">
        <f>_xlfn.XLOOKUP(Table13[[#This Row],[Production_Order_ID]],[1]Sheet1!$A$2:$A$391,[1]Sheet1!$F$2:$F$391,"No Match")</f>
        <v>500</v>
      </c>
      <c r="O1531" s="3">
        <f>Table13[[#This Row],[Good_Qty]]/Table13[[#This Row],[Planned_Production]]</f>
        <v>1.044</v>
      </c>
      <c r="P1531" t="str">
        <f>IF(Table13[[#This Row],[Good_Qty]]&gt;=Table13[[#This Row],[Planned_Production]],"Met","Not Met")</f>
        <v>Met</v>
      </c>
      <c r="Q1531">
        <f>Table13[[#This Row],[Good_Qty]]-Table13[[#This Row],[Planned_Production]]</f>
        <v>22</v>
      </c>
      <c r="R1531" s="3">
        <f>IF(Table13[[#This Row],[Actual_Qty]]=0,0,Table13[[#This Row],[Reject_Qty]]/Table13[[#This Row],[Actual_Qty]])</f>
        <v>1.1363636363636364E-2</v>
      </c>
      <c r="S1531">
        <v>437.71</v>
      </c>
      <c r="T1531">
        <f>(Table13[[#This Row],[Ideal_Cycle_Time_sec]]*Table13[[#This Row],[Actual_Qty]])/(Table13[[#This Row],[Operational_Time_min]]*60)</f>
        <v>0.44230198076351923</v>
      </c>
      <c r="U1531">
        <f>Table13[[#This Row],[Good_Qty]]/Table13[[#This Row],[Actual_Qty]]</f>
        <v>0.98863636363636365</v>
      </c>
      <c r="V1531" t="str">
        <f>IF(OR(Table13[[#This Row],[Performance_%]]&gt;=1,Table13[[#This Row],[Performance_%]]&lt;=0),"Error","OK")</f>
        <v>OK</v>
      </c>
      <c r="W1531" t="str">
        <f>IF(OR(Table13[[#This Row],[Quality_%]]&gt;=1,Table13[[#This Row],[Quality_%]]&lt;=0),"Error","OK")</f>
        <v>OK</v>
      </c>
      <c r="X1531">
        <f>Table13[[#This Row],[Performance_%]]*Table13[[#This Row],[Quality_%]]*[2]Availability_KPI!K1531</f>
        <v>0.42533333333333329</v>
      </c>
      <c r="Y1531" t="str">
        <f>IF(OR(Table13[[#This Row],[OEE_%]]&gt;1,Table13[[#This Row],[OEE_%]]&lt;0),"Error","OK")</f>
        <v>OK</v>
      </c>
    </row>
    <row r="1532" spans="1:25" x14ac:dyDescent="0.2">
      <c r="A1532" t="s">
        <v>1773</v>
      </c>
      <c r="B1532" t="s">
        <v>1771</v>
      </c>
      <c r="C1532" s="2">
        <v>46324</v>
      </c>
      <c r="D1532" t="s">
        <v>67</v>
      </c>
      <c r="E1532" t="s">
        <v>35</v>
      </c>
      <c r="F1532" t="s">
        <v>29</v>
      </c>
      <c r="G1532" t="s">
        <v>36</v>
      </c>
      <c r="H1532">
        <v>533</v>
      </c>
      <c r="I1532">
        <v>530</v>
      </c>
      <c r="J1532">
        <v>3</v>
      </c>
      <c r="K1532">
        <v>24.2</v>
      </c>
      <c r="L1532">
        <v>26.9</v>
      </c>
      <c r="M1532">
        <v>238.98</v>
      </c>
      <c r="N1532">
        <f>_xlfn.XLOOKUP(Table13[[#This Row],[Production_Order_ID]],[1]Sheet1!$A$2:$A$391,[1]Sheet1!$F$2:$F$391,"No Match")</f>
        <v>500</v>
      </c>
      <c r="O1532" s="3">
        <f>Table13[[#This Row],[Good_Qty]]/Table13[[#This Row],[Planned_Production]]</f>
        <v>1.06</v>
      </c>
      <c r="P1532" t="str">
        <f>IF(Table13[[#This Row],[Good_Qty]]&gt;=Table13[[#This Row],[Planned_Production]],"Met","Not Met")</f>
        <v>Met</v>
      </c>
      <c r="Q1532">
        <f>Table13[[#This Row],[Good_Qty]]-Table13[[#This Row],[Planned_Production]]</f>
        <v>30</v>
      </c>
      <c r="R1532" s="3">
        <f>IF(Table13[[#This Row],[Actual_Qty]]=0,0,Table13[[#This Row],[Reject_Qty]]/Table13[[#This Row],[Actual_Qty]])</f>
        <v>5.6285178236397749E-3</v>
      </c>
      <c r="S1532">
        <v>431.61</v>
      </c>
      <c r="T1532">
        <f>(Table13[[#This Row],[Ideal_Cycle_Time_sec]]*Table13[[#This Row],[Actual_Qty]])/(Table13[[#This Row],[Operational_Time_min]]*60)</f>
        <v>0.49808082914359414</v>
      </c>
      <c r="U1532">
        <f>Table13[[#This Row],[Good_Qty]]/Table13[[#This Row],[Actual_Qty]]</f>
        <v>0.99437148217636018</v>
      </c>
      <c r="V1532" t="str">
        <f>IF(OR(Table13[[#This Row],[Performance_%]]&gt;=1,Table13[[#This Row],[Performance_%]]&lt;=0),"Error","OK")</f>
        <v>OK</v>
      </c>
      <c r="W1532" t="str">
        <f>IF(OR(Table13[[#This Row],[Quality_%]]&gt;=1,Table13[[#This Row],[Quality_%]]&lt;=0),"Error","OK")</f>
        <v>OK</v>
      </c>
      <c r="X1532">
        <f>Table13[[#This Row],[Performance_%]]*Table13[[#This Row],[Quality_%]]*[2]Availability_KPI!K1532</f>
        <v>0.47503703703703704</v>
      </c>
      <c r="Y1532" t="str">
        <f>IF(OR(Table13[[#This Row],[OEE_%]]&gt;1,Table13[[#This Row],[OEE_%]]&lt;0),"Error","OK")</f>
        <v>OK</v>
      </c>
    </row>
    <row r="1533" spans="1:25" x14ac:dyDescent="0.2">
      <c r="A1533" t="s">
        <v>1774</v>
      </c>
      <c r="B1533" t="s">
        <v>1771</v>
      </c>
      <c r="C1533" s="2">
        <v>46324</v>
      </c>
      <c r="D1533" t="s">
        <v>67</v>
      </c>
      <c r="E1533" t="s">
        <v>38</v>
      </c>
      <c r="F1533" t="s">
        <v>29</v>
      </c>
      <c r="G1533" t="s">
        <v>33</v>
      </c>
      <c r="H1533">
        <v>538</v>
      </c>
      <c r="I1533">
        <v>534</v>
      </c>
      <c r="J1533">
        <v>4</v>
      </c>
      <c r="K1533">
        <v>22</v>
      </c>
      <c r="L1533">
        <v>22.77</v>
      </c>
      <c r="M1533">
        <v>204.18</v>
      </c>
      <c r="N1533">
        <f>_xlfn.XLOOKUP(Table13[[#This Row],[Production_Order_ID]],[1]Sheet1!$A$2:$A$391,[1]Sheet1!$F$2:$F$391,"No Match")</f>
        <v>500</v>
      </c>
      <c r="O1533" s="3">
        <f>Table13[[#This Row],[Good_Qty]]/Table13[[#This Row],[Planned_Production]]</f>
        <v>1.0680000000000001</v>
      </c>
      <c r="P1533" t="str">
        <f>IF(Table13[[#This Row],[Good_Qty]]&gt;=Table13[[#This Row],[Planned_Production]],"Met","Not Met")</f>
        <v>Met</v>
      </c>
      <c r="Q1533">
        <f>Table13[[#This Row],[Good_Qty]]-Table13[[#This Row],[Planned_Production]]</f>
        <v>34</v>
      </c>
      <c r="R1533" s="3">
        <f>IF(Table13[[#This Row],[Actual_Qty]]=0,0,Table13[[#This Row],[Reject_Qty]]/Table13[[#This Row],[Actual_Qty]])</f>
        <v>7.4349442379182153E-3</v>
      </c>
      <c r="S1533">
        <v>438.06</v>
      </c>
      <c r="T1533">
        <f>(Table13[[#This Row],[Ideal_Cycle_Time_sec]]*Table13[[#This Row],[Actual_Qty]])/(Table13[[#This Row],[Operational_Time_min]]*60)</f>
        <v>0.45031882999284728</v>
      </c>
      <c r="U1533">
        <f>Table13[[#This Row],[Good_Qty]]/Table13[[#This Row],[Actual_Qty]]</f>
        <v>0.99256505576208176</v>
      </c>
      <c r="V1533" t="str">
        <f>IF(OR(Table13[[#This Row],[Performance_%]]&gt;=1,Table13[[#This Row],[Performance_%]]&lt;=0),"Error","OK")</f>
        <v>OK</v>
      </c>
      <c r="W1533" t="str">
        <f>IF(OR(Table13[[#This Row],[Quality_%]]&gt;=1,Table13[[#This Row],[Quality_%]]&lt;=0),"Error","OK")</f>
        <v>OK</v>
      </c>
      <c r="X1533">
        <f>Table13[[#This Row],[Performance_%]]*Table13[[#This Row],[Quality_%]]*[2]Availability_KPI!K1533</f>
        <v>0.43511111111111112</v>
      </c>
      <c r="Y1533" t="str">
        <f>IF(OR(Table13[[#This Row],[OEE_%]]&gt;1,Table13[[#This Row],[OEE_%]]&lt;0),"Error","OK")</f>
        <v>OK</v>
      </c>
    </row>
    <row r="1534" spans="1:25" x14ac:dyDescent="0.2">
      <c r="A1534" t="s">
        <v>1775</v>
      </c>
      <c r="B1534" t="s">
        <v>1771</v>
      </c>
      <c r="C1534" s="2">
        <v>46324</v>
      </c>
      <c r="D1534" t="s">
        <v>67</v>
      </c>
      <c r="E1534" t="s">
        <v>41</v>
      </c>
      <c r="F1534" t="s">
        <v>29</v>
      </c>
      <c r="G1534" t="s">
        <v>47</v>
      </c>
      <c r="H1534">
        <v>529</v>
      </c>
      <c r="I1534">
        <v>526</v>
      </c>
      <c r="J1534">
        <v>3</v>
      </c>
      <c r="K1534">
        <v>19.8</v>
      </c>
      <c r="L1534">
        <v>21.14</v>
      </c>
      <c r="M1534">
        <v>186.43</v>
      </c>
      <c r="N1534">
        <f>_xlfn.XLOOKUP(Table13[[#This Row],[Production_Order_ID]],[1]Sheet1!$A$2:$A$391,[1]Sheet1!$F$2:$F$391,"No Match")</f>
        <v>500</v>
      </c>
      <c r="O1534" s="3">
        <f>Table13[[#This Row],[Good_Qty]]/Table13[[#This Row],[Planned_Production]]</f>
        <v>1.052</v>
      </c>
      <c r="P1534" t="str">
        <f>IF(Table13[[#This Row],[Good_Qty]]&gt;=Table13[[#This Row],[Planned_Production]],"Met","Not Met")</f>
        <v>Met</v>
      </c>
      <c r="Q1534">
        <f>Table13[[#This Row],[Good_Qty]]-Table13[[#This Row],[Planned_Production]]</f>
        <v>26</v>
      </c>
      <c r="R1534" s="3">
        <f>IF(Table13[[#This Row],[Actual_Qty]]=0,0,Table13[[#This Row],[Reject_Qty]]/Table13[[#This Row],[Actual_Qty]])</f>
        <v>5.6710775047258983E-3</v>
      </c>
      <c r="S1534">
        <v>439.08</v>
      </c>
      <c r="T1534">
        <f>(Table13[[#This Row],[Ideal_Cycle_Time_sec]]*Table13[[#This Row],[Actual_Qty]])/(Table13[[#This Row],[Operational_Time_min]]*60)</f>
        <v>0.3975813063678601</v>
      </c>
      <c r="U1534">
        <f>Table13[[#This Row],[Good_Qty]]/Table13[[#This Row],[Actual_Qty]]</f>
        <v>0.99432892249527405</v>
      </c>
      <c r="V1534" t="str">
        <f>IF(OR(Table13[[#This Row],[Performance_%]]&gt;=1,Table13[[#This Row],[Performance_%]]&lt;=0),"Error","OK")</f>
        <v>OK</v>
      </c>
      <c r="W1534" t="str">
        <f>IF(OR(Table13[[#This Row],[Quality_%]]&gt;=1,Table13[[#This Row],[Quality_%]]&lt;=0),"Error","OK")</f>
        <v>OK</v>
      </c>
      <c r="X1534">
        <f>Table13[[#This Row],[Performance_%]]*Table13[[#This Row],[Quality_%]]*[2]Availability_KPI!K1534</f>
        <v>0.38573333333333337</v>
      </c>
      <c r="Y1534" t="str">
        <f>IF(OR(Table13[[#This Row],[OEE_%]]&gt;1,Table13[[#This Row],[OEE_%]]&lt;0),"Error","OK")</f>
        <v>OK</v>
      </c>
    </row>
    <row r="1535" spans="1:25" x14ac:dyDescent="0.2">
      <c r="A1535" t="s">
        <v>1776</v>
      </c>
      <c r="B1535" t="s">
        <v>1771</v>
      </c>
      <c r="C1535" s="2">
        <v>46324</v>
      </c>
      <c r="D1535" t="s">
        <v>67</v>
      </c>
      <c r="E1535" t="s">
        <v>43</v>
      </c>
      <c r="F1535" t="s">
        <v>29</v>
      </c>
      <c r="G1535" t="s">
        <v>36</v>
      </c>
      <c r="H1535">
        <v>536</v>
      </c>
      <c r="I1535">
        <v>529</v>
      </c>
      <c r="J1535">
        <v>7</v>
      </c>
      <c r="K1535">
        <v>35.200000000000003</v>
      </c>
      <c r="L1535">
        <v>37.99</v>
      </c>
      <c r="M1535">
        <v>339.38</v>
      </c>
      <c r="N1535">
        <f>_xlfn.XLOOKUP(Table13[[#This Row],[Production_Order_ID]],[1]Sheet1!$A$2:$A$391,[1]Sheet1!$F$2:$F$391,"No Match")</f>
        <v>500</v>
      </c>
      <c r="O1535" s="3">
        <f>Table13[[#This Row],[Good_Qty]]/Table13[[#This Row],[Planned_Production]]</f>
        <v>1.0580000000000001</v>
      </c>
      <c r="P1535" t="str">
        <f>IF(Table13[[#This Row],[Good_Qty]]&gt;=Table13[[#This Row],[Planned_Production]],"Met","Not Met")</f>
        <v>Met</v>
      </c>
      <c r="Q1535">
        <f>Table13[[#This Row],[Good_Qty]]-Table13[[#This Row],[Planned_Production]]</f>
        <v>29</v>
      </c>
      <c r="R1535" s="3">
        <f>IF(Table13[[#This Row],[Actual_Qty]]=0,0,Table13[[#This Row],[Reject_Qty]]/Table13[[#This Row],[Actual_Qty]])</f>
        <v>1.3059701492537313E-2</v>
      </c>
      <c r="S1535">
        <v>421.34</v>
      </c>
      <c r="T1535">
        <f>(Table13[[#This Row],[Ideal_Cycle_Time_sec]]*Table13[[#This Row],[Actual_Qty]])/(Table13[[#This Row],[Operational_Time_min]]*60)</f>
        <v>0.74631730510593197</v>
      </c>
      <c r="U1535">
        <f>Table13[[#This Row],[Good_Qty]]/Table13[[#This Row],[Actual_Qty]]</f>
        <v>0.98694029850746268</v>
      </c>
      <c r="V1535" t="str">
        <f>IF(OR(Table13[[#This Row],[Performance_%]]&gt;=1,Table13[[#This Row],[Performance_%]]&lt;=0),"Error","OK")</f>
        <v>OK</v>
      </c>
      <c r="W1535" t="str">
        <f>IF(OR(Table13[[#This Row],[Quality_%]]&gt;=1,Table13[[#This Row],[Quality_%]]&lt;=0),"Error","OK")</f>
        <v>OK</v>
      </c>
      <c r="X1535">
        <f>Table13[[#This Row],[Performance_%]]*Table13[[#This Row],[Quality_%]]*[2]Availability_KPI!K1535</f>
        <v>0.68965925925925931</v>
      </c>
      <c r="Y1535" t="str">
        <f>IF(OR(Table13[[#This Row],[OEE_%]]&gt;1,Table13[[#This Row],[OEE_%]]&lt;0),"Error","OK")</f>
        <v>OK</v>
      </c>
    </row>
    <row r="1536" spans="1:25" x14ac:dyDescent="0.2">
      <c r="A1536" t="s">
        <v>1777</v>
      </c>
      <c r="B1536" t="s">
        <v>1771</v>
      </c>
      <c r="C1536" s="2">
        <v>46324</v>
      </c>
      <c r="D1536" t="s">
        <v>67</v>
      </c>
      <c r="E1536" t="s">
        <v>46</v>
      </c>
      <c r="F1536" t="s">
        <v>29</v>
      </c>
      <c r="G1536" t="s">
        <v>30</v>
      </c>
      <c r="H1536">
        <v>533</v>
      </c>
      <c r="I1536">
        <v>526</v>
      </c>
      <c r="J1536">
        <v>7</v>
      </c>
      <c r="K1536">
        <v>27.5</v>
      </c>
      <c r="L1536">
        <v>29.71</v>
      </c>
      <c r="M1536">
        <v>263.95999999999998</v>
      </c>
      <c r="N1536">
        <f>_xlfn.XLOOKUP(Table13[[#This Row],[Production_Order_ID]],[1]Sheet1!$A$2:$A$391,[1]Sheet1!$F$2:$F$391,"No Match")</f>
        <v>500</v>
      </c>
      <c r="O1536" s="3">
        <f>Table13[[#This Row],[Good_Qty]]/Table13[[#This Row],[Planned_Production]]</f>
        <v>1.052</v>
      </c>
      <c r="P1536" t="str">
        <f>IF(Table13[[#This Row],[Good_Qty]]&gt;=Table13[[#This Row],[Planned_Production]],"Met","Not Met")</f>
        <v>Met</v>
      </c>
      <c r="Q1536">
        <f>Table13[[#This Row],[Good_Qty]]-Table13[[#This Row],[Planned_Production]]</f>
        <v>26</v>
      </c>
      <c r="R1536" s="3">
        <f>IF(Table13[[#This Row],[Actual_Qty]]=0,0,Table13[[#This Row],[Reject_Qty]]/Table13[[#This Row],[Actual_Qty]])</f>
        <v>1.3133208255159476E-2</v>
      </c>
      <c r="S1536">
        <v>428.03</v>
      </c>
      <c r="T1536">
        <f>(Table13[[#This Row],[Ideal_Cycle_Time_sec]]*Table13[[#This Row],[Actual_Qty]])/(Table13[[#This Row],[Operational_Time_min]]*60)</f>
        <v>0.57073491733445481</v>
      </c>
      <c r="U1536">
        <f>Table13[[#This Row],[Good_Qty]]/Table13[[#This Row],[Actual_Qty]]</f>
        <v>0.98686679174484049</v>
      </c>
      <c r="V1536" t="str">
        <f>IF(OR(Table13[[#This Row],[Performance_%]]&gt;=1,Table13[[#This Row],[Performance_%]]&lt;=0),"Error","OK")</f>
        <v>OK</v>
      </c>
      <c r="W1536" t="str">
        <f>IF(OR(Table13[[#This Row],[Quality_%]]&gt;=1,Table13[[#This Row],[Quality_%]]&lt;=0),"Error","OK")</f>
        <v>OK</v>
      </c>
      <c r="X1536">
        <f>Table13[[#This Row],[Performance_%]]*Table13[[#This Row],[Quality_%]]*[2]Availability_KPI!K1536</f>
        <v>0.53574074074074074</v>
      </c>
      <c r="Y1536" t="str">
        <f>IF(OR(Table13[[#This Row],[OEE_%]]&gt;1,Table13[[#This Row],[OEE_%]]&lt;0),"Error","OK")</f>
        <v>OK</v>
      </c>
    </row>
    <row r="1537" spans="1:25" x14ac:dyDescent="0.2">
      <c r="A1537" t="s">
        <v>1778</v>
      </c>
      <c r="B1537" t="s">
        <v>1771</v>
      </c>
      <c r="C1537" s="2">
        <v>46324</v>
      </c>
      <c r="D1537" t="s">
        <v>67</v>
      </c>
      <c r="E1537" t="s">
        <v>49</v>
      </c>
      <c r="F1537" t="s">
        <v>29</v>
      </c>
      <c r="G1537" t="s">
        <v>50</v>
      </c>
      <c r="H1537">
        <v>524</v>
      </c>
      <c r="I1537">
        <v>521</v>
      </c>
      <c r="J1537">
        <v>3</v>
      </c>
      <c r="K1537">
        <v>22</v>
      </c>
      <c r="L1537">
        <v>23.27</v>
      </c>
      <c r="M1537">
        <v>203.26</v>
      </c>
      <c r="N1537">
        <f>_xlfn.XLOOKUP(Table13[[#This Row],[Production_Order_ID]],[1]Sheet1!$A$2:$A$391,[1]Sheet1!$F$2:$F$391,"No Match")</f>
        <v>500</v>
      </c>
      <c r="O1537" s="3">
        <f>Table13[[#This Row],[Good_Qty]]/Table13[[#This Row],[Planned_Production]]</f>
        <v>1.042</v>
      </c>
      <c r="P1537" t="str">
        <f>IF(Table13[[#This Row],[Good_Qty]]&gt;=Table13[[#This Row],[Planned_Production]],"Met","Not Met")</f>
        <v>Met</v>
      </c>
      <c r="Q1537">
        <f>Table13[[#This Row],[Good_Qty]]-Table13[[#This Row],[Planned_Production]]</f>
        <v>21</v>
      </c>
      <c r="R1537" s="3">
        <f>IF(Table13[[#This Row],[Actual_Qty]]=0,0,Table13[[#This Row],[Reject_Qty]]/Table13[[#This Row],[Actual_Qty]])</f>
        <v>5.7251908396946565E-3</v>
      </c>
      <c r="S1537">
        <v>440.53</v>
      </c>
      <c r="T1537">
        <f>(Table13[[#This Row],[Ideal_Cycle_Time_sec]]*Table13[[#This Row],[Actual_Qty]])/(Table13[[#This Row],[Operational_Time_min]]*60)</f>
        <v>0.43614131462859135</v>
      </c>
      <c r="U1537">
        <f>Table13[[#This Row],[Good_Qty]]/Table13[[#This Row],[Actual_Qty]]</f>
        <v>0.99427480916030531</v>
      </c>
      <c r="V1537" t="str">
        <f>IF(OR(Table13[[#This Row],[Performance_%]]&gt;=1,Table13[[#This Row],[Performance_%]]&lt;=0),"Error","OK")</f>
        <v>OK</v>
      </c>
      <c r="W1537" t="str">
        <f>IF(OR(Table13[[#This Row],[Quality_%]]&gt;=1,Table13[[#This Row],[Quality_%]]&lt;=0),"Error","OK")</f>
        <v>OK</v>
      </c>
      <c r="X1537">
        <f>Table13[[#This Row],[Performance_%]]*Table13[[#This Row],[Quality_%]]*[2]Availability_KPI!K1537</f>
        <v>0.42451851851851846</v>
      </c>
      <c r="Y1537" t="str">
        <f>IF(OR(Table13[[#This Row],[OEE_%]]&gt;1,Table13[[#This Row],[OEE_%]]&lt;0),"Error","OK")</f>
        <v>OK</v>
      </c>
    </row>
    <row r="1538" spans="1:25" x14ac:dyDescent="0.2">
      <c r="A1538" t="s">
        <v>1779</v>
      </c>
      <c r="B1538" t="s">
        <v>1780</v>
      </c>
      <c r="C1538" s="2">
        <v>46325</v>
      </c>
      <c r="D1538" t="s">
        <v>27</v>
      </c>
      <c r="E1538" t="s">
        <v>28</v>
      </c>
      <c r="F1538" t="s">
        <v>54</v>
      </c>
      <c r="G1538" t="s">
        <v>33</v>
      </c>
      <c r="H1538">
        <v>685</v>
      </c>
      <c r="I1538">
        <v>682</v>
      </c>
      <c r="J1538">
        <v>3</v>
      </c>
      <c r="K1538">
        <v>18</v>
      </c>
      <c r="L1538">
        <v>18.07</v>
      </c>
      <c r="M1538">
        <v>206.32</v>
      </c>
      <c r="N1538">
        <f>_xlfn.XLOOKUP(Table13[[#This Row],[Production_Order_ID]],[1]Sheet1!$A$2:$A$391,[1]Sheet1!$F$2:$F$391,"No Match")</f>
        <v>450</v>
      </c>
      <c r="O1538" s="3">
        <f>Table13[[#This Row],[Good_Qty]]/Table13[[#This Row],[Planned_Production]]</f>
        <v>1.5155555555555555</v>
      </c>
      <c r="P1538" t="str">
        <f>IF(Table13[[#This Row],[Good_Qty]]&gt;=Table13[[#This Row],[Planned_Production]],"Met","Not Met")</f>
        <v>Met</v>
      </c>
      <c r="Q1538">
        <f>Table13[[#This Row],[Good_Qty]]-Table13[[#This Row],[Planned_Production]]</f>
        <v>232</v>
      </c>
      <c r="R1538" s="3">
        <f>IF(Table13[[#This Row],[Actual_Qty]]=0,0,Table13[[#This Row],[Reject_Qty]]/Table13[[#This Row],[Actual_Qty]])</f>
        <v>4.3795620437956208E-3</v>
      </c>
      <c r="S1538">
        <v>442.94</v>
      </c>
      <c r="T1538">
        <f>(Table13[[#This Row],[Ideal_Cycle_Time_sec]]*Table13[[#This Row],[Actual_Qty]])/(Table13[[#This Row],[Operational_Time_min]]*60)</f>
        <v>0.46394545536641529</v>
      </c>
      <c r="U1538">
        <f>Table13[[#This Row],[Good_Qty]]/Table13[[#This Row],[Actual_Qty]]</f>
        <v>0.99562043795620436</v>
      </c>
      <c r="V1538" t="str">
        <f>IF(OR(Table13[[#This Row],[Performance_%]]&gt;=1,Table13[[#This Row],[Performance_%]]&lt;=0),"Error","OK")</f>
        <v>OK</v>
      </c>
      <c r="W1538" t="str">
        <f>IF(OR(Table13[[#This Row],[Quality_%]]&gt;=1,Table13[[#This Row],[Quality_%]]&lt;=0),"Error","OK")</f>
        <v>OK</v>
      </c>
      <c r="X1538">
        <f>Table13[[#This Row],[Performance_%]]*Table13[[#This Row],[Quality_%]]*[2]Availability_KPI!K1538</f>
        <v>0.45466666666666666</v>
      </c>
      <c r="Y1538" t="str">
        <f>IF(OR(Table13[[#This Row],[OEE_%]]&gt;1,Table13[[#This Row],[OEE_%]]&lt;0),"Error","OK")</f>
        <v>OK</v>
      </c>
    </row>
    <row r="1539" spans="1:25" x14ac:dyDescent="0.2">
      <c r="A1539" t="s">
        <v>1781</v>
      </c>
      <c r="B1539" t="s">
        <v>1780</v>
      </c>
      <c r="C1539" s="2">
        <v>46325</v>
      </c>
      <c r="D1539" t="s">
        <v>27</v>
      </c>
      <c r="E1539" t="s">
        <v>32</v>
      </c>
      <c r="F1539" t="s">
        <v>54</v>
      </c>
      <c r="G1539" t="s">
        <v>47</v>
      </c>
      <c r="H1539">
        <v>686</v>
      </c>
      <c r="I1539">
        <v>680</v>
      </c>
      <c r="J1539">
        <v>6</v>
      </c>
      <c r="K1539">
        <v>20</v>
      </c>
      <c r="L1539">
        <v>20.440000000000001</v>
      </c>
      <c r="M1539">
        <v>233.65</v>
      </c>
      <c r="N1539">
        <f>_xlfn.XLOOKUP(Table13[[#This Row],[Production_Order_ID]],[1]Sheet1!$A$2:$A$391,[1]Sheet1!$F$2:$F$391,"No Match")</f>
        <v>450</v>
      </c>
      <c r="O1539" s="3">
        <f>Table13[[#This Row],[Good_Qty]]/Table13[[#This Row],[Planned_Production]]</f>
        <v>1.5111111111111111</v>
      </c>
      <c r="P1539" t="str">
        <f>IF(Table13[[#This Row],[Good_Qty]]&gt;=Table13[[#This Row],[Planned_Production]],"Met","Not Met")</f>
        <v>Met</v>
      </c>
      <c r="Q1539">
        <f>Table13[[#This Row],[Good_Qty]]-Table13[[#This Row],[Planned_Production]]</f>
        <v>230</v>
      </c>
      <c r="R1539" s="3">
        <f>IF(Table13[[#This Row],[Actual_Qty]]=0,0,Table13[[#This Row],[Reject_Qty]]/Table13[[#This Row],[Actual_Qty]])</f>
        <v>8.7463556851311956E-3</v>
      </c>
      <c r="S1539">
        <v>435.43</v>
      </c>
      <c r="T1539">
        <f>(Table13[[#This Row],[Ideal_Cycle_Time_sec]]*Table13[[#This Row],[Actual_Qty]])/(Table13[[#This Row],[Operational_Time_min]]*60)</f>
        <v>0.5251513829241593</v>
      </c>
      <c r="U1539">
        <f>Table13[[#This Row],[Good_Qty]]/Table13[[#This Row],[Actual_Qty]]</f>
        <v>0.99125364431486884</v>
      </c>
      <c r="V1539" t="str">
        <f>IF(OR(Table13[[#This Row],[Performance_%]]&gt;=1,Table13[[#This Row],[Performance_%]]&lt;=0),"Error","OK")</f>
        <v>OK</v>
      </c>
      <c r="W1539" t="str">
        <f>IF(OR(Table13[[#This Row],[Quality_%]]&gt;=1,Table13[[#This Row],[Quality_%]]&lt;=0),"Error","OK")</f>
        <v>OK</v>
      </c>
      <c r="X1539">
        <f>Table13[[#This Row],[Performance_%]]*Table13[[#This Row],[Quality_%]]*[2]Availability_KPI!K1539</f>
        <v>0.50370370370370388</v>
      </c>
      <c r="Y1539" t="str">
        <f>IF(OR(Table13[[#This Row],[OEE_%]]&gt;1,Table13[[#This Row],[OEE_%]]&lt;0),"Error","OK")</f>
        <v>OK</v>
      </c>
    </row>
    <row r="1540" spans="1:25" x14ac:dyDescent="0.2">
      <c r="A1540" t="s">
        <v>1782</v>
      </c>
      <c r="B1540" t="s">
        <v>1780</v>
      </c>
      <c r="C1540" s="2">
        <v>46325</v>
      </c>
      <c r="D1540" t="s">
        <v>27</v>
      </c>
      <c r="E1540" t="s">
        <v>35</v>
      </c>
      <c r="F1540" t="s">
        <v>54</v>
      </c>
      <c r="G1540" t="s">
        <v>57</v>
      </c>
      <c r="H1540">
        <v>699</v>
      </c>
      <c r="I1540">
        <v>692</v>
      </c>
      <c r="J1540">
        <v>7</v>
      </c>
      <c r="K1540">
        <v>22</v>
      </c>
      <c r="L1540">
        <v>22.78</v>
      </c>
      <c r="M1540">
        <v>265.39999999999998</v>
      </c>
      <c r="N1540">
        <f>_xlfn.XLOOKUP(Table13[[#This Row],[Production_Order_ID]],[1]Sheet1!$A$2:$A$391,[1]Sheet1!$F$2:$F$391,"No Match")</f>
        <v>450</v>
      </c>
      <c r="O1540" s="3">
        <f>Table13[[#This Row],[Good_Qty]]/Table13[[#This Row],[Planned_Production]]</f>
        <v>1.5377777777777777</v>
      </c>
      <c r="P1540" t="str">
        <f>IF(Table13[[#This Row],[Good_Qty]]&gt;=Table13[[#This Row],[Planned_Production]],"Met","Not Met")</f>
        <v>Met</v>
      </c>
      <c r="Q1540">
        <f>Table13[[#This Row],[Good_Qty]]-Table13[[#This Row],[Planned_Production]]</f>
        <v>242</v>
      </c>
      <c r="R1540" s="3">
        <f>IF(Table13[[#This Row],[Actual_Qty]]=0,0,Table13[[#This Row],[Reject_Qty]]/Table13[[#This Row],[Actual_Qty]])</f>
        <v>1.0014306151645207E-2</v>
      </c>
      <c r="S1540">
        <v>431.43</v>
      </c>
      <c r="T1540">
        <f>(Table13[[#This Row],[Ideal_Cycle_Time_sec]]*Table13[[#This Row],[Actual_Qty]])/(Table13[[#This Row],[Operational_Time_min]]*60)</f>
        <v>0.59407088055999813</v>
      </c>
      <c r="U1540">
        <f>Table13[[#This Row],[Good_Qty]]/Table13[[#This Row],[Actual_Qty]]</f>
        <v>0.98998569384835478</v>
      </c>
      <c r="V1540" t="str">
        <f>IF(OR(Table13[[#This Row],[Performance_%]]&gt;=1,Table13[[#This Row],[Performance_%]]&lt;=0),"Error","OK")</f>
        <v>OK</v>
      </c>
      <c r="W1540" t="str">
        <f>IF(OR(Table13[[#This Row],[Quality_%]]&gt;=1,Table13[[#This Row],[Quality_%]]&lt;=0),"Error","OK")</f>
        <v>OK</v>
      </c>
      <c r="X1540">
        <f>Table13[[#This Row],[Performance_%]]*Table13[[#This Row],[Quality_%]]*[2]Availability_KPI!K1540</f>
        <v>0.56385185185185183</v>
      </c>
      <c r="Y1540" t="str">
        <f>IF(OR(Table13[[#This Row],[OEE_%]]&gt;1,Table13[[#This Row],[OEE_%]]&lt;0),"Error","OK")</f>
        <v>OK</v>
      </c>
    </row>
    <row r="1541" spans="1:25" x14ac:dyDescent="0.2">
      <c r="A1541" t="s">
        <v>1783</v>
      </c>
      <c r="B1541" t="s">
        <v>1780</v>
      </c>
      <c r="C1541" s="2">
        <v>46325</v>
      </c>
      <c r="D1541" t="s">
        <v>27</v>
      </c>
      <c r="E1541" t="s">
        <v>38</v>
      </c>
      <c r="F1541" t="s">
        <v>54</v>
      </c>
      <c r="G1541" t="s">
        <v>61</v>
      </c>
      <c r="H1541">
        <v>700</v>
      </c>
      <c r="I1541">
        <v>695</v>
      </c>
      <c r="J1541">
        <v>5</v>
      </c>
      <c r="K1541">
        <v>20</v>
      </c>
      <c r="L1541">
        <v>20.61</v>
      </c>
      <c r="M1541">
        <v>240.47</v>
      </c>
      <c r="N1541">
        <f>_xlfn.XLOOKUP(Table13[[#This Row],[Production_Order_ID]],[1]Sheet1!$A$2:$A$391,[1]Sheet1!$F$2:$F$391,"No Match")</f>
        <v>450</v>
      </c>
      <c r="O1541" s="3">
        <f>Table13[[#This Row],[Good_Qty]]/Table13[[#This Row],[Planned_Production]]</f>
        <v>1.5444444444444445</v>
      </c>
      <c r="P1541" t="str">
        <f>IF(Table13[[#This Row],[Good_Qty]]&gt;=Table13[[#This Row],[Planned_Production]],"Met","Not Met")</f>
        <v>Met</v>
      </c>
      <c r="Q1541">
        <f>Table13[[#This Row],[Good_Qty]]-Table13[[#This Row],[Planned_Production]]</f>
        <v>245</v>
      </c>
      <c r="R1541" s="3">
        <f>IF(Table13[[#This Row],[Actual_Qty]]=0,0,Table13[[#This Row],[Reject_Qty]]/Table13[[#This Row],[Actual_Qty]])</f>
        <v>7.1428571428571426E-3</v>
      </c>
      <c r="S1541">
        <v>438.08</v>
      </c>
      <c r="T1541">
        <f>(Table13[[#This Row],[Ideal_Cycle_Time_sec]]*Table13[[#This Row],[Actual_Qty]])/(Table13[[#This Row],[Operational_Time_min]]*60)</f>
        <v>0.53262722181641098</v>
      </c>
      <c r="U1541">
        <f>Table13[[#This Row],[Good_Qty]]/Table13[[#This Row],[Actual_Qty]]</f>
        <v>0.99285714285714288</v>
      </c>
      <c r="V1541" t="str">
        <f>IF(OR(Table13[[#This Row],[Performance_%]]&gt;=1,Table13[[#This Row],[Performance_%]]&lt;=0),"Error","OK")</f>
        <v>OK</v>
      </c>
      <c r="W1541" t="str">
        <f>IF(OR(Table13[[#This Row],[Quality_%]]&gt;=1,Table13[[#This Row],[Quality_%]]&lt;=0),"Error","OK")</f>
        <v>OK</v>
      </c>
      <c r="X1541">
        <f>Table13[[#This Row],[Performance_%]]*Table13[[#This Row],[Quality_%]]*[2]Availability_KPI!K1541</f>
        <v>0.51481481481481484</v>
      </c>
      <c r="Y1541" t="str">
        <f>IF(OR(Table13[[#This Row],[OEE_%]]&gt;1,Table13[[#This Row],[OEE_%]]&lt;0),"Error","OK")</f>
        <v>OK</v>
      </c>
    </row>
    <row r="1542" spans="1:25" x14ac:dyDescent="0.2">
      <c r="A1542" t="s">
        <v>1784</v>
      </c>
      <c r="B1542" t="s">
        <v>1780</v>
      </c>
      <c r="C1542" s="2">
        <v>46325</v>
      </c>
      <c r="D1542" t="s">
        <v>27</v>
      </c>
      <c r="E1542" t="s">
        <v>41</v>
      </c>
      <c r="F1542" t="s">
        <v>54</v>
      </c>
      <c r="G1542" t="s">
        <v>55</v>
      </c>
      <c r="H1542">
        <v>679</v>
      </c>
      <c r="I1542">
        <v>672</v>
      </c>
      <c r="J1542">
        <v>7</v>
      </c>
      <c r="K1542">
        <v>18</v>
      </c>
      <c r="L1542">
        <v>19.059999999999999</v>
      </c>
      <c r="M1542">
        <v>215.68</v>
      </c>
      <c r="N1542">
        <f>_xlfn.XLOOKUP(Table13[[#This Row],[Production_Order_ID]],[1]Sheet1!$A$2:$A$391,[1]Sheet1!$F$2:$F$391,"No Match")</f>
        <v>450</v>
      </c>
      <c r="O1542" s="3">
        <f>Table13[[#This Row],[Good_Qty]]/Table13[[#This Row],[Planned_Production]]</f>
        <v>1.4933333333333334</v>
      </c>
      <c r="P1542" t="str">
        <f>IF(Table13[[#This Row],[Good_Qty]]&gt;=Table13[[#This Row],[Planned_Production]],"Met","Not Met")</f>
        <v>Met</v>
      </c>
      <c r="Q1542">
        <f>Table13[[#This Row],[Good_Qty]]-Table13[[#This Row],[Planned_Production]]</f>
        <v>222</v>
      </c>
      <c r="R1542" s="3">
        <f>IF(Table13[[#This Row],[Actual_Qty]]=0,0,Table13[[#This Row],[Reject_Qty]]/Table13[[#This Row],[Actual_Qty]])</f>
        <v>1.0309278350515464E-2</v>
      </c>
      <c r="S1542">
        <v>439</v>
      </c>
      <c r="T1542">
        <f>(Table13[[#This Row],[Ideal_Cycle_Time_sec]]*Table13[[#This Row],[Actual_Qty]])/(Table13[[#This Row],[Operational_Time_min]]*60)</f>
        <v>0.46400911161731206</v>
      </c>
      <c r="U1542">
        <f>Table13[[#This Row],[Good_Qty]]/Table13[[#This Row],[Actual_Qty]]</f>
        <v>0.98969072164948457</v>
      </c>
      <c r="V1542" t="str">
        <f>IF(OR(Table13[[#This Row],[Performance_%]]&gt;=1,Table13[[#This Row],[Performance_%]]&lt;=0),"Error","OK")</f>
        <v>OK</v>
      </c>
      <c r="W1542" t="str">
        <f>IF(OR(Table13[[#This Row],[Quality_%]]&gt;=1,Table13[[#This Row],[Quality_%]]&lt;=0),"Error","OK")</f>
        <v>OK</v>
      </c>
      <c r="X1542">
        <f>Table13[[#This Row],[Performance_%]]*Table13[[#This Row],[Quality_%]]*[2]Availability_KPI!K1542</f>
        <v>0.44800000000000001</v>
      </c>
      <c r="Y1542" t="str">
        <f>IF(OR(Table13[[#This Row],[OEE_%]]&gt;1,Table13[[#This Row],[OEE_%]]&lt;0),"Error","OK")</f>
        <v>OK</v>
      </c>
    </row>
    <row r="1543" spans="1:25" x14ac:dyDescent="0.2">
      <c r="A1543" t="s">
        <v>1785</v>
      </c>
      <c r="B1543" t="s">
        <v>1780</v>
      </c>
      <c r="C1543" s="2">
        <v>46325</v>
      </c>
      <c r="D1543" t="s">
        <v>27</v>
      </c>
      <c r="E1543" t="s">
        <v>43</v>
      </c>
      <c r="F1543" t="s">
        <v>54</v>
      </c>
      <c r="G1543" t="s">
        <v>33</v>
      </c>
      <c r="H1543">
        <v>694</v>
      </c>
      <c r="I1543">
        <v>684</v>
      </c>
      <c r="J1543">
        <v>10</v>
      </c>
      <c r="K1543">
        <v>32</v>
      </c>
      <c r="L1543">
        <v>34.26</v>
      </c>
      <c r="M1543">
        <v>396.32</v>
      </c>
      <c r="N1543">
        <f>_xlfn.XLOOKUP(Table13[[#This Row],[Production_Order_ID]],[1]Sheet1!$A$2:$A$391,[1]Sheet1!$F$2:$F$391,"No Match")</f>
        <v>450</v>
      </c>
      <c r="O1543" s="3">
        <f>Table13[[#This Row],[Good_Qty]]/Table13[[#This Row],[Planned_Production]]</f>
        <v>1.52</v>
      </c>
      <c r="P1543" t="str">
        <f>IF(Table13[[#This Row],[Good_Qty]]&gt;=Table13[[#This Row],[Planned_Production]],"Met","Not Met")</f>
        <v>Met</v>
      </c>
      <c r="Q1543">
        <f>Table13[[#This Row],[Good_Qty]]-Table13[[#This Row],[Planned_Production]]</f>
        <v>234</v>
      </c>
      <c r="R1543" s="3">
        <f>IF(Table13[[#This Row],[Actual_Qty]]=0,0,Table13[[#This Row],[Reject_Qty]]/Table13[[#This Row],[Actual_Qty]])</f>
        <v>1.4409221902017291E-2</v>
      </c>
      <c r="S1543">
        <v>412</v>
      </c>
      <c r="T1543">
        <f>(Table13[[#This Row],[Ideal_Cycle_Time_sec]]*Table13[[#This Row],[Actual_Qty]])/(Table13[[#This Row],[Operational_Time_min]]*60)</f>
        <v>0.89838187702265371</v>
      </c>
      <c r="U1543">
        <f>Table13[[#This Row],[Good_Qty]]/Table13[[#This Row],[Actual_Qty]]</f>
        <v>0.98559077809798268</v>
      </c>
      <c r="V1543" t="str">
        <f>IF(OR(Table13[[#This Row],[Performance_%]]&gt;=1,Table13[[#This Row],[Performance_%]]&lt;=0),"Error","OK")</f>
        <v>OK</v>
      </c>
      <c r="W1543" t="str">
        <f>IF(OR(Table13[[#This Row],[Quality_%]]&gt;=1,Table13[[#This Row],[Quality_%]]&lt;=0),"Error","OK")</f>
        <v>OK</v>
      </c>
      <c r="X1543">
        <f>Table13[[#This Row],[Performance_%]]*Table13[[#This Row],[Quality_%]]*[2]Availability_KPI!K1543</f>
        <v>0.81066666666666665</v>
      </c>
      <c r="Y1543" t="str">
        <f>IF(OR(Table13[[#This Row],[OEE_%]]&gt;1,Table13[[#This Row],[OEE_%]]&lt;0),"Error","OK")</f>
        <v>OK</v>
      </c>
    </row>
    <row r="1544" spans="1:25" x14ac:dyDescent="0.2">
      <c r="A1544" t="s">
        <v>1786</v>
      </c>
      <c r="B1544" t="s">
        <v>1780</v>
      </c>
      <c r="C1544" s="2">
        <v>46325</v>
      </c>
      <c r="D1544" t="s">
        <v>27</v>
      </c>
      <c r="E1544" t="s">
        <v>46</v>
      </c>
      <c r="F1544" t="s">
        <v>54</v>
      </c>
      <c r="G1544" t="s">
        <v>44</v>
      </c>
      <c r="H1544">
        <v>683</v>
      </c>
      <c r="I1544">
        <v>677</v>
      </c>
      <c r="J1544">
        <v>6</v>
      </c>
      <c r="K1544">
        <v>25</v>
      </c>
      <c r="L1544">
        <v>26.63</v>
      </c>
      <c r="M1544">
        <v>303.18</v>
      </c>
      <c r="N1544">
        <f>_xlfn.XLOOKUP(Table13[[#This Row],[Production_Order_ID]],[1]Sheet1!$A$2:$A$391,[1]Sheet1!$F$2:$F$391,"No Match")</f>
        <v>450</v>
      </c>
      <c r="O1544" s="3">
        <f>Table13[[#This Row],[Good_Qty]]/Table13[[#This Row],[Planned_Production]]</f>
        <v>1.5044444444444445</v>
      </c>
      <c r="P1544" t="str">
        <f>IF(Table13[[#This Row],[Good_Qty]]&gt;=Table13[[#This Row],[Planned_Production]],"Met","Not Met")</f>
        <v>Met</v>
      </c>
      <c r="Q1544">
        <f>Table13[[#This Row],[Good_Qty]]-Table13[[#This Row],[Planned_Production]]</f>
        <v>227</v>
      </c>
      <c r="R1544" s="3">
        <f>IF(Table13[[#This Row],[Actual_Qty]]=0,0,Table13[[#This Row],[Reject_Qty]]/Table13[[#This Row],[Actual_Qty]])</f>
        <v>8.7847730600292828E-3</v>
      </c>
      <c r="S1544">
        <v>423.76</v>
      </c>
      <c r="T1544">
        <f>(Table13[[#This Row],[Ideal_Cycle_Time_sec]]*Table13[[#This Row],[Actual_Qty]])/(Table13[[#This Row],[Operational_Time_min]]*60)</f>
        <v>0.67156723931785289</v>
      </c>
      <c r="U1544">
        <f>Table13[[#This Row],[Good_Qty]]/Table13[[#This Row],[Actual_Qty]]</f>
        <v>0.99121522693997077</v>
      </c>
      <c r="V1544" t="str">
        <f>IF(OR(Table13[[#This Row],[Performance_%]]&gt;=1,Table13[[#This Row],[Performance_%]]&lt;=0),"Error","OK")</f>
        <v>OK</v>
      </c>
      <c r="W1544" t="str">
        <f>IF(OR(Table13[[#This Row],[Quality_%]]&gt;=1,Table13[[#This Row],[Quality_%]]&lt;=0),"Error","OK")</f>
        <v>OK</v>
      </c>
      <c r="X1544">
        <f>Table13[[#This Row],[Performance_%]]*Table13[[#This Row],[Quality_%]]*[2]Availability_KPI!K1544</f>
        <v>0.62685185185185188</v>
      </c>
      <c r="Y1544" t="str">
        <f>IF(OR(Table13[[#This Row],[OEE_%]]&gt;1,Table13[[#This Row],[OEE_%]]&lt;0),"Error","OK")</f>
        <v>OK</v>
      </c>
    </row>
    <row r="1545" spans="1:25" x14ac:dyDescent="0.2">
      <c r="A1545" t="s">
        <v>1787</v>
      </c>
      <c r="B1545" t="s">
        <v>1780</v>
      </c>
      <c r="C1545" s="2">
        <v>46325</v>
      </c>
      <c r="D1545" t="s">
        <v>27</v>
      </c>
      <c r="E1545" t="s">
        <v>49</v>
      </c>
      <c r="F1545" t="s">
        <v>54</v>
      </c>
      <c r="G1545" t="s">
        <v>47</v>
      </c>
      <c r="H1545">
        <v>678</v>
      </c>
      <c r="I1545">
        <v>674</v>
      </c>
      <c r="J1545">
        <v>4</v>
      </c>
      <c r="K1545">
        <v>20</v>
      </c>
      <c r="L1545">
        <v>20.38</v>
      </c>
      <c r="M1545">
        <v>230.28</v>
      </c>
      <c r="N1545">
        <f>_xlfn.XLOOKUP(Table13[[#This Row],[Production_Order_ID]],[1]Sheet1!$A$2:$A$391,[1]Sheet1!$F$2:$F$391,"No Match")</f>
        <v>450</v>
      </c>
      <c r="O1545" s="3">
        <f>Table13[[#This Row],[Good_Qty]]/Table13[[#This Row],[Planned_Production]]</f>
        <v>1.4977777777777779</v>
      </c>
      <c r="P1545" t="str">
        <f>IF(Table13[[#This Row],[Good_Qty]]&gt;=Table13[[#This Row],[Planned_Production]],"Met","Not Met")</f>
        <v>Met</v>
      </c>
      <c r="Q1545">
        <f>Table13[[#This Row],[Good_Qty]]-Table13[[#This Row],[Planned_Production]]</f>
        <v>224</v>
      </c>
      <c r="R1545" s="3">
        <f>IF(Table13[[#This Row],[Actual_Qty]]=0,0,Table13[[#This Row],[Reject_Qty]]/Table13[[#This Row],[Actual_Qty]])</f>
        <v>5.8997050147492625E-3</v>
      </c>
      <c r="S1545">
        <v>440.52</v>
      </c>
      <c r="T1545">
        <f>(Table13[[#This Row],[Ideal_Cycle_Time_sec]]*Table13[[#This Row],[Actual_Qty]])/(Table13[[#This Row],[Operational_Time_min]]*60)</f>
        <v>0.51303005538908564</v>
      </c>
      <c r="U1545">
        <f>Table13[[#This Row],[Good_Qty]]/Table13[[#This Row],[Actual_Qty]]</f>
        <v>0.99410029498525077</v>
      </c>
      <c r="V1545" t="str">
        <f>IF(OR(Table13[[#This Row],[Performance_%]]&gt;=1,Table13[[#This Row],[Performance_%]]&lt;=0),"Error","OK")</f>
        <v>OK</v>
      </c>
      <c r="W1545" t="str">
        <f>IF(OR(Table13[[#This Row],[Quality_%]]&gt;=1,Table13[[#This Row],[Quality_%]]&lt;=0),"Error","OK")</f>
        <v>OK</v>
      </c>
      <c r="X1545">
        <f>Table13[[#This Row],[Performance_%]]*Table13[[#This Row],[Quality_%]]*[2]Availability_KPI!K1545</f>
        <v>0.49925925925925929</v>
      </c>
      <c r="Y1545" t="str">
        <f>IF(OR(Table13[[#This Row],[OEE_%]]&gt;1,Table13[[#This Row],[OEE_%]]&lt;0),"Error","OK")</f>
        <v>OK</v>
      </c>
    </row>
    <row r="1546" spans="1:25" x14ac:dyDescent="0.2">
      <c r="A1546" t="s">
        <v>1788</v>
      </c>
      <c r="B1546" t="s">
        <v>1789</v>
      </c>
      <c r="C1546" s="2">
        <v>46325</v>
      </c>
      <c r="D1546" t="s">
        <v>53</v>
      </c>
      <c r="E1546" t="s">
        <v>28</v>
      </c>
      <c r="F1546" t="s">
        <v>54</v>
      </c>
      <c r="G1546" t="s">
        <v>33</v>
      </c>
      <c r="H1546">
        <v>626</v>
      </c>
      <c r="I1546">
        <v>621</v>
      </c>
      <c r="J1546">
        <v>5</v>
      </c>
      <c r="K1546">
        <v>18</v>
      </c>
      <c r="L1546">
        <v>19.43</v>
      </c>
      <c r="M1546">
        <v>202.7</v>
      </c>
      <c r="N1546">
        <f>_xlfn.XLOOKUP(Table13[[#This Row],[Production_Order_ID]],[1]Sheet1!$A$2:$A$391,[1]Sheet1!$F$2:$F$391,"No Match")</f>
        <v>480</v>
      </c>
      <c r="O1546" s="3">
        <f>Table13[[#This Row],[Good_Qty]]/Table13[[#This Row],[Planned_Production]]</f>
        <v>1.29375</v>
      </c>
      <c r="P1546" t="str">
        <f>IF(Table13[[#This Row],[Good_Qty]]&gt;=Table13[[#This Row],[Planned_Production]],"Met","Not Met")</f>
        <v>Met</v>
      </c>
      <c r="Q1546">
        <f>Table13[[#This Row],[Good_Qty]]-Table13[[#This Row],[Planned_Production]]</f>
        <v>141</v>
      </c>
      <c r="R1546" s="3">
        <f>IF(Table13[[#This Row],[Actual_Qty]]=0,0,Table13[[#This Row],[Reject_Qty]]/Table13[[#This Row],[Actual_Qty]])</f>
        <v>7.9872204472843447E-3</v>
      </c>
      <c r="S1546">
        <v>439.96</v>
      </c>
      <c r="T1546">
        <f>(Table13[[#This Row],[Ideal_Cycle_Time_sec]]*Table13[[#This Row],[Actual_Qty]])/(Table13[[#This Row],[Operational_Time_min]]*60)</f>
        <v>0.42685698699881808</v>
      </c>
      <c r="U1546">
        <f>Table13[[#This Row],[Good_Qty]]/Table13[[#This Row],[Actual_Qty]]</f>
        <v>0.99201277955271561</v>
      </c>
      <c r="V1546" t="str">
        <f>IF(OR(Table13[[#This Row],[Performance_%]]&gt;=1,Table13[[#This Row],[Performance_%]]&lt;=0),"Error","OK")</f>
        <v>OK</v>
      </c>
      <c r="W1546" t="str">
        <f>IF(OR(Table13[[#This Row],[Quality_%]]&gt;=1,Table13[[#This Row],[Quality_%]]&lt;=0),"Error","OK")</f>
        <v>OK</v>
      </c>
      <c r="X1546">
        <f>Table13[[#This Row],[Performance_%]]*Table13[[#This Row],[Quality_%]]*[2]Availability_KPI!K1546</f>
        <v>0.41399999999999998</v>
      </c>
      <c r="Y1546" t="str">
        <f>IF(OR(Table13[[#This Row],[OEE_%]]&gt;1,Table13[[#This Row],[OEE_%]]&lt;0),"Error","OK")</f>
        <v>OK</v>
      </c>
    </row>
    <row r="1547" spans="1:25" x14ac:dyDescent="0.2">
      <c r="A1547" t="s">
        <v>1790</v>
      </c>
      <c r="B1547" t="s">
        <v>1789</v>
      </c>
      <c r="C1547" s="2">
        <v>46325</v>
      </c>
      <c r="D1547" t="s">
        <v>53</v>
      </c>
      <c r="E1547" t="s">
        <v>32</v>
      </c>
      <c r="F1547" t="s">
        <v>54</v>
      </c>
      <c r="G1547" t="s">
        <v>57</v>
      </c>
      <c r="H1547">
        <v>618</v>
      </c>
      <c r="I1547">
        <v>613</v>
      </c>
      <c r="J1547">
        <v>5</v>
      </c>
      <c r="K1547">
        <v>20</v>
      </c>
      <c r="L1547">
        <v>20.53</v>
      </c>
      <c r="M1547">
        <v>211.49</v>
      </c>
      <c r="N1547">
        <f>_xlfn.XLOOKUP(Table13[[#This Row],[Production_Order_ID]],[1]Sheet1!$A$2:$A$391,[1]Sheet1!$F$2:$F$391,"No Match")</f>
        <v>480</v>
      </c>
      <c r="O1547" s="3">
        <f>Table13[[#This Row],[Good_Qty]]/Table13[[#This Row],[Planned_Production]]</f>
        <v>1.2770833333333333</v>
      </c>
      <c r="P1547" t="str">
        <f>IF(Table13[[#This Row],[Good_Qty]]&gt;=Table13[[#This Row],[Planned_Production]],"Met","Not Met")</f>
        <v>Met</v>
      </c>
      <c r="Q1547">
        <f>Table13[[#This Row],[Good_Qty]]-Table13[[#This Row],[Planned_Production]]</f>
        <v>133</v>
      </c>
      <c r="R1547" s="3">
        <f>IF(Table13[[#This Row],[Actual_Qty]]=0,0,Table13[[#This Row],[Reject_Qty]]/Table13[[#This Row],[Actual_Qty]])</f>
        <v>8.0906148867313909E-3</v>
      </c>
      <c r="S1547">
        <v>437.53</v>
      </c>
      <c r="T1547">
        <f>(Table13[[#This Row],[Ideal_Cycle_Time_sec]]*Table13[[#This Row],[Actual_Qty]])/(Table13[[#This Row],[Operational_Time_min]]*60)</f>
        <v>0.47082485772404181</v>
      </c>
      <c r="U1547">
        <f>Table13[[#This Row],[Good_Qty]]/Table13[[#This Row],[Actual_Qty]]</f>
        <v>0.99190938511326865</v>
      </c>
      <c r="V1547" t="str">
        <f>IF(OR(Table13[[#This Row],[Performance_%]]&gt;=1,Table13[[#This Row],[Performance_%]]&lt;=0),"Error","OK")</f>
        <v>OK</v>
      </c>
      <c r="W1547" t="str">
        <f>IF(OR(Table13[[#This Row],[Quality_%]]&gt;=1,Table13[[#This Row],[Quality_%]]&lt;=0),"Error","OK")</f>
        <v>OK</v>
      </c>
      <c r="X1547">
        <f>Table13[[#This Row],[Performance_%]]*Table13[[#This Row],[Quality_%]]*[2]Availability_KPI!K1547</f>
        <v>0.45407407407407413</v>
      </c>
      <c r="Y1547" t="str">
        <f>IF(OR(Table13[[#This Row],[OEE_%]]&gt;1,Table13[[#This Row],[OEE_%]]&lt;0),"Error","OK")</f>
        <v>OK</v>
      </c>
    </row>
    <row r="1548" spans="1:25" x14ac:dyDescent="0.2">
      <c r="A1548" t="s">
        <v>1791</v>
      </c>
      <c r="B1548" t="s">
        <v>1789</v>
      </c>
      <c r="C1548" s="2">
        <v>46325</v>
      </c>
      <c r="D1548" t="s">
        <v>53</v>
      </c>
      <c r="E1548" t="s">
        <v>35</v>
      </c>
      <c r="F1548" t="s">
        <v>54</v>
      </c>
      <c r="G1548" t="s">
        <v>33</v>
      </c>
      <c r="H1548">
        <v>623</v>
      </c>
      <c r="I1548">
        <v>619</v>
      </c>
      <c r="J1548">
        <v>4</v>
      </c>
      <c r="K1548">
        <v>22</v>
      </c>
      <c r="L1548">
        <v>22.83</v>
      </c>
      <c r="M1548">
        <v>237.06</v>
      </c>
      <c r="N1548">
        <f>_xlfn.XLOOKUP(Table13[[#This Row],[Production_Order_ID]],[1]Sheet1!$A$2:$A$391,[1]Sheet1!$F$2:$F$391,"No Match")</f>
        <v>480</v>
      </c>
      <c r="O1548" s="3">
        <f>Table13[[#This Row],[Good_Qty]]/Table13[[#This Row],[Planned_Production]]</f>
        <v>1.2895833333333333</v>
      </c>
      <c r="P1548" t="str">
        <f>IF(Table13[[#This Row],[Good_Qty]]&gt;=Table13[[#This Row],[Planned_Production]],"Met","Not Met")</f>
        <v>Met</v>
      </c>
      <c r="Q1548">
        <f>Table13[[#This Row],[Good_Qty]]-Table13[[#This Row],[Planned_Production]]</f>
        <v>139</v>
      </c>
      <c r="R1548" s="3">
        <f>IF(Table13[[#This Row],[Actual_Qty]]=0,0,Table13[[#This Row],[Reject_Qty]]/Table13[[#This Row],[Actual_Qty]])</f>
        <v>6.420545746388443E-3</v>
      </c>
      <c r="S1548">
        <v>430.85</v>
      </c>
      <c r="T1548">
        <f>(Table13[[#This Row],[Ideal_Cycle_Time_sec]]*Table13[[#This Row],[Actual_Qty]])/(Table13[[#This Row],[Operational_Time_min]]*60)</f>
        <v>0.53019225561873817</v>
      </c>
      <c r="U1548">
        <f>Table13[[#This Row],[Good_Qty]]/Table13[[#This Row],[Actual_Qty]]</f>
        <v>0.9935794542536116</v>
      </c>
      <c r="V1548" t="str">
        <f>IF(OR(Table13[[#This Row],[Performance_%]]&gt;=1,Table13[[#This Row],[Performance_%]]&lt;=0),"Error","OK")</f>
        <v>OK</v>
      </c>
      <c r="W1548" t="str">
        <f>IF(OR(Table13[[#This Row],[Quality_%]]&gt;=1,Table13[[#This Row],[Quality_%]]&lt;=0),"Error","OK")</f>
        <v>OK</v>
      </c>
      <c r="X1548">
        <f>Table13[[#This Row],[Performance_%]]*Table13[[#This Row],[Quality_%]]*[2]Availability_KPI!K1548</f>
        <v>0.50437037037037047</v>
      </c>
      <c r="Y1548" t="str">
        <f>IF(OR(Table13[[#This Row],[OEE_%]]&gt;1,Table13[[#This Row],[OEE_%]]&lt;0),"Error","OK")</f>
        <v>OK</v>
      </c>
    </row>
    <row r="1549" spans="1:25" x14ac:dyDescent="0.2">
      <c r="A1549" t="s">
        <v>1792</v>
      </c>
      <c r="B1549" t="s">
        <v>1789</v>
      </c>
      <c r="C1549" s="2">
        <v>46325</v>
      </c>
      <c r="D1549" t="s">
        <v>53</v>
      </c>
      <c r="E1549" t="s">
        <v>38</v>
      </c>
      <c r="F1549" t="s">
        <v>54</v>
      </c>
      <c r="G1549" t="s">
        <v>39</v>
      </c>
      <c r="H1549">
        <v>625</v>
      </c>
      <c r="I1549">
        <v>622</v>
      </c>
      <c r="J1549">
        <v>3</v>
      </c>
      <c r="K1549">
        <v>20</v>
      </c>
      <c r="L1549">
        <v>20.6</v>
      </c>
      <c r="M1549">
        <v>214.61</v>
      </c>
      <c r="N1549">
        <f>_xlfn.XLOOKUP(Table13[[#This Row],[Production_Order_ID]],[1]Sheet1!$A$2:$A$391,[1]Sheet1!$F$2:$F$391,"No Match")</f>
        <v>480</v>
      </c>
      <c r="O1549" s="3">
        <f>Table13[[#This Row],[Good_Qty]]/Table13[[#This Row],[Planned_Production]]</f>
        <v>1.2958333333333334</v>
      </c>
      <c r="P1549" t="str">
        <f>IF(Table13[[#This Row],[Good_Qty]]&gt;=Table13[[#This Row],[Planned_Production]],"Met","Not Met")</f>
        <v>Met</v>
      </c>
      <c r="Q1549">
        <f>Table13[[#This Row],[Good_Qty]]-Table13[[#This Row],[Planned_Production]]</f>
        <v>142</v>
      </c>
      <c r="R1549" s="3">
        <f>IF(Table13[[#This Row],[Actual_Qty]]=0,0,Table13[[#This Row],[Reject_Qty]]/Table13[[#This Row],[Actual_Qty]])</f>
        <v>4.7999999999999996E-3</v>
      </c>
      <c r="S1549">
        <v>438.26</v>
      </c>
      <c r="T1549">
        <f>(Table13[[#This Row],[Ideal_Cycle_Time_sec]]*Table13[[#This Row],[Actual_Qty]])/(Table13[[#This Row],[Operational_Time_min]]*60)</f>
        <v>0.47536469979768481</v>
      </c>
      <c r="U1549">
        <f>Table13[[#This Row],[Good_Qty]]/Table13[[#This Row],[Actual_Qty]]</f>
        <v>0.99519999999999997</v>
      </c>
      <c r="V1549" t="str">
        <f>IF(OR(Table13[[#This Row],[Performance_%]]&gt;=1,Table13[[#This Row],[Performance_%]]&lt;=0),"Error","OK")</f>
        <v>OK</v>
      </c>
      <c r="W1549" t="str">
        <f>IF(OR(Table13[[#This Row],[Quality_%]]&gt;=1,Table13[[#This Row],[Quality_%]]&lt;=0),"Error","OK")</f>
        <v>OK</v>
      </c>
      <c r="X1549">
        <f>Table13[[#This Row],[Performance_%]]*Table13[[#This Row],[Quality_%]]*[2]Availability_KPI!K1549</f>
        <v>0.46074074074074073</v>
      </c>
      <c r="Y1549" t="str">
        <f>IF(OR(Table13[[#This Row],[OEE_%]]&gt;1,Table13[[#This Row],[OEE_%]]&lt;0),"Error","OK")</f>
        <v>OK</v>
      </c>
    </row>
    <row r="1550" spans="1:25" x14ac:dyDescent="0.2">
      <c r="A1550" t="s">
        <v>1793</v>
      </c>
      <c r="B1550" t="s">
        <v>1789</v>
      </c>
      <c r="C1550" s="2">
        <v>46325</v>
      </c>
      <c r="D1550" t="s">
        <v>53</v>
      </c>
      <c r="E1550" t="s">
        <v>41</v>
      </c>
      <c r="F1550" t="s">
        <v>54</v>
      </c>
      <c r="G1550" t="s">
        <v>75</v>
      </c>
      <c r="H1550">
        <v>639</v>
      </c>
      <c r="I1550">
        <v>635</v>
      </c>
      <c r="J1550">
        <v>4</v>
      </c>
      <c r="K1550">
        <v>18</v>
      </c>
      <c r="L1550">
        <v>19.37</v>
      </c>
      <c r="M1550">
        <v>206.24</v>
      </c>
      <c r="N1550">
        <f>_xlfn.XLOOKUP(Table13[[#This Row],[Production_Order_ID]],[1]Sheet1!$A$2:$A$391,[1]Sheet1!$F$2:$F$391,"No Match")</f>
        <v>480</v>
      </c>
      <c r="O1550" s="3">
        <f>Table13[[#This Row],[Good_Qty]]/Table13[[#This Row],[Planned_Production]]</f>
        <v>1.3229166666666667</v>
      </c>
      <c r="P1550" t="str">
        <f>IF(Table13[[#This Row],[Good_Qty]]&gt;=Table13[[#This Row],[Planned_Production]],"Met","Not Met")</f>
        <v>Met</v>
      </c>
      <c r="Q1550">
        <f>Table13[[#This Row],[Good_Qty]]-Table13[[#This Row],[Planned_Production]]</f>
        <v>155</v>
      </c>
      <c r="R1550" s="3">
        <f>IF(Table13[[#This Row],[Actual_Qty]]=0,0,Table13[[#This Row],[Reject_Qty]]/Table13[[#This Row],[Actual_Qty]])</f>
        <v>6.2597809076682318E-3</v>
      </c>
      <c r="S1550">
        <v>437.47</v>
      </c>
      <c r="T1550">
        <f>(Table13[[#This Row],[Ideal_Cycle_Time_sec]]*Table13[[#This Row],[Actual_Qty]])/(Table13[[#This Row],[Operational_Time_min]]*60)</f>
        <v>0.43820147667268611</v>
      </c>
      <c r="U1550">
        <f>Table13[[#This Row],[Good_Qty]]/Table13[[#This Row],[Actual_Qty]]</f>
        <v>0.99374021909233179</v>
      </c>
      <c r="V1550" t="str">
        <f>IF(OR(Table13[[#This Row],[Performance_%]]&gt;=1,Table13[[#This Row],[Performance_%]]&lt;=0),"Error","OK")</f>
        <v>OK</v>
      </c>
      <c r="W1550" t="str">
        <f>IF(OR(Table13[[#This Row],[Quality_%]]&gt;=1,Table13[[#This Row],[Quality_%]]&lt;=0),"Error","OK")</f>
        <v>OK</v>
      </c>
      <c r="X1550">
        <f>Table13[[#This Row],[Performance_%]]*Table13[[#This Row],[Quality_%]]*[2]Availability_KPI!K1550</f>
        <v>0.42333333333333334</v>
      </c>
      <c r="Y1550" t="str">
        <f>IF(OR(Table13[[#This Row],[OEE_%]]&gt;1,Table13[[#This Row],[OEE_%]]&lt;0),"Error","OK")</f>
        <v>OK</v>
      </c>
    </row>
    <row r="1551" spans="1:25" x14ac:dyDescent="0.2">
      <c r="A1551" t="s">
        <v>1794</v>
      </c>
      <c r="B1551" t="s">
        <v>1789</v>
      </c>
      <c r="C1551" s="2">
        <v>46325</v>
      </c>
      <c r="D1551" t="s">
        <v>53</v>
      </c>
      <c r="E1551" t="s">
        <v>43</v>
      </c>
      <c r="F1551" t="s">
        <v>54</v>
      </c>
      <c r="G1551" t="s">
        <v>33</v>
      </c>
      <c r="H1551">
        <v>634</v>
      </c>
      <c r="I1551">
        <v>625</v>
      </c>
      <c r="J1551">
        <v>9</v>
      </c>
      <c r="K1551">
        <v>32</v>
      </c>
      <c r="L1551">
        <v>33.36</v>
      </c>
      <c r="M1551">
        <v>352.48</v>
      </c>
      <c r="N1551">
        <f>_xlfn.XLOOKUP(Table13[[#This Row],[Production_Order_ID]],[1]Sheet1!$A$2:$A$391,[1]Sheet1!$F$2:$F$391,"No Match")</f>
        <v>480</v>
      </c>
      <c r="O1551" s="3">
        <f>Table13[[#This Row],[Good_Qty]]/Table13[[#This Row],[Planned_Production]]</f>
        <v>1.3020833333333333</v>
      </c>
      <c r="P1551" t="str">
        <f>IF(Table13[[#This Row],[Good_Qty]]&gt;=Table13[[#This Row],[Planned_Production]],"Met","Not Met")</f>
        <v>Met</v>
      </c>
      <c r="Q1551">
        <f>Table13[[#This Row],[Good_Qty]]-Table13[[#This Row],[Planned_Production]]</f>
        <v>145</v>
      </c>
      <c r="R1551" s="3">
        <f>IF(Table13[[#This Row],[Actual_Qty]]=0,0,Table13[[#This Row],[Reject_Qty]]/Table13[[#This Row],[Actual_Qty]])</f>
        <v>1.4195583596214511E-2</v>
      </c>
      <c r="S1551">
        <v>407.84000000000003</v>
      </c>
      <c r="T1551">
        <f>(Table13[[#This Row],[Ideal_Cycle_Time_sec]]*Table13[[#This Row],[Actual_Qty]])/(Table13[[#This Row],[Operational_Time_min]]*60)</f>
        <v>0.82908330064077407</v>
      </c>
      <c r="U1551">
        <f>Table13[[#This Row],[Good_Qty]]/Table13[[#This Row],[Actual_Qty]]</f>
        <v>0.98580441640378547</v>
      </c>
      <c r="V1551" t="str">
        <f>IF(OR(Table13[[#This Row],[Performance_%]]&gt;=1,Table13[[#This Row],[Performance_%]]&lt;=0),"Error","OK")</f>
        <v>OK</v>
      </c>
      <c r="W1551" t="str">
        <f>IF(OR(Table13[[#This Row],[Quality_%]]&gt;=1,Table13[[#This Row],[Quality_%]]&lt;=0),"Error","OK")</f>
        <v>OK</v>
      </c>
      <c r="X1551">
        <f>Table13[[#This Row],[Performance_%]]*Table13[[#This Row],[Quality_%]]*[2]Availability_KPI!K1551</f>
        <v>0.7407407407407407</v>
      </c>
      <c r="Y1551" t="str">
        <f>IF(OR(Table13[[#This Row],[OEE_%]]&gt;1,Table13[[#This Row],[OEE_%]]&lt;0),"Error","OK")</f>
        <v>OK</v>
      </c>
    </row>
    <row r="1552" spans="1:25" x14ac:dyDescent="0.2">
      <c r="A1552" t="s">
        <v>1795</v>
      </c>
      <c r="B1552" t="s">
        <v>1789</v>
      </c>
      <c r="C1552" s="2">
        <v>46325</v>
      </c>
      <c r="D1552" t="s">
        <v>53</v>
      </c>
      <c r="E1552" t="s">
        <v>46</v>
      </c>
      <c r="F1552" t="s">
        <v>54</v>
      </c>
      <c r="G1552" t="s">
        <v>75</v>
      </c>
      <c r="H1552">
        <v>624</v>
      </c>
      <c r="I1552">
        <v>617</v>
      </c>
      <c r="J1552">
        <v>7</v>
      </c>
      <c r="K1552">
        <v>25</v>
      </c>
      <c r="L1552">
        <v>26.3</v>
      </c>
      <c r="M1552">
        <v>273.52999999999997</v>
      </c>
      <c r="N1552">
        <f>_xlfn.XLOOKUP(Table13[[#This Row],[Production_Order_ID]],[1]Sheet1!$A$2:$A$391,[1]Sheet1!$F$2:$F$391,"No Match")</f>
        <v>480</v>
      </c>
      <c r="O1552" s="3">
        <f>Table13[[#This Row],[Good_Qty]]/Table13[[#This Row],[Planned_Production]]</f>
        <v>1.2854166666666667</v>
      </c>
      <c r="P1552" t="str">
        <f>IF(Table13[[#This Row],[Good_Qty]]&gt;=Table13[[#This Row],[Planned_Production]],"Met","Not Met")</f>
        <v>Met</v>
      </c>
      <c r="Q1552">
        <f>Table13[[#This Row],[Good_Qty]]-Table13[[#This Row],[Planned_Production]]</f>
        <v>137</v>
      </c>
      <c r="R1552" s="3">
        <f>IF(Table13[[#This Row],[Actual_Qty]]=0,0,Table13[[#This Row],[Reject_Qty]]/Table13[[#This Row],[Actual_Qty]])</f>
        <v>1.1217948717948718E-2</v>
      </c>
      <c r="S1552">
        <v>434.17</v>
      </c>
      <c r="T1552">
        <f>(Table13[[#This Row],[Ideal_Cycle_Time_sec]]*Table13[[#This Row],[Actual_Qty]])/(Table13[[#This Row],[Operational_Time_min]]*60)</f>
        <v>0.59884377087316032</v>
      </c>
      <c r="U1552">
        <f>Table13[[#This Row],[Good_Qty]]/Table13[[#This Row],[Actual_Qty]]</f>
        <v>0.98878205128205132</v>
      </c>
      <c r="V1552" t="str">
        <f>IF(OR(Table13[[#This Row],[Performance_%]]&gt;=1,Table13[[#This Row],[Performance_%]]&lt;=0),"Error","OK")</f>
        <v>OK</v>
      </c>
      <c r="W1552" t="str">
        <f>IF(OR(Table13[[#This Row],[Quality_%]]&gt;=1,Table13[[#This Row],[Quality_%]]&lt;=0),"Error","OK")</f>
        <v>OK</v>
      </c>
      <c r="X1552">
        <f>Table13[[#This Row],[Performance_%]]*Table13[[#This Row],[Quality_%]]*[2]Availability_KPI!K1552</f>
        <v>0.57129629629629641</v>
      </c>
      <c r="Y1552" t="str">
        <f>IF(OR(Table13[[#This Row],[OEE_%]]&gt;1,Table13[[#This Row],[OEE_%]]&lt;0),"Error","OK")</f>
        <v>OK</v>
      </c>
    </row>
    <row r="1553" spans="1:25" x14ac:dyDescent="0.2">
      <c r="A1553" t="s">
        <v>1796</v>
      </c>
      <c r="B1553" t="s">
        <v>1789</v>
      </c>
      <c r="C1553" s="2">
        <v>46325</v>
      </c>
      <c r="D1553" t="s">
        <v>53</v>
      </c>
      <c r="E1553" t="s">
        <v>49</v>
      </c>
      <c r="F1553" t="s">
        <v>54</v>
      </c>
      <c r="G1553" t="s">
        <v>44</v>
      </c>
      <c r="H1553">
        <v>633</v>
      </c>
      <c r="I1553">
        <v>630</v>
      </c>
      <c r="J1553">
        <v>3</v>
      </c>
      <c r="K1553">
        <v>20</v>
      </c>
      <c r="L1553">
        <v>20.37</v>
      </c>
      <c r="M1553">
        <v>214.92</v>
      </c>
      <c r="N1553">
        <f>_xlfn.XLOOKUP(Table13[[#This Row],[Production_Order_ID]],[1]Sheet1!$A$2:$A$391,[1]Sheet1!$F$2:$F$391,"No Match")</f>
        <v>480</v>
      </c>
      <c r="O1553" s="3">
        <f>Table13[[#This Row],[Good_Qty]]/Table13[[#This Row],[Planned_Production]]</f>
        <v>1.3125</v>
      </c>
      <c r="P1553" t="str">
        <f>IF(Table13[[#This Row],[Good_Qty]]&gt;=Table13[[#This Row],[Planned_Production]],"Met","Not Met")</f>
        <v>Met</v>
      </c>
      <c r="Q1553">
        <f>Table13[[#This Row],[Good_Qty]]-Table13[[#This Row],[Planned_Production]]</f>
        <v>150</v>
      </c>
      <c r="R1553" s="3">
        <f>IF(Table13[[#This Row],[Actual_Qty]]=0,0,Table13[[#This Row],[Reject_Qty]]/Table13[[#This Row],[Actual_Qty]])</f>
        <v>4.7393364928909956E-3</v>
      </c>
      <c r="S1553">
        <v>442.31</v>
      </c>
      <c r="T1553">
        <f>(Table13[[#This Row],[Ideal_Cycle_Time_sec]]*Table13[[#This Row],[Actual_Qty]])/(Table13[[#This Row],[Operational_Time_min]]*60)</f>
        <v>0.47704098935135991</v>
      </c>
      <c r="U1553">
        <f>Table13[[#This Row],[Good_Qty]]/Table13[[#This Row],[Actual_Qty]]</f>
        <v>0.99526066350710896</v>
      </c>
      <c r="V1553" t="str">
        <f>IF(OR(Table13[[#This Row],[Performance_%]]&gt;=1,Table13[[#This Row],[Performance_%]]&lt;=0),"Error","OK")</f>
        <v>OK</v>
      </c>
      <c r="W1553" t="str">
        <f>IF(OR(Table13[[#This Row],[Quality_%]]&gt;=1,Table13[[#This Row],[Quality_%]]&lt;=0),"Error","OK")</f>
        <v>OK</v>
      </c>
      <c r="X1553">
        <f>Table13[[#This Row],[Performance_%]]*Table13[[#This Row],[Quality_%]]*[2]Availability_KPI!K1553</f>
        <v>0.46666666666666662</v>
      </c>
      <c r="Y1553" t="str">
        <f>IF(OR(Table13[[#This Row],[OEE_%]]&gt;1,Table13[[#This Row],[OEE_%]]&lt;0),"Error","OK")</f>
        <v>OK</v>
      </c>
    </row>
    <row r="1554" spans="1:25" x14ac:dyDescent="0.2">
      <c r="A1554" t="s">
        <v>1797</v>
      </c>
      <c r="B1554" t="s">
        <v>1798</v>
      </c>
      <c r="C1554" s="2">
        <v>46325</v>
      </c>
      <c r="D1554" t="s">
        <v>67</v>
      </c>
      <c r="E1554" t="s">
        <v>28</v>
      </c>
      <c r="F1554" t="s">
        <v>29</v>
      </c>
      <c r="G1554" t="s">
        <v>30</v>
      </c>
      <c r="H1554">
        <v>563</v>
      </c>
      <c r="I1554">
        <v>559</v>
      </c>
      <c r="J1554">
        <v>4</v>
      </c>
      <c r="K1554">
        <v>19.8</v>
      </c>
      <c r="L1554">
        <v>20.38</v>
      </c>
      <c r="M1554">
        <v>191.25</v>
      </c>
      <c r="N1554">
        <f>_xlfn.XLOOKUP(Table13[[#This Row],[Production_Order_ID]],[1]Sheet1!$A$2:$A$391,[1]Sheet1!$F$2:$F$391,"No Match")</f>
        <v>560</v>
      </c>
      <c r="O1554" s="3">
        <f>Table13[[#This Row],[Good_Qty]]/Table13[[#This Row],[Planned_Production]]</f>
        <v>0.99821428571428572</v>
      </c>
      <c r="P1554" t="str">
        <f>IF(Table13[[#This Row],[Good_Qty]]&gt;=Table13[[#This Row],[Planned_Production]],"Met","Not Met")</f>
        <v>Not Met</v>
      </c>
      <c r="Q1554">
        <f>Table13[[#This Row],[Good_Qty]]-Table13[[#This Row],[Planned_Production]]</f>
        <v>-1</v>
      </c>
      <c r="R1554" s="3">
        <f>IF(Table13[[#This Row],[Actual_Qty]]=0,0,Table13[[#This Row],[Reject_Qty]]/Table13[[#This Row],[Actual_Qty]])</f>
        <v>7.104795737122558E-3</v>
      </c>
      <c r="S1554">
        <v>440.31</v>
      </c>
      <c r="T1554">
        <f>(Table13[[#This Row],[Ideal_Cycle_Time_sec]]*Table13[[#This Row],[Actual_Qty]])/(Table13[[#This Row],[Operational_Time_min]]*60)</f>
        <v>0.42195271513252031</v>
      </c>
      <c r="U1554">
        <f>Table13[[#This Row],[Good_Qty]]/Table13[[#This Row],[Actual_Qty]]</f>
        <v>0.99289520426287747</v>
      </c>
      <c r="V1554" t="str">
        <f>IF(OR(Table13[[#This Row],[Performance_%]]&gt;=1,Table13[[#This Row],[Performance_%]]&lt;=0),"Error","OK")</f>
        <v>OK</v>
      </c>
      <c r="W1554" t="str">
        <f>IF(OR(Table13[[#This Row],[Quality_%]]&gt;=1,Table13[[#This Row],[Quality_%]]&lt;=0),"Error","OK")</f>
        <v>OK</v>
      </c>
      <c r="X1554">
        <f>Table13[[#This Row],[Performance_%]]*Table13[[#This Row],[Quality_%]]*[2]Availability_KPI!K1554</f>
        <v>0.40993333333333337</v>
      </c>
      <c r="Y1554" t="str">
        <f>IF(OR(Table13[[#This Row],[OEE_%]]&gt;1,Table13[[#This Row],[OEE_%]]&lt;0),"Error","OK")</f>
        <v>OK</v>
      </c>
    </row>
    <row r="1555" spans="1:25" x14ac:dyDescent="0.2">
      <c r="A1555" t="s">
        <v>1799</v>
      </c>
      <c r="B1555" t="s">
        <v>1798</v>
      </c>
      <c r="C1555" s="2">
        <v>46325</v>
      </c>
      <c r="D1555" t="s">
        <v>67</v>
      </c>
      <c r="E1555" t="s">
        <v>32</v>
      </c>
      <c r="F1555" t="s">
        <v>29</v>
      </c>
      <c r="G1555" t="s">
        <v>55</v>
      </c>
      <c r="H1555">
        <v>557</v>
      </c>
      <c r="I1555">
        <v>553</v>
      </c>
      <c r="J1555">
        <v>4</v>
      </c>
      <c r="K1555">
        <v>22</v>
      </c>
      <c r="L1555">
        <v>22.97</v>
      </c>
      <c r="M1555">
        <v>213.27</v>
      </c>
      <c r="N1555">
        <f>_xlfn.XLOOKUP(Table13[[#This Row],[Production_Order_ID]],[1]Sheet1!$A$2:$A$391,[1]Sheet1!$F$2:$F$391,"No Match")</f>
        <v>560</v>
      </c>
      <c r="O1555" s="3">
        <f>Table13[[#This Row],[Good_Qty]]/Table13[[#This Row],[Planned_Production]]</f>
        <v>0.98750000000000004</v>
      </c>
      <c r="P1555" t="str">
        <f>IF(Table13[[#This Row],[Good_Qty]]&gt;=Table13[[#This Row],[Planned_Production]],"Met","Not Met")</f>
        <v>Not Met</v>
      </c>
      <c r="Q1555">
        <f>Table13[[#This Row],[Good_Qty]]-Table13[[#This Row],[Planned_Production]]</f>
        <v>-7</v>
      </c>
      <c r="R1555" s="3">
        <f>IF(Table13[[#This Row],[Actual_Qty]]=0,0,Table13[[#This Row],[Reject_Qty]]/Table13[[#This Row],[Actual_Qty]])</f>
        <v>7.1813285457809697E-3</v>
      </c>
      <c r="S1555">
        <v>437.56</v>
      </c>
      <c r="T1555">
        <f>(Table13[[#This Row],[Ideal_Cycle_Time_sec]]*Table13[[#This Row],[Actual_Qty]])/(Table13[[#This Row],[Operational_Time_min]]*60)</f>
        <v>0.46675503549989339</v>
      </c>
      <c r="U1555">
        <f>Table13[[#This Row],[Good_Qty]]/Table13[[#This Row],[Actual_Qty]]</f>
        <v>0.99281867145421898</v>
      </c>
      <c r="V1555" t="str">
        <f>IF(OR(Table13[[#This Row],[Performance_%]]&gt;=1,Table13[[#This Row],[Performance_%]]&lt;=0),"Error","OK")</f>
        <v>OK</v>
      </c>
      <c r="W1555" t="str">
        <f>IF(OR(Table13[[#This Row],[Quality_%]]&gt;=1,Table13[[#This Row],[Quality_%]]&lt;=0),"Error","OK")</f>
        <v>OK</v>
      </c>
      <c r="X1555">
        <f>Table13[[#This Row],[Performance_%]]*Table13[[#This Row],[Quality_%]]*[2]Availability_KPI!K1555</f>
        <v>0.4505925925925926</v>
      </c>
      <c r="Y1555" t="str">
        <f>IF(OR(Table13[[#This Row],[OEE_%]]&gt;1,Table13[[#This Row],[OEE_%]]&lt;0),"Error","OK")</f>
        <v>OK</v>
      </c>
    </row>
    <row r="1556" spans="1:25" x14ac:dyDescent="0.2">
      <c r="A1556" t="s">
        <v>1800</v>
      </c>
      <c r="B1556" t="s">
        <v>1798</v>
      </c>
      <c r="C1556" s="2">
        <v>46325</v>
      </c>
      <c r="D1556" t="s">
        <v>67</v>
      </c>
      <c r="E1556" t="s">
        <v>35</v>
      </c>
      <c r="F1556" t="s">
        <v>29</v>
      </c>
      <c r="G1556" t="s">
        <v>47</v>
      </c>
      <c r="H1556">
        <v>559</v>
      </c>
      <c r="I1556">
        <v>554</v>
      </c>
      <c r="J1556">
        <v>5</v>
      </c>
      <c r="K1556">
        <v>24.2</v>
      </c>
      <c r="L1556">
        <v>24.99</v>
      </c>
      <c r="M1556">
        <v>232.78</v>
      </c>
      <c r="N1556">
        <f>_xlfn.XLOOKUP(Table13[[#This Row],[Production_Order_ID]],[1]Sheet1!$A$2:$A$391,[1]Sheet1!$F$2:$F$391,"No Match")</f>
        <v>560</v>
      </c>
      <c r="O1556" s="3">
        <f>Table13[[#This Row],[Good_Qty]]/Table13[[#This Row],[Planned_Production]]</f>
        <v>0.98928571428571432</v>
      </c>
      <c r="P1556" t="str">
        <f>IF(Table13[[#This Row],[Good_Qty]]&gt;=Table13[[#This Row],[Planned_Production]],"Met","Not Met")</f>
        <v>Not Met</v>
      </c>
      <c r="Q1556">
        <f>Table13[[#This Row],[Good_Qty]]-Table13[[#This Row],[Planned_Production]]</f>
        <v>-6</v>
      </c>
      <c r="R1556" s="3">
        <f>IF(Table13[[#This Row],[Actual_Qty]]=0,0,Table13[[#This Row],[Reject_Qty]]/Table13[[#This Row],[Actual_Qty]])</f>
        <v>8.9445438282647581E-3</v>
      </c>
      <c r="S1556">
        <v>431.87</v>
      </c>
      <c r="T1556">
        <f>(Table13[[#This Row],[Ideal_Cycle_Time_sec]]*Table13[[#This Row],[Actual_Qty]])/(Table13[[#This Row],[Operational_Time_min]]*60)</f>
        <v>0.52206296647911021</v>
      </c>
      <c r="U1556">
        <f>Table13[[#This Row],[Good_Qty]]/Table13[[#This Row],[Actual_Qty]]</f>
        <v>0.99105545617173529</v>
      </c>
      <c r="V1556" t="str">
        <f>IF(OR(Table13[[#This Row],[Performance_%]]&gt;=1,Table13[[#This Row],[Performance_%]]&lt;=0),"Error","OK")</f>
        <v>OK</v>
      </c>
      <c r="W1556" t="str">
        <f>IF(OR(Table13[[#This Row],[Quality_%]]&gt;=1,Table13[[#This Row],[Quality_%]]&lt;=0),"Error","OK")</f>
        <v>OK</v>
      </c>
      <c r="X1556">
        <f>Table13[[#This Row],[Performance_%]]*Table13[[#This Row],[Quality_%]]*[2]Availability_KPI!K1556</f>
        <v>0.49654814814814818</v>
      </c>
      <c r="Y1556" t="str">
        <f>IF(OR(Table13[[#This Row],[OEE_%]]&gt;1,Table13[[#This Row],[OEE_%]]&lt;0),"Error","OK")</f>
        <v>OK</v>
      </c>
    </row>
    <row r="1557" spans="1:25" x14ac:dyDescent="0.2">
      <c r="A1557" t="s">
        <v>1801</v>
      </c>
      <c r="B1557" t="s">
        <v>1798</v>
      </c>
      <c r="C1557" s="2">
        <v>46325</v>
      </c>
      <c r="D1557" t="s">
        <v>67</v>
      </c>
      <c r="E1557" t="s">
        <v>38</v>
      </c>
      <c r="F1557" t="s">
        <v>29</v>
      </c>
      <c r="G1557" t="s">
        <v>57</v>
      </c>
      <c r="H1557">
        <v>567</v>
      </c>
      <c r="I1557">
        <v>565</v>
      </c>
      <c r="J1557">
        <v>2</v>
      </c>
      <c r="K1557">
        <v>22</v>
      </c>
      <c r="L1557">
        <v>22.84</v>
      </c>
      <c r="M1557">
        <v>215.88</v>
      </c>
      <c r="N1557">
        <f>_xlfn.XLOOKUP(Table13[[#This Row],[Production_Order_ID]],[1]Sheet1!$A$2:$A$391,[1]Sheet1!$F$2:$F$391,"No Match")</f>
        <v>560</v>
      </c>
      <c r="O1557" s="3">
        <f>Table13[[#This Row],[Good_Qty]]/Table13[[#This Row],[Planned_Production]]</f>
        <v>1.0089285714285714</v>
      </c>
      <c r="P1557" t="str">
        <f>IF(Table13[[#This Row],[Good_Qty]]&gt;=Table13[[#This Row],[Planned_Production]],"Met","Not Met")</f>
        <v>Met</v>
      </c>
      <c r="Q1557">
        <f>Table13[[#This Row],[Good_Qty]]-Table13[[#This Row],[Planned_Production]]</f>
        <v>5</v>
      </c>
      <c r="R1557" s="3">
        <f>IF(Table13[[#This Row],[Actual_Qty]]=0,0,Table13[[#This Row],[Reject_Qty]]/Table13[[#This Row],[Actual_Qty]])</f>
        <v>3.5273368606701938E-3</v>
      </c>
      <c r="S1557">
        <v>438.11</v>
      </c>
      <c r="T1557">
        <f>(Table13[[#This Row],[Ideal_Cycle_Time_sec]]*Table13[[#This Row],[Actual_Qty]])/(Table13[[#This Row],[Operational_Time_min]]*60)</f>
        <v>0.47453835794663435</v>
      </c>
      <c r="U1557">
        <f>Table13[[#This Row],[Good_Qty]]/Table13[[#This Row],[Actual_Qty]]</f>
        <v>0.99647266313932981</v>
      </c>
      <c r="V1557" t="str">
        <f>IF(OR(Table13[[#This Row],[Performance_%]]&gt;=1,Table13[[#This Row],[Performance_%]]&lt;=0),"Error","OK")</f>
        <v>OK</v>
      </c>
      <c r="W1557" t="str">
        <f>IF(OR(Table13[[#This Row],[Quality_%]]&gt;=1,Table13[[#This Row],[Quality_%]]&lt;=0),"Error","OK")</f>
        <v>OK</v>
      </c>
      <c r="X1557">
        <f>Table13[[#This Row],[Performance_%]]*Table13[[#This Row],[Quality_%]]*[2]Availability_KPI!K1557</f>
        <v>0.46037037037037026</v>
      </c>
      <c r="Y1557" t="str">
        <f>IF(OR(Table13[[#This Row],[OEE_%]]&gt;1,Table13[[#This Row],[OEE_%]]&lt;0),"Error","OK")</f>
        <v>OK</v>
      </c>
    </row>
    <row r="1558" spans="1:25" x14ac:dyDescent="0.2">
      <c r="A1558" t="s">
        <v>1802</v>
      </c>
      <c r="B1558" t="s">
        <v>1798</v>
      </c>
      <c r="C1558" s="2">
        <v>46325</v>
      </c>
      <c r="D1558" t="s">
        <v>67</v>
      </c>
      <c r="E1558" t="s">
        <v>41</v>
      </c>
      <c r="F1558" t="s">
        <v>29</v>
      </c>
      <c r="G1558" t="s">
        <v>44</v>
      </c>
      <c r="H1558">
        <v>557</v>
      </c>
      <c r="I1558">
        <v>552</v>
      </c>
      <c r="J1558">
        <v>5</v>
      </c>
      <c r="K1558">
        <v>19.8</v>
      </c>
      <c r="L1558">
        <v>21.09</v>
      </c>
      <c r="M1558">
        <v>195.8</v>
      </c>
      <c r="N1558">
        <f>_xlfn.XLOOKUP(Table13[[#This Row],[Production_Order_ID]],[1]Sheet1!$A$2:$A$391,[1]Sheet1!$F$2:$F$391,"No Match")</f>
        <v>560</v>
      </c>
      <c r="O1558" s="3">
        <f>Table13[[#This Row],[Good_Qty]]/Table13[[#This Row],[Planned_Production]]</f>
        <v>0.98571428571428577</v>
      </c>
      <c r="P1558" t="str">
        <f>IF(Table13[[#This Row],[Good_Qty]]&gt;=Table13[[#This Row],[Planned_Production]],"Met","Not Met")</f>
        <v>Not Met</v>
      </c>
      <c r="Q1558">
        <f>Table13[[#This Row],[Good_Qty]]-Table13[[#This Row],[Planned_Production]]</f>
        <v>-8</v>
      </c>
      <c r="R1558" s="3">
        <f>IF(Table13[[#This Row],[Actual_Qty]]=0,0,Table13[[#This Row],[Reject_Qty]]/Table13[[#This Row],[Actual_Qty]])</f>
        <v>8.9766606822262122E-3</v>
      </c>
      <c r="S1558">
        <v>438.15</v>
      </c>
      <c r="T1558">
        <f>(Table13[[#This Row],[Ideal_Cycle_Time_sec]]*Table13[[#This Row],[Actual_Qty]])/(Table13[[#This Row],[Operational_Time_min]]*60)</f>
        <v>0.41951386511468675</v>
      </c>
      <c r="U1558">
        <f>Table13[[#This Row],[Good_Qty]]/Table13[[#This Row],[Actual_Qty]]</f>
        <v>0.99102333931777375</v>
      </c>
      <c r="V1558" t="str">
        <f>IF(OR(Table13[[#This Row],[Performance_%]]&gt;=1,Table13[[#This Row],[Performance_%]]&lt;=0),"Error","OK")</f>
        <v>OK</v>
      </c>
      <c r="W1558" t="str">
        <f>IF(OR(Table13[[#This Row],[Quality_%]]&gt;=1,Table13[[#This Row],[Quality_%]]&lt;=0),"Error","OK")</f>
        <v>OK</v>
      </c>
      <c r="X1558">
        <f>Table13[[#This Row],[Performance_%]]*Table13[[#This Row],[Quality_%]]*[2]Availability_KPI!K1558</f>
        <v>0.40479999999999994</v>
      </c>
      <c r="Y1558" t="str">
        <f>IF(OR(Table13[[#This Row],[OEE_%]]&gt;1,Table13[[#This Row],[OEE_%]]&lt;0),"Error","OK")</f>
        <v>OK</v>
      </c>
    </row>
    <row r="1559" spans="1:25" x14ac:dyDescent="0.2">
      <c r="A1559" t="s">
        <v>1803</v>
      </c>
      <c r="B1559" t="s">
        <v>1798</v>
      </c>
      <c r="C1559" s="2">
        <v>46325</v>
      </c>
      <c r="D1559" t="s">
        <v>67</v>
      </c>
      <c r="E1559" t="s">
        <v>43</v>
      </c>
      <c r="F1559" t="s">
        <v>29</v>
      </c>
      <c r="G1559" t="s">
        <v>39</v>
      </c>
      <c r="H1559">
        <v>564</v>
      </c>
      <c r="I1559">
        <v>554</v>
      </c>
      <c r="J1559">
        <v>10</v>
      </c>
      <c r="K1559">
        <v>35.200000000000003</v>
      </c>
      <c r="L1559">
        <v>37.94</v>
      </c>
      <c r="M1559">
        <v>356.6</v>
      </c>
      <c r="N1559">
        <f>_xlfn.XLOOKUP(Table13[[#This Row],[Production_Order_ID]],[1]Sheet1!$A$2:$A$391,[1]Sheet1!$F$2:$F$391,"No Match")</f>
        <v>560</v>
      </c>
      <c r="O1559" s="3">
        <f>Table13[[#This Row],[Good_Qty]]/Table13[[#This Row],[Planned_Production]]</f>
        <v>0.98928571428571432</v>
      </c>
      <c r="P1559" t="str">
        <f>IF(Table13[[#This Row],[Good_Qty]]&gt;=Table13[[#This Row],[Planned_Production]],"Met","Not Met")</f>
        <v>Not Met</v>
      </c>
      <c r="Q1559">
        <f>Table13[[#This Row],[Good_Qty]]-Table13[[#This Row],[Planned_Production]]</f>
        <v>-6</v>
      </c>
      <c r="R1559" s="3">
        <f>IF(Table13[[#This Row],[Actual_Qty]]=0,0,Table13[[#This Row],[Reject_Qty]]/Table13[[#This Row],[Actual_Qty]])</f>
        <v>1.7730496453900711E-2</v>
      </c>
      <c r="S1559">
        <v>409.92</v>
      </c>
      <c r="T1559">
        <f>(Table13[[#This Row],[Ideal_Cycle_Time_sec]]*Table13[[#This Row],[Actual_Qty]])/(Table13[[#This Row],[Operational_Time_min]]*60)</f>
        <v>0.80718188914910238</v>
      </c>
      <c r="U1559">
        <f>Table13[[#This Row],[Good_Qty]]/Table13[[#This Row],[Actual_Qty]]</f>
        <v>0.98226950354609932</v>
      </c>
      <c r="V1559" t="str">
        <f>IF(OR(Table13[[#This Row],[Performance_%]]&gt;=1,Table13[[#This Row],[Performance_%]]&lt;=0),"Error","OK")</f>
        <v>OK</v>
      </c>
      <c r="W1559" t="str">
        <f>IF(OR(Table13[[#This Row],[Quality_%]]&gt;=1,Table13[[#This Row],[Quality_%]]&lt;=0),"Error","OK")</f>
        <v>OK</v>
      </c>
      <c r="X1559">
        <f>Table13[[#This Row],[Performance_%]]*Table13[[#This Row],[Quality_%]]*[2]Availability_KPI!K1559</f>
        <v>0.72225185185185203</v>
      </c>
      <c r="Y1559" t="str">
        <f>IF(OR(Table13[[#This Row],[OEE_%]]&gt;1,Table13[[#This Row],[OEE_%]]&lt;0),"Error","OK")</f>
        <v>OK</v>
      </c>
    </row>
    <row r="1560" spans="1:25" x14ac:dyDescent="0.2">
      <c r="A1560" t="s">
        <v>1804</v>
      </c>
      <c r="B1560" t="s">
        <v>1798</v>
      </c>
      <c r="C1560" s="2">
        <v>46325</v>
      </c>
      <c r="D1560" t="s">
        <v>67</v>
      </c>
      <c r="E1560" t="s">
        <v>46</v>
      </c>
      <c r="F1560" t="s">
        <v>29</v>
      </c>
      <c r="G1560" t="s">
        <v>44</v>
      </c>
      <c r="H1560">
        <v>565</v>
      </c>
      <c r="I1560">
        <v>560</v>
      </c>
      <c r="J1560">
        <v>5</v>
      </c>
      <c r="K1560">
        <v>27.5</v>
      </c>
      <c r="L1560">
        <v>29.2</v>
      </c>
      <c r="M1560">
        <v>275</v>
      </c>
      <c r="N1560">
        <f>_xlfn.XLOOKUP(Table13[[#This Row],[Production_Order_ID]],[1]Sheet1!$A$2:$A$391,[1]Sheet1!$F$2:$F$391,"No Match")</f>
        <v>560</v>
      </c>
      <c r="O1560" s="3">
        <f>Table13[[#This Row],[Good_Qty]]/Table13[[#This Row],[Planned_Production]]</f>
        <v>1</v>
      </c>
      <c r="P1560" t="str">
        <f>IF(Table13[[#This Row],[Good_Qty]]&gt;=Table13[[#This Row],[Planned_Production]],"Met","Not Met")</f>
        <v>Met</v>
      </c>
      <c r="Q1560">
        <f>Table13[[#This Row],[Good_Qty]]-Table13[[#This Row],[Planned_Production]]</f>
        <v>0</v>
      </c>
      <c r="R1560" s="3">
        <f>IF(Table13[[#This Row],[Actual_Qty]]=0,0,Table13[[#This Row],[Reject_Qty]]/Table13[[#This Row],[Actual_Qty]])</f>
        <v>8.8495575221238937E-3</v>
      </c>
      <c r="S1560">
        <v>433.14</v>
      </c>
      <c r="T1560">
        <f>(Table13[[#This Row],[Ideal_Cycle_Time_sec]]*Table13[[#This Row],[Actual_Qty]])/(Table13[[#This Row],[Operational_Time_min]]*60)</f>
        <v>0.59786289267519355</v>
      </c>
      <c r="U1560">
        <f>Table13[[#This Row],[Good_Qty]]/Table13[[#This Row],[Actual_Qty]]</f>
        <v>0.99115044247787609</v>
      </c>
      <c r="V1560" t="str">
        <f>IF(OR(Table13[[#This Row],[Performance_%]]&gt;=1,Table13[[#This Row],[Performance_%]]&lt;=0),"Error","OK")</f>
        <v>OK</v>
      </c>
      <c r="W1560" t="str">
        <f>IF(OR(Table13[[#This Row],[Quality_%]]&gt;=1,Table13[[#This Row],[Quality_%]]&lt;=0),"Error","OK")</f>
        <v>OK</v>
      </c>
      <c r="X1560">
        <f>Table13[[#This Row],[Performance_%]]*Table13[[#This Row],[Quality_%]]*[2]Availability_KPI!K1560</f>
        <v>0.57037037037037042</v>
      </c>
      <c r="Y1560" t="str">
        <f>IF(OR(Table13[[#This Row],[OEE_%]]&gt;1,Table13[[#This Row],[OEE_%]]&lt;0),"Error","OK")</f>
        <v>OK</v>
      </c>
    </row>
    <row r="1561" spans="1:25" x14ac:dyDescent="0.2">
      <c r="A1561" t="s">
        <v>1805</v>
      </c>
      <c r="B1561" t="s">
        <v>1798</v>
      </c>
      <c r="C1561" s="2">
        <v>46325</v>
      </c>
      <c r="D1561" t="s">
        <v>67</v>
      </c>
      <c r="E1561" t="s">
        <v>49</v>
      </c>
      <c r="F1561" t="s">
        <v>29</v>
      </c>
      <c r="G1561" t="s">
        <v>30</v>
      </c>
      <c r="H1561">
        <v>562</v>
      </c>
      <c r="I1561">
        <v>560</v>
      </c>
      <c r="J1561">
        <v>2</v>
      </c>
      <c r="K1561">
        <v>22</v>
      </c>
      <c r="L1561">
        <v>23.43</v>
      </c>
      <c r="M1561">
        <v>219.48</v>
      </c>
      <c r="N1561">
        <f>_xlfn.XLOOKUP(Table13[[#This Row],[Production_Order_ID]],[1]Sheet1!$A$2:$A$391,[1]Sheet1!$F$2:$F$391,"No Match")</f>
        <v>560</v>
      </c>
      <c r="O1561" s="3">
        <f>Table13[[#This Row],[Good_Qty]]/Table13[[#This Row],[Planned_Production]]</f>
        <v>1</v>
      </c>
      <c r="P1561" t="str">
        <f>IF(Table13[[#This Row],[Good_Qty]]&gt;=Table13[[#This Row],[Planned_Production]],"Met","Not Met")</f>
        <v>Met</v>
      </c>
      <c r="Q1561">
        <f>Table13[[#This Row],[Good_Qty]]-Table13[[#This Row],[Planned_Production]]</f>
        <v>0</v>
      </c>
      <c r="R1561" s="3">
        <f>IF(Table13[[#This Row],[Actual_Qty]]=0,0,Table13[[#This Row],[Reject_Qty]]/Table13[[#This Row],[Actual_Qty]])</f>
        <v>3.5587188612099642E-3</v>
      </c>
      <c r="S1561">
        <v>442.2</v>
      </c>
      <c r="T1561">
        <f>(Table13[[#This Row],[Ideal_Cycle_Time_sec]]*Table13[[#This Row],[Actual_Qty]])/(Table13[[#This Row],[Operational_Time_min]]*60)</f>
        <v>0.46600331674958539</v>
      </c>
      <c r="U1561">
        <f>Table13[[#This Row],[Good_Qty]]/Table13[[#This Row],[Actual_Qty]]</f>
        <v>0.99644128113879005</v>
      </c>
      <c r="V1561" t="str">
        <f>IF(OR(Table13[[#This Row],[Performance_%]]&gt;=1,Table13[[#This Row],[Performance_%]]&lt;=0),"Error","OK")</f>
        <v>OK</v>
      </c>
      <c r="W1561" t="str">
        <f>IF(OR(Table13[[#This Row],[Quality_%]]&gt;=1,Table13[[#This Row],[Quality_%]]&lt;=0),"Error","OK")</f>
        <v>OK</v>
      </c>
      <c r="X1561">
        <f>Table13[[#This Row],[Performance_%]]*Table13[[#This Row],[Quality_%]]*[2]Availability_KPI!K1561</f>
        <v>0.45629629629629631</v>
      </c>
      <c r="Y1561" t="str">
        <f>IF(OR(Table13[[#This Row],[OEE_%]]&gt;1,Table13[[#This Row],[OEE_%]]&lt;0),"Error","OK")</f>
        <v>OK</v>
      </c>
    </row>
  </sheetData>
  <conditionalFormatting sqref="T1:T1561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sah</dc:creator>
  <cp:lastModifiedBy>manohar sah</cp:lastModifiedBy>
  <dcterms:created xsi:type="dcterms:W3CDTF">2026-08-14T04:51:12Z</dcterms:created>
  <dcterms:modified xsi:type="dcterms:W3CDTF">2026-08-14T04:57:53Z</dcterms:modified>
</cp:coreProperties>
</file>